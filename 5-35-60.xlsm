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FC6664BA-4D7E-46DD-A276-B9408EA0EC4E}" xr6:coauthVersionLast="46" xr6:coauthVersionMax="46" xr10:uidLastSave="{00000000-0000-0000-0000-000000000000}"/>
  <bookViews>
    <workbookView xWindow="-120" yWindow="-120" windowWidth="29040" windowHeight="15990" activeTab="7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EVALUATION" sheetId="8" r:id="rId5"/>
    <sheet name="data" sheetId="7" r:id="rId6"/>
    <sheet name="A" sheetId="13" r:id="rId7"/>
    <sheet name="A2" sheetId="16" r:id="rId8"/>
    <sheet name="F" sheetId="14" r:id="rId9"/>
    <sheet name="S" sheetId="15" r:id="rId10"/>
  </sheets>
  <functionGroups builtInGroupCount="19"/>
  <externalReferences>
    <externalReference r:id="rId11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D35" i="11"/>
  <c r="B41" i="4"/>
  <c r="C41" i="4"/>
  <c r="D41" i="4"/>
  <c r="A41" i="4"/>
  <c r="B41" i="12"/>
  <c r="C41" i="12"/>
  <c r="D41" i="12"/>
  <c r="A41" i="12"/>
  <c r="B41" i="11" l="1"/>
  <c r="C41" i="11"/>
  <c r="D41" i="11"/>
  <c r="A41" i="11"/>
  <c r="B64" i="8" l="1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B32" i="8"/>
  <c r="E31" i="8"/>
  <c r="D31" i="8"/>
  <c r="C31" i="8"/>
  <c r="E30" i="8"/>
  <c r="D30" i="8"/>
  <c r="C30" i="8"/>
  <c r="E29" i="8"/>
  <c r="D29" i="8"/>
  <c r="C29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109" i="11" s="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AB37" i="11" s="1"/>
  <c r="D36" i="11"/>
  <c r="AK36" i="11" s="1"/>
  <c r="AJ35" i="11"/>
  <c r="AE34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B2" i="2"/>
  <c r="B1" i="2" s="1"/>
  <c r="A2" i="11" s="1"/>
  <c r="A114" i="11" s="1"/>
  <c r="A115" i="11" s="1"/>
  <c r="A22" i="7"/>
  <c r="A2" i="12" l="1"/>
  <c r="A114" i="12" s="1"/>
  <c r="A115" i="12" s="1"/>
  <c r="A49" i="8"/>
  <c r="A58" i="8"/>
  <c r="A57" i="8"/>
  <c r="AC36" i="12"/>
  <c r="A50" i="8"/>
  <c r="A42" i="8"/>
  <c r="BA3" i="12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T108" i="11" s="1"/>
  <c r="BA4" i="11"/>
  <c r="A25" i="8"/>
  <c r="A17" i="8"/>
  <c r="A9" i="8"/>
  <c r="BA3" i="11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R34" i="12"/>
  <c r="AD34" i="12"/>
  <c r="E36" i="12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W83" i="12"/>
  <c r="M105" i="12"/>
  <c r="F84" i="12"/>
  <c r="AD83" i="12"/>
  <c r="AL86" i="12"/>
  <c r="G82" i="12"/>
  <c r="Z85" i="12"/>
  <c r="T81" i="12"/>
  <c r="U95" i="12"/>
  <c r="U87" i="12"/>
  <c r="AD90" i="12"/>
  <c r="M85" i="12"/>
  <c r="AJ82" i="12"/>
  <c r="G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Z93" i="11"/>
  <c r="A80" i="11"/>
  <c r="A89" i="11"/>
  <c r="A105" i="11"/>
  <c r="I34" i="11"/>
  <c r="Q34" i="11"/>
  <c r="Y34" i="11"/>
  <c r="AG34" i="11"/>
  <c r="F35" i="11"/>
  <c r="N35" i="11"/>
  <c r="V35" i="11"/>
  <c r="AD35" i="11"/>
  <c r="AL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M36" i="11"/>
  <c r="U36" i="11"/>
  <c r="AC36" i="11"/>
  <c r="AL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L37" i="11"/>
  <c r="AD37" i="11"/>
  <c r="V37" i="11"/>
  <c r="N37" i="11"/>
  <c r="F37" i="11"/>
  <c r="Q37" i="11"/>
  <c r="AC37" i="11"/>
  <c r="A91" i="11"/>
  <c r="A103" i="11"/>
  <c r="E34" i="1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S37" i="11"/>
  <c r="AF37" i="11"/>
  <c r="A81" i="11"/>
  <c r="A93" i="11"/>
  <c r="A101" i="11"/>
  <c r="F34" i="11"/>
  <c r="N34" i="11"/>
  <c r="V34" i="11"/>
  <c r="AD34" i="11"/>
  <c r="AL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98" i="8"/>
  <c r="A99" i="8" s="1"/>
  <c r="B98" i="8"/>
  <c r="X95" i="11" l="1"/>
  <c r="M101" i="11"/>
  <c r="J81" i="11"/>
  <c r="M81" i="11"/>
  <c r="H81" i="11"/>
  <c r="S82" i="12"/>
  <c r="I90" i="12"/>
  <c r="Z86" i="12"/>
  <c r="X91" i="12"/>
  <c r="K83" i="12"/>
  <c r="AG87" i="12"/>
  <c r="I97" i="12"/>
  <c r="S97" i="12"/>
  <c r="AF92" i="12"/>
  <c r="Y80" i="12"/>
  <c r="W84" i="12"/>
  <c r="Y96" i="12"/>
  <c r="W91" i="12"/>
  <c r="N90" i="12"/>
  <c r="N94" i="12"/>
  <c r="X90" i="12"/>
  <c r="V85" i="11"/>
  <c r="AL95" i="11"/>
  <c r="X102" i="11"/>
  <c r="F93" i="11"/>
  <c r="P93" i="11"/>
  <c r="T82" i="11"/>
  <c r="AL100" i="11"/>
  <c r="AA92" i="11"/>
  <c r="U104" i="11"/>
  <c r="AF85" i="11"/>
  <c r="N85" i="11"/>
  <c r="R92" i="11"/>
  <c r="J82" i="11"/>
  <c r="O82" i="11"/>
  <c r="H84" i="11"/>
  <c r="S81" i="11"/>
  <c r="AI83" i="11"/>
  <c r="F88" i="11"/>
  <c r="O83" i="11"/>
  <c r="AD88" i="11"/>
  <c r="R80" i="11"/>
  <c r="U80" i="11"/>
  <c r="AL87" i="11"/>
  <c r="S85" i="11"/>
  <c r="S94" i="11"/>
  <c r="L86" i="11"/>
  <c r="L91" i="11"/>
  <c r="T83" i="11"/>
  <c r="J83" i="11"/>
  <c r="AH89" i="11"/>
  <c r="O87" i="11"/>
  <c r="S106" i="11"/>
  <c r="Z87" i="11"/>
  <c r="AF93" i="11"/>
  <c r="G82" i="11"/>
  <c r="AF90" i="11"/>
  <c r="J90" i="11"/>
  <c r="AD91" i="11"/>
  <c r="S89" i="11"/>
  <c r="AG96" i="11"/>
  <c r="AE80" i="11"/>
  <c r="R81" i="11"/>
  <c r="O80" i="11"/>
  <c r="U81" i="11"/>
  <c r="P86" i="11"/>
  <c r="I80" i="11"/>
  <c r="X82" i="11"/>
  <c r="AL88" i="11"/>
  <c r="Z80" i="11"/>
  <c r="AJ84" i="11"/>
  <c r="Z91" i="11"/>
  <c r="Y81" i="11"/>
  <c r="Z86" i="11"/>
  <c r="L80" i="11"/>
  <c r="AE82" i="11"/>
  <c r="T88" i="11"/>
  <c r="AC80" i="11"/>
  <c r="Z83" i="11"/>
  <c r="AJ91" i="11"/>
  <c r="Q81" i="11"/>
  <c r="H86" i="11"/>
  <c r="AB82" i="11"/>
  <c r="P84" i="11"/>
  <c r="T86" i="11"/>
  <c r="H88" i="11"/>
  <c r="L90" i="11"/>
  <c r="AL91" i="11"/>
  <c r="AH93" i="11"/>
  <c r="P96" i="11"/>
  <c r="AF101" i="11"/>
  <c r="AA81" i="11"/>
  <c r="W83" i="11"/>
  <c r="AA85" i="11"/>
  <c r="W87" i="11"/>
  <c r="AA89" i="11"/>
  <c r="J100" i="11"/>
  <c r="N94" i="11"/>
  <c r="W94" i="11"/>
  <c r="AE85" i="11"/>
  <c r="AA96" i="11"/>
  <c r="X97" i="11"/>
  <c r="O108" i="11"/>
  <c r="AK98" i="11"/>
  <c r="I103" i="11"/>
  <c r="AB104" i="11"/>
  <c r="Q106" i="11"/>
  <c r="M83" i="11"/>
  <c r="P85" i="11"/>
  <c r="S82" i="11"/>
  <c r="AG81" i="11"/>
  <c r="J87" i="11"/>
  <c r="Q80" i="11"/>
  <c r="R83" i="11"/>
  <c r="AF89" i="11"/>
  <c r="AH80" i="11"/>
  <c r="AD85" i="11"/>
  <c r="T92" i="11"/>
  <c r="AL81" i="11"/>
  <c r="T87" i="11"/>
  <c r="T80" i="11"/>
  <c r="I83" i="11"/>
  <c r="N89" i="11"/>
  <c r="AK80" i="11"/>
  <c r="N84" i="11"/>
  <c r="AD92" i="11"/>
  <c r="AD81" i="11"/>
  <c r="AH87" i="11"/>
  <c r="AJ82" i="11"/>
  <c r="X84" i="11"/>
  <c r="AB86" i="11"/>
  <c r="P88" i="11"/>
  <c r="T90" i="11"/>
  <c r="H92" i="11"/>
  <c r="L94" i="11"/>
  <c r="AF96" i="11"/>
  <c r="Z102" i="11"/>
  <c r="AI81" i="11"/>
  <c r="AE83" i="11"/>
  <c r="AI85" i="11"/>
  <c r="AE87" i="11"/>
  <c r="AI89" i="11"/>
  <c r="F108" i="11"/>
  <c r="M97" i="11"/>
  <c r="AF97" i="11"/>
  <c r="AI87" i="11"/>
  <c r="L103" i="11"/>
  <c r="AJ105" i="11"/>
  <c r="V99" i="11"/>
  <c r="AG100" i="11"/>
  <c r="M105" i="11"/>
  <c r="P106" i="11"/>
  <c r="U108" i="11"/>
  <c r="X89" i="11"/>
  <c r="F92" i="11"/>
  <c r="AJ87" i="11"/>
  <c r="H82" i="11"/>
  <c r="AJ88" i="11"/>
  <c r="Y80" i="11"/>
  <c r="AJ83" i="11"/>
  <c r="Z90" i="11"/>
  <c r="L81" i="11"/>
  <c r="X86" i="11"/>
  <c r="N93" i="11"/>
  <c r="L82" i="11"/>
  <c r="N88" i="11"/>
  <c r="AB80" i="11"/>
  <c r="Y83" i="11"/>
  <c r="H90" i="11"/>
  <c r="G81" i="11"/>
  <c r="H85" i="11"/>
  <c r="F80" i="11"/>
  <c r="R82" i="11"/>
  <c r="AB88" i="11"/>
  <c r="F83" i="11"/>
  <c r="AF84" i="11"/>
  <c r="AJ86" i="11"/>
  <c r="X88" i="11"/>
  <c r="AB90" i="11"/>
  <c r="P92" i="11"/>
  <c r="T94" i="11"/>
  <c r="J97" i="11"/>
  <c r="T103" i="11"/>
  <c r="M82" i="11"/>
  <c r="I84" i="11"/>
  <c r="M86" i="11"/>
  <c r="I88" i="11"/>
  <c r="AC90" i="11"/>
  <c r="AL82" i="11"/>
  <c r="AB103" i="11"/>
  <c r="AF103" i="11"/>
  <c r="AE89" i="11"/>
  <c r="O84" i="11"/>
  <c r="O96" i="11"/>
  <c r="R101" i="11"/>
  <c r="AK102" i="11"/>
  <c r="I107" i="11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H101" i="11"/>
  <c r="S96" i="11"/>
  <c r="AJ93" i="11"/>
  <c r="AF91" i="11"/>
  <c r="F90" i="11"/>
  <c r="J88" i="11"/>
  <c r="N86" i="11"/>
  <c r="R84" i="11"/>
  <c r="V82" i="11"/>
  <c r="F106" i="11"/>
  <c r="W98" i="11"/>
  <c r="AK94" i="11"/>
  <c r="AG92" i="11"/>
  <c r="AK90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M102" i="11"/>
  <c r="I100" i="11"/>
  <c r="M98" i="11"/>
  <c r="I96" i="11"/>
  <c r="H108" i="11"/>
  <c r="T106" i="11"/>
  <c r="P104" i="11"/>
  <c r="AB102" i="11"/>
  <c r="X100" i="11"/>
  <c r="AJ98" i="11"/>
  <c r="AC107" i="11"/>
  <c r="Y105" i="11"/>
  <c r="AC103" i="11"/>
  <c r="Y101" i="11"/>
  <c r="AC99" i="11"/>
  <c r="Y97" i="11"/>
  <c r="AC95" i="11"/>
  <c r="V102" i="11"/>
  <c r="N96" i="11"/>
  <c r="Y93" i="11"/>
  <c r="AC91" i="11"/>
  <c r="Y89" i="11"/>
  <c r="AC87" i="11"/>
  <c r="Y85" i="11"/>
  <c r="T107" i="11"/>
  <c r="AD100" i="11"/>
  <c r="Q95" i="11"/>
  <c r="P107" i="11"/>
  <c r="AF99" i="11"/>
  <c r="P95" i="11"/>
  <c r="G93" i="11"/>
  <c r="K91" i="11"/>
  <c r="G89" i="11"/>
  <c r="K87" i="11"/>
  <c r="G85" i="11"/>
  <c r="K83" i="11"/>
  <c r="AD108" i="11"/>
  <c r="V100" i="11"/>
  <c r="AD95" i="11"/>
  <c r="V108" i="11"/>
  <c r="L101" i="11"/>
  <c r="V96" i="11"/>
  <c r="AK93" i="11"/>
  <c r="AG91" i="11"/>
  <c r="AK89" i="11"/>
  <c r="AG87" i="11"/>
  <c r="AK85" i="11"/>
  <c r="AG83" i="11"/>
  <c r="N100" i="11"/>
  <c r="Y95" i="11"/>
  <c r="AB93" i="11"/>
  <c r="X91" i="11"/>
  <c r="AJ89" i="11"/>
  <c r="AF87" i="11"/>
  <c r="F86" i="11"/>
  <c r="J84" i="11"/>
  <c r="N82" i="11"/>
  <c r="L105" i="11"/>
  <c r="F98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AJ85" i="11"/>
  <c r="AF83" i="11"/>
  <c r="F82" i="11"/>
  <c r="R104" i="11"/>
  <c r="AB97" i="11"/>
  <c r="U94" i="11"/>
  <c r="Q92" i="11"/>
  <c r="U90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U84" i="11"/>
  <c r="Q82" i="11"/>
  <c r="X105" i="11"/>
  <c r="L98" i="11"/>
  <c r="X94" i="11"/>
  <c r="T105" i="11"/>
  <c r="AD98" i="11"/>
  <c r="L95" i="11"/>
  <c r="M93" i="11"/>
  <c r="I91" i="11"/>
  <c r="M89" i="11"/>
  <c r="I87" i="11"/>
  <c r="M85" i="11"/>
  <c r="P105" i="11"/>
  <c r="G98" i="11"/>
  <c r="AD94" i="11"/>
  <c r="AH92" i="11"/>
  <c r="AL90" i="11"/>
  <c r="L89" i="11"/>
  <c r="H87" i="11"/>
  <c r="T85" i="11"/>
  <c r="P83" i="11"/>
  <c r="AB81" i="11"/>
  <c r="AD102" i="11"/>
  <c r="AH96" i="11"/>
  <c r="AI93" i="11"/>
  <c r="AE91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AC83" i="11"/>
  <c r="AF81" i="11"/>
  <c r="H80" i="11"/>
  <c r="W82" i="11"/>
  <c r="AD89" i="11"/>
  <c r="AG80" i="11"/>
  <c r="AD84" i="11"/>
  <c r="T91" i="11"/>
  <c r="X81" i="11"/>
  <c r="R87" i="11"/>
  <c r="K80" i="11"/>
  <c r="AA82" i="11"/>
  <c r="H89" i="11"/>
  <c r="AJ80" i="11"/>
  <c r="L84" i="11"/>
  <c r="AH91" i="11"/>
  <c r="P81" i="11"/>
  <c r="AH86" i="11"/>
  <c r="N80" i="11"/>
  <c r="AH82" i="11"/>
  <c r="V89" i="11"/>
  <c r="N83" i="11"/>
  <c r="J85" i="11"/>
  <c r="F87" i="11"/>
  <c r="AF88" i="11"/>
  <c r="AJ90" i="11"/>
  <c r="X92" i="11"/>
  <c r="AB94" i="11"/>
  <c r="Z97" i="11"/>
  <c r="N104" i="11"/>
  <c r="U82" i="11"/>
  <c r="Q84" i="11"/>
  <c r="U86" i="11"/>
  <c r="Q88" i="11"/>
  <c r="O91" i="11"/>
  <c r="AH84" i="11"/>
  <c r="AA84" i="11"/>
  <c r="H94" i="11"/>
  <c r="AI91" i="11"/>
  <c r="S86" i="11"/>
  <c r="S98" i="11"/>
  <c r="N103" i="11"/>
  <c r="AG104" i="11"/>
  <c r="J95" i="11"/>
  <c r="U96" i="11"/>
  <c r="R90" i="11"/>
  <c r="J86" i="11"/>
  <c r="P80" i="11"/>
  <c r="Q83" i="11"/>
  <c r="X90" i="11"/>
  <c r="K81" i="11"/>
  <c r="X85" i="11"/>
  <c r="N92" i="11"/>
  <c r="AK81" i="11"/>
  <c r="L88" i="11"/>
  <c r="S80" i="11"/>
  <c r="U83" i="11"/>
  <c r="AH90" i="11"/>
  <c r="F81" i="11"/>
  <c r="F85" i="11"/>
  <c r="AB92" i="11"/>
  <c r="AC81" i="11"/>
  <c r="AB87" i="11"/>
  <c r="V80" i="11"/>
  <c r="L83" i="11"/>
  <c r="P90" i="11"/>
  <c r="V83" i="11"/>
  <c r="R85" i="11"/>
  <c r="N87" i="11"/>
  <c r="J89" i="11"/>
  <c r="F91" i="11"/>
  <c r="AF92" i="11"/>
  <c r="AJ94" i="11"/>
  <c r="V98" i="11"/>
  <c r="H105" i="11"/>
  <c r="AC82" i="11"/>
  <c r="Y84" i="11"/>
  <c r="AC86" i="11"/>
  <c r="Y88" i="11"/>
  <c r="Y92" i="11"/>
  <c r="AD86" i="11"/>
  <c r="W86" i="11"/>
  <c r="R97" i="11"/>
  <c r="AE93" i="11"/>
  <c r="O88" i="11"/>
  <c r="O100" i="11"/>
  <c r="J105" i="11"/>
  <c r="AK106" i="11"/>
  <c r="F97" i="11"/>
  <c r="Q98" i="11"/>
  <c r="W80" i="11"/>
  <c r="I81" i="11"/>
  <c r="AL92" i="11"/>
  <c r="X80" i="11"/>
  <c r="AH83" i="11"/>
  <c r="R91" i="11"/>
  <c r="V81" i="11"/>
  <c r="R86" i="11"/>
  <c r="H93" i="11"/>
  <c r="K82" i="11"/>
  <c r="F89" i="11"/>
  <c r="AA80" i="11"/>
  <c r="F84" i="11"/>
  <c r="AB91" i="11"/>
  <c r="N81" i="11"/>
  <c r="AL85" i="11"/>
  <c r="V93" i="11"/>
  <c r="P82" i="11"/>
  <c r="V88" i="11"/>
  <c r="AD80" i="11"/>
  <c r="AB83" i="11"/>
  <c r="J91" i="11"/>
  <c r="AD83" i="11"/>
  <c r="Z85" i="11"/>
  <c r="V87" i="11"/>
  <c r="R89" i="11"/>
  <c r="N91" i="11"/>
  <c r="J93" i="11"/>
  <c r="F95" i="11"/>
  <c r="L99" i="11"/>
  <c r="AH106" i="11"/>
  <c r="AK82" i="11"/>
  <c r="AG84" i="11"/>
  <c r="AK86" i="11"/>
  <c r="AG88" i="11"/>
  <c r="S93" i="11"/>
  <c r="Z88" i="11"/>
  <c r="AA88" i="11"/>
  <c r="AJ103" i="11"/>
  <c r="Z96" i="11"/>
  <c r="S90" i="11"/>
  <c r="S102" i="11"/>
  <c r="F107" i="11"/>
  <c r="AG108" i="11"/>
  <c r="AF98" i="11"/>
  <c r="U100" i="11"/>
  <c r="AI82" i="11"/>
  <c r="V84" i="11"/>
  <c r="G80" i="11"/>
  <c r="AF80" i="11"/>
  <c r="AB84" i="11"/>
  <c r="L92" i="11"/>
  <c r="AH81" i="11"/>
  <c r="L87" i="11"/>
  <c r="J80" i="11"/>
  <c r="Z82" i="11"/>
  <c r="AL89" i="11"/>
  <c r="AI80" i="11"/>
  <c r="AL84" i="11"/>
  <c r="V92" i="11"/>
  <c r="Z81" i="11"/>
  <c r="AF86" i="11"/>
  <c r="M80" i="11"/>
  <c r="AF82" i="11"/>
  <c r="P89" i="11"/>
  <c r="AL80" i="11"/>
  <c r="T84" i="11"/>
  <c r="AJ92" i="11"/>
  <c r="AL83" i="11"/>
  <c r="AH85" i="11"/>
  <c r="AD87" i="11"/>
  <c r="Z89" i="11"/>
  <c r="V91" i="11"/>
  <c r="R93" i="11"/>
  <c r="V95" i="11"/>
  <c r="F100" i="11"/>
  <c r="AJ107" i="11"/>
  <c r="G83" i="11"/>
  <c r="K85" i="11"/>
  <c r="G87" i="11"/>
  <c r="K89" i="11"/>
  <c r="AC94" i="11"/>
  <c r="V90" i="11"/>
  <c r="W90" i="11"/>
  <c r="AE81" i="11"/>
  <c r="N102" i="11"/>
  <c r="O92" i="11"/>
  <c r="O104" i="11"/>
  <c r="AF108" i="11"/>
  <c r="I99" i="11"/>
  <c r="AJ100" i="11"/>
  <c r="Q102" i="11"/>
  <c r="BA4" i="12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Y43" i="8" s="1"/>
  <c r="P74" i="11"/>
  <c r="K69" i="11"/>
  <c r="G26" i="8" s="1"/>
  <c r="I41" i="12"/>
  <c r="Y41" i="12"/>
  <c r="M41" i="12"/>
  <c r="AK62" i="12"/>
  <c r="AG51" i="8" s="1"/>
  <c r="AG67" i="12"/>
  <c r="AC56" i="8" s="1"/>
  <c r="AA56" i="12"/>
  <c r="AF74" i="11"/>
  <c r="K56" i="12"/>
  <c r="U61" i="12"/>
  <c r="Q50" i="8" s="1"/>
  <c r="AG71" i="12"/>
  <c r="AC60" i="8" s="1"/>
  <c r="X49" i="11"/>
  <c r="T6" i="8" s="1"/>
  <c r="AG49" i="12"/>
  <c r="AC38" i="8" s="1"/>
  <c r="Q41" i="12"/>
  <c r="X73" i="11"/>
  <c r="J74" i="12"/>
  <c r="F63" i="8" s="1"/>
  <c r="AG41" i="11"/>
  <c r="AA41" i="11"/>
  <c r="J41" i="11"/>
  <c r="N73" i="12"/>
  <c r="J62" i="8" s="1"/>
  <c r="AG59" i="12"/>
  <c r="AC48" i="8" s="1"/>
  <c r="AG69" i="12"/>
  <c r="AC58" i="8" s="1"/>
  <c r="AG57" i="12"/>
  <c r="AC46" i="8" s="1"/>
  <c r="AG73" i="12"/>
  <c r="AC62" i="8" s="1"/>
  <c r="AG65" i="12"/>
  <c r="AC54" i="8" s="1"/>
  <c r="AG61" i="12"/>
  <c r="AC50" i="8" s="1"/>
  <c r="AE57" i="12"/>
  <c r="AA46" i="8" s="1"/>
  <c r="Z73" i="12"/>
  <c r="V62" i="8" s="1"/>
  <c r="I66" i="12"/>
  <c r="E55" i="8" s="1"/>
  <c r="H59" i="12"/>
  <c r="D48" i="8" s="1"/>
  <c r="T59" i="12"/>
  <c r="P48" i="8" s="1"/>
  <c r="AB41" i="12"/>
  <c r="AG63" i="12"/>
  <c r="AC52" i="8" s="1"/>
  <c r="P64" i="11"/>
  <c r="L21" i="8" s="1"/>
  <c r="P63" i="11"/>
  <c r="L20" i="8" s="1"/>
  <c r="P53" i="11"/>
  <c r="L10" i="8" s="1"/>
  <c r="P57" i="1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AL41" i="12"/>
  <c r="V61" i="12"/>
  <c r="R50" i="8" s="1"/>
  <c r="AJ41" i="12"/>
  <c r="H71" i="11"/>
  <c r="D28" i="8" s="1"/>
  <c r="AF69" i="12"/>
  <c r="AB58" i="8" s="1"/>
  <c r="AB73" i="12"/>
  <c r="X62" i="8" s="1"/>
  <c r="U56" i="12"/>
  <c r="W68" i="12"/>
  <c r="S57" i="8" s="1"/>
  <c r="AJ67" i="12"/>
  <c r="AF56" i="8" s="1"/>
  <c r="J60" i="12"/>
  <c r="F49" i="8" s="1"/>
  <c r="L41" i="12"/>
  <c r="F62" i="12"/>
  <c r="B51" i="8" s="1"/>
  <c r="AI57" i="11"/>
  <c r="F41" i="11"/>
  <c r="O65" i="12"/>
  <c r="K54" i="8" s="1"/>
  <c r="Q73" i="12"/>
  <c r="M62" i="8" s="1"/>
  <c r="R59" i="12"/>
  <c r="N48" i="8" s="1"/>
  <c r="AD57" i="11"/>
  <c r="X64" i="11"/>
  <c r="T21" i="8" s="1"/>
  <c r="AC60" i="12"/>
  <c r="Y49" i="8" s="1"/>
  <c r="AJ71" i="12"/>
  <c r="AF60" i="8" s="1"/>
  <c r="V66" i="12"/>
  <c r="R55" i="8" s="1"/>
  <c r="X41" i="11"/>
  <c r="M51" i="11"/>
  <c r="I8" i="8" s="1"/>
  <c r="AJ57" i="12"/>
  <c r="AF46" i="8" s="1"/>
  <c r="T41" i="12"/>
  <c r="AD65" i="12"/>
  <c r="Z54" i="8" s="1"/>
  <c r="H71" i="12"/>
  <c r="D60" i="8" s="1"/>
  <c r="AJ65" i="12"/>
  <c r="AF54" i="8" s="1"/>
  <c r="V59" i="12"/>
  <c r="R48" i="8" s="1"/>
  <c r="AJ61" i="12"/>
  <c r="AF50" i="8" s="1"/>
  <c r="AJ69" i="12"/>
  <c r="AF58" i="8" s="1"/>
  <c r="L70" i="12"/>
  <c r="H59" i="8" s="1"/>
  <c r="F56" i="11"/>
  <c r="AJ73" i="12"/>
  <c r="AF62" i="8" s="1"/>
  <c r="V63" i="12"/>
  <c r="R52" i="8" s="1"/>
  <c r="AJ59" i="12"/>
  <c r="AF48" i="8" s="1"/>
  <c r="Q74" i="12"/>
  <c r="M63" i="8" s="1"/>
  <c r="X69" i="11"/>
  <c r="T26" i="8" s="1"/>
  <c r="AI41" i="12"/>
  <c r="F56" i="12"/>
  <c r="G59" i="12"/>
  <c r="C48" i="8" s="1"/>
  <c r="M56" i="12"/>
  <c r="AJ68" i="12"/>
  <c r="AF57" i="8" s="1"/>
  <c r="AA41" i="12"/>
  <c r="AJ63" i="12"/>
  <c r="AF52" i="8" s="1"/>
  <c r="AB61" i="12"/>
  <c r="X50" i="8" s="1"/>
  <c r="AL71" i="12"/>
  <c r="AH60" i="8" s="1"/>
  <c r="J57" i="12"/>
  <c r="F46" i="8" s="1"/>
  <c r="Q49" i="11"/>
  <c r="M6" i="8" s="1"/>
  <c r="P70" i="12"/>
  <c r="L59" i="8" s="1"/>
  <c r="R69" i="12"/>
  <c r="N58" i="8" s="1"/>
  <c r="L67" i="12"/>
  <c r="H56" i="8" s="1"/>
  <c r="M65" i="12"/>
  <c r="I54" i="8" s="1"/>
  <c r="G63" i="12"/>
  <c r="C52" i="8" s="1"/>
  <c r="N57" i="12"/>
  <c r="J46" i="8" s="1"/>
  <c r="L53" i="12"/>
  <c r="X69" i="12"/>
  <c r="T58" i="8" s="1"/>
  <c r="AE59" i="12"/>
  <c r="AA48" i="8" s="1"/>
  <c r="H48" i="12"/>
  <c r="D37" i="8" s="1"/>
  <c r="U73" i="12"/>
  <c r="Q62" i="8" s="1"/>
  <c r="I71" i="12"/>
  <c r="E60" i="8" s="1"/>
  <c r="V69" i="12"/>
  <c r="R58" i="8" s="1"/>
  <c r="U67" i="12"/>
  <c r="Q56" i="8" s="1"/>
  <c r="AK65" i="12"/>
  <c r="AG54" i="8" s="1"/>
  <c r="I63" i="12"/>
  <c r="E52" i="8" s="1"/>
  <c r="K61" i="12"/>
  <c r="G50" i="8" s="1"/>
  <c r="AB59" i="12"/>
  <c r="X48" i="8" s="1"/>
  <c r="AG72" i="12"/>
  <c r="AC61" i="8" s="1"/>
  <c r="AG58" i="12"/>
  <c r="AC47" i="8" s="1"/>
  <c r="W73" i="12"/>
  <c r="S62" i="8" s="1"/>
  <c r="K73" i="12"/>
  <c r="G62" i="8" s="1"/>
  <c r="AK73" i="12"/>
  <c r="AG62" i="8" s="1"/>
  <c r="N67" i="12"/>
  <c r="J56" i="8" s="1"/>
  <c r="AL65" i="12"/>
  <c r="AH54" i="8" s="1"/>
  <c r="AI61" i="12"/>
  <c r="AE50" i="8" s="1"/>
  <c r="J59" i="12"/>
  <c r="F48" i="8" s="1"/>
  <c r="P41" i="12"/>
  <c r="AD57" i="12"/>
  <c r="Z46" i="8" s="1"/>
  <c r="W72" i="12"/>
  <c r="S61" i="8" s="1"/>
  <c r="H58" i="12"/>
  <c r="D47" i="8" s="1"/>
  <c r="K41" i="12"/>
  <c r="AD63" i="11"/>
  <c r="Z20" i="8" s="1"/>
  <c r="R67" i="11"/>
  <c r="N24" i="8" s="1"/>
  <c r="O55" i="12"/>
  <c r="K44" i="8" s="1"/>
  <c r="L71" i="12"/>
  <c r="H60" i="8" s="1"/>
  <c r="U69" i="12"/>
  <c r="Q58" i="8" s="1"/>
  <c r="H67" i="12"/>
  <c r="D56" i="8" s="1"/>
  <c r="I65" i="12"/>
  <c r="E54" i="8" s="1"/>
  <c r="W65" i="12"/>
  <c r="S54" i="8" s="1"/>
  <c r="R63" i="12"/>
  <c r="N52" i="8" s="1"/>
  <c r="F61" i="12"/>
  <c r="B50" i="8" s="1"/>
  <c r="L64" i="12"/>
  <c r="H53" i="8" s="1"/>
  <c r="AB60" i="12"/>
  <c r="X49" i="8" s="1"/>
  <c r="G61" i="12"/>
  <c r="C50" i="8" s="1"/>
  <c r="R73" i="12"/>
  <c r="N62" i="8" s="1"/>
  <c r="AC69" i="12"/>
  <c r="Y58" i="8" s="1"/>
  <c r="I67" i="12"/>
  <c r="E56" i="8" s="1"/>
  <c r="AF65" i="12"/>
  <c r="AB54" i="8" s="1"/>
  <c r="L63" i="12"/>
  <c r="H52" i="8" s="1"/>
  <c r="AF61" i="12"/>
  <c r="AB50" i="8" s="1"/>
  <c r="AE41" i="12"/>
  <c r="N68" i="12"/>
  <c r="J57" i="8" s="1"/>
  <c r="T66" i="12"/>
  <c r="P55" i="8" s="1"/>
  <c r="AC47" i="12"/>
  <c r="Y36" i="8" s="1"/>
  <c r="R67" i="12"/>
  <c r="N56" i="8" s="1"/>
  <c r="AB62" i="11"/>
  <c r="X19" i="8" s="1"/>
  <c r="Y74" i="12"/>
  <c r="U63" i="8" s="1"/>
  <c r="V73" i="12"/>
  <c r="R62" i="8" s="1"/>
  <c r="Z71" i="12"/>
  <c r="V60" i="8" s="1"/>
  <c r="U71" i="12"/>
  <c r="Q60" i="8" s="1"/>
  <c r="K65" i="12"/>
  <c r="G54" i="8" s="1"/>
  <c r="R70" i="12"/>
  <c r="N59" i="8" s="1"/>
  <c r="G52" i="12"/>
  <c r="C41" i="8" s="1"/>
  <c r="K69" i="12"/>
  <c r="G58" i="8" s="1"/>
  <c r="I61" i="12"/>
  <c r="E50" i="8" s="1"/>
  <c r="AC67" i="11"/>
  <c r="Y24" i="8" s="1"/>
  <c r="J47" i="11"/>
  <c r="K59" i="12"/>
  <c r="G48" i="8" s="1"/>
  <c r="R71" i="12"/>
  <c r="N60" i="8" s="1"/>
  <c r="Y69" i="12"/>
  <c r="U58" i="8" s="1"/>
  <c r="J67" i="12"/>
  <c r="F56" i="8" s="1"/>
  <c r="AI65" i="12"/>
  <c r="AE54" i="8" s="1"/>
  <c r="U63" i="12"/>
  <c r="Q52" i="8" s="1"/>
  <c r="U59" i="12"/>
  <c r="Q48" i="8" s="1"/>
  <c r="L61" i="12"/>
  <c r="H50" i="8" s="1"/>
  <c r="AA59" i="12"/>
  <c r="W48" i="8" s="1"/>
  <c r="AK74" i="12"/>
  <c r="AG63" i="8" s="1"/>
  <c r="AH58" i="12"/>
  <c r="AD47" i="8" s="1"/>
  <c r="AH41" i="12"/>
  <c r="AH53" i="12"/>
  <c r="AH51" i="12"/>
  <c r="AD40" i="8" s="1"/>
  <c r="AH55" i="12"/>
  <c r="AD44" i="8" s="1"/>
  <c r="AH52" i="12"/>
  <c r="AD41" i="8" s="1"/>
  <c r="AH62" i="12"/>
  <c r="AD51" i="8" s="1"/>
  <c r="AH47" i="12"/>
  <c r="AD36" i="8" s="1"/>
  <c r="AH49" i="12"/>
  <c r="AD38" i="8" s="1"/>
  <c r="AH48" i="12"/>
  <c r="AD37" i="8" s="1"/>
  <c r="AH66" i="12"/>
  <c r="AD55" i="8" s="1"/>
  <c r="AH70" i="12"/>
  <c r="AD59" i="8" s="1"/>
  <c r="AH46" i="12"/>
  <c r="AD35" i="8" s="1"/>
  <c r="AH54" i="12"/>
  <c r="AD43" i="8" s="1"/>
  <c r="AD73" i="12"/>
  <c r="Z62" i="8" s="1"/>
  <c r="X73" i="12"/>
  <c r="T62" i="8" s="1"/>
  <c r="AH71" i="12"/>
  <c r="AD60" i="8" s="1"/>
  <c r="AD69" i="12"/>
  <c r="Z58" i="8" s="1"/>
  <c r="AD61" i="12"/>
  <c r="Z50" i="8" s="1"/>
  <c r="AH57" i="12"/>
  <c r="AD46" i="8" s="1"/>
  <c r="X59" i="12"/>
  <c r="T48" i="8" s="1"/>
  <c r="S47" i="12"/>
  <c r="O36" i="8" s="1"/>
  <c r="S51" i="12"/>
  <c r="O40" i="8" s="1"/>
  <c r="S62" i="12"/>
  <c r="O51" i="8" s="1"/>
  <c r="S49" i="12"/>
  <c r="O38" i="8" s="1"/>
  <c r="S48" i="12"/>
  <c r="O37" i="8" s="1"/>
  <c r="S64" i="12"/>
  <c r="O53" i="8" s="1"/>
  <c r="S52" i="12"/>
  <c r="O41" i="8" s="1"/>
  <c r="S55" i="12"/>
  <c r="O44" i="8" s="1"/>
  <c r="S46" i="12"/>
  <c r="O35" i="8" s="1"/>
  <c r="S60" i="12"/>
  <c r="O49" i="8" s="1"/>
  <c r="S50" i="12"/>
  <c r="O39" i="8" s="1"/>
  <c r="S58" i="12"/>
  <c r="O47" i="8" s="1"/>
  <c r="S72" i="12"/>
  <c r="O61" i="8" s="1"/>
  <c r="O74" i="12"/>
  <c r="K63" i="8" s="1"/>
  <c r="AE64" i="12"/>
  <c r="AA53" i="8" s="1"/>
  <c r="AA63" i="11"/>
  <c r="W20" i="8" s="1"/>
  <c r="V64" i="11"/>
  <c r="R21" i="8" s="1"/>
  <c r="X59" i="11"/>
  <c r="T16" i="8" s="1"/>
  <c r="X54" i="11"/>
  <c r="T11" i="8" s="1"/>
  <c r="G57" i="12"/>
  <c r="C46" i="8" s="1"/>
  <c r="AI59" i="12"/>
  <c r="AE48" i="8" s="1"/>
  <c r="Z50" i="12"/>
  <c r="V39" i="8" s="1"/>
  <c r="Z58" i="12"/>
  <c r="V47" i="8" s="1"/>
  <c r="Z41" i="12"/>
  <c r="Z53" i="12"/>
  <c r="Z68" i="12"/>
  <c r="V57" i="8" s="1"/>
  <c r="Z72" i="12"/>
  <c r="V61" i="8" s="1"/>
  <c r="Z51" i="12"/>
  <c r="V40" i="8" s="1"/>
  <c r="Z55" i="12"/>
  <c r="V44" i="8" s="1"/>
  <c r="Z74" i="12"/>
  <c r="V63" i="8" s="1"/>
  <c r="Z62" i="12"/>
  <c r="V51" i="8" s="1"/>
  <c r="Z47" i="12"/>
  <c r="V36" i="8" s="1"/>
  <c r="Z49" i="12"/>
  <c r="V38" i="8" s="1"/>
  <c r="Z48" i="12"/>
  <c r="V37" i="8" s="1"/>
  <c r="Z52" i="12"/>
  <c r="V41" i="8" s="1"/>
  <c r="Z64" i="12"/>
  <c r="V53" i="8" s="1"/>
  <c r="Z66" i="12"/>
  <c r="V55" i="8" s="1"/>
  <c r="Z70" i="12"/>
  <c r="V59" i="8" s="1"/>
  <c r="AF52" i="12"/>
  <c r="AB41" i="8" s="1"/>
  <c r="AF56" i="12"/>
  <c r="AF47" i="12"/>
  <c r="AB36" i="8" s="1"/>
  <c r="AF51" i="12"/>
  <c r="AB40" i="8" s="1"/>
  <c r="AF55" i="12"/>
  <c r="AB44" i="8" s="1"/>
  <c r="AF54" i="12"/>
  <c r="AB43" i="8" s="1"/>
  <c r="AF60" i="12"/>
  <c r="AB49" i="8" s="1"/>
  <c r="AF70" i="12"/>
  <c r="AB59" i="8" s="1"/>
  <c r="AF74" i="12"/>
  <c r="AB63" i="8" s="1"/>
  <c r="AF49" i="12"/>
  <c r="AB38" i="8" s="1"/>
  <c r="AF53" i="12"/>
  <c r="AF48" i="12"/>
  <c r="AB37" i="8" s="1"/>
  <c r="AF58" i="12"/>
  <c r="AB47" i="8" s="1"/>
  <c r="AF66" i="12"/>
  <c r="AB55" i="8" s="1"/>
  <c r="AF68" i="12"/>
  <c r="AB57" i="8" s="1"/>
  <c r="AF46" i="12"/>
  <c r="AB35" i="8" s="1"/>
  <c r="AF62" i="12"/>
  <c r="AB51" i="8" s="1"/>
  <c r="AF72" i="12"/>
  <c r="AB61" i="8" s="1"/>
  <c r="O73" i="12"/>
  <c r="K62" i="8" s="1"/>
  <c r="AL73" i="12"/>
  <c r="AH62" i="8" s="1"/>
  <c r="AF73" i="12"/>
  <c r="AB62" i="8" s="1"/>
  <c r="K71" i="12"/>
  <c r="G60" i="8" s="1"/>
  <c r="S71" i="12"/>
  <c r="O60" i="8" s="1"/>
  <c r="P71" i="12"/>
  <c r="L60" i="8" s="1"/>
  <c r="T71" i="12"/>
  <c r="P60" i="8" s="1"/>
  <c r="G69" i="12"/>
  <c r="C58" i="8" s="1"/>
  <c r="O69" i="12"/>
  <c r="K58" i="8" s="1"/>
  <c r="AL69" i="12"/>
  <c r="AH58" i="8" s="1"/>
  <c r="AK69" i="12"/>
  <c r="AG58" i="8" s="1"/>
  <c r="V67" i="12"/>
  <c r="R56" i="8" s="1"/>
  <c r="P67" i="12"/>
  <c r="L56" i="8" s="1"/>
  <c r="T67" i="12"/>
  <c r="P56" i="8" s="1"/>
  <c r="J65" i="12"/>
  <c r="F54" i="8" s="1"/>
  <c r="L65" i="12"/>
  <c r="H54" i="8" s="1"/>
  <c r="F65" i="12"/>
  <c r="B54" i="8" s="1"/>
  <c r="AE65" i="12"/>
  <c r="AA54" i="8" s="1"/>
  <c r="AC63" i="12"/>
  <c r="Y52" i="8" s="1"/>
  <c r="O63" i="12"/>
  <c r="K52" i="8" s="1"/>
  <c r="Q63" i="12"/>
  <c r="M52" i="8" s="1"/>
  <c r="T63" i="12"/>
  <c r="P52" i="8" s="1"/>
  <c r="J61" i="12"/>
  <c r="F50" i="8" s="1"/>
  <c r="M61" i="12"/>
  <c r="I50" i="8" s="1"/>
  <c r="AL61" i="12"/>
  <c r="AH50" i="8" s="1"/>
  <c r="AC59" i="12"/>
  <c r="Y48" i="8" s="1"/>
  <c r="O59" i="12"/>
  <c r="K48" i="8" s="1"/>
  <c r="I57" i="12"/>
  <c r="E46" i="8" s="1"/>
  <c r="K57" i="12"/>
  <c r="G46" i="8" s="1"/>
  <c r="V57" i="12"/>
  <c r="R46" i="8" s="1"/>
  <c r="Z60" i="12"/>
  <c r="V49" i="8" s="1"/>
  <c r="U60" i="12"/>
  <c r="Q49" i="8" s="1"/>
  <c r="H41" i="12"/>
  <c r="O57" i="12"/>
  <c r="K46" i="8" s="1"/>
  <c r="W41" i="12"/>
  <c r="M60" i="12"/>
  <c r="I49" i="8" s="1"/>
  <c r="K54" i="12"/>
  <c r="G43" i="8" s="1"/>
  <c r="K55" i="12"/>
  <c r="G44" i="8" s="1"/>
  <c r="K47" i="12"/>
  <c r="G36" i="8" s="1"/>
  <c r="K62" i="12"/>
  <c r="G51" i="8" s="1"/>
  <c r="K49" i="12"/>
  <c r="G38" i="8" s="1"/>
  <c r="K53" i="12"/>
  <c r="K48" i="12"/>
  <c r="G37" i="8" s="1"/>
  <c r="K64" i="12"/>
  <c r="G53" i="8" s="1"/>
  <c r="K68" i="12"/>
  <c r="G57" i="8" s="1"/>
  <c r="K46" i="12"/>
  <c r="G35" i="8" s="1"/>
  <c r="K60" i="12"/>
  <c r="G49" i="8" s="1"/>
  <c r="K66" i="12"/>
  <c r="G55" i="8" s="1"/>
  <c r="K50" i="12"/>
  <c r="G39" i="8" s="1"/>
  <c r="K52" i="12"/>
  <c r="G41" i="8" s="1"/>
  <c r="K51" i="12"/>
  <c r="G40" i="8" s="1"/>
  <c r="H74" i="12"/>
  <c r="D63" i="8" s="1"/>
  <c r="AG74" i="12"/>
  <c r="AC63" i="8" s="1"/>
  <c r="AE74" i="12"/>
  <c r="AA63" i="8" s="1"/>
  <c r="T72" i="12"/>
  <c r="P61" i="8" s="1"/>
  <c r="J72" i="12"/>
  <c r="F61" i="8" s="1"/>
  <c r="AE72" i="12"/>
  <c r="AA61" i="8" s="1"/>
  <c r="AC70" i="12"/>
  <c r="Y59" i="8" s="1"/>
  <c r="K70" i="12"/>
  <c r="G59" i="8" s="1"/>
  <c r="AK68" i="12"/>
  <c r="AG57" i="8" s="1"/>
  <c r="AE68" i="12"/>
  <c r="AA57" i="8" s="1"/>
  <c r="G66" i="12"/>
  <c r="C55" i="8" s="1"/>
  <c r="H64" i="12"/>
  <c r="D53" i="8" s="1"/>
  <c r="W60" i="12"/>
  <c r="S49" i="8" s="1"/>
  <c r="AF59" i="12"/>
  <c r="AB48" i="8" s="1"/>
  <c r="P53" i="12"/>
  <c r="F49" i="12"/>
  <c r="B38" i="8" s="1"/>
  <c r="O47" i="12"/>
  <c r="K36" i="8" s="1"/>
  <c r="AI62" i="12"/>
  <c r="AE51" i="8" s="1"/>
  <c r="AE52" i="12"/>
  <c r="AA41" i="8" s="1"/>
  <c r="T48" i="12"/>
  <c r="P37" i="8" s="1"/>
  <c r="N58" i="11"/>
  <c r="J15" i="8" s="1"/>
  <c r="AK67" i="11"/>
  <c r="AG24" i="8" s="1"/>
  <c r="AL41" i="11"/>
  <c r="X70" i="11"/>
  <c r="T27" i="8" s="1"/>
  <c r="X62" i="11"/>
  <c r="T19" i="8" s="1"/>
  <c r="AA63" i="12"/>
  <c r="W52" i="8" s="1"/>
  <c r="Z56" i="12"/>
  <c r="K63" i="12"/>
  <c r="G52" i="8" s="1"/>
  <c r="W57" i="12"/>
  <c r="S46" i="8" s="1"/>
  <c r="R46" i="12"/>
  <c r="N35" i="8" s="1"/>
  <c r="R54" i="12"/>
  <c r="N43" i="8" s="1"/>
  <c r="R50" i="12"/>
  <c r="N39" i="8" s="1"/>
  <c r="R58" i="12"/>
  <c r="N47" i="8" s="1"/>
  <c r="R41" i="12"/>
  <c r="R53" i="12"/>
  <c r="R68" i="12"/>
  <c r="N57" i="8" s="1"/>
  <c r="R72" i="12"/>
  <c r="N61" i="8" s="1"/>
  <c r="R51" i="12"/>
  <c r="N40" i="8" s="1"/>
  <c r="R55" i="12"/>
  <c r="N44" i="8" s="1"/>
  <c r="R62" i="12"/>
  <c r="N51" i="8" s="1"/>
  <c r="R47" i="12"/>
  <c r="N36" i="8" s="1"/>
  <c r="R49" i="12"/>
  <c r="N38" i="8" s="1"/>
  <c r="R48" i="12"/>
  <c r="N37" i="8" s="1"/>
  <c r="R52" i="12"/>
  <c r="N41" i="8" s="1"/>
  <c r="R64" i="12"/>
  <c r="N53" i="8" s="1"/>
  <c r="X50" i="12"/>
  <c r="T39" i="8" s="1"/>
  <c r="X52" i="12"/>
  <c r="T41" i="8" s="1"/>
  <c r="X56" i="12"/>
  <c r="X47" i="12"/>
  <c r="T36" i="8" s="1"/>
  <c r="X55" i="12"/>
  <c r="T44" i="8" s="1"/>
  <c r="X68" i="12"/>
  <c r="T57" i="8" s="1"/>
  <c r="X70" i="12"/>
  <c r="T59" i="8" s="1"/>
  <c r="X74" i="12"/>
  <c r="T63" i="8" s="1"/>
  <c r="X54" i="12"/>
  <c r="T43" i="8" s="1"/>
  <c r="X51" i="12"/>
  <c r="T40" i="8" s="1"/>
  <c r="X53" i="12"/>
  <c r="X60" i="12"/>
  <c r="T49" i="8" s="1"/>
  <c r="X49" i="12"/>
  <c r="T38" i="8" s="1"/>
  <c r="X48" i="12"/>
  <c r="T37" i="8" s="1"/>
  <c r="X58" i="12"/>
  <c r="T47" i="8" s="1"/>
  <c r="X64" i="12"/>
  <c r="T53" i="8" s="1"/>
  <c r="X66" i="12"/>
  <c r="T55" i="8" s="1"/>
  <c r="X72" i="12"/>
  <c r="T61" i="8" s="1"/>
  <c r="AE73" i="12"/>
  <c r="AA62" i="8" s="1"/>
  <c r="G73" i="12"/>
  <c r="C62" i="8" s="1"/>
  <c r="M73" i="12"/>
  <c r="I62" i="8" s="1"/>
  <c r="I73" i="12"/>
  <c r="E62" i="8" s="1"/>
  <c r="AA71" i="12"/>
  <c r="W60" i="8" s="1"/>
  <c r="AI71" i="12"/>
  <c r="AE60" i="8" s="1"/>
  <c r="X71" i="12"/>
  <c r="T60" i="8" s="1"/>
  <c r="AB71" i="12"/>
  <c r="X60" i="8" s="1"/>
  <c r="W69" i="12"/>
  <c r="S58" i="8" s="1"/>
  <c r="AE69" i="12"/>
  <c r="AA58" i="8" s="1"/>
  <c r="L69" i="12"/>
  <c r="H58" i="8" s="1"/>
  <c r="H69" i="12"/>
  <c r="D58" i="8" s="1"/>
  <c r="AD67" i="12"/>
  <c r="Z56" i="8" s="1"/>
  <c r="X67" i="12"/>
  <c r="T56" i="8" s="1"/>
  <c r="Z67" i="12"/>
  <c r="V56" i="8" s="1"/>
  <c r="AB67" i="12"/>
  <c r="X56" i="8" s="1"/>
  <c r="R65" i="12"/>
  <c r="N54" i="8" s="1"/>
  <c r="T65" i="12"/>
  <c r="P54" i="8" s="1"/>
  <c r="N65" i="12"/>
  <c r="J54" i="8" s="1"/>
  <c r="H65" i="12"/>
  <c r="D54" i="8" s="1"/>
  <c r="AK63" i="12"/>
  <c r="AG52" i="8" s="1"/>
  <c r="W63" i="12"/>
  <c r="S52" i="8" s="1"/>
  <c r="Y63" i="12"/>
  <c r="U52" i="8" s="1"/>
  <c r="AB63" i="12"/>
  <c r="X52" i="8" s="1"/>
  <c r="R61" i="12"/>
  <c r="N50" i="8" s="1"/>
  <c r="H61" i="12"/>
  <c r="D50" i="8" s="1"/>
  <c r="AK59" i="12"/>
  <c r="AG48" i="8" s="1"/>
  <c r="W59" i="12"/>
  <c r="S48" i="8" s="1"/>
  <c r="Z59" i="12"/>
  <c r="V48" i="8" s="1"/>
  <c r="Q57" i="12"/>
  <c r="M46" i="8" s="1"/>
  <c r="S57" i="12"/>
  <c r="O46" i="8" s="1"/>
  <c r="AK56" i="12"/>
  <c r="AH56" i="12"/>
  <c r="O41" i="12"/>
  <c r="S59" i="12"/>
  <c r="O48" i="8" s="1"/>
  <c r="AL52" i="12"/>
  <c r="AH41" i="8" s="1"/>
  <c r="I74" i="12"/>
  <c r="E63" i="8" s="1"/>
  <c r="T74" i="12"/>
  <c r="P63" i="8" s="1"/>
  <c r="AK72" i="12"/>
  <c r="AG61" i="8" s="1"/>
  <c r="AH72" i="12"/>
  <c r="AD61" i="8" s="1"/>
  <c r="S70" i="12"/>
  <c r="O59" i="8" s="1"/>
  <c r="Y68" i="12"/>
  <c r="U57" i="8" s="1"/>
  <c r="H66" i="12"/>
  <c r="D55" i="8" s="1"/>
  <c r="AF64" i="12"/>
  <c r="AB53" i="8" s="1"/>
  <c r="Y60" i="12"/>
  <c r="U49" i="8" s="1"/>
  <c r="AG55" i="12"/>
  <c r="AC44" i="8" s="1"/>
  <c r="F53" i="12"/>
  <c r="AE49" i="12"/>
  <c r="AA38" i="8" s="1"/>
  <c r="Q47" i="12"/>
  <c r="M36" i="8" s="1"/>
  <c r="AE54" i="12"/>
  <c r="AA43" i="8" s="1"/>
  <c r="L52" i="12"/>
  <c r="H41" i="8" s="1"/>
  <c r="N48" i="12"/>
  <c r="J37" i="8" s="1"/>
  <c r="X63" i="11"/>
  <c r="T20" i="8" s="1"/>
  <c r="X52" i="11"/>
  <c r="T9" i="8" s="1"/>
  <c r="AE61" i="12"/>
  <c r="AA50" i="8" s="1"/>
  <c r="W61" i="12"/>
  <c r="S50" i="8" s="1"/>
  <c r="S56" i="12"/>
  <c r="J46" i="12"/>
  <c r="F35" i="8" s="1"/>
  <c r="J52" i="12"/>
  <c r="F41" i="8" s="1"/>
  <c r="J54" i="12"/>
  <c r="F43" i="8" s="1"/>
  <c r="J51" i="12"/>
  <c r="F40" i="8" s="1"/>
  <c r="J50" i="12"/>
  <c r="F39" i="8" s="1"/>
  <c r="J58" i="12"/>
  <c r="F47" i="8" s="1"/>
  <c r="J41" i="12"/>
  <c r="J53" i="12"/>
  <c r="J55" i="12"/>
  <c r="F44" i="8" s="1"/>
  <c r="J62" i="12"/>
  <c r="F51" i="8" s="1"/>
  <c r="J47" i="12"/>
  <c r="F36" i="8" s="1"/>
  <c r="J49" i="12"/>
  <c r="F38" i="8" s="1"/>
  <c r="J68" i="12"/>
  <c r="F57" i="8" s="1"/>
  <c r="P46" i="12"/>
  <c r="L35" i="8" s="1"/>
  <c r="P62" i="12"/>
  <c r="L51" i="8" s="1"/>
  <c r="P50" i="12"/>
  <c r="L39" i="8" s="1"/>
  <c r="P52" i="12"/>
  <c r="L41" i="8" s="1"/>
  <c r="P56" i="12"/>
  <c r="P47" i="12"/>
  <c r="L36" i="8" s="1"/>
  <c r="P54" i="12"/>
  <c r="L43" i="8" s="1"/>
  <c r="P51" i="12"/>
  <c r="L40" i="8" s="1"/>
  <c r="P60" i="12"/>
  <c r="L49" i="8" s="1"/>
  <c r="P49" i="12"/>
  <c r="L38" i="8" s="1"/>
  <c r="P48" i="12"/>
  <c r="L37" i="8" s="1"/>
  <c r="P58" i="12"/>
  <c r="L47" i="8" s="1"/>
  <c r="P55" i="12"/>
  <c r="L44" i="8" s="1"/>
  <c r="P64" i="12"/>
  <c r="L53" i="8" s="1"/>
  <c r="P68" i="12"/>
  <c r="L57" i="8" s="1"/>
  <c r="N71" i="12"/>
  <c r="J60" i="8" s="1"/>
  <c r="F71" i="12"/>
  <c r="B60" i="8" s="1"/>
  <c r="AF71" i="12"/>
  <c r="AB60" i="8" s="1"/>
  <c r="J69" i="12"/>
  <c r="F58" i="8" s="1"/>
  <c r="T69" i="12"/>
  <c r="P58" i="8" s="1"/>
  <c r="P69" i="12"/>
  <c r="L58" i="8" s="1"/>
  <c r="M67" i="12"/>
  <c r="I56" i="8" s="1"/>
  <c r="AL67" i="12"/>
  <c r="AH56" i="8" s="1"/>
  <c r="AF67" i="12"/>
  <c r="AB56" i="8" s="1"/>
  <c r="AH67" i="12"/>
  <c r="AD56" i="8" s="1"/>
  <c r="Z65" i="12"/>
  <c r="V54" i="8" s="1"/>
  <c r="AB65" i="12"/>
  <c r="X54" i="8" s="1"/>
  <c r="V65" i="12"/>
  <c r="R54" i="8" s="1"/>
  <c r="P65" i="12"/>
  <c r="L54" i="8" s="1"/>
  <c r="F63" i="12"/>
  <c r="B52" i="8" s="1"/>
  <c r="AE63" i="12"/>
  <c r="AA52" i="8" s="1"/>
  <c r="Z61" i="12"/>
  <c r="V50" i="8" s="1"/>
  <c r="AC61" i="12"/>
  <c r="Y50" i="8" s="1"/>
  <c r="P61" i="12"/>
  <c r="L50" i="8" s="1"/>
  <c r="F59" i="12"/>
  <c r="B48" i="8" s="1"/>
  <c r="AH59" i="12"/>
  <c r="AD48" i="8" s="1"/>
  <c r="Y57" i="12"/>
  <c r="U46" i="8" s="1"/>
  <c r="AA57" i="12"/>
  <c r="W46" i="8" s="1"/>
  <c r="AL57" i="12"/>
  <c r="AH46" i="8" s="1"/>
  <c r="R56" i="12"/>
  <c r="T57" i="12"/>
  <c r="P46" i="8" s="1"/>
  <c r="G41" i="12"/>
  <c r="M57" i="12"/>
  <c r="I46" i="8" s="1"/>
  <c r="AD58" i="12"/>
  <c r="Z47" i="8" s="1"/>
  <c r="AD41" i="12"/>
  <c r="AD54" i="12"/>
  <c r="Z43" i="8" s="1"/>
  <c r="AD62" i="12"/>
  <c r="Z51" i="8" s="1"/>
  <c r="AD52" i="12"/>
  <c r="Z41" i="8" s="1"/>
  <c r="AD47" i="12"/>
  <c r="Z36" i="8" s="1"/>
  <c r="AD55" i="12"/>
  <c r="Z44" i="8" s="1"/>
  <c r="AD60" i="12"/>
  <c r="Z49" i="8" s="1"/>
  <c r="AD74" i="12"/>
  <c r="Z63" i="8" s="1"/>
  <c r="AD68" i="12"/>
  <c r="Z57" i="8" s="1"/>
  <c r="AD49" i="12"/>
  <c r="Z38" i="8" s="1"/>
  <c r="AD53" i="12"/>
  <c r="AD56" i="12"/>
  <c r="AD64" i="12"/>
  <c r="Z53" i="8" s="1"/>
  <c r="AD48" i="12"/>
  <c r="Z37" i="8" s="1"/>
  <c r="AD51" i="12"/>
  <c r="Z40" i="8" s="1"/>
  <c r="AD46" i="12"/>
  <c r="Z35" i="8" s="1"/>
  <c r="AD66" i="12"/>
  <c r="Z55" i="8" s="1"/>
  <c r="AD70" i="12"/>
  <c r="Z59" i="8" s="1"/>
  <c r="AJ58" i="12"/>
  <c r="AF47" i="8" s="1"/>
  <c r="AJ56" i="12"/>
  <c r="AJ54" i="12"/>
  <c r="AF43" i="8" s="1"/>
  <c r="AJ47" i="12"/>
  <c r="AF36" i="8" s="1"/>
  <c r="AJ72" i="12"/>
  <c r="AF61" i="8" s="1"/>
  <c r="AJ62" i="12"/>
  <c r="AF51" i="8" s="1"/>
  <c r="AJ49" i="12"/>
  <c r="AF38" i="8" s="1"/>
  <c r="AJ52" i="12"/>
  <c r="AF41" i="8" s="1"/>
  <c r="AJ64" i="12"/>
  <c r="AF53" i="8" s="1"/>
  <c r="AJ48" i="12"/>
  <c r="AF37" i="8" s="1"/>
  <c r="AJ53" i="12"/>
  <c r="AJ55" i="12"/>
  <c r="AF44" i="8" s="1"/>
  <c r="AJ46" i="12"/>
  <c r="AF35" i="8" s="1"/>
  <c r="AJ51" i="12"/>
  <c r="AF40" i="8" s="1"/>
  <c r="AJ60" i="12"/>
  <c r="AF49" i="8" s="1"/>
  <c r="AJ66" i="12"/>
  <c r="AF55" i="8" s="1"/>
  <c r="AJ70" i="12"/>
  <c r="AF59" i="8" s="1"/>
  <c r="AJ74" i="12"/>
  <c r="AF63" i="8" s="1"/>
  <c r="F74" i="12"/>
  <c r="B63" i="8" s="1"/>
  <c r="R74" i="12"/>
  <c r="N63" i="8" s="1"/>
  <c r="H72" i="12"/>
  <c r="D61" i="8" s="1"/>
  <c r="K72" i="12"/>
  <c r="G61" i="8" s="1"/>
  <c r="AG70" i="12"/>
  <c r="AC59" i="8" s="1"/>
  <c r="N70" i="12"/>
  <c r="J59" i="8" s="1"/>
  <c r="M68" i="12"/>
  <c r="I57" i="8" s="1"/>
  <c r="S66" i="12"/>
  <c r="O55" i="8" s="1"/>
  <c r="P66" i="12"/>
  <c r="L55" i="8" s="1"/>
  <c r="AG64" i="12"/>
  <c r="AC53" i="8" s="1"/>
  <c r="AC55" i="12"/>
  <c r="Y44" i="8" s="1"/>
  <c r="X62" i="12"/>
  <c r="T51" i="8" s="1"/>
  <c r="S54" i="12"/>
  <c r="O43" i="8" s="1"/>
  <c r="X46" i="12"/>
  <c r="T35" i="8" s="1"/>
  <c r="O74" i="11"/>
  <c r="X68" i="11"/>
  <c r="T25" i="8" s="1"/>
  <c r="AA66" i="11"/>
  <c r="W23" i="8" s="1"/>
  <c r="S63" i="12"/>
  <c r="O52" i="8" s="1"/>
  <c r="AH60" i="12"/>
  <c r="AD49" i="8" s="1"/>
  <c r="Y52" i="12"/>
  <c r="U41" i="8" s="1"/>
  <c r="Y58" i="12"/>
  <c r="U47" i="8" s="1"/>
  <c r="Y49" i="12"/>
  <c r="U38" i="8" s="1"/>
  <c r="Y48" i="12"/>
  <c r="U37" i="8" s="1"/>
  <c r="Y64" i="12"/>
  <c r="U53" i="8" s="1"/>
  <c r="Y62" i="12"/>
  <c r="U51" i="8" s="1"/>
  <c r="Y66" i="12"/>
  <c r="U55" i="8" s="1"/>
  <c r="Y46" i="12"/>
  <c r="U35" i="8" s="1"/>
  <c r="Y54" i="12"/>
  <c r="U43" i="8" s="1"/>
  <c r="Y50" i="12"/>
  <c r="U39" i="8" s="1"/>
  <c r="Y53" i="12"/>
  <c r="Y55" i="12"/>
  <c r="U44" i="8" s="1"/>
  <c r="Y56" i="12"/>
  <c r="Y47" i="12"/>
  <c r="U36" i="8" s="1"/>
  <c r="AE48" i="12"/>
  <c r="AA37" i="8" s="1"/>
  <c r="AE58" i="12"/>
  <c r="AA47" i="8" s="1"/>
  <c r="AE46" i="12"/>
  <c r="AA35" i="8" s="1"/>
  <c r="AE66" i="12"/>
  <c r="AA55" i="8" s="1"/>
  <c r="AE70" i="12"/>
  <c r="AA59" i="8" s="1"/>
  <c r="AE50" i="12"/>
  <c r="AA39" i="8" s="1"/>
  <c r="AE62" i="12"/>
  <c r="AA51" i="8" s="1"/>
  <c r="AE51" i="12"/>
  <c r="AA40" i="8" s="1"/>
  <c r="AE56" i="12"/>
  <c r="AE47" i="12"/>
  <c r="AA36" i="8" s="1"/>
  <c r="AE55" i="12"/>
  <c r="AA44" i="8" s="1"/>
  <c r="AE53" i="12"/>
  <c r="AE60" i="12"/>
  <c r="AA49" i="8" s="1"/>
  <c r="AK64" i="12"/>
  <c r="AG53" i="8" s="1"/>
  <c r="AK48" i="12"/>
  <c r="AG37" i="8" s="1"/>
  <c r="AK46" i="12"/>
  <c r="AG35" i="8" s="1"/>
  <c r="AK51" i="12"/>
  <c r="AG40" i="8" s="1"/>
  <c r="AK53" i="12"/>
  <c r="AK66" i="12"/>
  <c r="AG55" i="8" s="1"/>
  <c r="AK50" i="12"/>
  <c r="AG39" i="8" s="1"/>
  <c r="AK52" i="12"/>
  <c r="AG41" i="8" s="1"/>
  <c r="AK58" i="12"/>
  <c r="AG47" i="8" s="1"/>
  <c r="AK41" i="12"/>
  <c r="AK54" i="12"/>
  <c r="AG43" i="8" s="1"/>
  <c r="AK47" i="12"/>
  <c r="AG36" i="8" s="1"/>
  <c r="AK55" i="12"/>
  <c r="AG44" i="8" s="1"/>
  <c r="H53" i="12"/>
  <c r="H46" i="12"/>
  <c r="D35" i="8" s="1"/>
  <c r="H62" i="12"/>
  <c r="D51" i="8" s="1"/>
  <c r="H50" i="12"/>
  <c r="D39" i="8" s="1"/>
  <c r="H52" i="12"/>
  <c r="D41" i="8" s="1"/>
  <c r="H56" i="12"/>
  <c r="H47" i="12"/>
  <c r="D36" i="8" s="1"/>
  <c r="H55" i="12"/>
  <c r="D44" i="8" s="1"/>
  <c r="H54" i="12"/>
  <c r="D43" i="8" s="1"/>
  <c r="H51" i="12"/>
  <c r="D40" i="8" s="1"/>
  <c r="H60" i="12"/>
  <c r="D49" i="8" s="1"/>
  <c r="H49" i="12"/>
  <c r="D38" i="8" s="1"/>
  <c r="AH73" i="12"/>
  <c r="AD62" i="8" s="1"/>
  <c r="J73" i="12"/>
  <c r="F62" i="8" s="1"/>
  <c r="AC73" i="12"/>
  <c r="Y62" i="8" s="1"/>
  <c r="Y73" i="12"/>
  <c r="U62" i="8" s="1"/>
  <c r="AD71" i="12"/>
  <c r="Z60" i="8" s="1"/>
  <c r="V71" i="12"/>
  <c r="R60" i="8" s="1"/>
  <c r="M71" i="12"/>
  <c r="I60" i="8" s="1"/>
  <c r="Z69" i="12"/>
  <c r="V58" i="8" s="1"/>
  <c r="AH69" i="12"/>
  <c r="AD58" i="8" s="1"/>
  <c r="AB69" i="12"/>
  <c r="X58" i="8" s="1"/>
  <c r="G67" i="12"/>
  <c r="C56" i="8" s="1"/>
  <c r="K67" i="12"/>
  <c r="G56" i="8" s="1"/>
  <c r="AH65" i="12"/>
  <c r="AD54" i="8" s="1"/>
  <c r="X65" i="12"/>
  <c r="T54" i="8" s="1"/>
  <c r="N63" i="12"/>
  <c r="J52" i="8" s="1"/>
  <c r="H63" i="12"/>
  <c r="D52" i="8" s="1"/>
  <c r="J63" i="12"/>
  <c r="F52" i="8" s="1"/>
  <c r="AH61" i="12"/>
  <c r="AD50" i="8" s="1"/>
  <c r="AK61" i="12"/>
  <c r="AG50" i="8" s="1"/>
  <c r="X61" i="12"/>
  <c r="T50" i="8" s="1"/>
  <c r="N59" i="12"/>
  <c r="J48" i="8" s="1"/>
  <c r="I59" i="12"/>
  <c r="E48" i="8" s="1"/>
  <c r="L59" i="12"/>
  <c r="H48" i="8" s="1"/>
  <c r="AI57" i="12"/>
  <c r="AE46" i="8" s="1"/>
  <c r="H57" i="12"/>
  <c r="D46" i="8" s="1"/>
  <c r="AI56" i="12"/>
  <c r="AC56" i="12"/>
  <c r="V50" i="12"/>
  <c r="R39" i="8" s="1"/>
  <c r="V54" i="12"/>
  <c r="R43" i="8" s="1"/>
  <c r="V58" i="12"/>
  <c r="R47" i="8" s="1"/>
  <c r="V41" i="12"/>
  <c r="V72" i="12"/>
  <c r="R61" i="8" s="1"/>
  <c r="V62" i="12"/>
  <c r="R51" i="8" s="1"/>
  <c r="V47" i="12"/>
  <c r="R36" i="8" s="1"/>
  <c r="V55" i="12"/>
  <c r="R44" i="8" s="1"/>
  <c r="V60" i="12"/>
  <c r="R49" i="8" s="1"/>
  <c r="V52" i="12"/>
  <c r="R41" i="8" s="1"/>
  <c r="V49" i="12"/>
  <c r="R38" i="8" s="1"/>
  <c r="V53" i="12"/>
  <c r="V56" i="12"/>
  <c r="V64" i="12"/>
  <c r="R53" i="8" s="1"/>
  <c r="V48" i="12"/>
  <c r="R37" i="8" s="1"/>
  <c r="V51" i="12"/>
  <c r="R40" i="8" s="1"/>
  <c r="AB50" i="12"/>
  <c r="X39" i="8" s="1"/>
  <c r="AB58" i="12"/>
  <c r="X47" i="8" s="1"/>
  <c r="AB56" i="12"/>
  <c r="AB54" i="12"/>
  <c r="X43" i="8" s="1"/>
  <c r="AB72" i="12"/>
  <c r="X61" i="8" s="1"/>
  <c r="AB47" i="12"/>
  <c r="X36" i="8" s="1"/>
  <c r="AB62" i="12"/>
  <c r="X51" i="8" s="1"/>
  <c r="AB49" i="12"/>
  <c r="X38" i="8" s="1"/>
  <c r="AB52" i="12"/>
  <c r="X41" i="8" s="1"/>
  <c r="AB64" i="12"/>
  <c r="X53" i="8" s="1"/>
  <c r="AB48" i="12"/>
  <c r="X37" i="8" s="1"/>
  <c r="AB53" i="12"/>
  <c r="AB55" i="12"/>
  <c r="X44" i="8" s="1"/>
  <c r="AB68" i="12"/>
  <c r="X57" i="8" s="1"/>
  <c r="AB70" i="12"/>
  <c r="X59" i="8" s="1"/>
  <c r="AB74" i="12"/>
  <c r="X63" i="8" s="1"/>
  <c r="L74" i="12"/>
  <c r="H63" i="8" s="1"/>
  <c r="N74" i="12"/>
  <c r="J63" i="8" s="1"/>
  <c r="AH74" i="12"/>
  <c r="AD63" i="8" s="1"/>
  <c r="Y72" i="12"/>
  <c r="U61" i="8" s="1"/>
  <c r="AI72" i="12"/>
  <c r="AE61" i="8" s="1"/>
  <c r="T70" i="12"/>
  <c r="P59" i="8" s="1"/>
  <c r="V70" i="12"/>
  <c r="R59" i="8" s="1"/>
  <c r="G68" i="12"/>
  <c r="C57" i="8" s="1"/>
  <c r="J64" i="12"/>
  <c r="F53" i="8" s="1"/>
  <c r="AC51" i="12"/>
  <c r="Y40" i="8" s="1"/>
  <c r="AI49" i="12"/>
  <c r="AE38" i="8" s="1"/>
  <c r="AF50" i="12"/>
  <c r="AB39" i="8" s="1"/>
  <c r="J48" i="12"/>
  <c r="F37" i="8" s="1"/>
  <c r="Z46" i="12"/>
  <c r="V35" i="8" s="1"/>
  <c r="X67" i="11"/>
  <c r="T24" i="8" s="1"/>
  <c r="X65" i="11"/>
  <c r="T22" i="8" s="1"/>
  <c r="S41" i="11"/>
  <c r="Y59" i="11"/>
  <c r="U16" i="8" s="1"/>
  <c r="P59" i="12"/>
  <c r="L48" i="8" s="1"/>
  <c r="S41" i="12"/>
  <c r="Q51" i="12"/>
  <c r="M40" i="8" s="1"/>
  <c r="Q60" i="12"/>
  <c r="M49" i="8" s="1"/>
  <c r="Q49" i="12"/>
  <c r="M38" i="8" s="1"/>
  <c r="Q70" i="12"/>
  <c r="M59" i="8" s="1"/>
  <c r="Q48" i="12"/>
  <c r="M37" i="8" s="1"/>
  <c r="Q52" i="12"/>
  <c r="M41" i="8" s="1"/>
  <c r="Q54" i="12"/>
  <c r="M43" i="8" s="1"/>
  <c r="Q58" i="12"/>
  <c r="M47" i="8" s="1"/>
  <c r="Q53" i="12"/>
  <c r="Q64" i="12"/>
  <c r="M53" i="8" s="1"/>
  <c r="Q66" i="12"/>
  <c r="M55" i="8" s="1"/>
  <c r="Q46" i="12"/>
  <c r="M35" i="8" s="1"/>
  <c r="Q62" i="12"/>
  <c r="M51" i="8" s="1"/>
  <c r="Q55" i="12"/>
  <c r="M44" i="8" s="1"/>
  <c r="Q50" i="12"/>
  <c r="M39" i="8" s="1"/>
  <c r="Q72" i="12"/>
  <c r="M61" i="8" s="1"/>
  <c r="Q56" i="12"/>
  <c r="W49" i="12"/>
  <c r="S38" i="8" s="1"/>
  <c r="W48" i="12"/>
  <c r="S37" i="8" s="1"/>
  <c r="W58" i="12"/>
  <c r="S47" i="8" s="1"/>
  <c r="W64" i="12"/>
  <c r="S53" i="8" s="1"/>
  <c r="W46" i="12"/>
  <c r="S35" i="8" s="1"/>
  <c r="W66" i="12"/>
  <c r="S55" i="8" s="1"/>
  <c r="W70" i="12"/>
  <c r="S59" i="8" s="1"/>
  <c r="W50" i="12"/>
  <c r="S39" i="8" s="1"/>
  <c r="W52" i="12"/>
  <c r="S41" i="8" s="1"/>
  <c r="W62" i="12"/>
  <c r="S51" i="8" s="1"/>
  <c r="W54" i="12"/>
  <c r="S43" i="8" s="1"/>
  <c r="W56" i="12"/>
  <c r="W47" i="12"/>
  <c r="S36" i="8" s="1"/>
  <c r="W53" i="12"/>
  <c r="W55" i="12"/>
  <c r="S44" i="8" s="1"/>
  <c r="W74" i="12"/>
  <c r="S63" i="8" s="1"/>
  <c r="AC62" i="12"/>
  <c r="Y51" i="8" s="1"/>
  <c r="AC49" i="12"/>
  <c r="Y38" i="8" s="1"/>
  <c r="AC53" i="12"/>
  <c r="AC64" i="12"/>
  <c r="Y53" i="8" s="1"/>
  <c r="AC48" i="12"/>
  <c r="Y37" i="8" s="1"/>
  <c r="AC46" i="12"/>
  <c r="Y35" i="8" s="1"/>
  <c r="AC66" i="12"/>
  <c r="Y55" i="8" s="1"/>
  <c r="AC68" i="12"/>
  <c r="Y57" i="8" s="1"/>
  <c r="AC50" i="12"/>
  <c r="Y39" i="8" s="1"/>
  <c r="AC52" i="12"/>
  <c r="Y41" i="8" s="1"/>
  <c r="AC58" i="12"/>
  <c r="Y47" i="8" s="1"/>
  <c r="AC41" i="12"/>
  <c r="S73" i="12"/>
  <c r="O62" i="8" s="1"/>
  <c r="O71" i="12"/>
  <c r="K60" i="8" s="1"/>
  <c r="Q71" i="12"/>
  <c r="M60" i="8" s="1"/>
  <c r="S69" i="12"/>
  <c r="O58" i="8" s="1"/>
  <c r="AC67" i="12"/>
  <c r="Y56" i="8" s="1"/>
  <c r="O67" i="12"/>
  <c r="K56" i="8" s="1"/>
  <c r="Q67" i="12"/>
  <c r="M56" i="8" s="1"/>
  <c r="S67" i="12"/>
  <c r="O56" i="8" s="1"/>
  <c r="P63" i="12"/>
  <c r="L52" i="8" s="1"/>
  <c r="Q59" i="12"/>
  <c r="M48" i="8" s="1"/>
  <c r="AC57" i="12"/>
  <c r="Y46" i="8" s="1"/>
  <c r="P57" i="12"/>
  <c r="L46" i="8" s="1"/>
  <c r="J56" i="12"/>
  <c r="N46" i="12"/>
  <c r="J35" i="8" s="1"/>
  <c r="N50" i="12"/>
  <c r="J39" i="8" s="1"/>
  <c r="N52" i="12"/>
  <c r="J41" i="8" s="1"/>
  <c r="N41" i="12"/>
  <c r="N72" i="12"/>
  <c r="J61" i="8" s="1"/>
  <c r="N58" i="12"/>
  <c r="J47" i="8" s="1"/>
  <c r="N47" i="12"/>
  <c r="J36" i="8" s="1"/>
  <c r="N51" i="12"/>
  <c r="J40" i="8" s="1"/>
  <c r="N55" i="12"/>
  <c r="J44" i="8" s="1"/>
  <c r="N60" i="12"/>
  <c r="J49" i="8" s="1"/>
  <c r="N62" i="12"/>
  <c r="J51" i="8" s="1"/>
  <c r="N54" i="12"/>
  <c r="J43" i="8" s="1"/>
  <c r="N49" i="12"/>
  <c r="J38" i="8" s="1"/>
  <c r="N53" i="12"/>
  <c r="N56" i="12"/>
  <c r="N64" i="12"/>
  <c r="J53" i="8" s="1"/>
  <c r="T46" i="12"/>
  <c r="P35" i="8" s="1"/>
  <c r="T60" i="12"/>
  <c r="P49" i="8" s="1"/>
  <c r="T50" i="12"/>
  <c r="P39" i="8" s="1"/>
  <c r="T58" i="12"/>
  <c r="P47" i="8" s="1"/>
  <c r="T56" i="12"/>
  <c r="T54" i="12"/>
  <c r="P43" i="8" s="1"/>
  <c r="T47" i="12"/>
  <c r="P36" i="8" s="1"/>
  <c r="T53" i="12"/>
  <c r="T62" i="12"/>
  <c r="P51" i="8" s="1"/>
  <c r="T49" i="12"/>
  <c r="P38" i="8" s="1"/>
  <c r="T51" i="12"/>
  <c r="P40" i="8" s="1"/>
  <c r="T52" i="12"/>
  <c r="P41" i="8" s="1"/>
  <c r="T64" i="12"/>
  <c r="P53" i="8" s="1"/>
  <c r="M74" i="12"/>
  <c r="I63" i="8" s="1"/>
  <c r="V74" i="12"/>
  <c r="R63" i="8" s="1"/>
  <c r="K74" i="12"/>
  <c r="G63" i="8" s="1"/>
  <c r="L72" i="12"/>
  <c r="H61" i="8" s="1"/>
  <c r="F72" i="12"/>
  <c r="B61" i="8" s="1"/>
  <c r="AK70" i="12"/>
  <c r="AG59" i="8" s="1"/>
  <c r="G70" i="12"/>
  <c r="C59" i="8" s="1"/>
  <c r="H68" i="12"/>
  <c r="D57" i="8" s="1"/>
  <c r="AH68" i="12"/>
  <c r="AD57" i="8" s="1"/>
  <c r="AB66" i="12"/>
  <c r="X55" i="8" s="1"/>
  <c r="J66" i="12"/>
  <c r="F55" i="8" s="1"/>
  <c r="AH64" i="12"/>
  <c r="AD53" i="8" s="1"/>
  <c r="G56" i="12"/>
  <c r="T55" i="12"/>
  <c r="P44" i="8" s="1"/>
  <c r="W51" i="12"/>
  <c r="S40" i="8" s="1"/>
  <c r="AK49" i="12"/>
  <c r="AG38" i="8" s="1"/>
  <c r="Z54" i="12"/>
  <c r="V43" i="8" s="1"/>
  <c r="AH50" i="12"/>
  <c r="AD39" i="8" s="1"/>
  <c r="AB46" i="12"/>
  <c r="X35" i="8" s="1"/>
  <c r="X57" i="11"/>
  <c r="X53" i="11"/>
  <c r="T10" i="8" s="1"/>
  <c r="X60" i="11"/>
  <c r="T17" i="8" s="1"/>
  <c r="X66" i="11"/>
  <c r="T23" i="8" s="1"/>
  <c r="X58" i="11"/>
  <c r="T15" i="8" s="1"/>
  <c r="AK60" i="12"/>
  <c r="AG49" i="8" s="1"/>
  <c r="AB57" i="12"/>
  <c r="X46" i="8" s="1"/>
  <c r="I47" i="12"/>
  <c r="E36" i="8" s="1"/>
  <c r="I51" i="12"/>
  <c r="E40" i="8" s="1"/>
  <c r="I60" i="12"/>
  <c r="E49" i="8" s="1"/>
  <c r="I68" i="12"/>
  <c r="E57" i="8" s="1"/>
  <c r="I70" i="12"/>
  <c r="E59" i="8" s="1"/>
  <c r="I54" i="12"/>
  <c r="E43" i="8" s="1"/>
  <c r="I49" i="12"/>
  <c r="E38" i="8" s="1"/>
  <c r="I55" i="12"/>
  <c r="E44" i="8" s="1"/>
  <c r="I48" i="12"/>
  <c r="E37" i="8" s="1"/>
  <c r="I64" i="12"/>
  <c r="E53" i="8" s="1"/>
  <c r="I52" i="12"/>
  <c r="E41" i="8" s="1"/>
  <c r="I58" i="12"/>
  <c r="E47" i="8" s="1"/>
  <c r="I46" i="12"/>
  <c r="E35" i="8" s="1"/>
  <c r="I53" i="12"/>
  <c r="I72" i="12"/>
  <c r="E61" i="8" s="1"/>
  <c r="I50" i="12"/>
  <c r="E39" i="8" s="1"/>
  <c r="I62" i="12"/>
  <c r="E51" i="8" s="1"/>
  <c r="O51" i="12"/>
  <c r="K40" i="8" s="1"/>
  <c r="O61" i="12"/>
  <c r="K50" i="8" s="1"/>
  <c r="O60" i="12"/>
  <c r="K49" i="8" s="1"/>
  <c r="O49" i="12"/>
  <c r="K38" i="8" s="1"/>
  <c r="O53" i="12"/>
  <c r="O68" i="12"/>
  <c r="K57" i="8" s="1"/>
  <c r="O48" i="12"/>
  <c r="K37" i="8" s="1"/>
  <c r="O58" i="12"/>
  <c r="K47" i="8" s="1"/>
  <c r="O64" i="12"/>
  <c r="K53" i="8" s="1"/>
  <c r="O46" i="12"/>
  <c r="K35" i="8" s="1"/>
  <c r="O66" i="12"/>
  <c r="K55" i="8" s="1"/>
  <c r="O50" i="12"/>
  <c r="K39" i="8" s="1"/>
  <c r="O54" i="12"/>
  <c r="K43" i="8" s="1"/>
  <c r="O62" i="12"/>
  <c r="K51" i="8" s="1"/>
  <c r="O72" i="12"/>
  <c r="K61" i="8" s="1"/>
  <c r="O52" i="12"/>
  <c r="K41" i="8" s="1"/>
  <c r="O56" i="12"/>
  <c r="U52" i="12"/>
  <c r="Q41" i="8" s="1"/>
  <c r="U54" i="12"/>
  <c r="Q43" i="8" s="1"/>
  <c r="U47" i="12"/>
  <c r="Q36" i="8" s="1"/>
  <c r="U55" i="12"/>
  <c r="Q44" i="8" s="1"/>
  <c r="U62" i="12"/>
  <c r="Q51" i="8" s="1"/>
  <c r="U49" i="12"/>
  <c r="Q38" i="8" s="1"/>
  <c r="U53" i="12"/>
  <c r="U72" i="12"/>
  <c r="Q61" i="8" s="1"/>
  <c r="U51" i="12"/>
  <c r="Q40" i="8" s="1"/>
  <c r="U64" i="12"/>
  <c r="Q53" i="8" s="1"/>
  <c r="U48" i="12"/>
  <c r="Q37" i="8" s="1"/>
  <c r="U46" i="12"/>
  <c r="Q35" i="8" s="1"/>
  <c r="U50" i="12"/>
  <c r="Q39" i="8" s="1"/>
  <c r="U68" i="12"/>
  <c r="Q57" i="8" s="1"/>
  <c r="U70" i="12"/>
  <c r="Q59" i="8" s="1"/>
  <c r="U58" i="12"/>
  <c r="Q47" i="8" s="1"/>
  <c r="U41" i="12"/>
  <c r="U57" i="12"/>
  <c r="Q46" i="8" s="1"/>
  <c r="AA73" i="12"/>
  <c r="W62" i="8" s="1"/>
  <c r="AI73" i="12"/>
  <c r="AE62" i="8" s="1"/>
  <c r="L73" i="12"/>
  <c r="H62" i="8" s="1"/>
  <c r="H73" i="12"/>
  <c r="D62" i="8" s="1"/>
  <c r="AE71" i="12"/>
  <c r="AA60" i="8" s="1"/>
  <c r="G71" i="12"/>
  <c r="C60" i="8" s="1"/>
  <c r="Y71" i="12"/>
  <c r="U60" i="8" s="1"/>
  <c r="AC71" i="12"/>
  <c r="Y60" i="8" s="1"/>
  <c r="AA69" i="12"/>
  <c r="W58" i="8" s="1"/>
  <c r="AI69" i="12"/>
  <c r="AE58" i="8" s="1"/>
  <c r="M69" i="12"/>
  <c r="I58" i="8" s="1"/>
  <c r="I69" i="12"/>
  <c r="E58" i="8" s="1"/>
  <c r="AK67" i="12"/>
  <c r="AG56" i="8" s="1"/>
  <c r="W67" i="12"/>
  <c r="S56" i="8" s="1"/>
  <c r="Y67" i="12"/>
  <c r="U56" i="8" s="1"/>
  <c r="AA67" i="12"/>
  <c r="W56" i="8" s="1"/>
  <c r="Q65" i="12"/>
  <c r="M54" i="8" s="1"/>
  <c r="S65" i="12"/>
  <c r="O54" i="8" s="1"/>
  <c r="U65" i="12"/>
  <c r="Q54" i="8" s="1"/>
  <c r="G65" i="12"/>
  <c r="C54" i="8" s="1"/>
  <c r="AD63" i="12"/>
  <c r="Z52" i="8" s="1"/>
  <c r="X63" i="12"/>
  <c r="T52" i="8" s="1"/>
  <c r="Z63" i="12"/>
  <c r="V52" i="8" s="1"/>
  <c r="Q61" i="12"/>
  <c r="M50" i="8" s="1"/>
  <c r="S61" i="12"/>
  <c r="O50" i="8" s="1"/>
  <c r="N61" i="12"/>
  <c r="J50" i="8" s="1"/>
  <c r="AD59" i="12"/>
  <c r="Z48" i="8" s="1"/>
  <c r="Y59" i="12"/>
  <c r="U48" i="8" s="1"/>
  <c r="R57" i="12"/>
  <c r="N46" i="8" s="1"/>
  <c r="AK57" i="12"/>
  <c r="AG46" i="8" s="1"/>
  <c r="X57" i="12"/>
  <c r="T46" i="8" s="1"/>
  <c r="AI48" i="12"/>
  <c r="AE37" i="8" s="1"/>
  <c r="F48" i="12"/>
  <c r="B37" i="8" s="1"/>
  <c r="L48" i="12"/>
  <c r="H37" i="8" s="1"/>
  <c r="AC74" i="12"/>
  <c r="Y63" i="8" s="1"/>
  <c r="AL74" i="12"/>
  <c r="AH63" i="8" s="1"/>
  <c r="S74" i="12"/>
  <c r="O63" i="8" s="1"/>
  <c r="AC72" i="12"/>
  <c r="Y61" i="8" s="1"/>
  <c r="AD72" i="12"/>
  <c r="Z61" i="8" s="1"/>
  <c r="H70" i="12"/>
  <c r="D59" i="8" s="1"/>
  <c r="O70" i="12"/>
  <c r="K59" i="8" s="1"/>
  <c r="Q68" i="12"/>
  <c r="M57" i="8" s="1"/>
  <c r="S68" i="12"/>
  <c r="O57" i="8" s="1"/>
  <c r="U66" i="12"/>
  <c r="Q55" i="8" s="1"/>
  <c r="R66" i="12"/>
  <c r="N55" i="8" s="1"/>
  <c r="I56" i="12"/>
  <c r="Y51" i="12"/>
  <c r="U40" i="8" s="1"/>
  <c r="K58" i="12"/>
  <c r="G47" i="8" s="1"/>
  <c r="AJ50" i="12"/>
  <c r="AF39" i="8" s="1"/>
  <c r="V46" i="12"/>
  <c r="R35" i="8" s="1"/>
  <c r="X74" i="11"/>
  <c r="X61" i="11"/>
  <c r="T18" i="8" s="1"/>
  <c r="L57" i="12"/>
  <c r="H46" i="8" s="1"/>
  <c r="T61" i="12"/>
  <c r="P50" i="8" s="1"/>
  <c r="G47" i="12"/>
  <c r="C36" i="8" s="1"/>
  <c r="G55" i="12"/>
  <c r="C44" i="8" s="1"/>
  <c r="G51" i="12"/>
  <c r="C40" i="8" s="1"/>
  <c r="G60" i="12"/>
  <c r="C49" i="8" s="1"/>
  <c r="G49" i="12"/>
  <c r="C38" i="8" s="1"/>
  <c r="G48" i="12"/>
  <c r="C37" i="8" s="1"/>
  <c r="G58" i="12"/>
  <c r="C47" i="8" s="1"/>
  <c r="G53" i="12"/>
  <c r="G64" i="12"/>
  <c r="C53" i="8" s="1"/>
  <c r="G46" i="12"/>
  <c r="C35" i="8" s="1"/>
  <c r="G54" i="12"/>
  <c r="C43" i="8" s="1"/>
  <c r="G50" i="12"/>
  <c r="C39" i="8" s="1"/>
  <c r="G62" i="12"/>
  <c r="C51" i="8" s="1"/>
  <c r="G72" i="12"/>
  <c r="C61" i="8" s="1"/>
  <c r="M54" i="12"/>
  <c r="I43" i="8" s="1"/>
  <c r="M51" i="12"/>
  <c r="I40" i="8" s="1"/>
  <c r="M47" i="12"/>
  <c r="I36" i="8" s="1"/>
  <c r="M55" i="12"/>
  <c r="I44" i="8" s="1"/>
  <c r="M72" i="12"/>
  <c r="I61" i="8" s="1"/>
  <c r="M62" i="12"/>
  <c r="I51" i="8" s="1"/>
  <c r="M49" i="12"/>
  <c r="I38" i="8" s="1"/>
  <c r="M64" i="12"/>
  <c r="I53" i="8" s="1"/>
  <c r="M48" i="12"/>
  <c r="I37" i="8" s="1"/>
  <c r="M52" i="12"/>
  <c r="I41" i="8" s="1"/>
  <c r="M53" i="12"/>
  <c r="M46" i="12"/>
  <c r="I35" i="8" s="1"/>
  <c r="M66" i="12"/>
  <c r="I55" i="8" s="1"/>
  <c r="M70" i="12"/>
  <c r="I59" i="8" s="1"/>
  <c r="M50" i="12"/>
  <c r="I39" i="8" s="1"/>
  <c r="F73" i="12"/>
  <c r="B62" i="8" s="1"/>
  <c r="T73" i="12"/>
  <c r="P62" i="8" s="1"/>
  <c r="P73" i="12"/>
  <c r="L62" i="8" s="1"/>
  <c r="J71" i="12"/>
  <c r="F60" i="8" s="1"/>
  <c r="W71" i="12"/>
  <c r="S60" i="8" s="1"/>
  <c r="AK71" i="12"/>
  <c r="AG60" i="8" s="1"/>
  <c r="N69" i="12"/>
  <c r="J58" i="8" s="1"/>
  <c r="F69" i="12"/>
  <c r="B58" i="8" s="1"/>
  <c r="Q69" i="12"/>
  <c r="M58" i="8" s="1"/>
  <c r="F67" i="12"/>
  <c r="B56" i="8" s="1"/>
  <c r="AE67" i="12"/>
  <c r="AA56" i="8" s="1"/>
  <c r="AI67" i="12"/>
  <c r="AE56" i="8" s="1"/>
  <c r="Y65" i="12"/>
  <c r="U54" i="8" s="1"/>
  <c r="AA65" i="12"/>
  <c r="W54" i="8" s="1"/>
  <c r="AC65" i="12"/>
  <c r="Y54" i="8" s="1"/>
  <c r="M63" i="12"/>
  <c r="I52" i="8" s="1"/>
  <c r="AL63" i="12"/>
  <c r="AH52" i="8" s="1"/>
  <c r="AF63" i="12"/>
  <c r="AB52" i="8" s="1"/>
  <c r="AH63" i="12"/>
  <c r="AD52" i="8" s="1"/>
  <c r="Y61" i="12"/>
  <c r="U50" i="8" s="1"/>
  <c r="AA61" i="12"/>
  <c r="W50" i="8" s="1"/>
  <c r="M59" i="12"/>
  <c r="I48" i="8" s="1"/>
  <c r="AL59" i="12"/>
  <c r="AH48" i="8" s="1"/>
  <c r="Z57" i="12"/>
  <c r="V46" i="8" s="1"/>
  <c r="F57" i="12"/>
  <c r="AF57" i="12"/>
  <c r="AB46" i="8" s="1"/>
  <c r="X41" i="12"/>
  <c r="R60" i="12"/>
  <c r="N49" i="8" s="1"/>
  <c r="AA62" i="12"/>
  <c r="W51" i="8" s="1"/>
  <c r="AA49" i="12"/>
  <c r="W38" i="8" s="1"/>
  <c r="AA53" i="12"/>
  <c r="AA48" i="12"/>
  <c r="W37" i="8" s="1"/>
  <c r="AA52" i="12"/>
  <c r="W41" i="8" s="1"/>
  <c r="AA64" i="12"/>
  <c r="W53" i="8" s="1"/>
  <c r="AA70" i="12"/>
  <c r="W59" i="8" s="1"/>
  <c r="AA46" i="12"/>
  <c r="W35" i="8" s="1"/>
  <c r="AA51" i="12"/>
  <c r="W40" i="8" s="1"/>
  <c r="AA55" i="12"/>
  <c r="W44" i="8" s="1"/>
  <c r="AA60" i="12"/>
  <c r="W49" i="8" s="1"/>
  <c r="AA66" i="12"/>
  <c r="W55" i="8" s="1"/>
  <c r="AA50" i="12"/>
  <c r="W39" i="8" s="1"/>
  <c r="AA58" i="12"/>
  <c r="W47" i="8" s="1"/>
  <c r="AA72" i="12"/>
  <c r="W61" i="8" s="1"/>
  <c r="AA54" i="12"/>
  <c r="W43" i="8" s="1"/>
  <c r="AA68" i="12"/>
  <c r="W57" i="8" s="1"/>
  <c r="AA74" i="12"/>
  <c r="W63" i="8" s="1"/>
  <c r="AG48" i="12"/>
  <c r="AC37" i="8" s="1"/>
  <c r="AG62" i="12"/>
  <c r="AC51" i="8" s="1"/>
  <c r="AG66" i="12"/>
  <c r="AC55" i="8" s="1"/>
  <c r="AG46" i="12"/>
  <c r="AC35" i="8" s="1"/>
  <c r="AG68" i="12"/>
  <c r="AC57" i="8" s="1"/>
  <c r="AG50" i="12"/>
  <c r="AC39" i="8" s="1"/>
  <c r="AG52" i="12"/>
  <c r="AC41" i="8" s="1"/>
  <c r="AG41" i="12"/>
  <c r="AG53" i="12"/>
  <c r="AG56" i="12"/>
  <c r="AG54" i="12"/>
  <c r="AC43" i="8" s="1"/>
  <c r="AG47" i="12"/>
  <c r="AC36" i="8" s="1"/>
  <c r="AG51" i="12"/>
  <c r="AC40" i="8" s="1"/>
  <c r="AG60" i="12"/>
  <c r="AC49" i="8" s="1"/>
  <c r="U74" i="12"/>
  <c r="Q63" i="8" s="1"/>
  <c r="P74" i="12"/>
  <c r="L63" i="8" s="1"/>
  <c r="G74" i="12"/>
  <c r="C63" i="8" s="1"/>
  <c r="AI74" i="12"/>
  <c r="AE63" i="8" s="1"/>
  <c r="P72" i="12"/>
  <c r="L61" i="8" s="1"/>
  <c r="AL72" i="12"/>
  <c r="AH61" i="8" s="1"/>
  <c r="Y70" i="12"/>
  <c r="U59" i="8" s="1"/>
  <c r="J70" i="12"/>
  <c r="F59" i="8" s="1"/>
  <c r="T68" i="12"/>
  <c r="P57" i="8" s="1"/>
  <c r="V68" i="12"/>
  <c r="R57" i="8" s="1"/>
  <c r="N66" i="12"/>
  <c r="J55" i="8" s="1"/>
  <c r="F64" i="12"/>
  <c r="B53" i="8" s="1"/>
  <c r="S53" i="12"/>
  <c r="AB51" i="12"/>
  <c r="X40" i="8" s="1"/>
  <c r="AA47" i="12"/>
  <c r="W36" i="8" s="1"/>
  <c r="M58" i="12"/>
  <c r="I47" i="8" s="1"/>
  <c r="AI52" i="12"/>
  <c r="AE41" i="8" s="1"/>
  <c r="AD50" i="12"/>
  <c r="Z39" i="8" s="1"/>
  <c r="L49" i="12"/>
  <c r="H38" i="8" s="1"/>
  <c r="AI47" i="12"/>
  <c r="AE36" i="8" s="1"/>
  <c r="L62" i="12"/>
  <c r="H51" i="8" s="1"/>
  <c r="AL62" i="12"/>
  <c r="AH51" i="8" s="1"/>
  <c r="F58" i="12"/>
  <c r="B47" i="8" s="1"/>
  <c r="F54" i="12"/>
  <c r="B43" i="8" s="1"/>
  <c r="AL50" i="12"/>
  <c r="AH39" i="8" s="1"/>
  <c r="AL70" i="12"/>
  <c r="AH59" i="8" s="1"/>
  <c r="F68" i="12"/>
  <c r="B57" i="8" s="1"/>
  <c r="AI68" i="12"/>
  <c r="AE57" i="8" s="1"/>
  <c r="AL66" i="12"/>
  <c r="AH55" i="8" s="1"/>
  <c r="F60" i="12"/>
  <c r="B49" i="8" s="1"/>
  <c r="AI55" i="12"/>
  <c r="AE44" i="8" s="1"/>
  <c r="F55" i="12"/>
  <c r="B44" i="8" s="1"/>
  <c r="F51" i="12"/>
  <c r="B40" i="8" s="1"/>
  <c r="L47" i="12"/>
  <c r="H36" i="8" s="1"/>
  <c r="F47" i="12"/>
  <c r="B36" i="8" s="1"/>
  <c r="AL58" i="12"/>
  <c r="AH47" i="8" s="1"/>
  <c r="AI54" i="12"/>
  <c r="AE43" i="8" s="1"/>
  <c r="AL46" i="12"/>
  <c r="AH35" i="8" s="1"/>
  <c r="AL51" i="12"/>
  <c r="AH40" i="8" s="1"/>
  <c r="AI58" i="12"/>
  <c r="AE47" i="8" s="1"/>
  <c r="L54" i="12"/>
  <c r="H43" i="8" s="1"/>
  <c r="AL48" i="12"/>
  <c r="AH37" i="8" s="1"/>
  <c r="AL64" i="12"/>
  <c r="AH53" i="8" s="1"/>
  <c r="L56" i="12"/>
  <c r="AL56" i="12"/>
  <c r="AL53" i="12"/>
  <c r="L51" i="12"/>
  <c r="H40" i="8" s="1"/>
  <c r="AL49" i="12"/>
  <c r="AH38" i="8" s="1"/>
  <c r="F41" i="12"/>
  <c r="L58" i="12"/>
  <c r="H47" i="8" s="1"/>
  <c r="AL54" i="12"/>
  <c r="AH43" i="8" s="1"/>
  <c r="F52" i="12"/>
  <c r="B41" i="8" s="1"/>
  <c r="AI50" i="12"/>
  <c r="AE39" i="8" s="1"/>
  <c r="AL68" i="12"/>
  <c r="AH57" i="8" s="1"/>
  <c r="AI66" i="12"/>
  <c r="AE55" i="8" s="1"/>
  <c r="AI60" i="12"/>
  <c r="AE49" i="8" s="1"/>
  <c r="AI51" i="12"/>
  <c r="AE40" i="8" s="1"/>
  <c r="L50" i="12"/>
  <c r="H39" i="8" s="1"/>
  <c r="F50" i="12"/>
  <c r="B39" i="8" s="1"/>
  <c r="AI46" i="12"/>
  <c r="AE35" i="8" s="1"/>
  <c r="F70" i="12"/>
  <c r="B59" i="8" s="1"/>
  <c r="AI70" i="12"/>
  <c r="AE59" i="8" s="1"/>
  <c r="L68" i="12"/>
  <c r="H57" i="8" s="1"/>
  <c r="L66" i="12"/>
  <c r="H55" i="8" s="1"/>
  <c r="F66" i="12"/>
  <c r="B55" i="8" s="1"/>
  <c r="L60" i="12"/>
  <c r="H49" i="8" s="1"/>
  <c r="AL60" i="12"/>
  <c r="AH49" i="8" s="1"/>
  <c r="AI63" i="12"/>
  <c r="AE52" i="8" s="1"/>
  <c r="AL55" i="12"/>
  <c r="AH44" i="8" s="1"/>
  <c r="AL47" i="12"/>
  <c r="AH36" i="8" s="1"/>
  <c r="L46" i="12"/>
  <c r="H35" i="8" s="1"/>
  <c r="F46" i="12"/>
  <c r="B35" i="8" s="1"/>
  <c r="AI64" i="12"/>
  <c r="AE53" i="8" s="1"/>
  <c r="L55" i="12"/>
  <c r="H44" i="8" s="1"/>
  <c r="AI53" i="12"/>
  <c r="T41" i="11"/>
  <c r="V63" i="11"/>
  <c r="R20" i="8" s="1"/>
  <c r="L57" i="11"/>
  <c r="J68" i="11"/>
  <c r="F25" i="8" s="1"/>
  <c r="AH70" i="11"/>
  <c r="AD27" i="8" s="1"/>
  <c r="Q41" i="11"/>
  <c r="AC41" i="11"/>
  <c r="F67" i="11"/>
  <c r="B24" i="8" s="1"/>
  <c r="N63" i="11"/>
  <c r="J20" i="8" s="1"/>
  <c r="Y73" i="11"/>
  <c r="AG74" i="11"/>
  <c r="G63" i="11"/>
  <c r="C20" i="8" s="1"/>
  <c r="AJ56" i="1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B11" i="8" s="1"/>
  <c r="I49" i="11"/>
  <c r="E6" i="8" s="1"/>
  <c r="AH47" i="11"/>
  <c r="S58" i="11"/>
  <c r="O15" i="8" s="1"/>
  <c r="R63" i="11"/>
  <c r="N20" i="8" s="1"/>
  <c r="Q63" i="11"/>
  <c r="M20" i="8" s="1"/>
  <c r="T51" i="11"/>
  <c r="P8" i="8" s="1"/>
  <c r="M49" i="11"/>
  <c r="I6" i="8" s="1"/>
  <c r="AL74" i="11"/>
  <c r="J60" i="11"/>
  <c r="F17" i="8" s="1"/>
  <c r="J67" i="11"/>
  <c r="F24" i="8" s="1"/>
  <c r="M47" i="11"/>
  <c r="AB55" i="11"/>
  <c r="X12" i="8" s="1"/>
  <c r="Z72" i="11"/>
  <c r="AH63" i="11"/>
  <c r="AD20" i="8" s="1"/>
  <c r="J57" i="11"/>
  <c r="AH54" i="11"/>
  <c r="AD11" i="8" s="1"/>
  <c r="J63" i="11"/>
  <c r="F20" i="8" s="1"/>
  <c r="AH49" i="11"/>
  <c r="AD6" i="8" s="1"/>
  <c r="AH67" i="11"/>
  <c r="AD24" i="8" s="1"/>
  <c r="AA57" i="11"/>
  <c r="S74" i="1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K57" i="11"/>
  <c r="O70" i="11"/>
  <c r="K27" i="8" s="1"/>
  <c r="AB61" i="11"/>
  <c r="X18" i="8" s="1"/>
  <c r="AJ74" i="1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Q70" i="11"/>
  <c r="M27" i="8" s="1"/>
  <c r="S46" i="11"/>
  <c r="O67" i="11"/>
  <c r="K24" i="8" s="1"/>
  <c r="AA59" i="11"/>
  <c r="W16" i="8" s="1"/>
  <c r="M61" i="11"/>
  <c r="I18" i="8" s="1"/>
  <c r="O46" i="1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W41" i="11"/>
  <c r="AF69" i="11"/>
  <c r="AB26" i="8" s="1"/>
  <c r="AJ57" i="11"/>
  <c r="AE66" i="11"/>
  <c r="AA23" i="8" s="1"/>
  <c r="L74" i="11"/>
  <c r="S70" i="11"/>
  <c r="O27" i="8" s="1"/>
  <c r="Y64" i="11"/>
  <c r="U21" i="8" s="1"/>
  <c r="AF41" i="11"/>
  <c r="AK64" i="11"/>
  <c r="AG21" i="8" s="1"/>
  <c r="AD41" i="11"/>
  <c r="S59" i="11"/>
  <c r="O16" i="8" s="1"/>
  <c r="F50" i="11"/>
  <c r="B7" i="8" s="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K70" i="11"/>
  <c r="G27" i="8" s="1"/>
  <c r="AH64" i="11"/>
  <c r="AD21" i="8" s="1"/>
  <c r="AA62" i="11"/>
  <c r="W19" i="8" s="1"/>
  <c r="AH51" i="11"/>
  <c r="AD8" i="8" s="1"/>
  <c r="J50" i="11"/>
  <c r="F7" i="8" s="1"/>
  <c r="K71" i="11"/>
  <c r="G28" i="8" s="1"/>
  <c r="Z63" i="11"/>
  <c r="V20" i="8" s="1"/>
  <c r="AB63" i="11"/>
  <c r="X20" i="8" s="1"/>
  <c r="S47" i="11"/>
  <c r="AA67" i="11"/>
  <c r="W24" i="8" s="1"/>
  <c r="K59" i="11"/>
  <c r="G16" i="8" s="1"/>
  <c r="G41" i="11"/>
  <c r="M64" i="11"/>
  <c r="I21" i="8" s="1"/>
  <c r="Y57" i="11"/>
  <c r="M60" i="11"/>
  <c r="I17" i="8" s="1"/>
  <c r="V59" i="11"/>
  <c r="R16" i="8" s="1"/>
  <c r="F70" i="11"/>
  <c r="B27" i="8" s="1"/>
  <c r="AJ64" i="11"/>
  <c r="AF21" i="8" s="1"/>
  <c r="G62" i="11"/>
  <c r="C19" i="8" s="1"/>
  <c r="AH56" i="11"/>
  <c r="S65" i="11"/>
  <c r="O22" i="8" s="1"/>
  <c r="S51" i="11"/>
  <c r="O8" i="8" s="1"/>
  <c r="S73" i="1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G66" i="11"/>
  <c r="AC23" i="8" s="1"/>
  <c r="N64" i="11"/>
  <c r="J21" i="8" s="1"/>
  <c r="Z62" i="11"/>
  <c r="V19" i="8" s="1"/>
  <c r="S56" i="11"/>
  <c r="AG65" i="11"/>
  <c r="AC22" i="8" s="1"/>
  <c r="P73" i="11"/>
  <c r="I74" i="11"/>
  <c r="W63" i="11"/>
  <c r="S20" i="8" s="1"/>
  <c r="Z52" i="11"/>
  <c r="V9" i="8" s="1"/>
  <c r="AK66" i="11"/>
  <c r="AG23" i="8" s="1"/>
  <c r="AA73" i="1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Y7" i="8" s="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W69" i="11"/>
  <c r="S26" i="8" s="1"/>
  <c r="AC69" i="11"/>
  <c r="Y26" i="8" s="1"/>
  <c r="W57" i="11"/>
  <c r="R52" i="11"/>
  <c r="N9" i="8" s="1"/>
  <c r="R60" i="11"/>
  <c r="N17" i="8" s="1"/>
  <c r="R59" i="11"/>
  <c r="N16" i="8" s="1"/>
  <c r="R56" i="11"/>
  <c r="R65" i="11"/>
  <c r="N22" i="8" s="1"/>
  <c r="R58" i="11"/>
  <c r="N15" i="8" s="1"/>
  <c r="R57" i="11"/>
  <c r="R47" i="11"/>
  <c r="H74" i="11"/>
  <c r="R74" i="11"/>
  <c r="I68" i="11"/>
  <c r="E25" i="8" s="1"/>
  <c r="W58" i="11"/>
  <c r="S15" i="8" s="1"/>
  <c r="L51" i="11"/>
  <c r="H8" i="8" s="1"/>
  <c r="AF73" i="11"/>
  <c r="AL53" i="11"/>
  <c r="AH10" i="8" s="1"/>
  <c r="AC55" i="11"/>
  <c r="Y12" i="8" s="1"/>
  <c r="AC72" i="11"/>
  <c r="I59" i="11"/>
  <c r="E16" i="8" s="1"/>
  <c r="T47" i="11"/>
  <c r="O50" i="11"/>
  <c r="K7" i="8" s="1"/>
  <c r="O72" i="11"/>
  <c r="O63" i="11"/>
  <c r="K20" i="8" s="1"/>
  <c r="O64" i="11"/>
  <c r="K21" i="8" s="1"/>
  <c r="O57" i="11"/>
  <c r="O48" i="11"/>
  <c r="K5" i="8" s="1"/>
  <c r="O71" i="11"/>
  <c r="K28" i="8" s="1"/>
  <c r="O47" i="11"/>
  <c r="O73" i="1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B20" i="8" s="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AD51" i="11"/>
  <c r="Z8" i="8" s="1"/>
  <c r="AD60" i="11"/>
  <c r="Z17" i="8" s="1"/>
  <c r="AD70" i="11"/>
  <c r="Z27" i="8" s="1"/>
  <c r="AD74" i="11"/>
  <c r="AD65" i="11"/>
  <c r="Z22" i="8" s="1"/>
  <c r="AD64" i="11"/>
  <c r="Z21" i="8" s="1"/>
  <c r="AD48" i="11"/>
  <c r="Z5" i="8" s="1"/>
  <c r="AD50" i="11"/>
  <c r="Z7" i="8" s="1"/>
  <c r="AD52" i="11"/>
  <c r="Z9" i="8" s="1"/>
  <c r="AD46" i="11"/>
  <c r="AD55" i="11"/>
  <c r="Z12" i="8" s="1"/>
  <c r="AD73" i="1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B16" i="8" s="1"/>
  <c r="AF59" i="11"/>
  <c r="AB16" i="8" s="1"/>
  <c r="F47" i="11"/>
  <c r="F49" i="11"/>
  <c r="B6" i="8" s="1"/>
  <c r="F69" i="11"/>
  <c r="B26" i="8" s="1"/>
  <c r="J69" i="11"/>
  <c r="F26" i="8" s="1"/>
  <c r="Z57" i="11"/>
  <c r="M57" i="11"/>
  <c r="AE57" i="11"/>
  <c r="AI49" i="11"/>
  <c r="AE6" i="8" s="1"/>
  <c r="Z61" i="11"/>
  <c r="V18" i="8" s="1"/>
  <c r="F74" i="11"/>
  <c r="B31" i="8" s="1"/>
  <c r="AH74" i="1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B23" i="8" s="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B12" i="8" s="1"/>
  <c r="Z46" i="11"/>
  <c r="U72" i="11"/>
  <c r="AE50" i="11"/>
  <c r="AA7" i="8" s="1"/>
  <c r="H48" i="11"/>
  <c r="D5" i="8" s="1"/>
  <c r="H73" i="11"/>
  <c r="H62" i="11"/>
  <c r="D19" i="8" s="1"/>
  <c r="H64" i="11"/>
  <c r="D21" i="8" s="1"/>
  <c r="H66" i="11"/>
  <c r="D23" i="8" s="1"/>
  <c r="H51" i="11"/>
  <c r="D8" i="8" s="1"/>
  <c r="H56" i="11"/>
  <c r="H72" i="11"/>
  <c r="H50" i="11"/>
  <c r="D7" i="8" s="1"/>
  <c r="H46" i="11"/>
  <c r="H55" i="11"/>
  <c r="D12" i="8" s="1"/>
  <c r="H61" i="11"/>
  <c r="D18" i="8" s="1"/>
  <c r="H54" i="11"/>
  <c r="D11" i="8" s="1"/>
  <c r="H67" i="11"/>
  <c r="D24" i="8" s="1"/>
  <c r="H47" i="1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Y65" i="11"/>
  <c r="U22" i="8" s="1"/>
  <c r="Y51" i="11"/>
  <c r="U8" i="8" s="1"/>
  <c r="Y56" i="11"/>
  <c r="Y66" i="11"/>
  <c r="U23" i="8" s="1"/>
  <c r="Y68" i="11"/>
  <c r="U25" i="8" s="1"/>
  <c r="Y74" i="11"/>
  <c r="Y67" i="11"/>
  <c r="U24" i="8" s="1"/>
  <c r="G68" i="11"/>
  <c r="C25" i="8" s="1"/>
  <c r="G72" i="11"/>
  <c r="G46" i="11"/>
  <c r="G53" i="11"/>
  <c r="C10" i="8" s="1"/>
  <c r="G51" i="11"/>
  <c r="C8" i="8" s="1"/>
  <c r="G56" i="11"/>
  <c r="G60" i="11"/>
  <c r="C17" i="8" s="1"/>
  <c r="G70" i="11"/>
  <c r="C27" i="8" s="1"/>
  <c r="G61" i="11"/>
  <c r="C18" i="8" s="1"/>
  <c r="G50" i="11"/>
  <c r="C7" i="8" s="1"/>
  <c r="G55" i="11"/>
  <c r="C12" i="8" s="1"/>
  <c r="G73" i="1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V56" i="11"/>
  <c r="V52" i="11"/>
  <c r="R9" i="8" s="1"/>
  <c r="V58" i="11"/>
  <c r="R15" i="8" s="1"/>
  <c r="V48" i="11"/>
  <c r="R5" i="8" s="1"/>
  <c r="V46" i="1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R7" i="8" s="1"/>
  <c r="V55" i="11"/>
  <c r="R12" i="8" s="1"/>
  <c r="V73" i="11"/>
  <c r="V54" i="11"/>
  <c r="R11" i="8" s="1"/>
  <c r="AL67" i="11"/>
  <c r="AH24" i="8" s="1"/>
  <c r="W59" i="11"/>
  <c r="S16" i="8" s="1"/>
  <c r="L59" i="11"/>
  <c r="H16" i="8" s="1"/>
  <c r="V47" i="11"/>
  <c r="V41" i="11"/>
  <c r="M56" i="11"/>
  <c r="M66" i="11"/>
  <c r="I23" i="8" s="1"/>
  <c r="M65" i="11"/>
  <c r="I22" i="8" s="1"/>
  <c r="M50" i="11"/>
  <c r="I7" i="8" s="1"/>
  <c r="M55" i="11"/>
  <c r="I12" i="8" s="1"/>
  <c r="M73" i="11"/>
  <c r="M54" i="11"/>
  <c r="I11" i="8" s="1"/>
  <c r="M72" i="11"/>
  <c r="M46" i="11"/>
  <c r="M71" i="11"/>
  <c r="I28" i="8" s="1"/>
  <c r="M52" i="11"/>
  <c r="I9" i="8" s="1"/>
  <c r="M58" i="11"/>
  <c r="I15" i="8" s="1"/>
  <c r="M48" i="11"/>
  <c r="I5" i="8" s="1"/>
  <c r="M62" i="11"/>
  <c r="I19" i="8" s="1"/>
  <c r="M74" i="11"/>
  <c r="G69" i="11"/>
  <c r="C26" i="8" s="1"/>
  <c r="N69" i="11"/>
  <c r="J26" i="8" s="1"/>
  <c r="R69" i="11"/>
  <c r="N26" i="8" s="1"/>
  <c r="AH57" i="11"/>
  <c r="AC57" i="11"/>
  <c r="AB47" i="11"/>
  <c r="N74" i="11"/>
  <c r="K74" i="1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P71" i="11"/>
  <c r="L28" i="8" s="1"/>
  <c r="P65" i="11"/>
  <c r="L22" i="8" s="1"/>
  <c r="P52" i="11"/>
  <c r="L9" i="8" s="1"/>
  <c r="P66" i="11"/>
  <c r="L23" i="8" s="1"/>
  <c r="P51" i="11"/>
  <c r="L8" i="8" s="1"/>
  <c r="P56" i="11"/>
  <c r="P60" i="11"/>
  <c r="L17" i="8" s="1"/>
  <c r="P68" i="11"/>
  <c r="L25" i="8" s="1"/>
  <c r="P72" i="11"/>
  <c r="P50" i="11"/>
  <c r="L7" i="8" s="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I53" i="11"/>
  <c r="E10" i="8" s="1"/>
  <c r="AG48" i="11"/>
  <c r="AC5" i="8" s="1"/>
  <c r="O55" i="11"/>
  <c r="K12" i="8" s="1"/>
  <c r="AC46" i="11"/>
  <c r="AI72" i="11"/>
  <c r="O65" i="11"/>
  <c r="K22" i="8" s="1"/>
  <c r="AE63" i="11"/>
  <c r="AA20" i="8" s="1"/>
  <c r="T63" i="11"/>
  <c r="P20" i="8" s="1"/>
  <c r="J49" i="11"/>
  <c r="F6" i="8" s="1"/>
  <c r="AF47" i="11"/>
  <c r="N56" i="11"/>
  <c r="N71" i="11"/>
  <c r="J28" i="8" s="1"/>
  <c r="N68" i="11"/>
  <c r="J25" i="8" s="1"/>
  <c r="N72" i="11"/>
  <c r="N46" i="11"/>
  <c r="N47" i="1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J7" i="8" s="1"/>
  <c r="N55" i="11"/>
  <c r="J12" i="8" s="1"/>
  <c r="N73" i="11"/>
  <c r="N54" i="11"/>
  <c r="J11" i="8" s="1"/>
  <c r="N57" i="1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L69" i="11"/>
  <c r="H26" i="8" s="1"/>
  <c r="V69" i="11"/>
  <c r="R26" i="8" s="1"/>
  <c r="AH69" i="11"/>
  <c r="AD26" i="8" s="1"/>
  <c r="AL57" i="1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J65" i="11"/>
  <c r="AF22" i="8" s="1"/>
  <c r="AJ50" i="11"/>
  <c r="AF7" i="8" s="1"/>
  <c r="AJ47" i="11"/>
  <c r="AJ73" i="1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AA61" i="11"/>
  <c r="W18" i="8" s="1"/>
  <c r="AA74" i="11"/>
  <c r="Y53" i="11"/>
  <c r="U10" i="8" s="1"/>
  <c r="R61" i="11"/>
  <c r="N18" i="8" s="1"/>
  <c r="Y48" i="11"/>
  <c r="U5" i="8" s="1"/>
  <c r="AE55" i="11"/>
  <c r="AA12" i="8" s="1"/>
  <c r="R46" i="11"/>
  <c r="AD72" i="11"/>
  <c r="AK48" i="11"/>
  <c r="AG5" i="8" s="1"/>
  <c r="U67" i="11"/>
  <c r="Q24" i="8" s="1"/>
  <c r="W50" i="11"/>
  <c r="S7" i="8" s="1"/>
  <c r="W55" i="11"/>
  <c r="S12" i="8" s="1"/>
  <c r="W73" i="11"/>
  <c r="W54" i="11"/>
  <c r="S11" i="8" s="1"/>
  <c r="W48" i="11"/>
  <c r="S5" i="8" s="1"/>
  <c r="W72" i="11"/>
  <c r="W71" i="11"/>
  <c r="S28" i="8" s="1"/>
  <c r="W52" i="11"/>
  <c r="S9" i="8" s="1"/>
  <c r="W60" i="11"/>
  <c r="S17" i="8" s="1"/>
  <c r="W49" i="11"/>
  <c r="S6" i="8" s="1"/>
  <c r="W47" i="11"/>
  <c r="W46" i="11"/>
  <c r="W53" i="11"/>
  <c r="S10" i="8" s="1"/>
  <c r="W51" i="11"/>
  <c r="S8" i="8" s="1"/>
  <c r="W61" i="11"/>
  <c r="S18" i="8" s="1"/>
  <c r="W65" i="11"/>
  <c r="S22" i="8" s="1"/>
  <c r="W56" i="11"/>
  <c r="W70" i="11"/>
  <c r="S27" i="8" s="1"/>
  <c r="W74" i="11"/>
  <c r="V67" i="11"/>
  <c r="R24" i="8" s="1"/>
  <c r="R49" i="11"/>
  <c r="N6" i="8" s="1"/>
  <c r="U49" i="11"/>
  <c r="Q6" i="8" s="1"/>
  <c r="AI41" i="11"/>
  <c r="AE41" i="11"/>
  <c r="F52" i="11"/>
  <c r="B9" i="8" s="1"/>
  <c r="F48" i="11"/>
  <c r="F72" i="11"/>
  <c r="B29" i="8" s="1"/>
  <c r="F46" i="11"/>
  <c r="F58" i="11"/>
  <c r="B15" i="8" s="1"/>
  <c r="F62" i="11"/>
  <c r="B19" i="8" s="1"/>
  <c r="F53" i="11"/>
  <c r="B10" i="8" s="1"/>
  <c r="F51" i="11"/>
  <c r="F60" i="11"/>
  <c r="B17" i="8" s="1"/>
  <c r="F61" i="11"/>
  <c r="B18" i="8" s="1"/>
  <c r="F65" i="11"/>
  <c r="F64" i="11"/>
  <c r="B21" i="8" s="1"/>
  <c r="I67" i="11"/>
  <c r="E24" i="8" s="1"/>
  <c r="T67" i="11"/>
  <c r="P24" i="8" s="1"/>
  <c r="AL47" i="11"/>
  <c r="H57" i="11"/>
  <c r="AF46" i="11"/>
  <c r="AF64" i="11"/>
  <c r="AB21" i="8" s="1"/>
  <c r="AF66" i="11"/>
  <c r="AB23" i="8" s="1"/>
  <c r="AF72" i="11"/>
  <c r="AF50" i="11"/>
  <c r="AB7" i="8" s="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AB64" i="11"/>
  <c r="X21" i="8" s="1"/>
  <c r="AB48" i="11"/>
  <c r="X5" i="8" s="1"/>
  <c r="AB46" i="11"/>
  <c r="AB56" i="11"/>
  <c r="AB58" i="11"/>
  <c r="X15" i="8" s="1"/>
  <c r="AB70" i="11"/>
  <c r="X27" i="8" s="1"/>
  <c r="AB74" i="1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AB65" i="11"/>
  <c r="X22" i="8" s="1"/>
  <c r="AB50" i="11"/>
  <c r="X7" i="8" s="1"/>
  <c r="AB73" i="11"/>
  <c r="AB54" i="11"/>
  <c r="X11" i="8" s="1"/>
  <c r="AB60" i="11"/>
  <c r="X17" i="8" s="1"/>
  <c r="AB67" i="11"/>
  <c r="X24" i="8" s="1"/>
  <c r="AI74" i="11"/>
  <c r="Y70" i="11"/>
  <c r="U27" i="8" s="1"/>
  <c r="L70" i="11"/>
  <c r="H27" i="8" s="1"/>
  <c r="Q68" i="11"/>
  <c r="M25" i="8" s="1"/>
  <c r="F68" i="11"/>
  <c r="B25" i="8" s="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E7" i="8" s="1"/>
  <c r="AF51" i="11"/>
  <c r="AB8" i="8" s="1"/>
  <c r="L73" i="11"/>
  <c r="N52" i="11"/>
  <c r="J9" i="8" s="1"/>
  <c r="K51" i="11"/>
  <c r="G8" i="8" s="1"/>
  <c r="K65" i="11"/>
  <c r="G22" i="8" s="1"/>
  <c r="K56" i="1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Q53" i="11"/>
  <c r="M10" i="8" s="1"/>
  <c r="Q65" i="11"/>
  <c r="M22" i="8" s="1"/>
  <c r="Q50" i="11"/>
  <c r="M7" i="8" s="1"/>
  <c r="Q73" i="11"/>
  <c r="Q57" i="11"/>
  <c r="Q58" i="11"/>
  <c r="M15" i="8" s="1"/>
  <c r="Q71" i="11"/>
  <c r="M28" i="8" s="1"/>
  <c r="Q52" i="11"/>
  <c r="M9" i="8" s="1"/>
  <c r="Q46" i="1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C48" i="11"/>
  <c r="Y5" i="8" s="1"/>
  <c r="U68" i="11"/>
  <c r="Q25" i="8" s="1"/>
  <c r="U57" i="11"/>
  <c r="U47" i="11"/>
  <c r="I73" i="11"/>
  <c r="I51" i="11"/>
  <c r="E8" i="8" s="1"/>
  <c r="I61" i="11"/>
  <c r="E18" i="8" s="1"/>
  <c r="I56" i="1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H7" i="8" s="1"/>
  <c r="AL46" i="11"/>
  <c r="AL55" i="11"/>
  <c r="AH12" i="8" s="1"/>
  <c r="AL73" i="11"/>
  <c r="AL54" i="11"/>
  <c r="AH11" i="8" s="1"/>
  <c r="AL48" i="11"/>
  <c r="AH5" i="8" s="1"/>
  <c r="AL56" i="11"/>
  <c r="AL71" i="11"/>
  <c r="AH28" i="8" s="1"/>
  <c r="AL72" i="1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L41" i="11"/>
  <c r="AG61" i="11"/>
  <c r="AC18" i="8" s="1"/>
  <c r="AG62" i="11"/>
  <c r="AC19" i="8" s="1"/>
  <c r="AG60" i="11"/>
  <c r="AC17" i="8" s="1"/>
  <c r="AG69" i="11"/>
  <c r="AC26" i="8" s="1"/>
  <c r="AG47" i="11"/>
  <c r="AG73" i="11"/>
  <c r="AG51" i="11"/>
  <c r="AC8" i="8" s="1"/>
  <c r="AG56" i="1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V57" i="11"/>
  <c r="Y58" i="11"/>
  <c r="U15" i="8" s="1"/>
  <c r="T55" i="11"/>
  <c r="P12" i="8" s="1"/>
  <c r="G74" i="11"/>
  <c r="Q74" i="1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AA54" i="11"/>
  <c r="W11" i="8" s="1"/>
  <c r="AG54" i="11"/>
  <c r="AC11" i="8" s="1"/>
  <c r="AA72" i="1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H55" i="11"/>
  <c r="AD12" i="8" s="1"/>
  <c r="AH73" i="11"/>
  <c r="AH48" i="11"/>
  <c r="AD5" i="8" s="1"/>
  <c r="AH61" i="11"/>
  <c r="AD18" i="8" s="1"/>
  <c r="AH50" i="11"/>
  <c r="AD7" i="8" s="1"/>
  <c r="AH71" i="11"/>
  <c r="AD28" i="8" s="1"/>
  <c r="AH52" i="11"/>
  <c r="AD9" i="8" s="1"/>
  <c r="AH60" i="11"/>
  <c r="AD17" i="8" s="1"/>
  <c r="AH59" i="11"/>
  <c r="AD16" i="8" s="1"/>
  <c r="AC73" i="11"/>
  <c r="AA53" i="11"/>
  <c r="W10" i="8" s="1"/>
  <c r="I55" i="11"/>
  <c r="E12" i="8" s="1"/>
  <c r="F71" i="11"/>
  <c r="B28" i="8" s="1"/>
  <c r="AG55" i="11"/>
  <c r="AC12" i="8" s="1"/>
  <c r="AH46" i="11"/>
  <c r="I48" i="11"/>
  <c r="E5" i="8" s="1"/>
  <c r="L49" i="11"/>
  <c r="H6" i="8" s="1"/>
  <c r="AI58" i="11"/>
  <c r="AE15" i="8" s="1"/>
  <c r="AI56" i="1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E69" i="11"/>
  <c r="AA26" i="8" s="1"/>
  <c r="AE58" i="11"/>
  <c r="AA15" i="8" s="1"/>
  <c r="AE62" i="11"/>
  <c r="AA19" i="8" s="1"/>
  <c r="AE72" i="11"/>
  <c r="AE46" i="11"/>
  <c r="AE53" i="11"/>
  <c r="AA10" i="8" s="1"/>
  <c r="AE51" i="11"/>
  <c r="AA8" i="8" s="1"/>
  <c r="AE56" i="1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L47" i="11"/>
  <c r="L56" i="11"/>
  <c r="L60" i="11"/>
  <c r="H17" i="8" s="1"/>
  <c r="L71" i="11"/>
  <c r="H28" i="8" s="1"/>
  <c r="L53" i="11"/>
  <c r="H10" i="8" s="1"/>
  <c r="L72" i="11"/>
  <c r="L65" i="11"/>
  <c r="H22" i="8" s="1"/>
  <c r="L64" i="11"/>
  <c r="H21" i="8" s="1"/>
  <c r="T74" i="1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L54" i="11"/>
  <c r="H11" i="8" s="1"/>
  <c r="F73" i="11"/>
  <c r="B30" i="8" s="1"/>
  <c r="V71" i="11"/>
  <c r="R28" i="8" s="1"/>
  <c r="Y50" i="11"/>
  <c r="U7" i="8" s="1"/>
  <c r="P48" i="11"/>
  <c r="L5" i="8" s="1"/>
  <c r="Z59" i="11"/>
  <c r="V16" i="8" s="1"/>
  <c r="AC47" i="11"/>
  <c r="Q47" i="11"/>
  <c r="AL49" i="11"/>
  <c r="AH6" i="8" s="1"/>
  <c r="AK50" i="11"/>
  <c r="AG7" i="8" s="1"/>
  <c r="AK55" i="11"/>
  <c r="AG12" i="8" s="1"/>
  <c r="AK73" i="11"/>
  <c r="AK54" i="11"/>
  <c r="AG11" i="8" s="1"/>
  <c r="AK72" i="11"/>
  <c r="AK71" i="11"/>
  <c r="AG28" i="8" s="1"/>
  <c r="AK52" i="11"/>
  <c r="AG9" i="8" s="1"/>
  <c r="AK68" i="11"/>
  <c r="AG25" i="8" s="1"/>
  <c r="AK69" i="11"/>
  <c r="AG26" i="8" s="1"/>
  <c r="AK56" i="1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G57" i="1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AE74" i="11"/>
  <c r="J74" i="1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R50" i="11"/>
  <c r="N7" i="8" s="1"/>
  <c r="AC53" i="11"/>
  <c r="Y10" i="8" s="1"/>
  <c r="G71" i="11"/>
  <c r="C28" i="8" s="1"/>
  <c r="AI55" i="11"/>
  <c r="AE12" i="8" s="1"/>
  <c r="AJ46" i="11"/>
  <c r="AF57" i="11"/>
  <c r="L50" i="11"/>
  <c r="H7" i="8" s="1"/>
  <c r="U74" i="11"/>
  <c r="S69" i="11"/>
  <c r="O26" i="8" s="1"/>
  <c r="T57" i="1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T54" i="11"/>
  <c r="P11" i="8" s="1"/>
  <c r="AA51" i="11"/>
  <c r="W8" i="8" s="1"/>
  <c r="K73" i="11"/>
  <c r="T73" i="11"/>
  <c r="J73" i="11"/>
  <c r="AG53" i="11"/>
  <c r="AC10" i="8" s="1"/>
  <c r="AI53" i="11"/>
  <c r="AE10" i="8" s="1"/>
  <c r="AA49" i="11"/>
  <c r="W6" i="8" s="1"/>
  <c r="J55" i="11"/>
  <c r="F12" i="8" s="1"/>
  <c r="X46" i="11"/>
  <c r="AA46" i="11"/>
  <c r="I72" i="11"/>
  <c r="J72" i="11"/>
  <c r="T50" i="11"/>
  <c r="P7" i="8" s="1"/>
  <c r="J48" i="11"/>
  <c r="F5" i="8" s="1"/>
  <c r="U48" i="11"/>
  <c r="Q5" i="8" s="1"/>
  <c r="X48" i="11"/>
  <c r="T5" i="8" s="1"/>
  <c r="AI51" i="11"/>
  <c r="AE8" i="8" s="1"/>
  <c r="Z47" i="11"/>
  <c r="R73" i="11"/>
  <c r="N41" i="11"/>
  <c r="R55" i="11"/>
  <c r="N12" i="8" s="1"/>
  <c r="U46" i="11"/>
  <c r="AI46" i="11"/>
  <c r="R72" i="11"/>
  <c r="T72" i="11"/>
  <c r="Z50" i="11"/>
  <c r="V7" i="8" s="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G50" i="11"/>
  <c r="AC7" i="8" s="1"/>
  <c r="X50" i="11"/>
  <c r="T7" i="8" s="1"/>
  <c r="K48" i="11"/>
  <c r="G5" i="8" s="1"/>
  <c r="S64" i="11"/>
  <c r="O21" i="8" s="1"/>
  <c r="T56" i="11"/>
  <c r="Z65" i="11"/>
  <c r="V22" i="8" s="1"/>
  <c r="R51" i="11"/>
  <c r="N8" i="8" s="1"/>
  <c r="AI47" i="11"/>
  <c r="AI73" i="11"/>
  <c r="Z53" i="11"/>
  <c r="V10" i="8" s="1"/>
  <c r="S71" i="11"/>
  <c r="O28" i="8" s="1"/>
  <c r="X47" i="11"/>
  <c r="J46" i="11"/>
  <c r="I46" i="11"/>
  <c r="T46" i="11"/>
  <c r="AI65" i="11"/>
  <c r="AE22" i="8" s="1"/>
  <c r="AG72" i="11"/>
  <c r="X72" i="11"/>
  <c r="I50" i="11"/>
  <c r="E7" i="8" s="1"/>
  <c r="K50" i="11"/>
  <c r="G7" i="8" s="1"/>
  <c r="S48" i="11"/>
  <c r="O5" i="8" s="1"/>
  <c r="S57" i="11"/>
  <c r="T66" i="11"/>
  <c r="P23" i="8" s="1"/>
  <c r="R62" i="11"/>
  <c r="N19" i="8" s="1"/>
  <c r="AA60" i="11"/>
  <c r="W17" i="8" s="1"/>
  <c r="U58" i="11"/>
  <c r="Q15" i="8" s="1"/>
  <c r="X56" i="11"/>
  <c r="Z56" i="1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K47" i="11"/>
  <c r="AA71" i="11"/>
  <c r="W28" i="8" s="1"/>
  <c r="AG71" i="11"/>
  <c r="AC28" i="8" s="1"/>
  <c r="U55" i="11"/>
  <c r="Q12" i="8" s="1"/>
  <c r="K55" i="11"/>
  <c r="G12" i="8" s="1"/>
  <c r="K72" i="11"/>
  <c r="S50" i="11"/>
  <c r="O7" i="8" s="1"/>
  <c r="U50" i="11"/>
  <c r="Q7" i="8" s="1"/>
  <c r="AA48" i="11"/>
  <c r="W5" i="8" s="1"/>
  <c r="Y72" i="11"/>
  <c r="S72" i="11"/>
  <c r="AA50" i="11"/>
  <c r="W7" i="8" s="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5" i="4"/>
  <c r="D36" i="4"/>
  <c r="D37" i="4"/>
  <c r="D34" i="4"/>
  <c r="Q14" i="8" l="1"/>
  <c r="U114" i="11"/>
  <c r="E14" i="8"/>
  <c r="I114" i="11"/>
  <c r="Q4" i="8"/>
  <c r="U115" i="11"/>
  <c r="M14" i="8"/>
  <c r="Q114" i="11"/>
  <c r="AF4" i="8"/>
  <c r="AJ115" i="11"/>
  <c r="AD14" i="8"/>
  <c r="AH114" i="11"/>
  <c r="N14" i="8"/>
  <c r="R114" i="11"/>
  <c r="G14" i="8"/>
  <c r="K114" i="11"/>
  <c r="H14" i="8"/>
  <c r="L114" i="11"/>
  <c r="AE14" i="8"/>
  <c r="AI114" i="11"/>
  <c r="C14" i="8"/>
  <c r="G114" i="11"/>
  <c r="D14" i="8"/>
  <c r="H114" i="11"/>
  <c r="AB4" i="8"/>
  <c r="AF115" i="11"/>
  <c r="AC14" i="8"/>
  <c r="AG114" i="11"/>
  <c r="AG4" i="8"/>
  <c r="AK115" i="11"/>
  <c r="W14" i="8"/>
  <c r="AA114" i="11"/>
  <c r="X14" i="8"/>
  <c r="AB114" i="11"/>
  <c r="AH4" i="8"/>
  <c r="AL115" i="11"/>
  <c r="AH14" i="8"/>
  <c r="AL114" i="11"/>
  <c r="AA14" i="8"/>
  <c r="AE114" i="11"/>
  <c r="O4" i="8"/>
  <c r="S115" i="11"/>
  <c r="I4" i="8"/>
  <c r="M115" i="11"/>
  <c r="Z14" i="8"/>
  <c r="AD114" i="11"/>
  <c r="AG14" i="8"/>
  <c r="AK114" i="11"/>
  <c r="W4" i="8"/>
  <c r="AA115" i="11"/>
  <c r="J4" i="8"/>
  <c r="N115" i="11"/>
  <c r="R4" i="8"/>
  <c r="V115" i="11"/>
  <c r="D4" i="8"/>
  <c r="H115" i="11"/>
  <c r="I14" i="8"/>
  <c r="M114" i="11"/>
  <c r="K4" i="8"/>
  <c r="O115" i="11"/>
  <c r="P4" i="8"/>
  <c r="T115" i="11"/>
  <c r="AF14" i="8"/>
  <c r="AJ114" i="11"/>
  <c r="AD4" i="8"/>
  <c r="AH115" i="11"/>
  <c r="P14" i="8"/>
  <c r="T114" i="11"/>
  <c r="AE4" i="8"/>
  <c r="AI115" i="11"/>
  <c r="V4" i="8"/>
  <c r="Z115" i="11"/>
  <c r="AB14" i="8"/>
  <c r="AF114" i="11"/>
  <c r="M4" i="8"/>
  <c r="Q115" i="11"/>
  <c r="E4" i="8"/>
  <c r="I115" i="11"/>
  <c r="I116" i="11" s="1"/>
  <c r="C4" i="8"/>
  <c r="G115" i="11"/>
  <c r="V14" i="8"/>
  <c r="Z114" i="11"/>
  <c r="L4" i="8"/>
  <c r="P115" i="11"/>
  <c r="L14" i="8"/>
  <c r="P114" i="11"/>
  <c r="Y4" i="8"/>
  <c r="AC115" i="11"/>
  <c r="H4" i="8"/>
  <c r="L115" i="11"/>
  <c r="L116" i="11" s="1"/>
  <c r="AA4" i="8"/>
  <c r="AE115" i="11"/>
  <c r="J14" i="8"/>
  <c r="N114" i="11"/>
  <c r="X4" i="8"/>
  <c r="AB115" i="11"/>
  <c r="U14" i="8"/>
  <c r="Y114" i="11"/>
  <c r="T4" i="8"/>
  <c r="X115" i="11"/>
  <c r="G4" i="8"/>
  <c r="K115" i="11"/>
  <c r="O14" i="8"/>
  <c r="S114" i="11"/>
  <c r="R14" i="8"/>
  <c r="V114" i="11"/>
  <c r="AC4" i="8"/>
  <c r="AG115" i="11"/>
  <c r="AG116" i="11" s="1"/>
  <c r="S4" i="8"/>
  <c r="W115" i="11"/>
  <c r="Z4" i="8"/>
  <c r="AD115" i="11"/>
  <c r="Y14" i="8"/>
  <c r="AC114" i="11"/>
  <c r="K14" i="8"/>
  <c r="O114" i="11"/>
  <c r="N4" i="8"/>
  <c r="R115" i="11"/>
  <c r="R116" i="11" s="1"/>
  <c r="S14" i="8"/>
  <c r="W114" i="11"/>
  <c r="U4" i="8"/>
  <c r="Y115" i="11"/>
  <c r="Y116" i="11" s="1"/>
  <c r="F14" i="8"/>
  <c r="J114" i="11"/>
  <c r="T14" i="8"/>
  <c r="X114" i="11"/>
  <c r="F4" i="8"/>
  <c r="J115" i="11"/>
  <c r="B4" i="8"/>
  <c r="F115" i="11"/>
  <c r="B14" i="8"/>
  <c r="F114" i="11"/>
  <c r="F114" i="12"/>
  <c r="B46" i="8"/>
  <c r="AA13" i="8"/>
  <c r="AH3" i="8"/>
  <c r="Q13" i="8"/>
  <c r="E3" i="8"/>
  <c r="H3" i="8"/>
  <c r="AD3" i="8"/>
  <c r="X3" i="8"/>
  <c r="P3" i="8"/>
  <c r="X13" i="8"/>
  <c r="S3" i="8"/>
  <c r="F3" i="8"/>
  <c r="P13" i="8"/>
  <c r="AE3" i="8"/>
  <c r="W13" i="8"/>
  <c r="K13" i="8"/>
  <c r="Y3" i="8"/>
  <c r="L13" i="8"/>
  <c r="C13" i="8"/>
  <c r="Z3" i="8"/>
  <c r="AD13" i="8"/>
  <c r="V13" i="8"/>
  <c r="Q3" i="8"/>
  <c r="M13" i="8"/>
  <c r="AA3" i="8"/>
  <c r="AH13" i="8"/>
  <c r="AB3" i="8"/>
  <c r="S13" i="8"/>
  <c r="J13" i="8"/>
  <c r="D3" i="8"/>
  <c r="T3" i="8"/>
  <c r="T13" i="8"/>
  <c r="AG13" i="8"/>
  <c r="I3" i="8"/>
  <c r="I13" i="8"/>
  <c r="R3" i="8"/>
  <c r="U13" i="8"/>
  <c r="Z13" i="8"/>
  <c r="Y13" i="8"/>
  <c r="K3" i="8"/>
  <c r="AF3" i="8"/>
  <c r="O3" i="8"/>
  <c r="G3" i="8"/>
  <c r="F13" i="8"/>
  <c r="AE13" i="8"/>
  <c r="C3" i="8"/>
  <c r="N13" i="8"/>
  <c r="AF13" i="8"/>
  <c r="AC13" i="8"/>
  <c r="E13" i="8"/>
  <c r="AG3" i="8"/>
  <c r="M3" i="8"/>
  <c r="D13" i="8"/>
  <c r="L3" i="8"/>
  <c r="R13" i="8"/>
  <c r="O13" i="8"/>
  <c r="AC3" i="8"/>
  <c r="W3" i="8"/>
  <c r="AB13" i="8"/>
  <c r="H13" i="8"/>
  <c r="G13" i="8"/>
  <c r="N3" i="8"/>
  <c r="J3" i="8"/>
  <c r="U3" i="8"/>
  <c r="V3" i="8"/>
  <c r="I42" i="8"/>
  <c r="M115" i="12"/>
  <c r="M116" i="12"/>
  <c r="C45" i="8"/>
  <c r="G114" i="12"/>
  <c r="Y42" i="8"/>
  <c r="AC115" i="12"/>
  <c r="AC116" i="12"/>
  <c r="Y45" i="8"/>
  <c r="AC114" i="12"/>
  <c r="AA45" i="8"/>
  <c r="AE114" i="12"/>
  <c r="AG45" i="8"/>
  <c r="AK114" i="12"/>
  <c r="L42" i="8"/>
  <c r="P115" i="12"/>
  <c r="P116" i="12"/>
  <c r="G42" i="8"/>
  <c r="K115" i="12"/>
  <c r="K116" i="12"/>
  <c r="Q45" i="8"/>
  <c r="U114" i="12"/>
  <c r="C42" i="8"/>
  <c r="G115" i="12"/>
  <c r="G116" i="12"/>
  <c r="E45" i="8"/>
  <c r="I114" i="12"/>
  <c r="K45" i="8"/>
  <c r="O114" i="12"/>
  <c r="AE45" i="8"/>
  <c r="AI114" i="12"/>
  <c r="D45" i="8"/>
  <c r="H114" i="12"/>
  <c r="AF42" i="8"/>
  <c r="AJ115" i="12"/>
  <c r="AJ116" i="12"/>
  <c r="AB42" i="8"/>
  <c r="AF115" i="12"/>
  <c r="AF116" i="12"/>
  <c r="V42" i="8"/>
  <c r="Z115" i="12"/>
  <c r="Z116" i="12"/>
  <c r="AH42" i="8"/>
  <c r="AL115" i="12"/>
  <c r="AL116" i="12"/>
  <c r="Q42" i="8"/>
  <c r="U115" i="12"/>
  <c r="U116" i="12"/>
  <c r="P42" i="8"/>
  <c r="T116" i="12"/>
  <c r="T115" i="12"/>
  <c r="F45" i="8"/>
  <c r="J114" i="12"/>
  <c r="U45" i="8"/>
  <c r="Y114" i="12"/>
  <c r="AF45" i="8"/>
  <c r="AJ114" i="12"/>
  <c r="Z45" i="8"/>
  <c r="AD114" i="12"/>
  <c r="N45" i="8"/>
  <c r="R114" i="12"/>
  <c r="AB45" i="8"/>
  <c r="AF114" i="12"/>
  <c r="AH45" i="8"/>
  <c r="AL114" i="12"/>
  <c r="O42" i="8"/>
  <c r="S115" i="12"/>
  <c r="S116" i="12"/>
  <c r="J45" i="8"/>
  <c r="N114" i="12"/>
  <c r="M45" i="8"/>
  <c r="Q114" i="12"/>
  <c r="M42" i="8"/>
  <c r="Q115" i="12"/>
  <c r="Q116" i="12"/>
  <c r="R45" i="8"/>
  <c r="V114" i="12"/>
  <c r="Z42" i="8"/>
  <c r="AD115" i="12"/>
  <c r="AD116" i="12"/>
  <c r="G45" i="8"/>
  <c r="K114" i="12"/>
  <c r="H45" i="8"/>
  <c r="L114" i="12"/>
  <c r="AC45" i="8"/>
  <c r="AG114" i="12"/>
  <c r="J42" i="8"/>
  <c r="N115" i="12"/>
  <c r="N116" i="12"/>
  <c r="X42" i="8"/>
  <c r="AB116" i="12"/>
  <c r="AB115" i="12"/>
  <c r="R42" i="8"/>
  <c r="V115" i="12"/>
  <c r="V116" i="12"/>
  <c r="U42" i="8"/>
  <c r="Y115" i="12"/>
  <c r="Y116" i="12"/>
  <c r="N42" i="8"/>
  <c r="R115" i="12"/>
  <c r="R116" i="12"/>
  <c r="V45" i="8"/>
  <c r="Z114" i="12"/>
  <c r="AD42" i="8"/>
  <c r="AH115" i="12"/>
  <c r="AH116" i="12"/>
  <c r="I45" i="8"/>
  <c r="M114" i="12"/>
  <c r="AE42" i="8"/>
  <c r="AI115" i="12"/>
  <c r="AI116" i="12"/>
  <c r="AC42" i="8"/>
  <c r="AG115" i="12"/>
  <c r="AG116" i="12"/>
  <c r="W42" i="8"/>
  <c r="AA115" i="12"/>
  <c r="AA116" i="12"/>
  <c r="K42" i="8"/>
  <c r="O115" i="12"/>
  <c r="O116" i="12"/>
  <c r="E42" i="8"/>
  <c r="I115" i="12"/>
  <c r="I116" i="12"/>
  <c r="P45" i="8"/>
  <c r="T114" i="12"/>
  <c r="S42" i="8"/>
  <c r="W115" i="12"/>
  <c r="W116" i="12"/>
  <c r="X45" i="8"/>
  <c r="AB114" i="12"/>
  <c r="AA42" i="8"/>
  <c r="AE115" i="12"/>
  <c r="AE116" i="12"/>
  <c r="L45" i="8"/>
  <c r="P114" i="12"/>
  <c r="W45" i="8"/>
  <c r="AA114" i="12"/>
  <c r="D42" i="8"/>
  <c r="H115" i="12"/>
  <c r="H116" i="12"/>
  <c r="H42" i="8"/>
  <c r="L115" i="12"/>
  <c r="L116" i="12"/>
  <c r="S45" i="8"/>
  <c r="W114" i="12"/>
  <c r="AG42" i="8"/>
  <c r="AK115" i="12"/>
  <c r="AK116" i="12"/>
  <c r="F42" i="8"/>
  <c r="J115" i="12"/>
  <c r="J116" i="12"/>
  <c r="O45" i="8"/>
  <c r="S114" i="12"/>
  <c r="AD45" i="8"/>
  <c r="AH114" i="12"/>
  <c r="T42" i="8"/>
  <c r="X115" i="12"/>
  <c r="X116" i="12"/>
  <c r="T45" i="8"/>
  <c r="X114" i="12"/>
  <c r="F116" i="12"/>
  <c r="F115" i="12"/>
  <c r="B42" i="8"/>
  <c r="B45" i="8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AH116" i="11" l="1"/>
  <c r="AB116" i="11"/>
  <c r="AD116" i="11"/>
  <c r="G116" i="11"/>
  <c r="AI116" i="11"/>
  <c r="U116" i="11"/>
  <c r="H116" i="11"/>
  <c r="J116" i="11"/>
  <c r="AC116" i="11"/>
  <c r="Z116" i="11"/>
  <c r="T116" i="11"/>
  <c r="F116" i="11"/>
  <c r="W116" i="11"/>
  <c r="K116" i="11"/>
  <c r="V116" i="11"/>
  <c r="AK116" i="11"/>
  <c r="X116" i="11"/>
  <c r="AE116" i="11"/>
  <c r="P116" i="11"/>
  <c r="Q116" i="11"/>
  <c r="O116" i="11"/>
  <c r="N116" i="11"/>
  <c r="M116" i="11"/>
  <c r="AL116" i="11"/>
  <c r="AA116" i="11"/>
  <c r="S116" i="11"/>
  <c r="AF116" i="11"/>
  <c r="AJ116" i="11"/>
  <c r="AE117" i="12"/>
  <c r="J117" i="12"/>
  <c r="V117" i="12"/>
  <c r="I117" i="12"/>
  <c r="AI117" i="12"/>
  <c r="Y117" i="12"/>
  <c r="G117" i="12"/>
  <c r="AD117" i="12"/>
  <c r="P117" i="12"/>
  <c r="L117" i="12"/>
  <c r="N117" i="12"/>
  <c r="O117" i="12"/>
  <c r="AK117" i="12"/>
  <c r="H117" i="12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37" i="4"/>
  <c r="E37" i="4"/>
  <c r="E34" i="4"/>
  <c r="F35" i="4"/>
  <c r="E35" i="4"/>
  <c r="F36" i="4"/>
  <c r="E36" i="4"/>
  <c r="F34" i="4"/>
  <c r="F41" i="4" l="1"/>
  <c r="B114" i="12"/>
  <c r="B115" i="12"/>
  <c r="E122" i="12" a="1"/>
  <c r="AL135" i="12" s="1"/>
  <c r="V29" i="8"/>
  <c r="AC30" i="8"/>
  <c r="N30" i="8"/>
  <c r="U29" i="8"/>
  <c r="AA30" i="8"/>
  <c r="Q30" i="8"/>
  <c r="J31" i="8"/>
  <c r="AD30" i="8"/>
  <c r="I30" i="8"/>
  <c r="AF30" i="8"/>
  <c r="P29" i="8"/>
  <c r="W30" i="8"/>
  <c r="L31" i="8"/>
  <c r="AB30" i="8"/>
  <c r="O31" i="8"/>
  <c r="AA29" i="8"/>
  <c r="AA31" i="8"/>
  <c r="Z31" i="8"/>
  <c r="Y30" i="8"/>
  <c r="L30" i="8"/>
  <c r="P30" i="8"/>
  <c r="N31" i="8"/>
  <c r="AG29" i="8"/>
  <c r="S31" i="8"/>
  <c r="R31" i="8"/>
  <c r="R29" i="8"/>
  <c r="Z30" i="8"/>
  <c r="T30" i="8"/>
  <c r="V30" i="8"/>
  <c r="X30" i="8"/>
  <c r="AD29" i="8"/>
  <c r="AD31" i="8"/>
  <c r="AB31" i="8"/>
  <c r="Z29" i="8"/>
  <c r="U31" i="8"/>
  <c r="J29" i="8"/>
  <c r="AG30" i="8"/>
  <c r="V31" i="8"/>
  <c r="AC29" i="8"/>
  <c r="AF29" i="8"/>
  <c r="AF31" i="8"/>
  <c r="W31" i="8"/>
  <c r="AH30" i="8"/>
  <c r="AE31" i="8"/>
  <c r="O29" i="8"/>
  <c r="AB29" i="8"/>
  <c r="G30" i="8"/>
  <c r="N29" i="8"/>
  <c r="K31" i="8"/>
  <c r="H31" i="8"/>
  <c r="K29" i="8"/>
  <c r="T31" i="8"/>
  <c r="K30" i="8"/>
  <c r="M30" i="8"/>
  <c r="O30" i="8"/>
  <c r="F29" i="8"/>
  <c r="G31" i="8"/>
  <c r="P31" i="8"/>
  <c r="W29" i="8"/>
  <c r="S29" i="8"/>
  <c r="L29" i="8"/>
  <c r="J30" i="8"/>
  <c r="S30" i="8"/>
  <c r="U30" i="8"/>
  <c r="H29" i="8"/>
  <c r="M31" i="8"/>
  <c r="Q31" i="8"/>
  <c r="G29" i="8"/>
  <c r="T29" i="8"/>
  <c r="AE30" i="8"/>
  <c r="AC31" i="8"/>
  <c r="AG31" i="8"/>
  <c r="Q29" i="8"/>
  <c r="AH29" i="8"/>
  <c r="AH31" i="8"/>
  <c r="R30" i="8"/>
  <c r="F30" i="8"/>
  <c r="H30" i="8"/>
  <c r="Y31" i="8"/>
  <c r="F31" i="8"/>
  <c r="Y29" i="8"/>
  <c r="M29" i="8"/>
  <c r="AE29" i="8"/>
  <c r="I31" i="8"/>
  <c r="I29" i="8"/>
  <c r="X31" i="8"/>
  <c r="X29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BA4" i="4" s="1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M73" i="8" s="1"/>
  <c r="X52" i="4"/>
  <c r="T73" i="8" s="1"/>
  <c r="AF52" i="4"/>
  <c r="AB73" i="8" s="1"/>
  <c r="AJ52" i="4"/>
  <c r="AF73" i="8" s="1"/>
  <c r="Y52" i="4"/>
  <c r="U73" i="8" s="1"/>
  <c r="V52" i="4"/>
  <c r="R73" i="8" s="1"/>
  <c r="AB52" i="4"/>
  <c r="X73" i="8" s="1"/>
  <c r="P52" i="4"/>
  <c r="L73" i="8" s="1"/>
  <c r="AG52" i="4"/>
  <c r="AC73" i="8" s="1"/>
  <c r="AH52" i="4"/>
  <c r="AD73" i="8" s="1"/>
  <c r="AA52" i="4"/>
  <c r="W73" i="8" s="1"/>
  <c r="AC52" i="4"/>
  <c r="Y73" i="8" s="1"/>
  <c r="H52" i="4"/>
  <c r="D73" i="8" s="1"/>
  <c r="AK52" i="4"/>
  <c r="AG73" i="8" s="1"/>
  <c r="G52" i="4"/>
  <c r="C73" i="8" s="1"/>
  <c r="L52" i="4"/>
  <c r="H73" i="8" s="1"/>
  <c r="AE52" i="4"/>
  <c r="AA73" i="8" s="1"/>
  <c r="K52" i="4"/>
  <c r="G73" i="8" s="1"/>
  <c r="T52" i="4"/>
  <c r="P73" i="8" s="1"/>
  <c r="S52" i="4"/>
  <c r="O73" i="8" s="1"/>
  <c r="O52" i="4"/>
  <c r="K73" i="8" s="1"/>
  <c r="U52" i="4"/>
  <c r="Q73" i="8" s="1"/>
  <c r="I52" i="4"/>
  <c r="E73" i="8" s="1"/>
  <c r="M52" i="4"/>
  <c r="I73" i="8" s="1"/>
  <c r="AL52" i="4"/>
  <c r="AH73" i="8" s="1"/>
  <c r="Z52" i="4"/>
  <c r="V73" i="8" s="1"/>
  <c r="N52" i="4"/>
  <c r="J73" i="8" s="1"/>
  <c r="AD52" i="4"/>
  <c r="Z73" i="8" s="1"/>
  <c r="W52" i="4"/>
  <c r="S73" i="8" s="1"/>
  <c r="R52" i="4"/>
  <c r="N73" i="8" s="1"/>
  <c r="J52" i="4"/>
  <c r="F73" i="8" s="1"/>
  <c r="AI52" i="4"/>
  <c r="AE73" i="8" s="1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C77" i="8" s="1"/>
  <c r="AH56" i="4"/>
  <c r="AD77" i="8" s="1"/>
  <c r="AA56" i="4"/>
  <c r="W77" i="8" s="1"/>
  <c r="H56" i="4"/>
  <c r="D77" i="8" s="1"/>
  <c r="AK56" i="4"/>
  <c r="AG77" i="8" s="1"/>
  <c r="N56" i="4"/>
  <c r="J77" i="8" s="1"/>
  <c r="K56" i="4"/>
  <c r="G77" i="8" s="1"/>
  <c r="G56" i="4"/>
  <c r="C77" i="8" s="1"/>
  <c r="T56" i="4"/>
  <c r="P77" i="8" s="1"/>
  <c r="Z56" i="4"/>
  <c r="V77" i="8" s="1"/>
  <c r="Q56" i="4"/>
  <c r="M77" i="8" s="1"/>
  <c r="V56" i="4"/>
  <c r="R77" i="8" s="1"/>
  <c r="AC56" i="4"/>
  <c r="Y77" i="8" s="1"/>
  <c r="X56" i="4"/>
  <c r="T77" i="8" s="1"/>
  <c r="AJ56" i="4"/>
  <c r="AF77" i="8" s="1"/>
  <c r="Y56" i="4"/>
  <c r="U77" i="8" s="1"/>
  <c r="AB56" i="4"/>
  <c r="X77" i="8" s="1"/>
  <c r="I56" i="4"/>
  <c r="E77" i="8" s="1"/>
  <c r="M56" i="4"/>
  <c r="I77" i="8" s="1"/>
  <c r="AF56" i="4"/>
  <c r="AB77" i="8" s="1"/>
  <c r="W56" i="4"/>
  <c r="S77" i="8" s="1"/>
  <c r="L56" i="4"/>
  <c r="H77" i="8" s="1"/>
  <c r="AD56" i="4"/>
  <c r="Z77" i="8" s="1"/>
  <c r="R56" i="4"/>
  <c r="N77" i="8" s="1"/>
  <c r="J56" i="4"/>
  <c r="F77" i="8" s="1"/>
  <c r="AI56" i="4"/>
  <c r="AE77" i="8" s="1"/>
  <c r="AE56" i="4"/>
  <c r="AA77" i="8" s="1"/>
  <c r="S56" i="4"/>
  <c r="O77" i="8" s="1"/>
  <c r="P56" i="4"/>
  <c r="L77" i="8" s="1"/>
  <c r="U56" i="4"/>
  <c r="Q77" i="8" s="1"/>
  <c r="AL56" i="4"/>
  <c r="AH77" i="8" s="1"/>
  <c r="O56" i="4"/>
  <c r="K77" i="8" s="1"/>
  <c r="AJ58" i="4"/>
  <c r="AF79" i="8" s="1"/>
  <c r="Y58" i="4"/>
  <c r="U79" i="8" s="1"/>
  <c r="P58" i="4"/>
  <c r="L79" i="8" s="1"/>
  <c r="U58" i="4"/>
  <c r="Q79" i="8" s="1"/>
  <c r="AG58" i="4"/>
  <c r="AC79" i="8" s="1"/>
  <c r="AH58" i="4"/>
  <c r="AD79" i="8" s="1"/>
  <c r="AA58" i="4"/>
  <c r="W79" i="8" s="1"/>
  <c r="H58" i="4"/>
  <c r="D79" i="8" s="1"/>
  <c r="AK58" i="4"/>
  <c r="AG79" i="8" s="1"/>
  <c r="N58" i="4"/>
  <c r="J79" i="8" s="1"/>
  <c r="G58" i="4"/>
  <c r="C79" i="8" s="1"/>
  <c r="T58" i="4"/>
  <c r="P79" i="8" s="1"/>
  <c r="K58" i="4"/>
  <c r="G79" i="8" s="1"/>
  <c r="Z58" i="4"/>
  <c r="V79" i="8" s="1"/>
  <c r="AC58" i="4"/>
  <c r="Y79" i="8" s="1"/>
  <c r="Q58" i="4"/>
  <c r="M79" i="8" s="1"/>
  <c r="V58" i="4"/>
  <c r="R79" i="8" s="1"/>
  <c r="S58" i="4"/>
  <c r="O79" i="8" s="1"/>
  <c r="AL58" i="4"/>
  <c r="AH79" i="8" s="1"/>
  <c r="O58" i="4"/>
  <c r="K79" i="8" s="1"/>
  <c r="AF58" i="4"/>
  <c r="AB79" i="8" s="1"/>
  <c r="AB58" i="4"/>
  <c r="X79" i="8" s="1"/>
  <c r="I58" i="4"/>
  <c r="E79" i="8" s="1"/>
  <c r="L58" i="4"/>
  <c r="H79" i="8" s="1"/>
  <c r="W58" i="4"/>
  <c r="S79" i="8" s="1"/>
  <c r="X58" i="4"/>
  <c r="T79" i="8" s="1"/>
  <c r="AD58" i="4"/>
  <c r="Z79" i="8" s="1"/>
  <c r="R58" i="4"/>
  <c r="N79" i="8" s="1"/>
  <c r="J58" i="4"/>
  <c r="F79" i="8" s="1"/>
  <c r="AI58" i="4"/>
  <c r="AE79" i="8" s="1"/>
  <c r="M58" i="4"/>
  <c r="I79" i="8" s="1"/>
  <c r="AE58" i="4"/>
  <c r="AA79" i="8" s="1"/>
  <c r="Q60" i="4"/>
  <c r="M81" i="8" s="1"/>
  <c r="V60" i="4"/>
  <c r="R81" i="8" s="1"/>
  <c r="X60" i="4"/>
  <c r="T81" i="8" s="1"/>
  <c r="AJ60" i="4"/>
  <c r="AF81" i="8" s="1"/>
  <c r="Y60" i="4"/>
  <c r="U81" i="8" s="1"/>
  <c r="AC60" i="4"/>
  <c r="Y81" i="8" s="1"/>
  <c r="AB60" i="4"/>
  <c r="X81" i="8" s="1"/>
  <c r="P60" i="4"/>
  <c r="L81" i="8" s="1"/>
  <c r="U60" i="4"/>
  <c r="Q81" i="8" s="1"/>
  <c r="AG60" i="4"/>
  <c r="AC81" i="8" s="1"/>
  <c r="AH60" i="4"/>
  <c r="AD81" i="8" s="1"/>
  <c r="AA60" i="4"/>
  <c r="W81" i="8" s="1"/>
  <c r="H60" i="4"/>
  <c r="D81" i="8" s="1"/>
  <c r="AK60" i="4"/>
  <c r="AG81" i="8" s="1"/>
  <c r="N60" i="4"/>
  <c r="J81" i="8" s="1"/>
  <c r="G60" i="4"/>
  <c r="C81" i="8" s="1"/>
  <c r="S60" i="4"/>
  <c r="O81" i="8" s="1"/>
  <c r="M60" i="4"/>
  <c r="I81" i="8" s="1"/>
  <c r="AE60" i="4"/>
  <c r="AA81" i="8" s="1"/>
  <c r="AL60" i="4"/>
  <c r="AH81" i="8" s="1"/>
  <c r="O60" i="4"/>
  <c r="K81" i="8" s="1"/>
  <c r="T60" i="4"/>
  <c r="P81" i="8" s="1"/>
  <c r="AF60" i="4"/>
  <c r="AB81" i="8" s="1"/>
  <c r="L60" i="4"/>
  <c r="H81" i="8" s="1"/>
  <c r="I60" i="4"/>
  <c r="E81" i="8" s="1"/>
  <c r="W60" i="4"/>
  <c r="S81" i="8" s="1"/>
  <c r="Z60" i="4"/>
  <c r="V81" i="8" s="1"/>
  <c r="AD60" i="4"/>
  <c r="Z81" i="8" s="1"/>
  <c r="R60" i="4"/>
  <c r="N81" i="8" s="1"/>
  <c r="J60" i="4"/>
  <c r="F81" i="8" s="1"/>
  <c r="K60" i="4"/>
  <c r="G81" i="8" s="1"/>
  <c r="AI60" i="4"/>
  <c r="AE81" i="8" s="1"/>
  <c r="N62" i="4"/>
  <c r="J83" i="8" s="1"/>
  <c r="G62" i="4"/>
  <c r="C83" i="8" s="1"/>
  <c r="T62" i="4"/>
  <c r="P83" i="8" s="1"/>
  <c r="Z62" i="4"/>
  <c r="V83" i="8" s="1"/>
  <c r="Q62" i="4"/>
  <c r="M83" i="8" s="1"/>
  <c r="S62" i="4"/>
  <c r="O83" i="8" s="1"/>
  <c r="AJ62" i="4"/>
  <c r="AF83" i="8" s="1"/>
  <c r="X62" i="4"/>
  <c r="T83" i="8" s="1"/>
  <c r="Y62" i="4"/>
  <c r="U83" i="8" s="1"/>
  <c r="P62" i="4"/>
  <c r="L83" i="8" s="1"/>
  <c r="AG62" i="4"/>
  <c r="AC83" i="8" s="1"/>
  <c r="AH62" i="4"/>
  <c r="AD83" i="8" s="1"/>
  <c r="AK62" i="4"/>
  <c r="AG83" i="8" s="1"/>
  <c r="AA62" i="4"/>
  <c r="W83" i="8" s="1"/>
  <c r="V62" i="4"/>
  <c r="R83" i="8" s="1"/>
  <c r="U62" i="4"/>
  <c r="Q83" i="8" s="1"/>
  <c r="AC62" i="4"/>
  <c r="Y83" i="8" s="1"/>
  <c r="AD62" i="4"/>
  <c r="Z83" i="8" s="1"/>
  <c r="R62" i="4"/>
  <c r="N83" i="8" s="1"/>
  <c r="M62" i="4"/>
  <c r="I83" i="8" s="1"/>
  <c r="J62" i="4"/>
  <c r="F83" i="8" s="1"/>
  <c r="AI62" i="4"/>
  <c r="AE83" i="8" s="1"/>
  <c r="AE62" i="4"/>
  <c r="AA83" i="8" s="1"/>
  <c r="H62" i="4"/>
  <c r="D83" i="8" s="1"/>
  <c r="AL62" i="4"/>
  <c r="AH83" i="8" s="1"/>
  <c r="AF62" i="4"/>
  <c r="AB83" i="8" s="1"/>
  <c r="O62" i="4"/>
  <c r="K83" i="8" s="1"/>
  <c r="K62" i="4"/>
  <c r="G83" i="8" s="1"/>
  <c r="L62" i="4"/>
  <c r="H83" i="8" s="1"/>
  <c r="AB62" i="4"/>
  <c r="X83" i="8" s="1"/>
  <c r="I62" i="4"/>
  <c r="E83" i="8" s="1"/>
  <c r="W62" i="4"/>
  <c r="S83" i="8" s="1"/>
  <c r="AH64" i="4"/>
  <c r="AD85" i="8" s="1"/>
  <c r="AK64" i="4"/>
  <c r="AG85" i="8" s="1"/>
  <c r="AA64" i="4"/>
  <c r="W85" i="8" s="1"/>
  <c r="H64" i="4"/>
  <c r="D85" i="8" s="1"/>
  <c r="K64" i="4"/>
  <c r="G85" i="8" s="1"/>
  <c r="N64" i="4"/>
  <c r="J85" i="8" s="1"/>
  <c r="G64" i="4"/>
  <c r="C85" i="8" s="1"/>
  <c r="Z64" i="4"/>
  <c r="V85" i="8" s="1"/>
  <c r="V64" i="4"/>
  <c r="R85" i="8" s="1"/>
  <c r="U64" i="4"/>
  <c r="Q85" i="8" s="1"/>
  <c r="Q64" i="4"/>
  <c r="M85" i="8" s="1"/>
  <c r="L64" i="4"/>
  <c r="H85" i="8" s="1"/>
  <c r="AJ64" i="4"/>
  <c r="AF85" i="8" s="1"/>
  <c r="T64" i="4"/>
  <c r="P85" i="8" s="1"/>
  <c r="X64" i="4"/>
  <c r="T85" i="8" s="1"/>
  <c r="Y64" i="4"/>
  <c r="U85" i="8" s="1"/>
  <c r="I64" i="4"/>
  <c r="E85" i="8" s="1"/>
  <c r="W64" i="4"/>
  <c r="S85" i="8" s="1"/>
  <c r="AC64" i="4"/>
  <c r="Y85" i="8" s="1"/>
  <c r="M64" i="4"/>
  <c r="I85" i="8" s="1"/>
  <c r="S64" i="4"/>
  <c r="O85" i="8" s="1"/>
  <c r="R64" i="4"/>
  <c r="N85" i="8" s="1"/>
  <c r="J64" i="4"/>
  <c r="F85" i="8" s="1"/>
  <c r="AI64" i="4"/>
  <c r="AE85" i="8" s="1"/>
  <c r="AL64" i="4"/>
  <c r="AH85" i="8" s="1"/>
  <c r="AE64" i="4"/>
  <c r="AA85" i="8" s="1"/>
  <c r="AF64" i="4"/>
  <c r="AB85" i="8" s="1"/>
  <c r="O64" i="4"/>
  <c r="K85" i="8" s="1"/>
  <c r="AG64" i="4"/>
  <c r="AC85" i="8" s="1"/>
  <c r="P64" i="4"/>
  <c r="L85" i="8" s="1"/>
  <c r="AD64" i="4"/>
  <c r="Z85" i="8" s="1"/>
  <c r="AB64" i="4"/>
  <c r="X85" i="8" s="1"/>
  <c r="Y66" i="4"/>
  <c r="U87" i="8" s="1"/>
  <c r="T66" i="4"/>
  <c r="P87" i="8" s="1"/>
  <c r="P66" i="4"/>
  <c r="L87" i="8" s="1"/>
  <c r="Z66" i="4"/>
  <c r="V87" i="8" s="1"/>
  <c r="AG66" i="4"/>
  <c r="AC87" i="8" s="1"/>
  <c r="AA66" i="4"/>
  <c r="W87" i="8" s="1"/>
  <c r="H66" i="4"/>
  <c r="D87" i="8" s="1"/>
  <c r="AC66" i="4"/>
  <c r="Y87" i="8" s="1"/>
  <c r="N66" i="4"/>
  <c r="J87" i="8" s="1"/>
  <c r="AJ66" i="4"/>
  <c r="AF87" i="8" s="1"/>
  <c r="K66" i="4"/>
  <c r="G87" i="8" s="1"/>
  <c r="G66" i="4"/>
  <c r="C87" i="8" s="1"/>
  <c r="V66" i="4"/>
  <c r="R87" i="8" s="1"/>
  <c r="U66" i="4"/>
  <c r="Q87" i="8" s="1"/>
  <c r="Q66" i="4"/>
  <c r="M87" i="8" s="1"/>
  <c r="AH66" i="4"/>
  <c r="AD87" i="8" s="1"/>
  <c r="L66" i="4"/>
  <c r="H87" i="8" s="1"/>
  <c r="S66" i="4"/>
  <c r="O87" i="8" s="1"/>
  <c r="O66" i="4"/>
  <c r="K87" i="8" s="1"/>
  <c r="R66" i="4"/>
  <c r="N87" i="8" s="1"/>
  <c r="I66" i="4"/>
  <c r="E87" i="8" s="1"/>
  <c r="AL66" i="4"/>
  <c r="AH87" i="8" s="1"/>
  <c r="W66" i="4"/>
  <c r="S87" i="8" s="1"/>
  <c r="AD66" i="4"/>
  <c r="Z87" i="8" s="1"/>
  <c r="M66" i="4"/>
  <c r="I87" i="8" s="1"/>
  <c r="J66" i="4"/>
  <c r="F87" i="8" s="1"/>
  <c r="AI66" i="4"/>
  <c r="AE87" i="8" s="1"/>
  <c r="AK66" i="4"/>
  <c r="AG87" i="8" s="1"/>
  <c r="X66" i="4"/>
  <c r="T87" i="8" s="1"/>
  <c r="AF66" i="4"/>
  <c r="AB87" i="8" s="1"/>
  <c r="AB66" i="4"/>
  <c r="X87" i="8" s="1"/>
  <c r="AE66" i="4"/>
  <c r="AA87" i="8" s="1"/>
  <c r="Q68" i="4"/>
  <c r="M89" i="8" s="1"/>
  <c r="AH68" i="4"/>
  <c r="AD89" i="8" s="1"/>
  <c r="L68" i="4"/>
  <c r="H89" i="8" s="1"/>
  <c r="AK68" i="4"/>
  <c r="AG89" i="8" s="1"/>
  <c r="X68" i="4"/>
  <c r="T89" i="8" s="1"/>
  <c r="Y68" i="4"/>
  <c r="U89" i="8" s="1"/>
  <c r="T68" i="4"/>
  <c r="P89" i="8" s="1"/>
  <c r="Z68" i="4"/>
  <c r="V89" i="8" s="1"/>
  <c r="H68" i="4"/>
  <c r="D89" i="8" s="1"/>
  <c r="P68" i="4"/>
  <c r="L89" i="8" s="1"/>
  <c r="AG68" i="4"/>
  <c r="AC89" i="8" s="1"/>
  <c r="AA68" i="4"/>
  <c r="W89" i="8" s="1"/>
  <c r="G68" i="4"/>
  <c r="C89" i="8" s="1"/>
  <c r="AC68" i="4"/>
  <c r="Y89" i="8" s="1"/>
  <c r="N68" i="4"/>
  <c r="J89" i="8" s="1"/>
  <c r="AJ68" i="4"/>
  <c r="AF89" i="8" s="1"/>
  <c r="AE68" i="4"/>
  <c r="AA89" i="8" s="1"/>
  <c r="V68" i="4"/>
  <c r="R89" i="8" s="1"/>
  <c r="R68" i="4"/>
  <c r="N89" i="8" s="1"/>
  <c r="O68" i="4"/>
  <c r="K89" i="8" s="1"/>
  <c r="J68" i="4"/>
  <c r="F89" i="8" s="1"/>
  <c r="I68" i="4"/>
  <c r="E89" i="8" s="1"/>
  <c r="U68" i="4"/>
  <c r="Q89" i="8" s="1"/>
  <c r="AL68" i="4"/>
  <c r="AH89" i="8" s="1"/>
  <c r="W68" i="4"/>
  <c r="S89" i="8" s="1"/>
  <c r="S68" i="4"/>
  <c r="O89" i="8" s="1"/>
  <c r="AD68" i="4"/>
  <c r="Z89" i="8" s="1"/>
  <c r="M68" i="4"/>
  <c r="I89" i="8" s="1"/>
  <c r="K68" i="4"/>
  <c r="G89" i="8" s="1"/>
  <c r="AF68" i="4"/>
  <c r="AB89" i="8" s="1"/>
  <c r="AB68" i="4"/>
  <c r="X89" i="8" s="1"/>
  <c r="AI68" i="4"/>
  <c r="AE89" i="8" s="1"/>
  <c r="AJ70" i="4"/>
  <c r="AF91" i="8" s="1"/>
  <c r="AH70" i="4"/>
  <c r="AD91" i="8" s="1"/>
  <c r="V70" i="4"/>
  <c r="R91" i="8" s="1"/>
  <c r="U70" i="4"/>
  <c r="Q91" i="8" s="1"/>
  <c r="Q70" i="4"/>
  <c r="M91" i="8" s="1"/>
  <c r="L70" i="4"/>
  <c r="H91" i="8" s="1"/>
  <c r="S70" i="4"/>
  <c r="O91" i="8" s="1"/>
  <c r="Z70" i="4"/>
  <c r="V91" i="8" s="1"/>
  <c r="AK70" i="4"/>
  <c r="AG91" i="8" s="1"/>
  <c r="X70" i="4"/>
  <c r="T91" i="8" s="1"/>
  <c r="Y70" i="4"/>
  <c r="U91" i="8" s="1"/>
  <c r="T70" i="4"/>
  <c r="P91" i="8" s="1"/>
  <c r="K70" i="4"/>
  <c r="G91" i="8" s="1"/>
  <c r="H70" i="4"/>
  <c r="D91" i="8" s="1"/>
  <c r="P70" i="4"/>
  <c r="L91" i="8" s="1"/>
  <c r="AG70" i="4"/>
  <c r="AC91" i="8" s="1"/>
  <c r="AA70" i="4"/>
  <c r="W91" i="8" s="1"/>
  <c r="G70" i="4"/>
  <c r="C91" i="8" s="1"/>
  <c r="AF70" i="4"/>
  <c r="AB91" i="8" s="1"/>
  <c r="M70" i="4"/>
  <c r="I91" i="8" s="1"/>
  <c r="AC70" i="4"/>
  <c r="Y91" i="8" s="1"/>
  <c r="AB70" i="4"/>
  <c r="X91" i="8" s="1"/>
  <c r="AI70" i="4"/>
  <c r="AE91" i="8" s="1"/>
  <c r="AE70" i="4"/>
  <c r="AA91" i="8" s="1"/>
  <c r="R70" i="4"/>
  <c r="N91" i="8" s="1"/>
  <c r="J70" i="4"/>
  <c r="F91" i="8" s="1"/>
  <c r="N70" i="4"/>
  <c r="J91" i="8" s="1"/>
  <c r="O70" i="4"/>
  <c r="K91" i="8" s="1"/>
  <c r="I70" i="4"/>
  <c r="E91" i="8" s="1"/>
  <c r="AD70" i="4"/>
  <c r="Z91" i="8" s="1"/>
  <c r="AL70" i="4"/>
  <c r="AH91" i="8" s="1"/>
  <c r="W70" i="4"/>
  <c r="S91" i="8" s="1"/>
  <c r="AG72" i="4"/>
  <c r="AC93" i="8" s="1"/>
  <c r="AA72" i="4"/>
  <c r="W93" i="8" s="1"/>
  <c r="K72" i="4"/>
  <c r="G93" i="8" s="1"/>
  <c r="G72" i="4"/>
  <c r="C93" i="8" s="1"/>
  <c r="AC72" i="4"/>
  <c r="Y93" i="8" s="1"/>
  <c r="N72" i="4"/>
  <c r="J93" i="8" s="1"/>
  <c r="AJ72" i="4"/>
  <c r="AF93" i="8" s="1"/>
  <c r="V72" i="4"/>
  <c r="R93" i="8" s="1"/>
  <c r="U72" i="4"/>
  <c r="Q93" i="8" s="1"/>
  <c r="Q72" i="4"/>
  <c r="M93" i="8" s="1"/>
  <c r="Z72" i="4"/>
  <c r="V93" i="8" s="1"/>
  <c r="AK72" i="4"/>
  <c r="AG93" i="8" s="1"/>
  <c r="X72" i="4"/>
  <c r="T93" i="8" s="1"/>
  <c r="Y72" i="4"/>
  <c r="U93" i="8" s="1"/>
  <c r="T72" i="4"/>
  <c r="P93" i="8" s="1"/>
  <c r="P72" i="4"/>
  <c r="L93" i="8" s="1"/>
  <c r="I72" i="4"/>
  <c r="E93" i="8" s="1"/>
  <c r="AF72" i="4"/>
  <c r="AB93" i="8" s="1"/>
  <c r="L72" i="4"/>
  <c r="H93" i="8" s="1"/>
  <c r="S72" i="4"/>
  <c r="O93" i="8" s="1"/>
  <c r="AD72" i="4"/>
  <c r="Z93" i="8" s="1"/>
  <c r="AL72" i="4"/>
  <c r="AH93" i="8" s="1"/>
  <c r="W72" i="4"/>
  <c r="S93" i="8" s="1"/>
  <c r="M72" i="4"/>
  <c r="I93" i="8" s="1"/>
  <c r="AH72" i="4"/>
  <c r="AD93" i="8" s="1"/>
  <c r="AB72" i="4"/>
  <c r="X93" i="8" s="1"/>
  <c r="AI72" i="4"/>
  <c r="AE93" i="8" s="1"/>
  <c r="H72" i="4"/>
  <c r="D93" i="8" s="1"/>
  <c r="R72" i="4"/>
  <c r="N93" i="8" s="1"/>
  <c r="AE72" i="4"/>
  <c r="AA93" i="8" s="1"/>
  <c r="J72" i="4"/>
  <c r="F93" i="8" s="1"/>
  <c r="O72" i="4"/>
  <c r="K93" i="8" s="1"/>
  <c r="Y74" i="4"/>
  <c r="U95" i="8" s="1"/>
  <c r="T74" i="4"/>
  <c r="P95" i="8" s="1"/>
  <c r="H74" i="4"/>
  <c r="D95" i="8" s="1"/>
  <c r="P74" i="4"/>
  <c r="L95" i="8" s="1"/>
  <c r="AG74" i="4"/>
  <c r="AC95" i="8" s="1"/>
  <c r="AH74" i="4"/>
  <c r="AD95" i="8" s="1"/>
  <c r="AA74" i="4"/>
  <c r="W95" i="8" s="1"/>
  <c r="G74" i="4"/>
  <c r="C95" i="8" s="1"/>
  <c r="K74" i="4"/>
  <c r="G95" i="8" s="1"/>
  <c r="AC74" i="4"/>
  <c r="Y95" i="8" s="1"/>
  <c r="N74" i="4"/>
  <c r="J95" i="8" s="1"/>
  <c r="AJ74" i="4"/>
  <c r="AF95" i="8" s="1"/>
  <c r="Z74" i="4"/>
  <c r="V95" i="8" s="1"/>
  <c r="V74" i="4"/>
  <c r="R95" i="8" s="1"/>
  <c r="U74" i="4"/>
  <c r="Q95" i="8" s="1"/>
  <c r="Q74" i="4"/>
  <c r="M95" i="8" s="1"/>
  <c r="L74" i="4"/>
  <c r="H95" i="8" s="1"/>
  <c r="S74" i="4"/>
  <c r="O95" i="8" s="1"/>
  <c r="O74" i="4"/>
  <c r="K95" i="8" s="1"/>
  <c r="AF74" i="4"/>
  <c r="AB95" i="8" s="1"/>
  <c r="AD74" i="4"/>
  <c r="Z95" i="8" s="1"/>
  <c r="I74" i="4"/>
  <c r="E95" i="8" s="1"/>
  <c r="AL74" i="4"/>
  <c r="AH95" i="8" s="1"/>
  <c r="W74" i="4"/>
  <c r="S95" i="8" s="1"/>
  <c r="M74" i="4"/>
  <c r="I95" i="8" s="1"/>
  <c r="AB74" i="4"/>
  <c r="X95" i="8" s="1"/>
  <c r="R74" i="4"/>
  <c r="N95" i="8" s="1"/>
  <c r="J74" i="4"/>
  <c r="F95" i="8" s="1"/>
  <c r="AI74" i="4"/>
  <c r="AE95" i="8" s="1"/>
  <c r="AE74" i="4"/>
  <c r="AA95" i="8" s="1"/>
  <c r="AK74" i="4"/>
  <c r="AG95" i="8" s="1"/>
  <c r="X74" i="4"/>
  <c r="T95" i="8" s="1"/>
  <c r="H47" i="4"/>
  <c r="D68" i="8" s="1"/>
  <c r="AK47" i="4"/>
  <c r="AG68" i="8" s="1"/>
  <c r="T47" i="4"/>
  <c r="P68" i="8" s="1"/>
  <c r="Z47" i="4"/>
  <c r="V68" i="8" s="1"/>
  <c r="U47" i="4"/>
  <c r="Q68" i="8" s="1"/>
  <c r="Q47" i="4"/>
  <c r="M68" i="8" s="1"/>
  <c r="N47" i="4"/>
  <c r="J68" i="8" s="1"/>
  <c r="X47" i="4"/>
  <c r="T68" i="8" s="1"/>
  <c r="AF47" i="4"/>
  <c r="AB68" i="8" s="1"/>
  <c r="AJ47" i="4"/>
  <c r="AF68" i="8" s="1"/>
  <c r="Y47" i="4"/>
  <c r="U68" i="8" s="1"/>
  <c r="P47" i="4"/>
  <c r="L68" i="8" s="1"/>
  <c r="V47" i="4"/>
  <c r="R68" i="8" s="1"/>
  <c r="L47" i="4"/>
  <c r="H68" i="8" s="1"/>
  <c r="AH47" i="4"/>
  <c r="AD68" i="8" s="1"/>
  <c r="AA47" i="4"/>
  <c r="W68" i="8" s="1"/>
  <c r="W47" i="4"/>
  <c r="S68" i="8" s="1"/>
  <c r="AB47" i="4"/>
  <c r="X68" i="8" s="1"/>
  <c r="R47" i="4"/>
  <c r="N68" i="8" s="1"/>
  <c r="J47" i="4"/>
  <c r="F68" i="8" s="1"/>
  <c r="AI47" i="4"/>
  <c r="AE68" i="8" s="1"/>
  <c r="AE47" i="4"/>
  <c r="AA68" i="8" s="1"/>
  <c r="K47" i="4"/>
  <c r="G68" i="8" s="1"/>
  <c r="AG47" i="4"/>
  <c r="AC68" i="8" s="1"/>
  <c r="O47" i="4"/>
  <c r="K68" i="8" s="1"/>
  <c r="S47" i="4"/>
  <c r="O68" i="8" s="1"/>
  <c r="AL47" i="4"/>
  <c r="AH68" i="8" s="1"/>
  <c r="AC47" i="4"/>
  <c r="Y68" i="8" s="1"/>
  <c r="G47" i="4"/>
  <c r="C68" i="8" s="1"/>
  <c r="AD47" i="4"/>
  <c r="Z68" i="8" s="1"/>
  <c r="I47" i="4"/>
  <c r="E68" i="8" s="1"/>
  <c r="M47" i="4"/>
  <c r="I68" i="8" s="1"/>
  <c r="P49" i="4"/>
  <c r="L49" i="4"/>
  <c r="AG49" i="4"/>
  <c r="AH49" i="4"/>
  <c r="AA49" i="4"/>
  <c r="AC49" i="4"/>
  <c r="H49" i="4"/>
  <c r="AK49" i="4"/>
  <c r="T49" i="4"/>
  <c r="Z49" i="4"/>
  <c r="U49" i="4"/>
  <c r="N49" i="4"/>
  <c r="Q49" i="4"/>
  <c r="K49" i="4"/>
  <c r="X49" i="4"/>
  <c r="AF49" i="4"/>
  <c r="V49" i="4"/>
  <c r="G49" i="4"/>
  <c r="S49" i="4"/>
  <c r="AD49" i="4"/>
  <c r="I49" i="4"/>
  <c r="M49" i="4"/>
  <c r="AJ49" i="4"/>
  <c r="W49" i="4"/>
  <c r="AB49" i="4"/>
  <c r="R49" i="4"/>
  <c r="J49" i="4"/>
  <c r="AI49" i="4"/>
  <c r="AE49" i="4"/>
  <c r="Y49" i="4"/>
  <c r="AL49" i="4"/>
  <c r="O49" i="4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Z53" i="4"/>
  <c r="U53" i="4"/>
  <c r="Q53" i="4"/>
  <c r="V53" i="4"/>
  <c r="X53" i="4"/>
  <c r="AF53" i="4"/>
  <c r="AJ53" i="4"/>
  <c r="Y53" i="4"/>
  <c r="P53" i="4"/>
  <c r="L53" i="4"/>
  <c r="AG53" i="4"/>
  <c r="AH53" i="4"/>
  <c r="AA53" i="4"/>
  <c r="AC53" i="4"/>
  <c r="H53" i="4"/>
  <c r="AK53" i="4"/>
  <c r="N53" i="4"/>
  <c r="R53" i="4"/>
  <c r="J53" i="4"/>
  <c r="AI53" i="4"/>
  <c r="AD53" i="4"/>
  <c r="AL53" i="4"/>
  <c r="AE53" i="4"/>
  <c r="G53" i="4"/>
  <c r="S53" i="4"/>
  <c r="O53" i="4"/>
  <c r="I53" i="4"/>
  <c r="K53" i="4"/>
  <c r="M53" i="4"/>
  <c r="AB53" i="4"/>
  <c r="W53" i="4"/>
  <c r="H55" i="4"/>
  <c r="D76" i="8" s="1"/>
  <c r="AK55" i="4"/>
  <c r="AG76" i="8" s="1"/>
  <c r="T55" i="4"/>
  <c r="P76" i="8" s="1"/>
  <c r="Z55" i="4"/>
  <c r="V76" i="8" s="1"/>
  <c r="V55" i="4"/>
  <c r="R76" i="8" s="1"/>
  <c r="U55" i="4"/>
  <c r="Q76" i="8" s="1"/>
  <c r="K55" i="4"/>
  <c r="G76" i="8" s="1"/>
  <c r="Q55" i="4"/>
  <c r="M76" i="8" s="1"/>
  <c r="X55" i="4"/>
  <c r="T76" i="8" s="1"/>
  <c r="AF55" i="4"/>
  <c r="AB76" i="8" s="1"/>
  <c r="AJ55" i="4"/>
  <c r="AF76" i="8" s="1"/>
  <c r="Y55" i="4"/>
  <c r="U76" i="8" s="1"/>
  <c r="P55" i="4"/>
  <c r="L76" i="8" s="1"/>
  <c r="L55" i="4"/>
  <c r="H76" i="8" s="1"/>
  <c r="AC55" i="4"/>
  <c r="Y76" i="8" s="1"/>
  <c r="AB55" i="4"/>
  <c r="X76" i="8" s="1"/>
  <c r="W55" i="4"/>
  <c r="S76" i="8" s="1"/>
  <c r="AH55" i="4"/>
  <c r="AD76" i="8" s="1"/>
  <c r="AA55" i="4"/>
  <c r="W76" i="8" s="1"/>
  <c r="AD55" i="4"/>
  <c r="Z76" i="8" s="1"/>
  <c r="R55" i="4"/>
  <c r="N76" i="8" s="1"/>
  <c r="AL55" i="4"/>
  <c r="AH76" i="8" s="1"/>
  <c r="J55" i="4"/>
  <c r="F76" i="8" s="1"/>
  <c r="AI55" i="4"/>
  <c r="AE76" i="8" s="1"/>
  <c r="N55" i="4"/>
  <c r="J76" i="8" s="1"/>
  <c r="G55" i="4"/>
  <c r="C76" i="8" s="1"/>
  <c r="AE55" i="4"/>
  <c r="AA76" i="8" s="1"/>
  <c r="S55" i="4"/>
  <c r="O76" i="8" s="1"/>
  <c r="O55" i="4"/>
  <c r="K76" i="8" s="1"/>
  <c r="AG55" i="4"/>
  <c r="AC76" i="8" s="1"/>
  <c r="I55" i="4"/>
  <c r="E76" i="8" s="1"/>
  <c r="M55" i="4"/>
  <c r="I76" i="8" s="1"/>
  <c r="P57" i="4"/>
  <c r="L78" i="8" s="1"/>
  <c r="U57" i="4"/>
  <c r="Q78" i="8" s="1"/>
  <c r="AC57" i="4"/>
  <c r="Y78" i="8" s="1"/>
  <c r="L57" i="4"/>
  <c r="H78" i="8" s="1"/>
  <c r="AG57" i="4"/>
  <c r="AC78" i="8" s="1"/>
  <c r="AH57" i="4"/>
  <c r="AD78" i="8" s="1"/>
  <c r="AA57" i="4"/>
  <c r="W78" i="8" s="1"/>
  <c r="H57" i="4"/>
  <c r="D78" i="8" s="1"/>
  <c r="AK57" i="4"/>
  <c r="AG78" i="8" s="1"/>
  <c r="N57" i="4"/>
  <c r="J78" i="8" s="1"/>
  <c r="T57" i="4"/>
  <c r="P78" i="8" s="1"/>
  <c r="Z57" i="4"/>
  <c r="V78" i="8" s="1"/>
  <c r="Q57" i="4"/>
  <c r="M78" i="8" s="1"/>
  <c r="K57" i="4"/>
  <c r="G78" i="8" s="1"/>
  <c r="V57" i="4"/>
  <c r="R78" i="8" s="1"/>
  <c r="X57" i="4"/>
  <c r="T78" i="8" s="1"/>
  <c r="AF57" i="4"/>
  <c r="AB78" i="8" s="1"/>
  <c r="AB57" i="4"/>
  <c r="X78" i="8" s="1"/>
  <c r="I57" i="4"/>
  <c r="E78" i="8" s="1"/>
  <c r="W57" i="4"/>
  <c r="S78" i="8" s="1"/>
  <c r="AJ57" i="4"/>
  <c r="AF78" i="8" s="1"/>
  <c r="G57" i="4"/>
  <c r="C78" i="8" s="1"/>
  <c r="AD57" i="4"/>
  <c r="Z78" i="8" s="1"/>
  <c r="R57" i="4"/>
  <c r="N78" i="8" s="1"/>
  <c r="J57" i="4"/>
  <c r="F78" i="8" s="1"/>
  <c r="AI57" i="4"/>
  <c r="AE78" i="8" s="1"/>
  <c r="M57" i="4"/>
  <c r="I78" i="8" s="1"/>
  <c r="AE57" i="4"/>
  <c r="AA78" i="8" s="1"/>
  <c r="S57" i="4"/>
  <c r="O78" i="8" s="1"/>
  <c r="Y57" i="4"/>
  <c r="U78" i="8" s="1"/>
  <c r="AL57" i="4"/>
  <c r="AH78" i="8" s="1"/>
  <c r="O57" i="4"/>
  <c r="K78" i="8" s="1"/>
  <c r="X59" i="4"/>
  <c r="T80" i="8" s="1"/>
  <c r="AF59" i="4"/>
  <c r="AB80" i="8" s="1"/>
  <c r="AJ59" i="4"/>
  <c r="AF80" i="8" s="1"/>
  <c r="Y59" i="4"/>
  <c r="U80" i="8" s="1"/>
  <c r="AC59" i="4"/>
  <c r="Y80" i="8" s="1"/>
  <c r="P59" i="4"/>
  <c r="L80" i="8" s="1"/>
  <c r="U59" i="4"/>
  <c r="Q80" i="8" s="1"/>
  <c r="L59" i="4"/>
  <c r="H80" i="8" s="1"/>
  <c r="AD59" i="4"/>
  <c r="Z80" i="8" s="1"/>
  <c r="AG59" i="4"/>
  <c r="AC80" i="8" s="1"/>
  <c r="AH59" i="4"/>
  <c r="AD80" i="8" s="1"/>
  <c r="AA59" i="4"/>
  <c r="W80" i="8" s="1"/>
  <c r="H59" i="4"/>
  <c r="D80" i="8" s="1"/>
  <c r="AK59" i="4"/>
  <c r="AG80" i="8" s="1"/>
  <c r="N59" i="4"/>
  <c r="J80" i="8" s="1"/>
  <c r="T59" i="4"/>
  <c r="P80" i="8" s="1"/>
  <c r="Z59" i="4"/>
  <c r="V80" i="8" s="1"/>
  <c r="AL59" i="4"/>
  <c r="AH80" i="8" s="1"/>
  <c r="O59" i="4"/>
  <c r="K80" i="8" s="1"/>
  <c r="Q59" i="4"/>
  <c r="M80" i="8" s="1"/>
  <c r="V59" i="4"/>
  <c r="R80" i="8" s="1"/>
  <c r="AB59" i="4"/>
  <c r="X80" i="8" s="1"/>
  <c r="I59" i="4"/>
  <c r="E80" i="8" s="1"/>
  <c r="W59" i="4"/>
  <c r="S80" i="8" s="1"/>
  <c r="G59" i="4"/>
  <c r="C80" i="8" s="1"/>
  <c r="R59" i="4"/>
  <c r="N80" i="8" s="1"/>
  <c r="J59" i="4"/>
  <c r="F80" i="8" s="1"/>
  <c r="AI59" i="4"/>
  <c r="AE80" i="8" s="1"/>
  <c r="S59" i="4"/>
  <c r="O80" i="8" s="1"/>
  <c r="M59" i="4"/>
  <c r="I80" i="8" s="1"/>
  <c r="AE59" i="4"/>
  <c r="AA80" i="8" s="1"/>
  <c r="K59" i="4"/>
  <c r="G80" i="8" s="1"/>
  <c r="Z61" i="4"/>
  <c r="V82" i="8" s="1"/>
  <c r="Q61" i="4"/>
  <c r="M82" i="8" s="1"/>
  <c r="AC61" i="4"/>
  <c r="Y82" i="8" s="1"/>
  <c r="T61" i="4"/>
  <c r="P82" i="8" s="1"/>
  <c r="AK61" i="4"/>
  <c r="AG82" i="8" s="1"/>
  <c r="X61" i="4"/>
  <c r="T82" i="8" s="1"/>
  <c r="AF61" i="4"/>
  <c r="AB82" i="8" s="1"/>
  <c r="Y61" i="4"/>
  <c r="U82" i="8" s="1"/>
  <c r="P61" i="4"/>
  <c r="L82" i="8" s="1"/>
  <c r="V61" i="4"/>
  <c r="R82" i="8" s="1"/>
  <c r="U61" i="4"/>
  <c r="Q82" i="8" s="1"/>
  <c r="AG61" i="4"/>
  <c r="AC82" i="8" s="1"/>
  <c r="AH61" i="4"/>
  <c r="AD82" i="8" s="1"/>
  <c r="AA61" i="4"/>
  <c r="W82" i="8" s="1"/>
  <c r="H61" i="4"/>
  <c r="D82" i="8" s="1"/>
  <c r="N61" i="4"/>
  <c r="J82" i="8" s="1"/>
  <c r="R61" i="4"/>
  <c r="N82" i="8" s="1"/>
  <c r="J61" i="4"/>
  <c r="F82" i="8" s="1"/>
  <c r="AI61" i="4"/>
  <c r="AE82" i="8" s="1"/>
  <c r="S61" i="4"/>
  <c r="O82" i="8" s="1"/>
  <c r="M61" i="4"/>
  <c r="I82" i="8" s="1"/>
  <c r="AE61" i="4"/>
  <c r="AA82" i="8" s="1"/>
  <c r="L61" i="4"/>
  <c r="H82" i="8" s="1"/>
  <c r="AD61" i="4"/>
  <c r="Z82" i="8" s="1"/>
  <c r="O61" i="4"/>
  <c r="K82" i="8" s="1"/>
  <c r="AB61" i="4"/>
  <c r="X82" i="8" s="1"/>
  <c r="K61" i="4"/>
  <c r="G82" i="8" s="1"/>
  <c r="AJ61" i="4"/>
  <c r="AF82" i="8" s="1"/>
  <c r="I61" i="4"/>
  <c r="E82" i="8" s="1"/>
  <c r="G61" i="4"/>
  <c r="C82" i="8" s="1"/>
  <c r="AL61" i="4"/>
  <c r="AH82" i="8" s="1"/>
  <c r="W61" i="4"/>
  <c r="S82" i="8" s="1"/>
  <c r="AJ63" i="4"/>
  <c r="H63" i="4"/>
  <c r="AG63" i="4"/>
  <c r="Z63" i="4"/>
  <c r="AC63" i="4"/>
  <c r="AD63" i="4"/>
  <c r="T63" i="4"/>
  <c r="Q63" i="4"/>
  <c r="AK63" i="4"/>
  <c r="X63" i="4"/>
  <c r="AF63" i="4"/>
  <c r="Y63" i="4"/>
  <c r="V63" i="4"/>
  <c r="U63" i="4"/>
  <c r="P63" i="4"/>
  <c r="W63" i="4"/>
  <c r="AH63" i="4"/>
  <c r="AA63" i="4"/>
  <c r="S63" i="4"/>
  <c r="R63" i="4"/>
  <c r="M63" i="4"/>
  <c r="J63" i="4"/>
  <c r="AI63" i="4"/>
  <c r="K63" i="4"/>
  <c r="AE63" i="4"/>
  <c r="L63" i="4"/>
  <c r="AB63" i="4"/>
  <c r="O63" i="4"/>
  <c r="N63" i="4"/>
  <c r="G63" i="4"/>
  <c r="I63" i="4"/>
  <c r="AL63" i="4"/>
  <c r="AG65" i="4"/>
  <c r="P65" i="4"/>
  <c r="AC65" i="4"/>
  <c r="AH65" i="4"/>
  <c r="AK65" i="4"/>
  <c r="AA65" i="4"/>
  <c r="H65" i="4"/>
  <c r="N65" i="4"/>
  <c r="AD65" i="4"/>
  <c r="T65" i="4"/>
  <c r="Z65" i="4"/>
  <c r="K65" i="4"/>
  <c r="V65" i="4"/>
  <c r="U65" i="4"/>
  <c r="Q65" i="4"/>
  <c r="AJ65" i="4"/>
  <c r="X65" i="4"/>
  <c r="AF65" i="4"/>
  <c r="Y65" i="4"/>
  <c r="AB65" i="4"/>
  <c r="I65" i="4"/>
  <c r="W65" i="4"/>
  <c r="M65" i="4"/>
  <c r="G65" i="4"/>
  <c r="S65" i="4"/>
  <c r="R65" i="4"/>
  <c r="J65" i="4"/>
  <c r="AI65" i="4"/>
  <c r="L65" i="4"/>
  <c r="AL65" i="4"/>
  <c r="AE65" i="4"/>
  <c r="O65" i="4"/>
  <c r="AK67" i="4"/>
  <c r="AG88" i="8" s="1"/>
  <c r="X67" i="4"/>
  <c r="T88" i="8" s="1"/>
  <c r="AF67" i="4"/>
  <c r="AB88" i="8" s="1"/>
  <c r="Y67" i="4"/>
  <c r="U88" i="8" s="1"/>
  <c r="T67" i="4"/>
  <c r="P88" i="8" s="1"/>
  <c r="H67" i="4"/>
  <c r="D88" i="8" s="1"/>
  <c r="P67" i="4"/>
  <c r="L88" i="8" s="1"/>
  <c r="AH67" i="4"/>
  <c r="AD88" i="8" s="1"/>
  <c r="AG67" i="4"/>
  <c r="AC88" i="8" s="1"/>
  <c r="AA67" i="4"/>
  <c r="W88" i="8" s="1"/>
  <c r="AC67" i="4"/>
  <c r="Y88" i="8" s="1"/>
  <c r="N67" i="4"/>
  <c r="J88" i="8" s="1"/>
  <c r="AJ67" i="4"/>
  <c r="AF88" i="8" s="1"/>
  <c r="Z67" i="4"/>
  <c r="V88" i="8" s="1"/>
  <c r="V67" i="4"/>
  <c r="R88" i="8" s="1"/>
  <c r="U67" i="4"/>
  <c r="Q88" i="8" s="1"/>
  <c r="AB67" i="4"/>
  <c r="X88" i="8" s="1"/>
  <c r="G67" i="4"/>
  <c r="C88" i="8" s="1"/>
  <c r="O67" i="4"/>
  <c r="K88" i="8" s="1"/>
  <c r="Q67" i="4"/>
  <c r="M88" i="8" s="1"/>
  <c r="I67" i="4"/>
  <c r="E88" i="8" s="1"/>
  <c r="AL67" i="4"/>
  <c r="AH88" i="8" s="1"/>
  <c r="W67" i="4"/>
  <c r="S88" i="8" s="1"/>
  <c r="S67" i="4"/>
  <c r="O88" i="8" s="1"/>
  <c r="AD67" i="4"/>
  <c r="Z88" i="8" s="1"/>
  <c r="R67" i="4"/>
  <c r="N88" i="8" s="1"/>
  <c r="M67" i="4"/>
  <c r="I88" i="8" s="1"/>
  <c r="L67" i="4"/>
  <c r="H88" i="8" s="1"/>
  <c r="J67" i="4"/>
  <c r="F88" i="8" s="1"/>
  <c r="AI67" i="4"/>
  <c r="AE88" i="8" s="1"/>
  <c r="K67" i="4"/>
  <c r="G88" i="8" s="1"/>
  <c r="AE67" i="4"/>
  <c r="AA88" i="8" s="1"/>
  <c r="V69" i="4"/>
  <c r="R90" i="8" s="1"/>
  <c r="U69" i="4"/>
  <c r="Q90" i="8" s="1"/>
  <c r="Q69" i="4"/>
  <c r="M90" i="8" s="1"/>
  <c r="AK69" i="4"/>
  <c r="AG90" i="8" s="1"/>
  <c r="X69" i="4"/>
  <c r="T90" i="8" s="1"/>
  <c r="AF69" i="4"/>
  <c r="AB90" i="8" s="1"/>
  <c r="Y69" i="4"/>
  <c r="U90" i="8" s="1"/>
  <c r="T69" i="4"/>
  <c r="P90" i="8" s="1"/>
  <c r="AH69" i="4"/>
  <c r="AD90" i="8" s="1"/>
  <c r="H69" i="4"/>
  <c r="D90" i="8" s="1"/>
  <c r="P69" i="4"/>
  <c r="L90" i="8" s="1"/>
  <c r="AG69" i="4"/>
  <c r="AC90" i="8" s="1"/>
  <c r="AA69" i="4"/>
  <c r="W90" i="8" s="1"/>
  <c r="Z69" i="4"/>
  <c r="V90" i="8" s="1"/>
  <c r="AC69" i="4"/>
  <c r="Y90" i="8" s="1"/>
  <c r="N69" i="4"/>
  <c r="J90" i="8" s="1"/>
  <c r="AD69" i="4"/>
  <c r="Z90" i="8" s="1"/>
  <c r="AB69" i="4"/>
  <c r="X90" i="8" s="1"/>
  <c r="AI69" i="4"/>
  <c r="AE90" i="8" s="1"/>
  <c r="G69" i="4"/>
  <c r="C90" i="8" s="1"/>
  <c r="AE69" i="4"/>
  <c r="AA90" i="8" s="1"/>
  <c r="K69" i="4"/>
  <c r="G90" i="8" s="1"/>
  <c r="O69" i="4"/>
  <c r="K90" i="8" s="1"/>
  <c r="AJ69" i="4"/>
  <c r="AF90" i="8" s="1"/>
  <c r="I69" i="4"/>
  <c r="E90" i="8" s="1"/>
  <c r="R69" i="4"/>
  <c r="N90" i="8" s="1"/>
  <c r="AL69" i="4"/>
  <c r="AH90" i="8" s="1"/>
  <c r="W69" i="4"/>
  <c r="S90" i="8" s="1"/>
  <c r="L69" i="4"/>
  <c r="H90" i="8" s="1"/>
  <c r="S69" i="4"/>
  <c r="O90" i="8" s="1"/>
  <c r="M69" i="4"/>
  <c r="I90" i="8" s="1"/>
  <c r="J69" i="4"/>
  <c r="F90" i="8" s="1"/>
  <c r="AC71" i="4"/>
  <c r="Y92" i="8" s="1"/>
  <c r="N71" i="4"/>
  <c r="J92" i="8" s="1"/>
  <c r="K71" i="4"/>
  <c r="G92" i="8" s="1"/>
  <c r="AJ71" i="4"/>
  <c r="AF92" i="8" s="1"/>
  <c r="V71" i="4"/>
  <c r="R92" i="8" s="1"/>
  <c r="U71" i="4"/>
  <c r="Q92" i="8" s="1"/>
  <c r="Q71" i="4"/>
  <c r="M92" i="8" s="1"/>
  <c r="AH71" i="4"/>
  <c r="AD92" i="8" s="1"/>
  <c r="AK71" i="4"/>
  <c r="AG92" i="8" s="1"/>
  <c r="X71" i="4"/>
  <c r="T92" i="8" s="1"/>
  <c r="AF71" i="4"/>
  <c r="AB92" i="8" s="1"/>
  <c r="Y71" i="4"/>
  <c r="U92" i="8" s="1"/>
  <c r="T71" i="4"/>
  <c r="P92" i="8" s="1"/>
  <c r="H71" i="4"/>
  <c r="D92" i="8" s="1"/>
  <c r="P71" i="4"/>
  <c r="L92" i="8" s="1"/>
  <c r="AG71" i="4"/>
  <c r="AC92" i="8" s="1"/>
  <c r="L71" i="4"/>
  <c r="H92" i="8" s="1"/>
  <c r="S71" i="4"/>
  <c r="O92" i="8" s="1"/>
  <c r="AD71" i="4"/>
  <c r="Z92" i="8" s="1"/>
  <c r="AL71" i="4"/>
  <c r="AH92" i="8" s="1"/>
  <c r="W71" i="4"/>
  <c r="S92" i="8" s="1"/>
  <c r="J71" i="4"/>
  <c r="F92" i="8" s="1"/>
  <c r="M71" i="4"/>
  <c r="I92" i="8" s="1"/>
  <c r="G71" i="4"/>
  <c r="C92" i="8" s="1"/>
  <c r="AB71" i="4"/>
  <c r="X92" i="8" s="1"/>
  <c r="AI71" i="4"/>
  <c r="AE92" i="8" s="1"/>
  <c r="AA71" i="4"/>
  <c r="W92" i="8" s="1"/>
  <c r="AE71" i="4"/>
  <c r="AA92" i="8" s="1"/>
  <c r="O71" i="4"/>
  <c r="K92" i="8" s="1"/>
  <c r="Z71" i="4"/>
  <c r="V92" i="8" s="1"/>
  <c r="R71" i="4"/>
  <c r="N92" i="8" s="1"/>
  <c r="I71" i="4"/>
  <c r="E92" i="8" s="1"/>
  <c r="H73" i="4"/>
  <c r="D94" i="8" s="1"/>
  <c r="P73" i="4"/>
  <c r="L94" i="8" s="1"/>
  <c r="Z73" i="4"/>
  <c r="V94" i="8" s="1"/>
  <c r="AG73" i="4"/>
  <c r="AC94" i="8" s="1"/>
  <c r="AA73" i="4"/>
  <c r="W94" i="8" s="1"/>
  <c r="AC73" i="4"/>
  <c r="Y94" i="8" s="1"/>
  <c r="N73" i="4"/>
  <c r="J94" i="8" s="1"/>
  <c r="AD73" i="4"/>
  <c r="Z94" i="8" s="1"/>
  <c r="AJ73" i="4"/>
  <c r="AF94" i="8" s="1"/>
  <c r="K73" i="4"/>
  <c r="G94" i="8" s="1"/>
  <c r="V73" i="4"/>
  <c r="R94" i="8" s="1"/>
  <c r="U73" i="4"/>
  <c r="Q94" i="8" s="1"/>
  <c r="Q73" i="4"/>
  <c r="M94" i="8" s="1"/>
  <c r="AH73" i="4"/>
  <c r="AD94" i="8" s="1"/>
  <c r="AK73" i="4"/>
  <c r="AG94" i="8" s="1"/>
  <c r="X73" i="4"/>
  <c r="T94" i="8" s="1"/>
  <c r="AF73" i="4"/>
  <c r="AB94" i="8" s="1"/>
  <c r="R73" i="4"/>
  <c r="N94" i="8" s="1"/>
  <c r="Y73" i="4"/>
  <c r="U94" i="8" s="1"/>
  <c r="I73" i="4"/>
  <c r="E94" i="8" s="1"/>
  <c r="J73" i="4"/>
  <c r="F94" i="8" s="1"/>
  <c r="L73" i="4"/>
  <c r="H94" i="8" s="1"/>
  <c r="S73" i="4"/>
  <c r="O94" i="8" s="1"/>
  <c r="AL73" i="4"/>
  <c r="AH94" i="8" s="1"/>
  <c r="W73" i="4"/>
  <c r="S94" i="8" s="1"/>
  <c r="G73" i="4"/>
  <c r="C94" i="8" s="1"/>
  <c r="M73" i="4"/>
  <c r="I94" i="8" s="1"/>
  <c r="T73" i="4"/>
  <c r="P94" i="8" s="1"/>
  <c r="AB73" i="4"/>
  <c r="X94" i="8" s="1"/>
  <c r="AI73" i="4"/>
  <c r="AE94" i="8" s="1"/>
  <c r="AE73" i="4"/>
  <c r="AA94" i="8" s="1"/>
  <c r="O73" i="4"/>
  <c r="K94" i="8" s="1"/>
  <c r="BA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114" i="4"/>
  <c r="A115" i="4" s="1"/>
  <c r="A83" i="4"/>
  <c r="F49" i="4"/>
  <c r="A87" i="4"/>
  <c r="F53" i="4"/>
  <c r="A80" i="4"/>
  <c r="F46" i="4"/>
  <c r="A84" i="4"/>
  <c r="F50" i="4"/>
  <c r="A88" i="4"/>
  <c r="F54" i="4"/>
  <c r="A90" i="4"/>
  <c r="F56" i="4"/>
  <c r="A94" i="4"/>
  <c r="F60" i="4"/>
  <c r="B81" i="8" s="1"/>
  <c r="A82" i="4"/>
  <c r="F48" i="4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A81" i="4"/>
  <c r="A85" i="4"/>
  <c r="A89" i="4"/>
  <c r="A93" i="4"/>
  <c r="A95" i="4"/>
  <c r="F61" i="4"/>
  <c r="B82" i="8" s="1"/>
  <c r="A97" i="4"/>
  <c r="F63" i="4"/>
  <c r="A99" i="4"/>
  <c r="F65" i="4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AH84" i="8" l="1"/>
  <c r="G84" i="8"/>
  <c r="S84" i="8"/>
  <c r="M84" i="8"/>
  <c r="S74" i="8"/>
  <c r="AA74" i="8"/>
  <c r="D74" i="8"/>
  <c r="AF74" i="8"/>
  <c r="K70" i="8"/>
  <c r="S70" i="8"/>
  <c r="AB70" i="8"/>
  <c r="AG70" i="8"/>
  <c r="E84" i="8"/>
  <c r="AE84" i="8"/>
  <c r="L84" i="8"/>
  <c r="P84" i="8"/>
  <c r="X74" i="8"/>
  <c r="AH74" i="8"/>
  <c r="Y74" i="8"/>
  <c r="AB74" i="8"/>
  <c r="AH70" i="8"/>
  <c r="AF70" i="8"/>
  <c r="T70" i="8"/>
  <c r="D70" i="8"/>
  <c r="C84" i="8"/>
  <c r="F84" i="8"/>
  <c r="Q84" i="8"/>
  <c r="Z84" i="8"/>
  <c r="I74" i="8"/>
  <c r="Z74" i="8"/>
  <c r="W74" i="8"/>
  <c r="T74" i="8"/>
  <c r="U70" i="8"/>
  <c r="I70" i="8"/>
  <c r="G70" i="8"/>
  <c r="Y70" i="8"/>
  <c r="J84" i="8"/>
  <c r="I84" i="8"/>
  <c r="R84" i="8"/>
  <c r="Y84" i="8"/>
  <c r="G74" i="8"/>
  <c r="AE74" i="8"/>
  <c r="AD74" i="8"/>
  <c r="R74" i="8"/>
  <c r="AA70" i="8"/>
  <c r="E70" i="8"/>
  <c r="M70" i="8"/>
  <c r="W70" i="8"/>
  <c r="K84" i="8"/>
  <c r="N84" i="8"/>
  <c r="U84" i="8"/>
  <c r="V84" i="8"/>
  <c r="E74" i="8"/>
  <c r="F74" i="8"/>
  <c r="AC74" i="8"/>
  <c r="M74" i="8"/>
  <c r="AE70" i="8"/>
  <c r="Z70" i="8"/>
  <c r="J70" i="8"/>
  <c r="AD70" i="8"/>
  <c r="X84" i="8"/>
  <c r="O84" i="8"/>
  <c r="AB84" i="8"/>
  <c r="AC84" i="8"/>
  <c r="K74" i="8"/>
  <c r="N74" i="8"/>
  <c r="H74" i="8"/>
  <c r="Q74" i="8"/>
  <c r="F70" i="8"/>
  <c r="O70" i="8"/>
  <c r="Q70" i="8"/>
  <c r="AC70" i="8"/>
  <c r="H84" i="8"/>
  <c r="W84" i="8"/>
  <c r="T84" i="8"/>
  <c r="D84" i="8"/>
  <c r="O74" i="8"/>
  <c r="J74" i="8"/>
  <c r="L74" i="8"/>
  <c r="V74" i="8"/>
  <c r="N70" i="8"/>
  <c r="C70" i="8"/>
  <c r="V70" i="8"/>
  <c r="H70" i="8"/>
  <c r="AA84" i="8"/>
  <c r="AD84" i="8"/>
  <c r="AG84" i="8"/>
  <c r="AF84" i="8"/>
  <c r="C74" i="8"/>
  <c r="AG74" i="8"/>
  <c r="U74" i="8"/>
  <c r="P74" i="8"/>
  <c r="X70" i="8"/>
  <c r="R70" i="8"/>
  <c r="P70" i="8"/>
  <c r="L70" i="8"/>
  <c r="B70" i="8"/>
  <c r="B84" i="8"/>
  <c r="B74" i="8"/>
  <c r="I41" i="4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P41" i="4" l="1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G115" i="4" s="1"/>
  <c r="O97" i="4"/>
  <c r="W97" i="4"/>
  <c r="W115" i="4" s="1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H115" i="4" s="1"/>
  <c r="P97" i="4"/>
  <c r="X97" i="4"/>
  <c r="X115" i="4" s="1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R115" i="4" s="1"/>
  <c r="Z97" i="4"/>
  <c r="AH97" i="4"/>
  <c r="AH115" i="4" s="1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K115" i="4" s="1"/>
  <c r="S97" i="4"/>
  <c r="AA97" i="4"/>
  <c r="AA115" i="4" s="1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J82" i="4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B115" i="4" s="1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AC115" i="4" s="1"/>
  <c r="Q98" i="4"/>
  <c r="AK98" i="4"/>
  <c r="Q99" i="4"/>
  <c r="AD99" i="4"/>
  <c r="J100" i="4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N115" i="4" s="1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I115" i="4" s="1"/>
  <c r="AD97" i="4"/>
  <c r="AD115" i="4" s="1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116" i="4" s="1"/>
  <c r="AL85" i="4"/>
  <c r="AL88" i="4"/>
  <c r="AK91" i="4"/>
  <c r="N93" i="4"/>
  <c r="N95" i="4"/>
  <c r="AK97" i="4"/>
  <c r="AK115" i="4" s="1"/>
  <c r="V99" i="4"/>
  <c r="O100" i="4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M115" i="4" s="1"/>
  <c r="AG97" i="4"/>
  <c r="V98" i="4"/>
  <c r="G99" i="4"/>
  <c r="U99" i="4"/>
  <c r="AG99" i="4"/>
  <c r="N100" i="4"/>
  <c r="Z100" i="4"/>
  <c r="AL100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114" i="4" s="1"/>
  <c r="F83" i="4"/>
  <c r="F116" i="4" s="1"/>
  <c r="F86" i="4"/>
  <c r="F82" i="4"/>
  <c r="F105" i="4"/>
  <c r="F81" i="4"/>
  <c r="N114" i="4" l="1"/>
  <c r="Q115" i="4"/>
  <c r="K114" i="4"/>
  <c r="K116" i="4"/>
  <c r="K118" i="4" s="1"/>
  <c r="AG114" i="4"/>
  <c r="AG116" i="4"/>
  <c r="H116" i="4"/>
  <c r="H118" i="4" s="1"/>
  <c r="AE115" i="4"/>
  <c r="AE116" i="4"/>
  <c r="V116" i="4"/>
  <c r="L115" i="4"/>
  <c r="U116" i="4"/>
  <c r="F115" i="4"/>
  <c r="F119" i="4" s="1"/>
  <c r="AG115" i="4"/>
  <c r="AD116" i="4"/>
  <c r="AC116" i="4"/>
  <c r="M116" i="4"/>
  <c r="AH114" i="4"/>
  <c r="AH116" i="4"/>
  <c r="Y114" i="4"/>
  <c r="Y116" i="4"/>
  <c r="W114" i="4"/>
  <c r="W116" i="4"/>
  <c r="AK116" i="4"/>
  <c r="Y115" i="4"/>
  <c r="AJ115" i="4"/>
  <c r="AJ114" i="4"/>
  <c r="AJ116" i="4"/>
  <c r="Z115" i="4"/>
  <c r="Z114" i="4"/>
  <c r="Z116" i="4"/>
  <c r="Q114" i="4"/>
  <c r="Q116" i="4"/>
  <c r="O115" i="4"/>
  <c r="O114" i="4"/>
  <c r="O116" i="4"/>
  <c r="U114" i="4"/>
  <c r="U115" i="4"/>
  <c r="AB114" i="4"/>
  <c r="AB116" i="4"/>
  <c r="R114" i="4"/>
  <c r="R116" i="4"/>
  <c r="I114" i="4"/>
  <c r="I116" i="4"/>
  <c r="G114" i="4"/>
  <c r="G116" i="4"/>
  <c r="AE114" i="4"/>
  <c r="AL114" i="4"/>
  <c r="N116" i="4"/>
  <c r="T115" i="4"/>
  <c r="T114" i="4"/>
  <c r="T116" i="4"/>
  <c r="J115" i="4"/>
  <c r="J114" i="4"/>
  <c r="J116" i="4"/>
  <c r="AD114" i="4"/>
  <c r="AC114" i="4"/>
  <c r="M114" i="4"/>
  <c r="L114" i="4"/>
  <c r="L116" i="4"/>
  <c r="AI115" i="4"/>
  <c r="AI114" i="4"/>
  <c r="AI116" i="4"/>
  <c r="AF115" i="4"/>
  <c r="AF114" i="4"/>
  <c r="AF116" i="4"/>
  <c r="H114" i="4"/>
  <c r="AK114" i="4"/>
  <c r="V115" i="4"/>
  <c r="AA114" i="4"/>
  <c r="AA116" i="4"/>
  <c r="X114" i="4"/>
  <c r="X116" i="4"/>
  <c r="V114" i="4"/>
  <c r="AL115" i="4"/>
  <c r="AL118" i="4" s="1"/>
  <c r="S115" i="4"/>
  <c r="S114" i="4"/>
  <c r="S116" i="4"/>
  <c r="P115" i="4"/>
  <c r="P114" i="4"/>
  <c r="P116" i="4"/>
  <c r="F117" i="4"/>
  <c r="F118" i="4" l="1"/>
  <c r="AK119" i="4"/>
  <c r="AC119" i="4"/>
  <c r="U117" i="4"/>
  <c r="H119" i="4"/>
  <c r="K119" i="4"/>
  <c r="AD119" i="4"/>
  <c r="K117" i="4"/>
  <c r="V118" i="4"/>
  <c r="AE119" i="4"/>
  <c r="M119" i="4"/>
  <c r="V119" i="4"/>
  <c r="W119" i="4"/>
  <c r="AE118" i="4"/>
  <c r="AG117" i="4"/>
  <c r="P119" i="4"/>
  <c r="X119" i="4"/>
  <c r="AH119" i="4"/>
  <c r="U118" i="4"/>
  <c r="H117" i="4"/>
  <c r="B114" i="4"/>
  <c r="Z119" i="4"/>
  <c r="AG119" i="4"/>
  <c r="AI119" i="4"/>
  <c r="AF119" i="4"/>
  <c r="Q117" i="4"/>
  <c r="Q118" i="4"/>
  <c r="AA119" i="4"/>
  <c r="T119" i="4"/>
  <c r="I117" i="4"/>
  <c r="I118" i="4"/>
  <c r="V117" i="4"/>
  <c r="Q119" i="4"/>
  <c r="AK118" i="4"/>
  <c r="AK117" i="4"/>
  <c r="Y119" i="4"/>
  <c r="P117" i="4"/>
  <c r="P118" i="4"/>
  <c r="AI117" i="4"/>
  <c r="AI118" i="4"/>
  <c r="I119" i="4"/>
  <c r="Z117" i="4"/>
  <c r="Z118" i="4"/>
  <c r="AG118" i="4"/>
  <c r="AH117" i="4"/>
  <c r="AH118" i="4"/>
  <c r="T118" i="4"/>
  <c r="T117" i="4"/>
  <c r="R117" i="4"/>
  <c r="R118" i="4"/>
  <c r="N118" i="4"/>
  <c r="N117" i="4"/>
  <c r="AL119" i="4"/>
  <c r="R119" i="4"/>
  <c r="AE117" i="4"/>
  <c r="AL117" i="4"/>
  <c r="M117" i="4"/>
  <c r="M118" i="4"/>
  <c r="G118" i="4"/>
  <c r="G117" i="4"/>
  <c r="L117" i="4"/>
  <c r="L118" i="4"/>
  <c r="AB117" i="4"/>
  <c r="AB118" i="4"/>
  <c r="AA117" i="4"/>
  <c r="AA118" i="4"/>
  <c r="G119" i="4"/>
  <c r="S118" i="4"/>
  <c r="S117" i="4"/>
  <c r="J117" i="4"/>
  <c r="J118" i="4"/>
  <c r="O117" i="4"/>
  <c r="O118" i="4"/>
  <c r="AJ118" i="4"/>
  <c r="AJ117" i="4"/>
  <c r="AC117" i="4"/>
  <c r="AC118" i="4"/>
  <c r="B115" i="4"/>
  <c r="S119" i="4"/>
  <c r="X117" i="4"/>
  <c r="X118" i="4"/>
  <c r="L119" i="4"/>
  <c r="J119" i="4"/>
  <c r="N119" i="4"/>
  <c r="AB119" i="4"/>
  <c r="O119" i="4"/>
  <c r="AJ119" i="4"/>
  <c r="W117" i="4"/>
  <c r="W118" i="4"/>
  <c r="AD118" i="4"/>
  <c r="AD117" i="4"/>
  <c r="AF117" i="4"/>
  <c r="AF118" i="4"/>
  <c r="U119" i="4"/>
  <c r="Y118" i="4"/>
  <c r="Y117" i="4"/>
  <c r="E122" i="4" l="1" a="1"/>
  <c r="V135" i="4" s="1"/>
  <c r="E122" i="11" a="1"/>
  <c r="AD127" i="11" s="1"/>
  <c r="B115" i="11"/>
  <c r="B114" i="11"/>
  <c r="T131" i="4" l="1"/>
  <c r="F125" i="4"/>
  <c r="G125" i="4"/>
  <c r="AD132" i="4"/>
  <c r="AG127" i="4"/>
  <c r="F130" i="4"/>
  <c r="G124" i="4"/>
  <c r="AA130" i="4"/>
  <c r="AC134" i="4"/>
  <c r="AB123" i="4"/>
  <c r="Z131" i="4"/>
  <c r="H128" i="4"/>
  <c r="I133" i="4"/>
  <c r="AG130" i="4"/>
  <c r="G134" i="4"/>
  <c r="P123" i="4"/>
  <c r="AI124" i="4"/>
  <c r="AH129" i="4"/>
  <c r="AB133" i="4"/>
  <c r="H129" i="4"/>
  <c r="I126" i="4"/>
  <c r="V127" i="4"/>
  <c r="Z125" i="4"/>
  <c r="Q123" i="4"/>
  <c r="AL122" i="4"/>
  <c r="S126" i="4"/>
  <c r="W122" i="4"/>
  <c r="K125" i="4"/>
  <c r="AA131" i="4"/>
  <c r="F124" i="4"/>
  <c r="N129" i="4"/>
  <c r="F123" i="4"/>
  <c r="AH135" i="4"/>
  <c r="R135" i="4"/>
  <c r="M131" i="4"/>
  <c r="AG123" i="4"/>
  <c r="P130" i="4"/>
  <c r="AJ125" i="4"/>
  <c r="AC133" i="4"/>
  <c r="R126" i="4"/>
  <c r="Q131" i="4"/>
  <c r="Y134" i="4"/>
  <c r="G135" i="4"/>
  <c r="AL124" i="4"/>
  <c r="N122" i="4"/>
  <c r="AJ128" i="4"/>
  <c r="U130" i="4"/>
  <c r="AD122" i="4"/>
  <c r="AC127" i="4"/>
  <c r="G128" i="4"/>
  <c r="AJ123" i="4"/>
  <c r="AB132" i="4"/>
  <c r="H126" i="4"/>
  <c r="L132" i="4"/>
  <c r="T130" i="4"/>
  <c r="X123" i="4"/>
  <c r="AI128" i="4"/>
  <c r="X135" i="4"/>
  <c r="Z135" i="4"/>
  <c r="S135" i="4"/>
  <c r="L129" i="4"/>
  <c r="V129" i="4"/>
  <c r="I132" i="4"/>
  <c r="J127" i="4"/>
  <c r="AH128" i="4"/>
  <c r="AE131" i="4"/>
  <c r="L128" i="4"/>
  <c r="O125" i="4"/>
  <c r="AE130" i="4"/>
  <c r="Z129" i="4"/>
  <c r="AA132" i="4"/>
  <c r="Q133" i="4"/>
  <c r="E124" i="4"/>
  <c r="AH126" i="4"/>
  <c r="AF130" i="4"/>
  <c r="Y125" i="4"/>
  <c r="V122" i="4"/>
  <c r="AI122" i="4"/>
  <c r="AK122" i="4"/>
  <c r="X125" i="4"/>
  <c r="AB134" i="4"/>
  <c r="G126" i="4"/>
  <c r="AA134" i="4"/>
  <c r="Y130" i="4"/>
  <c r="V124" i="4"/>
  <c r="I125" i="4"/>
  <c r="AL132" i="4"/>
  <c r="AJ134" i="4"/>
  <c r="Y129" i="4"/>
  <c r="AJ131" i="4"/>
  <c r="E135" i="4"/>
  <c r="AK126" i="4"/>
  <c r="T127" i="4"/>
  <c r="J123" i="4"/>
  <c r="W123" i="4"/>
  <c r="H135" i="4"/>
  <c r="AE124" i="4"/>
  <c r="S133" i="4"/>
  <c r="V132" i="4"/>
  <c r="O122" i="4"/>
  <c r="AA123" i="4"/>
  <c r="V133" i="4"/>
  <c r="AI135" i="4"/>
  <c r="AJ133" i="4"/>
  <c r="P132" i="4"/>
  <c r="Y122" i="4"/>
  <c r="Y131" i="4"/>
  <c r="K130" i="4"/>
  <c r="T123" i="4"/>
  <c r="J132" i="4"/>
  <c r="I123" i="4"/>
  <c r="AC125" i="4"/>
  <c r="E130" i="4"/>
  <c r="M134" i="4"/>
  <c r="AK131" i="4"/>
  <c r="AF126" i="4"/>
  <c r="AF124" i="4"/>
  <c r="AE122" i="4"/>
  <c r="I122" i="4"/>
  <c r="H133" i="4"/>
  <c r="U134" i="4"/>
  <c r="Q126" i="4"/>
  <c r="O128" i="4"/>
  <c r="J131" i="4"/>
  <c r="AK125" i="4"/>
  <c r="M133" i="4"/>
  <c r="H134" i="4"/>
  <c r="AE127" i="4"/>
  <c r="L133" i="4"/>
  <c r="AG128" i="4"/>
  <c r="AA128" i="4"/>
  <c r="AB131" i="4"/>
  <c r="V131" i="4"/>
  <c r="AF135" i="4"/>
  <c r="J129" i="4"/>
  <c r="AF128" i="4"/>
  <c r="AI130" i="4"/>
  <c r="M132" i="4"/>
  <c r="AK132" i="4"/>
  <c r="AG135" i="4"/>
  <c r="Y124" i="4"/>
  <c r="U133" i="4"/>
  <c r="AI127" i="4"/>
  <c r="AG134" i="4"/>
  <c r="I127" i="4"/>
  <c r="O133" i="4"/>
  <c r="J124" i="4"/>
  <c r="U129" i="4"/>
  <c r="O124" i="4"/>
  <c r="AC131" i="4"/>
  <c r="X131" i="4"/>
  <c r="AL128" i="4"/>
  <c r="H131" i="4"/>
  <c r="F133" i="4"/>
  <c r="G122" i="4"/>
  <c r="S123" i="4"/>
  <c r="N126" i="4"/>
  <c r="K126" i="4"/>
  <c r="L135" i="4"/>
  <c r="R125" i="4"/>
  <c r="N128" i="4"/>
  <c r="S127" i="4"/>
  <c r="AC128" i="4"/>
  <c r="V125" i="4"/>
  <c r="AE125" i="4"/>
  <c r="M128" i="4"/>
  <c r="U126" i="4"/>
  <c r="H132" i="4"/>
  <c r="S129" i="4"/>
  <c r="F129" i="4"/>
  <c r="AC132" i="4"/>
  <c r="R128" i="4"/>
  <c r="Q135" i="4"/>
  <c r="T134" i="4"/>
  <c r="AA122" i="4"/>
  <c r="AE133" i="4"/>
  <c r="Z124" i="4"/>
  <c r="G133" i="4"/>
  <c r="AG131" i="4"/>
  <c r="Y133" i="4"/>
  <c r="AG129" i="4"/>
  <c r="H127" i="4"/>
  <c r="AK129" i="4"/>
  <c r="AD124" i="4"/>
  <c r="U131" i="4"/>
  <c r="AB124" i="4"/>
  <c r="L134" i="4"/>
  <c r="M127" i="4"/>
  <c r="AH127" i="4"/>
  <c r="AB127" i="4"/>
  <c r="AC130" i="4"/>
  <c r="W130" i="4"/>
  <c r="J133" i="4"/>
  <c r="K128" i="4"/>
  <c r="AA125" i="4"/>
  <c r="AK130" i="4"/>
  <c r="AF129" i="4"/>
  <c r="H123" i="4"/>
  <c r="Z134" i="4"/>
  <c r="Z123" i="4"/>
  <c r="N132" i="4"/>
  <c r="AA133" i="4"/>
  <c r="AB122" i="4"/>
  <c r="AJ135" i="4"/>
  <c r="AL123" i="4"/>
  <c r="K123" i="4"/>
  <c r="O134" i="4"/>
  <c r="AJ132" i="4"/>
  <c r="AB130" i="4"/>
  <c r="AF122" i="4"/>
  <c r="AC122" i="4"/>
  <c r="O123" i="4"/>
  <c r="R134" i="4"/>
  <c r="AK127" i="4"/>
  <c r="AE134" i="4"/>
  <c r="V126" i="4"/>
  <c r="AJ124" i="4"/>
  <c r="AH123" i="4"/>
  <c r="AL130" i="4"/>
  <c r="AH133" i="4"/>
  <c r="H122" i="4"/>
  <c r="R132" i="4"/>
  <c r="Z130" i="4"/>
  <c r="Z132" i="4"/>
  <c r="W132" i="4"/>
  <c r="AI131" i="4"/>
  <c r="AB125" i="4"/>
  <c r="K135" i="4"/>
  <c r="R130" i="4"/>
  <c r="AL131" i="4"/>
  <c r="E128" i="4"/>
  <c r="W133" i="4"/>
  <c r="P124" i="4"/>
  <c r="K129" i="4"/>
  <c r="R123" i="4"/>
  <c r="I130" i="4"/>
  <c r="AK134" i="4"/>
  <c r="O126" i="4"/>
  <c r="S124" i="4"/>
  <c r="E122" i="4"/>
  <c r="P131" i="4"/>
  <c r="AD127" i="4"/>
  <c r="I128" i="4"/>
  <c r="AD131" i="4"/>
  <c r="E126" i="4"/>
  <c r="E125" i="4"/>
  <c r="W126" i="4"/>
  <c r="AK124" i="4"/>
  <c r="AJ122" i="4"/>
  <c r="L124" i="4"/>
  <c r="J128" i="4"/>
  <c r="X122" i="4"/>
  <c r="T133" i="4"/>
  <c r="AG133" i="4"/>
  <c r="N131" i="4"/>
  <c r="G127" i="4"/>
  <c r="Q122" i="4"/>
  <c r="W134" i="4"/>
  <c r="AD128" i="4"/>
  <c r="AI132" i="4"/>
  <c r="J122" i="4"/>
  <c r="AA126" i="4"/>
  <c r="AD129" i="4"/>
  <c r="X129" i="4"/>
  <c r="L127" i="4"/>
  <c r="W129" i="4"/>
  <c r="Q134" i="4"/>
  <c r="AL127" i="4"/>
  <c r="F132" i="4"/>
  <c r="AK128" i="4"/>
  <c r="S122" i="4"/>
  <c r="G123" i="4"/>
  <c r="S131" i="4"/>
  <c r="R124" i="4"/>
  <c r="AE128" i="4"/>
  <c r="E123" i="4"/>
  <c r="L122" i="4"/>
  <c r="N133" i="4"/>
  <c r="AD134" i="4"/>
  <c r="AH124" i="4"/>
  <c r="AF127" i="4"/>
  <c r="O127" i="4"/>
  <c r="AE126" i="4"/>
  <c r="N127" i="4"/>
  <c r="AJ126" i="4"/>
  <c r="Q129" i="4"/>
  <c r="AI129" i="4"/>
  <c r="N130" i="4"/>
  <c r="AC124" i="4"/>
  <c r="AF132" i="4"/>
  <c r="T129" i="4"/>
  <c r="AF134" i="4"/>
  <c r="P133" i="4"/>
  <c r="AC135" i="4"/>
  <c r="S125" i="4"/>
  <c r="G129" i="4"/>
  <c r="T132" i="4"/>
  <c r="M123" i="4"/>
  <c r="S128" i="4"/>
  <c r="V134" i="4"/>
  <c r="AF123" i="4"/>
  <c r="AA129" i="4"/>
  <c r="M135" i="4"/>
  <c r="AB135" i="4"/>
  <c r="AA127" i="4"/>
  <c r="V128" i="4"/>
  <c r="E131" i="4"/>
  <c r="AL135" i="4"/>
  <c r="Z126" i="4"/>
  <c r="AE129" i="4"/>
  <c r="N134" i="4"/>
  <c r="X127" i="4"/>
  <c r="AD130" i="4"/>
  <c r="O131" i="4"/>
  <c r="U132" i="4"/>
  <c r="S130" i="4"/>
  <c r="Y123" i="4"/>
  <c r="Z133" i="4"/>
  <c r="AH122" i="4"/>
  <c r="H124" i="4"/>
  <c r="T124" i="4"/>
  <c r="M122" i="4"/>
  <c r="AE135" i="4"/>
  <c r="R127" i="4"/>
  <c r="O130" i="4"/>
  <c r="AL134" i="4"/>
  <c r="R129" i="4"/>
  <c r="P135" i="4"/>
  <c r="X130" i="4"/>
  <c r="M124" i="4"/>
  <c r="W127" i="4"/>
  <c r="L126" i="4"/>
  <c r="H130" i="4"/>
  <c r="AC126" i="4"/>
  <c r="K132" i="4"/>
  <c r="X133" i="4"/>
  <c r="R133" i="4"/>
  <c r="I135" i="4"/>
  <c r="F131" i="4"/>
  <c r="X132" i="4"/>
  <c r="T122" i="4"/>
  <c r="Q130" i="4"/>
  <c r="X128" i="4"/>
  <c r="AL129" i="4"/>
  <c r="T125" i="4"/>
  <c r="AD125" i="4"/>
  <c r="W128" i="4"/>
  <c r="Y128" i="4"/>
  <c r="L131" i="4"/>
  <c r="M126" i="4"/>
  <c r="U135" i="4"/>
  <c r="O129" i="4"/>
  <c r="E127" i="4"/>
  <c r="AD126" i="4"/>
  <c r="AG122" i="4"/>
  <c r="K124" i="4"/>
  <c r="L123" i="4"/>
  <c r="K131" i="4"/>
  <c r="K133" i="4"/>
  <c r="T128" i="4"/>
  <c r="F122" i="4"/>
  <c r="AH134" i="4"/>
  <c r="G131" i="4"/>
  <c r="Q124" i="4"/>
  <c r="AB126" i="4"/>
  <c r="AG132" i="4"/>
  <c r="Z128" i="4"/>
  <c r="R131" i="4"/>
  <c r="AH132" i="4"/>
  <c r="AI123" i="4"/>
  <c r="R122" i="4"/>
  <c r="AF131" i="4"/>
  <c r="X124" i="4"/>
  <c r="I134" i="4"/>
  <c r="K122" i="4"/>
  <c r="M129" i="4"/>
  <c r="J125" i="4"/>
  <c r="G132" i="4"/>
  <c r="P125" i="4"/>
  <c r="P126" i="4"/>
  <c r="K127" i="4"/>
  <c r="AH131" i="4"/>
  <c r="AL125" i="4"/>
  <c r="E134" i="4"/>
  <c r="J130" i="4"/>
  <c r="AJ129" i="4"/>
  <c r="O132" i="4"/>
  <c r="Q127" i="4"/>
  <c r="T135" i="4"/>
  <c r="AA124" i="4"/>
  <c r="AL126" i="4"/>
  <c r="AL133" i="4"/>
  <c r="X126" i="4"/>
  <c r="F127" i="4"/>
  <c r="T126" i="4"/>
  <c r="U123" i="4"/>
  <c r="J134" i="4"/>
  <c r="AG124" i="4"/>
  <c r="AH130" i="4"/>
  <c r="I131" i="4"/>
  <c r="N123" i="4"/>
  <c r="AD135" i="4"/>
  <c r="L125" i="4"/>
  <c r="AK123" i="4"/>
  <c r="AA135" i="4"/>
  <c r="L130" i="4"/>
  <c r="P129" i="4"/>
  <c r="AD123" i="4"/>
  <c r="J126" i="4"/>
  <c r="V130" i="4"/>
  <c r="O135" i="4"/>
  <c r="AF125" i="4"/>
  <c r="P134" i="4"/>
  <c r="N135" i="4"/>
  <c r="U128" i="4"/>
  <c r="Y132" i="4"/>
  <c r="S132" i="4"/>
  <c r="F135" i="4"/>
  <c r="G130" i="4"/>
  <c r="AI133" i="4"/>
  <c r="AE123" i="4"/>
  <c r="AG125" i="4"/>
  <c r="AF133" i="4"/>
  <c r="AE132" i="4"/>
  <c r="AI125" i="4"/>
  <c r="W124" i="4"/>
  <c r="P127" i="4"/>
  <c r="Z127" i="4"/>
  <c r="M130" i="4"/>
  <c r="N125" i="4"/>
  <c r="H125" i="4"/>
  <c r="U127" i="4"/>
  <c r="F126" i="4"/>
  <c r="AH125" i="4"/>
  <c r="AB128" i="4"/>
  <c r="V123" i="4"/>
  <c r="Y127" i="4"/>
  <c r="AB129" i="4"/>
  <c r="W125" i="4"/>
  <c r="AD133" i="4"/>
  <c r="AK133" i="4"/>
  <c r="J135" i="4"/>
  <c r="I124" i="4"/>
  <c r="AC129" i="4"/>
  <c r="M125" i="4"/>
  <c r="E133" i="4"/>
  <c r="W131" i="4"/>
  <c r="AG126" i="4"/>
  <c r="U122" i="4"/>
  <c r="U125" i="4"/>
  <c r="AI126" i="4"/>
  <c r="F134" i="4"/>
  <c r="P122" i="4"/>
  <c r="AK135" i="4"/>
  <c r="W135" i="4"/>
  <c r="AI134" i="4"/>
  <c r="Q125" i="4"/>
  <c r="U124" i="4"/>
  <c r="AJ130" i="4"/>
  <c r="N124" i="4"/>
  <c r="I129" i="4"/>
  <c r="S134" i="4"/>
  <c r="Y126" i="4"/>
  <c r="Y135" i="4"/>
  <c r="X134" i="4"/>
  <c r="F128" i="4"/>
  <c r="Q132" i="4"/>
  <c r="P128" i="4"/>
  <c r="K134" i="4"/>
  <c r="Q128" i="4"/>
  <c r="Z122" i="4"/>
  <c r="E132" i="4"/>
  <c r="AJ127" i="4"/>
  <c r="AC123" i="4"/>
  <c r="E129" i="4"/>
  <c r="F129" i="1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<sst xmlns="http://schemas.openxmlformats.org/spreadsheetml/2006/main" count="307" uniqueCount="98">
  <si>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</si>
  <si>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</si>
  <si>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</si>
  <si>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</si>
  <si>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</si>
  <si>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</si>
  <si>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</si>
  <si>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</si>
  <si>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</si>
  <si>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</si>
  <si>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</si>
  <si>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</si>
  <si>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</si>
  <si>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</si>
  <si>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</si>
  <si>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</si>
  <si>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</si>
  <si>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</si>
  <si>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</si>
  <si>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</si>
  <si>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</si>
  <si>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</si>
  <si>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</si>
  <si>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</si>
  <si>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</si>
  <si>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</si>
  <si>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</si>
  <si>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</si>
  <si>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</si>
  <si>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</si>
  <si>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</si>
  <si>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</si>
  <si>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</si>
  <si>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</si>
  <si>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</si>
  <si>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</si>
  <si>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*Se[m]</t>
  </si>
  <si>
    <t>*GeSe</t>
  </si>
  <si>
    <t>(l)Se[a]</t>
  </si>
  <si>
    <t>(l)Se</t>
  </si>
  <si>
    <t>(l)Ga</t>
  </si>
  <si>
    <t>(l)Ge</t>
  </si>
  <si>
    <t>(l)GeSe</t>
  </si>
  <si>
    <t>(l)Se[m]</t>
  </si>
  <si>
    <t xml:space="preserve">Раствор 3 (жид): </t>
  </si>
  <si>
    <t xml:space="preserve">Раствор 3 + газовая без Ar: </t>
  </si>
  <si>
    <t>Темп1 Графики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</si>
  <si>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</si>
  <si>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(l)Geic]</t>
  </si>
  <si>
    <t>(3)Ga[l]</t>
  </si>
  <si>
    <t>(3)Ge[l]</t>
  </si>
  <si>
    <r>
      <t>Temperature,</t>
    </r>
    <r>
      <rPr>
        <sz val="8"/>
        <rFont val="Arial"/>
        <family val="2"/>
        <charset val="204"/>
      </rPr>
      <t xml:space="preserve">К </t>
    </r>
    <r>
      <rPr>
        <sz val="8"/>
        <rFont val="Arial"/>
        <family val="2"/>
        <charset val="204"/>
      </rPr>
      <t>Pressure, at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</si>
  <si>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</si>
  <si>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</si>
  <si>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</si>
  <si>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</si>
  <si>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Temperature,</t>
    </r>
    <r>
      <rPr>
        <sz val="8"/>
        <rFont val="Arial"/>
        <family val="2"/>
        <charset val="204"/>
      </rPr>
      <t>К</t>
    </r>
  </si>
  <si>
    <t>*Ga[1]</t>
  </si>
  <si>
    <t>(1)GeSe2</t>
  </si>
  <si>
    <t>(1)Ga2Se3</t>
  </si>
  <si>
    <t>(1)Ga2Se</t>
  </si>
  <si>
    <t>(1)Ge</t>
  </si>
  <si>
    <t>(1)Ga</t>
  </si>
  <si>
    <t>(1)Se[a]</t>
  </si>
  <si>
    <t>(1)Se[m]</t>
  </si>
  <si>
    <t>(3)Ga[1]</t>
  </si>
  <si>
    <t>(3)Ge[1]</t>
  </si>
  <si>
    <t>(1)Ge[c]</t>
  </si>
  <si>
    <t>jXAr)</t>
  </si>
  <si>
    <t>p(Ga)</t>
  </si>
  <si>
    <t>p(Ge)</t>
  </si>
  <si>
    <t>p(Se)</t>
  </si>
  <si>
    <t>Vapor</t>
  </si>
  <si>
    <t>Solution #1</t>
  </si>
  <si>
    <t>Solution #2</t>
  </si>
  <si>
    <t>Solution #3</t>
  </si>
  <si>
    <t>Convergence</t>
  </si>
  <si>
    <t>0,00006+00</t>
  </si>
  <si>
    <t>0,0000e+00</t>
  </si>
  <si>
    <t xml:space="preserve"> </t>
  </si>
  <si>
    <t>Temperature,К Pressure, at</t>
  </si>
  <si>
    <t>Ga2Se3</t>
  </si>
  <si>
    <t>Ga2Se</t>
  </si>
  <si>
    <t>Все</t>
  </si>
  <si>
    <t>(l)Ga[l]</t>
  </si>
  <si>
    <t>*Se[l]</t>
  </si>
  <si>
    <t>(l)Ge[lJ</t>
  </si>
  <si>
    <t>(l)SeCl]</t>
  </si>
  <si>
    <t>p(Ar)</t>
  </si>
  <si>
    <t>B(Se)</t>
  </si>
  <si>
    <t>Se3</t>
  </si>
  <si>
    <t>Se4</t>
  </si>
  <si>
    <t>Se5</t>
  </si>
  <si>
    <t>Se6</t>
  </si>
  <si>
    <t>Se8</t>
  </si>
  <si>
    <t>Se2</t>
  </si>
  <si>
    <t>Se7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</si>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</sst>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6.5"/>
      <name val="Arial"/>
      <family val="2"/>
      <charset val="204"/>
    </font>
    <font>
      <sz val="7.5"/>
      <name val="Arial"/>
      <family val="2"/>
      <charset val="204"/>
    </font>
    <font>
      <b/>
      <sz val="6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0" fontId="23" fillId="0" borderId="0" applyNumberFormat="0" applyFont="0" applyFill="0" applyBorder="0" applyAlignment="0" applyProtection="0">
      <alignment vertical="top"/>
    </xf>
  </cellStyleXfs>
  <cellXfs count="202">
    <xf numFmtId="0" fontId="0" fillId="0" borderId="0" xfId="0"/>
    <xf numFmtId="0" fontId="8" fillId="7" borderId="33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17" xfId="5" applyBorder="1">
      <alignment horizontal="center" vertical="center"/>
    </xf>
    <xf numFmtId="0" fontId="2" fillId="4" borderId="19" xfId="5" applyBorder="1">
      <alignment horizontal="center" vertical="center"/>
    </xf>
    <xf numFmtId="0" fontId="2" fillId="4" borderId="8" xfId="5" applyBorder="1">
      <alignment horizontal="center" vertical="center"/>
    </xf>
    <xf numFmtId="0" fontId="2" fillId="4" borderId="21" xfId="5" applyBorder="1">
      <alignment horizontal="center" vertical="center"/>
    </xf>
    <xf numFmtId="0" fontId="2" fillId="4" borderId="22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0" fillId="0" borderId="13" xfId="0" applyBorder="1"/>
    <xf numFmtId="0" fontId="0" fillId="0" borderId="26" xfId="0" applyBorder="1"/>
    <xf numFmtId="0" fontId="0" fillId="0" borderId="27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65" fontId="10" fillId="0" borderId="0" xfId="7"/>
    <xf numFmtId="1" fontId="2" fillId="4" borderId="18" xfId="5" applyNumberFormat="1" applyBorder="1">
      <alignment horizontal="center" vertical="center"/>
    </xf>
    <xf numFmtId="1" fontId="2" fillId="4" borderId="20" xfId="5" applyNumberFormat="1" applyBorder="1">
      <alignment horizontal="center" vertical="center"/>
    </xf>
    <xf numFmtId="11" fontId="12" fillId="10" borderId="0" xfId="4" applyNumberFormat="1">
      <alignment vertical="top"/>
    </xf>
    <xf numFmtId="1" fontId="22" fillId="4" borderId="18" xfId="5" applyNumberFormat="1" applyFont="1" applyBorder="1">
      <alignment horizontal="center" vertical="center"/>
    </xf>
    <xf numFmtId="1" fontId="22" fillId="4" borderId="20" xfId="5" applyNumberFormat="1" applyFont="1" applyBorder="1">
      <alignment horizontal="center" vertical="center"/>
    </xf>
    <xf numFmtId="0" fontId="0" fillId="0" borderId="0" xfId="0"/>
    <xf numFmtId="1" fontId="0" fillId="0" borderId="27" xfId="0" applyNumberFormat="1" applyBorder="1"/>
    <xf numFmtId="0" fontId="8" fillId="7" borderId="4" xfId="2" applyNumberFormat="1" applyBorder="1">
      <alignment horizontal="left" vertical="center"/>
    </xf>
    <xf numFmtId="0" fontId="8" fillId="7" borderId="31" xfId="2" applyNumberFormat="1" applyBorder="1">
      <alignment horizontal="left" vertical="center"/>
    </xf>
    <xf numFmtId="1" fontId="8" fillId="7" borderId="31" xfId="2" applyBorder="1">
      <alignment horizontal="left" vertical="center"/>
    </xf>
    <xf numFmtId="0" fontId="8" fillId="7" borderId="32" xfId="2" applyNumberFormat="1" applyBorder="1">
      <alignment horizontal="left" vertical="center"/>
    </xf>
    <xf numFmtId="0" fontId="8" fillId="7" borderId="2" xfId="2" applyNumberFormat="1" applyBorder="1">
      <alignment horizontal="left" vertical="center"/>
    </xf>
    <xf numFmtId="1" fontId="8" fillId="7" borderId="32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30" xfId="0" applyBorder="1"/>
    <xf numFmtId="1" fontId="8" fillId="7" borderId="33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4" xfId="0" applyFont="1" applyFill="1" applyBorder="1"/>
    <xf numFmtId="0" fontId="6" fillId="9" borderId="0" xfId="0" applyFont="1" applyFill="1" applyBorder="1"/>
    <xf numFmtId="0" fontId="6" fillId="9" borderId="30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23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13" fillId="0" borderId="1" xfId="0" applyNumberFormat="1" applyFont="1" applyFill="1" applyBorder="1" applyAlignment="1" applyProtection="1">
      <alignment horizontal="left" vertical="center" wrapText="1"/>
    </xf>
    <xf numFmtId="0" fontId="13" fillId="0" borderId="1" xfId="0" applyNumberFormat="1" applyFont="1" applyFill="1" applyBorder="1" applyAlignment="1" applyProtection="1">
      <alignment horizontal="right" vertical="center" wrapText="1"/>
    </xf>
    <xf numFmtId="0" fontId="13" fillId="0" borderId="28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justify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28" xfId="0" applyNumberFormat="1" applyFont="1" applyFill="1" applyBorder="1" applyAlignment="1" applyProtection="1">
      <alignment horizontal="center"/>
    </xf>
    <xf numFmtId="0" fontId="13" fillId="0" borderId="34" xfId="0" applyNumberFormat="1" applyFont="1" applyFill="1" applyBorder="1" applyAlignment="1" applyProtection="1">
      <alignment horizontal="right" vertical="top"/>
    </xf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center"/>
    </xf>
    <xf numFmtId="0" fontId="13" fillId="0" borderId="10" xfId="0" applyNumberFormat="1" applyFont="1" applyFill="1" applyBorder="1" applyAlignment="1" applyProtection="1">
      <alignment horizontal="left" vertical="top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1" fontId="29" fillId="4" borderId="18" xfId="5" applyNumberFormat="1" applyFont="1" applyBorder="1">
      <alignment horizontal="center" vertical="center"/>
    </xf>
    <xf numFmtId="1" fontId="29" fillId="4" borderId="20" xfId="5" applyNumberFormat="1" applyFont="1" applyBorder="1">
      <alignment horizontal="center" vertical="center"/>
    </xf>
    <xf numFmtId="0" fontId="9" fillId="6" borderId="35" xfId="3" applyBorder="1" applyAlignment="1">
      <alignment horizontal="right" vertical="center"/>
    </xf>
    <xf numFmtId="0" fontId="30" fillId="0" borderId="0" xfId="0" applyNumberFormat="1" applyFont="1" applyFill="1" applyBorder="1" applyAlignment="1" applyProtection="1">
      <alignment vertical="top"/>
    </xf>
    <xf numFmtId="0" fontId="23" fillId="0" borderId="0" xfId="0" applyNumberFormat="1" applyFont="1" applyFill="1" applyBorder="1" applyAlignment="1" applyProtection="1">
      <alignment vertical="top"/>
    </xf>
    <xf numFmtId="0" fontId="13" fillId="0" borderId="0" xfId="0" applyNumberFormat="1" applyFont="1" applyFill="1" applyBorder="1" applyAlignment="1" applyProtection="1">
      <alignment vertical="top"/>
    </xf>
    <xf numFmtId="0" fontId="31" fillId="0" borderId="0" xfId="0" applyNumberFormat="1" applyFont="1" applyFill="1" applyBorder="1" applyAlignment="1" applyProtection="1">
      <alignment vertical="top"/>
    </xf>
    <xf numFmtId="0" fontId="23" fillId="0" borderId="36" xfId="0" applyNumberFormat="1" applyFont="1" applyFill="1" applyBorder="1" applyAlignment="1" applyProtection="1">
      <alignment horizontal="left" vertical="top"/>
    </xf>
    <xf numFmtId="0" fontId="32" fillId="0" borderId="37" xfId="0" applyNumberFormat="1" applyFont="1" applyFill="1" applyBorder="1" applyAlignment="1" applyProtection="1">
      <alignment horizontal="left" vertical="top"/>
    </xf>
    <xf numFmtId="0" fontId="23" fillId="0" borderId="30" xfId="0" applyNumberFormat="1" applyFont="1" applyFill="1" applyBorder="1" applyAlignment="1" applyProtection="1">
      <alignment horizontal="left" vertical="top"/>
    </xf>
    <xf numFmtId="0" fontId="31" fillId="0" borderId="37" xfId="0" applyNumberFormat="1" applyFont="1" applyFill="1" applyBorder="1" applyAlignment="1" applyProtection="1">
      <alignment horizontal="left"/>
    </xf>
    <xf numFmtId="0" fontId="23" fillId="0" borderId="38" xfId="0" applyNumberFormat="1" applyFont="1" applyFill="1" applyBorder="1" applyAlignment="1" applyProtection="1">
      <alignment horizontal="left" vertical="top"/>
    </xf>
    <xf numFmtId="0" fontId="31" fillId="0" borderId="28" xfId="0" applyNumberFormat="1" applyFont="1" applyFill="1" applyBorder="1" applyAlignment="1" applyProtection="1">
      <alignment horizontal="left" wrapText="1"/>
    </xf>
    <xf numFmtId="0" fontId="31" fillId="0" borderId="28" xfId="0" applyNumberFormat="1" applyFont="1" applyFill="1" applyBorder="1" applyAlignment="1" applyProtection="1">
      <alignment horizontal="justify" wrapText="1"/>
    </xf>
    <xf numFmtId="0" fontId="31" fillId="0" borderId="28" xfId="0" applyNumberFormat="1" applyFont="1" applyFill="1" applyBorder="1" applyAlignment="1" applyProtection="1">
      <alignment horizontal="center" wrapText="1"/>
    </xf>
    <xf numFmtId="0" fontId="31" fillId="0" borderId="37" xfId="0" applyNumberFormat="1" applyFont="1" applyFill="1" applyBorder="1" applyAlignment="1" applyProtection="1">
      <alignment horizontal="left" wrapText="1"/>
    </xf>
    <xf numFmtId="0" fontId="31" fillId="0" borderId="30" xfId="0" applyNumberFormat="1" applyFont="1" applyFill="1" applyBorder="1" applyAlignment="1" applyProtection="1">
      <alignment horizontal="justify" vertical="top"/>
    </xf>
    <xf numFmtId="0" fontId="31" fillId="0" borderId="34" xfId="0" applyNumberFormat="1" applyFont="1" applyFill="1" applyBorder="1" applyAlignment="1" applyProtection="1">
      <alignment horizontal="left" vertical="top"/>
    </xf>
    <xf numFmtId="0" fontId="31" fillId="0" borderId="34" xfId="0" applyNumberFormat="1" applyFont="1" applyFill="1" applyBorder="1" applyAlignment="1" applyProtection="1">
      <alignment horizontal="justify" vertical="top"/>
    </xf>
    <xf numFmtId="0" fontId="31" fillId="0" borderId="34" xfId="0" applyNumberFormat="1" applyFont="1" applyFill="1" applyBorder="1" applyAlignment="1" applyProtection="1">
      <alignment horizontal="center" vertical="top"/>
    </xf>
    <xf numFmtId="0" fontId="31" fillId="0" borderId="37" xfId="0" applyNumberFormat="1" applyFont="1" applyFill="1" applyBorder="1" applyAlignment="1" applyProtection="1">
      <alignment horizontal="left" vertical="top"/>
    </xf>
    <xf numFmtId="0" fontId="31" fillId="0" borderId="34" xfId="0" applyNumberFormat="1" applyFont="1" applyFill="1" applyBorder="1" applyAlignment="1" applyProtection="1">
      <alignment horizontal="left" vertical="top" wrapText="1"/>
    </xf>
    <xf numFmtId="0" fontId="31" fillId="0" borderId="34" xfId="0" applyNumberFormat="1" applyFont="1" applyFill="1" applyBorder="1" applyAlignment="1" applyProtection="1">
      <alignment horizontal="justify" vertical="top" wrapText="1"/>
    </xf>
    <xf numFmtId="0" fontId="31" fillId="0" borderId="34" xfId="0" applyNumberFormat="1" applyFont="1" applyFill="1" applyBorder="1" applyAlignment="1" applyProtection="1">
      <alignment horizontal="center" vertical="top" wrapText="1"/>
    </xf>
    <xf numFmtId="0" fontId="31" fillId="0" borderId="37" xfId="0" applyNumberFormat="1" applyFont="1" applyFill="1" applyBorder="1" applyAlignment="1" applyProtection="1">
      <alignment horizontal="justify"/>
    </xf>
    <xf numFmtId="0" fontId="31" fillId="0" borderId="30" xfId="0" applyNumberFormat="1" applyFont="1" applyFill="1" applyBorder="1" applyAlignment="1" applyProtection="1">
      <alignment horizontal="justify"/>
    </xf>
    <xf numFmtId="0" fontId="31" fillId="0" borderId="30" xfId="0" applyNumberFormat="1" applyFont="1" applyFill="1" applyBorder="1" applyAlignment="1" applyProtection="1">
      <alignment horizontal="left"/>
    </xf>
    <xf numFmtId="0" fontId="23" fillId="0" borderId="10" xfId="0" applyNumberFormat="1" applyFont="1" applyFill="1" applyBorder="1" applyAlignment="1" applyProtection="1">
      <alignment horizontal="left" vertical="top"/>
    </xf>
    <xf numFmtId="0" fontId="31" fillId="0" borderId="34" xfId="0" applyNumberFormat="1" applyFont="1" applyFill="1" applyBorder="1" applyAlignment="1" applyProtection="1">
      <alignment horizontal="left"/>
    </xf>
    <xf numFmtId="0" fontId="31" fillId="0" borderId="34" xfId="0" applyNumberFormat="1" applyFont="1" applyFill="1" applyBorder="1" applyAlignment="1" applyProtection="1">
      <alignment horizontal="justify"/>
    </xf>
    <xf numFmtId="0" fontId="31" fillId="0" borderId="34" xfId="0" applyNumberFormat="1" applyFont="1" applyFill="1" applyBorder="1" applyAlignment="1" applyProtection="1">
      <alignment horizontal="center"/>
    </xf>
    <xf numFmtId="0" fontId="23" fillId="0" borderId="28" xfId="0" applyNumberFormat="1" applyFont="1" applyFill="1" applyBorder="1" applyAlignment="1" applyProtection="1">
      <alignment horizontal="left" vertical="top"/>
    </xf>
    <xf numFmtId="0" fontId="31" fillId="0" borderId="30" xfId="0" applyNumberFormat="1" applyFont="1" applyFill="1" applyBorder="1" applyAlignment="1" applyProtection="1">
      <alignment horizontal="left" vertical="top"/>
    </xf>
    <xf numFmtId="0" fontId="23" fillId="0" borderId="34" xfId="0" applyNumberFormat="1" applyFont="1" applyFill="1" applyBorder="1" applyAlignment="1" applyProtection="1">
      <alignment horizontal="left" vertical="top"/>
    </xf>
    <xf numFmtId="0" fontId="31" fillId="0" borderId="10" xfId="0" applyNumberFormat="1" applyFont="1" applyFill="1" applyBorder="1" applyAlignment="1" applyProtection="1">
      <alignment horizontal="left" vertical="top" wrapText="1"/>
    </xf>
    <xf numFmtId="0" fontId="31" fillId="0" borderId="10" xfId="0" applyNumberFormat="1" applyFont="1" applyFill="1" applyBorder="1" applyAlignment="1" applyProtection="1">
      <alignment horizontal="justify" vertical="top" wrapText="1"/>
    </xf>
    <xf numFmtId="0" fontId="31" fillId="0" borderId="10" xfId="0" applyNumberFormat="1" applyFont="1" applyFill="1" applyBorder="1" applyAlignment="1" applyProtection="1">
      <alignment horizontal="center" vertical="top" wrapText="1"/>
    </xf>
    <xf numFmtId="0" fontId="31" fillId="0" borderId="10" xfId="0" applyNumberFormat="1" applyFont="1" applyFill="1" applyBorder="1" applyAlignment="1" applyProtection="1">
      <alignment horizontal="justify" vertical="center"/>
    </xf>
    <xf numFmtId="0" fontId="31" fillId="0" borderId="34" xfId="0" applyNumberFormat="1" applyFont="1" applyFill="1" applyBorder="1" applyAlignment="1" applyProtection="1">
      <alignment horizontal="left" wrapText="1"/>
    </xf>
    <xf numFmtId="0" fontId="31" fillId="0" borderId="34" xfId="0" applyNumberFormat="1" applyFont="1" applyFill="1" applyBorder="1" applyAlignment="1" applyProtection="1">
      <alignment horizontal="justify" wrapText="1"/>
    </xf>
    <xf numFmtId="0" fontId="31" fillId="0" borderId="34" xfId="0" applyNumberFormat="1" applyFont="1" applyFill="1" applyBorder="1" applyAlignment="1" applyProtection="1">
      <alignment horizontal="center" wrapText="1"/>
    </xf>
    <xf numFmtId="11" fontId="24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31" fillId="0" borderId="0" xfId="0" applyNumberFormat="1" applyFont="1" applyFill="1" applyBorder="1" applyAlignment="1" applyProtection="1">
      <alignment vertical="top"/>
    </xf>
    <xf numFmtId="0" fontId="12" fillId="10" borderId="0" xfId="4" applyNumberFormat="1">
      <alignment vertical="top"/>
    </xf>
    <xf numFmtId="0" fontId="31" fillId="0" borderId="34" xfId="8" applyNumberFormat="1" applyFont="1" applyFill="1" applyBorder="1" applyAlignment="1" applyProtection="1">
      <alignment horizontal="left" vertical="top"/>
    </xf>
    <xf numFmtId="0" fontId="31" fillId="0" borderId="34" xfId="8" applyNumberFormat="1" applyFont="1" applyFill="1" applyBorder="1" applyAlignment="1" applyProtection="1">
      <alignment horizontal="justify" vertical="top"/>
    </xf>
    <xf numFmtId="0" fontId="31" fillId="0" borderId="10" xfId="8" applyNumberFormat="1" applyFont="1" applyFill="1" applyBorder="1" applyAlignment="1" applyProtection="1">
      <alignment horizontal="left" vertical="top"/>
    </xf>
    <xf numFmtId="0" fontId="31" fillId="0" borderId="28" xfId="8" applyNumberFormat="1" applyFont="1" applyFill="1" applyBorder="1" applyAlignment="1" applyProtection="1">
      <alignment horizontal="left"/>
    </xf>
    <xf numFmtId="0" fontId="31" fillId="0" borderId="28" xfId="8" applyNumberFormat="1" applyFont="1" applyFill="1" applyBorder="1" applyAlignment="1" applyProtection="1">
      <alignment horizontal="justify"/>
    </xf>
    <xf numFmtId="0" fontId="31" fillId="0" borderId="28" xfId="8" applyNumberFormat="1" applyFont="1" applyFill="1" applyBorder="1" applyAlignment="1" applyProtection="1">
      <alignment horizontal="center"/>
    </xf>
    <xf numFmtId="0" fontId="31" fillId="0" borderId="34" xfId="8" applyNumberFormat="1" applyFont="1" applyFill="1" applyBorder="1" applyAlignment="1" applyProtection="1">
      <alignment horizontal="left"/>
    </xf>
    <xf numFmtId="0" fontId="31" fillId="0" borderId="34" xfId="8" applyNumberFormat="1" applyFont="1" applyFill="1" applyBorder="1" applyAlignment="1" applyProtection="1">
      <alignment horizontal="justify"/>
    </xf>
    <xf numFmtId="0" fontId="31" fillId="0" borderId="34" xfId="8" applyNumberFormat="1" applyFont="1" applyFill="1" applyBorder="1" applyAlignment="1" applyProtection="1">
      <alignment horizontal="center"/>
    </xf>
    <xf numFmtId="0" fontId="31" fillId="0" borderId="34" xfId="8" applyNumberFormat="1" applyFont="1" applyFill="1" applyBorder="1" applyAlignment="1" applyProtection="1">
      <alignment horizontal="center" vertical="top"/>
    </xf>
    <xf numFmtId="0" fontId="31" fillId="0" borderId="10" xfId="8" applyNumberFormat="1" applyFont="1" applyFill="1" applyBorder="1" applyAlignment="1" applyProtection="1">
      <alignment horizontal="justify" vertical="top"/>
    </xf>
    <xf numFmtId="0" fontId="31" fillId="0" borderId="10" xfId="8" applyNumberFormat="1" applyFont="1" applyFill="1" applyBorder="1" applyAlignment="1" applyProtection="1">
      <alignment horizontal="center" vertical="top"/>
    </xf>
    <xf numFmtId="0" fontId="31" fillId="0" borderId="34" xfId="8" applyNumberFormat="1" applyFont="1" applyFill="1" applyBorder="1" applyAlignment="1" applyProtection="1">
      <alignment horizontal="right"/>
    </xf>
    <xf numFmtId="11" fontId="31" fillId="0" borderId="28" xfId="8" applyNumberFormat="1" applyFont="1" applyFill="1" applyBorder="1" applyAlignment="1" applyProtection="1">
      <alignment horizontal="center"/>
    </xf>
    <xf numFmtId="11" fontId="31" fillId="0" borderId="28" xfId="8" applyNumberFormat="1" applyFont="1" applyFill="1" applyBorder="1" applyAlignment="1" applyProtection="1">
      <alignment horizontal="justify"/>
    </xf>
    <xf numFmtId="11" fontId="31" fillId="0" borderId="34" xfId="8" applyNumberFormat="1" applyFont="1" applyFill="1" applyBorder="1" applyAlignment="1" applyProtection="1">
      <alignment horizontal="justify"/>
    </xf>
    <xf numFmtId="11" fontId="31" fillId="0" borderId="34" xfId="8" applyNumberFormat="1" applyFont="1" applyFill="1" applyBorder="1" applyAlignment="1" applyProtection="1">
      <alignment horizontal="center"/>
    </xf>
    <xf numFmtId="11" fontId="31" fillId="0" borderId="34" xfId="8" applyNumberFormat="1" applyFont="1" applyFill="1" applyBorder="1" applyAlignment="1" applyProtection="1">
      <alignment horizontal="justify" vertical="top"/>
    </xf>
    <xf numFmtId="11" fontId="31" fillId="0" borderId="34" xfId="8" applyNumberFormat="1" applyFont="1" applyFill="1" applyBorder="1" applyAlignment="1" applyProtection="1">
      <alignment horizontal="center" vertical="top"/>
    </xf>
    <xf numFmtId="11" fontId="31" fillId="0" borderId="10" xfId="8" applyNumberFormat="1" applyFont="1" applyFill="1" applyBorder="1" applyAlignment="1" applyProtection="1">
      <alignment horizontal="justify" vertical="top"/>
    </xf>
    <xf numFmtId="11" fontId="31" fillId="0" borderId="10" xfId="8" applyNumberFormat="1" applyFont="1" applyFill="1" applyBorder="1" applyAlignment="1" applyProtection="1">
      <alignment horizontal="center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2" fillId="4" borderId="15" xfId="5" applyBorder="1">
      <alignment horizontal="center" vertical="center"/>
    </xf>
    <xf numFmtId="0" fontId="2" fillId="4" borderId="16" xfId="5" applyBorder="1">
      <alignment horizontal="center" vertical="center"/>
    </xf>
    <xf numFmtId="0" fontId="1" fillId="1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31" fillId="0" borderId="28" xfId="0" applyNumberFormat="1" applyFont="1" applyFill="1" applyBorder="1" applyAlignment="1" applyProtection="1">
      <alignment horizontal="left" vertical="center" wrapText="1"/>
    </xf>
    <xf numFmtId="0" fontId="31" fillId="0" borderId="34" xfId="0" applyNumberFormat="1" applyFont="1" applyFill="1" applyBorder="1" applyAlignment="1" applyProtection="1">
      <alignment horizontal="left" vertical="center" wrapText="1"/>
    </xf>
    <xf numFmtId="0" fontId="31" fillId="0" borderId="10" xfId="0" applyNumberFormat="1" applyFont="1" applyFill="1" applyBorder="1" applyAlignment="1" applyProtection="1">
      <alignment horizontal="left" vertical="center" wrapText="1"/>
    </xf>
    <xf numFmtId="0" fontId="31" fillId="0" borderId="28" xfId="0" applyNumberFormat="1" applyFont="1" applyFill="1" applyBorder="1" applyAlignment="1" applyProtection="1">
      <alignment horizontal="right" vertical="center" wrapText="1"/>
    </xf>
    <xf numFmtId="0" fontId="31" fillId="0" borderId="34" xfId="0" applyNumberFormat="1" applyFont="1" applyFill="1" applyBorder="1" applyAlignment="1" applyProtection="1">
      <alignment horizontal="right" vertical="center" wrapText="1"/>
    </xf>
    <xf numFmtId="0" fontId="31" fillId="0" borderId="10" xfId="0" applyNumberFormat="1" applyFont="1" applyFill="1" applyBorder="1" applyAlignment="1" applyProtection="1">
      <alignment horizontal="right" vertical="center" wrapText="1"/>
    </xf>
    <xf numFmtId="0" fontId="23" fillId="0" borderId="37" xfId="0" applyNumberFormat="1" applyFont="1" applyFill="1" applyBorder="1" applyAlignment="1" applyProtection="1">
      <alignment horizontal="left" vertical="top"/>
    </xf>
    <xf numFmtId="0" fontId="31" fillId="0" borderId="28" xfId="0" applyNumberFormat="1" applyFont="1" applyFill="1" applyBorder="1" applyAlignment="1" applyProtection="1">
      <alignment horizontal="left" vertical="top"/>
    </xf>
    <xf numFmtId="0" fontId="31" fillId="0" borderId="34" xfId="0" applyNumberFormat="1" applyFont="1" applyFill="1" applyBorder="1" applyAlignment="1" applyProtection="1">
      <alignment horizontal="left" vertical="top"/>
    </xf>
  </cellXfs>
  <cellStyles count="9">
    <cellStyle name="Ввод" xfId="6" xr:uid="{A9A7DDE3-643E-4013-945F-2DCD94967680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S" xfId="8" xr:uid="{89D58049-1F6D-47F4-BB07-F38DB62288A7}"/>
    <cellStyle name="Форм" xfId="4" xr:uid="{810E17FE-2F7B-4E62-B173-29B9F2A26C86}"/>
  </cellStyles>
  <dxfs count="13"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-346121.26907850004</c:v>
                </c:pt>
                <c:pt idx="1">
                  <c:v>-356782.13927039999</c:v>
                </c:pt>
                <c:pt idx="2">
                  <c:v>-369456.02607312007</c:v>
                </c:pt>
                <c:pt idx="3">
                  <c:v>-383819.71527203999</c:v>
                </c:pt>
                <c:pt idx="4">
                  <c:v>-387846.86080749001</c:v>
                </c:pt>
                <c:pt idx="5">
                  <c:v>-392036.22855696001</c:v>
                </c:pt>
                <c:pt idx="6">
                  <c:v>-396393.41983281</c:v>
                </c:pt>
                <c:pt idx="7">
                  <c:v>-400807.08252750005</c:v>
                </c:pt>
                <c:pt idx="8">
                  <c:v>-405287.70172439999</c:v>
                </c:pt>
                <c:pt idx="9">
                  <c:v>-409890.50083590002</c:v>
                </c:pt>
                <c:pt idx="10">
                  <c:v>-414546.45122009999</c:v>
                </c:pt>
                <c:pt idx="11">
                  <c:v>-419172.02125275001</c:v>
                </c:pt>
                <c:pt idx="12">
                  <c:v>-439295.95830384002</c:v>
                </c:pt>
                <c:pt idx="13">
                  <c:v>-445172.75216541009</c:v>
                </c:pt>
                <c:pt idx="14">
                  <c:v>-452522.15788563009</c:v>
                </c:pt>
                <c:pt idx="15">
                  <c:v>-460843.15666512004</c:v>
                </c:pt>
                <c:pt idx="16">
                  <c:v>-470072.60486508004</c:v>
                </c:pt>
                <c:pt idx="17">
                  <c:v>-511104.28987548006</c:v>
                </c:pt>
                <c:pt idx="18">
                  <c:v>-521707.87798478996</c:v>
                </c:pt>
                <c:pt idx="19">
                  <c:v>-533279.71456260001</c:v>
                </c:pt>
                <c:pt idx="20">
                  <c:v>-546314.43619808997</c:v>
                </c:pt>
                <c:pt idx="21">
                  <c:v>-560297.25694277999</c:v>
                </c:pt>
                <c:pt idx="22">
                  <c:v>-574824.12086483999</c:v>
                </c:pt>
                <c:pt idx="23">
                  <c:v>-589584.35068533011</c:v>
                </c:pt>
                <c:pt idx="24">
                  <c:v>-604480.21128594002</c:v>
                </c:pt>
                <c:pt idx="25">
                  <c:v>-619528.12696368003</c:v>
                </c:pt>
                <c:pt idx="26">
                  <c:v>-681594.44070000004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1977923918009719E-2"/>
          <c:y val="7.3209491520351416E-2"/>
          <c:w val="0.91743241838991729"/>
          <c:h val="0.77107340657712931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4.2891999999999998E-16</c:v>
                </c:pt>
                <c:pt idx="2">
                  <c:v>3.5176000000000001E-13</c:v>
                </c:pt>
                <c:pt idx="3">
                  <c:v>2.0272000000000002E-9</c:v>
                </c:pt>
                <c:pt idx="4">
                  <c:v>2.8751000000000001E-9</c:v>
                </c:pt>
                <c:pt idx="5">
                  <c:v>3.3884E-9</c:v>
                </c:pt>
                <c:pt idx="6">
                  <c:v>2.9151E-9</c:v>
                </c:pt>
                <c:pt idx="7">
                  <c:v>4.9231999999999997E-9</c:v>
                </c:pt>
                <c:pt idx="8">
                  <c:v>2.4681000000000002E-9</c:v>
                </c:pt>
                <c:pt idx="9">
                  <c:v>2.7259999999999999E-9</c:v>
                </c:pt>
                <c:pt idx="10">
                  <c:v>2.8222E-9</c:v>
                </c:pt>
                <c:pt idx="11">
                  <c:v>2.8891999999999999E-9</c:v>
                </c:pt>
                <c:pt idx="12">
                  <c:v>6.5785999999999996E-9</c:v>
                </c:pt>
                <c:pt idx="13">
                  <c:v>6.6162000000000004E-9</c:v>
                </c:pt>
                <c:pt idx="14">
                  <c:v>1.1583E-8</c:v>
                </c:pt>
                <c:pt idx="15">
                  <c:v>2.1235000000000001E-8</c:v>
                </c:pt>
                <c:pt idx="16">
                  <c:v>4.3346000000000003E-8</c:v>
                </c:pt>
                <c:pt idx="17">
                  <c:v>3.8367000000000002E-8</c:v>
                </c:pt>
                <c:pt idx="18">
                  <c:v>8.4089000000000002E-24</c:v>
                </c:pt>
                <c:pt idx="19">
                  <c:v>1.7853000000000002E-11</c:v>
                </c:pt>
                <c:pt idx="20">
                  <c:v>6.7466000000000003E-14</c:v>
                </c:pt>
                <c:pt idx="21">
                  <c:v>6.5495999999999998E-11</c:v>
                </c:pt>
                <c:pt idx="22">
                  <c:v>2.5011E-9</c:v>
                </c:pt>
                <c:pt idx="23">
                  <c:v>2.0716999999999999E-8</c:v>
                </c:pt>
                <c:pt idx="24">
                  <c:v>8.0283000000000005E-8</c:v>
                </c:pt>
                <c:pt idx="25">
                  <c:v>2.2548999999999999E-7</c:v>
                </c:pt>
                <c:pt idx="26">
                  <c:v>2.3043000000000001E-6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0.11642</c:v>
                </c:pt>
                <c:pt idx="1">
                  <c:v>0.11049</c:v>
                </c:pt>
                <c:pt idx="2">
                  <c:v>0.10738</c:v>
                </c:pt>
                <c:pt idx="3">
                  <c:v>0.10079</c:v>
                </c:pt>
                <c:pt idx="4">
                  <c:v>9.8310999999999996E-2</c:v>
                </c:pt>
                <c:pt idx="5">
                  <c:v>9.6328999999999998E-2</c:v>
                </c:pt>
                <c:pt idx="6">
                  <c:v>9.5014000000000001E-2</c:v>
                </c:pt>
                <c:pt idx="7">
                  <c:v>9.4245999999999996E-2</c:v>
                </c:pt>
                <c:pt idx="8">
                  <c:v>9.3825000000000006E-2</c:v>
                </c:pt>
                <c:pt idx="9">
                  <c:v>9.3599000000000002E-2</c:v>
                </c:pt>
                <c:pt idx="10">
                  <c:v>9.3467999999999996E-2</c:v>
                </c:pt>
                <c:pt idx="11">
                  <c:v>9.3354000000000006E-2</c:v>
                </c:pt>
                <c:pt idx="12">
                  <c:v>8.0255999999999994E-2</c:v>
                </c:pt>
                <c:pt idx="13">
                  <c:v>5.9944999999999998E-2</c:v>
                </c:pt>
                <c:pt idx="14">
                  <c:v>3.4053E-2</c:v>
                </c:pt>
                <c:pt idx="15">
                  <c:v>1.5226999999999999E-2</c:v>
                </c:pt>
                <c:pt idx="16">
                  <c:v>5.8774999999999999E-3</c:v>
                </c:pt>
                <c:pt idx="17">
                  <c:v>1.0428E-4</c:v>
                </c:pt>
                <c:pt idx="18">
                  <c:v>3.9379999999999999E-5</c:v>
                </c:pt>
                <c:pt idx="19">
                  <c:v>1.2387E-5</c:v>
                </c:pt>
                <c:pt idx="20">
                  <c:v>3.0448999999999998E-6</c:v>
                </c:pt>
                <c:pt idx="21">
                  <c:v>6.8110000000000003E-7</c:v>
                </c:pt>
                <c:pt idx="22">
                  <c:v>1.4919E-7</c:v>
                </c:pt>
                <c:pt idx="23">
                  <c:v>3.3084E-8</c:v>
                </c:pt>
                <c:pt idx="24">
                  <c:v>7.5304999999999992E-9</c:v>
                </c:pt>
                <c:pt idx="25">
                  <c:v>1.7680999999999999E-9</c:v>
                </c:pt>
                <c:pt idx="26">
                  <c:v>7.4075999999999993E-12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3.2264999999999999E-31</c:v>
                </c:pt>
                <c:pt idx="4">
                  <c:v>3.0614E-29</c:v>
                </c:pt>
                <c:pt idx="5">
                  <c:v>2.3156E-27</c:v>
                </c:pt>
                <c:pt idx="6">
                  <c:v>1.4259E-25</c:v>
                </c:pt>
                <c:pt idx="7">
                  <c:v>7.1894999999999998E-24</c:v>
                </c:pt>
                <c:pt idx="8">
                  <c:v>2.9820999999999999E-22</c:v>
                </c:pt>
                <c:pt idx="9">
                  <c:v>1.0256000000000001E-20</c:v>
                </c:pt>
                <c:pt idx="10">
                  <c:v>2.9554999999999999E-19</c:v>
                </c:pt>
                <c:pt idx="11">
                  <c:v>7.2146000000000001E-18</c:v>
                </c:pt>
                <c:pt idx="12">
                  <c:v>4.6266999999999999E-13</c:v>
                </c:pt>
                <c:pt idx="13">
                  <c:v>3.5571999999999998E-12</c:v>
                </c:pt>
                <c:pt idx="14">
                  <c:v>1.7772000000000001E-11</c:v>
                </c:pt>
                <c:pt idx="15">
                  <c:v>6.7363E-11</c:v>
                </c:pt>
                <c:pt idx="16">
                  <c:v>2.2021999999999999E-10</c:v>
                </c:pt>
                <c:pt idx="17">
                  <c:v>1.2458999999999999E-8</c:v>
                </c:pt>
                <c:pt idx="18">
                  <c:v>3.0061E-8</c:v>
                </c:pt>
                <c:pt idx="19">
                  <c:v>4.2205E-8</c:v>
                </c:pt>
                <c:pt idx="20">
                  <c:v>4.7997999999999997E-8</c:v>
                </c:pt>
                <c:pt idx="21">
                  <c:v>5.1652999999999999E-8</c:v>
                </c:pt>
                <c:pt idx="22">
                  <c:v>5.3982E-8</c:v>
                </c:pt>
                <c:pt idx="23">
                  <c:v>5.5473999999999998E-8</c:v>
                </c:pt>
                <c:pt idx="24">
                  <c:v>5.6379999999999999E-8</c:v>
                </c:pt>
                <c:pt idx="25">
                  <c:v>5.6785000000000002E-8</c:v>
                </c:pt>
                <c:pt idx="26">
                  <c:v>5.4696999999999997E-8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1.1055E-9</c:v>
                      </c:pt>
                      <c:pt idx="1">
                        <c:v>4.1214000000000003E-9</c:v>
                      </c:pt>
                      <c:pt idx="2">
                        <c:v>4.0460999999999999E-9</c:v>
                      </c:pt>
                      <c:pt idx="3">
                        <c:v>2.9500000000000001E-14</c:v>
                      </c:pt>
                      <c:pt idx="4">
                        <c:v>2.322E-18</c:v>
                      </c:pt>
                      <c:pt idx="5">
                        <c:v>1.6761000000000001E-23</c:v>
                      </c:pt>
                      <c:pt idx="6">
                        <c:v>1.814E-29</c:v>
                      </c:pt>
                      <c:pt idx="7">
                        <c:v>2.0129999999999999E-34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1.2330000000000001E-12</c:v>
                      </c:pt>
                      <c:pt idx="18">
                        <c:v>3.9454999999999997E-9</c:v>
                      </c:pt>
                      <c:pt idx="19">
                        <c:v>4.2608000000000001E-4</c:v>
                      </c:pt>
                      <c:pt idx="20">
                        <c:v>8.5618000000000001E-4</c:v>
                      </c:pt>
                      <c:pt idx="21">
                        <c:v>2.5444E-3</c:v>
                      </c:pt>
                      <c:pt idx="22">
                        <c:v>7.4120000000000002E-3</c:v>
                      </c:pt>
                      <c:pt idx="23">
                        <c:v>1.7395000000000001E-2</c:v>
                      </c:pt>
                      <c:pt idx="24">
                        <c:v>3.1858999999999998E-2</c:v>
                      </c:pt>
                      <c:pt idx="25">
                        <c:v>3.6838000000000003E-2</c:v>
                      </c:pt>
                      <c:pt idx="26">
                        <c:v>1.9015000000000001E-2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1.5161999999999999E-35</c:v>
                      </c:pt>
                      <c:pt idx="4">
                        <c:v>1.0984E-33</c:v>
                      </c:pt>
                      <c:pt idx="5">
                        <c:v>6.3537000000000004E-32</c:v>
                      </c:pt>
                      <c:pt idx="6">
                        <c:v>2.9957999999999999E-30</c:v>
                      </c:pt>
                      <c:pt idx="7">
                        <c:v>1.1618000000000001E-28</c:v>
                      </c:pt>
                      <c:pt idx="8">
                        <c:v>3.7337000000000002E-27</c:v>
                      </c:pt>
                      <c:pt idx="9">
                        <c:v>1.004E-25</c:v>
                      </c:pt>
                      <c:pt idx="10">
                        <c:v>2.2842E-24</c:v>
                      </c:pt>
                      <c:pt idx="11">
                        <c:v>4.4455000000000002E-23</c:v>
                      </c:pt>
                      <c:pt idx="12">
                        <c:v>1.368E-18</c:v>
                      </c:pt>
                      <c:pt idx="13">
                        <c:v>1.0225999999999999E-17</c:v>
                      </c:pt>
                      <c:pt idx="14">
                        <c:v>5.7221000000000001E-17</c:v>
                      </c:pt>
                      <c:pt idx="15">
                        <c:v>2.7408999999999998E-16</c:v>
                      </c:pt>
                      <c:pt idx="16">
                        <c:v>1.2218000000000001E-15</c:v>
                      </c:pt>
                      <c:pt idx="17">
                        <c:v>2.7867000000000001E-13</c:v>
                      </c:pt>
                      <c:pt idx="18">
                        <c:v>9.4633999999999998E-13</c:v>
                      </c:pt>
                      <c:pt idx="19">
                        <c:v>2.2149000000000002E-12</c:v>
                      </c:pt>
                      <c:pt idx="20">
                        <c:v>4.6553000000000002E-12</c:v>
                      </c:pt>
                      <c:pt idx="21">
                        <c:v>9.5106000000000003E-12</c:v>
                      </c:pt>
                      <c:pt idx="22">
                        <c:v>1.8917000000000001E-11</c:v>
                      </c:pt>
                      <c:pt idx="23">
                        <c:v>3.6692999999999998E-11</c:v>
                      </c:pt>
                      <c:pt idx="24">
                        <c:v>6.9500000000000006E-11</c:v>
                      </c:pt>
                      <c:pt idx="25">
                        <c:v>1.2864000000000001E-10</c:v>
                      </c:pt>
                      <c:pt idx="26">
                        <c:v>1.2282E-9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1.949E-2</c:v>
                      </c:pt>
                      <c:pt idx="1">
                        <c:v>6.5905E-3</c:v>
                      </c:pt>
                      <c:pt idx="2">
                        <c:v>3.4264000000000001E-4</c:v>
                      </c:pt>
                      <c:pt idx="3">
                        <c:v>1.9181000000000002E-5</c:v>
                      </c:pt>
                      <c:pt idx="4">
                        <c:v>7.9441999999999993E-6</c:v>
                      </c:pt>
                      <c:pt idx="5">
                        <c:v>2.9453E-6</c:v>
                      </c:pt>
                      <c:pt idx="6">
                        <c:v>1.0105999999999999E-6</c:v>
                      </c:pt>
                      <c:pt idx="7">
                        <c:v>3.354E-7</c:v>
                      </c:pt>
                      <c:pt idx="8">
                        <c:v>1.1143E-7</c:v>
                      </c:pt>
                      <c:pt idx="9">
                        <c:v>3.7802999999999998E-8</c:v>
                      </c:pt>
                      <c:pt idx="10">
                        <c:v>1.322E-8</c:v>
                      </c:pt>
                      <c:pt idx="11">
                        <c:v>4.7833999999999998E-9</c:v>
                      </c:pt>
                      <c:pt idx="12">
                        <c:v>1.3052000000000001E-10</c:v>
                      </c:pt>
                      <c:pt idx="13">
                        <c:v>6.7452999999999997E-11</c:v>
                      </c:pt>
                      <c:pt idx="14">
                        <c:v>3.7669999999999998E-11</c:v>
                      </c:pt>
                      <c:pt idx="15">
                        <c:v>2.0265000000000001E-11</c:v>
                      </c:pt>
                      <c:pt idx="16">
                        <c:v>1.0182E-11</c:v>
                      </c:pt>
                      <c:pt idx="17">
                        <c:v>5.7109999999999996E-13</c:v>
                      </c:pt>
                      <c:pt idx="18">
                        <c:v>2.8613000000000001E-13</c:v>
                      </c:pt>
                      <c:pt idx="19">
                        <c:v>1.9219000000000001E-13</c:v>
                      </c:pt>
                      <c:pt idx="20">
                        <c:v>1.1936000000000001E-13</c:v>
                      </c:pt>
                      <c:pt idx="21">
                        <c:v>6.8719999999999996E-14</c:v>
                      </c:pt>
                      <c:pt idx="22">
                        <c:v>3.8486999999999999E-14</c:v>
                      </c:pt>
                      <c:pt idx="23">
                        <c:v>2.1441000000000001E-14</c:v>
                      </c:pt>
                      <c:pt idx="24">
                        <c:v>1.1995E-14</c:v>
                      </c:pt>
                      <c:pt idx="25">
                        <c:v>6.7432999999999997E-15</c:v>
                      </c:pt>
                      <c:pt idx="26">
                        <c:v>7.2493000000000003E-16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2.051E-2</c:v>
                      </c:pt>
                      <c:pt idx="1">
                        <c:v>3.3398999999999998E-2</c:v>
                      </c:pt>
                      <c:pt idx="2">
                        <c:v>3.8558000000000002E-2</c:v>
                      </c:pt>
                      <c:pt idx="3">
                        <c:v>2.2164E-2</c:v>
                      </c:pt>
                      <c:pt idx="4">
                        <c:v>1.5173000000000001E-2</c:v>
                      </c:pt>
                      <c:pt idx="5">
                        <c:v>9.3226999999999997E-3</c:v>
                      </c:pt>
                      <c:pt idx="6">
                        <c:v>5.3057E-3</c:v>
                      </c:pt>
                      <c:pt idx="7">
                        <c:v>2.9044000000000001E-3</c:v>
                      </c:pt>
                      <c:pt idx="8">
                        <c:v>1.5740999999999999E-3</c:v>
                      </c:pt>
                      <c:pt idx="9">
                        <c:v>8.5897999999999996E-4</c:v>
                      </c:pt>
                      <c:pt idx="10">
                        <c:v>4.7595E-4</c:v>
                      </c:pt>
                      <c:pt idx="11">
                        <c:v>2.6874000000000001E-4</c:v>
                      </c:pt>
                      <c:pt idx="12">
                        <c:v>3.5403E-5</c:v>
                      </c:pt>
                      <c:pt idx="13">
                        <c:v>2.4213999999999999E-5</c:v>
                      </c:pt>
                      <c:pt idx="14">
                        <c:v>1.7258999999999999E-5</c:v>
                      </c:pt>
                      <c:pt idx="15">
                        <c:v>1.2101E-5</c:v>
                      </c:pt>
                      <c:pt idx="16">
                        <c:v>8.2181000000000001E-6</c:v>
                      </c:pt>
                      <c:pt idx="17">
                        <c:v>1.671E-6</c:v>
                      </c:pt>
                      <c:pt idx="18">
                        <c:v>1.1432999999999999E-6</c:v>
                      </c:pt>
                      <c:pt idx="19">
                        <c:v>8.9864999999999996E-7</c:v>
                      </c:pt>
                      <c:pt idx="20">
                        <c:v>6.8069000000000004E-7</c:v>
                      </c:pt>
                      <c:pt idx="21">
                        <c:v>4.9829999999999996E-7</c:v>
                      </c:pt>
                      <c:pt idx="22">
                        <c:v>3.6082999999999998E-7</c:v>
                      </c:pt>
                      <c:pt idx="23">
                        <c:v>2.6124999999999999E-7</c:v>
                      </c:pt>
                      <c:pt idx="24">
                        <c:v>1.8997E-7</c:v>
                      </c:pt>
                      <c:pt idx="25">
                        <c:v>1.3846000000000001E-7</c:v>
                      </c:pt>
                      <c:pt idx="26">
                        <c:v>4.0641E-8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2.3581000000000001E-2</c:v>
                      </c:pt>
                      <c:pt idx="1">
                        <c:v>2.9510999999999999E-2</c:v>
                      </c:pt>
                      <c:pt idx="2">
                        <c:v>3.2620000000000003E-2</c:v>
                      </c:pt>
                      <c:pt idx="3">
                        <c:v>3.9208E-2</c:v>
                      </c:pt>
                      <c:pt idx="4">
                        <c:v>4.1688999999999997E-2</c:v>
                      </c:pt>
                      <c:pt idx="5">
                        <c:v>4.3671000000000001E-2</c:v>
                      </c:pt>
                      <c:pt idx="6">
                        <c:v>4.4985999999999998E-2</c:v>
                      </c:pt>
                      <c:pt idx="7">
                        <c:v>4.5754000000000003E-2</c:v>
                      </c:pt>
                      <c:pt idx="8">
                        <c:v>4.6174E-2</c:v>
                      </c:pt>
                      <c:pt idx="9">
                        <c:v>4.6399999999999997E-2</c:v>
                      </c:pt>
                      <c:pt idx="10">
                        <c:v>4.6523000000000002E-2</c:v>
                      </c:pt>
                      <c:pt idx="11">
                        <c:v>4.6607000000000003E-2</c:v>
                      </c:pt>
                      <c:pt idx="12">
                        <c:v>5.0874999999999997E-2</c:v>
                      </c:pt>
                      <c:pt idx="13">
                        <c:v>5.3782999999999997E-2</c:v>
                      </c:pt>
                      <c:pt idx="14">
                        <c:v>4.7280999999999997E-2</c:v>
                      </c:pt>
                      <c:pt idx="15">
                        <c:v>2.9621999999999999E-2</c:v>
                      </c:pt>
                      <c:pt idx="16">
                        <c:v>1.3741E-2</c:v>
                      </c:pt>
                      <c:pt idx="17">
                        <c:v>2.8533999999999998E-4</c:v>
                      </c:pt>
                      <c:pt idx="18">
                        <c:v>1.0971E-4</c:v>
                      </c:pt>
                      <c:pt idx="19">
                        <c:v>3.4276000000000002E-5</c:v>
                      </c:pt>
                      <c:pt idx="20">
                        <c:v>8.3289000000000008E-6</c:v>
                      </c:pt>
                      <c:pt idx="21">
                        <c:v>1.8444000000000001E-6</c:v>
                      </c:pt>
                      <c:pt idx="22">
                        <c:v>4.0053E-7</c:v>
                      </c:pt>
                      <c:pt idx="23">
                        <c:v>8.8174000000000006E-8</c:v>
                      </c:pt>
                      <c:pt idx="24">
                        <c:v>1.9948000000000001E-8</c:v>
                      </c:pt>
                      <c:pt idx="25">
                        <c:v>4.6587999999999997E-9</c:v>
                      </c:pt>
                      <c:pt idx="26">
                        <c:v>1.9231E-11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1.5785999999999999E-28</c:v>
                      </c:pt>
                      <c:pt idx="1">
                        <c:v>5.8697999999999997E-22</c:v>
                      </c:pt>
                      <c:pt idx="2">
                        <c:v>6.6534999999999995E-16</c:v>
                      </c:pt>
                      <c:pt idx="3">
                        <c:v>1.6729000000000001E-11</c:v>
                      </c:pt>
                      <c:pt idx="4">
                        <c:v>1.4176000000000001E-10</c:v>
                      </c:pt>
                      <c:pt idx="5">
                        <c:v>1.0979999999999999E-9</c:v>
                      </c:pt>
                      <c:pt idx="6">
                        <c:v>7.7919999999999996E-9</c:v>
                      </c:pt>
                      <c:pt idx="7">
                        <c:v>5.0568E-8</c:v>
                      </c:pt>
                      <c:pt idx="8">
                        <c:v>3.0016000000000001E-7</c:v>
                      </c:pt>
                      <c:pt idx="9">
                        <c:v>1.6345E-6</c:v>
                      </c:pt>
                      <c:pt idx="10">
                        <c:v>8.2034000000000001E-6</c:v>
                      </c:pt>
                      <c:pt idx="11">
                        <c:v>3.8143999999999999E-5</c:v>
                      </c:pt>
                      <c:pt idx="12">
                        <c:v>8.7624999999999995E-3</c:v>
                      </c:pt>
                      <c:pt idx="13">
                        <c:v>2.5947000000000001E-2</c:v>
                      </c:pt>
                      <c:pt idx="14">
                        <c:v>5.781E-2</c:v>
                      </c:pt>
                      <c:pt idx="15">
                        <c:v>9.3327999999999994E-2</c:v>
                      </c:pt>
                      <c:pt idx="16">
                        <c:v>0.11716</c:v>
                      </c:pt>
                      <c:pt idx="17">
                        <c:v>0.12540999999999999</c:v>
                      </c:pt>
                      <c:pt idx="18">
                        <c:v>0.12102</c:v>
                      </c:pt>
                      <c:pt idx="19">
                        <c:v>6.8593000000000001E-2</c:v>
                      </c:pt>
                      <c:pt idx="20">
                        <c:v>3.2370000000000003E-2</c:v>
                      </c:pt>
                      <c:pt idx="21">
                        <c:v>1.4925000000000001E-2</c:v>
                      </c:pt>
                      <c:pt idx="22">
                        <c:v>6.8881999999999997E-3</c:v>
                      </c:pt>
                      <c:pt idx="23">
                        <c:v>3.2166999999999999E-3</c:v>
                      </c:pt>
                      <c:pt idx="24">
                        <c:v>1.5263E-3</c:v>
                      </c:pt>
                      <c:pt idx="25">
                        <c:v>7.3612999999999999E-4</c:v>
                      </c:pt>
                      <c:pt idx="26">
                        <c:v>4.6826000000000002E-5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7.7442E-8</c:v>
                      </c:pt>
                      <c:pt idx="1">
                        <c:v>5.1692000000000004E-6</c:v>
                      </c:pt>
                      <c:pt idx="2">
                        <c:v>5.4973000000000001E-4</c:v>
                      </c:pt>
                      <c:pt idx="3">
                        <c:v>8.9084999999999998E-3</c:v>
                      </c:pt>
                      <c:pt idx="4">
                        <c:v>1.2409999999999999E-2</c:v>
                      </c:pt>
                      <c:pt idx="5">
                        <c:v>1.5337E-2</c:v>
                      </c:pt>
                      <c:pt idx="6">
                        <c:v>1.7347000000000001E-2</c:v>
                      </c:pt>
                      <c:pt idx="7">
                        <c:v>1.8547999999999999E-2</c:v>
                      </c:pt>
                      <c:pt idx="8">
                        <c:v>1.9213000000000001E-2</c:v>
                      </c:pt>
                      <c:pt idx="9">
                        <c:v>1.9570000000000001E-2</c:v>
                      </c:pt>
                      <c:pt idx="10">
                        <c:v>1.9761999999999998E-2</c:v>
                      </c:pt>
                      <c:pt idx="11">
                        <c:v>1.9866000000000002E-2</c:v>
                      </c:pt>
                      <c:pt idx="12">
                        <c:v>1.9982E-2</c:v>
                      </c:pt>
                      <c:pt idx="13">
                        <c:v>1.9987999999999999E-2</c:v>
                      </c:pt>
                      <c:pt idx="14">
                        <c:v>1.9990999999999998E-2</c:v>
                      </c:pt>
                      <c:pt idx="15">
                        <c:v>1.9994000000000001E-2</c:v>
                      </c:pt>
                      <c:pt idx="16">
                        <c:v>1.9996E-2</c:v>
                      </c:pt>
                      <c:pt idx="17">
                        <c:v>1.9998999999999999E-2</c:v>
                      </c:pt>
                      <c:pt idx="18">
                        <c:v>1.9998999999999999E-2</c:v>
                      </c:pt>
                      <c:pt idx="19">
                        <c:v>1.9630999999999999E-2</c:v>
                      </c:pt>
                      <c:pt idx="20">
                        <c:v>1.9300000000000001E-2</c:v>
                      </c:pt>
                      <c:pt idx="21">
                        <c:v>1.9068999999999999E-2</c:v>
                      </c:pt>
                      <c:pt idx="22">
                        <c:v>1.8904000000000001E-2</c:v>
                      </c:pt>
                      <c:pt idx="23">
                        <c:v>1.8790999999999999E-2</c:v>
                      </c:pt>
                      <c:pt idx="24">
                        <c:v>1.8720000000000001E-2</c:v>
                      </c:pt>
                      <c:pt idx="25">
                        <c:v>1.8610000000000002E-2</c:v>
                      </c:pt>
                      <c:pt idx="26">
                        <c:v>1.7925E-2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1.9029000000000001E-28</c:v>
                      </c:pt>
                      <c:pt idx="1">
                        <c:v>3.6592000000000002E-22</c:v>
                      </c:pt>
                      <c:pt idx="2">
                        <c:v>1.2778E-16</c:v>
                      </c:pt>
                      <c:pt idx="3">
                        <c:v>1.6314000000000001E-12</c:v>
                      </c:pt>
                      <c:pt idx="4">
                        <c:v>1.2242999999999999E-11</c:v>
                      </c:pt>
                      <c:pt idx="5">
                        <c:v>8.3728999999999996E-11</c:v>
                      </c:pt>
                      <c:pt idx="6">
                        <c:v>5.2262E-10</c:v>
                      </c:pt>
                      <c:pt idx="7">
                        <c:v>2.9794999999999999E-9</c:v>
                      </c:pt>
                      <c:pt idx="8">
                        <c:v>1.5557999999999999E-8</c:v>
                      </c:pt>
                      <c:pt idx="9">
                        <c:v>7.4714000000000003E-8</c:v>
                      </c:pt>
                      <c:pt idx="10">
                        <c:v>3.3159999999999998E-7</c:v>
                      </c:pt>
                      <c:pt idx="11">
                        <c:v>1.3668E-6</c:v>
                      </c:pt>
                      <c:pt idx="12">
                        <c:v>2.1211E-4</c:v>
                      </c:pt>
                      <c:pt idx="13">
                        <c:v>6.5041999999999997E-4</c:v>
                      </c:pt>
                      <c:pt idx="14">
                        <c:v>1.7118000000000001E-3</c:v>
                      </c:pt>
                      <c:pt idx="15">
                        <c:v>3.6464000000000002E-3</c:v>
                      </c:pt>
                      <c:pt idx="16">
                        <c:v>6.4498999999999997E-3</c:v>
                      </c:pt>
                      <c:pt idx="17">
                        <c:v>2.8406000000000001E-2</c:v>
                      </c:pt>
                      <c:pt idx="18">
                        <c:v>3.7663000000000002E-2</c:v>
                      </c:pt>
                      <c:pt idx="19">
                        <c:v>3.4319000000000002E-2</c:v>
                      </c:pt>
                      <c:pt idx="20">
                        <c:v>2.8506E-2</c:v>
                      </c:pt>
                      <c:pt idx="21">
                        <c:v>2.3462E-2</c:v>
                      </c:pt>
                      <c:pt idx="22">
                        <c:v>1.9129E-2</c:v>
                      </c:pt>
                      <c:pt idx="23">
                        <c:v>1.5443999999999999E-2</c:v>
                      </c:pt>
                      <c:pt idx="24">
                        <c:v>1.2342000000000001E-2</c:v>
                      </c:pt>
                      <c:pt idx="25">
                        <c:v>9.7512999999999992E-3</c:v>
                      </c:pt>
                      <c:pt idx="26">
                        <c:v>3.3717999999999999E-3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6.0558999999999997E-10</c:v>
                      </c:pt>
                      <c:pt idx="1">
                        <c:v>7.1008000000000001E-9</c:v>
                      </c:pt>
                      <c:pt idx="2">
                        <c:v>4.6580000000000003E-9</c:v>
                      </c:pt>
                      <c:pt idx="3">
                        <c:v>3.6286000000000001E-9</c:v>
                      </c:pt>
                      <c:pt idx="4">
                        <c:v>3.4934E-9</c:v>
                      </c:pt>
                      <c:pt idx="5">
                        <c:v>3.3129E-9</c:v>
                      </c:pt>
                      <c:pt idx="6">
                        <c:v>3.0579E-9</c:v>
                      </c:pt>
                      <c:pt idx="7">
                        <c:v>2.7300999999999999E-9</c:v>
                      </c:pt>
                      <c:pt idx="8">
                        <c:v>2.3899999999999998E-9</c:v>
                      </c:pt>
                      <c:pt idx="9">
                        <c:v>2.0703000000000002E-9</c:v>
                      </c:pt>
                      <c:pt idx="10">
                        <c:v>1.7844E-9</c:v>
                      </c:pt>
                      <c:pt idx="11">
                        <c:v>1.5354000000000001E-9</c:v>
                      </c:pt>
                      <c:pt idx="12">
                        <c:v>1.0822E-9</c:v>
                      </c:pt>
                      <c:pt idx="13">
                        <c:v>1.3489E-9</c:v>
                      </c:pt>
                      <c:pt idx="14">
                        <c:v>1.8318E-9</c:v>
                      </c:pt>
                      <c:pt idx="15">
                        <c:v>2.2310999999999999E-9</c:v>
                      </c:pt>
                      <c:pt idx="16">
                        <c:v>2.3172999999999998E-9</c:v>
                      </c:pt>
                      <c:pt idx="17">
                        <c:v>1.4949999999999999E-9</c:v>
                      </c:pt>
                      <c:pt idx="18">
                        <c:v>1.3115000000000001E-9</c:v>
                      </c:pt>
                      <c:pt idx="19">
                        <c:v>1.3019E-9</c:v>
                      </c:pt>
                      <c:pt idx="20">
                        <c:v>1.2271E-9</c:v>
                      </c:pt>
                      <c:pt idx="21">
                        <c:v>1.105E-9</c:v>
                      </c:pt>
                      <c:pt idx="22">
                        <c:v>9.7488000000000005E-10</c:v>
                      </c:pt>
                      <c:pt idx="23">
                        <c:v>8.5265000000000005E-10</c:v>
                      </c:pt>
                      <c:pt idx="24">
                        <c:v>7.4314999999999996E-10</c:v>
                      </c:pt>
                      <c:pt idx="25">
                        <c:v>6.4691999999999997E-10</c:v>
                      </c:pt>
                      <c:pt idx="26">
                        <c:v>3.7200000000000001E-10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1.3958E-10</c:v>
                      </c:pt>
                      <c:pt idx="1">
                        <c:v>2.5193000000000002E-9</c:v>
                      </c:pt>
                      <c:pt idx="2">
                        <c:v>2.2231999999999999E-9</c:v>
                      </c:pt>
                      <c:pt idx="3">
                        <c:v>2.1479E-9</c:v>
                      </c:pt>
                      <c:pt idx="4">
                        <c:v>2.1624999999999999E-9</c:v>
                      </c:pt>
                      <c:pt idx="5">
                        <c:v>2.0744999999999998E-9</c:v>
                      </c:pt>
                      <c:pt idx="6">
                        <c:v>1.8984E-9</c:v>
                      </c:pt>
                      <c:pt idx="7">
                        <c:v>1.6796999999999999E-9</c:v>
                      </c:pt>
                      <c:pt idx="8">
                        <c:v>1.4565999999999999E-9</c:v>
                      </c:pt>
                      <c:pt idx="9">
                        <c:v>1.2496999999999999E-9</c:v>
                      </c:pt>
                      <c:pt idx="10">
                        <c:v>1.0665E-9</c:v>
                      </c:pt>
                      <c:pt idx="11">
                        <c:v>9.0856000000000001E-10</c:v>
                      </c:pt>
                      <c:pt idx="12">
                        <c:v>6.1491E-10</c:v>
                      </c:pt>
                      <c:pt idx="13">
                        <c:v>7.5873000000000003E-10</c:v>
                      </c:pt>
                      <c:pt idx="14">
                        <c:v>1.02E-9</c:v>
                      </c:pt>
                      <c:pt idx="15">
                        <c:v>1.2299000000000001E-9</c:v>
                      </c:pt>
                      <c:pt idx="16">
                        <c:v>1.2647E-9</c:v>
                      </c:pt>
                      <c:pt idx="17">
                        <c:v>7.8439000000000002E-10</c:v>
                      </c:pt>
                      <c:pt idx="18">
                        <c:v>6.8148000000000001E-10</c:v>
                      </c:pt>
                      <c:pt idx="19">
                        <c:v>6.7002000000000003E-10</c:v>
                      </c:pt>
                      <c:pt idx="20">
                        <c:v>6.2553999999999999E-10</c:v>
                      </c:pt>
                      <c:pt idx="21">
                        <c:v>5.5798999999999995E-10</c:v>
                      </c:pt>
                      <c:pt idx="22">
                        <c:v>4.8770999999999996E-10</c:v>
                      </c:pt>
                      <c:pt idx="23">
                        <c:v>4.2261E-10</c:v>
                      </c:pt>
                      <c:pt idx="24">
                        <c:v>3.6493999999999998E-10</c:v>
                      </c:pt>
                      <c:pt idx="25">
                        <c:v>3.1478000000000002E-10</c:v>
                      </c:pt>
                      <c:pt idx="26">
                        <c:v>1.7455000000000001E-10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5.1004000000000002E-4</c:v>
                      </c:pt>
                      <c:pt idx="1">
                        <c:v>1.342E-2</c:v>
                      </c:pt>
                      <c:pt idx="2">
                        <c:v>2.0757000000000001E-2</c:v>
                      </c:pt>
                      <c:pt idx="3">
                        <c:v>3.7797999999999998E-2</c:v>
                      </c:pt>
                      <c:pt idx="4">
                        <c:v>4.4810999999999997E-2</c:v>
                      </c:pt>
                      <c:pt idx="5">
                        <c:v>5.0671000000000001E-2</c:v>
                      </c:pt>
                      <c:pt idx="6">
                        <c:v>5.4691999999999998E-2</c:v>
                      </c:pt>
                      <c:pt idx="7">
                        <c:v>5.7095E-2</c:v>
                      </c:pt>
                      <c:pt idx="8">
                        <c:v>5.8425999999999999E-2</c:v>
                      </c:pt>
                      <c:pt idx="9">
                        <c:v>5.9144000000000002E-2</c:v>
                      </c:pt>
                      <c:pt idx="10">
                        <c:v>5.9540999999999997E-2</c:v>
                      </c:pt>
                      <c:pt idx="11">
                        <c:v>5.9810000000000002E-2</c:v>
                      </c:pt>
                      <c:pt idx="12">
                        <c:v>7.7808000000000002E-2</c:v>
                      </c:pt>
                      <c:pt idx="13">
                        <c:v>0.11285000000000001</c:v>
                      </c:pt>
                      <c:pt idx="14">
                        <c:v>0.17817</c:v>
                      </c:pt>
                      <c:pt idx="15">
                        <c:v>0.25211</c:v>
                      </c:pt>
                      <c:pt idx="16">
                        <c:v>0.30397999999999997</c:v>
                      </c:pt>
                      <c:pt idx="17">
                        <c:v>0.35342000000000001</c:v>
                      </c:pt>
                      <c:pt idx="18">
                        <c:v>0.35853000000000002</c:v>
                      </c:pt>
                      <c:pt idx="19">
                        <c:v>0.41127000000000002</c:v>
                      </c:pt>
                      <c:pt idx="20">
                        <c:v>0.4476</c:v>
                      </c:pt>
                      <c:pt idx="21">
                        <c:v>0.46506999999999998</c:v>
                      </c:pt>
                      <c:pt idx="22">
                        <c:v>0.47310999999999998</c:v>
                      </c:pt>
                      <c:pt idx="23">
                        <c:v>0.47677999999999998</c:v>
                      </c:pt>
                      <c:pt idx="24">
                        <c:v>0.47847000000000001</c:v>
                      </c:pt>
                      <c:pt idx="25">
                        <c:v>0.47926000000000002</c:v>
                      </c:pt>
                      <c:pt idx="26">
                        <c:v>0.47994999999999999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7.7442E-8</c:v>
                      </c:pt>
                      <c:pt idx="1">
                        <c:v>5.1692000000000004E-6</c:v>
                      </c:pt>
                      <c:pt idx="2">
                        <c:v>5.4973000000000001E-4</c:v>
                      </c:pt>
                      <c:pt idx="3">
                        <c:v>8.9084999999999998E-3</c:v>
                      </c:pt>
                      <c:pt idx="4">
                        <c:v>1.2409999999999999E-2</c:v>
                      </c:pt>
                      <c:pt idx="5">
                        <c:v>1.5337E-2</c:v>
                      </c:pt>
                      <c:pt idx="6">
                        <c:v>1.7347000000000001E-2</c:v>
                      </c:pt>
                      <c:pt idx="7">
                        <c:v>1.8547999999999999E-2</c:v>
                      </c:pt>
                      <c:pt idx="8">
                        <c:v>1.9213000000000001E-2</c:v>
                      </c:pt>
                      <c:pt idx="9">
                        <c:v>1.9570000000000001E-2</c:v>
                      </c:pt>
                      <c:pt idx="10">
                        <c:v>1.9761999999999998E-2</c:v>
                      </c:pt>
                      <c:pt idx="11">
                        <c:v>1.9866000000000002E-2</c:v>
                      </c:pt>
                      <c:pt idx="12">
                        <c:v>1.9982E-2</c:v>
                      </c:pt>
                      <c:pt idx="13">
                        <c:v>1.9987999999999999E-2</c:v>
                      </c:pt>
                      <c:pt idx="14">
                        <c:v>1.9990999999999998E-2</c:v>
                      </c:pt>
                      <c:pt idx="15">
                        <c:v>1.9994000000000001E-2</c:v>
                      </c:pt>
                      <c:pt idx="16">
                        <c:v>1.9996E-2</c:v>
                      </c:pt>
                      <c:pt idx="17">
                        <c:v>1.9998999999999999E-2</c:v>
                      </c:pt>
                      <c:pt idx="18">
                        <c:v>1.9998999999999999E-2</c:v>
                      </c:pt>
                      <c:pt idx="19">
                        <c:v>1.9630999999999999E-2</c:v>
                      </c:pt>
                      <c:pt idx="20">
                        <c:v>1.9300000000000001E-2</c:v>
                      </c:pt>
                      <c:pt idx="21">
                        <c:v>1.9068999999999999E-2</c:v>
                      </c:pt>
                      <c:pt idx="22">
                        <c:v>1.8904000000000001E-2</c:v>
                      </c:pt>
                      <c:pt idx="23">
                        <c:v>1.8790999999999999E-2</c:v>
                      </c:pt>
                      <c:pt idx="24">
                        <c:v>1.8720000000000001E-2</c:v>
                      </c:pt>
                      <c:pt idx="25">
                        <c:v>1.8610000000000002E-2</c:v>
                      </c:pt>
                      <c:pt idx="26">
                        <c:v>1.7925E-2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(3)Ga[1]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1.1933E-35</c:v>
                      </c:pt>
                      <c:pt idx="17">
                        <c:v>1.3674000000000001E-9</c:v>
                      </c:pt>
                      <c:pt idx="18">
                        <c:v>2.8976999999999998E-6</c:v>
                      </c:pt>
                      <c:pt idx="19">
                        <c:v>0.10798000000000001</c:v>
                      </c:pt>
                      <c:pt idx="20">
                        <c:v>0.18587999999999999</c:v>
                      </c:pt>
                      <c:pt idx="21">
                        <c:v>0.22414000000000001</c:v>
                      </c:pt>
                      <c:pt idx="22">
                        <c:v>0.23968</c:v>
                      </c:pt>
                      <c:pt idx="23">
                        <c:v>0.24073</c:v>
                      </c:pt>
                      <c:pt idx="24">
                        <c:v>0.23275000000000001</c:v>
                      </c:pt>
                      <c:pt idx="25">
                        <c:v>0.23194000000000001</c:v>
                      </c:pt>
                      <c:pt idx="26">
                        <c:v>0.25752000000000003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(3)Ge[1]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1.2666E-11</c:v>
                      </c:pt>
                      <c:pt idx="18">
                        <c:v>1.9420000000000001E-8</c:v>
                      </c:pt>
                      <c:pt idx="19">
                        <c:v>7.3711000000000002E-4</c:v>
                      </c:pt>
                      <c:pt idx="20">
                        <c:v>1.3998999999999999E-3</c:v>
                      </c:pt>
                      <c:pt idx="21">
                        <c:v>1.8615000000000001E-3</c:v>
                      </c:pt>
                      <c:pt idx="22">
                        <c:v>2.1911999999999999E-3</c:v>
                      </c:pt>
                      <c:pt idx="23">
                        <c:v>2.4169999999999999E-3</c:v>
                      </c:pt>
                      <c:pt idx="24">
                        <c:v>2.5601999999999999E-3</c:v>
                      </c:pt>
                      <c:pt idx="25">
                        <c:v>2.7794999999999999E-3</c:v>
                      </c:pt>
                      <c:pt idx="26">
                        <c:v>4.1501000000000003E-3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-19080</c:v>
                      </c:pt>
                      <c:pt idx="1">
                        <c:v>-19070</c:v>
                      </c:pt>
                      <c:pt idx="2">
                        <c:v>-19150</c:v>
                      </c:pt>
                      <c:pt idx="3">
                        <c:v>-19250</c:v>
                      </c:pt>
                      <c:pt idx="4">
                        <c:v>-19270</c:v>
                      </c:pt>
                      <c:pt idx="5">
                        <c:v>-19300</c:v>
                      </c:pt>
                      <c:pt idx="6">
                        <c:v>-19330</c:v>
                      </c:pt>
                      <c:pt idx="7">
                        <c:v>-19360</c:v>
                      </c:pt>
                      <c:pt idx="8">
                        <c:v>-19390</c:v>
                      </c:pt>
                      <c:pt idx="9">
                        <c:v>-19420</c:v>
                      </c:pt>
                      <c:pt idx="10">
                        <c:v>-19460</c:v>
                      </c:pt>
                      <c:pt idx="11">
                        <c:v>-19490</c:v>
                      </c:pt>
                      <c:pt idx="12">
                        <c:v>-19580</c:v>
                      </c:pt>
                      <c:pt idx="13">
                        <c:v>-19540</c:v>
                      </c:pt>
                      <c:pt idx="14">
                        <c:v>-19470</c:v>
                      </c:pt>
                      <c:pt idx="15">
                        <c:v>-19420</c:v>
                      </c:pt>
                      <c:pt idx="16">
                        <c:v>-19410</c:v>
                      </c:pt>
                      <c:pt idx="17">
                        <c:v>-19510</c:v>
                      </c:pt>
                      <c:pt idx="18">
                        <c:v>-19550</c:v>
                      </c:pt>
                      <c:pt idx="19">
                        <c:v>-19580</c:v>
                      </c:pt>
                      <c:pt idx="20">
                        <c:v>-19610</c:v>
                      </c:pt>
                      <c:pt idx="21">
                        <c:v>-19640</c:v>
                      </c:pt>
                      <c:pt idx="22">
                        <c:v>-19670</c:v>
                      </c:pt>
                      <c:pt idx="23">
                        <c:v>-19700</c:v>
                      </c:pt>
                      <c:pt idx="24">
                        <c:v>-19730</c:v>
                      </c:pt>
                      <c:pt idx="25">
                        <c:v>-19760</c:v>
                      </c:pt>
                      <c:pt idx="26">
                        <c:v>-19880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-65990</c:v>
                      </c:pt>
                      <c:pt idx="1">
                        <c:v>-51790</c:v>
                      </c:pt>
                      <c:pt idx="2">
                        <c:v>-39260</c:v>
                      </c:pt>
                      <c:pt idx="3">
                        <c:v>-30180</c:v>
                      </c:pt>
                      <c:pt idx="4">
                        <c:v>-28280</c:v>
                      </c:pt>
                      <c:pt idx="5">
                        <c:v>-26450</c:v>
                      </c:pt>
                      <c:pt idx="6">
                        <c:v>-24700</c:v>
                      </c:pt>
                      <c:pt idx="7">
                        <c:v>-23010</c:v>
                      </c:pt>
                      <c:pt idx="8">
                        <c:v>-21400</c:v>
                      </c:pt>
                      <c:pt idx="9">
                        <c:v>-19860</c:v>
                      </c:pt>
                      <c:pt idx="10">
                        <c:v>-18390</c:v>
                      </c:pt>
                      <c:pt idx="11">
                        <c:v>-16990</c:v>
                      </c:pt>
                      <c:pt idx="12">
                        <c:v>-12140</c:v>
                      </c:pt>
                      <c:pt idx="13">
                        <c:v>-11270</c:v>
                      </c:pt>
                      <c:pt idx="14">
                        <c:v>-10610</c:v>
                      </c:pt>
                      <c:pt idx="15">
                        <c:v>-10070</c:v>
                      </c:pt>
                      <c:pt idx="16">
                        <c:v>-9596</c:v>
                      </c:pt>
                      <c:pt idx="17">
                        <c:v>-7969</c:v>
                      </c:pt>
                      <c:pt idx="18">
                        <c:v>-7610</c:v>
                      </c:pt>
                      <c:pt idx="19">
                        <c:v>-7591</c:v>
                      </c:pt>
                      <c:pt idx="20">
                        <c:v>-7648</c:v>
                      </c:pt>
                      <c:pt idx="21">
                        <c:v>-7704</c:v>
                      </c:pt>
                      <c:pt idx="22">
                        <c:v>-7760</c:v>
                      </c:pt>
                      <c:pt idx="23">
                        <c:v>-7814</c:v>
                      </c:pt>
                      <c:pt idx="24">
                        <c:v>-7867</c:v>
                      </c:pt>
                      <c:pt idx="25">
                        <c:v>-7920</c:v>
                      </c:pt>
                      <c:pt idx="26">
                        <c:v>-8124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-17380</c:v>
                      </c:pt>
                      <c:pt idx="1">
                        <c:v>-13440</c:v>
                      </c:pt>
                      <c:pt idx="2">
                        <c:v>-8996</c:v>
                      </c:pt>
                      <c:pt idx="3">
                        <c:v>-6574</c:v>
                      </c:pt>
                      <c:pt idx="4">
                        <c:v>-6359</c:v>
                      </c:pt>
                      <c:pt idx="5">
                        <c:v>-6246</c:v>
                      </c:pt>
                      <c:pt idx="6">
                        <c:v>-6201</c:v>
                      </c:pt>
                      <c:pt idx="7">
                        <c:v>-6196</c:v>
                      </c:pt>
                      <c:pt idx="8">
                        <c:v>-6214</c:v>
                      </c:pt>
                      <c:pt idx="9">
                        <c:v>-6242</c:v>
                      </c:pt>
                      <c:pt idx="10">
                        <c:v>-6277</c:v>
                      </c:pt>
                      <c:pt idx="11">
                        <c:v>-6315</c:v>
                      </c:pt>
                      <c:pt idx="12">
                        <c:v>-6666</c:v>
                      </c:pt>
                      <c:pt idx="13">
                        <c:v>-6979</c:v>
                      </c:pt>
                      <c:pt idx="14">
                        <c:v>-7351</c:v>
                      </c:pt>
                      <c:pt idx="15">
                        <c:v>-7644</c:v>
                      </c:pt>
                      <c:pt idx="16">
                        <c:v>-7824</c:v>
                      </c:pt>
                      <c:pt idx="17">
                        <c:v>-8111</c:v>
                      </c:pt>
                      <c:pt idx="18">
                        <c:v>-8167</c:v>
                      </c:pt>
                      <c:pt idx="19">
                        <c:v>-8218</c:v>
                      </c:pt>
                      <c:pt idx="20">
                        <c:v>-8261</c:v>
                      </c:pt>
                      <c:pt idx="21">
                        <c:v>-8301</c:v>
                      </c:pt>
                      <c:pt idx="22">
                        <c:v>-8339</c:v>
                      </c:pt>
                      <c:pt idx="23">
                        <c:v>-8375</c:v>
                      </c:pt>
                      <c:pt idx="24">
                        <c:v>-8410</c:v>
                      </c:pt>
                      <c:pt idx="25">
                        <c:v>-8448</c:v>
                      </c:pt>
                      <c:pt idx="26">
                        <c:v>-8615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-23570</c:v>
                      </c:pt>
                      <c:pt idx="1">
                        <c:v>-21380</c:v>
                      </c:pt>
                      <c:pt idx="2">
                        <c:v>-22030</c:v>
                      </c:pt>
                      <c:pt idx="3">
                        <c:v>-22650</c:v>
                      </c:pt>
                      <c:pt idx="4">
                        <c:v>-22810</c:v>
                      </c:pt>
                      <c:pt idx="5">
                        <c:v>-23000</c:v>
                      </c:pt>
                      <c:pt idx="6">
                        <c:v>-23210</c:v>
                      </c:pt>
                      <c:pt idx="7">
                        <c:v>-23430</c:v>
                      </c:pt>
                      <c:pt idx="8">
                        <c:v>-23660</c:v>
                      </c:pt>
                      <c:pt idx="9">
                        <c:v>-23900</c:v>
                      </c:pt>
                      <c:pt idx="10">
                        <c:v>-24140</c:v>
                      </c:pt>
                      <c:pt idx="11">
                        <c:v>-24370</c:v>
                      </c:pt>
                      <c:pt idx="12">
                        <c:v>-25240</c:v>
                      </c:pt>
                      <c:pt idx="13">
                        <c:v>-25360</c:v>
                      </c:pt>
                      <c:pt idx="14">
                        <c:v>-25470</c:v>
                      </c:pt>
                      <c:pt idx="15">
                        <c:v>-25600</c:v>
                      </c:pt>
                      <c:pt idx="16">
                        <c:v>-25770</c:v>
                      </c:pt>
                      <c:pt idx="17">
                        <c:v>-26620</c:v>
                      </c:pt>
                      <c:pt idx="18">
                        <c:v>-26830</c:v>
                      </c:pt>
                      <c:pt idx="19">
                        <c:v>-26900</c:v>
                      </c:pt>
                      <c:pt idx="20">
                        <c:v>-27010</c:v>
                      </c:pt>
                      <c:pt idx="21">
                        <c:v>-27170</c:v>
                      </c:pt>
                      <c:pt idx="22">
                        <c:v>-27350</c:v>
                      </c:pt>
                      <c:pt idx="23">
                        <c:v>-27540</c:v>
                      </c:pt>
                      <c:pt idx="24">
                        <c:v>-27730</c:v>
                      </c:pt>
                      <c:pt idx="25">
                        <c:v>-27920</c:v>
                      </c:pt>
                      <c:pt idx="26">
                        <c:v>-28700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ALL!$F$123:$AL$123</c:f>
              <c:numCache>
                <c:formatCode>General</c:formatCode>
                <c:ptCount val="33"/>
                <c:pt idx="0">
                  <c:v>-78214.330208321626</c:v>
                </c:pt>
                <c:pt idx="1">
                  <c:v>-95466.18346448135</c:v>
                </c:pt>
                <c:pt idx="2">
                  <c:v>-107815.94830211742</c:v>
                </c:pt>
                <c:pt idx="3">
                  <c:v>-130375.74206962287</c:v>
                </c:pt>
                <c:pt idx="4">
                  <c:v>-138608.88547768336</c:v>
                </c:pt>
                <c:pt idx="5">
                  <c:v>-145805.41511779922</c:v>
                </c:pt>
                <c:pt idx="6">
                  <c:v>-151484.50865120062</c:v>
                </c:pt>
                <c:pt idx="7">
                  <c:v>-155864.55159450401</c:v>
                </c:pt>
                <c:pt idx="8">
                  <c:v>-159418.66202788256</c:v>
                </c:pt>
                <c:pt idx="9">
                  <c:v>-162550.92468781979</c:v>
                </c:pt>
                <c:pt idx="10">
                  <c:v>-165469.98521453046</c:v>
                </c:pt>
                <c:pt idx="11">
                  <c:v>-168350.13663000008</c:v>
                </c:pt>
                <c:pt idx="12">
                  <c:v>-215886.58358207654</c:v>
                </c:pt>
                <c:pt idx="13">
                  <c:v>-276555.75590609113</c:v>
                </c:pt>
                <c:pt idx="14">
                  <c:v>-355400.02582554927</c:v>
                </c:pt>
                <c:pt idx="15">
                  <c:v>-416707.09479155584</c:v>
                </c:pt>
                <c:pt idx="16">
                  <c:v>-452730.15728869685</c:v>
                </c:pt>
                <c:pt idx="17">
                  <c:v>-510773.07718967879</c:v>
                </c:pt>
                <c:pt idx="18">
                  <c:v>-521578.28024541069</c:v>
                </c:pt>
                <c:pt idx="19">
                  <c:v>-504474.18138865533</c:v>
                </c:pt>
                <c:pt idx="20">
                  <c:v>-495357.39541447908</c:v>
                </c:pt>
                <c:pt idx="21">
                  <c:v>-496737.46897053684</c:v>
                </c:pt>
                <c:pt idx="22">
                  <c:v>-503653.66457715456</c:v>
                </c:pt>
                <c:pt idx="23">
                  <c:v>-513282.27743239002</c:v>
                </c:pt>
                <c:pt idx="24">
                  <c:v>-524264.26081769104</c:v>
                </c:pt>
                <c:pt idx="25">
                  <c:v>-535966.13347278815</c:v>
                </c:pt>
                <c:pt idx="26">
                  <c:v>-586709.01426585531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-346123.61177483917</c:v>
                </c:pt>
                <c:pt idx="1">
                  <c:v>-356784.47662933898</c:v>
                </c:pt>
                <c:pt idx="2">
                  <c:v>-369456.14771845413</c:v>
                </c:pt>
                <c:pt idx="3">
                  <c:v>-383814.87281381775</c:v>
                </c:pt>
                <c:pt idx="4">
                  <c:v>-387846.93381047179</c:v>
                </c:pt>
                <c:pt idx="5">
                  <c:v>-392035.98904306116</c:v>
                </c:pt>
                <c:pt idx="6">
                  <c:v>-396393.39014806802</c:v>
                </c:pt>
                <c:pt idx="7">
                  <c:v>-400807.30372751091</c:v>
                </c:pt>
                <c:pt idx="8">
                  <c:v>-405285.75663378509</c:v>
                </c:pt>
                <c:pt idx="9">
                  <c:v>-409891.94824774435</c:v>
                </c:pt>
                <c:pt idx="10">
                  <c:v>-414544.80885690241</c:v>
                </c:pt>
                <c:pt idx="11">
                  <c:v>-419171.92852733959</c:v>
                </c:pt>
                <c:pt idx="12">
                  <c:v>-439294.77740031434</c:v>
                </c:pt>
                <c:pt idx="13">
                  <c:v>-445176.70291279798</c:v>
                </c:pt>
                <c:pt idx="14">
                  <c:v>-452521.38763533335</c:v>
                </c:pt>
                <c:pt idx="15">
                  <c:v>-460841.08402618801</c:v>
                </c:pt>
                <c:pt idx="16">
                  <c:v>-470077.61580342054</c:v>
                </c:pt>
                <c:pt idx="17">
                  <c:v>-511106.0836886114</c:v>
                </c:pt>
                <c:pt idx="18">
                  <c:v>-521706.54205149598</c:v>
                </c:pt>
                <c:pt idx="19">
                  <c:v>-504515.46149133559</c:v>
                </c:pt>
                <c:pt idx="20">
                  <c:v>-495367.84747093864</c:v>
                </c:pt>
                <c:pt idx="21">
                  <c:v>-496739.92976385792</c:v>
                </c:pt>
                <c:pt idx="22">
                  <c:v>-503654.28486197913</c:v>
                </c:pt>
                <c:pt idx="23">
                  <c:v>-513282.48886860959</c:v>
                </c:pt>
                <c:pt idx="24">
                  <c:v>-524264.38270847441</c:v>
                </c:pt>
                <c:pt idx="25">
                  <c:v>-535966.23682504939</c:v>
                </c:pt>
                <c:pt idx="26">
                  <c:v>-586709.11691903381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-346123.61177483917</c:v>
                </c:pt>
                <c:pt idx="1">
                  <c:v>-356784.47662933898</c:v>
                </c:pt>
                <c:pt idx="2">
                  <c:v>-369456.14771845413</c:v>
                </c:pt>
                <c:pt idx="3">
                  <c:v>-383814.87281381775</c:v>
                </c:pt>
                <c:pt idx="4">
                  <c:v>-387846.93381047179</c:v>
                </c:pt>
                <c:pt idx="5">
                  <c:v>-392035.98904306116</c:v>
                </c:pt>
                <c:pt idx="6">
                  <c:v>-396393.39014806802</c:v>
                </c:pt>
                <c:pt idx="7">
                  <c:v>-400807.30372751091</c:v>
                </c:pt>
                <c:pt idx="8">
                  <c:v>-405285.75663378509</c:v>
                </c:pt>
                <c:pt idx="9">
                  <c:v>-409891.94824774435</c:v>
                </c:pt>
                <c:pt idx="10">
                  <c:v>-414544.80885690241</c:v>
                </c:pt>
                <c:pt idx="11">
                  <c:v>-419171.92852733959</c:v>
                </c:pt>
                <c:pt idx="12">
                  <c:v>-439294.77740031434</c:v>
                </c:pt>
                <c:pt idx="13">
                  <c:v>-445176.70291279798</c:v>
                </c:pt>
                <c:pt idx="14">
                  <c:v>-452521.38763533335</c:v>
                </c:pt>
                <c:pt idx="15">
                  <c:v>-460841.08402618801</c:v>
                </c:pt>
                <c:pt idx="16">
                  <c:v>-470077.61580342054</c:v>
                </c:pt>
                <c:pt idx="17">
                  <c:v>-511106.08405525738</c:v>
                </c:pt>
                <c:pt idx="18">
                  <c:v>-521707.29761193425</c:v>
                </c:pt>
                <c:pt idx="19">
                  <c:v>-533172.3225561427</c:v>
                </c:pt>
                <c:pt idx="20">
                  <c:v>-546088.86328710394</c:v>
                </c:pt>
                <c:pt idx="21">
                  <c:v>-559593.57872073131</c:v>
                </c:pt>
                <c:pt idx="22">
                  <c:v>-572709.14002489473</c:v>
                </c:pt>
                <c:pt idx="23">
                  <c:v>-584491.48830876197</c:v>
                </c:pt>
                <c:pt idx="24">
                  <c:v>-594919.04119782825</c:v>
                </c:pt>
                <c:pt idx="25">
                  <c:v>-608197.23061399884</c:v>
                </c:pt>
                <c:pt idx="26">
                  <c:v>-675168.97777166753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ALL!$B$114:$B$115</c:f>
              <c:numCache>
                <c:formatCode>0</c:formatCode>
                <c:ptCount val="2"/>
                <c:pt idx="0">
                  <c:v>-681594.44070000004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-346121.26907850004</c:v>
                </c:pt>
                <c:pt idx="1">
                  <c:v>-356782.13927039999</c:v>
                </c:pt>
                <c:pt idx="2">
                  <c:v>-369456.02607312007</c:v>
                </c:pt>
                <c:pt idx="3">
                  <c:v>-383819.71527203999</c:v>
                </c:pt>
                <c:pt idx="4">
                  <c:v>-387846.86080749001</c:v>
                </c:pt>
                <c:pt idx="5">
                  <c:v>-392036.22855696001</c:v>
                </c:pt>
                <c:pt idx="6">
                  <c:v>-396393.41983281</c:v>
                </c:pt>
                <c:pt idx="7">
                  <c:v>-400807.08252750005</c:v>
                </c:pt>
                <c:pt idx="8">
                  <c:v>-405287.70172439999</c:v>
                </c:pt>
                <c:pt idx="9">
                  <c:v>-409890.50083590002</c:v>
                </c:pt>
                <c:pt idx="10">
                  <c:v>-414546.45122009999</c:v>
                </c:pt>
                <c:pt idx="11">
                  <c:v>-419172.02125275001</c:v>
                </c:pt>
                <c:pt idx="12">
                  <c:v>-439295.95830384002</c:v>
                </c:pt>
                <c:pt idx="13">
                  <c:v>-445172.75216541009</c:v>
                </c:pt>
                <c:pt idx="14">
                  <c:v>-452522.15788563009</c:v>
                </c:pt>
                <c:pt idx="15">
                  <c:v>-460843.15666512004</c:v>
                </c:pt>
                <c:pt idx="16">
                  <c:v>-470072.60486508004</c:v>
                </c:pt>
                <c:pt idx="17">
                  <c:v>-511104.28987548006</c:v>
                </c:pt>
                <c:pt idx="18">
                  <c:v>-521707.87798478996</c:v>
                </c:pt>
                <c:pt idx="19">
                  <c:v>-533279.71456260001</c:v>
                </c:pt>
                <c:pt idx="20">
                  <c:v>-546314.43619808997</c:v>
                </c:pt>
                <c:pt idx="21">
                  <c:v>-560297.25694277999</c:v>
                </c:pt>
                <c:pt idx="22">
                  <c:v>-574824.12086483999</c:v>
                </c:pt>
                <c:pt idx="23">
                  <c:v>-589584.35068533011</c:v>
                </c:pt>
                <c:pt idx="24">
                  <c:v>-604480.21128594002</c:v>
                </c:pt>
                <c:pt idx="25">
                  <c:v>-619528.12696368003</c:v>
                </c:pt>
                <c:pt idx="26">
                  <c:v>-681594.44070000004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-3.5022470483916509E-30</c:v>
                      </c:pt>
                      <c:pt idx="17">
                        <c:v>-3.6664595326236089E-4</c:v>
                      </c:pt>
                      <c:pt idx="18">
                        <c:v>-0.75556043825780361</c:v>
                      </c:pt>
                      <c:pt idx="19">
                        <c:v>-28656.861064807155</c:v>
                      </c:pt>
                      <c:pt idx="20">
                        <c:v>-50721.0158161652</c:v>
                      </c:pt>
                      <c:pt idx="21">
                        <c:v>-62853.648956873418</c:v>
                      </c:pt>
                      <c:pt idx="22">
                        <c:v>-69054.855162915672</c:v>
                      </c:pt>
                      <c:pt idx="23">
                        <c:v>-71208.999440152329</c:v>
                      </c:pt>
                      <c:pt idx="24">
                        <c:v>-70654.658489353824</c:v>
                      </c:pt>
                      <c:pt idx="25">
                        <c:v>-72230.993788949447</c:v>
                      </c:pt>
                      <c:pt idx="26">
                        <c:v>-88459.860852633763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74B-47E8-A19D-44B695C09DB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-267909.28156651754</c:v>
                      </c:pt>
                      <c:pt idx="1">
                        <c:v>-261318.29316485763</c:v>
                      </c:pt>
                      <c:pt idx="2">
                        <c:v>-261640.19941633672</c:v>
                      </c:pt>
                      <c:pt idx="3">
                        <c:v>-253439.13074419487</c:v>
                      </c:pt>
                      <c:pt idx="4">
                        <c:v>-249238.04833278846</c:v>
                      </c:pt>
                      <c:pt idx="5">
                        <c:v>-246230.57392526191</c:v>
                      </c:pt>
                      <c:pt idx="6">
                        <c:v>-244908.8814968674</c:v>
                      </c:pt>
                      <c:pt idx="7">
                        <c:v>-244942.7521330069</c:v>
                      </c:pt>
                      <c:pt idx="8">
                        <c:v>-245867.09460590253</c:v>
                      </c:pt>
                      <c:pt idx="9">
                        <c:v>-247341.02355992454</c:v>
                      </c:pt>
                      <c:pt idx="10">
                        <c:v>-249074.82364237198</c:v>
                      </c:pt>
                      <c:pt idx="11">
                        <c:v>-250821.79189733951</c:v>
                      </c:pt>
                      <c:pt idx="12">
                        <c:v>-223408.19381823781</c:v>
                      </c:pt>
                      <c:pt idx="13">
                        <c:v>-168620.94700670685</c:v>
                      </c:pt>
                      <c:pt idx="14">
                        <c:v>-97121.361809784081</c:v>
                      </c:pt>
                      <c:pt idx="15">
                        <c:v>-44133.989234632179</c:v>
                      </c:pt>
                      <c:pt idx="16">
                        <c:v>-17347.458514723665</c:v>
                      </c:pt>
                      <c:pt idx="17">
                        <c:v>-333.00649893260845</c:v>
                      </c:pt>
                      <c:pt idx="18">
                        <c:v>-128.26180608532431</c:v>
                      </c:pt>
                      <c:pt idx="19">
                        <c:v>-41.280102680238038</c:v>
                      </c:pt>
                      <c:pt idx="20">
                        <c:v>-10.452056459566405</c:v>
                      </c:pt>
                      <c:pt idx="21">
                        <c:v>-2.460793321054997</c:v>
                      </c:pt>
                      <c:pt idx="22">
                        <c:v>-0.62028482456708522</c:v>
                      </c:pt>
                      <c:pt idx="23">
                        <c:v>-0.21143621957663919</c:v>
                      </c:pt>
                      <c:pt idx="24">
                        <c:v>-0.12189078338116206</c:v>
                      </c:pt>
                      <c:pt idx="25">
                        <c:v>-0.10335226127098227</c:v>
                      </c:pt>
                      <c:pt idx="26">
                        <c:v>-0.10265317856098294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-267909.28156651754</c:v>
                      </c:pt>
                      <c:pt idx="1">
                        <c:v>-261318.29316485763</c:v>
                      </c:pt>
                      <c:pt idx="2">
                        <c:v>-261640.19941633672</c:v>
                      </c:pt>
                      <c:pt idx="3">
                        <c:v>-253439.13074419487</c:v>
                      </c:pt>
                      <c:pt idx="4">
                        <c:v>-249238.04833278846</c:v>
                      </c:pt>
                      <c:pt idx="5">
                        <c:v>-246230.57392526191</c:v>
                      </c:pt>
                      <c:pt idx="6">
                        <c:v>-244908.8814968674</c:v>
                      </c:pt>
                      <c:pt idx="7">
                        <c:v>-244942.7521330069</c:v>
                      </c:pt>
                      <c:pt idx="8">
                        <c:v>-245867.09460590253</c:v>
                      </c:pt>
                      <c:pt idx="9">
                        <c:v>-247341.02355992454</c:v>
                      </c:pt>
                      <c:pt idx="10">
                        <c:v>-249074.82364237198</c:v>
                      </c:pt>
                      <c:pt idx="11">
                        <c:v>-250821.79189733951</c:v>
                      </c:pt>
                      <c:pt idx="12">
                        <c:v>-223408.19381823781</c:v>
                      </c:pt>
                      <c:pt idx="13">
                        <c:v>-168620.94700670685</c:v>
                      </c:pt>
                      <c:pt idx="14">
                        <c:v>-97121.361809784081</c:v>
                      </c:pt>
                      <c:pt idx="15">
                        <c:v>-44133.989234632179</c:v>
                      </c:pt>
                      <c:pt idx="16">
                        <c:v>-17347.458514723665</c:v>
                      </c:pt>
                      <c:pt idx="17">
                        <c:v>-333.0068655785617</c:v>
                      </c:pt>
                      <c:pt idx="18">
                        <c:v>-129.01736652358213</c:v>
                      </c:pt>
                      <c:pt idx="19">
                        <c:v>-28698.141167487393</c:v>
                      </c:pt>
                      <c:pt idx="20">
                        <c:v>-50731.467872624766</c:v>
                      </c:pt>
                      <c:pt idx="21">
                        <c:v>-62856.109750194475</c:v>
                      </c:pt>
                      <c:pt idx="22">
                        <c:v>-69055.475447740246</c:v>
                      </c:pt>
                      <c:pt idx="23">
                        <c:v>-71209.210876371901</c:v>
                      </c:pt>
                      <c:pt idx="24">
                        <c:v>-70654.780380137207</c:v>
                      </c:pt>
                      <c:pt idx="25">
                        <c:v>-72231.097141210717</c:v>
                      </c:pt>
                      <c:pt idx="26">
                        <c:v>-88459.963505812324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7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8.2117355881280038E-2"/>
          <c:w val="0.91743241838991729"/>
          <c:h val="0.82522684177839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1.1055E-9</c:v>
                </c:pt>
                <c:pt idx="1">
                  <c:v>4.1214000000000003E-9</c:v>
                </c:pt>
                <c:pt idx="2">
                  <c:v>4.0460999999999999E-9</c:v>
                </c:pt>
                <c:pt idx="3">
                  <c:v>2.9500000000000001E-14</c:v>
                </c:pt>
                <c:pt idx="4">
                  <c:v>2.322E-18</c:v>
                </c:pt>
                <c:pt idx="5">
                  <c:v>1.6761000000000001E-23</c:v>
                </c:pt>
                <c:pt idx="6">
                  <c:v>1.814E-29</c:v>
                </c:pt>
                <c:pt idx="7">
                  <c:v>2.0129999999999999E-34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1.2330000000000001E-12</c:v>
                </c:pt>
                <c:pt idx="18">
                  <c:v>3.9454999999999997E-9</c:v>
                </c:pt>
                <c:pt idx="19">
                  <c:v>4.2608000000000001E-4</c:v>
                </c:pt>
                <c:pt idx="20">
                  <c:v>8.5618000000000001E-4</c:v>
                </c:pt>
                <c:pt idx="21">
                  <c:v>2.5444E-3</c:v>
                </c:pt>
                <c:pt idx="22">
                  <c:v>7.4120000000000002E-3</c:v>
                </c:pt>
                <c:pt idx="23">
                  <c:v>1.7395000000000001E-2</c:v>
                </c:pt>
                <c:pt idx="24">
                  <c:v>3.1858999999999998E-2</c:v>
                </c:pt>
                <c:pt idx="25">
                  <c:v>3.6838000000000003E-2</c:v>
                </c:pt>
                <c:pt idx="26">
                  <c:v>1.9015000000000001E-2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4.2891999999999998E-16</c:v>
                </c:pt>
                <c:pt idx="2">
                  <c:v>3.5176000000000001E-13</c:v>
                </c:pt>
                <c:pt idx="3">
                  <c:v>2.0272000000000002E-9</c:v>
                </c:pt>
                <c:pt idx="4">
                  <c:v>2.8751000000000001E-9</c:v>
                </c:pt>
                <c:pt idx="5">
                  <c:v>3.3884E-9</c:v>
                </c:pt>
                <c:pt idx="6">
                  <c:v>2.9151E-9</c:v>
                </c:pt>
                <c:pt idx="7">
                  <c:v>4.9231999999999997E-9</c:v>
                </c:pt>
                <c:pt idx="8">
                  <c:v>2.4681000000000002E-9</c:v>
                </c:pt>
                <c:pt idx="9">
                  <c:v>2.7259999999999999E-9</c:v>
                </c:pt>
                <c:pt idx="10">
                  <c:v>2.8222E-9</c:v>
                </c:pt>
                <c:pt idx="11">
                  <c:v>2.8891999999999999E-9</c:v>
                </c:pt>
                <c:pt idx="12">
                  <c:v>6.5785999999999996E-9</c:v>
                </c:pt>
                <c:pt idx="13">
                  <c:v>6.6162000000000004E-9</c:v>
                </c:pt>
                <c:pt idx="14">
                  <c:v>1.1583E-8</c:v>
                </c:pt>
                <c:pt idx="15">
                  <c:v>2.1235000000000001E-8</c:v>
                </c:pt>
                <c:pt idx="16">
                  <c:v>4.3346000000000003E-8</c:v>
                </c:pt>
                <c:pt idx="17">
                  <c:v>3.8367000000000002E-8</c:v>
                </c:pt>
                <c:pt idx="18">
                  <c:v>8.4089000000000002E-24</c:v>
                </c:pt>
                <c:pt idx="19">
                  <c:v>1.7853000000000002E-11</c:v>
                </c:pt>
                <c:pt idx="20">
                  <c:v>6.7466000000000003E-14</c:v>
                </c:pt>
                <c:pt idx="21">
                  <c:v>6.5495999999999998E-11</c:v>
                </c:pt>
                <c:pt idx="22">
                  <c:v>2.5011E-9</c:v>
                </c:pt>
                <c:pt idx="23">
                  <c:v>2.0716999999999999E-8</c:v>
                </c:pt>
                <c:pt idx="24">
                  <c:v>8.0283000000000005E-8</c:v>
                </c:pt>
                <c:pt idx="25">
                  <c:v>2.2548999999999999E-7</c:v>
                </c:pt>
                <c:pt idx="26">
                  <c:v>2.3043000000000001E-6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(1)GeSe2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1.949E-2</c:v>
                </c:pt>
                <c:pt idx="1">
                  <c:v>6.5905E-3</c:v>
                </c:pt>
                <c:pt idx="2">
                  <c:v>3.4264000000000001E-4</c:v>
                </c:pt>
                <c:pt idx="3">
                  <c:v>1.9181000000000002E-5</c:v>
                </c:pt>
                <c:pt idx="4">
                  <c:v>7.9441999999999993E-6</c:v>
                </c:pt>
                <c:pt idx="5">
                  <c:v>2.9453E-6</c:v>
                </c:pt>
                <c:pt idx="6">
                  <c:v>1.0105999999999999E-6</c:v>
                </c:pt>
                <c:pt idx="7">
                  <c:v>3.354E-7</c:v>
                </c:pt>
                <c:pt idx="8">
                  <c:v>1.1143E-7</c:v>
                </c:pt>
                <c:pt idx="9">
                  <c:v>3.7802999999999998E-8</c:v>
                </c:pt>
                <c:pt idx="10">
                  <c:v>1.322E-8</c:v>
                </c:pt>
                <c:pt idx="11">
                  <c:v>4.7833999999999998E-9</c:v>
                </c:pt>
                <c:pt idx="12">
                  <c:v>1.3052000000000001E-10</c:v>
                </c:pt>
                <c:pt idx="13">
                  <c:v>6.7452999999999997E-11</c:v>
                </c:pt>
                <c:pt idx="14">
                  <c:v>3.7669999999999998E-11</c:v>
                </c:pt>
                <c:pt idx="15">
                  <c:v>2.0265000000000001E-11</c:v>
                </c:pt>
                <c:pt idx="16">
                  <c:v>1.0182E-11</c:v>
                </c:pt>
                <c:pt idx="17">
                  <c:v>5.7109999999999996E-13</c:v>
                </c:pt>
                <c:pt idx="18">
                  <c:v>2.8613000000000001E-13</c:v>
                </c:pt>
                <c:pt idx="19">
                  <c:v>1.9219000000000001E-13</c:v>
                </c:pt>
                <c:pt idx="20">
                  <c:v>1.1936000000000001E-13</c:v>
                </c:pt>
                <c:pt idx="21">
                  <c:v>6.8719999999999996E-14</c:v>
                </c:pt>
                <c:pt idx="22">
                  <c:v>3.8486999999999999E-14</c:v>
                </c:pt>
                <c:pt idx="23">
                  <c:v>2.1441000000000001E-14</c:v>
                </c:pt>
                <c:pt idx="24">
                  <c:v>1.1995E-14</c:v>
                </c:pt>
                <c:pt idx="25">
                  <c:v>6.7432999999999997E-15</c:v>
                </c:pt>
                <c:pt idx="26">
                  <c:v>7.2493000000000003E-16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2.051E-2</c:v>
                </c:pt>
                <c:pt idx="1">
                  <c:v>3.3398999999999998E-2</c:v>
                </c:pt>
                <c:pt idx="2">
                  <c:v>3.8558000000000002E-2</c:v>
                </c:pt>
                <c:pt idx="3">
                  <c:v>2.2164E-2</c:v>
                </c:pt>
                <c:pt idx="4">
                  <c:v>1.5173000000000001E-2</c:v>
                </c:pt>
                <c:pt idx="5">
                  <c:v>9.3226999999999997E-3</c:v>
                </c:pt>
                <c:pt idx="6">
                  <c:v>5.3057E-3</c:v>
                </c:pt>
                <c:pt idx="7">
                  <c:v>2.9044000000000001E-3</c:v>
                </c:pt>
                <c:pt idx="8">
                  <c:v>1.5740999999999999E-3</c:v>
                </c:pt>
                <c:pt idx="9">
                  <c:v>8.5897999999999996E-4</c:v>
                </c:pt>
                <c:pt idx="10">
                  <c:v>4.7595E-4</c:v>
                </c:pt>
                <c:pt idx="11">
                  <c:v>2.6874000000000001E-4</c:v>
                </c:pt>
                <c:pt idx="12">
                  <c:v>3.5403E-5</c:v>
                </c:pt>
                <c:pt idx="13">
                  <c:v>2.4213999999999999E-5</c:v>
                </c:pt>
                <c:pt idx="14">
                  <c:v>1.7258999999999999E-5</c:v>
                </c:pt>
                <c:pt idx="15">
                  <c:v>1.2101E-5</c:v>
                </c:pt>
                <c:pt idx="16">
                  <c:v>8.2181000000000001E-6</c:v>
                </c:pt>
                <c:pt idx="17">
                  <c:v>1.671E-6</c:v>
                </c:pt>
                <c:pt idx="18">
                  <c:v>1.1432999999999999E-6</c:v>
                </c:pt>
                <c:pt idx="19">
                  <c:v>8.9864999999999996E-7</c:v>
                </c:pt>
                <c:pt idx="20">
                  <c:v>6.8069000000000004E-7</c:v>
                </c:pt>
                <c:pt idx="21">
                  <c:v>4.9829999999999996E-7</c:v>
                </c:pt>
                <c:pt idx="22">
                  <c:v>3.6082999999999998E-7</c:v>
                </c:pt>
                <c:pt idx="23">
                  <c:v>2.6124999999999999E-7</c:v>
                </c:pt>
                <c:pt idx="24">
                  <c:v>1.8997E-7</c:v>
                </c:pt>
                <c:pt idx="25">
                  <c:v>1.3846000000000001E-7</c:v>
                </c:pt>
                <c:pt idx="26">
                  <c:v>4.0641E-8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2.3581000000000001E-2</c:v>
                </c:pt>
                <c:pt idx="1">
                  <c:v>2.9510999999999999E-2</c:v>
                </c:pt>
                <c:pt idx="2">
                  <c:v>3.2620000000000003E-2</c:v>
                </c:pt>
                <c:pt idx="3">
                  <c:v>3.9208E-2</c:v>
                </c:pt>
                <c:pt idx="4">
                  <c:v>4.1688999999999997E-2</c:v>
                </c:pt>
                <c:pt idx="5">
                  <c:v>4.3671000000000001E-2</c:v>
                </c:pt>
                <c:pt idx="6">
                  <c:v>4.4985999999999998E-2</c:v>
                </c:pt>
                <c:pt idx="7">
                  <c:v>4.5754000000000003E-2</c:v>
                </c:pt>
                <c:pt idx="8">
                  <c:v>4.6174E-2</c:v>
                </c:pt>
                <c:pt idx="9">
                  <c:v>4.6399999999999997E-2</c:v>
                </c:pt>
                <c:pt idx="10">
                  <c:v>4.6523000000000002E-2</c:v>
                </c:pt>
                <c:pt idx="11">
                  <c:v>4.6607000000000003E-2</c:v>
                </c:pt>
                <c:pt idx="12">
                  <c:v>5.0874999999999997E-2</c:v>
                </c:pt>
                <c:pt idx="13">
                  <c:v>5.3782999999999997E-2</c:v>
                </c:pt>
                <c:pt idx="14">
                  <c:v>4.7280999999999997E-2</c:v>
                </c:pt>
                <c:pt idx="15">
                  <c:v>2.9621999999999999E-2</c:v>
                </c:pt>
                <c:pt idx="16">
                  <c:v>1.3741E-2</c:v>
                </c:pt>
                <c:pt idx="17">
                  <c:v>2.8533999999999998E-4</c:v>
                </c:pt>
                <c:pt idx="18">
                  <c:v>1.0971E-4</c:v>
                </c:pt>
                <c:pt idx="19">
                  <c:v>3.4276000000000002E-5</c:v>
                </c:pt>
                <c:pt idx="20">
                  <c:v>8.3289000000000008E-6</c:v>
                </c:pt>
                <c:pt idx="21">
                  <c:v>1.8444000000000001E-6</c:v>
                </c:pt>
                <c:pt idx="22">
                  <c:v>4.0053E-7</c:v>
                </c:pt>
                <c:pt idx="23">
                  <c:v>8.8174000000000006E-8</c:v>
                </c:pt>
                <c:pt idx="24">
                  <c:v>1.9948000000000001E-8</c:v>
                </c:pt>
                <c:pt idx="25">
                  <c:v>4.6587999999999997E-9</c:v>
                </c:pt>
                <c:pt idx="26">
                  <c:v>1.9231E-11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1.5785999999999999E-28</c:v>
                </c:pt>
                <c:pt idx="1">
                  <c:v>5.8697999999999997E-22</c:v>
                </c:pt>
                <c:pt idx="2">
                  <c:v>6.6534999999999995E-16</c:v>
                </c:pt>
                <c:pt idx="3">
                  <c:v>1.6729000000000001E-11</c:v>
                </c:pt>
                <c:pt idx="4">
                  <c:v>1.4176000000000001E-10</c:v>
                </c:pt>
                <c:pt idx="5">
                  <c:v>1.0979999999999999E-9</c:v>
                </c:pt>
                <c:pt idx="6">
                  <c:v>7.7919999999999996E-9</c:v>
                </c:pt>
                <c:pt idx="7">
                  <c:v>5.0568E-8</c:v>
                </c:pt>
                <c:pt idx="8">
                  <c:v>3.0016000000000001E-7</c:v>
                </c:pt>
                <c:pt idx="9">
                  <c:v>1.6345E-6</c:v>
                </c:pt>
                <c:pt idx="10">
                  <c:v>8.2034000000000001E-6</c:v>
                </c:pt>
                <c:pt idx="11">
                  <c:v>3.8143999999999999E-5</c:v>
                </c:pt>
                <c:pt idx="12">
                  <c:v>8.7624999999999995E-3</c:v>
                </c:pt>
                <c:pt idx="13">
                  <c:v>2.5947000000000001E-2</c:v>
                </c:pt>
                <c:pt idx="14">
                  <c:v>5.781E-2</c:v>
                </c:pt>
                <c:pt idx="15">
                  <c:v>9.3327999999999994E-2</c:v>
                </c:pt>
                <c:pt idx="16">
                  <c:v>0.11716</c:v>
                </c:pt>
                <c:pt idx="17">
                  <c:v>0.12540999999999999</c:v>
                </c:pt>
                <c:pt idx="18">
                  <c:v>0.12102</c:v>
                </c:pt>
                <c:pt idx="19">
                  <c:v>6.8593000000000001E-2</c:v>
                </c:pt>
                <c:pt idx="20">
                  <c:v>3.2370000000000003E-2</c:v>
                </c:pt>
                <c:pt idx="21">
                  <c:v>1.4925000000000001E-2</c:v>
                </c:pt>
                <c:pt idx="22">
                  <c:v>6.8881999999999997E-3</c:v>
                </c:pt>
                <c:pt idx="23">
                  <c:v>3.2166999999999999E-3</c:v>
                </c:pt>
                <c:pt idx="24">
                  <c:v>1.5263E-3</c:v>
                </c:pt>
                <c:pt idx="25">
                  <c:v>7.3612999999999999E-4</c:v>
                </c:pt>
                <c:pt idx="26">
                  <c:v>4.6826000000000002E-5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7.7442E-8</c:v>
                </c:pt>
                <c:pt idx="1">
                  <c:v>5.1692000000000004E-6</c:v>
                </c:pt>
                <c:pt idx="2">
                  <c:v>5.4973000000000001E-4</c:v>
                </c:pt>
                <c:pt idx="3">
                  <c:v>8.9084999999999998E-3</c:v>
                </c:pt>
                <c:pt idx="4">
                  <c:v>1.2409999999999999E-2</c:v>
                </c:pt>
                <c:pt idx="5">
                  <c:v>1.5337E-2</c:v>
                </c:pt>
                <c:pt idx="6">
                  <c:v>1.7347000000000001E-2</c:v>
                </c:pt>
                <c:pt idx="7">
                  <c:v>1.8547999999999999E-2</c:v>
                </c:pt>
                <c:pt idx="8">
                  <c:v>1.9213000000000001E-2</c:v>
                </c:pt>
                <c:pt idx="9">
                  <c:v>1.9570000000000001E-2</c:v>
                </c:pt>
                <c:pt idx="10">
                  <c:v>1.9761999999999998E-2</c:v>
                </c:pt>
                <c:pt idx="11">
                  <c:v>1.9866000000000002E-2</c:v>
                </c:pt>
                <c:pt idx="12">
                  <c:v>1.9982E-2</c:v>
                </c:pt>
                <c:pt idx="13">
                  <c:v>1.9987999999999999E-2</c:v>
                </c:pt>
                <c:pt idx="14">
                  <c:v>1.9990999999999998E-2</c:v>
                </c:pt>
                <c:pt idx="15">
                  <c:v>1.9994000000000001E-2</c:v>
                </c:pt>
                <c:pt idx="16">
                  <c:v>1.9996E-2</c:v>
                </c:pt>
                <c:pt idx="17">
                  <c:v>1.9998999999999999E-2</c:v>
                </c:pt>
                <c:pt idx="18">
                  <c:v>1.9998999999999999E-2</c:v>
                </c:pt>
                <c:pt idx="19">
                  <c:v>1.9630999999999999E-2</c:v>
                </c:pt>
                <c:pt idx="20">
                  <c:v>1.9300000000000001E-2</c:v>
                </c:pt>
                <c:pt idx="21">
                  <c:v>1.9068999999999999E-2</c:v>
                </c:pt>
                <c:pt idx="22">
                  <c:v>1.8904000000000001E-2</c:v>
                </c:pt>
                <c:pt idx="23">
                  <c:v>1.8790999999999999E-2</c:v>
                </c:pt>
                <c:pt idx="24">
                  <c:v>1.8720000000000001E-2</c:v>
                </c:pt>
                <c:pt idx="25">
                  <c:v>1.8610000000000002E-2</c:v>
                </c:pt>
                <c:pt idx="26">
                  <c:v>1.7925E-2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1.9029000000000001E-28</c:v>
                </c:pt>
                <c:pt idx="1">
                  <c:v>3.6592000000000002E-22</c:v>
                </c:pt>
                <c:pt idx="2">
                  <c:v>1.2778E-16</c:v>
                </c:pt>
                <c:pt idx="3">
                  <c:v>1.6314000000000001E-12</c:v>
                </c:pt>
                <c:pt idx="4">
                  <c:v>1.2242999999999999E-11</c:v>
                </c:pt>
                <c:pt idx="5">
                  <c:v>8.3728999999999996E-11</c:v>
                </c:pt>
                <c:pt idx="6">
                  <c:v>5.2262E-10</c:v>
                </c:pt>
                <c:pt idx="7">
                  <c:v>2.9794999999999999E-9</c:v>
                </c:pt>
                <c:pt idx="8">
                  <c:v>1.5557999999999999E-8</c:v>
                </c:pt>
                <c:pt idx="9">
                  <c:v>7.4714000000000003E-8</c:v>
                </c:pt>
                <c:pt idx="10">
                  <c:v>3.3159999999999998E-7</c:v>
                </c:pt>
                <c:pt idx="11">
                  <c:v>1.3668E-6</c:v>
                </c:pt>
                <c:pt idx="12">
                  <c:v>2.1211E-4</c:v>
                </c:pt>
                <c:pt idx="13">
                  <c:v>6.5041999999999997E-4</c:v>
                </c:pt>
                <c:pt idx="14">
                  <c:v>1.7118000000000001E-3</c:v>
                </c:pt>
                <c:pt idx="15">
                  <c:v>3.6464000000000002E-3</c:v>
                </c:pt>
                <c:pt idx="16">
                  <c:v>6.4498999999999997E-3</c:v>
                </c:pt>
                <c:pt idx="17">
                  <c:v>2.8406000000000001E-2</c:v>
                </c:pt>
                <c:pt idx="18">
                  <c:v>3.7663000000000002E-2</c:v>
                </c:pt>
                <c:pt idx="19">
                  <c:v>3.4319000000000002E-2</c:v>
                </c:pt>
                <c:pt idx="20">
                  <c:v>2.8506E-2</c:v>
                </c:pt>
                <c:pt idx="21">
                  <c:v>2.3462E-2</c:v>
                </c:pt>
                <c:pt idx="22">
                  <c:v>1.9129E-2</c:v>
                </c:pt>
                <c:pt idx="23">
                  <c:v>1.5443999999999999E-2</c:v>
                </c:pt>
                <c:pt idx="24">
                  <c:v>1.2342000000000001E-2</c:v>
                </c:pt>
                <c:pt idx="25">
                  <c:v>9.7512999999999992E-3</c:v>
                </c:pt>
                <c:pt idx="26">
                  <c:v>3.3717999999999999E-3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6.0558999999999997E-10</c:v>
                </c:pt>
                <c:pt idx="1">
                  <c:v>7.1008000000000001E-9</c:v>
                </c:pt>
                <c:pt idx="2">
                  <c:v>4.6580000000000003E-9</c:v>
                </c:pt>
                <c:pt idx="3">
                  <c:v>3.6286000000000001E-9</c:v>
                </c:pt>
                <c:pt idx="4">
                  <c:v>3.4934E-9</c:v>
                </c:pt>
                <c:pt idx="5">
                  <c:v>3.3129E-9</c:v>
                </c:pt>
                <c:pt idx="6">
                  <c:v>3.0579E-9</c:v>
                </c:pt>
                <c:pt idx="7">
                  <c:v>2.7300999999999999E-9</c:v>
                </c:pt>
                <c:pt idx="8">
                  <c:v>2.3899999999999998E-9</c:v>
                </c:pt>
                <c:pt idx="9">
                  <c:v>2.0703000000000002E-9</c:v>
                </c:pt>
                <c:pt idx="10">
                  <c:v>1.7844E-9</c:v>
                </c:pt>
                <c:pt idx="11">
                  <c:v>1.5354000000000001E-9</c:v>
                </c:pt>
                <c:pt idx="12">
                  <c:v>1.0822E-9</c:v>
                </c:pt>
                <c:pt idx="13">
                  <c:v>1.3489E-9</c:v>
                </c:pt>
                <c:pt idx="14">
                  <c:v>1.8318E-9</c:v>
                </c:pt>
                <c:pt idx="15">
                  <c:v>2.2310999999999999E-9</c:v>
                </c:pt>
                <c:pt idx="16">
                  <c:v>2.3172999999999998E-9</c:v>
                </c:pt>
                <c:pt idx="17">
                  <c:v>1.4949999999999999E-9</c:v>
                </c:pt>
                <c:pt idx="18">
                  <c:v>1.3115000000000001E-9</c:v>
                </c:pt>
                <c:pt idx="19">
                  <c:v>1.3019E-9</c:v>
                </c:pt>
                <c:pt idx="20">
                  <c:v>1.2271E-9</c:v>
                </c:pt>
                <c:pt idx="21">
                  <c:v>1.105E-9</c:v>
                </c:pt>
                <c:pt idx="22">
                  <c:v>9.7488000000000005E-10</c:v>
                </c:pt>
                <c:pt idx="23">
                  <c:v>8.5265000000000005E-10</c:v>
                </c:pt>
                <c:pt idx="24">
                  <c:v>7.4314999999999996E-10</c:v>
                </c:pt>
                <c:pt idx="25">
                  <c:v>6.4691999999999997E-10</c:v>
                </c:pt>
                <c:pt idx="26">
                  <c:v>3.7200000000000001E-10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(1)Se[a]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1.3958E-10</c:v>
                </c:pt>
                <c:pt idx="1">
                  <c:v>2.5193000000000002E-9</c:v>
                </c:pt>
                <c:pt idx="2">
                  <c:v>2.2231999999999999E-9</c:v>
                </c:pt>
                <c:pt idx="3">
                  <c:v>2.1479E-9</c:v>
                </c:pt>
                <c:pt idx="4">
                  <c:v>2.1624999999999999E-9</c:v>
                </c:pt>
                <c:pt idx="5">
                  <c:v>2.0744999999999998E-9</c:v>
                </c:pt>
                <c:pt idx="6">
                  <c:v>1.8984E-9</c:v>
                </c:pt>
                <c:pt idx="7">
                  <c:v>1.6796999999999999E-9</c:v>
                </c:pt>
                <c:pt idx="8">
                  <c:v>1.4565999999999999E-9</c:v>
                </c:pt>
                <c:pt idx="9">
                  <c:v>1.2496999999999999E-9</c:v>
                </c:pt>
                <c:pt idx="10">
                  <c:v>1.0665E-9</c:v>
                </c:pt>
                <c:pt idx="11">
                  <c:v>9.0856000000000001E-10</c:v>
                </c:pt>
                <c:pt idx="12">
                  <c:v>6.1491E-10</c:v>
                </c:pt>
                <c:pt idx="13">
                  <c:v>7.5873000000000003E-10</c:v>
                </c:pt>
                <c:pt idx="14">
                  <c:v>1.02E-9</c:v>
                </c:pt>
                <c:pt idx="15">
                  <c:v>1.2299000000000001E-9</c:v>
                </c:pt>
                <c:pt idx="16">
                  <c:v>1.2647E-9</c:v>
                </c:pt>
                <c:pt idx="17">
                  <c:v>7.8439000000000002E-10</c:v>
                </c:pt>
                <c:pt idx="18">
                  <c:v>6.8148000000000001E-10</c:v>
                </c:pt>
                <c:pt idx="19">
                  <c:v>6.7002000000000003E-10</c:v>
                </c:pt>
                <c:pt idx="20">
                  <c:v>6.2553999999999999E-10</c:v>
                </c:pt>
                <c:pt idx="21">
                  <c:v>5.5798999999999995E-10</c:v>
                </c:pt>
                <c:pt idx="22">
                  <c:v>4.8770999999999996E-10</c:v>
                </c:pt>
                <c:pt idx="23">
                  <c:v>4.2261E-10</c:v>
                </c:pt>
                <c:pt idx="24">
                  <c:v>3.6493999999999998E-10</c:v>
                </c:pt>
                <c:pt idx="25">
                  <c:v>3.1478000000000002E-10</c:v>
                </c:pt>
                <c:pt idx="26">
                  <c:v>1.7455000000000001E-10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5.1004000000000002E-4</c:v>
                </c:pt>
                <c:pt idx="1">
                  <c:v>1.342E-2</c:v>
                </c:pt>
                <c:pt idx="2">
                  <c:v>2.0757000000000001E-2</c:v>
                </c:pt>
                <c:pt idx="3">
                  <c:v>3.7797999999999998E-2</c:v>
                </c:pt>
                <c:pt idx="4">
                  <c:v>4.4810999999999997E-2</c:v>
                </c:pt>
                <c:pt idx="5">
                  <c:v>5.0671000000000001E-2</c:v>
                </c:pt>
                <c:pt idx="6">
                  <c:v>5.4691999999999998E-2</c:v>
                </c:pt>
                <c:pt idx="7">
                  <c:v>5.7095E-2</c:v>
                </c:pt>
                <c:pt idx="8">
                  <c:v>5.8425999999999999E-2</c:v>
                </c:pt>
                <c:pt idx="9">
                  <c:v>5.9144000000000002E-2</c:v>
                </c:pt>
                <c:pt idx="10">
                  <c:v>5.9540999999999997E-2</c:v>
                </c:pt>
                <c:pt idx="11">
                  <c:v>5.9810000000000002E-2</c:v>
                </c:pt>
                <c:pt idx="12">
                  <c:v>7.7808000000000002E-2</c:v>
                </c:pt>
                <c:pt idx="13">
                  <c:v>0.11285000000000001</c:v>
                </c:pt>
                <c:pt idx="14">
                  <c:v>0.17817</c:v>
                </c:pt>
                <c:pt idx="15">
                  <c:v>0.25211</c:v>
                </c:pt>
                <c:pt idx="16">
                  <c:v>0.30397999999999997</c:v>
                </c:pt>
                <c:pt idx="17">
                  <c:v>0.35342000000000001</c:v>
                </c:pt>
                <c:pt idx="18">
                  <c:v>0.35853000000000002</c:v>
                </c:pt>
                <c:pt idx="19">
                  <c:v>0.41127000000000002</c:v>
                </c:pt>
                <c:pt idx="20">
                  <c:v>0.4476</c:v>
                </c:pt>
                <c:pt idx="21">
                  <c:v>0.46506999999999998</c:v>
                </c:pt>
                <c:pt idx="22">
                  <c:v>0.47310999999999998</c:v>
                </c:pt>
                <c:pt idx="23">
                  <c:v>0.47677999999999998</c:v>
                </c:pt>
                <c:pt idx="24">
                  <c:v>0.47847000000000001</c:v>
                </c:pt>
                <c:pt idx="25">
                  <c:v>0.47926000000000002</c:v>
                </c:pt>
                <c:pt idx="26">
                  <c:v>0.47994999999999999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(1)Ge[c]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7.7442E-8</c:v>
                </c:pt>
                <c:pt idx="1">
                  <c:v>5.1692000000000004E-6</c:v>
                </c:pt>
                <c:pt idx="2">
                  <c:v>5.4973000000000001E-4</c:v>
                </c:pt>
                <c:pt idx="3">
                  <c:v>8.9084999999999998E-3</c:v>
                </c:pt>
                <c:pt idx="4">
                  <c:v>1.2409999999999999E-2</c:v>
                </c:pt>
                <c:pt idx="5">
                  <c:v>1.5337E-2</c:v>
                </c:pt>
                <c:pt idx="6">
                  <c:v>1.7347000000000001E-2</c:v>
                </c:pt>
                <c:pt idx="7">
                  <c:v>1.8547999999999999E-2</c:v>
                </c:pt>
                <c:pt idx="8">
                  <c:v>1.9213000000000001E-2</c:v>
                </c:pt>
                <c:pt idx="9">
                  <c:v>1.9570000000000001E-2</c:v>
                </c:pt>
                <c:pt idx="10">
                  <c:v>1.9761999999999998E-2</c:v>
                </c:pt>
                <c:pt idx="11">
                  <c:v>1.9866000000000002E-2</c:v>
                </c:pt>
                <c:pt idx="12">
                  <c:v>1.9982E-2</c:v>
                </c:pt>
                <c:pt idx="13">
                  <c:v>1.9987999999999999E-2</c:v>
                </c:pt>
                <c:pt idx="14">
                  <c:v>1.9990999999999998E-2</c:v>
                </c:pt>
                <c:pt idx="15">
                  <c:v>1.9994000000000001E-2</c:v>
                </c:pt>
                <c:pt idx="16">
                  <c:v>1.9996E-2</c:v>
                </c:pt>
                <c:pt idx="17">
                  <c:v>1.9998999999999999E-2</c:v>
                </c:pt>
                <c:pt idx="18">
                  <c:v>1.9998999999999999E-2</c:v>
                </c:pt>
                <c:pt idx="19">
                  <c:v>1.9630999999999999E-2</c:v>
                </c:pt>
                <c:pt idx="20">
                  <c:v>1.9300000000000001E-2</c:v>
                </c:pt>
                <c:pt idx="21">
                  <c:v>1.9068999999999999E-2</c:v>
                </c:pt>
                <c:pt idx="22">
                  <c:v>1.8904000000000001E-2</c:v>
                </c:pt>
                <c:pt idx="23">
                  <c:v>1.8790999999999999E-2</c:v>
                </c:pt>
                <c:pt idx="24">
                  <c:v>1.8720000000000001E-2</c:v>
                </c:pt>
                <c:pt idx="25">
                  <c:v>1.8610000000000002E-2</c:v>
                </c:pt>
                <c:pt idx="26">
                  <c:v>1.7925E-2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(3)Ga[1]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1.1933E-35</c:v>
                </c:pt>
                <c:pt idx="17">
                  <c:v>1.3674000000000001E-9</c:v>
                </c:pt>
                <c:pt idx="18">
                  <c:v>2.8976999999999998E-6</c:v>
                </c:pt>
                <c:pt idx="19">
                  <c:v>0.10798000000000001</c:v>
                </c:pt>
                <c:pt idx="20">
                  <c:v>0.18587999999999999</c:v>
                </c:pt>
                <c:pt idx="21">
                  <c:v>0.22414000000000001</c:v>
                </c:pt>
                <c:pt idx="22">
                  <c:v>0.23968</c:v>
                </c:pt>
                <c:pt idx="23">
                  <c:v>0.24073</c:v>
                </c:pt>
                <c:pt idx="24">
                  <c:v>0.23275000000000001</c:v>
                </c:pt>
                <c:pt idx="25">
                  <c:v>0.23194000000000001</c:v>
                </c:pt>
                <c:pt idx="26">
                  <c:v>0.25752000000000003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(3)Ge[1]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686.1</c:v>
                </c:pt>
                <c:pt idx="14">
                  <c:v>702.7</c:v>
                </c:pt>
                <c:pt idx="15">
                  <c:v>719.2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1.2666E-11</c:v>
                </c:pt>
                <c:pt idx="18">
                  <c:v>1.9420000000000001E-8</c:v>
                </c:pt>
                <c:pt idx="19">
                  <c:v>7.3711000000000002E-4</c:v>
                </c:pt>
                <c:pt idx="20">
                  <c:v>1.3998999999999999E-3</c:v>
                </c:pt>
                <c:pt idx="21">
                  <c:v>1.8615000000000001E-3</c:v>
                </c:pt>
                <c:pt idx="22">
                  <c:v>2.1911999999999999E-3</c:v>
                </c:pt>
                <c:pt idx="23">
                  <c:v>2.4169999999999999E-3</c:v>
                </c:pt>
                <c:pt idx="24">
                  <c:v>2.5601999999999999E-3</c:v>
                </c:pt>
                <c:pt idx="25">
                  <c:v>2.7794999999999999E-3</c:v>
                </c:pt>
                <c:pt idx="26">
                  <c:v>4.1501000000000003E-3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0.11642</c:v>
                      </c:pt>
                      <c:pt idx="1">
                        <c:v>0.11049</c:v>
                      </c:pt>
                      <c:pt idx="2">
                        <c:v>0.10738</c:v>
                      </c:pt>
                      <c:pt idx="3">
                        <c:v>0.10079</c:v>
                      </c:pt>
                      <c:pt idx="4">
                        <c:v>9.8310999999999996E-2</c:v>
                      </c:pt>
                      <c:pt idx="5">
                        <c:v>9.6328999999999998E-2</c:v>
                      </c:pt>
                      <c:pt idx="6">
                        <c:v>9.5014000000000001E-2</c:v>
                      </c:pt>
                      <c:pt idx="7">
                        <c:v>9.4245999999999996E-2</c:v>
                      </c:pt>
                      <c:pt idx="8">
                        <c:v>9.3825000000000006E-2</c:v>
                      </c:pt>
                      <c:pt idx="9">
                        <c:v>9.3599000000000002E-2</c:v>
                      </c:pt>
                      <c:pt idx="10">
                        <c:v>9.3467999999999996E-2</c:v>
                      </c:pt>
                      <c:pt idx="11">
                        <c:v>9.3354000000000006E-2</c:v>
                      </c:pt>
                      <c:pt idx="12">
                        <c:v>8.0255999999999994E-2</c:v>
                      </c:pt>
                      <c:pt idx="13">
                        <c:v>5.9944999999999998E-2</c:v>
                      </c:pt>
                      <c:pt idx="14">
                        <c:v>3.4053E-2</c:v>
                      </c:pt>
                      <c:pt idx="15">
                        <c:v>1.5226999999999999E-2</c:v>
                      </c:pt>
                      <c:pt idx="16">
                        <c:v>5.8774999999999999E-3</c:v>
                      </c:pt>
                      <c:pt idx="17">
                        <c:v>1.0428E-4</c:v>
                      </c:pt>
                      <c:pt idx="18">
                        <c:v>3.9379999999999999E-5</c:v>
                      </c:pt>
                      <c:pt idx="19">
                        <c:v>1.2387E-5</c:v>
                      </c:pt>
                      <c:pt idx="20">
                        <c:v>3.0448999999999998E-6</c:v>
                      </c:pt>
                      <c:pt idx="21">
                        <c:v>6.8110000000000003E-7</c:v>
                      </c:pt>
                      <c:pt idx="22">
                        <c:v>1.4919E-7</c:v>
                      </c:pt>
                      <c:pt idx="23">
                        <c:v>3.3084E-8</c:v>
                      </c:pt>
                      <c:pt idx="24">
                        <c:v>7.5304999999999992E-9</c:v>
                      </c:pt>
                      <c:pt idx="25">
                        <c:v>1.7680999999999999E-9</c:v>
                      </c:pt>
                      <c:pt idx="26">
                        <c:v>7.4075999999999993E-12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3.2264999999999999E-31</c:v>
                      </c:pt>
                      <c:pt idx="4">
                        <c:v>3.0614E-29</c:v>
                      </c:pt>
                      <c:pt idx="5">
                        <c:v>2.3156E-27</c:v>
                      </c:pt>
                      <c:pt idx="6">
                        <c:v>1.4259E-25</c:v>
                      </c:pt>
                      <c:pt idx="7">
                        <c:v>7.1894999999999998E-24</c:v>
                      </c:pt>
                      <c:pt idx="8">
                        <c:v>2.9820999999999999E-22</c:v>
                      </c:pt>
                      <c:pt idx="9">
                        <c:v>1.0256000000000001E-20</c:v>
                      </c:pt>
                      <c:pt idx="10">
                        <c:v>2.9554999999999999E-19</c:v>
                      </c:pt>
                      <c:pt idx="11">
                        <c:v>7.2146000000000001E-18</c:v>
                      </c:pt>
                      <c:pt idx="12">
                        <c:v>4.6266999999999999E-13</c:v>
                      </c:pt>
                      <c:pt idx="13">
                        <c:v>3.5571999999999998E-12</c:v>
                      </c:pt>
                      <c:pt idx="14">
                        <c:v>1.7772000000000001E-11</c:v>
                      </c:pt>
                      <c:pt idx="15">
                        <c:v>6.7363E-11</c:v>
                      </c:pt>
                      <c:pt idx="16">
                        <c:v>2.2021999999999999E-10</c:v>
                      </c:pt>
                      <c:pt idx="17">
                        <c:v>1.2458999999999999E-8</c:v>
                      </c:pt>
                      <c:pt idx="18">
                        <c:v>3.0061E-8</c:v>
                      </c:pt>
                      <c:pt idx="19">
                        <c:v>4.2205E-8</c:v>
                      </c:pt>
                      <c:pt idx="20">
                        <c:v>4.7997999999999997E-8</c:v>
                      </c:pt>
                      <c:pt idx="21">
                        <c:v>5.1652999999999999E-8</c:v>
                      </c:pt>
                      <c:pt idx="22">
                        <c:v>5.3982E-8</c:v>
                      </c:pt>
                      <c:pt idx="23">
                        <c:v>5.5473999999999998E-8</c:v>
                      </c:pt>
                      <c:pt idx="24">
                        <c:v>5.6379999999999999E-8</c:v>
                      </c:pt>
                      <c:pt idx="25">
                        <c:v>5.6785000000000002E-8</c:v>
                      </c:pt>
                      <c:pt idx="26">
                        <c:v>5.4696999999999997E-8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1.5161999999999999E-35</c:v>
                      </c:pt>
                      <c:pt idx="4">
                        <c:v>1.0984E-33</c:v>
                      </c:pt>
                      <c:pt idx="5">
                        <c:v>6.3537000000000004E-32</c:v>
                      </c:pt>
                      <c:pt idx="6">
                        <c:v>2.9957999999999999E-30</c:v>
                      </c:pt>
                      <c:pt idx="7">
                        <c:v>1.1618000000000001E-28</c:v>
                      </c:pt>
                      <c:pt idx="8">
                        <c:v>3.7337000000000002E-27</c:v>
                      </c:pt>
                      <c:pt idx="9">
                        <c:v>1.004E-25</c:v>
                      </c:pt>
                      <c:pt idx="10">
                        <c:v>2.2842E-24</c:v>
                      </c:pt>
                      <c:pt idx="11">
                        <c:v>4.4455000000000002E-23</c:v>
                      </c:pt>
                      <c:pt idx="12">
                        <c:v>1.368E-18</c:v>
                      </c:pt>
                      <c:pt idx="13">
                        <c:v>1.0225999999999999E-17</c:v>
                      </c:pt>
                      <c:pt idx="14">
                        <c:v>5.7221000000000001E-17</c:v>
                      </c:pt>
                      <c:pt idx="15">
                        <c:v>2.7408999999999998E-16</c:v>
                      </c:pt>
                      <c:pt idx="16">
                        <c:v>1.2218000000000001E-15</c:v>
                      </c:pt>
                      <c:pt idx="17">
                        <c:v>2.7867000000000001E-13</c:v>
                      </c:pt>
                      <c:pt idx="18">
                        <c:v>9.4633999999999998E-13</c:v>
                      </c:pt>
                      <c:pt idx="19">
                        <c:v>2.2149000000000002E-12</c:v>
                      </c:pt>
                      <c:pt idx="20">
                        <c:v>4.6553000000000002E-12</c:v>
                      </c:pt>
                      <c:pt idx="21">
                        <c:v>9.5106000000000003E-12</c:v>
                      </c:pt>
                      <c:pt idx="22">
                        <c:v>1.8917000000000001E-11</c:v>
                      </c:pt>
                      <c:pt idx="23">
                        <c:v>3.6692999999999998E-11</c:v>
                      </c:pt>
                      <c:pt idx="24">
                        <c:v>6.9500000000000006E-11</c:v>
                      </c:pt>
                      <c:pt idx="25">
                        <c:v>1.2864000000000001E-10</c:v>
                      </c:pt>
                      <c:pt idx="26">
                        <c:v>1.2282E-9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-19080</c:v>
                      </c:pt>
                      <c:pt idx="1">
                        <c:v>-19070</c:v>
                      </c:pt>
                      <c:pt idx="2">
                        <c:v>-19150</c:v>
                      </c:pt>
                      <c:pt idx="3">
                        <c:v>-19250</c:v>
                      </c:pt>
                      <c:pt idx="4">
                        <c:v>-19270</c:v>
                      </c:pt>
                      <c:pt idx="5">
                        <c:v>-19300</c:v>
                      </c:pt>
                      <c:pt idx="6">
                        <c:v>-19330</c:v>
                      </c:pt>
                      <c:pt idx="7">
                        <c:v>-19360</c:v>
                      </c:pt>
                      <c:pt idx="8">
                        <c:v>-19390</c:v>
                      </c:pt>
                      <c:pt idx="9">
                        <c:v>-19420</c:v>
                      </c:pt>
                      <c:pt idx="10">
                        <c:v>-19460</c:v>
                      </c:pt>
                      <c:pt idx="11">
                        <c:v>-19490</c:v>
                      </c:pt>
                      <c:pt idx="12">
                        <c:v>-19580</c:v>
                      </c:pt>
                      <c:pt idx="13">
                        <c:v>-19540</c:v>
                      </c:pt>
                      <c:pt idx="14">
                        <c:v>-19470</c:v>
                      </c:pt>
                      <c:pt idx="15">
                        <c:v>-19420</c:v>
                      </c:pt>
                      <c:pt idx="16">
                        <c:v>-19410</c:v>
                      </c:pt>
                      <c:pt idx="17">
                        <c:v>-19510</c:v>
                      </c:pt>
                      <c:pt idx="18">
                        <c:v>-19550</c:v>
                      </c:pt>
                      <c:pt idx="19">
                        <c:v>-19580</c:v>
                      </c:pt>
                      <c:pt idx="20">
                        <c:v>-19610</c:v>
                      </c:pt>
                      <c:pt idx="21">
                        <c:v>-19640</c:v>
                      </c:pt>
                      <c:pt idx="22">
                        <c:v>-19670</c:v>
                      </c:pt>
                      <c:pt idx="23">
                        <c:v>-19700</c:v>
                      </c:pt>
                      <c:pt idx="24">
                        <c:v>-19730</c:v>
                      </c:pt>
                      <c:pt idx="25">
                        <c:v>-19760</c:v>
                      </c:pt>
                      <c:pt idx="26">
                        <c:v>-19880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-65990</c:v>
                      </c:pt>
                      <c:pt idx="1">
                        <c:v>-51790</c:v>
                      </c:pt>
                      <c:pt idx="2">
                        <c:v>-39260</c:v>
                      </c:pt>
                      <c:pt idx="3">
                        <c:v>-30180</c:v>
                      </c:pt>
                      <c:pt idx="4">
                        <c:v>-28280</c:v>
                      </c:pt>
                      <c:pt idx="5">
                        <c:v>-26450</c:v>
                      </c:pt>
                      <c:pt idx="6">
                        <c:v>-24700</c:v>
                      </c:pt>
                      <c:pt idx="7">
                        <c:v>-23010</c:v>
                      </c:pt>
                      <c:pt idx="8">
                        <c:v>-21400</c:v>
                      </c:pt>
                      <c:pt idx="9">
                        <c:v>-19860</c:v>
                      </c:pt>
                      <c:pt idx="10">
                        <c:v>-18390</c:v>
                      </c:pt>
                      <c:pt idx="11">
                        <c:v>-16990</c:v>
                      </c:pt>
                      <c:pt idx="12">
                        <c:v>-12140</c:v>
                      </c:pt>
                      <c:pt idx="13">
                        <c:v>-11270</c:v>
                      </c:pt>
                      <c:pt idx="14">
                        <c:v>-10610</c:v>
                      </c:pt>
                      <c:pt idx="15">
                        <c:v>-10070</c:v>
                      </c:pt>
                      <c:pt idx="16">
                        <c:v>-9596</c:v>
                      </c:pt>
                      <c:pt idx="17">
                        <c:v>-7969</c:v>
                      </c:pt>
                      <c:pt idx="18">
                        <c:v>-7610</c:v>
                      </c:pt>
                      <c:pt idx="19">
                        <c:v>-7591</c:v>
                      </c:pt>
                      <c:pt idx="20">
                        <c:v>-7648</c:v>
                      </c:pt>
                      <c:pt idx="21">
                        <c:v>-7704</c:v>
                      </c:pt>
                      <c:pt idx="22">
                        <c:v>-7760</c:v>
                      </c:pt>
                      <c:pt idx="23">
                        <c:v>-7814</c:v>
                      </c:pt>
                      <c:pt idx="24">
                        <c:v>-7867</c:v>
                      </c:pt>
                      <c:pt idx="25">
                        <c:v>-7920</c:v>
                      </c:pt>
                      <c:pt idx="26">
                        <c:v>-8124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-17380</c:v>
                      </c:pt>
                      <c:pt idx="1">
                        <c:v>-13440</c:v>
                      </c:pt>
                      <c:pt idx="2">
                        <c:v>-8996</c:v>
                      </c:pt>
                      <c:pt idx="3">
                        <c:v>-6574</c:v>
                      </c:pt>
                      <c:pt idx="4">
                        <c:v>-6359</c:v>
                      </c:pt>
                      <c:pt idx="5">
                        <c:v>-6246</c:v>
                      </c:pt>
                      <c:pt idx="6">
                        <c:v>-6201</c:v>
                      </c:pt>
                      <c:pt idx="7">
                        <c:v>-6196</c:v>
                      </c:pt>
                      <c:pt idx="8">
                        <c:v>-6214</c:v>
                      </c:pt>
                      <c:pt idx="9">
                        <c:v>-6242</c:v>
                      </c:pt>
                      <c:pt idx="10">
                        <c:v>-6277</c:v>
                      </c:pt>
                      <c:pt idx="11">
                        <c:v>-6315</c:v>
                      </c:pt>
                      <c:pt idx="12">
                        <c:v>-6666</c:v>
                      </c:pt>
                      <c:pt idx="13">
                        <c:v>-6979</c:v>
                      </c:pt>
                      <c:pt idx="14">
                        <c:v>-7351</c:v>
                      </c:pt>
                      <c:pt idx="15">
                        <c:v>-7644</c:v>
                      </c:pt>
                      <c:pt idx="16">
                        <c:v>-7824</c:v>
                      </c:pt>
                      <c:pt idx="17">
                        <c:v>-8111</c:v>
                      </c:pt>
                      <c:pt idx="18">
                        <c:v>-8167</c:v>
                      </c:pt>
                      <c:pt idx="19">
                        <c:v>-8218</c:v>
                      </c:pt>
                      <c:pt idx="20">
                        <c:v>-8261</c:v>
                      </c:pt>
                      <c:pt idx="21">
                        <c:v>-8301</c:v>
                      </c:pt>
                      <c:pt idx="22">
                        <c:v>-8339</c:v>
                      </c:pt>
                      <c:pt idx="23">
                        <c:v>-8375</c:v>
                      </c:pt>
                      <c:pt idx="24">
                        <c:v>-8410</c:v>
                      </c:pt>
                      <c:pt idx="25">
                        <c:v>-8448</c:v>
                      </c:pt>
                      <c:pt idx="26">
                        <c:v>-8615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-23570</c:v>
                      </c:pt>
                      <c:pt idx="1">
                        <c:v>-21380</c:v>
                      </c:pt>
                      <c:pt idx="2">
                        <c:v>-22030</c:v>
                      </c:pt>
                      <c:pt idx="3">
                        <c:v>-22650</c:v>
                      </c:pt>
                      <c:pt idx="4">
                        <c:v>-22810</c:v>
                      </c:pt>
                      <c:pt idx="5">
                        <c:v>-23000</c:v>
                      </c:pt>
                      <c:pt idx="6">
                        <c:v>-23210</c:v>
                      </c:pt>
                      <c:pt idx="7">
                        <c:v>-23430</c:v>
                      </c:pt>
                      <c:pt idx="8">
                        <c:v>-23660</c:v>
                      </c:pt>
                      <c:pt idx="9">
                        <c:v>-23900</c:v>
                      </c:pt>
                      <c:pt idx="10">
                        <c:v>-24140</c:v>
                      </c:pt>
                      <c:pt idx="11">
                        <c:v>-24370</c:v>
                      </c:pt>
                      <c:pt idx="12">
                        <c:v>-25240</c:v>
                      </c:pt>
                      <c:pt idx="13">
                        <c:v>-25360</c:v>
                      </c:pt>
                      <c:pt idx="14">
                        <c:v>-25470</c:v>
                      </c:pt>
                      <c:pt idx="15">
                        <c:v>-25600</c:v>
                      </c:pt>
                      <c:pt idx="16">
                        <c:v>-25770</c:v>
                      </c:pt>
                      <c:pt idx="17">
                        <c:v>-26620</c:v>
                      </c:pt>
                      <c:pt idx="18">
                        <c:v>-26830</c:v>
                      </c:pt>
                      <c:pt idx="19">
                        <c:v>-26900</c:v>
                      </c:pt>
                      <c:pt idx="20">
                        <c:v>-27010</c:v>
                      </c:pt>
                      <c:pt idx="21">
                        <c:v>-27170</c:v>
                      </c:pt>
                      <c:pt idx="22">
                        <c:v>-27350</c:v>
                      </c:pt>
                      <c:pt idx="23">
                        <c:v>-27540</c:v>
                      </c:pt>
                      <c:pt idx="24">
                        <c:v>-27730</c:v>
                      </c:pt>
                      <c:pt idx="25">
                        <c:v>-27920</c:v>
                      </c:pt>
                      <c:pt idx="26">
                        <c:v>-28700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-206.29899402735006</c:v>
                </c:pt>
                <c:pt idx="1">
                  <c:v>-286.48105959359992</c:v>
                </c:pt>
                <c:pt idx="2">
                  <c:v>-375.67713726490507</c:v>
                </c:pt>
                <c:pt idx="3">
                  <c:v>-472.17286053570007</c:v>
                </c:pt>
                <c:pt idx="4">
                  <c:v>-574.7860619062501</c:v>
                </c:pt>
                <c:pt idx="5">
                  <c:v>-682.79221925550007</c:v>
                </c:pt>
                <c:pt idx="6">
                  <c:v>-799.99485631560003</c:v>
                </c:pt>
                <c:pt idx="7">
                  <c:v>-929.75613488940019</c:v>
                </c:pt>
                <c:pt idx="8">
                  <c:v>-1067.4572304981002</c:v>
                </c:pt>
                <c:pt idx="9">
                  <c:v>-1211.4022412283</c:v>
                </c:pt>
                <c:pt idx="10">
                  <c:v>-1364.7996785857501</c:v>
                </c:pt>
                <c:pt idx="11">
                  <c:v>-1529.0531790000002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2.2242000000000002E-8</c:v>
                </c:pt>
                <c:pt idx="1">
                  <c:v>2.2247999999999998E-8</c:v>
                </c:pt>
                <c:pt idx="2">
                  <c:v>2.3671999999999998E-8</c:v>
                </c:pt>
                <c:pt idx="3">
                  <c:v>3.2255E-8</c:v>
                </c:pt>
                <c:pt idx="4">
                  <c:v>2.6537000000000001E-8</c:v>
                </c:pt>
                <c:pt idx="5">
                  <c:v>3.1168999999999999E-8</c:v>
                </c:pt>
                <c:pt idx="6">
                  <c:v>8.4434E-8</c:v>
                </c:pt>
                <c:pt idx="7">
                  <c:v>1.8601999999999999E-7</c:v>
                </c:pt>
                <c:pt idx="8">
                  <c:v>3.1254000000000002E-7</c:v>
                </c:pt>
                <c:pt idx="9">
                  <c:v>2.2541999999999999E-7</c:v>
                </c:pt>
                <c:pt idx="10">
                  <c:v>7.5778000000000005E-8</c:v>
                </c:pt>
                <c:pt idx="11">
                  <c:v>1.4534E-8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4.1284999999999998E-19</c:v>
                </c:pt>
                <c:pt idx="2">
                  <c:v>4.7402E-15</c:v>
                </c:pt>
                <c:pt idx="3">
                  <c:v>3.3996000000000002E-12</c:v>
                </c:pt>
                <c:pt idx="4">
                  <c:v>4.5457000000000001E-10</c:v>
                </c:pt>
                <c:pt idx="5">
                  <c:v>2.3800999999999999E-8</c:v>
                </c:pt>
                <c:pt idx="6">
                  <c:v>7.5532000000000002E-7</c:v>
                </c:pt>
                <c:pt idx="7">
                  <c:v>1.1523E-5</c:v>
                </c:pt>
                <c:pt idx="8">
                  <c:v>9.4486000000000003E-5</c:v>
                </c:pt>
                <c:pt idx="9">
                  <c:v>4.8326E-4</c:v>
                </c:pt>
                <c:pt idx="10">
                  <c:v>1.4422E-3</c:v>
                </c:pt>
                <c:pt idx="11">
                  <c:v>2.5249999999999999E-3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1.0815E-17</c:v>
                </c:pt>
                <c:pt idx="2">
                  <c:v>4.5689999999999999E-14</c:v>
                </c:pt>
                <c:pt idx="3">
                  <c:v>1.5355000000000002E-11</c:v>
                </c:pt>
                <c:pt idx="4">
                  <c:v>1.1383999999999999E-9</c:v>
                </c:pt>
                <c:pt idx="5">
                  <c:v>3.8416999999999999E-8</c:v>
                </c:pt>
                <c:pt idx="6">
                  <c:v>9.1559000000000001E-7</c:v>
                </c:pt>
                <c:pt idx="7">
                  <c:v>1.0886999999999999E-5</c:v>
                </c:pt>
                <c:pt idx="8">
                  <c:v>6.9212000000000001E-5</c:v>
                </c:pt>
                <c:pt idx="9">
                  <c:v>2.6913000000000002E-4</c:v>
                </c:pt>
                <c:pt idx="10">
                  <c:v>5.6862000000000004E-4</c:v>
                </c:pt>
                <c:pt idx="11">
                  <c:v>6.5127000000000002E-4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8.2633000000000005E-20</c:v>
                </c:pt>
                <c:pt idx="1">
                  <c:v>1.0203E-14</c:v>
                </c:pt>
                <c:pt idx="2">
                  <c:v>1.9250000000000001E-11</c:v>
                </c:pt>
                <c:pt idx="3">
                  <c:v>3.5040999999999999E-9</c:v>
                </c:pt>
                <c:pt idx="4">
                  <c:v>1.6116E-7</c:v>
                </c:pt>
                <c:pt idx="5">
                  <c:v>3.8342999999999999E-6</c:v>
                </c:pt>
                <c:pt idx="6">
                  <c:v>7.3837999999999993E-5</c:v>
                </c:pt>
                <c:pt idx="7">
                  <c:v>7.2721000000000005E-4</c:v>
                </c:pt>
                <c:pt idx="8">
                  <c:v>3.7735999999999998E-3</c:v>
                </c:pt>
                <c:pt idx="9">
                  <c:v>1.1657000000000001E-2</c:v>
                </c:pt>
                <c:pt idx="10">
                  <c:v>1.8113000000000001E-2</c:v>
                </c:pt>
                <c:pt idx="11">
                  <c:v>1.4031E-2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5.6344999999999999E-13</c:v>
                </c:pt>
                <c:pt idx="2">
                  <c:v>2.7184000000000001E-10</c:v>
                </c:pt>
                <c:pt idx="3">
                  <c:v>1.7900999999999999E-8</c:v>
                </c:pt>
                <c:pt idx="4">
                  <c:v>3.7619999999999999E-7</c:v>
                </c:pt>
                <c:pt idx="5">
                  <c:v>4.9656000000000004E-6</c:v>
                </c:pt>
                <c:pt idx="6">
                  <c:v>6.3712000000000003E-5</c:v>
                </c:pt>
                <c:pt idx="7">
                  <c:v>4.4351999999999998E-4</c:v>
                </c:pt>
                <c:pt idx="8">
                  <c:v>1.6451E-3</c:v>
                </c:pt>
                <c:pt idx="9">
                  <c:v>3.6072999999999999E-3</c:v>
                </c:pt>
                <c:pt idx="10">
                  <c:v>3.7415999999999999E-3</c:v>
                </c:pt>
                <c:pt idx="11">
                  <c:v>1.802E-3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8.4466000000000006E-14</c:v>
                </c:pt>
                <c:pt idx="2">
                  <c:v>5.5933000000000001E-11</c:v>
                </c:pt>
                <c:pt idx="3">
                  <c:v>4.4589999999999996E-9</c:v>
                </c:pt>
                <c:pt idx="4">
                  <c:v>1.064E-7</c:v>
                </c:pt>
                <c:pt idx="5">
                  <c:v>1.5854000000000001E-6</c:v>
                </c:pt>
                <c:pt idx="6">
                  <c:v>2.3963000000000001E-5</c:v>
                </c:pt>
                <c:pt idx="7">
                  <c:v>1.8815999999999999E-4</c:v>
                </c:pt>
                <c:pt idx="8">
                  <c:v>7.3693999999999995E-4</c:v>
                </c:pt>
                <c:pt idx="9">
                  <c:v>1.5964E-3</c:v>
                </c:pt>
                <c:pt idx="10">
                  <c:v>1.4679999999999999E-3</c:v>
                </c:pt>
                <c:pt idx="11">
                  <c:v>5.6232000000000005E-4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2.3718E-15</c:v>
                </c:pt>
                <c:pt idx="2">
                  <c:v>2.0010000000000001E-12</c:v>
                </c:pt>
                <c:pt idx="3">
                  <c:v>1.8312999999999999E-10</c:v>
                </c:pt>
                <c:pt idx="4">
                  <c:v>4.7675000000000003E-9</c:v>
                </c:pt>
                <c:pt idx="5">
                  <c:v>7.7751000000000006E-8</c:v>
                </c:pt>
                <c:pt idx="6">
                  <c:v>1.3506E-6</c:v>
                </c:pt>
                <c:pt idx="7">
                  <c:v>1.1721E-5</c:v>
                </c:pt>
                <c:pt idx="8">
                  <c:v>4.7664999999999998E-5</c:v>
                </c:pt>
                <c:pt idx="9">
                  <c:v>1.0056E-4</c:v>
                </c:pt>
                <c:pt idx="10">
                  <c:v>8.0994000000000004E-5</c:v>
                </c:pt>
                <c:pt idx="11">
                  <c:v>2.4414E-5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4.4898999999999999E-15</c:v>
                </c:pt>
                <c:pt idx="2">
                  <c:v>1.0205E-11</c:v>
                </c:pt>
                <c:pt idx="3">
                  <c:v>2.4292999999999999E-9</c:v>
                </c:pt>
                <c:pt idx="4">
                  <c:v>1.4644000000000001E-7</c:v>
                </c:pt>
                <c:pt idx="5">
                  <c:v>4.0779999999999997E-6</c:v>
                </c:pt>
                <c:pt idx="6">
                  <c:v>7.3652000000000006E-5</c:v>
                </c:pt>
                <c:pt idx="7">
                  <c:v>7.2294000000000004E-4</c:v>
                </c:pt>
                <c:pt idx="8">
                  <c:v>4.3204000000000003E-3</c:v>
                </c:pt>
                <c:pt idx="9">
                  <c:v>1.7999999999999999E-2</c:v>
                </c:pt>
                <c:pt idx="10">
                  <c:v>5.0483E-2</c:v>
                </c:pt>
                <c:pt idx="11">
                  <c:v>9.5179E-2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5.7083999999999999E-31</c:v>
                </c:pt>
                <c:pt idx="2">
                  <c:v>3.8909000000000002E-25</c:v>
                </c:pt>
                <c:pt idx="3">
                  <c:v>5.8823999999999999E-21</c:v>
                </c:pt>
                <c:pt idx="4">
                  <c:v>8.3353999999999996E-18</c:v>
                </c:pt>
                <c:pt idx="5">
                  <c:v>2.6978000000000002E-15</c:v>
                </c:pt>
                <c:pt idx="6">
                  <c:v>3.2924999999999999E-13</c:v>
                </c:pt>
                <c:pt idx="7">
                  <c:v>1.5834000000000001E-11</c:v>
                </c:pt>
                <c:pt idx="8">
                  <c:v>3.7623E-10</c:v>
                </c:pt>
                <c:pt idx="9">
                  <c:v>5.3875000000000003E-9</c:v>
                </c:pt>
                <c:pt idx="10">
                  <c:v>4.8953000000000002E-8</c:v>
                </c:pt>
                <c:pt idx="11">
                  <c:v>2.9139999999999998E-7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2.4508999999999998E-10</c:v>
                </c:pt>
                <c:pt idx="1">
                  <c:v>2.5343000000000001E-7</c:v>
                </c:pt>
                <c:pt idx="2">
                  <c:v>2.336E-5</c:v>
                </c:pt>
                <c:pt idx="3">
                  <c:v>5.4794999999999996E-4</c:v>
                </c:pt>
                <c:pt idx="4">
                  <c:v>5.5066999999999998E-3</c:v>
                </c:pt>
                <c:pt idx="5">
                  <c:v>3.0283000000000001E-2</c:v>
                </c:pt>
                <c:pt idx="6">
                  <c:v>7.9266000000000003E-2</c:v>
                </c:pt>
                <c:pt idx="7">
                  <c:v>0.10901</c:v>
                </c:pt>
                <c:pt idx="8">
                  <c:v>0.12328</c:v>
                </c:pt>
                <c:pt idx="9">
                  <c:v>0.1318</c:v>
                </c:pt>
                <c:pt idx="10">
                  <c:v>0.13641</c:v>
                </c:pt>
                <c:pt idx="11">
                  <c:v>0.13813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F8F-421C-B882-6FC6CED20D0E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0.28000000000000003</c:v>
                      </c:pt>
                      <c:pt idx="1">
                        <c:v>0.28000000000000003</c:v>
                      </c:pt>
                      <c:pt idx="2">
                        <c:v>0.27994999999999998</c:v>
                      </c:pt>
                      <c:pt idx="3">
                        <c:v>0.27889999999999998</c:v>
                      </c:pt>
                      <c:pt idx="4">
                        <c:v>0.26899000000000001</c:v>
                      </c:pt>
                      <c:pt idx="5">
                        <c:v>0.21942999999999999</c:v>
                      </c:pt>
                      <c:pt idx="6">
                        <c:v>0.12146999999999999</c:v>
                      </c:pt>
                      <c:pt idx="7">
                        <c:v>6.1982000000000002E-2</c:v>
                      </c:pt>
                      <c:pt idx="8">
                        <c:v>3.3440999999999999E-2</c:v>
                      </c:pt>
                      <c:pt idx="9">
                        <c:v>1.6393000000000001E-2</c:v>
                      </c:pt>
                      <c:pt idx="10">
                        <c:v>7.1728E-3</c:v>
                      </c:pt>
                      <c:pt idx="11">
                        <c:v>3.7469000000000001E-3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(l)SeCl]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0.47998000000000002</c:v>
                      </c:pt>
                      <c:pt idx="3">
                        <c:v>0.47944999999999999</c:v>
                      </c:pt>
                      <c:pt idx="4">
                        <c:v>0.47449000000000002</c:v>
                      </c:pt>
                      <c:pt idx="5">
                        <c:v>0.44964999999999999</c:v>
                      </c:pt>
                      <c:pt idx="6">
                        <c:v>0.39965000000000001</c:v>
                      </c:pt>
                      <c:pt idx="7">
                        <c:v>0.36176000000000003</c:v>
                      </c:pt>
                      <c:pt idx="8">
                        <c:v>0.31324000000000002</c:v>
                      </c:pt>
                      <c:pt idx="9">
                        <c:v>0.21776000000000001</c:v>
                      </c:pt>
                      <c:pt idx="10">
                        <c:v>0.11208</c:v>
                      </c:pt>
                      <c:pt idx="11">
                        <c:v>5.6237000000000002E-2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-19</c:v>
                      </c:pt>
                      <c:pt idx="5">
                        <c:v>-19.25</c:v>
                      </c:pt>
                      <c:pt idx="6">
                        <c:v>-19.579999999999998</c:v>
                      </c:pt>
                      <c:pt idx="7">
                        <c:v>-19.82</c:v>
                      </c:pt>
                      <c:pt idx="8">
                        <c:v>-20.03</c:v>
                      </c:pt>
                      <c:pt idx="9">
                        <c:v>-20.25</c:v>
                      </c:pt>
                      <c:pt idx="10">
                        <c:v>-20.49</c:v>
                      </c:pt>
                      <c:pt idx="11">
                        <c:v>-20.7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-5.7169999999999996</c:v>
                      </c:pt>
                      <c:pt idx="1">
                        <c:v>-6.2089999999999996</c:v>
                      </c:pt>
                      <c:pt idx="2">
                        <c:v>-6.649</c:v>
                      </c:pt>
                      <c:pt idx="3">
                        <c:v>-7.0430000000000001</c:v>
                      </c:pt>
                      <c:pt idx="4">
                        <c:v>-7.4130000000000003</c:v>
                      </c:pt>
                      <c:pt idx="5">
                        <c:v>-7.835</c:v>
                      </c:pt>
                      <c:pt idx="6">
                        <c:v>-8.4830000000000005</c:v>
                      </c:pt>
                      <c:pt idx="7">
                        <c:v>-9.234</c:v>
                      </c:pt>
                      <c:pt idx="8">
                        <c:v>-9.9160000000000004</c:v>
                      </c:pt>
                      <c:pt idx="9">
                        <c:v>-10.51</c:v>
                      </c:pt>
                      <c:pt idx="10">
                        <c:v>-11.01</c:v>
                      </c:pt>
                      <c:pt idx="11">
                        <c:v>-11.39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5.5659999999999998</c:v>
                      </c:pt>
                      <c:pt idx="1">
                        <c:v>2.508</c:v>
                      </c:pt>
                      <c:pt idx="2">
                        <c:v>0.3417</c:v>
                      </c:pt>
                      <c:pt idx="3">
                        <c:v>-1.292</c:v>
                      </c:pt>
                      <c:pt idx="4">
                        <c:v>-2.5640000000000001</c:v>
                      </c:pt>
                      <c:pt idx="5">
                        <c:v>-3.5169999999999999</c:v>
                      </c:pt>
                      <c:pt idx="6">
                        <c:v>-4.1639999999999997</c:v>
                      </c:pt>
                      <c:pt idx="7">
                        <c:v>-4.726</c:v>
                      </c:pt>
                      <c:pt idx="8">
                        <c:v>-5.1970000000000001</c:v>
                      </c:pt>
                      <c:pt idx="9">
                        <c:v>-5.4269999999999996</c:v>
                      </c:pt>
                      <c:pt idx="10">
                        <c:v>-5.3949999999999996</c:v>
                      </c:pt>
                      <c:pt idx="11">
                        <c:v>-5.3879999999999999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-5.0519999999999996</c:v>
                      </c:pt>
                      <c:pt idx="2">
                        <c:v>-5.44</c:v>
                      </c:pt>
                      <c:pt idx="3">
                        <c:v>-5.8230000000000004</c:v>
                      </c:pt>
                      <c:pt idx="4">
                        <c:v>-6.18</c:v>
                      </c:pt>
                      <c:pt idx="5">
                        <c:v>-6.476</c:v>
                      </c:pt>
                      <c:pt idx="6">
                        <c:v>-6.6790000000000003</c:v>
                      </c:pt>
                      <c:pt idx="7">
                        <c:v>-6.8860000000000001</c:v>
                      </c:pt>
                      <c:pt idx="8">
                        <c:v>-7.1260000000000003</c:v>
                      </c:pt>
                      <c:pt idx="9">
                        <c:v>-7.4080000000000004</c:v>
                      </c:pt>
                      <c:pt idx="10">
                        <c:v>-7.7750000000000004</c:v>
                      </c:pt>
                      <c:pt idx="11">
                        <c:v>-8.2319999999999993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Vapor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0.20002</c:v>
                      </c:pt>
                      <c:pt idx="3">
                        <c:v>0.20055000000000001</c:v>
                      </c:pt>
                      <c:pt idx="4">
                        <c:v>0.20551</c:v>
                      </c:pt>
                      <c:pt idx="5">
                        <c:v>0.2303</c:v>
                      </c:pt>
                      <c:pt idx="6">
                        <c:v>0.27950000000000003</c:v>
                      </c:pt>
                      <c:pt idx="7">
                        <c:v>0.31113000000000002</c:v>
                      </c:pt>
                      <c:pt idx="8">
                        <c:v>0.33396999999999999</c:v>
                      </c:pt>
                      <c:pt idx="9">
                        <c:v>0.36752000000000001</c:v>
                      </c:pt>
                      <c:pt idx="10">
                        <c:v>0.41231000000000001</c:v>
                      </c:pt>
                      <c:pt idx="11">
                        <c:v>0.45290000000000002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-206.29899402735006</c:v>
                </c:pt>
                <c:pt idx="1">
                  <c:v>-286.48105959359998</c:v>
                </c:pt>
                <c:pt idx="2">
                  <c:v>-375.63996342121601</c:v>
                </c:pt>
                <c:pt idx="3">
                  <c:v>-471.09991454664413</c:v>
                </c:pt>
                <c:pt idx="4">
                  <c:v>-561.86282418910787</c:v>
                </c:pt>
                <c:pt idx="5">
                  <c:v>-598.60449283738967</c:v>
                </c:pt>
                <c:pt idx="6">
                  <c:v>-538.12329083846294</c:v>
                </c:pt>
                <c:pt idx="7">
                  <c:v>-497.38080374523366</c:v>
                </c:pt>
                <c:pt idx="8">
                  <c:v>-461.93123099559637</c:v>
                </c:pt>
                <c:pt idx="9">
                  <c:v>-361.2236984799095</c:v>
                </c:pt>
                <c:pt idx="10">
                  <c:v>-226.38493400034997</c:v>
                </c:pt>
                <c:pt idx="11">
                  <c:v>-149.89799962593753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FLUID!$F$125:$AL$125</c:f>
              <c:numCache>
                <c:formatCode>General</c:formatCode>
                <c:ptCount val="33"/>
                <c:pt idx="0">
                  <c:v>-206.29899425182384</c:v>
                </c:pt>
                <c:pt idx="1">
                  <c:v>-286.48137175911586</c:v>
                </c:pt>
                <c:pt idx="2">
                  <c:v>-375.67684083503701</c:v>
                </c:pt>
                <c:pt idx="3">
                  <c:v>-472.16895411159925</c:v>
                </c:pt>
                <c:pt idx="4">
                  <c:v>-574.7894611365175</c:v>
                </c:pt>
                <c:pt idx="5">
                  <c:v>-682.78996617264556</c:v>
                </c:pt>
                <c:pt idx="6">
                  <c:v>-799.99651132833242</c:v>
                </c:pt>
                <c:pt idx="7">
                  <c:v>-929.76112310713347</c:v>
                </c:pt>
                <c:pt idx="8">
                  <c:v>-1067.4584156530577</c:v>
                </c:pt>
                <c:pt idx="9">
                  <c:v>-1211.3814677630351</c:v>
                </c:pt>
                <c:pt idx="10">
                  <c:v>-1364.7777713261794</c:v>
                </c:pt>
                <c:pt idx="11">
                  <c:v>-1529.0762285460314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FLUID!$B$114:$B$115</c:f>
              <c:numCache>
                <c:formatCode>0</c:formatCode>
                <c:ptCount val="2"/>
                <c:pt idx="0">
                  <c:v>-1529.0762285460314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-206.29899402735006</c:v>
                </c:pt>
                <c:pt idx="1">
                  <c:v>-286.48105959359992</c:v>
                </c:pt>
                <c:pt idx="2">
                  <c:v>-375.67713726490507</c:v>
                </c:pt>
                <c:pt idx="3">
                  <c:v>-472.17286053570007</c:v>
                </c:pt>
                <c:pt idx="4">
                  <c:v>-574.7860619062501</c:v>
                </c:pt>
                <c:pt idx="5">
                  <c:v>-682.79221925550007</c:v>
                </c:pt>
                <c:pt idx="6">
                  <c:v>-799.99485631560003</c:v>
                </c:pt>
                <c:pt idx="7">
                  <c:v>-929.75613488940019</c:v>
                </c:pt>
                <c:pt idx="8">
                  <c:v>-1067.4572304981002</c:v>
                </c:pt>
                <c:pt idx="9">
                  <c:v>-1211.4022412283</c:v>
                </c:pt>
                <c:pt idx="10">
                  <c:v>-1364.7996785857501</c:v>
                </c:pt>
                <c:pt idx="11">
                  <c:v>-1529.0531790000002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-2.2447376935579382E-7</c:v>
                      </c:pt>
                      <c:pt idx="1">
                        <c:v>-3.1216551587006676E-4</c:v>
                      </c:pt>
                      <c:pt idx="2">
                        <c:v>-3.6877413821002333E-2</c:v>
                      </c:pt>
                      <c:pt idx="3">
                        <c:v>-1.0690395649551332</c:v>
                      </c:pt>
                      <c:pt idx="4">
                        <c:v>-12.926636947409618</c:v>
                      </c:pt>
                      <c:pt idx="5">
                        <c:v>-84.18547333525585</c:v>
                      </c:pt>
                      <c:pt idx="6">
                        <c:v>-261.87322048986942</c:v>
                      </c:pt>
                      <c:pt idx="7">
                        <c:v>-432.38031936189975</c:v>
                      </c:pt>
                      <c:pt idx="8">
                        <c:v>-605.52718465746125</c:v>
                      </c:pt>
                      <c:pt idx="9">
                        <c:v>-850.1577692831255</c:v>
                      </c:pt>
                      <c:pt idx="10">
                        <c:v>-1138.3928373258293</c:v>
                      </c:pt>
                      <c:pt idx="11">
                        <c:v>-1379.1782289200939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in val="-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FLUID!$F$14:$AL$14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0.28000000000000003</c:v>
                </c:pt>
                <c:pt idx="1">
                  <c:v>0.28000000000000003</c:v>
                </c:pt>
                <c:pt idx="2">
                  <c:v>0.27994999999999998</c:v>
                </c:pt>
                <c:pt idx="3">
                  <c:v>0.27889999999999998</c:v>
                </c:pt>
                <c:pt idx="4">
                  <c:v>0.26899000000000001</c:v>
                </c:pt>
                <c:pt idx="5">
                  <c:v>0.21942999999999999</c:v>
                </c:pt>
                <c:pt idx="6">
                  <c:v>0.12146999999999999</c:v>
                </c:pt>
                <c:pt idx="7">
                  <c:v>6.1982000000000002E-2</c:v>
                </c:pt>
                <c:pt idx="8">
                  <c:v>3.3440999999999999E-2</c:v>
                </c:pt>
                <c:pt idx="9">
                  <c:v>1.6393000000000001E-2</c:v>
                </c:pt>
                <c:pt idx="10">
                  <c:v>7.1728E-3</c:v>
                </c:pt>
                <c:pt idx="11">
                  <c:v>3.7469000000000001E-3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(l)Ge[lJ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3-4D01-BEA3-739B2EC62692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2.2242000000000002E-8</c:v>
                      </c:pt>
                      <c:pt idx="1">
                        <c:v>2.2247999999999998E-8</c:v>
                      </c:pt>
                      <c:pt idx="2">
                        <c:v>2.3671999999999998E-8</c:v>
                      </c:pt>
                      <c:pt idx="3">
                        <c:v>3.2255E-8</c:v>
                      </c:pt>
                      <c:pt idx="4">
                        <c:v>2.6537000000000001E-8</c:v>
                      </c:pt>
                      <c:pt idx="5">
                        <c:v>3.1168999999999999E-8</c:v>
                      </c:pt>
                      <c:pt idx="6">
                        <c:v>8.4434E-8</c:v>
                      </c:pt>
                      <c:pt idx="7">
                        <c:v>1.8601999999999999E-7</c:v>
                      </c:pt>
                      <c:pt idx="8">
                        <c:v>3.1254000000000002E-7</c:v>
                      </c:pt>
                      <c:pt idx="9">
                        <c:v>2.2541999999999999E-7</c:v>
                      </c:pt>
                      <c:pt idx="10">
                        <c:v>7.5778000000000005E-8</c:v>
                      </c:pt>
                      <c:pt idx="11">
                        <c:v>1.4534E-8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4.1284999999999998E-19</c:v>
                      </c:pt>
                      <c:pt idx="2">
                        <c:v>4.7402E-15</c:v>
                      </c:pt>
                      <c:pt idx="3">
                        <c:v>3.3996000000000002E-12</c:v>
                      </c:pt>
                      <c:pt idx="4">
                        <c:v>4.5457000000000001E-10</c:v>
                      </c:pt>
                      <c:pt idx="5">
                        <c:v>2.3800999999999999E-8</c:v>
                      </c:pt>
                      <c:pt idx="6">
                        <c:v>7.5532000000000002E-7</c:v>
                      </c:pt>
                      <c:pt idx="7">
                        <c:v>1.1523E-5</c:v>
                      </c:pt>
                      <c:pt idx="8">
                        <c:v>9.4486000000000003E-5</c:v>
                      </c:pt>
                      <c:pt idx="9">
                        <c:v>4.8326E-4</c:v>
                      </c:pt>
                      <c:pt idx="10">
                        <c:v>1.4422E-3</c:v>
                      </c:pt>
                      <c:pt idx="11">
                        <c:v>2.5249999999999999E-3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1.0815E-17</c:v>
                      </c:pt>
                      <c:pt idx="2">
                        <c:v>4.5689999999999999E-14</c:v>
                      </c:pt>
                      <c:pt idx="3">
                        <c:v>1.5355000000000002E-11</c:v>
                      </c:pt>
                      <c:pt idx="4">
                        <c:v>1.1383999999999999E-9</c:v>
                      </c:pt>
                      <c:pt idx="5">
                        <c:v>3.8416999999999999E-8</c:v>
                      </c:pt>
                      <c:pt idx="6">
                        <c:v>9.1559000000000001E-7</c:v>
                      </c:pt>
                      <c:pt idx="7">
                        <c:v>1.0886999999999999E-5</c:v>
                      </c:pt>
                      <c:pt idx="8">
                        <c:v>6.9212000000000001E-5</c:v>
                      </c:pt>
                      <c:pt idx="9">
                        <c:v>2.6913000000000002E-4</c:v>
                      </c:pt>
                      <c:pt idx="10">
                        <c:v>5.6862000000000004E-4</c:v>
                      </c:pt>
                      <c:pt idx="11">
                        <c:v>6.5127000000000002E-4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8.2633000000000005E-20</c:v>
                      </c:pt>
                      <c:pt idx="1">
                        <c:v>1.0203E-14</c:v>
                      </c:pt>
                      <c:pt idx="2">
                        <c:v>1.9250000000000001E-11</c:v>
                      </c:pt>
                      <c:pt idx="3">
                        <c:v>3.5040999999999999E-9</c:v>
                      </c:pt>
                      <c:pt idx="4">
                        <c:v>1.6116E-7</c:v>
                      </c:pt>
                      <c:pt idx="5">
                        <c:v>3.8342999999999999E-6</c:v>
                      </c:pt>
                      <c:pt idx="6">
                        <c:v>7.3837999999999993E-5</c:v>
                      </c:pt>
                      <c:pt idx="7">
                        <c:v>7.2721000000000005E-4</c:v>
                      </c:pt>
                      <c:pt idx="8">
                        <c:v>3.7735999999999998E-3</c:v>
                      </c:pt>
                      <c:pt idx="9">
                        <c:v>1.1657000000000001E-2</c:v>
                      </c:pt>
                      <c:pt idx="10">
                        <c:v>1.8113000000000001E-2</c:v>
                      </c:pt>
                      <c:pt idx="11">
                        <c:v>1.4031E-2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5.6344999999999999E-13</c:v>
                      </c:pt>
                      <c:pt idx="2">
                        <c:v>2.7184000000000001E-10</c:v>
                      </c:pt>
                      <c:pt idx="3">
                        <c:v>1.7900999999999999E-8</c:v>
                      </c:pt>
                      <c:pt idx="4">
                        <c:v>3.7619999999999999E-7</c:v>
                      </c:pt>
                      <c:pt idx="5">
                        <c:v>4.9656000000000004E-6</c:v>
                      </c:pt>
                      <c:pt idx="6">
                        <c:v>6.3712000000000003E-5</c:v>
                      </c:pt>
                      <c:pt idx="7">
                        <c:v>4.4351999999999998E-4</c:v>
                      </c:pt>
                      <c:pt idx="8">
                        <c:v>1.6451E-3</c:v>
                      </c:pt>
                      <c:pt idx="9">
                        <c:v>3.6072999999999999E-3</c:v>
                      </c:pt>
                      <c:pt idx="10">
                        <c:v>3.7415999999999999E-3</c:v>
                      </c:pt>
                      <c:pt idx="11">
                        <c:v>1.802E-3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8.4466000000000006E-14</c:v>
                      </c:pt>
                      <c:pt idx="2">
                        <c:v>5.5933000000000001E-11</c:v>
                      </c:pt>
                      <c:pt idx="3">
                        <c:v>4.4589999999999996E-9</c:v>
                      </c:pt>
                      <c:pt idx="4">
                        <c:v>1.064E-7</c:v>
                      </c:pt>
                      <c:pt idx="5">
                        <c:v>1.5854000000000001E-6</c:v>
                      </c:pt>
                      <c:pt idx="6">
                        <c:v>2.3963000000000001E-5</c:v>
                      </c:pt>
                      <c:pt idx="7">
                        <c:v>1.8815999999999999E-4</c:v>
                      </c:pt>
                      <c:pt idx="8">
                        <c:v>7.3693999999999995E-4</c:v>
                      </c:pt>
                      <c:pt idx="9">
                        <c:v>1.5964E-3</c:v>
                      </c:pt>
                      <c:pt idx="10">
                        <c:v>1.4679999999999999E-3</c:v>
                      </c:pt>
                      <c:pt idx="11">
                        <c:v>5.6232000000000005E-4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2.3718E-15</c:v>
                      </c:pt>
                      <c:pt idx="2">
                        <c:v>2.0010000000000001E-12</c:v>
                      </c:pt>
                      <c:pt idx="3">
                        <c:v>1.8312999999999999E-10</c:v>
                      </c:pt>
                      <c:pt idx="4">
                        <c:v>4.7675000000000003E-9</c:v>
                      </c:pt>
                      <c:pt idx="5">
                        <c:v>7.7751000000000006E-8</c:v>
                      </c:pt>
                      <c:pt idx="6">
                        <c:v>1.3506E-6</c:v>
                      </c:pt>
                      <c:pt idx="7">
                        <c:v>1.1721E-5</c:v>
                      </c:pt>
                      <c:pt idx="8">
                        <c:v>4.7664999999999998E-5</c:v>
                      </c:pt>
                      <c:pt idx="9">
                        <c:v>1.0056E-4</c:v>
                      </c:pt>
                      <c:pt idx="10">
                        <c:v>8.0994000000000004E-5</c:v>
                      </c:pt>
                      <c:pt idx="11">
                        <c:v>2.4414E-5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4.4898999999999999E-15</c:v>
                      </c:pt>
                      <c:pt idx="2">
                        <c:v>1.0205E-11</c:v>
                      </c:pt>
                      <c:pt idx="3">
                        <c:v>2.4292999999999999E-9</c:v>
                      </c:pt>
                      <c:pt idx="4">
                        <c:v>1.4644000000000001E-7</c:v>
                      </c:pt>
                      <c:pt idx="5">
                        <c:v>4.0779999999999997E-6</c:v>
                      </c:pt>
                      <c:pt idx="6">
                        <c:v>7.3652000000000006E-5</c:v>
                      </c:pt>
                      <c:pt idx="7">
                        <c:v>7.2294000000000004E-4</c:v>
                      </c:pt>
                      <c:pt idx="8">
                        <c:v>4.3204000000000003E-3</c:v>
                      </c:pt>
                      <c:pt idx="9">
                        <c:v>1.7999999999999999E-2</c:v>
                      </c:pt>
                      <c:pt idx="10">
                        <c:v>5.0483E-2</c:v>
                      </c:pt>
                      <c:pt idx="11">
                        <c:v>9.5179E-2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5.7083999999999999E-31</c:v>
                      </c:pt>
                      <c:pt idx="2">
                        <c:v>3.8909000000000002E-25</c:v>
                      </c:pt>
                      <c:pt idx="3">
                        <c:v>5.8823999999999999E-21</c:v>
                      </c:pt>
                      <c:pt idx="4">
                        <c:v>8.3353999999999996E-18</c:v>
                      </c:pt>
                      <c:pt idx="5">
                        <c:v>2.6978000000000002E-15</c:v>
                      </c:pt>
                      <c:pt idx="6">
                        <c:v>3.2924999999999999E-13</c:v>
                      </c:pt>
                      <c:pt idx="7">
                        <c:v>1.5834000000000001E-11</c:v>
                      </c:pt>
                      <c:pt idx="8">
                        <c:v>3.7623E-10</c:v>
                      </c:pt>
                      <c:pt idx="9">
                        <c:v>5.3875000000000003E-9</c:v>
                      </c:pt>
                      <c:pt idx="10">
                        <c:v>4.8953000000000002E-8</c:v>
                      </c:pt>
                      <c:pt idx="11">
                        <c:v>2.9139999999999998E-7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2.4508999999999998E-10</c:v>
                      </c:pt>
                      <c:pt idx="1">
                        <c:v>2.5343000000000001E-7</c:v>
                      </c:pt>
                      <c:pt idx="2">
                        <c:v>2.336E-5</c:v>
                      </c:pt>
                      <c:pt idx="3">
                        <c:v>5.4794999999999996E-4</c:v>
                      </c:pt>
                      <c:pt idx="4">
                        <c:v>5.5066999999999998E-3</c:v>
                      </c:pt>
                      <c:pt idx="5">
                        <c:v>3.0283000000000001E-2</c:v>
                      </c:pt>
                      <c:pt idx="6">
                        <c:v>7.9266000000000003E-2</c:v>
                      </c:pt>
                      <c:pt idx="7">
                        <c:v>0.10901</c:v>
                      </c:pt>
                      <c:pt idx="8">
                        <c:v>0.12328</c:v>
                      </c:pt>
                      <c:pt idx="9">
                        <c:v>0.1318</c:v>
                      </c:pt>
                      <c:pt idx="10">
                        <c:v>0.13641</c:v>
                      </c:pt>
                      <c:pt idx="11">
                        <c:v>0.13813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(l)SeCl]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0.47998000000000002</c:v>
                      </c:pt>
                      <c:pt idx="3">
                        <c:v>0.47944999999999999</c:v>
                      </c:pt>
                      <c:pt idx="4">
                        <c:v>0.47449000000000002</c:v>
                      </c:pt>
                      <c:pt idx="5">
                        <c:v>0.44964999999999999</c:v>
                      </c:pt>
                      <c:pt idx="6">
                        <c:v>0.39965000000000001</c:v>
                      </c:pt>
                      <c:pt idx="7">
                        <c:v>0.36176000000000003</c:v>
                      </c:pt>
                      <c:pt idx="8">
                        <c:v>0.31324000000000002</c:v>
                      </c:pt>
                      <c:pt idx="9">
                        <c:v>0.21776000000000001</c:v>
                      </c:pt>
                      <c:pt idx="10">
                        <c:v>0.11208</c:v>
                      </c:pt>
                      <c:pt idx="11">
                        <c:v>5.6237000000000002E-2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-19</c:v>
                      </c:pt>
                      <c:pt idx="5">
                        <c:v>-19.25</c:v>
                      </c:pt>
                      <c:pt idx="6">
                        <c:v>-19.579999999999998</c:v>
                      </c:pt>
                      <c:pt idx="7">
                        <c:v>-19.82</c:v>
                      </c:pt>
                      <c:pt idx="8">
                        <c:v>-20.03</c:v>
                      </c:pt>
                      <c:pt idx="9">
                        <c:v>-20.25</c:v>
                      </c:pt>
                      <c:pt idx="10">
                        <c:v>-20.49</c:v>
                      </c:pt>
                      <c:pt idx="11">
                        <c:v>-20.7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-5.7169999999999996</c:v>
                      </c:pt>
                      <c:pt idx="1">
                        <c:v>-6.2089999999999996</c:v>
                      </c:pt>
                      <c:pt idx="2">
                        <c:v>-6.649</c:v>
                      </c:pt>
                      <c:pt idx="3">
                        <c:v>-7.0430000000000001</c:v>
                      </c:pt>
                      <c:pt idx="4">
                        <c:v>-7.4130000000000003</c:v>
                      </c:pt>
                      <c:pt idx="5">
                        <c:v>-7.835</c:v>
                      </c:pt>
                      <c:pt idx="6">
                        <c:v>-8.4830000000000005</c:v>
                      </c:pt>
                      <c:pt idx="7">
                        <c:v>-9.234</c:v>
                      </c:pt>
                      <c:pt idx="8">
                        <c:v>-9.9160000000000004</c:v>
                      </c:pt>
                      <c:pt idx="9">
                        <c:v>-10.51</c:v>
                      </c:pt>
                      <c:pt idx="10">
                        <c:v>-11.01</c:v>
                      </c:pt>
                      <c:pt idx="11">
                        <c:v>-11.39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5.5659999999999998</c:v>
                      </c:pt>
                      <c:pt idx="1">
                        <c:v>2.508</c:v>
                      </c:pt>
                      <c:pt idx="2">
                        <c:v>0.3417</c:v>
                      </c:pt>
                      <c:pt idx="3">
                        <c:v>-1.292</c:v>
                      </c:pt>
                      <c:pt idx="4">
                        <c:v>-2.5640000000000001</c:v>
                      </c:pt>
                      <c:pt idx="5">
                        <c:v>-3.5169999999999999</c:v>
                      </c:pt>
                      <c:pt idx="6">
                        <c:v>-4.1639999999999997</c:v>
                      </c:pt>
                      <c:pt idx="7">
                        <c:v>-4.726</c:v>
                      </c:pt>
                      <c:pt idx="8">
                        <c:v>-5.1970000000000001</c:v>
                      </c:pt>
                      <c:pt idx="9">
                        <c:v>-5.4269999999999996</c:v>
                      </c:pt>
                      <c:pt idx="10">
                        <c:v>-5.3949999999999996</c:v>
                      </c:pt>
                      <c:pt idx="11">
                        <c:v>-5.3879999999999999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-5.0519999999999996</c:v>
                      </c:pt>
                      <c:pt idx="2">
                        <c:v>-5.44</c:v>
                      </c:pt>
                      <c:pt idx="3">
                        <c:v>-5.8230000000000004</c:v>
                      </c:pt>
                      <c:pt idx="4">
                        <c:v>-6.18</c:v>
                      </c:pt>
                      <c:pt idx="5">
                        <c:v>-6.476</c:v>
                      </c:pt>
                      <c:pt idx="6">
                        <c:v>-6.6790000000000003</c:v>
                      </c:pt>
                      <c:pt idx="7">
                        <c:v>-6.8860000000000001</c:v>
                      </c:pt>
                      <c:pt idx="8">
                        <c:v>-7.1260000000000003</c:v>
                      </c:pt>
                      <c:pt idx="9">
                        <c:v>-7.4080000000000004</c:v>
                      </c:pt>
                      <c:pt idx="10">
                        <c:v>-7.7750000000000004</c:v>
                      </c:pt>
                      <c:pt idx="11">
                        <c:v>-8.2319999999999993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Vapor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0.20002</c:v>
                      </c:pt>
                      <c:pt idx="3">
                        <c:v>0.20055000000000001</c:v>
                      </c:pt>
                      <c:pt idx="4">
                        <c:v>0.20551</c:v>
                      </c:pt>
                      <c:pt idx="5">
                        <c:v>0.2303</c:v>
                      </c:pt>
                      <c:pt idx="6">
                        <c:v>0.27950000000000003</c:v>
                      </c:pt>
                      <c:pt idx="7">
                        <c:v>0.31113000000000002</c:v>
                      </c:pt>
                      <c:pt idx="8">
                        <c:v>0.33396999999999999</c:v>
                      </c:pt>
                      <c:pt idx="9">
                        <c:v>0.36752000000000001</c:v>
                      </c:pt>
                      <c:pt idx="10">
                        <c:v>0.41231000000000001</c:v>
                      </c:pt>
                      <c:pt idx="11">
                        <c:v>0.45290000000000002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41645265183202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xMode val="edge"/>
          <c:yMode val="edge"/>
          <c:x val="7.3562931477018839E-2"/>
          <c:y val="4.7273506775974569E-2"/>
          <c:w val="0.92643706852298113"/>
          <c:h val="0.82817466956654684"/>
        </c:manualLayout>
      </c:layout>
      <c:scatterChart>
        <c:scatterStyle val="lineMarker"/>
        <c:varyColors val="0"/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E1-40A6-A933-2A862B83ED7D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E1-40A6-A933-2A862B83ED7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2E1-40A6-A933-2A862B83ED7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2E1-40A6-A933-2A862B83ED7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SOLID!$B$114:$B$115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B8-4099-89EB-409D78398715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7C9-4F8E-93A1-524E66C52F6C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7C9-4F8E-93A1-524E66C52F6C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7C9-4F8E-93A1-524E66C52F6C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7C9-4F8E-93A1-524E66C52F6C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4-A7C9-4F8E-93A1-524E66C52F6C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7C9-4F8E-93A1-524E66C52F6C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SOLID!$F$11:$AL$11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7C9-4F8E-93A1-524E66C52F6C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7C9-4F8E-93A1-524E66C52F6C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C9-4F8E-93A1-524E66C52F6C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SOLID!$F$14:$AL$14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7C9-4F8E-93A1-524E66C52F6C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SOLID!$F$15:$AL$15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7C9-4F8E-93A1-524E66C52F6C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SOLID!$F$16:$AL$16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7C9-4F8E-93A1-524E66C52F6C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SOLID!$F$17:$AL$17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7C9-4F8E-93A1-524E66C52F6C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SOLID!$F$18:$AL$18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7C9-4F8E-93A1-524E66C52F6C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7C9-4F8E-93A1-524E66C52F6C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7C9-4F8E-93A1-524E66C5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1-A7C9-4F8E-93A1-524E66C52F6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7C9-4F8E-93A1-524E66C52F6C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7C9-4F8E-93A1-524E66C52F6C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7C9-4F8E-93A1-524E66C52F6C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7C9-4F8E-93A1-524E66C52F6C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7C9-4F8E-93A1-524E66C52F6C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7C9-4F8E-93A1-524E66C52F6C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7C9-4F8E-93A1-524E66C52F6C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7C9-4F8E-93A1-524E66C52F6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7C9-4F8E-93A1-524E66C52F6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7C9-4F8E-93A1-524E66C52F6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7C9-4F8E-93A1-524E66C52F6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7C9-4F8E-93A1-524E66C52F6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7C9-4F8E-93A1-524E66C52F6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7C9-4F8E-93A1-524E66C52F6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7C9-4F8E-93A1-524E66C52F6C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EVALUATION!$B$101:$CP$101</c:f>
              <c:numCache>
                <c:formatCode>0</c:formatCode>
                <c:ptCount val="9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7"/>
          <c:order val="39"/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EVALUATION!$B$140:$CP$140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1EF-44BA-AAAA-9AD66152902A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EVALUATION!$B$104:$CP$104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38"/>
          <c:order val="40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EVALUATION!$B$141:$CP$141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F-46D6-A94F-2517E60135C4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EF-46D6-A94F-2517E60135C4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EF-46D6-A94F-2517E60135C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"/>
          <c:order val="5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EVALUATION!$B$106:$CP$106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2F-4A2F-976F-7C3C2CD148C5}"/>
            </c:ext>
          </c:extLst>
        </c:ser>
        <c:ser>
          <c:idx val="40"/>
          <c:order val="41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EVALUATION!$B$142:$CP$142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2F-4A2F-976F-7C3C2CD148C5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22F-4A2F-976F-7C3C2CD148C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2F-4A2F-976F-7C3C2CD1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22F-4A2F-976F-7C3C2CD148C5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2F-4A2F-976F-7C3C2CD148C5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022F-4A2F-976F-7C3C2CD148C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22F-4A2F-976F-7C3C2CD148C5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22F-4A2F-976F-7C3C2CD148C5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22F-4A2F-976F-7C3C2CD148C5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22F-4A2F-976F-7C3C2CD148C5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22F-4A2F-976F-7C3C2CD148C5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22F-4A2F-976F-7C3C2CD148C5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22F-4A2F-976F-7C3C2CD148C5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2F-4A2F-976F-7C3C2CD148C5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2F-4A2F-976F-7C3C2CD148C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22F-4A2F-976F-7C3C2CD148C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22F-4A2F-976F-7C3C2CD148C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22F-4A2F-976F-7C3C2CD148C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22F-4A2F-976F-7C3C2CD148C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22F-4A2F-976F-7C3C2CD148C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22F-4A2F-976F-7C3C2CD148C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22F-4A2F-976F-7C3C2CD148C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22F-4A2F-976F-7C3C2CD148C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22F-4A2F-976F-7C3C2CD148C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22F-4A2F-976F-7C3C2CD148C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22F-4A2F-976F-7C3C2CD148C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22F-4A2F-976F-7C3C2CD148C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22F-4A2F-976F-7C3C2CD148C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22F-4A2F-976F-7C3C2CD148C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22F-4A2F-976F-7C3C2CD148C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22F-4A2F-976F-7C3C2CD148C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22F-4A2F-976F-7C3C2CD148C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22F-4A2F-976F-7C3C2CD148C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22F-4A2F-976F-7C3C2CD148C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22F-4A2F-976F-7C3C2CD148C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22F-4A2F-976F-7C3C2CD148C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22F-4A2F-976F-7C3C2CD148C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22F-4A2F-976F-7C3C2CD148C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22F-4A2F-976F-7C3C2CD148C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22F-4A2F-976F-7C3C2CD148C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22F-4A2F-976F-7C3C2CD148C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22F-4A2F-976F-7C3C2CD148C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22F-4A2F-976F-7C3C2CD148C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22F-4A2F-976F-7C3C2CD148C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22F-4A2F-976F-7C3C2CD148C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22F-4A2F-976F-7C3C2CD148C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22F-4A2F-976F-7C3C2CD148C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22F-4A2F-976F-7C3C2CD148C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22F-4A2F-976F-7C3C2CD148C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22F-4A2F-976F-7C3C2CD148C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22F-4A2F-976F-7C3C2CD148C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22F-4A2F-976F-7C3C2CD148C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22F-4A2F-976F-7C3C2CD148C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22F-4A2F-976F-7C3C2CD148C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22F-4A2F-976F-7C3C2CD148C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22F-4A2F-976F-7C3C2CD148C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9729-4FC8-BC53-4E6B694307CE}"/>
              </c:ext>
            </c:extLst>
          </c:dPt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EVALUATION!$B$103:$CP$103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9-4FC8-BC53-4E6B694307CE}"/>
            </c:ext>
          </c:extLst>
        </c:ser>
        <c:ser>
          <c:idx val="35"/>
          <c:order val="37"/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EVALUATION!$B$138:$CP$138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29-4FC8-BC53-4E6B694307CE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9-4FC8-BC53-4E6B6943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9729-4FC8-BC53-4E6B694307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729-4FC8-BC53-4E6B694307CE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729-4FC8-BC53-4E6B694307CE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729-4FC8-BC53-4E6B694307CE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729-4FC8-BC53-4E6B694307CE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729-4FC8-BC53-4E6B694307CE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729-4FC8-BC53-4E6B694307CE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729-4FC8-BC53-4E6B694307CE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729-4FC8-BC53-4E6B694307CE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729-4FC8-BC53-4E6B694307CE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729-4FC8-BC53-4E6B694307C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729-4FC8-BC53-4E6B694307C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729-4FC8-BC53-4E6B694307C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729-4FC8-BC53-4E6B694307C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729-4FC8-BC53-4E6B694307C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729-4FC8-BC53-4E6B694307C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729-4FC8-BC53-4E6B694307C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729-4FC8-BC53-4E6B694307C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729-4FC8-BC53-4E6B694307C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729-4FC8-BC53-4E6B694307C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729-4FC8-BC53-4E6B694307C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729-4FC8-BC53-4E6B694307C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729-4FC8-BC53-4E6B694307C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729-4FC8-BC53-4E6B694307C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729-4FC8-BC53-4E6B694307C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729-4FC8-BC53-4E6B694307C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729-4FC8-BC53-4E6B694307C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729-4FC8-BC53-4E6B694307C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729-4FC8-BC53-4E6B694307C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729-4FC8-BC53-4E6B694307C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729-4FC8-BC53-4E6B694307CE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729-4FC8-BC53-4E6B694307C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729-4FC8-BC53-4E6B694307C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729-4FC8-BC53-4E6B694307C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729-4FC8-BC53-4E6B694307C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729-4FC8-BC53-4E6B694307C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729-4FC8-BC53-4E6B694307C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729-4FC8-BC53-4E6B694307CE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729-4FC8-BC53-4E6B694307CE}"/>
                  </c:ext>
                </c:extLst>
              </c15:ser>
            </c15:filteredScatterSeries>
            <c15:filteredScatterSeries>
              <c15:ser>
                <c:idx val="40"/>
                <c:order val="41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729-4FC8-BC53-4E6B694307C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729-4FC8-BC53-4E6B694307C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729-4FC8-BC53-4E6B694307C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729-4FC8-BC53-4E6B694307C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729-4FC8-BC53-4E6B694307C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729-4FC8-BC53-4E6B694307C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729-4FC8-BC53-4E6B694307C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729-4FC8-BC53-4E6B694307C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729-4FC8-BC53-4E6B694307C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729-4FC8-BC53-4E6B694307C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729-4FC8-BC53-4E6B694307C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729-4FC8-BC53-4E6B694307C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729-4FC8-BC53-4E6B694307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EVALUATION!$B$107:$CP$107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12-420D-849A-A4A865892EA1}"/>
            </c:ext>
          </c:extLst>
        </c:ser>
        <c:ser>
          <c:idx val="34"/>
          <c:order val="36"/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EVALUATION!$B$137:$CP$137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12-420D-849A-A4A865892EA1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12-420D-849A-A4A865892EA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12-420D-849A-A4A86589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12-420D-849A-A4A865892EA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12-420D-849A-A4A865892EA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12-420D-849A-A4A865892EA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12-420D-849A-A4A865892EA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12-420D-849A-A4A865892EA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12-420D-849A-A4A865892EA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12-420D-849A-A4A865892EA1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12-420D-849A-A4A865892EA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12-420D-849A-A4A865892EA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12-420D-849A-A4A865892EA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12-420D-849A-A4A865892EA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12-420D-849A-A4A865892EA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12-420D-849A-A4A865892EA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12-420D-849A-A4A865892EA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12-420D-849A-A4A865892EA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12-420D-849A-A4A865892EA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12-420D-849A-A4A865892EA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12-420D-849A-A4A865892EA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12-420D-849A-A4A865892EA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12-420D-849A-A4A865892EA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12-420D-849A-A4A865892EA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12-420D-849A-A4A865892EA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12-420D-849A-A4A865892EA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12-420D-849A-A4A865892EA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12-420D-849A-A4A865892EA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12-420D-849A-A4A865892EA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12-420D-849A-A4A865892EA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12-420D-849A-A4A865892EA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12-420D-849A-A4A865892EA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12-420D-849A-A4A865892EA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12-420D-849A-A4A865892EA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12-420D-849A-A4A865892EA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12-420D-849A-A4A865892EA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12-420D-849A-A4A865892EA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12-420D-849A-A4A865892EA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12-420D-849A-A4A865892EA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12-420D-849A-A4A865892EA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12-420D-849A-A4A865892EA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12-420D-849A-A4A865892EA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12-420D-849A-A4A865892EA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12-420D-849A-A4A865892EA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12-420D-849A-A4A865892EA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12-420D-849A-A4A865892EA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12-420D-849A-A4A865892EA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12-420D-849A-A4A865892EA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12-420D-849A-A4A865892EA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12-420D-849A-A4A865892EA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12-420D-849A-A4A865892EA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12-420D-849A-A4A865892EA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12-420D-849A-A4A865892EA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12-420D-849A-A4A865892EA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12-420D-849A-A4A865892EA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12-420D-849A-A4A865892EA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EVALUATION!$B$108:$CP$108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FE-44AB-BC11-EAB99CDED101}"/>
            </c:ext>
          </c:extLst>
        </c:ser>
        <c:ser>
          <c:idx val="36"/>
          <c:order val="38"/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EVALUATION!$B$139:$CP$139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FE-44AB-BC11-EAB99CDED101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FE-44AB-BC11-EAB99CDED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0EFE-44AB-BC11-EAB99CDED10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FE-44AB-BC11-EAB99CDED10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0EFE-44AB-BC11-EAB99CDED10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FE-44AB-BC11-EAB99CDED10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FE-44AB-BC11-EAB99CDED10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FE-44AB-BC11-EAB99CDED10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FE-44AB-BC11-EAB99CDED10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EFE-44AB-BC11-EAB99CDED10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EFE-44AB-BC11-EAB99CDED10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EFE-44AB-BC11-EAB99CDED10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EFE-44AB-BC11-EAB99CDED10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EFE-44AB-BC11-EAB99CDED10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FE-44AB-BC11-EAB99CDED10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EFE-44AB-BC11-EAB99CDED10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FE-44AB-BC11-EAB99CDED10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EFE-44AB-BC11-EAB99CDED10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EFE-44AB-BC11-EAB99CDED10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EFE-44AB-BC11-EAB99CDED10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FE-44AB-BC11-EAB99CDED10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EFE-44AB-BC11-EAB99CDED10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EFE-44AB-BC11-EAB99CDED10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EFE-44AB-BC11-EAB99CDED10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EFE-44AB-BC11-EAB99CDED10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EFE-44AB-BC11-EAB99CDED10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EFE-44AB-BC11-EAB99CDED10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EFE-44AB-BC11-EAB99CDED10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EFE-44AB-BC11-EAB99CDED10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EFE-44AB-BC11-EAB99CDED10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EFE-44AB-BC11-EAB99CDED10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EFE-44AB-BC11-EAB99CDED10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EFE-44AB-BC11-EAB99CDED10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EFE-44AB-BC11-EAB99CDED10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EFE-44AB-BC11-EAB99CDED10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EFE-44AB-BC11-EAB99CDED10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EFE-44AB-BC11-EAB99CDED10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EFE-44AB-BC11-EAB99CDED10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EFE-44AB-BC11-EAB99CDED10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EFE-44AB-BC11-EAB99CDED10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EFE-44AB-BC11-EAB99CDED10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EFE-44AB-BC11-EAB99CDED10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EFE-44AB-BC11-EAB99CDED10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EFE-44AB-BC11-EAB99CDED10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EFE-44AB-BC11-EAB99CDED10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EFE-44AB-BC11-EAB99CDED10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EFE-44AB-BC11-EAB99CDED10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EFE-44AB-BC11-EAB99CDED10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EFE-44AB-BC11-EAB99CDED10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EFE-44AB-BC11-EAB99CDED10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EFE-44AB-BC11-EAB99CDED10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EFE-44AB-BC11-EAB99CDED10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EFE-44AB-BC11-EAB99CDED10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EFE-44AB-BC11-EAB99CDED10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EFE-44AB-BC11-EAB99CDED1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94-4356-9EB2-6A9076CBA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8894-4356-9EB2-6A9076CBABE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894-4356-9EB2-6A9076CBABE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8894-4356-9EB2-6A9076CBABE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94-4356-9EB2-6A9076CBABE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94-4356-9EB2-6A9076CBABE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94-4356-9EB2-6A9076CBABE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894-4356-9EB2-6A9076CBABE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894-4356-9EB2-6A9076CBABE1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894-4356-9EB2-6A9076CBABE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894-4356-9EB2-6A9076CBABE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894-4356-9EB2-6A9076CBABE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894-4356-9EB2-6A9076CBABE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894-4356-9EB2-6A9076CBABE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894-4356-9EB2-6A9076CBABE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894-4356-9EB2-6A9076CBABE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894-4356-9EB2-6A9076CBABE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894-4356-9EB2-6A9076CBABE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894-4356-9EB2-6A9076CBABE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894-4356-9EB2-6A9076CBABE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894-4356-9EB2-6A9076CBABE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894-4356-9EB2-6A9076CBABE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894-4356-9EB2-6A9076CBABE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894-4356-9EB2-6A9076CBABE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894-4356-9EB2-6A9076CBABE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894-4356-9EB2-6A9076CBABE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894-4356-9EB2-6A9076CBABE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894-4356-9EB2-6A9076CBABE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894-4356-9EB2-6A9076CBABE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894-4356-9EB2-6A9076CBABE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894-4356-9EB2-6A9076CBABE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894-4356-9EB2-6A9076CBABE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894-4356-9EB2-6A9076CBABE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894-4356-9EB2-6A9076CBABE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894-4356-9EB2-6A9076CBABE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894-4356-9EB2-6A9076CBABE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894-4356-9EB2-6A9076CBABE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894-4356-9EB2-6A9076CBABE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894-4356-9EB2-6A9076CBABE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894-4356-9EB2-6A9076CBABE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894-4356-9EB2-6A9076CBABE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894-4356-9EB2-6A9076CBABE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894-4356-9EB2-6A9076CBABE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894-4356-9EB2-6A9076CBABE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894-4356-9EB2-6A9076CBABE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894-4356-9EB2-6A9076CBABE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894-4356-9EB2-6A9076CBABE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894-4356-9EB2-6A9076CBABE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894-4356-9EB2-6A9076CBABE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894-4356-9EB2-6A9076CBABE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894-4356-9EB2-6A9076CBABE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894-4356-9EB2-6A9076CBABE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894-4356-9EB2-6A9076CBABE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894-4356-9EB2-6A9076CBABE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894-4356-9EB2-6A9076CBABE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894-4356-9EB2-6A9076CBABE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850004</xdr:colOff>
      <xdr:row>19</xdr:row>
      <xdr:rowOff>246742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95</xdr:col>
          <xdr:colOff>676275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95</xdr:col>
      <xdr:colOff>0</xdr:colOff>
      <xdr:row>99</xdr:row>
      <xdr:rowOff>0</xdr:rowOff>
    </xdr:from>
    <xdr:to>
      <xdr:col>98</xdr:col>
      <xdr:colOff>843353</xdr:colOff>
      <xdr:row>111</xdr:row>
      <xdr:rowOff>215824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99</xdr:row>
      <xdr:rowOff>0</xdr:rowOff>
    </xdr:from>
    <xdr:to>
      <xdr:col>102</xdr:col>
      <xdr:colOff>843353</xdr:colOff>
      <xdr:row>111</xdr:row>
      <xdr:rowOff>215823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103</xdr:col>
      <xdr:colOff>0</xdr:colOff>
      <xdr:row>99</xdr:row>
      <xdr:rowOff>0</xdr:rowOff>
    </xdr:from>
    <xdr:to>
      <xdr:col>106</xdr:col>
      <xdr:colOff>843353</xdr:colOff>
      <xdr:row>111</xdr:row>
      <xdr:rowOff>215824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95</xdr:col>
      <xdr:colOff>0</xdr:colOff>
      <xdr:row>131</xdr:row>
      <xdr:rowOff>0</xdr:rowOff>
    </xdr:from>
    <xdr:to>
      <xdr:col>98</xdr:col>
      <xdr:colOff>843353</xdr:colOff>
      <xdr:row>143</xdr:row>
      <xdr:rowOff>238236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131</xdr:row>
      <xdr:rowOff>0</xdr:rowOff>
    </xdr:from>
    <xdr:to>
      <xdr:col>102</xdr:col>
      <xdr:colOff>843353</xdr:colOff>
      <xdr:row>143</xdr:row>
      <xdr:rowOff>238236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103</xdr:col>
      <xdr:colOff>0</xdr:colOff>
      <xdr:row>131</xdr:row>
      <xdr:rowOff>0</xdr:rowOff>
    </xdr:from>
    <xdr:to>
      <xdr:col>106</xdr:col>
      <xdr:colOff>843353</xdr:colOff>
      <xdr:row>143</xdr:row>
      <xdr:rowOff>238236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95</xdr:col>
      <xdr:colOff>-1</xdr:colOff>
      <xdr:row>144</xdr:row>
      <xdr:rowOff>0</xdr:rowOff>
    </xdr:from>
    <xdr:to>
      <xdr:col>98</xdr:col>
      <xdr:colOff>843352</xdr:colOff>
      <xdr:row>156</xdr:row>
      <xdr:rowOff>238235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3;&#1088;&#1072;&#1092;&#1080;&#1082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рафики"/>
      <sheetName val="Данные"/>
    </sheetNames>
    <sheetDataSet>
      <sheetData sheetId="0"/>
      <sheetData sheetId="1">
        <row r="1">
          <cell r="B1">
            <v>700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G3" sqref="G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26</v>
      </c>
      <c r="B1" s="40">
        <f>B2</f>
        <v>700</v>
      </c>
      <c r="D1" s="186" t="s">
        <v>47</v>
      </c>
      <c r="E1" s="187"/>
      <c r="F1" s="187"/>
      <c r="G1" s="187"/>
    </row>
    <row r="2" spans="1:7" ht="21.75" thickTop="1" x14ac:dyDescent="0.35">
      <c r="A2" s="11" t="s">
        <v>46</v>
      </c>
      <c r="B2" s="11">
        <f>[1]Данные!$B$1</f>
        <v>700</v>
      </c>
      <c r="D2" s="7" t="s">
        <v>1</v>
      </c>
      <c r="E2" s="70" t="s">
        <v>3</v>
      </c>
      <c r="F2" s="7" t="s">
        <v>4</v>
      </c>
      <c r="G2" s="7" t="s">
        <v>2</v>
      </c>
    </row>
    <row r="3" spans="1:7" ht="27.75" customHeight="1" x14ac:dyDescent="0.35">
      <c r="D3" s="40">
        <v>25</v>
      </c>
      <c r="E3" s="40">
        <v>5</v>
      </c>
      <c r="F3" s="40">
        <v>35</v>
      </c>
      <c r="G3" s="40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36"/>
  <sheetViews>
    <sheetView topLeftCell="A77" zoomScale="85" zoomScaleNormal="85" zoomScaleSheetLayoutView="25" workbookViewId="0">
      <selection activeCell="AS136" sqref="AS136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hidden="1" customWidth="1"/>
    <col min="38" max="38" width="3" customWidth="1"/>
  </cols>
  <sheetData>
    <row r="1" spans="1:54" ht="29.25" customHeight="1" thickBot="1" x14ac:dyDescent="0.4">
      <c r="A1" s="190" t="s">
        <v>24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0"/>
      <c r="BB1" s="190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19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4" t="s">
        <v>80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487.9</v>
      </c>
      <c r="K3" s="3">
        <v>504.4</v>
      </c>
      <c r="L3" s="3">
        <v>520.9</v>
      </c>
      <c r="M3" s="3">
        <v>537.5</v>
      </c>
      <c r="N3" s="3">
        <v>554</v>
      </c>
      <c r="O3" s="3">
        <v>570.5</v>
      </c>
      <c r="P3" s="3">
        <v>587</v>
      </c>
      <c r="Q3" s="3">
        <v>603.5</v>
      </c>
      <c r="R3" s="3">
        <v>669.6</v>
      </c>
      <c r="S3" s="3">
        <v>686.1</v>
      </c>
      <c r="T3" s="57">
        <v>702.7</v>
      </c>
      <c r="U3" s="60">
        <v>719.2</v>
      </c>
      <c r="V3" s="61">
        <v>735.7</v>
      </c>
      <c r="W3" s="1">
        <v>801.8</v>
      </c>
      <c r="X3" s="58">
        <v>818.3</v>
      </c>
      <c r="Y3" s="3">
        <v>834.8</v>
      </c>
      <c r="Z3" s="3">
        <v>851.3</v>
      </c>
      <c r="AA3" s="3">
        <v>867.8</v>
      </c>
      <c r="AB3" s="4">
        <v>884.4</v>
      </c>
      <c r="AC3" s="4">
        <v>900.9</v>
      </c>
      <c r="AD3" s="4">
        <v>917.4</v>
      </c>
      <c r="AE3" s="4">
        <v>933.9</v>
      </c>
      <c r="AF3" s="4">
        <v>1000</v>
      </c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1</v>
      </c>
      <c r="D4" s="44">
        <f t="shared" si="0"/>
        <v>0</v>
      </c>
      <c r="E4" s="48" t="s">
        <v>37</v>
      </c>
      <c r="F4" s="49">
        <v>1.1055E-9</v>
      </c>
      <c r="G4" s="49">
        <v>4.1214000000000003E-9</v>
      </c>
      <c r="H4" s="49">
        <v>4.0460999999999999E-9</v>
      </c>
      <c r="I4" s="49">
        <v>2.9500000000000001E-14</v>
      </c>
      <c r="J4" s="49">
        <v>2.322E-18</v>
      </c>
      <c r="K4" s="49">
        <v>1.6761000000000001E-23</v>
      </c>
      <c r="L4" s="49">
        <v>1.814E-29</v>
      </c>
      <c r="M4" s="49">
        <v>2.0129999999999999E-34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  <c r="AG4" s="49"/>
      <c r="AH4" s="49"/>
      <c r="AI4" s="49"/>
      <c r="AJ4" s="49"/>
      <c r="AK4" s="49"/>
      <c r="AL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0</v>
      </c>
      <c r="D5" s="44">
        <f t="shared" si="0"/>
        <v>1</v>
      </c>
      <c r="E5" s="48" t="s">
        <v>57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1.2330000000000001E-12</v>
      </c>
      <c r="X5" s="49">
        <v>3.9454999999999997E-9</v>
      </c>
      <c r="Y5" s="49">
        <v>4.2608000000000001E-4</v>
      </c>
      <c r="Z5" s="49">
        <v>8.5618000000000001E-4</v>
      </c>
      <c r="AA5" s="49">
        <v>2.5444E-3</v>
      </c>
      <c r="AB5" s="49">
        <v>7.4120000000000002E-3</v>
      </c>
      <c r="AC5" s="49">
        <v>1.7395000000000001E-2</v>
      </c>
      <c r="AD5" s="49">
        <v>3.1858999999999998E-2</v>
      </c>
      <c r="AE5" s="49">
        <v>3.6838000000000003E-2</v>
      </c>
      <c r="AF5" s="49">
        <v>1.9015000000000001E-2</v>
      </c>
      <c r="AG5" s="49"/>
      <c r="AH5" s="49"/>
      <c r="AI5" s="49"/>
      <c r="AJ5" s="49"/>
      <c r="AK5" s="49"/>
      <c r="AL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1</v>
      </c>
      <c r="C6" s="44">
        <f t="shared" si="0"/>
        <v>0</v>
      </c>
      <c r="D6" s="44">
        <f t="shared" si="0"/>
        <v>0</v>
      </c>
      <c r="E6" s="48" t="s">
        <v>36</v>
      </c>
      <c r="F6" s="49">
        <v>0</v>
      </c>
      <c r="G6" s="49">
        <v>4.2891999999999998E-16</v>
      </c>
      <c r="H6" s="49">
        <v>3.5176000000000001E-13</v>
      </c>
      <c r="I6" s="49">
        <v>2.0272000000000002E-9</v>
      </c>
      <c r="J6" s="49">
        <v>2.8751000000000001E-9</v>
      </c>
      <c r="K6" s="49">
        <v>3.3884E-9</v>
      </c>
      <c r="L6" s="49">
        <v>2.9151E-9</v>
      </c>
      <c r="M6" s="49">
        <v>4.9231999999999997E-9</v>
      </c>
      <c r="N6" s="49">
        <v>2.4681000000000002E-9</v>
      </c>
      <c r="O6" s="49">
        <v>2.7259999999999999E-9</v>
      </c>
      <c r="P6" s="49">
        <v>2.8222E-9</v>
      </c>
      <c r="Q6" s="49">
        <v>2.8891999999999999E-9</v>
      </c>
      <c r="R6" s="49">
        <v>6.5785999999999996E-9</v>
      </c>
      <c r="S6" s="49">
        <v>6.6162000000000004E-9</v>
      </c>
      <c r="T6" s="49">
        <v>1.1583E-8</v>
      </c>
      <c r="U6" s="49">
        <v>2.1235000000000001E-8</v>
      </c>
      <c r="V6" s="49">
        <v>4.3346000000000003E-8</v>
      </c>
      <c r="W6" s="49">
        <v>3.8367000000000002E-8</v>
      </c>
      <c r="X6" s="49">
        <v>8.4089000000000002E-24</v>
      </c>
      <c r="Y6" s="49">
        <v>1.7853000000000002E-11</v>
      </c>
      <c r="Z6" s="49">
        <v>6.7466000000000003E-14</v>
      </c>
      <c r="AA6" s="49">
        <v>6.5495999999999998E-11</v>
      </c>
      <c r="AB6" s="49">
        <v>2.5011E-9</v>
      </c>
      <c r="AC6" s="49">
        <v>2.0716999999999999E-8</v>
      </c>
      <c r="AD6" s="49">
        <v>8.0283000000000005E-8</v>
      </c>
      <c r="AE6" s="49">
        <v>2.2548999999999999E-7</v>
      </c>
      <c r="AF6" s="49">
        <v>2.3043000000000001E-6</v>
      </c>
      <c r="AG6" s="49"/>
      <c r="AH6" s="49"/>
      <c r="AI6" s="49"/>
      <c r="AJ6" s="49"/>
      <c r="AK6" s="49"/>
      <c r="AL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3</v>
      </c>
      <c r="C7" s="44">
        <f t="shared" si="0"/>
        <v>0</v>
      </c>
      <c r="D7" s="44">
        <f t="shared" si="0"/>
        <v>2</v>
      </c>
      <c r="E7" s="48" t="s">
        <v>81</v>
      </c>
      <c r="F7" s="49">
        <v>0.11642</v>
      </c>
      <c r="G7" s="49">
        <v>0.11049</v>
      </c>
      <c r="H7" s="49">
        <v>0.10738</v>
      </c>
      <c r="I7" s="49">
        <v>0.10079</v>
      </c>
      <c r="J7" s="49">
        <v>9.8310999999999996E-2</v>
      </c>
      <c r="K7" s="49">
        <v>9.6328999999999998E-2</v>
      </c>
      <c r="L7" s="49">
        <v>9.5014000000000001E-2</v>
      </c>
      <c r="M7" s="49">
        <v>9.4245999999999996E-2</v>
      </c>
      <c r="N7" s="49">
        <v>9.3825000000000006E-2</v>
      </c>
      <c r="O7" s="49">
        <v>9.3599000000000002E-2</v>
      </c>
      <c r="P7" s="49">
        <v>9.3467999999999996E-2</v>
      </c>
      <c r="Q7" s="49">
        <v>9.3354000000000006E-2</v>
      </c>
      <c r="R7" s="49">
        <v>8.0255999999999994E-2</v>
      </c>
      <c r="S7" s="49">
        <v>5.9944999999999998E-2</v>
      </c>
      <c r="T7" s="49">
        <v>3.4053E-2</v>
      </c>
      <c r="U7" s="49">
        <v>1.5226999999999999E-2</v>
      </c>
      <c r="V7" s="49">
        <v>5.8774999999999999E-3</v>
      </c>
      <c r="W7" s="49">
        <v>1.0428E-4</v>
      </c>
      <c r="X7" s="49">
        <v>3.9379999999999999E-5</v>
      </c>
      <c r="Y7" s="49">
        <v>1.2387E-5</v>
      </c>
      <c r="Z7" s="49">
        <v>3.0448999999999998E-6</v>
      </c>
      <c r="AA7" s="49">
        <v>6.8110000000000003E-7</v>
      </c>
      <c r="AB7" s="49">
        <v>1.4919E-7</v>
      </c>
      <c r="AC7" s="49">
        <v>3.3084E-8</v>
      </c>
      <c r="AD7" s="49">
        <v>7.5304999999999992E-9</v>
      </c>
      <c r="AE7" s="49">
        <v>1.7680999999999999E-9</v>
      </c>
      <c r="AF7" s="49">
        <v>7.4075999999999993E-12</v>
      </c>
      <c r="AG7" s="49"/>
      <c r="AH7" s="49"/>
      <c r="AI7" s="49"/>
      <c r="AJ7" s="49"/>
      <c r="AK7" s="49"/>
      <c r="AL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1</v>
      </c>
      <c r="C8" s="44">
        <f t="shared" si="0"/>
        <v>0</v>
      </c>
      <c r="D8" s="44">
        <f t="shared" si="0"/>
        <v>2</v>
      </c>
      <c r="E8" s="48" t="s">
        <v>82</v>
      </c>
      <c r="F8" s="49">
        <v>0</v>
      </c>
      <c r="G8" s="49">
        <v>0</v>
      </c>
      <c r="H8" s="49">
        <v>0</v>
      </c>
      <c r="I8" s="49">
        <v>3.2264999999999999E-31</v>
      </c>
      <c r="J8" s="49">
        <v>3.0614E-29</v>
      </c>
      <c r="K8" s="49">
        <v>2.3156E-27</v>
      </c>
      <c r="L8" s="49">
        <v>1.4259E-25</v>
      </c>
      <c r="M8" s="49">
        <v>7.1894999999999998E-24</v>
      </c>
      <c r="N8" s="49">
        <v>2.9820999999999999E-22</v>
      </c>
      <c r="O8" s="49">
        <v>1.0256000000000001E-20</v>
      </c>
      <c r="P8" s="49">
        <v>2.9554999999999999E-19</v>
      </c>
      <c r="Q8" s="49">
        <v>7.2146000000000001E-18</v>
      </c>
      <c r="R8" s="49">
        <v>4.6266999999999999E-13</v>
      </c>
      <c r="S8" s="49">
        <v>3.5571999999999998E-12</v>
      </c>
      <c r="T8" s="49">
        <v>1.7772000000000001E-11</v>
      </c>
      <c r="U8" s="49">
        <v>6.7363E-11</v>
      </c>
      <c r="V8" s="49">
        <v>2.2021999999999999E-10</v>
      </c>
      <c r="W8" s="49">
        <v>1.2458999999999999E-8</v>
      </c>
      <c r="X8" s="49">
        <v>3.0061E-8</v>
      </c>
      <c r="Y8" s="49">
        <v>4.2205E-8</v>
      </c>
      <c r="Z8" s="49">
        <v>4.7997999999999997E-8</v>
      </c>
      <c r="AA8" s="49">
        <v>5.1652999999999999E-8</v>
      </c>
      <c r="AB8" s="49">
        <v>5.3982E-8</v>
      </c>
      <c r="AC8" s="49">
        <v>5.5473999999999998E-8</v>
      </c>
      <c r="AD8" s="49">
        <v>5.6379999999999999E-8</v>
      </c>
      <c r="AE8" s="49">
        <v>5.6785000000000002E-8</v>
      </c>
      <c r="AF8" s="49">
        <v>5.4696999999999997E-8</v>
      </c>
      <c r="AG8" s="49"/>
      <c r="AH8" s="49"/>
      <c r="AI8" s="49"/>
      <c r="AJ8" s="49"/>
      <c r="AK8" s="49"/>
      <c r="AL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0</v>
      </c>
      <c r="D9" s="44">
        <f t="shared" si="0"/>
        <v>1</v>
      </c>
      <c r="E9" s="48" t="s">
        <v>4</v>
      </c>
      <c r="F9" s="49">
        <v>0</v>
      </c>
      <c r="G9" s="49">
        <v>0</v>
      </c>
      <c r="H9" s="49">
        <v>0</v>
      </c>
      <c r="I9" s="49">
        <v>1.5161999999999999E-35</v>
      </c>
      <c r="J9" s="49">
        <v>1.0984E-33</v>
      </c>
      <c r="K9" s="49">
        <v>6.3537000000000004E-32</v>
      </c>
      <c r="L9" s="49">
        <v>2.9957999999999999E-30</v>
      </c>
      <c r="M9" s="49">
        <v>1.1618000000000001E-28</v>
      </c>
      <c r="N9" s="49">
        <v>3.7337000000000002E-27</v>
      </c>
      <c r="O9" s="49">
        <v>1.004E-25</v>
      </c>
      <c r="P9" s="49">
        <v>2.2842E-24</v>
      </c>
      <c r="Q9" s="49">
        <v>4.4455000000000002E-23</v>
      </c>
      <c r="R9" s="49">
        <v>1.368E-18</v>
      </c>
      <c r="S9" s="49">
        <v>1.0225999999999999E-17</v>
      </c>
      <c r="T9" s="49">
        <v>5.7221000000000001E-17</v>
      </c>
      <c r="U9" s="49">
        <v>2.7408999999999998E-16</v>
      </c>
      <c r="V9" s="49">
        <v>1.2218000000000001E-15</v>
      </c>
      <c r="W9" s="49">
        <v>2.7867000000000001E-13</v>
      </c>
      <c r="X9" s="49">
        <v>9.4633999999999998E-13</v>
      </c>
      <c r="Y9" s="49">
        <v>2.2149000000000002E-12</v>
      </c>
      <c r="Z9" s="49">
        <v>4.6553000000000002E-12</v>
      </c>
      <c r="AA9" s="49">
        <v>9.5106000000000003E-12</v>
      </c>
      <c r="AB9" s="49">
        <v>1.8917000000000001E-11</v>
      </c>
      <c r="AC9" s="49">
        <v>3.6692999999999998E-11</v>
      </c>
      <c r="AD9" s="49">
        <v>6.9500000000000006E-11</v>
      </c>
      <c r="AE9" s="49">
        <v>1.2864000000000001E-10</v>
      </c>
      <c r="AF9" s="49">
        <v>1.2282E-9</v>
      </c>
      <c r="AG9" s="49"/>
      <c r="AH9" s="49"/>
      <c r="AI9" s="49"/>
      <c r="AJ9" s="49"/>
      <c r="AK9" s="49"/>
      <c r="AL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1</v>
      </c>
      <c r="B10" s="44">
        <f t="shared" si="0"/>
        <v>0</v>
      </c>
      <c r="C10" s="44">
        <f t="shared" si="0"/>
        <v>0</v>
      </c>
      <c r="D10" s="44">
        <f t="shared" si="0"/>
        <v>0</v>
      </c>
      <c r="E10" s="48" t="s">
        <v>1</v>
      </c>
      <c r="F10" s="49">
        <v>0.2</v>
      </c>
      <c r="G10" s="49">
        <v>0.2</v>
      </c>
      <c r="H10" s="49">
        <v>0.2</v>
      </c>
      <c r="I10" s="49">
        <v>0.2</v>
      </c>
      <c r="J10" s="49">
        <v>0.2</v>
      </c>
      <c r="K10" s="49">
        <v>0.2</v>
      </c>
      <c r="L10" s="49">
        <v>0.2</v>
      </c>
      <c r="M10" s="49">
        <v>0.2</v>
      </c>
      <c r="N10" s="49">
        <v>0.2</v>
      </c>
      <c r="O10" s="49">
        <v>0.2</v>
      </c>
      <c r="P10" s="49">
        <v>0.2</v>
      </c>
      <c r="Q10" s="49">
        <v>0.2</v>
      </c>
      <c r="R10" s="49">
        <v>0.2</v>
      </c>
      <c r="S10" s="49">
        <v>0.2</v>
      </c>
      <c r="T10" s="49">
        <v>0.2</v>
      </c>
      <c r="U10" s="49">
        <v>0.2</v>
      </c>
      <c r="V10" s="49">
        <v>0.2</v>
      </c>
      <c r="W10" s="49">
        <v>0.2</v>
      </c>
      <c r="X10" s="49">
        <v>0.2</v>
      </c>
      <c r="Y10" s="49">
        <v>0.2</v>
      </c>
      <c r="Z10" s="49">
        <v>0.2</v>
      </c>
      <c r="AA10" s="49">
        <v>0.2</v>
      </c>
      <c r="AB10" s="49">
        <v>0.2</v>
      </c>
      <c r="AC10" s="49">
        <v>0.2</v>
      </c>
      <c r="AD10" s="49">
        <v>0.2</v>
      </c>
      <c r="AE10" s="49">
        <v>0.2</v>
      </c>
      <c r="AF10" s="49">
        <v>0.2</v>
      </c>
      <c r="AG10" s="49"/>
      <c r="AH10" s="49"/>
      <c r="AI10" s="49"/>
      <c r="AJ10" s="49"/>
      <c r="AK10" s="49"/>
      <c r="AL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2</v>
      </c>
      <c r="C11" s="44">
        <f t="shared" si="0"/>
        <v>1</v>
      </c>
      <c r="D11" s="44">
        <f t="shared" si="0"/>
        <v>0</v>
      </c>
      <c r="E11" s="48" t="s">
        <v>58</v>
      </c>
      <c r="F11" s="49">
        <v>1.949E-2</v>
      </c>
      <c r="G11" s="49">
        <v>6.5905E-3</v>
      </c>
      <c r="H11" s="49">
        <v>3.4264000000000001E-4</v>
      </c>
      <c r="I11" s="49">
        <v>1.9181000000000002E-5</v>
      </c>
      <c r="J11" s="49">
        <v>7.9441999999999993E-6</v>
      </c>
      <c r="K11" s="49">
        <v>2.9453E-6</v>
      </c>
      <c r="L11" s="49">
        <v>1.0105999999999999E-6</v>
      </c>
      <c r="M11" s="49">
        <v>3.354E-7</v>
      </c>
      <c r="N11" s="49">
        <v>1.1143E-7</v>
      </c>
      <c r="O11" s="49">
        <v>3.7802999999999998E-8</v>
      </c>
      <c r="P11" s="49">
        <v>1.322E-8</v>
      </c>
      <c r="Q11" s="49">
        <v>4.7833999999999998E-9</v>
      </c>
      <c r="R11" s="49">
        <v>1.3052000000000001E-10</v>
      </c>
      <c r="S11" s="49">
        <v>6.7452999999999997E-11</v>
      </c>
      <c r="T11" s="49">
        <v>3.7669999999999998E-11</v>
      </c>
      <c r="U11" s="49">
        <v>2.0265000000000001E-11</v>
      </c>
      <c r="V11" s="49">
        <v>1.0182E-11</v>
      </c>
      <c r="W11" s="49">
        <v>5.7109999999999996E-13</v>
      </c>
      <c r="X11" s="49">
        <v>2.8613000000000001E-13</v>
      </c>
      <c r="Y11" s="49">
        <v>1.9219000000000001E-13</v>
      </c>
      <c r="Z11" s="49">
        <v>1.1936000000000001E-13</v>
      </c>
      <c r="AA11" s="49">
        <v>6.8719999999999996E-14</v>
      </c>
      <c r="AB11" s="49">
        <v>3.8486999999999999E-14</v>
      </c>
      <c r="AC11" s="49">
        <v>2.1441000000000001E-14</v>
      </c>
      <c r="AD11" s="49">
        <v>1.1995E-14</v>
      </c>
      <c r="AE11" s="49">
        <v>6.7432999999999997E-15</v>
      </c>
      <c r="AF11" s="49">
        <v>7.2493000000000003E-16</v>
      </c>
      <c r="AG11" s="49"/>
      <c r="AH11" s="49"/>
      <c r="AI11" s="49"/>
      <c r="AJ11" s="49"/>
      <c r="AK11" s="49"/>
      <c r="AL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1</v>
      </c>
      <c r="C12" s="44">
        <f t="shared" si="0"/>
        <v>1</v>
      </c>
      <c r="D12" s="44">
        <f t="shared" si="0"/>
        <v>0</v>
      </c>
      <c r="E12" s="48" t="s">
        <v>42</v>
      </c>
      <c r="F12" s="49">
        <v>2.051E-2</v>
      </c>
      <c r="G12" s="49">
        <v>3.3398999999999998E-2</v>
      </c>
      <c r="H12" s="49">
        <v>3.8558000000000002E-2</v>
      </c>
      <c r="I12" s="49">
        <v>2.2164E-2</v>
      </c>
      <c r="J12" s="49">
        <v>1.5173000000000001E-2</v>
      </c>
      <c r="K12" s="49">
        <v>9.3226999999999997E-3</v>
      </c>
      <c r="L12" s="49">
        <v>5.3057E-3</v>
      </c>
      <c r="M12" s="49">
        <v>2.9044000000000001E-3</v>
      </c>
      <c r="N12" s="49">
        <v>1.5740999999999999E-3</v>
      </c>
      <c r="O12" s="49">
        <v>8.5897999999999996E-4</v>
      </c>
      <c r="P12" s="49">
        <v>4.7595E-4</v>
      </c>
      <c r="Q12" s="49">
        <v>2.6874000000000001E-4</v>
      </c>
      <c r="R12" s="49">
        <v>3.5403E-5</v>
      </c>
      <c r="S12" s="49">
        <v>2.4213999999999999E-5</v>
      </c>
      <c r="T12" s="49">
        <v>1.7258999999999999E-5</v>
      </c>
      <c r="U12" s="49">
        <v>1.2101E-5</v>
      </c>
      <c r="V12" s="49">
        <v>8.2181000000000001E-6</v>
      </c>
      <c r="W12" s="49">
        <v>1.671E-6</v>
      </c>
      <c r="X12" s="49">
        <v>1.1432999999999999E-6</v>
      </c>
      <c r="Y12" s="49">
        <v>8.9864999999999996E-7</v>
      </c>
      <c r="Z12" s="49">
        <v>6.8069000000000004E-7</v>
      </c>
      <c r="AA12" s="49">
        <v>4.9829999999999996E-7</v>
      </c>
      <c r="AB12" s="49">
        <v>3.6082999999999998E-7</v>
      </c>
      <c r="AC12" s="49">
        <v>2.6124999999999999E-7</v>
      </c>
      <c r="AD12" s="49">
        <v>1.8997E-7</v>
      </c>
      <c r="AE12" s="49">
        <v>1.3846000000000001E-7</v>
      </c>
      <c r="AF12" s="49">
        <v>4.0641E-8</v>
      </c>
      <c r="AG12" s="49"/>
      <c r="AH12" s="49"/>
      <c r="AI12" s="49"/>
      <c r="AJ12" s="49"/>
      <c r="AK12" s="49"/>
      <c r="AL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3</v>
      </c>
      <c r="C13" s="44">
        <f t="shared" si="0"/>
        <v>0</v>
      </c>
      <c r="D13" s="44">
        <f t="shared" si="0"/>
        <v>2</v>
      </c>
      <c r="E13" s="48" t="s">
        <v>59</v>
      </c>
      <c r="F13" s="49">
        <v>2.3581000000000001E-2</v>
      </c>
      <c r="G13" s="49">
        <v>2.9510999999999999E-2</v>
      </c>
      <c r="H13" s="49">
        <v>3.2620000000000003E-2</v>
      </c>
      <c r="I13" s="49">
        <v>3.9208E-2</v>
      </c>
      <c r="J13" s="49">
        <v>4.1688999999999997E-2</v>
      </c>
      <c r="K13" s="49">
        <v>4.3671000000000001E-2</v>
      </c>
      <c r="L13" s="49">
        <v>4.4985999999999998E-2</v>
      </c>
      <c r="M13" s="49">
        <v>4.5754000000000003E-2</v>
      </c>
      <c r="N13" s="49">
        <v>4.6174E-2</v>
      </c>
      <c r="O13" s="49">
        <v>4.6399999999999997E-2</v>
      </c>
      <c r="P13" s="49">
        <v>4.6523000000000002E-2</v>
      </c>
      <c r="Q13" s="49">
        <v>4.6607000000000003E-2</v>
      </c>
      <c r="R13" s="49">
        <v>5.0874999999999997E-2</v>
      </c>
      <c r="S13" s="49">
        <v>5.3782999999999997E-2</v>
      </c>
      <c r="T13" s="49">
        <v>4.7280999999999997E-2</v>
      </c>
      <c r="U13" s="49">
        <v>2.9621999999999999E-2</v>
      </c>
      <c r="V13" s="49">
        <v>1.3741E-2</v>
      </c>
      <c r="W13" s="49">
        <v>2.8533999999999998E-4</v>
      </c>
      <c r="X13" s="49">
        <v>1.0971E-4</v>
      </c>
      <c r="Y13" s="49">
        <v>3.4276000000000002E-5</v>
      </c>
      <c r="Z13" s="49">
        <v>8.3289000000000008E-6</v>
      </c>
      <c r="AA13" s="49">
        <v>1.8444000000000001E-6</v>
      </c>
      <c r="AB13" s="49">
        <v>4.0053E-7</v>
      </c>
      <c r="AC13" s="49">
        <v>8.8174000000000006E-8</v>
      </c>
      <c r="AD13" s="49">
        <v>1.9948000000000001E-8</v>
      </c>
      <c r="AE13" s="49">
        <v>4.6587999999999997E-9</v>
      </c>
      <c r="AF13" s="49">
        <v>1.9231E-11</v>
      </c>
      <c r="AG13" s="49"/>
      <c r="AH13" s="49"/>
      <c r="AI13" s="49"/>
      <c r="AJ13" s="49"/>
      <c r="AK13" s="49"/>
      <c r="AL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1</v>
      </c>
      <c r="C14" s="44">
        <f t="shared" si="0"/>
        <v>0</v>
      </c>
      <c r="D14" s="44">
        <f t="shared" si="0"/>
        <v>2</v>
      </c>
      <c r="E14" s="48" t="s">
        <v>60</v>
      </c>
      <c r="F14" s="49">
        <v>1.5785999999999999E-28</v>
      </c>
      <c r="G14" s="49">
        <v>5.8697999999999997E-22</v>
      </c>
      <c r="H14" s="49">
        <v>6.6534999999999995E-16</v>
      </c>
      <c r="I14" s="49">
        <v>1.6729000000000001E-11</v>
      </c>
      <c r="J14" s="49">
        <v>1.4176000000000001E-10</v>
      </c>
      <c r="K14" s="49">
        <v>1.0979999999999999E-9</v>
      </c>
      <c r="L14" s="49">
        <v>7.7919999999999996E-9</v>
      </c>
      <c r="M14" s="49">
        <v>5.0568E-8</v>
      </c>
      <c r="N14" s="49">
        <v>3.0016000000000001E-7</v>
      </c>
      <c r="O14" s="49">
        <v>1.6345E-6</v>
      </c>
      <c r="P14" s="49">
        <v>8.2034000000000001E-6</v>
      </c>
      <c r="Q14" s="49">
        <v>3.8143999999999999E-5</v>
      </c>
      <c r="R14" s="49">
        <v>8.7624999999999995E-3</v>
      </c>
      <c r="S14" s="49">
        <v>2.5947000000000001E-2</v>
      </c>
      <c r="T14" s="49">
        <v>5.781E-2</v>
      </c>
      <c r="U14" s="49">
        <v>9.3327999999999994E-2</v>
      </c>
      <c r="V14" s="49">
        <v>0.11716</v>
      </c>
      <c r="W14" s="49">
        <v>0.12540999999999999</v>
      </c>
      <c r="X14" s="49">
        <v>0.12102</v>
      </c>
      <c r="Y14" s="49">
        <v>6.8593000000000001E-2</v>
      </c>
      <c r="Z14" s="49">
        <v>3.2370000000000003E-2</v>
      </c>
      <c r="AA14" s="49">
        <v>1.4925000000000001E-2</v>
      </c>
      <c r="AB14" s="49">
        <v>6.8881999999999997E-3</v>
      </c>
      <c r="AC14" s="49">
        <v>3.2166999999999999E-3</v>
      </c>
      <c r="AD14" s="49">
        <v>1.5263E-3</v>
      </c>
      <c r="AE14" s="49">
        <v>7.3612999999999999E-4</v>
      </c>
      <c r="AF14" s="49">
        <v>4.6826000000000002E-5</v>
      </c>
      <c r="AG14" s="49"/>
      <c r="AH14" s="49"/>
      <c r="AI14" s="49"/>
      <c r="AJ14" s="49"/>
      <c r="AK14" s="49"/>
      <c r="AL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1</v>
      </c>
      <c r="D15" s="44">
        <f t="shared" si="0"/>
        <v>0</v>
      </c>
      <c r="E15" s="48" t="s">
        <v>61</v>
      </c>
      <c r="F15" s="49">
        <v>7.7442E-8</v>
      </c>
      <c r="G15" s="49">
        <v>5.1692000000000004E-6</v>
      </c>
      <c r="H15" s="49">
        <v>5.4973000000000001E-4</v>
      </c>
      <c r="I15" s="49">
        <v>8.9084999999999998E-3</v>
      </c>
      <c r="J15" s="49">
        <v>1.2409999999999999E-2</v>
      </c>
      <c r="K15" s="49">
        <v>1.5337E-2</v>
      </c>
      <c r="L15" s="49">
        <v>1.7347000000000001E-2</v>
      </c>
      <c r="M15" s="49">
        <v>1.8547999999999999E-2</v>
      </c>
      <c r="N15" s="49">
        <v>1.9213000000000001E-2</v>
      </c>
      <c r="O15" s="49">
        <v>1.9570000000000001E-2</v>
      </c>
      <c r="P15" s="49">
        <v>1.9761999999999998E-2</v>
      </c>
      <c r="Q15" s="49">
        <v>1.9866000000000002E-2</v>
      </c>
      <c r="R15" s="49">
        <v>1.9982E-2</v>
      </c>
      <c r="S15" s="49">
        <v>1.9987999999999999E-2</v>
      </c>
      <c r="T15" s="49">
        <v>1.9990999999999998E-2</v>
      </c>
      <c r="U15" s="49">
        <v>1.9994000000000001E-2</v>
      </c>
      <c r="V15" s="49">
        <v>1.9996E-2</v>
      </c>
      <c r="W15" s="49">
        <v>1.9998999999999999E-2</v>
      </c>
      <c r="X15" s="49">
        <v>1.9998999999999999E-2</v>
      </c>
      <c r="Y15" s="49">
        <v>1.9630999999999999E-2</v>
      </c>
      <c r="Z15" s="49">
        <v>1.9300000000000001E-2</v>
      </c>
      <c r="AA15" s="49">
        <v>1.9068999999999999E-2</v>
      </c>
      <c r="AB15" s="49">
        <v>1.8904000000000001E-2</v>
      </c>
      <c r="AC15" s="49">
        <v>1.8790999999999999E-2</v>
      </c>
      <c r="AD15" s="49">
        <v>1.8720000000000001E-2</v>
      </c>
      <c r="AE15" s="49">
        <v>1.8610000000000002E-2</v>
      </c>
      <c r="AF15" s="49">
        <v>1.7925E-2</v>
      </c>
      <c r="AG15" s="49"/>
      <c r="AH15" s="49"/>
      <c r="AI15" s="49"/>
      <c r="AJ15" s="49"/>
      <c r="AK15" s="49"/>
      <c r="AL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0</v>
      </c>
      <c r="D16" s="44">
        <f t="shared" si="0"/>
        <v>1</v>
      </c>
      <c r="E16" s="48" t="s">
        <v>62</v>
      </c>
      <c r="F16" s="49">
        <v>1.9029000000000001E-28</v>
      </c>
      <c r="G16" s="49">
        <v>3.6592000000000002E-22</v>
      </c>
      <c r="H16" s="49">
        <v>1.2778E-16</v>
      </c>
      <c r="I16" s="49">
        <v>1.6314000000000001E-12</v>
      </c>
      <c r="J16" s="49">
        <v>1.2242999999999999E-11</v>
      </c>
      <c r="K16" s="49">
        <v>8.3728999999999996E-11</v>
      </c>
      <c r="L16" s="49">
        <v>5.2262E-10</v>
      </c>
      <c r="M16" s="49">
        <v>2.9794999999999999E-9</v>
      </c>
      <c r="N16" s="49">
        <v>1.5557999999999999E-8</v>
      </c>
      <c r="O16" s="49">
        <v>7.4714000000000003E-8</v>
      </c>
      <c r="P16" s="49">
        <v>3.3159999999999998E-7</v>
      </c>
      <c r="Q16" s="49">
        <v>1.3668E-6</v>
      </c>
      <c r="R16" s="49">
        <v>2.1211E-4</v>
      </c>
      <c r="S16" s="49">
        <v>6.5041999999999997E-4</v>
      </c>
      <c r="T16" s="49">
        <v>1.7118000000000001E-3</v>
      </c>
      <c r="U16" s="49">
        <v>3.6464000000000002E-3</v>
      </c>
      <c r="V16" s="49">
        <v>6.4498999999999997E-3</v>
      </c>
      <c r="W16" s="49">
        <v>2.8406000000000001E-2</v>
      </c>
      <c r="X16" s="49">
        <v>3.7663000000000002E-2</v>
      </c>
      <c r="Y16" s="49">
        <v>3.4319000000000002E-2</v>
      </c>
      <c r="Z16" s="49">
        <v>2.8506E-2</v>
      </c>
      <c r="AA16" s="49">
        <v>2.3462E-2</v>
      </c>
      <c r="AB16" s="49">
        <v>1.9129E-2</v>
      </c>
      <c r="AC16" s="49">
        <v>1.5443999999999999E-2</v>
      </c>
      <c r="AD16" s="49">
        <v>1.2342000000000001E-2</v>
      </c>
      <c r="AE16" s="49">
        <v>9.7512999999999992E-3</v>
      </c>
      <c r="AF16" s="49">
        <v>3.3717999999999999E-3</v>
      </c>
      <c r="AG16" s="49"/>
      <c r="AH16" s="49"/>
      <c r="AI16" s="49"/>
      <c r="AJ16" s="49"/>
      <c r="AK16" s="49"/>
      <c r="AL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1</v>
      </c>
      <c r="C17" s="44">
        <f t="shared" si="0"/>
        <v>0</v>
      </c>
      <c r="D17" s="44">
        <f t="shared" si="0"/>
        <v>0</v>
      </c>
      <c r="E17" s="48" t="s">
        <v>39</v>
      </c>
      <c r="F17" s="49">
        <v>6.0558999999999997E-10</v>
      </c>
      <c r="G17" s="49">
        <v>7.1008000000000001E-9</v>
      </c>
      <c r="H17" s="49">
        <v>4.6580000000000003E-9</v>
      </c>
      <c r="I17" s="49">
        <v>3.6286000000000001E-9</v>
      </c>
      <c r="J17" s="49">
        <v>3.4934E-9</v>
      </c>
      <c r="K17" s="49">
        <v>3.3129E-9</v>
      </c>
      <c r="L17" s="49">
        <v>3.0579E-9</v>
      </c>
      <c r="M17" s="49">
        <v>2.7300999999999999E-9</v>
      </c>
      <c r="N17" s="49">
        <v>2.3899999999999998E-9</v>
      </c>
      <c r="O17" s="49">
        <v>2.0703000000000002E-9</v>
      </c>
      <c r="P17" s="49">
        <v>1.7844E-9</v>
      </c>
      <c r="Q17" s="49">
        <v>1.5354000000000001E-9</v>
      </c>
      <c r="R17" s="49">
        <v>1.0822E-9</v>
      </c>
      <c r="S17" s="49">
        <v>1.3489E-9</v>
      </c>
      <c r="T17" s="49">
        <v>1.8318E-9</v>
      </c>
      <c r="U17" s="49">
        <v>2.2310999999999999E-9</v>
      </c>
      <c r="V17" s="49">
        <v>2.3172999999999998E-9</v>
      </c>
      <c r="W17" s="49">
        <v>1.4949999999999999E-9</v>
      </c>
      <c r="X17" s="49">
        <v>1.3115000000000001E-9</v>
      </c>
      <c r="Y17" s="49">
        <v>1.3019E-9</v>
      </c>
      <c r="Z17" s="49">
        <v>1.2271E-9</v>
      </c>
      <c r="AA17" s="49">
        <v>1.105E-9</v>
      </c>
      <c r="AB17" s="49">
        <v>9.7488000000000005E-10</v>
      </c>
      <c r="AC17" s="49">
        <v>8.5265000000000005E-10</v>
      </c>
      <c r="AD17" s="49">
        <v>7.4314999999999996E-10</v>
      </c>
      <c r="AE17" s="49">
        <v>6.4691999999999997E-10</v>
      </c>
      <c r="AF17" s="49">
        <v>3.7200000000000001E-10</v>
      </c>
      <c r="AG17" s="49"/>
      <c r="AH17" s="49"/>
      <c r="AI17" s="49"/>
      <c r="AJ17" s="49"/>
      <c r="AK17" s="49"/>
      <c r="AL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1</v>
      </c>
      <c r="C18" s="44">
        <f t="shared" si="0"/>
        <v>0</v>
      </c>
      <c r="D18" s="44">
        <f t="shared" si="0"/>
        <v>0</v>
      </c>
      <c r="E18" s="48" t="s">
        <v>63</v>
      </c>
      <c r="F18" s="49">
        <v>1.3958E-10</v>
      </c>
      <c r="G18" s="49">
        <v>2.5193000000000002E-9</v>
      </c>
      <c r="H18" s="49">
        <v>2.2231999999999999E-9</v>
      </c>
      <c r="I18" s="49">
        <v>2.1479E-9</v>
      </c>
      <c r="J18" s="49">
        <v>2.1624999999999999E-9</v>
      </c>
      <c r="K18" s="49">
        <v>2.0744999999999998E-9</v>
      </c>
      <c r="L18" s="49">
        <v>1.8984E-9</v>
      </c>
      <c r="M18" s="49">
        <v>1.6796999999999999E-9</v>
      </c>
      <c r="N18" s="49">
        <v>1.4565999999999999E-9</v>
      </c>
      <c r="O18" s="49">
        <v>1.2496999999999999E-9</v>
      </c>
      <c r="P18" s="49">
        <v>1.0665E-9</v>
      </c>
      <c r="Q18" s="49">
        <v>9.0856000000000001E-10</v>
      </c>
      <c r="R18" s="49">
        <v>6.1491E-10</v>
      </c>
      <c r="S18" s="49">
        <v>7.5873000000000003E-10</v>
      </c>
      <c r="T18" s="49">
        <v>1.02E-9</v>
      </c>
      <c r="U18" s="49">
        <v>1.2299000000000001E-9</v>
      </c>
      <c r="V18" s="49">
        <v>1.2647E-9</v>
      </c>
      <c r="W18" s="49">
        <v>7.8439000000000002E-10</v>
      </c>
      <c r="X18" s="49">
        <v>6.8148000000000001E-10</v>
      </c>
      <c r="Y18" s="49">
        <v>6.7002000000000003E-10</v>
      </c>
      <c r="Z18" s="49">
        <v>6.2553999999999999E-10</v>
      </c>
      <c r="AA18" s="49">
        <v>5.5798999999999995E-10</v>
      </c>
      <c r="AB18" s="49">
        <v>4.8770999999999996E-10</v>
      </c>
      <c r="AC18" s="49">
        <v>4.2261E-10</v>
      </c>
      <c r="AD18" s="49">
        <v>3.6493999999999998E-10</v>
      </c>
      <c r="AE18" s="49">
        <v>3.1478000000000002E-10</v>
      </c>
      <c r="AF18" s="49">
        <v>1.7455000000000001E-10</v>
      </c>
      <c r="AG18" s="49"/>
      <c r="AH18" s="49"/>
      <c r="AI18" s="49"/>
      <c r="AJ18" s="49"/>
      <c r="AK18" s="49"/>
      <c r="AL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1</v>
      </c>
      <c r="C19" s="44">
        <f t="shared" si="0"/>
        <v>0</v>
      </c>
      <c r="D19" s="44">
        <f t="shared" si="0"/>
        <v>0</v>
      </c>
      <c r="E19" s="48" t="s">
        <v>64</v>
      </c>
      <c r="F19" s="49">
        <v>5.1004000000000002E-4</v>
      </c>
      <c r="G19" s="49">
        <v>1.342E-2</v>
      </c>
      <c r="H19" s="49">
        <v>2.0757000000000001E-2</v>
      </c>
      <c r="I19" s="49">
        <v>3.7797999999999998E-2</v>
      </c>
      <c r="J19" s="49">
        <v>4.4810999999999997E-2</v>
      </c>
      <c r="K19" s="49">
        <v>5.0671000000000001E-2</v>
      </c>
      <c r="L19" s="49">
        <v>5.4691999999999998E-2</v>
      </c>
      <c r="M19" s="49">
        <v>5.7095E-2</v>
      </c>
      <c r="N19" s="49">
        <v>5.8425999999999999E-2</v>
      </c>
      <c r="O19" s="49">
        <v>5.9144000000000002E-2</v>
      </c>
      <c r="P19" s="49">
        <v>5.9540999999999997E-2</v>
      </c>
      <c r="Q19" s="49">
        <v>5.9810000000000002E-2</v>
      </c>
      <c r="R19" s="49">
        <v>7.7808000000000002E-2</v>
      </c>
      <c r="S19" s="49">
        <v>0.11285000000000001</v>
      </c>
      <c r="T19" s="49">
        <v>0.17817</v>
      </c>
      <c r="U19" s="49">
        <v>0.25211</v>
      </c>
      <c r="V19" s="49">
        <v>0.30397999999999997</v>
      </c>
      <c r="W19" s="49">
        <v>0.35342000000000001</v>
      </c>
      <c r="X19" s="49">
        <v>0.35853000000000002</v>
      </c>
      <c r="Y19" s="49">
        <v>0.41127000000000002</v>
      </c>
      <c r="Z19" s="49">
        <v>0.4476</v>
      </c>
      <c r="AA19" s="49">
        <v>0.46506999999999998</v>
      </c>
      <c r="AB19" s="49">
        <v>0.47310999999999998</v>
      </c>
      <c r="AC19" s="49">
        <v>0.47677999999999998</v>
      </c>
      <c r="AD19" s="49">
        <v>0.47847000000000001</v>
      </c>
      <c r="AE19" s="49">
        <v>0.47926000000000002</v>
      </c>
      <c r="AF19" s="49">
        <v>0.47994999999999999</v>
      </c>
      <c r="AG19" s="49"/>
      <c r="AH19" s="49"/>
      <c r="AI19" s="49"/>
      <c r="AJ19" s="49"/>
      <c r="AK19" s="49"/>
      <c r="AL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1</v>
      </c>
      <c r="D20" s="44">
        <f t="shared" si="1"/>
        <v>0</v>
      </c>
      <c r="E20" s="48" t="s">
        <v>67</v>
      </c>
      <c r="F20" s="49">
        <v>7.7442E-8</v>
      </c>
      <c r="G20" s="49">
        <v>5.1692000000000004E-6</v>
      </c>
      <c r="H20" s="49">
        <v>5.4973000000000001E-4</v>
      </c>
      <c r="I20" s="49">
        <v>8.9084999999999998E-3</v>
      </c>
      <c r="J20" s="49">
        <v>1.2409999999999999E-2</v>
      </c>
      <c r="K20" s="49">
        <v>1.5337E-2</v>
      </c>
      <c r="L20" s="49">
        <v>1.7347000000000001E-2</v>
      </c>
      <c r="M20" s="49">
        <v>1.8547999999999999E-2</v>
      </c>
      <c r="N20" s="49">
        <v>1.9213000000000001E-2</v>
      </c>
      <c r="O20" s="49">
        <v>1.9570000000000001E-2</v>
      </c>
      <c r="P20" s="49">
        <v>1.9761999999999998E-2</v>
      </c>
      <c r="Q20" s="49">
        <v>1.9866000000000002E-2</v>
      </c>
      <c r="R20" s="49">
        <v>1.9982E-2</v>
      </c>
      <c r="S20" s="49">
        <v>1.9987999999999999E-2</v>
      </c>
      <c r="T20" s="49">
        <v>1.9990999999999998E-2</v>
      </c>
      <c r="U20" s="49">
        <v>1.9994000000000001E-2</v>
      </c>
      <c r="V20" s="49">
        <v>1.9996E-2</v>
      </c>
      <c r="W20" s="49">
        <v>1.9998999999999999E-2</v>
      </c>
      <c r="X20" s="49">
        <v>1.9998999999999999E-2</v>
      </c>
      <c r="Y20" s="49">
        <v>1.9630999999999999E-2</v>
      </c>
      <c r="Z20" s="49">
        <v>1.9300000000000001E-2</v>
      </c>
      <c r="AA20" s="49">
        <v>1.9068999999999999E-2</v>
      </c>
      <c r="AB20" s="49">
        <v>1.8904000000000001E-2</v>
      </c>
      <c r="AC20" s="49">
        <v>1.8790999999999999E-2</v>
      </c>
      <c r="AD20" s="49">
        <v>1.8720000000000001E-2</v>
      </c>
      <c r="AE20" s="49">
        <v>1.8610000000000002E-2</v>
      </c>
      <c r="AF20" s="49">
        <v>1.7925E-2</v>
      </c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1</v>
      </c>
      <c r="E21" s="48" t="s">
        <v>65</v>
      </c>
      <c r="F21" s="49">
        <v>0</v>
      </c>
      <c r="G21" s="49">
        <v>0</v>
      </c>
      <c r="H21" s="49">
        <v>0</v>
      </c>
      <c r="I21" s="49">
        <v>0</v>
      </c>
      <c r="J21" s="49">
        <v>0</v>
      </c>
      <c r="K21" s="49">
        <v>0</v>
      </c>
      <c r="L21" s="49">
        <v>0</v>
      </c>
      <c r="M21" s="49">
        <v>0</v>
      </c>
      <c r="N21" s="49">
        <v>0</v>
      </c>
      <c r="O21" s="49">
        <v>0</v>
      </c>
      <c r="P21" s="49">
        <v>0</v>
      </c>
      <c r="Q21" s="49">
        <v>0</v>
      </c>
      <c r="R21" s="49">
        <v>0</v>
      </c>
      <c r="S21" s="49">
        <v>0</v>
      </c>
      <c r="T21" s="49">
        <v>0</v>
      </c>
      <c r="U21" s="49">
        <v>0</v>
      </c>
      <c r="V21" s="49">
        <v>1.1933E-35</v>
      </c>
      <c r="W21" s="49">
        <v>1.3674000000000001E-9</v>
      </c>
      <c r="X21" s="49">
        <v>2.8976999999999998E-6</v>
      </c>
      <c r="Y21" s="49">
        <v>0.10798000000000001</v>
      </c>
      <c r="Z21" s="49">
        <v>0.18587999999999999</v>
      </c>
      <c r="AA21" s="49">
        <v>0.22414000000000001</v>
      </c>
      <c r="AB21" s="49">
        <v>0.23968</v>
      </c>
      <c r="AC21" s="49">
        <v>0.24073</v>
      </c>
      <c r="AD21" s="49">
        <v>0.23275000000000001</v>
      </c>
      <c r="AE21" s="49">
        <v>0.23194000000000001</v>
      </c>
      <c r="AF21" s="49">
        <v>0.25752000000000003</v>
      </c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1</v>
      </c>
      <c r="D22" s="44">
        <f t="shared" si="1"/>
        <v>0</v>
      </c>
      <c r="E22" s="48" t="s">
        <v>66</v>
      </c>
      <c r="F22" s="49">
        <v>0</v>
      </c>
      <c r="G22" s="49">
        <v>0</v>
      </c>
      <c r="H22" s="49">
        <v>0</v>
      </c>
      <c r="I22" s="49">
        <v>0</v>
      </c>
      <c r="J22" s="49">
        <v>0</v>
      </c>
      <c r="K22" s="49">
        <v>0</v>
      </c>
      <c r="L22" s="49">
        <v>0</v>
      </c>
      <c r="M22" s="49">
        <v>0</v>
      </c>
      <c r="N22" s="49">
        <v>0</v>
      </c>
      <c r="O22" s="49">
        <v>0</v>
      </c>
      <c r="P22" s="49">
        <v>0</v>
      </c>
      <c r="Q22" s="49">
        <v>0</v>
      </c>
      <c r="R22" s="49">
        <v>0</v>
      </c>
      <c r="S22" s="49">
        <v>0</v>
      </c>
      <c r="T22" s="49">
        <v>0</v>
      </c>
      <c r="U22" s="49">
        <v>0</v>
      </c>
      <c r="V22" s="49">
        <v>0</v>
      </c>
      <c r="W22" s="49">
        <v>1.2666E-11</v>
      </c>
      <c r="X22" s="49">
        <v>1.9420000000000001E-8</v>
      </c>
      <c r="Y22" s="49">
        <v>7.3711000000000002E-4</v>
      </c>
      <c r="Z22" s="49">
        <v>1.3998999999999999E-3</v>
      </c>
      <c r="AA22" s="49">
        <v>1.8615000000000001E-3</v>
      </c>
      <c r="AB22" s="49">
        <v>2.1911999999999999E-3</v>
      </c>
      <c r="AC22" s="49">
        <v>2.4169999999999999E-3</v>
      </c>
      <c r="AD22" s="49">
        <v>2.5601999999999999E-3</v>
      </c>
      <c r="AE22" s="49">
        <v>2.7794999999999999E-3</v>
      </c>
      <c r="AF22" s="49">
        <v>4.1501000000000003E-3</v>
      </c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1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 t="s">
        <v>27</v>
      </c>
      <c r="F23" s="49">
        <v>-19080</v>
      </c>
      <c r="G23" s="49">
        <v>-19070</v>
      </c>
      <c r="H23" s="49">
        <v>-19150</v>
      </c>
      <c r="I23" s="49">
        <v>-19250</v>
      </c>
      <c r="J23" s="49">
        <v>-19270</v>
      </c>
      <c r="K23" s="49">
        <v>-19300</v>
      </c>
      <c r="L23" s="49">
        <v>-19330</v>
      </c>
      <c r="M23" s="49">
        <v>-19360</v>
      </c>
      <c r="N23" s="49">
        <v>-19390</v>
      </c>
      <c r="O23" s="49">
        <v>-19420</v>
      </c>
      <c r="P23" s="49">
        <v>-19460</v>
      </c>
      <c r="Q23" s="49">
        <v>-19490</v>
      </c>
      <c r="R23" s="49">
        <v>-19580</v>
      </c>
      <c r="S23" s="49">
        <v>-19540</v>
      </c>
      <c r="T23" s="49">
        <v>-19470</v>
      </c>
      <c r="U23" s="49">
        <v>-19420</v>
      </c>
      <c r="V23" s="49">
        <v>-19410</v>
      </c>
      <c r="W23" s="49">
        <v>-19510</v>
      </c>
      <c r="X23" s="49">
        <v>-19550</v>
      </c>
      <c r="Y23" s="49">
        <v>-19580</v>
      </c>
      <c r="Z23" s="49">
        <v>-19610</v>
      </c>
      <c r="AA23" s="49">
        <v>-19640</v>
      </c>
      <c r="AB23" s="49">
        <v>-19670</v>
      </c>
      <c r="AC23" s="49">
        <v>-19700</v>
      </c>
      <c r="AD23" s="49">
        <v>-19730</v>
      </c>
      <c r="AE23" s="49">
        <v>-19760</v>
      </c>
      <c r="AF23" s="49">
        <v>-19880</v>
      </c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1</v>
      </c>
      <c r="E24" s="41" t="s">
        <v>5</v>
      </c>
      <c r="F24" s="49">
        <v>-65990</v>
      </c>
      <c r="G24" s="49">
        <v>-51790</v>
      </c>
      <c r="H24" s="49">
        <v>-39260</v>
      </c>
      <c r="I24" s="49">
        <v>-30180</v>
      </c>
      <c r="J24" s="49">
        <v>-28280</v>
      </c>
      <c r="K24" s="49">
        <v>-26450</v>
      </c>
      <c r="L24" s="49">
        <v>-24700</v>
      </c>
      <c r="M24" s="49">
        <v>-23010</v>
      </c>
      <c r="N24" s="49">
        <v>-21400</v>
      </c>
      <c r="O24" s="49">
        <v>-19860</v>
      </c>
      <c r="P24" s="49">
        <v>-18390</v>
      </c>
      <c r="Q24" s="49">
        <v>-16990</v>
      </c>
      <c r="R24" s="49">
        <v>-12140</v>
      </c>
      <c r="S24" s="49">
        <v>-11270</v>
      </c>
      <c r="T24" s="49">
        <v>-10610</v>
      </c>
      <c r="U24" s="49">
        <v>-10070</v>
      </c>
      <c r="V24" s="49">
        <v>-9596</v>
      </c>
      <c r="W24" s="49">
        <v>-7969</v>
      </c>
      <c r="X24" s="49">
        <v>-7610</v>
      </c>
      <c r="Y24" s="49">
        <v>-7591</v>
      </c>
      <c r="Z24" s="49">
        <v>-7648</v>
      </c>
      <c r="AA24" s="49">
        <v>-7704</v>
      </c>
      <c r="AB24" s="49">
        <v>-7760</v>
      </c>
      <c r="AC24" s="49">
        <v>-7814</v>
      </c>
      <c r="AD24" s="49">
        <v>-7867</v>
      </c>
      <c r="AE24" s="49">
        <v>-7920</v>
      </c>
      <c r="AF24" s="49">
        <v>-8124</v>
      </c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1</v>
      </c>
      <c r="D25" s="44">
        <f t="shared" si="1"/>
        <v>0</v>
      </c>
      <c r="E25" s="41" t="s">
        <v>6</v>
      </c>
      <c r="F25" s="49">
        <v>-17380</v>
      </c>
      <c r="G25" s="49">
        <v>-13440</v>
      </c>
      <c r="H25" s="49">
        <v>-8996</v>
      </c>
      <c r="I25" s="49">
        <v>-6574</v>
      </c>
      <c r="J25" s="49">
        <v>-6359</v>
      </c>
      <c r="K25" s="49">
        <v>-6246</v>
      </c>
      <c r="L25" s="49">
        <v>-6201</v>
      </c>
      <c r="M25" s="49">
        <v>-6196</v>
      </c>
      <c r="N25" s="49">
        <v>-6214</v>
      </c>
      <c r="O25" s="49">
        <v>-6242</v>
      </c>
      <c r="P25" s="49">
        <v>-6277</v>
      </c>
      <c r="Q25" s="49">
        <v>-6315</v>
      </c>
      <c r="R25" s="49">
        <v>-6666</v>
      </c>
      <c r="S25" s="49">
        <v>-6979</v>
      </c>
      <c r="T25" s="49">
        <v>-7351</v>
      </c>
      <c r="U25" s="49">
        <v>-7644</v>
      </c>
      <c r="V25" s="49">
        <v>-7824</v>
      </c>
      <c r="W25" s="49">
        <v>-8111</v>
      </c>
      <c r="X25" s="49">
        <v>-8167</v>
      </c>
      <c r="Y25" s="49">
        <v>-8218</v>
      </c>
      <c r="Z25" s="49">
        <v>-8261</v>
      </c>
      <c r="AA25" s="49">
        <v>-8301</v>
      </c>
      <c r="AB25" s="49">
        <v>-8339</v>
      </c>
      <c r="AC25" s="49">
        <v>-8375</v>
      </c>
      <c r="AD25" s="49">
        <v>-8410</v>
      </c>
      <c r="AE25" s="49">
        <v>-8448</v>
      </c>
      <c r="AF25" s="49">
        <v>-8615</v>
      </c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1</v>
      </c>
      <c r="C26" s="44">
        <f t="shared" si="1"/>
        <v>0</v>
      </c>
      <c r="D26" s="44">
        <f t="shared" si="1"/>
        <v>0</v>
      </c>
      <c r="E26" s="41" t="s">
        <v>7</v>
      </c>
      <c r="F26" s="49">
        <v>-23570</v>
      </c>
      <c r="G26" s="49">
        <v>-21380</v>
      </c>
      <c r="H26" s="49">
        <v>-22030</v>
      </c>
      <c r="I26" s="49">
        <v>-22650</v>
      </c>
      <c r="J26" s="49">
        <v>-22810</v>
      </c>
      <c r="K26" s="49">
        <v>-23000</v>
      </c>
      <c r="L26" s="49">
        <v>-23210</v>
      </c>
      <c r="M26" s="49">
        <v>-23430</v>
      </c>
      <c r="N26" s="49">
        <v>-23660</v>
      </c>
      <c r="O26" s="49">
        <v>-23900</v>
      </c>
      <c r="P26" s="49">
        <v>-24140</v>
      </c>
      <c r="Q26" s="49">
        <v>-24370</v>
      </c>
      <c r="R26" s="49">
        <v>-25240</v>
      </c>
      <c r="S26" s="49">
        <v>-25360</v>
      </c>
      <c r="T26" s="49">
        <v>-25470</v>
      </c>
      <c r="U26" s="49">
        <v>-25600</v>
      </c>
      <c r="V26" s="49">
        <v>-25770</v>
      </c>
      <c r="W26" s="49">
        <v>-26620</v>
      </c>
      <c r="X26" s="49">
        <v>-26830</v>
      </c>
      <c r="Y26" s="49">
        <v>-26900</v>
      </c>
      <c r="Z26" s="49">
        <v>-27010</v>
      </c>
      <c r="AA26" s="49">
        <v>-27170</v>
      </c>
      <c r="AB26" s="49">
        <v>-27350</v>
      </c>
      <c r="AC26" s="49">
        <v>-27540</v>
      </c>
      <c r="AD26" s="49">
        <v>-27730</v>
      </c>
      <c r="AE26" s="49">
        <v>-27920</v>
      </c>
      <c r="AF26" s="49">
        <v>-28700</v>
      </c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2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ref="A33:D33" si="3">IF( ISNUMBER( FIND(A$3,$E33,1)),   IF( ISNUMBER( VALUE(MID($E33,FIND(A$3,$E33,1)+2,1)) ), VALUE( MID($E33,FIND(A$3,$E33,1)+2,1) ),1),0)</f>
        <v>0</v>
      </c>
      <c r="B33" s="44">
        <f t="shared" si="3"/>
        <v>0</v>
      </c>
      <c r="C33" s="44">
        <f t="shared" si="3"/>
        <v>0</v>
      </c>
      <c r="D33" s="44">
        <f t="shared" si="3"/>
        <v>0</v>
      </c>
      <c r="E33" s="41">
        <v>1</v>
      </c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27</v>
      </c>
      <c r="D34" s="47">
        <f>MATCH(C34,$E$4:$E$33)</f>
        <v>20</v>
      </c>
      <c r="E34" s="11" t="str">
        <f ca="1">OFFSET($E$3:$AL$3,$D34,0)</f>
        <v>H (Ar)</v>
      </c>
      <c r="F34" s="14">
        <f t="shared" ref="F34:AL37" ca="1" si="4">OFFSET($E$3:$AL$3,$D34,0)</f>
        <v>-19080</v>
      </c>
      <c r="G34" s="14">
        <f t="shared" ca="1" si="4"/>
        <v>-19070</v>
      </c>
      <c r="H34" s="14">
        <f t="shared" ca="1" si="4"/>
        <v>-19150</v>
      </c>
      <c r="I34" s="14">
        <f t="shared" ca="1" si="4"/>
        <v>-19250</v>
      </c>
      <c r="J34" s="14">
        <f t="shared" ca="1" si="4"/>
        <v>-19270</v>
      </c>
      <c r="K34" s="14">
        <f t="shared" ca="1" si="4"/>
        <v>-19300</v>
      </c>
      <c r="L34" s="14">
        <f t="shared" ca="1" si="4"/>
        <v>-19330</v>
      </c>
      <c r="M34" s="14">
        <f t="shared" ca="1" si="4"/>
        <v>-19360</v>
      </c>
      <c r="N34" s="14">
        <f t="shared" ca="1" si="4"/>
        <v>-19390</v>
      </c>
      <c r="O34" s="14">
        <f t="shared" ca="1" si="4"/>
        <v>-19420</v>
      </c>
      <c r="P34" s="14">
        <f t="shared" ca="1" si="4"/>
        <v>-19460</v>
      </c>
      <c r="Q34" s="14">
        <f t="shared" ca="1" si="4"/>
        <v>-19490</v>
      </c>
      <c r="R34" s="14">
        <f t="shared" ca="1" si="4"/>
        <v>-19580</v>
      </c>
      <c r="S34" s="14">
        <f t="shared" ca="1" si="4"/>
        <v>-19540</v>
      </c>
      <c r="T34" s="14">
        <f t="shared" ca="1" si="4"/>
        <v>-19470</v>
      </c>
      <c r="U34" s="14">
        <f t="shared" ca="1" si="4"/>
        <v>-19420</v>
      </c>
      <c r="V34" s="14">
        <f t="shared" ca="1" si="4"/>
        <v>-19410</v>
      </c>
      <c r="W34" s="14">
        <f t="shared" ca="1" si="4"/>
        <v>-19510</v>
      </c>
      <c r="X34" s="14">
        <f t="shared" ca="1" si="4"/>
        <v>-19550</v>
      </c>
      <c r="Y34" s="14">
        <f t="shared" ca="1" si="4"/>
        <v>-19580</v>
      </c>
      <c r="Z34" s="14">
        <f t="shared" ca="1" si="4"/>
        <v>-19610</v>
      </c>
      <c r="AA34" s="14">
        <f t="shared" ca="1" si="4"/>
        <v>-19640</v>
      </c>
      <c r="AB34" s="14">
        <f t="shared" ca="1" si="4"/>
        <v>-19670</v>
      </c>
      <c r="AC34" s="14">
        <f t="shared" ca="1" si="4"/>
        <v>-19700</v>
      </c>
      <c r="AD34" s="14">
        <f t="shared" ca="1" si="4"/>
        <v>-19730</v>
      </c>
      <c r="AE34" s="14">
        <f t="shared" ca="1" si="4"/>
        <v>-19760</v>
      </c>
      <c r="AF34" s="14">
        <f t="shared" ca="1" si="4"/>
        <v>-19880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s="37" customFormat="1" ht="21" customHeight="1" outlineLevel="1" x14ac:dyDescent="0.35">
      <c r="C35" s="11" t="s">
        <v>5</v>
      </c>
      <c r="D35" s="47">
        <f t="shared" ref="D35:D37" si="5">MATCH(C35,$E$4:$E$33)</f>
        <v>21</v>
      </c>
      <c r="E35" s="11" t="str">
        <f t="shared" ref="E35:E37" ca="1" si="6">OFFSET($E$3:$AL$3,$D35,0)</f>
        <v>H (Ga)</v>
      </c>
      <c r="F35" s="14">
        <f t="shared" ca="1" si="4"/>
        <v>-65990</v>
      </c>
      <c r="G35" s="14">
        <f t="shared" ca="1" si="4"/>
        <v>-51790</v>
      </c>
      <c r="H35" s="14">
        <f t="shared" ca="1" si="4"/>
        <v>-39260</v>
      </c>
      <c r="I35" s="14">
        <f t="shared" ca="1" si="4"/>
        <v>-30180</v>
      </c>
      <c r="J35" s="14">
        <f t="shared" ca="1" si="4"/>
        <v>-28280</v>
      </c>
      <c r="K35" s="14">
        <f t="shared" ca="1" si="4"/>
        <v>-26450</v>
      </c>
      <c r="L35" s="14">
        <f t="shared" ca="1" si="4"/>
        <v>-24700</v>
      </c>
      <c r="M35" s="14">
        <f t="shared" ca="1" si="4"/>
        <v>-23010</v>
      </c>
      <c r="N35" s="14">
        <f t="shared" ca="1" si="4"/>
        <v>-21400</v>
      </c>
      <c r="O35" s="14">
        <f t="shared" ca="1" si="4"/>
        <v>-19860</v>
      </c>
      <c r="P35" s="14">
        <f t="shared" ca="1" si="4"/>
        <v>-18390</v>
      </c>
      <c r="Q35" s="14">
        <f t="shared" ca="1" si="4"/>
        <v>-16990</v>
      </c>
      <c r="R35" s="14">
        <f t="shared" ca="1" si="4"/>
        <v>-12140</v>
      </c>
      <c r="S35" s="14">
        <f t="shared" ca="1" si="4"/>
        <v>-11270</v>
      </c>
      <c r="T35" s="14">
        <f t="shared" ca="1" si="4"/>
        <v>-10610</v>
      </c>
      <c r="U35" s="14">
        <f t="shared" ca="1" si="4"/>
        <v>-10070</v>
      </c>
      <c r="V35" s="14">
        <f t="shared" ca="1" si="4"/>
        <v>-9596</v>
      </c>
      <c r="W35" s="14">
        <f t="shared" ca="1" si="4"/>
        <v>-7969</v>
      </c>
      <c r="X35" s="14">
        <f t="shared" ca="1" si="4"/>
        <v>-7610</v>
      </c>
      <c r="Y35" s="14">
        <f t="shared" ca="1" si="4"/>
        <v>-7591</v>
      </c>
      <c r="Z35" s="14">
        <f t="shared" ca="1" si="4"/>
        <v>-7648</v>
      </c>
      <c r="AA35" s="14">
        <f t="shared" ca="1" si="4"/>
        <v>-7704</v>
      </c>
      <c r="AB35" s="14">
        <f t="shared" ca="1" si="4"/>
        <v>-7760</v>
      </c>
      <c r="AC35" s="14">
        <f t="shared" ca="1" si="4"/>
        <v>-7814</v>
      </c>
      <c r="AD35" s="14">
        <f t="shared" ca="1" si="4"/>
        <v>-7867</v>
      </c>
      <c r="AE35" s="14">
        <f t="shared" ca="1" si="4"/>
        <v>-7920</v>
      </c>
      <c r="AF35" s="14">
        <f t="shared" ca="1" si="4"/>
        <v>-8124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s="37" customFormat="1" ht="21" customHeight="1" outlineLevel="1" x14ac:dyDescent="0.35">
      <c r="C36" s="11" t="s">
        <v>6</v>
      </c>
      <c r="D36" s="47">
        <f t="shared" si="5"/>
        <v>22</v>
      </c>
      <c r="E36" s="11" t="str">
        <f t="shared" ca="1" si="6"/>
        <v>H (Ge)</v>
      </c>
      <c r="F36" s="14">
        <f t="shared" ca="1" si="4"/>
        <v>-17380</v>
      </c>
      <c r="G36" s="14">
        <f t="shared" ca="1" si="4"/>
        <v>-13440</v>
      </c>
      <c r="H36" s="14">
        <f t="shared" ca="1" si="4"/>
        <v>-8996</v>
      </c>
      <c r="I36" s="14">
        <f t="shared" ca="1" si="4"/>
        <v>-6574</v>
      </c>
      <c r="J36" s="14">
        <f t="shared" ca="1" si="4"/>
        <v>-6359</v>
      </c>
      <c r="K36" s="14">
        <f t="shared" ca="1" si="4"/>
        <v>-6246</v>
      </c>
      <c r="L36" s="14">
        <f t="shared" ca="1" si="4"/>
        <v>-6201</v>
      </c>
      <c r="M36" s="14">
        <f t="shared" ca="1" si="4"/>
        <v>-6196</v>
      </c>
      <c r="N36" s="14">
        <f t="shared" ca="1" si="4"/>
        <v>-6214</v>
      </c>
      <c r="O36" s="14">
        <f t="shared" ca="1" si="4"/>
        <v>-6242</v>
      </c>
      <c r="P36" s="14">
        <f t="shared" ca="1" si="4"/>
        <v>-6277</v>
      </c>
      <c r="Q36" s="14">
        <f t="shared" ca="1" si="4"/>
        <v>-6315</v>
      </c>
      <c r="R36" s="14">
        <f t="shared" ca="1" si="4"/>
        <v>-6666</v>
      </c>
      <c r="S36" s="14">
        <f t="shared" ca="1" si="4"/>
        <v>-6979</v>
      </c>
      <c r="T36" s="14">
        <f t="shared" ca="1" si="4"/>
        <v>-7351</v>
      </c>
      <c r="U36" s="14">
        <f t="shared" ca="1" si="4"/>
        <v>-7644</v>
      </c>
      <c r="V36" s="14">
        <f t="shared" ca="1" si="4"/>
        <v>-7824</v>
      </c>
      <c r="W36" s="14">
        <f t="shared" ca="1" si="4"/>
        <v>-8111</v>
      </c>
      <c r="X36" s="14">
        <f t="shared" ca="1" si="4"/>
        <v>-8167</v>
      </c>
      <c r="Y36" s="14">
        <f t="shared" ca="1" si="4"/>
        <v>-8218</v>
      </c>
      <c r="Z36" s="14">
        <f t="shared" ca="1" si="4"/>
        <v>-8261</v>
      </c>
      <c r="AA36" s="14">
        <f t="shared" ca="1" si="4"/>
        <v>-8301</v>
      </c>
      <c r="AB36" s="14">
        <f t="shared" ca="1" si="4"/>
        <v>-8339</v>
      </c>
      <c r="AC36" s="14">
        <f t="shared" ca="1" si="4"/>
        <v>-8375</v>
      </c>
      <c r="AD36" s="14">
        <f t="shared" ca="1" si="4"/>
        <v>-8410</v>
      </c>
      <c r="AE36" s="14">
        <f t="shared" ca="1" si="4"/>
        <v>-8448</v>
      </c>
      <c r="AF36" s="14">
        <f t="shared" ca="1" si="4"/>
        <v>-8615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5"/>
        <v>23</v>
      </c>
      <c r="E37" s="11" t="str">
        <f t="shared" ca="1" si="6"/>
        <v>H (Se)</v>
      </c>
      <c r="F37" s="14">
        <f t="shared" ca="1" si="4"/>
        <v>-23570</v>
      </c>
      <c r="G37" s="14">
        <f t="shared" ca="1" si="4"/>
        <v>-21380</v>
      </c>
      <c r="H37" s="14">
        <f t="shared" ca="1" si="4"/>
        <v>-22030</v>
      </c>
      <c r="I37" s="14">
        <f t="shared" ca="1" si="4"/>
        <v>-22650</v>
      </c>
      <c r="J37" s="14">
        <f t="shared" ca="1" si="4"/>
        <v>-22810</v>
      </c>
      <c r="K37" s="14">
        <f t="shared" ca="1" si="4"/>
        <v>-23000</v>
      </c>
      <c r="L37" s="14">
        <f t="shared" ca="1" si="4"/>
        <v>-23210</v>
      </c>
      <c r="M37" s="14">
        <f t="shared" ca="1" si="4"/>
        <v>-23430</v>
      </c>
      <c r="N37" s="14">
        <f t="shared" ca="1" si="4"/>
        <v>-23660</v>
      </c>
      <c r="O37" s="14">
        <f t="shared" ca="1" si="4"/>
        <v>-23900</v>
      </c>
      <c r="P37" s="14">
        <f t="shared" ca="1" si="4"/>
        <v>-24140</v>
      </c>
      <c r="Q37" s="14">
        <f t="shared" ca="1" si="4"/>
        <v>-24370</v>
      </c>
      <c r="R37" s="14">
        <f t="shared" ca="1" si="4"/>
        <v>-25240</v>
      </c>
      <c r="S37" s="14">
        <f t="shared" ca="1" si="4"/>
        <v>-25360</v>
      </c>
      <c r="T37" s="14">
        <f t="shared" ca="1" si="4"/>
        <v>-25470</v>
      </c>
      <c r="U37" s="14">
        <f t="shared" ca="1" si="4"/>
        <v>-25600</v>
      </c>
      <c r="V37" s="14">
        <f t="shared" ca="1" si="4"/>
        <v>-25770</v>
      </c>
      <c r="W37" s="14">
        <f t="shared" ca="1" si="4"/>
        <v>-26620</v>
      </c>
      <c r="X37" s="14">
        <f t="shared" ca="1" si="4"/>
        <v>-26830</v>
      </c>
      <c r="Y37" s="14">
        <f t="shared" ca="1" si="4"/>
        <v>-26900</v>
      </c>
      <c r="Z37" s="14">
        <f t="shared" ca="1" si="4"/>
        <v>-27010</v>
      </c>
      <c r="AA37" s="14">
        <f t="shared" ca="1" si="4"/>
        <v>-27170</v>
      </c>
      <c r="AB37" s="14">
        <f t="shared" ca="1" si="4"/>
        <v>-27350</v>
      </c>
      <c r="AC37" s="14">
        <f t="shared" ca="1" si="4"/>
        <v>-27540</v>
      </c>
      <c r="AD37" s="14">
        <f t="shared" ca="1" si="4"/>
        <v>-27730</v>
      </c>
      <c r="AE37" s="14">
        <f t="shared" ca="1" si="4"/>
        <v>-27920</v>
      </c>
      <c r="AF37" s="14">
        <f t="shared" ca="1" si="4"/>
        <v>-28700</v>
      </c>
      <c r="AG37" s="14">
        <f t="shared" ca="1" si="4"/>
        <v>0</v>
      </c>
      <c r="AH37" s="14">
        <f t="shared" ref="AH37:AL37" ca="1" si="7">OFFSET($E$3:$AL$3,$D37,0)</f>
        <v>0</v>
      </c>
      <c r="AI37" s="14">
        <f t="shared" ca="1" si="7"/>
        <v>0</v>
      </c>
      <c r="AJ37" s="14">
        <f t="shared" ca="1" si="7"/>
        <v>0</v>
      </c>
      <c r="AK37" s="14">
        <f t="shared" ca="1" si="7"/>
        <v>0</v>
      </c>
      <c r="AL37" s="14">
        <f t="shared" ca="1" si="7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s="37" customFormat="1" ht="21" customHeight="1" thickBot="1" x14ac:dyDescent="0.4"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20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8">G3</f>
        <v>339.2</v>
      </c>
      <c r="H40" s="8">
        <f t="shared" si="8"/>
        <v>405.3</v>
      </c>
      <c r="I40" s="8">
        <f t="shared" si="8"/>
        <v>471.4</v>
      </c>
      <c r="J40" s="8">
        <f t="shared" si="8"/>
        <v>487.9</v>
      </c>
      <c r="K40" s="8">
        <f t="shared" si="8"/>
        <v>504.4</v>
      </c>
      <c r="L40" s="8">
        <f t="shared" si="8"/>
        <v>520.9</v>
      </c>
      <c r="M40" s="8">
        <f t="shared" si="8"/>
        <v>537.5</v>
      </c>
      <c r="N40" s="8">
        <f t="shared" si="8"/>
        <v>554</v>
      </c>
      <c r="O40" s="8">
        <f t="shared" si="8"/>
        <v>570.5</v>
      </c>
      <c r="P40" s="8">
        <f t="shared" si="8"/>
        <v>587</v>
      </c>
      <c r="Q40" s="8">
        <f t="shared" si="8"/>
        <v>603.5</v>
      </c>
      <c r="R40" s="8">
        <f t="shared" si="8"/>
        <v>669.6</v>
      </c>
      <c r="S40" s="8">
        <f t="shared" si="8"/>
        <v>686.1</v>
      </c>
      <c r="T40" s="8">
        <f t="shared" si="8"/>
        <v>702.7</v>
      </c>
      <c r="U40" s="8">
        <f t="shared" si="8"/>
        <v>719.2</v>
      </c>
      <c r="V40" s="8">
        <f t="shared" si="8"/>
        <v>735.7</v>
      </c>
      <c r="W40" s="8">
        <f t="shared" si="8"/>
        <v>801.8</v>
      </c>
      <c r="X40" s="8">
        <f t="shared" si="8"/>
        <v>818.3</v>
      </c>
      <c r="Y40" s="8">
        <f t="shared" si="8"/>
        <v>834.8</v>
      </c>
      <c r="Z40" s="8">
        <f t="shared" si="8"/>
        <v>851.3</v>
      </c>
      <c r="AA40" s="8">
        <f t="shared" si="8"/>
        <v>867.8</v>
      </c>
      <c r="AB40" s="8">
        <f t="shared" si="8"/>
        <v>884.4</v>
      </c>
      <c r="AC40" s="8">
        <f t="shared" si="8"/>
        <v>900.9</v>
      </c>
      <c r="AD40" s="8">
        <f t="shared" si="8"/>
        <v>917.4</v>
      </c>
      <c r="AE40" s="8">
        <f t="shared" si="8"/>
        <v>933.9</v>
      </c>
      <c r="AF40" s="8">
        <f t="shared" si="8"/>
        <v>1000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si="8"/>
        <v>0</v>
      </c>
    </row>
    <row r="41" spans="1:54" ht="21" customHeight="1" outlineLevel="1" thickTop="1" x14ac:dyDescent="0.35">
      <c r="A41" s="9">
        <f>Values!D3/Values!$D$3</f>
        <v>1</v>
      </c>
      <c r="B41" s="9">
        <f>Values!E3/Values!$D$3</f>
        <v>0.2</v>
      </c>
      <c r="C41" s="9">
        <f>Values!F3/Values!$D$3</f>
        <v>1.4</v>
      </c>
      <c r="D41" s="9">
        <f>Values!G3/Values!$D$3</f>
        <v>2.4</v>
      </c>
      <c r="E41" s="9">
        <f>SUM(A41:D41)</f>
        <v>5</v>
      </c>
      <c r="F41" s="10">
        <f ca="1">($B$41*H.Ge+$C$41*H.Ga+$D$41*H.Se)*F$40*$B$2/1000</f>
        <v>-346121.26907850004</v>
      </c>
      <c r="G41" s="10">
        <f t="shared" ref="G41:AL41" ca="1" si="9">($B$41*H.Ge+$C$41*H.Ga+$D$41*H.Se)*G$40*$B$2/1000</f>
        <v>-356782.13927039999</v>
      </c>
      <c r="H41" s="10">
        <f t="shared" ca="1" si="9"/>
        <v>-369456.02607312007</v>
      </c>
      <c r="I41" s="10">
        <f t="shared" ca="1" si="9"/>
        <v>-383819.71527203999</v>
      </c>
      <c r="J41" s="10">
        <f t="shared" ca="1" si="9"/>
        <v>-387846.86080749001</v>
      </c>
      <c r="K41" s="10">
        <f t="shared" ca="1" si="9"/>
        <v>-392036.22855696001</v>
      </c>
      <c r="L41" s="10">
        <f t="shared" ca="1" si="9"/>
        <v>-396393.41983281</v>
      </c>
      <c r="M41" s="10">
        <f t="shared" ca="1" si="9"/>
        <v>-400807.08252750005</v>
      </c>
      <c r="N41" s="10">
        <f t="shared" ca="1" si="9"/>
        <v>-405287.70172439999</v>
      </c>
      <c r="O41" s="10">
        <f t="shared" ca="1" si="9"/>
        <v>-409890.50083590002</v>
      </c>
      <c r="P41" s="10">
        <f t="shared" ca="1" si="9"/>
        <v>-414546.45122009999</v>
      </c>
      <c r="Q41" s="10">
        <f t="shared" ca="1" si="9"/>
        <v>-419172.02125275001</v>
      </c>
      <c r="R41" s="10">
        <f t="shared" ca="1" si="9"/>
        <v>-439295.95830384002</v>
      </c>
      <c r="S41" s="10">
        <f t="shared" ca="1" si="9"/>
        <v>-445172.75216541009</v>
      </c>
      <c r="T41" s="10">
        <f t="shared" ca="1" si="9"/>
        <v>-452522.15788563009</v>
      </c>
      <c r="U41" s="10">
        <f t="shared" ca="1" si="9"/>
        <v>-460843.15666512004</v>
      </c>
      <c r="V41" s="10">
        <f t="shared" ca="1" si="9"/>
        <v>-470072.60486508004</v>
      </c>
      <c r="W41" s="10">
        <f t="shared" ca="1" si="9"/>
        <v>-511104.28987548006</v>
      </c>
      <c r="X41" s="10">
        <f t="shared" ca="1" si="9"/>
        <v>-521707.87798478996</v>
      </c>
      <c r="Y41" s="10">
        <f t="shared" ca="1" si="9"/>
        <v>-533279.71456260001</v>
      </c>
      <c r="Z41" s="10">
        <f t="shared" ca="1" si="9"/>
        <v>-546314.43619808997</v>
      </c>
      <c r="AA41" s="10">
        <f t="shared" ca="1" si="9"/>
        <v>-560297.25694277999</v>
      </c>
      <c r="AB41" s="10">
        <f t="shared" ca="1" si="9"/>
        <v>-574824.12086483999</v>
      </c>
      <c r="AC41" s="10">
        <f t="shared" ca="1" si="9"/>
        <v>-589584.35068533011</v>
      </c>
      <c r="AD41" s="10">
        <f t="shared" ca="1" si="9"/>
        <v>-604480.21128594002</v>
      </c>
      <c r="AE41" s="10">
        <f t="shared" ca="1" si="9"/>
        <v>-619528.12696368003</v>
      </c>
      <c r="AF41" s="10">
        <f t="shared" ca="1" si="9"/>
        <v>-681594.44070000004</v>
      </c>
      <c r="AG41" s="10">
        <f t="shared" ca="1" si="9"/>
        <v>0</v>
      </c>
      <c r="AH41" s="10">
        <f t="shared" ca="1" si="9"/>
        <v>0</v>
      </c>
      <c r="AI41" s="10">
        <f t="shared" ca="1" si="9"/>
        <v>0</v>
      </c>
      <c r="AJ41" s="10">
        <f t="shared" ca="1" si="9"/>
        <v>0</v>
      </c>
      <c r="AK41" s="10">
        <f t="shared" ca="1" si="9"/>
        <v>0</v>
      </c>
      <c r="AL41" s="10">
        <f t="shared" ca="1" si="9"/>
        <v>0</v>
      </c>
    </row>
    <row r="42" spans="1:54" ht="176.25" customHeight="1" outlineLevel="1" x14ac:dyDescent="0.35"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54" ht="21" customHeight="1" x14ac:dyDescent="0.35"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54" ht="21" customHeight="1" x14ac:dyDescent="0.4">
      <c r="A44" s="72"/>
      <c r="B44" s="72"/>
      <c r="C44" s="72"/>
      <c r="D44" s="72"/>
      <c r="E44" s="71" t="s">
        <v>21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10">E3</f>
        <v>Temperature,К Pressure, at</v>
      </c>
      <c r="F45" s="3">
        <f t="shared" si="10"/>
        <v>273.10000000000002</v>
      </c>
      <c r="G45" s="3">
        <f t="shared" si="10"/>
        <v>339.2</v>
      </c>
      <c r="H45" s="3">
        <f t="shared" si="10"/>
        <v>405.3</v>
      </c>
      <c r="I45" s="3">
        <f t="shared" si="10"/>
        <v>471.4</v>
      </c>
      <c r="J45" s="3">
        <f t="shared" si="10"/>
        <v>487.9</v>
      </c>
      <c r="K45" s="3">
        <f t="shared" si="10"/>
        <v>504.4</v>
      </c>
      <c r="L45" s="3">
        <f t="shared" si="10"/>
        <v>520.9</v>
      </c>
      <c r="M45" s="3">
        <f t="shared" si="10"/>
        <v>537.5</v>
      </c>
      <c r="N45" s="3">
        <f t="shared" si="10"/>
        <v>554</v>
      </c>
      <c r="O45" s="3">
        <f t="shared" si="10"/>
        <v>570.5</v>
      </c>
      <c r="P45" s="3">
        <f t="shared" si="10"/>
        <v>587</v>
      </c>
      <c r="Q45" s="3">
        <f t="shared" si="10"/>
        <v>603.5</v>
      </c>
      <c r="R45" s="3">
        <f t="shared" si="10"/>
        <v>669.6</v>
      </c>
      <c r="S45" s="3">
        <f t="shared" si="10"/>
        <v>686.1</v>
      </c>
      <c r="T45" s="3">
        <f t="shared" si="10"/>
        <v>702.7</v>
      </c>
      <c r="U45" s="3">
        <f t="shared" si="10"/>
        <v>719.2</v>
      </c>
      <c r="V45" s="3">
        <f t="shared" si="10"/>
        <v>735.7</v>
      </c>
      <c r="W45" s="3">
        <f t="shared" si="10"/>
        <v>801.8</v>
      </c>
      <c r="X45" s="3">
        <f t="shared" si="10"/>
        <v>818.3</v>
      </c>
      <c r="Y45" s="3">
        <f t="shared" si="10"/>
        <v>834.8</v>
      </c>
      <c r="Z45" s="3">
        <f t="shared" si="10"/>
        <v>851.3</v>
      </c>
      <c r="AA45" s="3">
        <f t="shared" si="10"/>
        <v>867.8</v>
      </c>
      <c r="AB45" s="3">
        <f t="shared" si="10"/>
        <v>884.4</v>
      </c>
      <c r="AC45" s="3">
        <f t="shared" si="10"/>
        <v>900.9</v>
      </c>
      <c r="AD45" s="3">
        <f t="shared" si="10"/>
        <v>917.4</v>
      </c>
      <c r="AE45" s="3">
        <f t="shared" si="10"/>
        <v>933.9</v>
      </c>
      <c r="AF45" s="3">
        <f t="shared" si="10"/>
        <v>1000</v>
      </c>
      <c r="AG45" s="3">
        <f t="shared" si="10"/>
        <v>0</v>
      </c>
      <c r="AH45" s="3">
        <f t="shared" si="10"/>
        <v>0</v>
      </c>
      <c r="AI45" s="3">
        <f t="shared" si="10"/>
        <v>0</v>
      </c>
      <c r="AJ45" s="3">
        <f t="shared" si="10"/>
        <v>0</v>
      </c>
      <c r="AK45" s="3">
        <f t="shared" si="10"/>
        <v>0</v>
      </c>
      <c r="AL45" s="3">
        <f t="shared" si="10"/>
        <v>0</v>
      </c>
    </row>
    <row r="46" spans="1:54" ht="21" hidden="1" customHeight="1" outlineLevel="1" thickTop="1" thickBot="1" x14ac:dyDescent="0.4">
      <c r="A46" s="5">
        <f t="shared" ref="A46:E55" si="11">A4</f>
        <v>0</v>
      </c>
      <c r="B46" s="5">
        <f t="shared" si="11"/>
        <v>1</v>
      </c>
      <c r="C46" s="5">
        <f t="shared" si="11"/>
        <v>1</v>
      </c>
      <c r="D46" s="5">
        <f t="shared" si="11"/>
        <v>0</v>
      </c>
      <c r="E46" s="6" t="str">
        <f t="shared" si="11"/>
        <v>*GeSe</v>
      </c>
      <c r="F46" s="14">
        <f t="shared" ref="F46:U55" ca="1" si="12">$A46*H.Ar + $B46*H.Se + $C46*H.Ge + $D46*H.Ga</f>
        <v>-40950</v>
      </c>
      <c r="G46" s="14">
        <f t="shared" ca="1" si="12"/>
        <v>-34820</v>
      </c>
      <c r="H46" s="14">
        <f t="shared" ca="1" si="12"/>
        <v>-31026</v>
      </c>
      <c r="I46" s="14">
        <f t="shared" ca="1" si="12"/>
        <v>-29224</v>
      </c>
      <c r="J46" s="14">
        <f t="shared" ca="1" si="12"/>
        <v>-29169</v>
      </c>
      <c r="K46" s="14">
        <f t="shared" ca="1" si="12"/>
        <v>-29246</v>
      </c>
      <c r="L46" s="14">
        <f t="shared" ca="1" si="12"/>
        <v>-29411</v>
      </c>
      <c r="M46" s="14">
        <f t="shared" ca="1" si="12"/>
        <v>-29626</v>
      </c>
      <c r="N46" s="14">
        <f t="shared" ca="1" si="12"/>
        <v>-29874</v>
      </c>
      <c r="O46" s="14">
        <f t="shared" ca="1" si="12"/>
        <v>-30142</v>
      </c>
      <c r="P46" s="14">
        <f t="shared" ca="1" si="12"/>
        <v>-30417</v>
      </c>
      <c r="Q46" s="14">
        <f t="shared" ca="1" si="12"/>
        <v>-30685</v>
      </c>
      <c r="R46" s="14">
        <f t="shared" ca="1" si="12"/>
        <v>-31906</v>
      </c>
      <c r="S46" s="14">
        <f t="shared" ca="1" si="12"/>
        <v>-32339</v>
      </c>
      <c r="T46" s="14">
        <f t="shared" ca="1" si="12"/>
        <v>-32821</v>
      </c>
      <c r="U46" s="14">
        <f t="shared" ca="1" si="12"/>
        <v>-33244</v>
      </c>
      <c r="V46" s="14">
        <f t="shared" ref="G46:AL54" ca="1" si="13">$A46*H.Ar + $B46*H.Se + $C46*H.Ge + $D46*H.Ga</f>
        <v>-33594</v>
      </c>
      <c r="W46" s="14">
        <f t="shared" ca="1" si="13"/>
        <v>-34731</v>
      </c>
      <c r="X46" s="14">
        <f t="shared" ca="1" si="13"/>
        <v>-34997</v>
      </c>
      <c r="Y46" s="14">
        <f t="shared" ca="1" si="13"/>
        <v>-35118</v>
      </c>
      <c r="Z46" s="14">
        <f t="shared" ca="1" si="13"/>
        <v>-35271</v>
      </c>
      <c r="AA46" s="14">
        <f t="shared" ca="1" si="13"/>
        <v>-35471</v>
      </c>
      <c r="AB46" s="14">
        <f t="shared" ca="1" si="13"/>
        <v>-35689</v>
      </c>
      <c r="AC46" s="14">
        <f t="shared" ca="1" si="13"/>
        <v>-35915</v>
      </c>
      <c r="AD46" s="14">
        <f t="shared" ca="1" si="13"/>
        <v>-36140</v>
      </c>
      <c r="AE46" s="14">
        <f t="shared" ca="1" si="13"/>
        <v>-36368</v>
      </c>
      <c r="AF46" s="14">
        <f t="shared" ca="1" si="13"/>
        <v>-37315</v>
      </c>
      <c r="AG46" s="14">
        <f t="shared" ca="1" si="13"/>
        <v>0</v>
      </c>
      <c r="AH46" s="14">
        <f t="shared" ca="1" si="13"/>
        <v>0</v>
      </c>
      <c r="AI46" s="14">
        <f t="shared" ca="1" si="13"/>
        <v>0</v>
      </c>
      <c r="AJ46" s="14">
        <f t="shared" ca="1" si="13"/>
        <v>0</v>
      </c>
      <c r="AK46" s="14">
        <f t="shared" ca="1" si="13"/>
        <v>0</v>
      </c>
      <c r="AL46" s="14">
        <f t="shared" ca="1" si="13"/>
        <v>0</v>
      </c>
    </row>
    <row r="47" spans="1:54" ht="21" hidden="1" customHeight="1" outlineLevel="1" thickBot="1" x14ac:dyDescent="0.4">
      <c r="A47" s="5">
        <f t="shared" si="11"/>
        <v>0</v>
      </c>
      <c r="B47" s="5">
        <f t="shared" si="11"/>
        <v>0</v>
      </c>
      <c r="C47" s="5">
        <f t="shared" si="11"/>
        <v>0</v>
      </c>
      <c r="D47" s="5">
        <f t="shared" si="11"/>
        <v>1</v>
      </c>
      <c r="E47" s="6" t="str">
        <f t="shared" si="11"/>
        <v>*Ga[1]</v>
      </c>
      <c r="F47" s="14">
        <f t="shared" ca="1" si="12"/>
        <v>-65990</v>
      </c>
      <c r="G47" s="14">
        <f t="shared" ca="1" si="13"/>
        <v>-51790</v>
      </c>
      <c r="H47" s="14">
        <f t="shared" ca="1" si="13"/>
        <v>-39260</v>
      </c>
      <c r="I47" s="14">
        <f t="shared" ca="1" si="13"/>
        <v>-30180</v>
      </c>
      <c r="J47" s="14">
        <f t="shared" ca="1" si="13"/>
        <v>-28280</v>
      </c>
      <c r="K47" s="14">
        <f t="shared" ca="1" si="13"/>
        <v>-26450</v>
      </c>
      <c r="L47" s="14">
        <f t="shared" ca="1" si="13"/>
        <v>-24700</v>
      </c>
      <c r="M47" s="14">
        <f t="shared" ca="1" si="13"/>
        <v>-23010</v>
      </c>
      <c r="N47" s="14">
        <f t="shared" ca="1" si="13"/>
        <v>-21400</v>
      </c>
      <c r="O47" s="14">
        <f t="shared" ca="1" si="13"/>
        <v>-19860</v>
      </c>
      <c r="P47" s="14">
        <f t="shared" ca="1" si="13"/>
        <v>-18390</v>
      </c>
      <c r="Q47" s="14">
        <f t="shared" ca="1" si="13"/>
        <v>-16990</v>
      </c>
      <c r="R47" s="14">
        <f t="shared" ca="1" si="13"/>
        <v>-12140</v>
      </c>
      <c r="S47" s="14">
        <f t="shared" ca="1" si="13"/>
        <v>-11270</v>
      </c>
      <c r="T47" s="14">
        <f t="shared" ca="1" si="13"/>
        <v>-10610</v>
      </c>
      <c r="U47" s="14">
        <f t="shared" ca="1" si="13"/>
        <v>-10070</v>
      </c>
      <c r="V47" s="14">
        <f t="shared" ca="1" si="13"/>
        <v>-9596</v>
      </c>
      <c r="W47" s="14">
        <f t="shared" ca="1" si="13"/>
        <v>-7969</v>
      </c>
      <c r="X47" s="14">
        <f t="shared" ca="1" si="13"/>
        <v>-7610</v>
      </c>
      <c r="Y47" s="14">
        <f t="shared" ca="1" si="13"/>
        <v>-7591</v>
      </c>
      <c r="Z47" s="14">
        <f t="shared" ca="1" si="13"/>
        <v>-7648</v>
      </c>
      <c r="AA47" s="14">
        <f t="shared" ca="1" si="13"/>
        <v>-7704</v>
      </c>
      <c r="AB47" s="14">
        <f t="shared" ca="1" si="13"/>
        <v>-7760</v>
      </c>
      <c r="AC47" s="14">
        <f t="shared" ca="1" si="13"/>
        <v>-7814</v>
      </c>
      <c r="AD47" s="14">
        <f t="shared" ca="1" si="13"/>
        <v>-7867</v>
      </c>
      <c r="AE47" s="14">
        <f t="shared" ca="1" si="13"/>
        <v>-7920</v>
      </c>
      <c r="AF47" s="14">
        <f t="shared" ca="1" si="13"/>
        <v>-8124</v>
      </c>
      <c r="AG47" s="14">
        <f t="shared" ca="1" si="13"/>
        <v>0</v>
      </c>
      <c r="AH47" s="14">
        <f t="shared" ca="1" si="13"/>
        <v>0</v>
      </c>
      <c r="AI47" s="14">
        <f t="shared" ca="1" si="13"/>
        <v>0</v>
      </c>
      <c r="AJ47" s="14">
        <f t="shared" ca="1" si="13"/>
        <v>0</v>
      </c>
      <c r="AK47" s="14">
        <f t="shared" ca="1" si="13"/>
        <v>0</v>
      </c>
      <c r="AL47" s="14">
        <f t="shared" ca="1" si="13"/>
        <v>0</v>
      </c>
    </row>
    <row r="48" spans="1:54" ht="21" hidden="1" customHeight="1" outlineLevel="1" thickBot="1" x14ac:dyDescent="0.4">
      <c r="A48" s="5">
        <f t="shared" si="11"/>
        <v>0</v>
      </c>
      <c r="B48" s="5">
        <f t="shared" si="11"/>
        <v>1</v>
      </c>
      <c r="C48" s="5">
        <f t="shared" si="11"/>
        <v>0</v>
      </c>
      <c r="D48" s="5">
        <f t="shared" si="11"/>
        <v>0</v>
      </c>
      <c r="E48" s="6" t="str">
        <f t="shared" si="11"/>
        <v>*Se[m]</v>
      </c>
      <c r="F48" s="14">
        <f t="shared" ca="1" si="12"/>
        <v>-23570</v>
      </c>
      <c r="G48" s="14">
        <f t="shared" ca="1" si="13"/>
        <v>-21380</v>
      </c>
      <c r="H48" s="14">
        <f t="shared" ca="1" si="13"/>
        <v>-22030</v>
      </c>
      <c r="I48" s="14">
        <f t="shared" ca="1" si="13"/>
        <v>-22650</v>
      </c>
      <c r="J48" s="14">
        <f t="shared" ca="1" si="13"/>
        <v>-22810</v>
      </c>
      <c r="K48" s="14">
        <f t="shared" ca="1" si="13"/>
        <v>-23000</v>
      </c>
      <c r="L48" s="14">
        <f t="shared" ca="1" si="13"/>
        <v>-23210</v>
      </c>
      <c r="M48" s="14">
        <f t="shared" ca="1" si="13"/>
        <v>-23430</v>
      </c>
      <c r="N48" s="14">
        <f t="shared" ca="1" si="13"/>
        <v>-23660</v>
      </c>
      <c r="O48" s="14">
        <f t="shared" ca="1" si="13"/>
        <v>-23900</v>
      </c>
      <c r="P48" s="14">
        <f t="shared" ca="1" si="13"/>
        <v>-24140</v>
      </c>
      <c r="Q48" s="14">
        <f t="shared" ca="1" si="13"/>
        <v>-24370</v>
      </c>
      <c r="R48" s="14">
        <f t="shared" ca="1" si="13"/>
        <v>-25240</v>
      </c>
      <c r="S48" s="14">
        <f t="shared" ca="1" si="13"/>
        <v>-25360</v>
      </c>
      <c r="T48" s="14">
        <f t="shared" ca="1" si="13"/>
        <v>-25470</v>
      </c>
      <c r="U48" s="14">
        <f t="shared" ca="1" si="13"/>
        <v>-25600</v>
      </c>
      <c r="V48" s="14">
        <f t="shared" ca="1" si="13"/>
        <v>-25770</v>
      </c>
      <c r="W48" s="14">
        <f t="shared" ca="1" si="13"/>
        <v>-26620</v>
      </c>
      <c r="X48" s="14">
        <f t="shared" ca="1" si="13"/>
        <v>-26830</v>
      </c>
      <c r="Y48" s="14">
        <f t="shared" ca="1" si="13"/>
        <v>-26900</v>
      </c>
      <c r="Z48" s="14">
        <f t="shared" ca="1" si="13"/>
        <v>-27010</v>
      </c>
      <c r="AA48" s="14">
        <f t="shared" ca="1" si="13"/>
        <v>-27170</v>
      </c>
      <c r="AB48" s="14">
        <f t="shared" ca="1" si="13"/>
        <v>-27350</v>
      </c>
      <c r="AC48" s="14">
        <f t="shared" ca="1" si="13"/>
        <v>-27540</v>
      </c>
      <c r="AD48" s="14">
        <f t="shared" ca="1" si="13"/>
        <v>-27730</v>
      </c>
      <c r="AE48" s="14">
        <f t="shared" ca="1" si="13"/>
        <v>-27920</v>
      </c>
      <c r="AF48" s="14">
        <f t="shared" ca="1" si="13"/>
        <v>-28700</v>
      </c>
      <c r="AG48" s="14">
        <f t="shared" ca="1" si="13"/>
        <v>0</v>
      </c>
      <c r="AH48" s="14">
        <f t="shared" ca="1" si="13"/>
        <v>0</v>
      </c>
      <c r="AI48" s="14">
        <f t="shared" ca="1" si="13"/>
        <v>0</v>
      </c>
      <c r="AJ48" s="14">
        <f t="shared" ca="1" si="13"/>
        <v>0</v>
      </c>
      <c r="AK48" s="14">
        <f t="shared" ca="1" si="13"/>
        <v>0</v>
      </c>
      <c r="AL48" s="14">
        <f t="shared" ca="1" si="13"/>
        <v>0</v>
      </c>
    </row>
    <row r="49" spans="1:38" ht="21" hidden="1" customHeight="1" outlineLevel="1" thickBot="1" x14ac:dyDescent="0.4">
      <c r="A49" s="5">
        <f t="shared" si="11"/>
        <v>0</v>
      </c>
      <c r="B49" s="5">
        <f t="shared" si="11"/>
        <v>3</v>
      </c>
      <c r="C49" s="5">
        <f t="shared" si="11"/>
        <v>0</v>
      </c>
      <c r="D49" s="5">
        <f t="shared" si="11"/>
        <v>2</v>
      </c>
      <c r="E49" s="6" t="str">
        <f t="shared" si="11"/>
        <v>Ga2Se3</v>
      </c>
      <c r="F49" s="14">
        <f t="shared" ca="1" si="12"/>
        <v>-202690</v>
      </c>
      <c r="G49" s="14">
        <f t="shared" ca="1" si="13"/>
        <v>-167720</v>
      </c>
      <c r="H49" s="14">
        <f t="shared" ca="1" si="13"/>
        <v>-144610</v>
      </c>
      <c r="I49" s="14">
        <f t="shared" ca="1" si="13"/>
        <v>-128310</v>
      </c>
      <c r="J49" s="14">
        <f t="shared" ca="1" si="13"/>
        <v>-124990</v>
      </c>
      <c r="K49" s="14">
        <f t="shared" ca="1" si="13"/>
        <v>-121900</v>
      </c>
      <c r="L49" s="14">
        <f t="shared" ca="1" si="13"/>
        <v>-119030</v>
      </c>
      <c r="M49" s="14">
        <f t="shared" ca="1" si="13"/>
        <v>-116310</v>
      </c>
      <c r="N49" s="14">
        <f t="shared" ca="1" si="13"/>
        <v>-113780</v>
      </c>
      <c r="O49" s="14">
        <f t="shared" ca="1" si="13"/>
        <v>-111420</v>
      </c>
      <c r="P49" s="14">
        <f t="shared" ca="1" si="13"/>
        <v>-109200</v>
      </c>
      <c r="Q49" s="14">
        <f t="shared" ca="1" si="13"/>
        <v>-107090</v>
      </c>
      <c r="R49" s="14">
        <f t="shared" ca="1" si="13"/>
        <v>-100000</v>
      </c>
      <c r="S49" s="14">
        <f t="shared" ca="1" si="13"/>
        <v>-98620</v>
      </c>
      <c r="T49" s="14">
        <f t="shared" ca="1" si="13"/>
        <v>-97630</v>
      </c>
      <c r="U49" s="14">
        <f t="shared" ca="1" si="13"/>
        <v>-96940</v>
      </c>
      <c r="V49" s="14">
        <f t="shared" ca="1" si="13"/>
        <v>-96502</v>
      </c>
      <c r="W49" s="14">
        <f t="shared" ca="1" si="13"/>
        <v>-95798</v>
      </c>
      <c r="X49" s="14">
        <f t="shared" ca="1" si="13"/>
        <v>-95710</v>
      </c>
      <c r="Y49" s="14">
        <f t="shared" ca="1" si="13"/>
        <v>-95882</v>
      </c>
      <c r="Z49" s="14">
        <f t="shared" ca="1" si="13"/>
        <v>-96326</v>
      </c>
      <c r="AA49" s="14">
        <f t="shared" ca="1" si="13"/>
        <v>-96918</v>
      </c>
      <c r="AB49" s="14">
        <f t="shared" ca="1" si="13"/>
        <v>-97570</v>
      </c>
      <c r="AC49" s="14">
        <f t="shared" ca="1" si="13"/>
        <v>-98248</v>
      </c>
      <c r="AD49" s="14">
        <f t="shared" ca="1" si="13"/>
        <v>-98924</v>
      </c>
      <c r="AE49" s="14">
        <f t="shared" ca="1" si="13"/>
        <v>-99600</v>
      </c>
      <c r="AF49" s="14">
        <f t="shared" ca="1" si="13"/>
        <v>-102348</v>
      </c>
      <c r="AG49" s="14">
        <f t="shared" ca="1" si="13"/>
        <v>0</v>
      </c>
      <c r="AH49" s="14">
        <f t="shared" ca="1" si="13"/>
        <v>0</v>
      </c>
      <c r="AI49" s="14">
        <f t="shared" ca="1" si="13"/>
        <v>0</v>
      </c>
      <c r="AJ49" s="14">
        <f t="shared" ca="1" si="13"/>
        <v>0</v>
      </c>
      <c r="AK49" s="14">
        <f t="shared" ca="1" si="13"/>
        <v>0</v>
      </c>
      <c r="AL49" s="14">
        <f t="shared" ca="1" si="13"/>
        <v>0</v>
      </c>
    </row>
    <row r="50" spans="1:38" ht="21" hidden="1" customHeight="1" outlineLevel="1" thickBot="1" x14ac:dyDescent="0.4">
      <c r="A50" s="5">
        <f t="shared" si="11"/>
        <v>0</v>
      </c>
      <c r="B50" s="5">
        <f t="shared" si="11"/>
        <v>1</v>
      </c>
      <c r="C50" s="5">
        <f t="shared" si="11"/>
        <v>0</v>
      </c>
      <c r="D50" s="5">
        <f t="shared" si="11"/>
        <v>2</v>
      </c>
      <c r="E50" s="6" t="str">
        <f t="shared" si="11"/>
        <v>Ga2Se</v>
      </c>
      <c r="F50" s="14">
        <f t="shared" ca="1" si="12"/>
        <v>-155550</v>
      </c>
      <c r="G50" s="14">
        <f t="shared" ca="1" si="13"/>
        <v>-124960</v>
      </c>
      <c r="H50" s="14">
        <f t="shared" ca="1" si="13"/>
        <v>-100550</v>
      </c>
      <c r="I50" s="14">
        <f t="shared" ca="1" si="13"/>
        <v>-83010</v>
      </c>
      <c r="J50" s="14">
        <f t="shared" ca="1" si="13"/>
        <v>-79370</v>
      </c>
      <c r="K50" s="14">
        <f t="shared" ca="1" si="13"/>
        <v>-75900</v>
      </c>
      <c r="L50" s="14">
        <f t="shared" ca="1" si="13"/>
        <v>-72610</v>
      </c>
      <c r="M50" s="14">
        <f t="shared" ca="1" si="13"/>
        <v>-69450</v>
      </c>
      <c r="N50" s="14">
        <f t="shared" ca="1" si="13"/>
        <v>-66460</v>
      </c>
      <c r="O50" s="14">
        <f t="shared" ca="1" si="13"/>
        <v>-63620</v>
      </c>
      <c r="P50" s="14">
        <f t="shared" ca="1" si="13"/>
        <v>-60920</v>
      </c>
      <c r="Q50" s="14">
        <f t="shared" ca="1" si="13"/>
        <v>-58350</v>
      </c>
      <c r="R50" s="14">
        <f t="shared" ca="1" si="13"/>
        <v>-49520</v>
      </c>
      <c r="S50" s="14">
        <f t="shared" ca="1" si="13"/>
        <v>-47900</v>
      </c>
      <c r="T50" s="14">
        <f t="shared" ca="1" si="13"/>
        <v>-46690</v>
      </c>
      <c r="U50" s="14">
        <f t="shared" ca="1" si="13"/>
        <v>-45740</v>
      </c>
      <c r="V50" s="14">
        <f t="shared" ca="1" si="13"/>
        <v>-44962</v>
      </c>
      <c r="W50" s="14">
        <f t="shared" ca="1" si="13"/>
        <v>-42558</v>
      </c>
      <c r="X50" s="14">
        <f t="shared" ca="1" si="13"/>
        <v>-42050</v>
      </c>
      <c r="Y50" s="14">
        <f t="shared" ca="1" si="13"/>
        <v>-42082</v>
      </c>
      <c r="Z50" s="14">
        <f t="shared" ca="1" si="13"/>
        <v>-42306</v>
      </c>
      <c r="AA50" s="14">
        <f t="shared" ca="1" si="13"/>
        <v>-42578</v>
      </c>
      <c r="AB50" s="14">
        <f t="shared" ca="1" si="13"/>
        <v>-42870</v>
      </c>
      <c r="AC50" s="14">
        <f t="shared" ca="1" si="13"/>
        <v>-43168</v>
      </c>
      <c r="AD50" s="14">
        <f t="shared" ca="1" si="13"/>
        <v>-43464</v>
      </c>
      <c r="AE50" s="14">
        <f t="shared" ca="1" si="13"/>
        <v>-43760</v>
      </c>
      <c r="AF50" s="14">
        <f t="shared" ca="1" si="13"/>
        <v>-44948</v>
      </c>
      <c r="AG50" s="14">
        <f t="shared" ca="1" si="13"/>
        <v>0</v>
      </c>
      <c r="AH50" s="14">
        <f t="shared" ca="1" si="13"/>
        <v>0</v>
      </c>
      <c r="AI50" s="14">
        <f t="shared" ca="1" si="13"/>
        <v>0</v>
      </c>
      <c r="AJ50" s="14">
        <f t="shared" ca="1" si="13"/>
        <v>0</v>
      </c>
      <c r="AK50" s="14">
        <f t="shared" ca="1" si="13"/>
        <v>0</v>
      </c>
      <c r="AL50" s="14">
        <f t="shared" ca="1" si="13"/>
        <v>0</v>
      </c>
    </row>
    <row r="51" spans="1:38" ht="21" hidden="1" customHeight="1" outlineLevel="1" thickBot="1" x14ac:dyDescent="0.4">
      <c r="A51" s="5">
        <f t="shared" si="11"/>
        <v>0</v>
      </c>
      <c r="B51" s="5">
        <f t="shared" si="11"/>
        <v>0</v>
      </c>
      <c r="C51" s="5">
        <f t="shared" si="11"/>
        <v>0</v>
      </c>
      <c r="D51" s="5">
        <f t="shared" si="11"/>
        <v>1</v>
      </c>
      <c r="E51" s="6" t="str">
        <f t="shared" si="11"/>
        <v>Ga</v>
      </c>
      <c r="F51" s="14">
        <f t="shared" ca="1" si="12"/>
        <v>-65990</v>
      </c>
      <c r="G51" s="14">
        <f t="shared" ca="1" si="13"/>
        <v>-51790</v>
      </c>
      <c r="H51" s="14">
        <f t="shared" ca="1" si="13"/>
        <v>-39260</v>
      </c>
      <c r="I51" s="14">
        <f t="shared" ca="1" si="13"/>
        <v>-30180</v>
      </c>
      <c r="J51" s="14">
        <f t="shared" ca="1" si="13"/>
        <v>-28280</v>
      </c>
      <c r="K51" s="14">
        <f t="shared" ca="1" si="13"/>
        <v>-26450</v>
      </c>
      <c r="L51" s="14">
        <f t="shared" ca="1" si="13"/>
        <v>-24700</v>
      </c>
      <c r="M51" s="14">
        <f t="shared" ca="1" si="13"/>
        <v>-23010</v>
      </c>
      <c r="N51" s="14">
        <f t="shared" ca="1" si="13"/>
        <v>-21400</v>
      </c>
      <c r="O51" s="14">
        <f t="shared" ca="1" si="13"/>
        <v>-19860</v>
      </c>
      <c r="P51" s="14">
        <f t="shared" ca="1" si="13"/>
        <v>-18390</v>
      </c>
      <c r="Q51" s="14">
        <f t="shared" ca="1" si="13"/>
        <v>-16990</v>
      </c>
      <c r="R51" s="14">
        <f t="shared" ca="1" si="13"/>
        <v>-12140</v>
      </c>
      <c r="S51" s="14">
        <f t="shared" ca="1" si="13"/>
        <v>-11270</v>
      </c>
      <c r="T51" s="14">
        <f t="shared" ca="1" si="13"/>
        <v>-10610</v>
      </c>
      <c r="U51" s="14">
        <f t="shared" ca="1" si="13"/>
        <v>-10070</v>
      </c>
      <c r="V51" s="14">
        <f t="shared" ca="1" si="13"/>
        <v>-9596</v>
      </c>
      <c r="W51" s="14">
        <f t="shared" ca="1" si="13"/>
        <v>-7969</v>
      </c>
      <c r="X51" s="14">
        <f t="shared" ca="1" si="13"/>
        <v>-7610</v>
      </c>
      <c r="Y51" s="14">
        <f t="shared" ca="1" si="13"/>
        <v>-7591</v>
      </c>
      <c r="Z51" s="14">
        <f t="shared" ca="1" si="13"/>
        <v>-7648</v>
      </c>
      <c r="AA51" s="14">
        <f t="shared" ca="1" si="13"/>
        <v>-7704</v>
      </c>
      <c r="AB51" s="14">
        <f t="shared" ca="1" si="13"/>
        <v>-7760</v>
      </c>
      <c r="AC51" s="14">
        <f t="shared" ca="1" si="13"/>
        <v>-7814</v>
      </c>
      <c r="AD51" s="14">
        <f t="shared" ca="1" si="13"/>
        <v>-7867</v>
      </c>
      <c r="AE51" s="14">
        <f t="shared" ca="1" si="13"/>
        <v>-7920</v>
      </c>
      <c r="AF51" s="14">
        <f t="shared" ca="1" si="13"/>
        <v>-8124</v>
      </c>
      <c r="AG51" s="14">
        <f t="shared" ca="1" si="13"/>
        <v>0</v>
      </c>
      <c r="AH51" s="14">
        <f t="shared" ca="1" si="13"/>
        <v>0</v>
      </c>
      <c r="AI51" s="14">
        <f t="shared" ca="1" si="13"/>
        <v>0</v>
      </c>
      <c r="AJ51" s="14">
        <f t="shared" ca="1" si="13"/>
        <v>0</v>
      </c>
      <c r="AK51" s="14">
        <f t="shared" ca="1" si="13"/>
        <v>0</v>
      </c>
      <c r="AL51" s="14">
        <f t="shared" ca="1" si="13"/>
        <v>0</v>
      </c>
    </row>
    <row r="52" spans="1:38" ht="21" hidden="1" customHeight="1" outlineLevel="1" thickBot="1" x14ac:dyDescent="0.4">
      <c r="A52" s="5">
        <f t="shared" si="11"/>
        <v>1</v>
      </c>
      <c r="B52" s="5">
        <f t="shared" si="11"/>
        <v>0</v>
      </c>
      <c r="C52" s="5">
        <f t="shared" si="11"/>
        <v>0</v>
      </c>
      <c r="D52" s="5">
        <f t="shared" si="11"/>
        <v>0</v>
      </c>
      <c r="E52" s="6" t="str">
        <f t="shared" si="11"/>
        <v>Ar</v>
      </c>
      <c r="F52" s="14">
        <f t="shared" ca="1" si="12"/>
        <v>-19080</v>
      </c>
      <c r="G52" s="14">
        <f t="shared" ca="1" si="13"/>
        <v>-19070</v>
      </c>
      <c r="H52" s="14">
        <f t="shared" ca="1" si="13"/>
        <v>-19150</v>
      </c>
      <c r="I52" s="14">
        <f t="shared" ca="1" si="13"/>
        <v>-19250</v>
      </c>
      <c r="J52" s="14">
        <f t="shared" ca="1" si="13"/>
        <v>-19270</v>
      </c>
      <c r="K52" s="14">
        <f t="shared" ca="1" si="13"/>
        <v>-19300</v>
      </c>
      <c r="L52" s="14">
        <f t="shared" ca="1" si="13"/>
        <v>-19330</v>
      </c>
      <c r="M52" s="14">
        <f t="shared" ca="1" si="13"/>
        <v>-19360</v>
      </c>
      <c r="N52" s="14">
        <f t="shared" ca="1" si="13"/>
        <v>-19390</v>
      </c>
      <c r="O52" s="14">
        <f t="shared" ca="1" si="13"/>
        <v>-19420</v>
      </c>
      <c r="P52" s="14">
        <f t="shared" ca="1" si="13"/>
        <v>-19460</v>
      </c>
      <c r="Q52" s="14">
        <f t="shared" ca="1" si="13"/>
        <v>-19490</v>
      </c>
      <c r="R52" s="14">
        <f t="shared" ca="1" si="13"/>
        <v>-19580</v>
      </c>
      <c r="S52" s="14">
        <f t="shared" ca="1" si="13"/>
        <v>-19540</v>
      </c>
      <c r="T52" s="14">
        <f t="shared" ca="1" si="13"/>
        <v>-19470</v>
      </c>
      <c r="U52" s="14">
        <f t="shared" ca="1" si="13"/>
        <v>-19420</v>
      </c>
      <c r="V52" s="14">
        <f t="shared" ca="1" si="13"/>
        <v>-19410</v>
      </c>
      <c r="W52" s="14">
        <f t="shared" ca="1" si="13"/>
        <v>-19510</v>
      </c>
      <c r="X52" s="14">
        <f t="shared" ca="1" si="13"/>
        <v>-19550</v>
      </c>
      <c r="Y52" s="14">
        <f t="shared" ca="1" si="13"/>
        <v>-19580</v>
      </c>
      <c r="Z52" s="14">
        <f t="shared" ca="1" si="13"/>
        <v>-19610</v>
      </c>
      <c r="AA52" s="14">
        <f t="shared" ca="1" si="13"/>
        <v>-19640</v>
      </c>
      <c r="AB52" s="14">
        <f t="shared" ca="1" si="13"/>
        <v>-19670</v>
      </c>
      <c r="AC52" s="14">
        <f t="shared" ca="1" si="13"/>
        <v>-19700</v>
      </c>
      <c r="AD52" s="14">
        <f t="shared" ca="1" si="13"/>
        <v>-19730</v>
      </c>
      <c r="AE52" s="14">
        <f t="shared" ca="1" si="13"/>
        <v>-19760</v>
      </c>
      <c r="AF52" s="14">
        <f t="shared" ca="1" si="13"/>
        <v>-19880</v>
      </c>
      <c r="AG52" s="14">
        <f t="shared" ca="1" si="13"/>
        <v>0</v>
      </c>
      <c r="AH52" s="14">
        <f t="shared" ca="1" si="13"/>
        <v>0</v>
      </c>
      <c r="AI52" s="14">
        <f t="shared" ca="1" si="13"/>
        <v>0</v>
      </c>
      <c r="AJ52" s="14">
        <f t="shared" ca="1" si="13"/>
        <v>0</v>
      </c>
      <c r="AK52" s="14">
        <f t="shared" ca="1" si="13"/>
        <v>0</v>
      </c>
      <c r="AL52" s="14">
        <f t="shared" ca="1" si="13"/>
        <v>0</v>
      </c>
    </row>
    <row r="53" spans="1:38" ht="21" hidden="1" customHeight="1" outlineLevel="1" thickBot="1" x14ac:dyDescent="0.4">
      <c r="A53" s="5">
        <f t="shared" si="11"/>
        <v>0</v>
      </c>
      <c r="B53" s="5">
        <f t="shared" si="11"/>
        <v>2</v>
      </c>
      <c r="C53" s="5">
        <f t="shared" si="11"/>
        <v>1</v>
      </c>
      <c r="D53" s="5">
        <f t="shared" si="11"/>
        <v>0</v>
      </c>
      <c r="E53" s="6" t="str">
        <f t="shared" si="11"/>
        <v>(1)GeSe2</v>
      </c>
      <c r="F53" s="14">
        <f t="shared" ca="1" si="12"/>
        <v>-64520</v>
      </c>
      <c r="G53" s="14">
        <f t="shared" ca="1" si="13"/>
        <v>-56200</v>
      </c>
      <c r="H53" s="14">
        <f t="shared" ca="1" si="13"/>
        <v>-53056</v>
      </c>
      <c r="I53" s="14">
        <f t="shared" ca="1" si="13"/>
        <v>-51874</v>
      </c>
      <c r="J53" s="14">
        <f t="shared" ca="1" si="13"/>
        <v>-51979</v>
      </c>
      <c r="K53" s="14">
        <f t="shared" ca="1" si="13"/>
        <v>-52246</v>
      </c>
      <c r="L53" s="14">
        <f t="shared" ca="1" si="13"/>
        <v>-52621</v>
      </c>
      <c r="M53" s="14">
        <f t="shared" ca="1" si="13"/>
        <v>-53056</v>
      </c>
      <c r="N53" s="14">
        <f t="shared" ca="1" si="13"/>
        <v>-53534</v>
      </c>
      <c r="O53" s="14">
        <f t="shared" ca="1" si="13"/>
        <v>-54042</v>
      </c>
      <c r="P53" s="14">
        <f t="shared" ca="1" si="13"/>
        <v>-54557</v>
      </c>
      <c r="Q53" s="14">
        <f t="shared" ca="1" si="13"/>
        <v>-55055</v>
      </c>
      <c r="R53" s="14">
        <f t="shared" ca="1" si="13"/>
        <v>-57146</v>
      </c>
      <c r="S53" s="14">
        <f t="shared" ca="1" si="13"/>
        <v>-57699</v>
      </c>
      <c r="T53" s="14">
        <f t="shared" ca="1" si="13"/>
        <v>-58291</v>
      </c>
      <c r="U53" s="14">
        <f t="shared" ca="1" si="13"/>
        <v>-58844</v>
      </c>
      <c r="V53" s="14">
        <f t="shared" ca="1" si="13"/>
        <v>-59364</v>
      </c>
      <c r="W53" s="14">
        <f t="shared" ca="1" si="13"/>
        <v>-61351</v>
      </c>
      <c r="X53" s="14">
        <f t="shared" ca="1" si="13"/>
        <v>-61827</v>
      </c>
      <c r="Y53" s="14">
        <f t="shared" ca="1" si="13"/>
        <v>-62018</v>
      </c>
      <c r="Z53" s="14">
        <f t="shared" ca="1" si="13"/>
        <v>-62281</v>
      </c>
      <c r="AA53" s="14">
        <f t="shared" ca="1" si="13"/>
        <v>-62641</v>
      </c>
      <c r="AB53" s="14">
        <f t="shared" ca="1" si="13"/>
        <v>-63039</v>
      </c>
      <c r="AC53" s="14">
        <f t="shared" ca="1" si="13"/>
        <v>-63455</v>
      </c>
      <c r="AD53" s="14">
        <f t="shared" ca="1" si="13"/>
        <v>-63870</v>
      </c>
      <c r="AE53" s="14">
        <f t="shared" ca="1" si="13"/>
        <v>-64288</v>
      </c>
      <c r="AF53" s="14">
        <f t="shared" ca="1" si="13"/>
        <v>-66015</v>
      </c>
      <c r="AG53" s="14">
        <f t="shared" ca="1" si="13"/>
        <v>0</v>
      </c>
      <c r="AH53" s="14">
        <f t="shared" ca="1" si="13"/>
        <v>0</v>
      </c>
      <c r="AI53" s="14">
        <f t="shared" ca="1" si="13"/>
        <v>0</v>
      </c>
      <c r="AJ53" s="14">
        <f t="shared" ca="1" si="13"/>
        <v>0</v>
      </c>
      <c r="AK53" s="14">
        <f t="shared" ca="1" si="13"/>
        <v>0</v>
      </c>
      <c r="AL53" s="14">
        <f t="shared" ca="1" si="13"/>
        <v>0</v>
      </c>
    </row>
    <row r="54" spans="1:38" ht="21" hidden="1" customHeight="1" outlineLevel="1" thickBot="1" x14ac:dyDescent="0.4">
      <c r="A54" s="5">
        <f t="shared" si="11"/>
        <v>0</v>
      </c>
      <c r="B54" s="5">
        <f t="shared" si="11"/>
        <v>1</v>
      </c>
      <c r="C54" s="5">
        <f t="shared" si="11"/>
        <v>1</v>
      </c>
      <c r="D54" s="5">
        <f t="shared" si="11"/>
        <v>0</v>
      </c>
      <c r="E54" s="6" t="str">
        <f t="shared" si="11"/>
        <v>(l)GeSe</v>
      </c>
      <c r="F54" s="14">
        <f t="shared" ca="1" si="12"/>
        <v>-40950</v>
      </c>
      <c r="G54" s="14">
        <f t="shared" ca="1" si="13"/>
        <v>-34820</v>
      </c>
      <c r="H54" s="14">
        <f t="shared" ca="1" si="13"/>
        <v>-31026</v>
      </c>
      <c r="I54" s="14">
        <f t="shared" ca="1" si="13"/>
        <v>-29224</v>
      </c>
      <c r="J54" s="14">
        <f t="shared" ca="1" si="13"/>
        <v>-29169</v>
      </c>
      <c r="K54" s="14">
        <f t="shared" ca="1" si="13"/>
        <v>-29246</v>
      </c>
      <c r="L54" s="14">
        <f t="shared" ca="1" si="13"/>
        <v>-29411</v>
      </c>
      <c r="M54" s="14">
        <f t="shared" ca="1" si="13"/>
        <v>-29626</v>
      </c>
      <c r="N54" s="14">
        <f t="shared" ca="1" si="13"/>
        <v>-29874</v>
      </c>
      <c r="O54" s="14">
        <f t="shared" ca="1" si="13"/>
        <v>-30142</v>
      </c>
      <c r="P54" s="14">
        <f t="shared" ca="1" si="13"/>
        <v>-30417</v>
      </c>
      <c r="Q54" s="14">
        <f t="shared" ca="1" si="13"/>
        <v>-30685</v>
      </c>
      <c r="R54" s="14">
        <f t="shared" ca="1" si="13"/>
        <v>-31906</v>
      </c>
      <c r="S54" s="14">
        <f t="shared" ca="1" si="13"/>
        <v>-32339</v>
      </c>
      <c r="T54" s="14">
        <f t="shared" ca="1" si="13"/>
        <v>-32821</v>
      </c>
      <c r="U54" s="14">
        <f t="shared" ref="G54:AL62" ca="1" si="14">$A54*H.Ar + $B54*H.Se + $C54*H.Ge + $D54*H.Ga</f>
        <v>-33244</v>
      </c>
      <c r="V54" s="14">
        <f t="shared" ca="1" si="14"/>
        <v>-33594</v>
      </c>
      <c r="W54" s="14">
        <f t="shared" ca="1" si="14"/>
        <v>-34731</v>
      </c>
      <c r="X54" s="14">
        <f t="shared" ca="1" si="14"/>
        <v>-34997</v>
      </c>
      <c r="Y54" s="14">
        <f t="shared" ca="1" si="14"/>
        <v>-35118</v>
      </c>
      <c r="Z54" s="14">
        <f t="shared" ca="1" si="14"/>
        <v>-35271</v>
      </c>
      <c r="AA54" s="14">
        <f t="shared" ca="1" si="14"/>
        <v>-35471</v>
      </c>
      <c r="AB54" s="14">
        <f t="shared" ca="1" si="14"/>
        <v>-35689</v>
      </c>
      <c r="AC54" s="14">
        <f t="shared" ca="1" si="14"/>
        <v>-35915</v>
      </c>
      <c r="AD54" s="14">
        <f t="shared" ca="1" si="14"/>
        <v>-36140</v>
      </c>
      <c r="AE54" s="14">
        <f t="shared" ca="1" si="14"/>
        <v>-36368</v>
      </c>
      <c r="AF54" s="14">
        <f t="shared" ca="1" si="14"/>
        <v>-37315</v>
      </c>
      <c r="AG54" s="14">
        <f t="shared" ca="1" si="14"/>
        <v>0</v>
      </c>
      <c r="AH54" s="14">
        <f t="shared" ca="1" si="14"/>
        <v>0</v>
      </c>
      <c r="AI54" s="14">
        <f t="shared" ca="1" si="14"/>
        <v>0</v>
      </c>
      <c r="AJ54" s="14">
        <f t="shared" ca="1" si="14"/>
        <v>0</v>
      </c>
      <c r="AK54" s="14">
        <f t="shared" ca="1" si="14"/>
        <v>0</v>
      </c>
      <c r="AL54" s="14">
        <f t="shared" ca="1" si="14"/>
        <v>0</v>
      </c>
    </row>
    <row r="55" spans="1:38" ht="21" hidden="1" customHeight="1" outlineLevel="1" thickBot="1" x14ac:dyDescent="0.4">
      <c r="A55" s="5">
        <f t="shared" si="11"/>
        <v>0</v>
      </c>
      <c r="B55" s="5">
        <f t="shared" si="11"/>
        <v>3</v>
      </c>
      <c r="C55" s="5">
        <f t="shared" si="11"/>
        <v>0</v>
      </c>
      <c r="D55" s="5">
        <f t="shared" si="11"/>
        <v>2</v>
      </c>
      <c r="E55" s="6" t="str">
        <f t="shared" si="11"/>
        <v>(1)Ga2Se3</v>
      </c>
      <c r="F55" s="14">
        <f t="shared" ca="1" si="12"/>
        <v>-202690</v>
      </c>
      <c r="G55" s="14">
        <f t="shared" ca="1" si="14"/>
        <v>-167720</v>
      </c>
      <c r="H55" s="14">
        <f t="shared" ca="1" si="14"/>
        <v>-144610</v>
      </c>
      <c r="I55" s="14">
        <f t="shared" ca="1" si="14"/>
        <v>-128310</v>
      </c>
      <c r="J55" s="14">
        <f t="shared" ca="1" si="14"/>
        <v>-124990</v>
      </c>
      <c r="K55" s="14">
        <f t="shared" ca="1" si="14"/>
        <v>-121900</v>
      </c>
      <c r="L55" s="14">
        <f t="shared" ca="1" si="14"/>
        <v>-119030</v>
      </c>
      <c r="M55" s="14">
        <f t="shared" ca="1" si="14"/>
        <v>-116310</v>
      </c>
      <c r="N55" s="14">
        <f t="shared" ca="1" si="14"/>
        <v>-113780</v>
      </c>
      <c r="O55" s="14">
        <f t="shared" ca="1" si="14"/>
        <v>-111420</v>
      </c>
      <c r="P55" s="14">
        <f t="shared" ca="1" si="14"/>
        <v>-109200</v>
      </c>
      <c r="Q55" s="14">
        <f t="shared" ca="1" si="14"/>
        <v>-107090</v>
      </c>
      <c r="R55" s="14">
        <f t="shared" ca="1" si="14"/>
        <v>-100000</v>
      </c>
      <c r="S55" s="14">
        <f t="shared" ca="1" si="14"/>
        <v>-98620</v>
      </c>
      <c r="T55" s="14">
        <f t="shared" ca="1" si="14"/>
        <v>-97630</v>
      </c>
      <c r="U55" s="14">
        <f t="shared" ca="1" si="14"/>
        <v>-96940</v>
      </c>
      <c r="V55" s="14">
        <f t="shared" ca="1" si="14"/>
        <v>-96502</v>
      </c>
      <c r="W55" s="14">
        <f t="shared" ca="1" si="14"/>
        <v>-95798</v>
      </c>
      <c r="X55" s="14">
        <f t="shared" ca="1" si="14"/>
        <v>-95710</v>
      </c>
      <c r="Y55" s="14">
        <f t="shared" ca="1" si="14"/>
        <v>-95882</v>
      </c>
      <c r="Z55" s="14">
        <f t="shared" ca="1" si="14"/>
        <v>-96326</v>
      </c>
      <c r="AA55" s="14">
        <f t="shared" ca="1" si="14"/>
        <v>-96918</v>
      </c>
      <c r="AB55" s="14">
        <f t="shared" ca="1" si="14"/>
        <v>-97570</v>
      </c>
      <c r="AC55" s="14">
        <f t="shared" ca="1" si="14"/>
        <v>-98248</v>
      </c>
      <c r="AD55" s="14">
        <f t="shared" ca="1" si="14"/>
        <v>-98924</v>
      </c>
      <c r="AE55" s="14">
        <f t="shared" ca="1" si="14"/>
        <v>-99600</v>
      </c>
      <c r="AF55" s="14">
        <f t="shared" ca="1" si="14"/>
        <v>-102348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1</v>
      </c>
      <c r="C56" s="5">
        <f t="shared" si="15"/>
        <v>0</v>
      </c>
      <c r="D56" s="5">
        <f t="shared" si="15"/>
        <v>2</v>
      </c>
      <c r="E56" s="6" t="str">
        <f t="shared" si="15"/>
        <v>(1)Ga2Se</v>
      </c>
      <c r="F56" s="14">
        <f t="shared" ref="F56:U65" ca="1" si="16">$A56*H.Ar + $B56*H.Se + $C56*H.Ge + $D56*H.Ga</f>
        <v>-155550</v>
      </c>
      <c r="G56" s="14">
        <f t="shared" ca="1" si="16"/>
        <v>-124960</v>
      </c>
      <c r="H56" s="14">
        <f t="shared" ca="1" si="16"/>
        <v>-100550</v>
      </c>
      <c r="I56" s="14">
        <f t="shared" ca="1" si="16"/>
        <v>-83010</v>
      </c>
      <c r="J56" s="14">
        <f t="shared" ca="1" si="16"/>
        <v>-79370</v>
      </c>
      <c r="K56" s="14">
        <f t="shared" ca="1" si="16"/>
        <v>-75900</v>
      </c>
      <c r="L56" s="14">
        <f t="shared" ca="1" si="16"/>
        <v>-72610</v>
      </c>
      <c r="M56" s="14">
        <f t="shared" ca="1" si="16"/>
        <v>-69450</v>
      </c>
      <c r="N56" s="14">
        <f t="shared" ca="1" si="16"/>
        <v>-66460</v>
      </c>
      <c r="O56" s="14">
        <f t="shared" ca="1" si="16"/>
        <v>-63620</v>
      </c>
      <c r="P56" s="14">
        <f t="shared" ca="1" si="16"/>
        <v>-60920</v>
      </c>
      <c r="Q56" s="14">
        <f t="shared" ca="1" si="16"/>
        <v>-58350</v>
      </c>
      <c r="R56" s="14">
        <f t="shared" ca="1" si="16"/>
        <v>-49520</v>
      </c>
      <c r="S56" s="14">
        <f t="shared" ca="1" si="16"/>
        <v>-47900</v>
      </c>
      <c r="T56" s="14">
        <f t="shared" ca="1" si="16"/>
        <v>-46690</v>
      </c>
      <c r="U56" s="14">
        <f t="shared" ca="1" si="16"/>
        <v>-45740</v>
      </c>
      <c r="V56" s="14">
        <f t="shared" ca="1" si="14"/>
        <v>-44962</v>
      </c>
      <c r="W56" s="14">
        <f t="shared" ca="1" si="14"/>
        <v>-42558</v>
      </c>
      <c r="X56" s="14">
        <f t="shared" ca="1" si="14"/>
        <v>-42050</v>
      </c>
      <c r="Y56" s="14">
        <f t="shared" ca="1" si="14"/>
        <v>-42082</v>
      </c>
      <c r="Z56" s="14">
        <f t="shared" ca="1" si="14"/>
        <v>-42306</v>
      </c>
      <c r="AA56" s="14">
        <f t="shared" ca="1" si="14"/>
        <v>-42578</v>
      </c>
      <c r="AB56" s="14">
        <f t="shared" ca="1" si="14"/>
        <v>-42870</v>
      </c>
      <c r="AC56" s="14">
        <f t="shared" ca="1" si="14"/>
        <v>-43168</v>
      </c>
      <c r="AD56" s="14">
        <f t="shared" ca="1" si="14"/>
        <v>-43464</v>
      </c>
      <c r="AE56" s="14">
        <f t="shared" ca="1" si="14"/>
        <v>-43760</v>
      </c>
      <c r="AF56" s="14">
        <f t="shared" ca="1" si="14"/>
        <v>-44948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1</v>
      </c>
      <c r="D57" s="5">
        <f t="shared" si="15"/>
        <v>0</v>
      </c>
      <c r="E57" s="6" t="str">
        <f t="shared" si="15"/>
        <v>(1)Ge</v>
      </c>
      <c r="F57" s="14">
        <f t="shared" ca="1" si="16"/>
        <v>-17380</v>
      </c>
      <c r="G57" s="14">
        <f t="shared" ca="1" si="14"/>
        <v>-13440</v>
      </c>
      <c r="H57" s="14">
        <f t="shared" ca="1" si="14"/>
        <v>-8996</v>
      </c>
      <c r="I57" s="14">
        <f t="shared" ca="1" si="14"/>
        <v>-6574</v>
      </c>
      <c r="J57" s="14">
        <f t="shared" ca="1" si="14"/>
        <v>-6359</v>
      </c>
      <c r="K57" s="14">
        <f t="shared" ca="1" si="14"/>
        <v>-6246</v>
      </c>
      <c r="L57" s="14">
        <f t="shared" ca="1" si="14"/>
        <v>-6201</v>
      </c>
      <c r="M57" s="14">
        <f t="shared" ca="1" si="14"/>
        <v>-6196</v>
      </c>
      <c r="N57" s="14">
        <f t="shared" ca="1" si="14"/>
        <v>-6214</v>
      </c>
      <c r="O57" s="14">
        <f t="shared" ca="1" si="14"/>
        <v>-6242</v>
      </c>
      <c r="P57" s="14">
        <f t="shared" ca="1" si="14"/>
        <v>-6277</v>
      </c>
      <c r="Q57" s="14">
        <f t="shared" ca="1" si="14"/>
        <v>-6315</v>
      </c>
      <c r="R57" s="14">
        <f t="shared" ca="1" si="14"/>
        <v>-6666</v>
      </c>
      <c r="S57" s="14">
        <f t="shared" ca="1" si="14"/>
        <v>-6979</v>
      </c>
      <c r="T57" s="14">
        <f t="shared" ca="1" si="14"/>
        <v>-7351</v>
      </c>
      <c r="U57" s="14">
        <f t="shared" ca="1" si="14"/>
        <v>-7644</v>
      </c>
      <c r="V57" s="14">
        <f t="shared" ca="1" si="14"/>
        <v>-7824</v>
      </c>
      <c r="W57" s="14">
        <f t="shared" ca="1" si="14"/>
        <v>-8111</v>
      </c>
      <c r="X57" s="14">
        <f t="shared" ca="1" si="14"/>
        <v>-8167</v>
      </c>
      <c r="Y57" s="14">
        <f t="shared" ca="1" si="14"/>
        <v>-8218</v>
      </c>
      <c r="Z57" s="14">
        <f t="shared" ca="1" si="14"/>
        <v>-8261</v>
      </c>
      <c r="AA57" s="14">
        <f t="shared" ca="1" si="14"/>
        <v>-8301</v>
      </c>
      <c r="AB57" s="14">
        <f t="shared" ca="1" si="14"/>
        <v>-8339</v>
      </c>
      <c r="AC57" s="14">
        <f t="shared" ca="1" si="14"/>
        <v>-8375</v>
      </c>
      <c r="AD57" s="14">
        <f t="shared" ca="1" si="14"/>
        <v>-8410</v>
      </c>
      <c r="AE57" s="14">
        <f t="shared" ca="1" si="14"/>
        <v>-8448</v>
      </c>
      <c r="AF57" s="14">
        <f t="shared" ca="1" si="14"/>
        <v>-8615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0</v>
      </c>
      <c r="D58" s="5">
        <f t="shared" si="15"/>
        <v>1</v>
      </c>
      <c r="E58" s="6" t="str">
        <f t="shared" si="15"/>
        <v>(1)Ga</v>
      </c>
      <c r="F58" s="14">
        <f t="shared" ca="1" si="16"/>
        <v>-65990</v>
      </c>
      <c r="G58" s="14">
        <f t="shared" ca="1" si="14"/>
        <v>-51790</v>
      </c>
      <c r="H58" s="14">
        <f t="shared" ca="1" si="14"/>
        <v>-39260</v>
      </c>
      <c r="I58" s="14">
        <f t="shared" ca="1" si="14"/>
        <v>-30180</v>
      </c>
      <c r="J58" s="14">
        <f t="shared" ca="1" si="14"/>
        <v>-28280</v>
      </c>
      <c r="K58" s="14">
        <f t="shared" ca="1" si="14"/>
        <v>-26450</v>
      </c>
      <c r="L58" s="14">
        <f t="shared" ca="1" si="14"/>
        <v>-24700</v>
      </c>
      <c r="M58" s="14">
        <f t="shared" ca="1" si="14"/>
        <v>-23010</v>
      </c>
      <c r="N58" s="14">
        <f t="shared" ca="1" si="14"/>
        <v>-21400</v>
      </c>
      <c r="O58" s="14">
        <f t="shared" ca="1" si="14"/>
        <v>-19860</v>
      </c>
      <c r="P58" s="14">
        <f t="shared" ca="1" si="14"/>
        <v>-18390</v>
      </c>
      <c r="Q58" s="14">
        <f t="shared" ca="1" si="14"/>
        <v>-16990</v>
      </c>
      <c r="R58" s="14">
        <f t="shared" ca="1" si="14"/>
        <v>-12140</v>
      </c>
      <c r="S58" s="14">
        <f t="shared" ca="1" si="14"/>
        <v>-11270</v>
      </c>
      <c r="T58" s="14">
        <f t="shared" ca="1" si="14"/>
        <v>-10610</v>
      </c>
      <c r="U58" s="14">
        <f t="shared" ca="1" si="14"/>
        <v>-10070</v>
      </c>
      <c r="V58" s="14">
        <f t="shared" ca="1" si="14"/>
        <v>-9596</v>
      </c>
      <c r="W58" s="14">
        <f t="shared" ca="1" si="14"/>
        <v>-7969</v>
      </c>
      <c r="X58" s="14">
        <f t="shared" ca="1" si="14"/>
        <v>-7610</v>
      </c>
      <c r="Y58" s="14">
        <f t="shared" ca="1" si="14"/>
        <v>-7591</v>
      </c>
      <c r="Z58" s="14">
        <f t="shared" ca="1" si="14"/>
        <v>-7648</v>
      </c>
      <c r="AA58" s="14">
        <f t="shared" ca="1" si="14"/>
        <v>-7704</v>
      </c>
      <c r="AB58" s="14">
        <f t="shared" ca="1" si="14"/>
        <v>-7760</v>
      </c>
      <c r="AC58" s="14">
        <f t="shared" ca="1" si="14"/>
        <v>-7814</v>
      </c>
      <c r="AD58" s="14">
        <f t="shared" ca="1" si="14"/>
        <v>-7867</v>
      </c>
      <c r="AE58" s="14">
        <f t="shared" ca="1" si="14"/>
        <v>-7920</v>
      </c>
      <c r="AF58" s="14">
        <f t="shared" ca="1" si="14"/>
        <v>-8124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1</v>
      </c>
      <c r="C59" s="5">
        <f t="shared" si="15"/>
        <v>0</v>
      </c>
      <c r="D59" s="5">
        <f t="shared" si="15"/>
        <v>0</v>
      </c>
      <c r="E59" s="6" t="str">
        <f t="shared" si="15"/>
        <v>(l)Se</v>
      </c>
      <c r="F59" s="14">
        <f t="shared" ca="1" si="16"/>
        <v>-23570</v>
      </c>
      <c r="G59" s="14">
        <f t="shared" ca="1" si="14"/>
        <v>-21380</v>
      </c>
      <c r="H59" s="14">
        <f t="shared" ca="1" si="14"/>
        <v>-22030</v>
      </c>
      <c r="I59" s="14">
        <f t="shared" ca="1" si="14"/>
        <v>-22650</v>
      </c>
      <c r="J59" s="14">
        <f t="shared" ca="1" si="14"/>
        <v>-22810</v>
      </c>
      <c r="K59" s="14">
        <f t="shared" ca="1" si="14"/>
        <v>-23000</v>
      </c>
      <c r="L59" s="14">
        <f t="shared" ca="1" si="14"/>
        <v>-23210</v>
      </c>
      <c r="M59" s="14">
        <f t="shared" ca="1" si="14"/>
        <v>-23430</v>
      </c>
      <c r="N59" s="14">
        <f t="shared" ca="1" si="14"/>
        <v>-23660</v>
      </c>
      <c r="O59" s="14">
        <f t="shared" ca="1" si="14"/>
        <v>-23900</v>
      </c>
      <c r="P59" s="14">
        <f t="shared" ca="1" si="14"/>
        <v>-24140</v>
      </c>
      <c r="Q59" s="14">
        <f t="shared" ca="1" si="14"/>
        <v>-24370</v>
      </c>
      <c r="R59" s="14">
        <f t="shared" ca="1" si="14"/>
        <v>-25240</v>
      </c>
      <c r="S59" s="14">
        <f t="shared" ca="1" si="14"/>
        <v>-25360</v>
      </c>
      <c r="T59" s="14">
        <f t="shared" ca="1" si="14"/>
        <v>-25470</v>
      </c>
      <c r="U59" s="14">
        <f t="shared" ca="1" si="14"/>
        <v>-25600</v>
      </c>
      <c r="V59" s="14">
        <f t="shared" ca="1" si="14"/>
        <v>-25770</v>
      </c>
      <c r="W59" s="14">
        <f t="shared" ca="1" si="14"/>
        <v>-26620</v>
      </c>
      <c r="X59" s="14">
        <f t="shared" ca="1" si="14"/>
        <v>-26830</v>
      </c>
      <c r="Y59" s="14">
        <f t="shared" ca="1" si="14"/>
        <v>-26900</v>
      </c>
      <c r="Z59" s="14">
        <f t="shared" ca="1" si="14"/>
        <v>-27010</v>
      </c>
      <c r="AA59" s="14">
        <f t="shared" ca="1" si="14"/>
        <v>-27170</v>
      </c>
      <c r="AB59" s="14">
        <f t="shared" ca="1" si="14"/>
        <v>-27350</v>
      </c>
      <c r="AC59" s="14">
        <f t="shared" ca="1" si="14"/>
        <v>-27540</v>
      </c>
      <c r="AD59" s="14">
        <f t="shared" ca="1" si="14"/>
        <v>-27730</v>
      </c>
      <c r="AE59" s="14">
        <f t="shared" ca="1" si="14"/>
        <v>-27920</v>
      </c>
      <c r="AF59" s="14">
        <f t="shared" ca="1" si="14"/>
        <v>-28700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1</v>
      </c>
      <c r="C60" s="5">
        <f t="shared" si="15"/>
        <v>0</v>
      </c>
      <c r="D60" s="5">
        <f t="shared" si="15"/>
        <v>0</v>
      </c>
      <c r="E60" s="6" t="str">
        <f t="shared" si="15"/>
        <v>(1)Se[a]</v>
      </c>
      <c r="F60" s="14">
        <f t="shared" ca="1" si="16"/>
        <v>-23570</v>
      </c>
      <c r="G60" s="14">
        <f t="shared" ca="1" si="14"/>
        <v>-21380</v>
      </c>
      <c r="H60" s="14">
        <f t="shared" ca="1" si="14"/>
        <v>-22030</v>
      </c>
      <c r="I60" s="14">
        <f t="shared" ca="1" si="14"/>
        <v>-22650</v>
      </c>
      <c r="J60" s="14">
        <f t="shared" ca="1" si="14"/>
        <v>-22810</v>
      </c>
      <c r="K60" s="14">
        <f t="shared" ca="1" si="14"/>
        <v>-23000</v>
      </c>
      <c r="L60" s="14">
        <f t="shared" ca="1" si="14"/>
        <v>-23210</v>
      </c>
      <c r="M60" s="14">
        <f t="shared" ca="1" si="14"/>
        <v>-23430</v>
      </c>
      <c r="N60" s="14">
        <f t="shared" ca="1" si="14"/>
        <v>-23660</v>
      </c>
      <c r="O60" s="14">
        <f t="shared" ca="1" si="14"/>
        <v>-23900</v>
      </c>
      <c r="P60" s="14">
        <f t="shared" ca="1" si="14"/>
        <v>-24140</v>
      </c>
      <c r="Q60" s="14">
        <f t="shared" ca="1" si="14"/>
        <v>-24370</v>
      </c>
      <c r="R60" s="14">
        <f t="shared" ca="1" si="14"/>
        <v>-25240</v>
      </c>
      <c r="S60" s="14">
        <f t="shared" ca="1" si="14"/>
        <v>-25360</v>
      </c>
      <c r="T60" s="14">
        <f t="shared" ca="1" si="14"/>
        <v>-25470</v>
      </c>
      <c r="U60" s="14">
        <f t="shared" ca="1" si="14"/>
        <v>-25600</v>
      </c>
      <c r="V60" s="14">
        <f t="shared" ca="1" si="14"/>
        <v>-25770</v>
      </c>
      <c r="W60" s="14">
        <f t="shared" ca="1" si="14"/>
        <v>-26620</v>
      </c>
      <c r="X60" s="14">
        <f t="shared" ca="1" si="14"/>
        <v>-26830</v>
      </c>
      <c r="Y60" s="14">
        <f t="shared" ca="1" si="14"/>
        <v>-26900</v>
      </c>
      <c r="Z60" s="14">
        <f t="shared" ca="1" si="14"/>
        <v>-27010</v>
      </c>
      <c r="AA60" s="14">
        <f t="shared" ca="1" si="14"/>
        <v>-27170</v>
      </c>
      <c r="AB60" s="14">
        <f t="shared" ca="1" si="14"/>
        <v>-27350</v>
      </c>
      <c r="AC60" s="14">
        <f t="shared" ca="1" si="14"/>
        <v>-27540</v>
      </c>
      <c r="AD60" s="14">
        <f t="shared" ca="1" si="14"/>
        <v>-27730</v>
      </c>
      <c r="AE60" s="14">
        <f t="shared" ca="1" si="14"/>
        <v>-27920</v>
      </c>
      <c r="AF60" s="14">
        <f t="shared" ca="1" si="14"/>
        <v>-28700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1</v>
      </c>
      <c r="C61" s="5">
        <f t="shared" si="15"/>
        <v>0</v>
      </c>
      <c r="D61" s="5">
        <f t="shared" si="15"/>
        <v>0</v>
      </c>
      <c r="E61" s="6" t="str">
        <f t="shared" si="15"/>
        <v>(1)Se[m]</v>
      </c>
      <c r="F61" s="14">
        <f t="shared" ca="1" si="16"/>
        <v>-23570</v>
      </c>
      <c r="G61" s="14">
        <f t="shared" ca="1" si="14"/>
        <v>-21380</v>
      </c>
      <c r="H61" s="14">
        <f t="shared" ca="1" si="14"/>
        <v>-22030</v>
      </c>
      <c r="I61" s="14">
        <f t="shared" ca="1" si="14"/>
        <v>-22650</v>
      </c>
      <c r="J61" s="14">
        <f t="shared" ca="1" si="14"/>
        <v>-22810</v>
      </c>
      <c r="K61" s="14">
        <f t="shared" ca="1" si="14"/>
        <v>-23000</v>
      </c>
      <c r="L61" s="14">
        <f t="shared" ca="1" si="14"/>
        <v>-23210</v>
      </c>
      <c r="M61" s="14">
        <f t="shared" ca="1" si="14"/>
        <v>-23430</v>
      </c>
      <c r="N61" s="14">
        <f t="shared" ca="1" si="14"/>
        <v>-23660</v>
      </c>
      <c r="O61" s="14">
        <f t="shared" ca="1" si="14"/>
        <v>-23900</v>
      </c>
      <c r="P61" s="14">
        <f t="shared" ca="1" si="14"/>
        <v>-24140</v>
      </c>
      <c r="Q61" s="14">
        <f t="shared" ca="1" si="14"/>
        <v>-24370</v>
      </c>
      <c r="R61" s="14">
        <f t="shared" ca="1" si="14"/>
        <v>-25240</v>
      </c>
      <c r="S61" s="14">
        <f t="shared" ca="1" si="14"/>
        <v>-25360</v>
      </c>
      <c r="T61" s="14">
        <f t="shared" ca="1" si="14"/>
        <v>-25470</v>
      </c>
      <c r="U61" s="14">
        <f t="shared" ca="1" si="14"/>
        <v>-25600</v>
      </c>
      <c r="V61" s="14">
        <f t="shared" ca="1" si="14"/>
        <v>-25770</v>
      </c>
      <c r="W61" s="14">
        <f t="shared" ca="1" si="14"/>
        <v>-26620</v>
      </c>
      <c r="X61" s="14">
        <f t="shared" ca="1" si="14"/>
        <v>-26830</v>
      </c>
      <c r="Y61" s="14">
        <f t="shared" ca="1" si="14"/>
        <v>-26900</v>
      </c>
      <c r="Z61" s="14">
        <f t="shared" ca="1" si="14"/>
        <v>-27010</v>
      </c>
      <c r="AA61" s="14">
        <f t="shared" ca="1" si="14"/>
        <v>-27170</v>
      </c>
      <c r="AB61" s="14">
        <f t="shared" ca="1" si="14"/>
        <v>-27350</v>
      </c>
      <c r="AC61" s="14">
        <f t="shared" ca="1" si="14"/>
        <v>-27540</v>
      </c>
      <c r="AD61" s="14">
        <f t="shared" ca="1" si="14"/>
        <v>-27730</v>
      </c>
      <c r="AE61" s="14">
        <f t="shared" ca="1" si="14"/>
        <v>-27920</v>
      </c>
      <c r="AF61" s="14">
        <f t="shared" ca="1" si="14"/>
        <v>-28700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1</v>
      </c>
      <c r="D62" s="5">
        <f t="shared" si="15"/>
        <v>0</v>
      </c>
      <c r="E62" s="6" t="str">
        <f t="shared" si="15"/>
        <v>(1)Ge[c]</v>
      </c>
      <c r="F62" s="14">
        <f t="shared" ca="1" si="16"/>
        <v>-17380</v>
      </c>
      <c r="G62" s="14">
        <f t="shared" ca="1" si="14"/>
        <v>-13440</v>
      </c>
      <c r="H62" s="14">
        <f t="shared" ca="1" si="14"/>
        <v>-8996</v>
      </c>
      <c r="I62" s="14">
        <f t="shared" ca="1" si="14"/>
        <v>-6574</v>
      </c>
      <c r="J62" s="14">
        <f t="shared" ca="1" si="14"/>
        <v>-6359</v>
      </c>
      <c r="K62" s="14">
        <f t="shared" ca="1" si="14"/>
        <v>-6246</v>
      </c>
      <c r="L62" s="14">
        <f t="shared" ca="1" si="14"/>
        <v>-6201</v>
      </c>
      <c r="M62" s="14">
        <f t="shared" ca="1" si="14"/>
        <v>-6196</v>
      </c>
      <c r="N62" s="14">
        <f t="shared" ca="1" si="14"/>
        <v>-6214</v>
      </c>
      <c r="O62" s="14">
        <f t="shared" ca="1" si="14"/>
        <v>-6242</v>
      </c>
      <c r="P62" s="14">
        <f t="shared" ca="1" si="14"/>
        <v>-6277</v>
      </c>
      <c r="Q62" s="14">
        <f t="shared" ca="1" si="14"/>
        <v>-6315</v>
      </c>
      <c r="R62" s="14">
        <f t="shared" ca="1" si="14"/>
        <v>-6666</v>
      </c>
      <c r="S62" s="14">
        <f t="shared" ca="1" si="14"/>
        <v>-6979</v>
      </c>
      <c r="T62" s="14">
        <f t="shared" ca="1" si="14"/>
        <v>-7351</v>
      </c>
      <c r="U62" s="14">
        <f t="shared" ca="1" si="14"/>
        <v>-7644</v>
      </c>
      <c r="V62" s="14">
        <f t="shared" ca="1" si="14"/>
        <v>-7824</v>
      </c>
      <c r="W62" s="14">
        <f t="shared" ca="1" si="14"/>
        <v>-8111</v>
      </c>
      <c r="X62" s="14">
        <f t="shared" ca="1" si="14"/>
        <v>-8167</v>
      </c>
      <c r="Y62" s="14">
        <f t="shared" ca="1" si="14"/>
        <v>-8218</v>
      </c>
      <c r="Z62" s="14">
        <f t="shared" ca="1" si="14"/>
        <v>-8261</v>
      </c>
      <c r="AA62" s="14">
        <f t="shared" ca="1" si="14"/>
        <v>-8301</v>
      </c>
      <c r="AB62" s="14">
        <f t="shared" ca="1" si="14"/>
        <v>-8339</v>
      </c>
      <c r="AC62" s="14">
        <f t="shared" ca="1" si="14"/>
        <v>-8375</v>
      </c>
      <c r="AD62" s="14">
        <f t="shared" ca="1" si="14"/>
        <v>-8410</v>
      </c>
      <c r="AE62" s="14">
        <f t="shared" ca="1" si="14"/>
        <v>-8448</v>
      </c>
      <c r="AF62" s="14">
        <f t="shared" ca="1" si="14"/>
        <v>-8615</v>
      </c>
      <c r="AG62" s="14">
        <f t="shared" ca="1" si="14"/>
        <v>0</v>
      </c>
      <c r="AH62" s="14">
        <f t="shared" ca="1" si="14"/>
        <v>0</v>
      </c>
      <c r="AI62" s="14">
        <f t="shared" ref="G62:AL71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1</v>
      </c>
      <c r="E63" s="6" t="str">
        <f t="shared" si="15"/>
        <v>(3)Ga[1]</v>
      </c>
      <c r="F63" s="14">
        <f t="shared" ca="1" si="16"/>
        <v>-65990</v>
      </c>
      <c r="G63" s="14">
        <f t="shared" ca="1" si="17"/>
        <v>-51790</v>
      </c>
      <c r="H63" s="14">
        <f t="shared" ca="1" si="17"/>
        <v>-39260</v>
      </c>
      <c r="I63" s="14">
        <f t="shared" ca="1" si="17"/>
        <v>-30180</v>
      </c>
      <c r="J63" s="14">
        <f t="shared" ca="1" si="17"/>
        <v>-28280</v>
      </c>
      <c r="K63" s="14">
        <f t="shared" ca="1" si="17"/>
        <v>-26450</v>
      </c>
      <c r="L63" s="14">
        <f t="shared" ca="1" si="17"/>
        <v>-24700</v>
      </c>
      <c r="M63" s="14">
        <f t="shared" ca="1" si="17"/>
        <v>-23010</v>
      </c>
      <c r="N63" s="14">
        <f t="shared" ca="1" si="17"/>
        <v>-21400</v>
      </c>
      <c r="O63" s="14">
        <f t="shared" ca="1" si="17"/>
        <v>-19860</v>
      </c>
      <c r="P63" s="14">
        <f t="shared" ca="1" si="17"/>
        <v>-18390</v>
      </c>
      <c r="Q63" s="14">
        <f t="shared" ca="1" si="17"/>
        <v>-16990</v>
      </c>
      <c r="R63" s="14">
        <f t="shared" ca="1" si="17"/>
        <v>-12140</v>
      </c>
      <c r="S63" s="14">
        <f t="shared" ca="1" si="17"/>
        <v>-11270</v>
      </c>
      <c r="T63" s="14">
        <f t="shared" ca="1" si="17"/>
        <v>-10610</v>
      </c>
      <c r="U63" s="14">
        <f t="shared" ca="1" si="17"/>
        <v>-10070</v>
      </c>
      <c r="V63" s="14">
        <f t="shared" ca="1" si="17"/>
        <v>-9596</v>
      </c>
      <c r="W63" s="14">
        <f t="shared" ca="1" si="17"/>
        <v>-7969</v>
      </c>
      <c r="X63" s="14">
        <f t="shared" ca="1" si="17"/>
        <v>-7610</v>
      </c>
      <c r="Y63" s="14">
        <f t="shared" ca="1" si="17"/>
        <v>-7591</v>
      </c>
      <c r="Z63" s="14">
        <f t="shared" ca="1" si="17"/>
        <v>-7648</v>
      </c>
      <c r="AA63" s="14">
        <f t="shared" ca="1" si="17"/>
        <v>-7704</v>
      </c>
      <c r="AB63" s="14">
        <f t="shared" ca="1" si="17"/>
        <v>-7760</v>
      </c>
      <c r="AC63" s="14">
        <f t="shared" ca="1" si="17"/>
        <v>-7814</v>
      </c>
      <c r="AD63" s="14">
        <f t="shared" ca="1" si="17"/>
        <v>-7867</v>
      </c>
      <c r="AE63" s="14">
        <f t="shared" ca="1" si="17"/>
        <v>-7920</v>
      </c>
      <c r="AF63" s="14">
        <f t="shared" ca="1" si="17"/>
        <v>-8124</v>
      </c>
      <c r="AG63" s="14">
        <f t="shared" ca="1" si="17"/>
        <v>0</v>
      </c>
      <c r="AH63" s="14">
        <f t="shared" ca="1" si="17"/>
        <v>0</v>
      </c>
      <c r="AI63" s="14">
        <f t="shared" ca="1" si="17"/>
        <v>0</v>
      </c>
      <c r="AJ63" s="14">
        <f t="shared" ca="1" si="17"/>
        <v>0</v>
      </c>
      <c r="AK63" s="14">
        <f t="shared" ca="1" si="17"/>
        <v>0</v>
      </c>
      <c r="AL63" s="14">
        <f t="shared" ca="1" si="17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1</v>
      </c>
      <c r="D64" s="5">
        <f t="shared" si="15"/>
        <v>0</v>
      </c>
      <c r="E64" s="6" t="str">
        <f t="shared" si="15"/>
        <v>(3)Ge[1]</v>
      </c>
      <c r="F64" s="14">
        <f t="shared" ca="1" si="16"/>
        <v>-17380</v>
      </c>
      <c r="G64" s="14">
        <f t="shared" ca="1" si="17"/>
        <v>-13440</v>
      </c>
      <c r="H64" s="14">
        <f t="shared" ca="1" si="17"/>
        <v>-8996</v>
      </c>
      <c r="I64" s="14">
        <f t="shared" ca="1" si="17"/>
        <v>-6574</v>
      </c>
      <c r="J64" s="14">
        <f t="shared" ca="1" si="17"/>
        <v>-6359</v>
      </c>
      <c r="K64" s="14">
        <f t="shared" ca="1" si="17"/>
        <v>-6246</v>
      </c>
      <c r="L64" s="14">
        <f t="shared" ca="1" si="17"/>
        <v>-6201</v>
      </c>
      <c r="M64" s="14">
        <f t="shared" ca="1" si="17"/>
        <v>-6196</v>
      </c>
      <c r="N64" s="14">
        <f t="shared" ca="1" si="17"/>
        <v>-6214</v>
      </c>
      <c r="O64" s="14">
        <f t="shared" ca="1" si="17"/>
        <v>-6242</v>
      </c>
      <c r="P64" s="14">
        <f t="shared" ca="1" si="17"/>
        <v>-6277</v>
      </c>
      <c r="Q64" s="14">
        <f t="shared" ca="1" si="17"/>
        <v>-6315</v>
      </c>
      <c r="R64" s="14">
        <f t="shared" ca="1" si="17"/>
        <v>-6666</v>
      </c>
      <c r="S64" s="14">
        <f t="shared" ca="1" si="17"/>
        <v>-6979</v>
      </c>
      <c r="T64" s="14">
        <f t="shared" ca="1" si="17"/>
        <v>-7351</v>
      </c>
      <c r="U64" s="14">
        <f t="shared" ca="1" si="17"/>
        <v>-7644</v>
      </c>
      <c r="V64" s="14">
        <f t="shared" ca="1" si="17"/>
        <v>-7824</v>
      </c>
      <c r="W64" s="14">
        <f t="shared" ca="1" si="17"/>
        <v>-8111</v>
      </c>
      <c r="X64" s="14">
        <f t="shared" ca="1" si="17"/>
        <v>-8167</v>
      </c>
      <c r="Y64" s="14">
        <f t="shared" ca="1" si="17"/>
        <v>-8218</v>
      </c>
      <c r="Z64" s="14">
        <f t="shared" ca="1" si="17"/>
        <v>-8261</v>
      </c>
      <c r="AA64" s="14">
        <f t="shared" ca="1" si="17"/>
        <v>-8301</v>
      </c>
      <c r="AB64" s="14">
        <f t="shared" ca="1" si="17"/>
        <v>-8339</v>
      </c>
      <c r="AC64" s="14">
        <f t="shared" ca="1" si="17"/>
        <v>-8375</v>
      </c>
      <c r="AD64" s="14">
        <f t="shared" ca="1" si="17"/>
        <v>-8410</v>
      </c>
      <c r="AE64" s="14">
        <f t="shared" ca="1" si="17"/>
        <v>-8448</v>
      </c>
      <c r="AF64" s="14">
        <f t="shared" ca="1" si="17"/>
        <v>-8615</v>
      </c>
      <c r="AG64" s="14">
        <f t="shared" ca="1" si="17"/>
        <v>0</v>
      </c>
      <c r="AH64" s="14">
        <f t="shared" ca="1" si="17"/>
        <v>0</v>
      </c>
      <c r="AI64" s="14">
        <f t="shared" ca="1" si="17"/>
        <v>0</v>
      </c>
      <c r="AJ64" s="14">
        <f t="shared" ca="1" si="17"/>
        <v>0</v>
      </c>
      <c r="AK64" s="14">
        <f t="shared" ca="1" si="17"/>
        <v>0</v>
      </c>
      <c r="AL64" s="14">
        <f t="shared" ca="1" si="17"/>
        <v>0</v>
      </c>
    </row>
    <row r="65" spans="1:54" ht="21" hidden="1" customHeight="1" outlineLevel="1" thickBot="1" x14ac:dyDescent="0.4">
      <c r="A65" s="5">
        <f t="shared" si="15"/>
        <v>1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 t="str">
        <f t="shared" si="15"/>
        <v>H (Ar)</v>
      </c>
      <c r="F65" s="14">
        <f t="shared" ca="1" si="16"/>
        <v>-19080</v>
      </c>
      <c r="G65" s="14">
        <f t="shared" ca="1" si="17"/>
        <v>-19070</v>
      </c>
      <c r="H65" s="14">
        <f t="shared" ca="1" si="17"/>
        <v>-19150</v>
      </c>
      <c r="I65" s="14">
        <f t="shared" ca="1" si="17"/>
        <v>-19250</v>
      </c>
      <c r="J65" s="14">
        <f t="shared" ca="1" si="17"/>
        <v>-19270</v>
      </c>
      <c r="K65" s="14">
        <f t="shared" ca="1" si="17"/>
        <v>-19300</v>
      </c>
      <c r="L65" s="14">
        <f t="shared" ca="1" si="17"/>
        <v>-19330</v>
      </c>
      <c r="M65" s="14">
        <f t="shared" ca="1" si="17"/>
        <v>-19360</v>
      </c>
      <c r="N65" s="14">
        <f t="shared" ca="1" si="17"/>
        <v>-19390</v>
      </c>
      <c r="O65" s="14">
        <f t="shared" ca="1" si="17"/>
        <v>-19420</v>
      </c>
      <c r="P65" s="14">
        <f t="shared" ca="1" si="17"/>
        <v>-19460</v>
      </c>
      <c r="Q65" s="14">
        <f t="shared" ca="1" si="17"/>
        <v>-19490</v>
      </c>
      <c r="R65" s="14">
        <f t="shared" ca="1" si="17"/>
        <v>-19580</v>
      </c>
      <c r="S65" s="14">
        <f t="shared" ca="1" si="17"/>
        <v>-19540</v>
      </c>
      <c r="T65" s="14">
        <f t="shared" ca="1" si="17"/>
        <v>-19470</v>
      </c>
      <c r="U65" s="14">
        <f t="shared" ca="1" si="17"/>
        <v>-19420</v>
      </c>
      <c r="V65" s="14">
        <f t="shared" ca="1" si="17"/>
        <v>-19410</v>
      </c>
      <c r="W65" s="14">
        <f t="shared" ca="1" si="17"/>
        <v>-19510</v>
      </c>
      <c r="X65" s="14">
        <f t="shared" ca="1" si="17"/>
        <v>-19550</v>
      </c>
      <c r="Y65" s="14">
        <f t="shared" ca="1" si="17"/>
        <v>-19580</v>
      </c>
      <c r="Z65" s="14">
        <f t="shared" ca="1" si="17"/>
        <v>-19610</v>
      </c>
      <c r="AA65" s="14">
        <f t="shared" ca="1" si="17"/>
        <v>-19640</v>
      </c>
      <c r="AB65" s="14">
        <f t="shared" ca="1" si="17"/>
        <v>-19670</v>
      </c>
      <c r="AC65" s="14">
        <f t="shared" ca="1" si="17"/>
        <v>-19700</v>
      </c>
      <c r="AD65" s="14">
        <f t="shared" ca="1" si="17"/>
        <v>-19730</v>
      </c>
      <c r="AE65" s="14">
        <f t="shared" ca="1" si="17"/>
        <v>-19760</v>
      </c>
      <c r="AF65" s="14">
        <f t="shared" ca="1" si="17"/>
        <v>-19880</v>
      </c>
      <c r="AG65" s="14">
        <f t="shared" ca="1" si="17"/>
        <v>0</v>
      </c>
      <c r="AH65" s="14">
        <f t="shared" ca="1" si="17"/>
        <v>0</v>
      </c>
      <c r="AI65" s="14">
        <f t="shared" ca="1" si="17"/>
        <v>0</v>
      </c>
      <c r="AJ65" s="14">
        <f t="shared" ca="1" si="17"/>
        <v>0</v>
      </c>
      <c r="AK65" s="14">
        <f t="shared" ca="1" si="17"/>
        <v>0</v>
      </c>
      <c r="AL65" s="14">
        <f t="shared" ca="1" si="17"/>
        <v>0</v>
      </c>
    </row>
    <row r="66" spans="1:54" ht="21" hidden="1" customHeight="1" outlineLevel="1" thickBot="1" x14ac:dyDescent="0.4">
      <c r="A66" s="5">
        <f t="shared" ref="A66:E75" si="18">A24</f>
        <v>0</v>
      </c>
      <c r="B66" s="5">
        <f t="shared" si="18"/>
        <v>0</v>
      </c>
      <c r="C66" s="5">
        <f t="shared" si="18"/>
        <v>0</v>
      </c>
      <c r="D66" s="5">
        <f t="shared" si="18"/>
        <v>1</v>
      </c>
      <c r="E66" s="6" t="str">
        <f t="shared" si="18"/>
        <v>H (Ga)</v>
      </c>
      <c r="F66" s="14">
        <f t="shared" ref="F66:U74" ca="1" si="19">$A66*H.Ar + $B66*H.Se + $C66*H.Ge + $D66*H.Ga</f>
        <v>-65990</v>
      </c>
      <c r="G66" s="14">
        <f t="shared" ca="1" si="19"/>
        <v>-51790</v>
      </c>
      <c r="H66" s="14">
        <f t="shared" ca="1" si="19"/>
        <v>-39260</v>
      </c>
      <c r="I66" s="14">
        <f t="shared" ca="1" si="19"/>
        <v>-30180</v>
      </c>
      <c r="J66" s="14">
        <f t="shared" ca="1" si="19"/>
        <v>-28280</v>
      </c>
      <c r="K66" s="14">
        <f t="shared" ca="1" si="19"/>
        <v>-26450</v>
      </c>
      <c r="L66" s="14">
        <f t="shared" ca="1" si="19"/>
        <v>-24700</v>
      </c>
      <c r="M66" s="14">
        <f t="shared" ca="1" si="19"/>
        <v>-23010</v>
      </c>
      <c r="N66" s="14">
        <f t="shared" ca="1" si="19"/>
        <v>-21400</v>
      </c>
      <c r="O66" s="14">
        <f t="shared" ca="1" si="19"/>
        <v>-19860</v>
      </c>
      <c r="P66" s="14">
        <f t="shared" ca="1" si="19"/>
        <v>-18390</v>
      </c>
      <c r="Q66" s="14">
        <f t="shared" ca="1" si="19"/>
        <v>-16990</v>
      </c>
      <c r="R66" s="14">
        <f t="shared" ca="1" si="19"/>
        <v>-12140</v>
      </c>
      <c r="S66" s="14">
        <f t="shared" ca="1" si="19"/>
        <v>-11270</v>
      </c>
      <c r="T66" s="14">
        <f t="shared" ca="1" si="19"/>
        <v>-10610</v>
      </c>
      <c r="U66" s="14">
        <f t="shared" ca="1" si="19"/>
        <v>-10070</v>
      </c>
      <c r="V66" s="14">
        <f t="shared" ca="1" si="17"/>
        <v>-9596</v>
      </c>
      <c r="W66" s="14">
        <f t="shared" ca="1" si="17"/>
        <v>-7969</v>
      </c>
      <c r="X66" s="14">
        <f t="shared" ca="1" si="17"/>
        <v>-7610</v>
      </c>
      <c r="Y66" s="14">
        <f t="shared" ca="1" si="17"/>
        <v>-7591</v>
      </c>
      <c r="Z66" s="14">
        <f t="shared" ca="1" si="17"/>
        <v>-7648</v>
      </c>
      <c r="AA66" s="14">
        <f t="shared" ca="1" si="17"/>
        <v>-7704</v>
      </c>
      <c r="AB66" s="14">
        <f t="shared" ca="1" si="17"/>
        <v>-7760</v>
      </c>
      <c r="AC66" s="14">
        <f t="shared" ca="1" si="17"/>
        <v>-7814</v>
      </c>
      <c r="AD66" s="14">
        <f t="shared" ca="1" si="17"/>
        <v>-7867</v>
      </c>
      <c r="AE66" s="14">
        <f t="shared" ca="1" si="17"/>
        <v>-7920</v>
      </c>
      <c r="AF66" s="14">
        <f t="shared" ca="1" si="17"/>
        <v>-8124</v>
      </c>
      <c r="AG66" s="14">
        <f t="shared" ca="1" si="17"/>
        <v>0</v>
      </c>
      <c r="AH66" s="14">
        <f t="shared" ca="1" si="17"/>
        <v>0</v>
      </c>
      <c r="AI66" s="14">
        <f t="shared" ca="1" si="17"/>
        <v>0</v>
      </c>
      <c r="AJ66" s="14">
        <f t="shared" ca="1" si="17"/>
        <v>0</v>
      </c>
      <c r="AK66" s="14">
        <f t="shared" ca="1" si="17"/>
        <v>0</v>
      </c>
      <c r="AL66" s="14">
        <f t="shared" ca="1" si="17"/>
        <v>0</v>
      </c>
    </row>
    <row r="67" spans="1:54" ht="21" hidden="1" customHeight="1" outlineLevel="1" thickBot="1" x14ac:dyDescent="0.4">
      <c r="A67" s="5">
        <f t="shared" si="18"/>
        <v>0</v>
      </c>
      <c r="B67" s="5">
        <f t="shared" si="18"/>
        <v>0</v>
      </c>
      <c r="C67" s="5">
        <f t="shared" si="18"/>
        <v>1</v>
      </c>
      <c r="D67" s="5">
        <f t="shared" si="18"/>
        <v>0</v>
      </c>
      <c r="E67" s="6" t="str">
        <f t="shared" si="18"/>
        <v>H (Ge)</v>
      </c>
      <c r="F67" s="14">
        <f t="shared" ca="1" si="19"/>
        <v>-17380</v>
      </c>
      <c r="G67" s="14">
        <f t="shared" ca="1" si="17"/>
        <v>-13440</v>
      </c>
      <c r="H67" s="14">
        <f t="shared" ca="1" si="17"/>
        <v>-8996</v>
      </c>
      <c r="I67" s="14">
        <f t="shared" ca="1" si="17"/>
        <v>-6574</v>
      </c>
      <c r="J67" s="14">
        <f t="shared" ca="1" si="17"/>
        <v>-6359</v>
      </c>
      <c r="K67" s="14">
        <f t="shared" ca="1" si="17"/>
        <v>-6246</v>
      </c>
      <c r="L67" s="14">
        <f t="shared" ca="1" si="17"/>
        <v>-6201</v>
      </c>
      <c r="M67" s="14">
        <f t="shared" ca="1" si="17"/>
        <v>-6196</v>
      </c>
      <c r="N67" s="14">
        <f t="shared" ca="1" si="17"/>
        <v>-6214</v>
      </c>
      <c r="O67" s="14">
        <f t="shared" ca="1" si="17"/>
        <v>-6242</v>
      </c>
      <c r="P67" s="14">
        <f t="shared" ca="1" si="17"/>
        <v>-6277</v>
      </c>
      <c r="Q67" s="14">
        <f t="shared" ca="1" si="17"/>
        <v>-6315</v>
      </c>
      <c r="R67" s="14">
        <f t="shared" ca="1" si="17"/>
        <v>-6666</v>
      </c>
      <c r="S67" s="14">
        <f t="shared" ca="1" si="17"/>
        <v>-6979</v>
      </c>
      <c r="T67" s="14">
        <f t="shared" ca="1" si="17"/>
        <v>-7351</v>
      </c>
      <c r="U67" s="14">
        <f t="shared" ca="1" si="17"/>
        <v>-7644</v>
      </c>
      <c r="V67" s="14">
        <f t="shared" ca="1" si="17"/>
        <v>-7824</v>
      </c>
      <c r="W67" s="14">
        <f t="shared" ca="1" si="17"/>
        <v>-8111</v>
      </c>
      <c r="X67" s="14">
        <f t="shared" ca="1" si="17"/>
        <v>-8167</v>
      </c>
      <c r="Y67" s="14">
        <f t="shared" ca="1" si="17"/>
        <v>-8218</v>
      </c>
      <c r="Z67" s="14">
        <f t="shared" ca="1" si="17"/>
        <v>-8261</v>
      </c>
      <c r="AA67" s="14">
        <f t="shared" ca="1" si="17"/>
        <v>-8301</v>
      </c>
      <c r="AB67" s="14">
        <f t="shared" ca="1" si="17"/>
        <v>-8339</v>
      </c>
      <c r="AC67" s="14">
        <f t="shared" ca="1" si="17"/>
        <v>-8375</v>
      </c>
      <c r="AD67" s="14">
        <f t="shared" ca="1" si="17"/>
        <v>-8410</v>
      </c>
      <c r="AE67" s="14">
        <f t="shared" ca="1" si="17"/>
        <v>-8448</v>
      </c>
      <c r="AF67" s="14">
        <f t="shared" ca="1" si="17"/>
        <v>-8615</v>
      </c>
      <c r="AG67" s="14">
        <f t="shared" ca="1" si="17"/>
        <v>0</v>
      </c>
      <c r="AH67" s="14">
        <f t="shared" ca="1" si="17"/>
        <v>0</v>
      </c>
      <c r="AI67" s="14">
        <f t="shared" ca="1" si="17"/>
        <v>0</v>
      </c>
      <c r="AJ67" s="14">
        <f t="shared" ca="1" si="17"/>
        <v>0</v>
      </c>
      <c r="AK67" s="14">
        <f t="shared" ca="1" si="17"/>
        <v>0</v>
      </c>
      <c r="AL67" s="14">
        <f t="shared" ca="1" si="17"/>
        <v>0</v>
      </c>
    </row>
    <row r="68" spans="1:54" ht="21" hidden="1" customHeight="1" outlineLevel="1" thickBot="1" x14ac:dyDescent="0.4">
      <c r="A68" s="5">
        <f t="shared" si="18"/>
        <v>0</v>
      </c>
      <c r="B68" s="5">
        <f t="shared" si="18"/>
        <v>1</v>
      </c>
      <c r="C68" s="5">
        <f t="shared" si="18"/>
        <v>0</v>
      </c>
      <c r="D68" s="5">
        <f t="shared" si="18"/>
        <v>0</v>
      </c>
      <c r="E68" s="6" t="str">
        <f t="shared" si="18"/>
        <v>H (Se)</v>
      </c>
      <c r="F68" s="14">
        <f t="shared" ca="1" si="19"/>
        <v>-23570</v>
      </c>
      <c r="G68" s="14">
        <f t="shared" ca="1" si="17"/>
        <v>-21380</v>
      </c>
      <c r="H68" s="14">
        <f t="shared" ca="1" si="17"/>
        <v>-22030</v>
      </c>
      <c r="I68" s="14">
        <f t="shared" ca="1" si="17"/>
        <v>-22650</v>
      </c>
      <c r="J68" s="14">
        <f t="shared" ca="1" si="17"/>
        <v>-22810</v>
      </c>
      <c r="K68" s="14">
        <f t="shared" ca="1" si="17"/>
        <v>-23000</v>
      </c>
      <c r="L68" s="14">
        <f t="shared" ca="1" si="17"/>
        <v>-23210</v>
      </c>
      <c r="M68" s="14">
        <f t="shared" ca="1" si="17"/>
        <v>-23430</v>
      </c>
      <c r="N68" s="14">
        <f t="shared" ca="1" si="17"/>
        <v>-23660</v>
      </c>
      <c r="O68" s="14">
        <f t="shared" ca="1" si="17"/>
        <v>-23900</v>
      </c>
      <c r="P68" s="14">
        <f t="shared" ca="1" si="17"/>
        <v>-24140</v>
      </c>
      <c r="Q68" s="14">
        <f t="shared" ca="1" si="17"/>
        <v>-24370</v>
      </c>
      <c r="R68" s="14">
        <f t="shared" ca="1" si="17"/>
        <v>-25240</v>
      </c>
      <c r="S68" s="14">
        <f t="shared" ca="1" si="17"/>
        <v>-25360</v>
      </c>
      <c r="T68" s="14">
        <f t="shared" ca="1" si="17"/>
        <v>-25470</v>
      </c>
      <c r="U68" s="14">
        <f t="shared" ca="1" si="17"/>
        <v>-25600</v>
      </c>
      <c r="V68" s="14">
        <f t="shared" ca="1" si="17"/>
        <v>-25770</v>
      </c>
      <c r="W68" s="14">
        <f t="shared" ca="1" si="17"/>
        <v>-26620</v>
      </c>
      <c r="X68" s="14">
        <f t="shared" ca="1" si="17"/>
        <v>-26830</v>
      </c>
      <c r="Y68" s="14">
        <f t="shared" ca="1" si="17"/>
        <v>-26900</v>
      </c>
      <c r="Z68" s="14">
        <f t="shared" ca="1" si="17"/>
        <v>-27010</v>
      </c>
      <c r="AA68" s="14">
        <f t="shared" ca="1" si="17"/>
        <v>-27170</v>
      </c>
      <c r="AB68" s="14">
        <f t="shared" ca="1" si="17"/>
        <v>-27350</v>
      </c>
      <c r="AC68" s="14">
        <f t="shared" ca="1" si="17"/>
        <v>-27540</v>
      </c>
      <c r="AD68" s="14">
        <f t="shared" ca="1" si="17"/>
        <v>-27730</v>
      </c>
      <c r="AE68" s="14">
        <f t="shared" ca="1" si="17"/>
        <v>-27920</v>
      </c>
      <c r="AF68" s="14">
        <f t="shared" ca="1" si="17"/>
        <v>-28700</v>
      </c>
      <c r="AG68" s="14">
        <f t="shared" ca="1" si="17"/>
        <v>0</v>
      </c>
      <c r="AH68" s="14">
        <f t="shared" ca="1" si="17"/>
        <v>0</v>
      </c>
      <c r="AI68" s="14">
        <f t="shared" ca="1" si="17"/>
        <v>0</v>
      </c>
      <c r="AJ68" s="14">
        <f t="shared" ca="1" si="17"/>
        <v>0</v>
      </c>
      <c r="AK68" s="14">
        <f t="shared" ca="1" si="17"/>
        <v>0</v>
      </c>
      <c r="AL68" s="14">
        <f t="shared" ca="1" si="17"/>
        <v>0</v>
      </c>
    </row>
    <row r="69" spans="1:54" ht="21" hidden="1" customHeight="1" outlineLevel="1" thickBot="1" x14ac:dyDescent="0.4">
      <c r="A69" s="5">
        <f t="shared" si="18"/>
        <v>0</v>
      </c>
      <c r="B69" s="5">
        <f t="shared" si="18"/>
        <v>0</v>
      </c>
      <c r="C69" s="5">
        <f t="shared" si="18"/>
        <v>0</v>
      </c>
      <c r="D69" s="5">
        <f t="shared" si="18"/>
        <v>0</v>
      </c>
      <c r="E69" s="6">
        <f t="shared" si="18"/>
        <v>0</v>
      </c>
      <c r="F69" s="14">
        <f t="shared" ca="1" si="19"/>
        <v>0</v>
      </c>
      <c r="G69" s="14">
        <f t="shared" ca="1" si="17"/>
        <v>0</v>
      </c>
      <c r="H69" s="14">
        <f t="shared" ca="1" si="17"/>
        <v>0</v>
      </c>
      <c r="I69" s="14">
        <f t="shared" ca="1" si="17"/>
        <v>0</v>
      </c>
      <c r="J69" s="14">
        <f t="shared" ca="1" si="17"/>
        <v>0</v>
      </c>
      <c r="K69" s="14">
        <f t="shared" ca="1" si="17"/>
        <v>0</v>
      </c>
      <c r="L69" s="14">
        <f t="shared" ca="1" si="17"/>
        <v>0</v>
      </c>
      <c r="M69" s="14">
        <f t="shared" ca="1" si="17"/>
        <v>0</v>
      </c>
      <c r="N69" s="14">
        <f t="shared" ca="1" si="17"/>
        <v>0</v>
      </c>
      <c r="O69" s="14">
        <f t="shared" ca="1" si="17"/>
        <v>0</v>
      </c>
      <c r="P69" s="14">
        <f t="shared" ca="1" si="17"/>
        <v>0</v>
      </c>
      <c r="Q69" s="14">
        <f t="shared" ca="1" si="17"/>
        <v>0</v>
      </c>
      <c r="R69" s="14">
        <f t="shared" ca="1" si="17"/>
        <v>0</v>
      </c>
      <c r="S69" s="14">
        <f t="shared" ca="1" si="17"/>
        <v>0</v>
      </c>
      <c r="T69" s="14">
        <f t="shared" ca="1" si="17"/>
        <v>0</v>
      </c>
      <c r="U69" s="14">
        <f t="shared" ca="1" si="17"/>
        <v>0</v>
      </c>
      <c r="V69" s="14">
        <f t="shared" ca="1" si="17"/>
        <v>0</v>
      </c>
      <c r="W69" s="14">
        <f t="shared" ca="1" si="17"/>
        <v>0</v>
      </c>
      <c r="X69" s="14">
        <f t="shared" ca="1" si="17"/>
        <v>0</v>
      </c>
      <c r="Y69" s="14">
        <f t="shared" ca="1" si="17"/>
        <v>0</v>
      </c>
      <c r="Z69" s="14">
        <f t="shared" ca="1" si="17"/>
        <v>0</v>
      </c>
      <c r="AA69" s="14">
        <f t="shared" ca="1" si="17"/>
        <v>0</v>
      </c>
      <c r="AB69" s="14">
        <f t="shared" ca="1" si="17"/>
        <v>0</v>
      </c>
      <c r="AC69" s="14">
        <f t="shared" ca="1" si="17"/>
        <v>0</v>
      </c>
      <c r="AD69" s="14">
        <f t="shared" ca="1" si="17"/>
        <v>0</v>
      </c>
      <c r="AE69" s="14">
        <f t="shared" ca="1" si="17"/>
        <v>0</v>
      </c>
      <c r="AF69" s="14">
        <f t="shared" ca="1" si="17"/>
        <v>0</v>
      </c>
      <c r="AG69" s="14">
        <f t="shared" ca="1" si="17"/>
        <v>0</v>
      </c>
      <c r="AH69" s="14">
        <f t="shared" ca="1" si="17"/>
        <v>0</v>
      </c>
      <c r="AI69" s="14">
        <f t="shared" ca="1" si="17"/>
        <v>0</v>
      </c>
      <c r="AJ69" s="14">
        <f t="shared" ca="1" si="17"/>
        <v>0</v>
      </c>
      <c r="AK69" s="14">
        <f t="shared" ca="1" si="17"/>
        <v>0</v>
      </c>
      <c r="AL69" s="14">
        <f t="shared" ca="1" si="17"/>
        <v>0</v>
      </c>
    </row>
    <row r="70" spans="1:54" ht="21" hidden="1" customHeight="1" outlineLevel="1" thickBot="1" x14ac:dyDescent="0.4">
      <c r="A70" s="5">
        <f t="shared" si="18"/>
        <v>0</v>
      </c>
      <c r="B70" s="5">
        <f t="shared" si="18"/>
        <v>0</v>
      </c>
      <c r="C70" s="5">
        <f t="shared" si="18"/>
        <v>0</v>
      </c>
      <c r="D70" s="5">
        <f t="shared" si="18"/>
        <v>0</v>
      </c>
      <c r="E70" s="6">
        <f t="shared" si="18"/>
        <v>0</v>
      </c>
      <c r="F70" s="14">
        <f t="shared" ca="1" si="19"/>
        <v>0</v>
      </c>
      <c r="G70" s="14">
        <f t="shared" ca="1" si="17"/>
        <v>0</v>
      </c>
      <c r="H70" s="14">
        <f t="shared" ca="1" si="17"/>
        <v>0</v>
      </c>
      <c r="I70" s="14">
        <f t="shared" ca="1" si="17"/>
        <v>0</v>
      </c>
      <c r="J70" s="14">
        <f t="shared" ca="1" si="17"/>
        <v>0</v>
      </c>
      <c r="K70" s="14">
        <f t="shared" ca="1" si="17"/>
        <v>0</v>
      </c>
      <c r="L70" s="14">
        <f t="shared" ca="1" si="17"/>
        <v>0</v>
      </c>
      <c r="M70" s="14">
        <f t="shared" ca="1" si="17"/>
        <v>0</v>
      </c>
      <c r="N70" s="14">
        <f t="shared" ca="1" si="17"/>
        <v>0</v>
      </c>
      <c r="O70" s="14">
        <f t="shared" ca="1" si="17"/>
        <v>0</v>
      </c>
      <c r="P70" s="14">
        <f t="shared" ca="1" si="17"/>
        <v>0</v>
      </c>
      <c r="Q70" s="14">
        <f t="shared" ca="1" si="17"/>
        <v>0</v>
      </c>
      <c r="R70" s="14">
        <f t="shared" ca="1" si="17"/>
        <v>0</v>
      </c>
      <c r="S70" s="14">
        <f t="shared" ca="1" si="17"/>
        <v>0</v>
      </c>
      <c r="T70" s="14">
        <f t="shared" ca="1" si="17"/>
        <v>0</v>
      </c>
      <c r="U70" s="14">
        <f t="shared" ca="1" si="17"/>
        <v>0</v>
      </c>
      <c r="V70" s="14">
        <f t="shared" ca="1" si="17"/>
        <v>0</v>
      </c>
      <c r="W70" s="14">
        <f t="shared" ca="1" si="17"/>
        <v>0</v>
      </c>
      <c r="X70" s="14">
        <f t="shared" ca="1" si="17"/>
        <v>0</v>
      </c>
      <c r="Y70" s="14">
        <f t="shared" ca="1" si="17"/>
        <v>0</v>
      </c>
      <c r="Z70" s="14">
        <f t="shared" ca="1" si="17"/>
        <v>0</v>
      </c>
      <c r="AA70" s="14">
        <f t="shared" ca="1" si="17"/>
        <v>0</v>
      </c>
      <c r="AB70" s="14">
        <f t="shared" ca="1" si="17"/>
        <v>0</v>
      </c>
      <c r="AC70" s="14">
        <f t="shared" ca="1" si="17"/>
        <v>0</v>
      </c>
      <c r="AD70" s="14">
        <f t="shared" ca="1" si="17"/>
        <v>0</v>
      </c>
      <c r="AE70" s="14">
        <f t="shared" ca="1" si="17"/>
        <v>0</v>
      </c>
      <c r="AF70" s="14">
        <f t="shared" ca="1" si="17"/>
        <v>0</v>
      </c>
      <c r="AG70" s="14">
        <f t="shared" ca="1" si="17"/>
        <v>0</v>
      </c>
      <c r="AH70" s="14">
        <f t="shared" ca="1" si="17"/>
        <v>0</v>
      </c>
      <c r="AI70" s="14">
        <f t="shared" ca="1" si="17"/>
        <v>0</v>
      </c>
      <c r="AJ70" s="14">
        <f t="shared" ca="1" si="17"/>
        <v>0</v>
      </c>
      <c r="AK70" s="14">
        <f t="shared" ca="1" si="17"/>
        <v>0</v>
      </c>
      <c r="AL70" s="14">
        <f t="shared" ca="1" si="17"/>
        <v>0</v>
      </c>
    </row>
    <row r="71" spans="1:54" ht="21" hidden="1" customHeight="1" outlineLevel="1" thickBot="1" x14ac:dyDescent="0.4">
      <c r="A71" s="5">
        <f t="shared" si="18"/>
        <v>0</v>
      </c>
      <c r="B71" s="5">
        <f t="shared" si="18"/>
        <v>0</v>
      </c>
      <c r="C71" s="5">
        <f t="shared" si="18"/>
        <v>0</v>
      </c>
      <c r="D71" s="5">
        <f t="shared" si="18"/>
        <v>0</v>
      </c>
      <c r="E71" s="6">
        <f t="shared" si="18"/>
        <v>0</v>
      </c>
      <c r="F71" s="14">
        <f t="shared" ca="1" si="19"/>
        <v>0</v>
      </c>
      <c r="G71" s="14">
        <f t="shared" ca="1" si="17"/>
        <v>0</v>
      </c>
      <c r="H71" s="14">
        <f t="shared" ca="1" si="17"/>
        <v>0</v>
      </c>
      <c r="I71" s="14">
        <f t="shared" ca="1" si="17"/>
        <v>0</v>
      </c>
      <c r="J71" s="14">
        <f t="shared" ca="1" si="17"/>
        <v>0</v>
      </c>
      <c r="K71" s="14">
        <f t="shared" ca="1" si="17"/>
        <v>0</v>
      </c>
      <c r="L71" s="14">
        <f t="shared" ca="1" si="17"/>
        <v>0</v>
      </c>
      <c r="M71" s="14">
        <f t="shared" ca="1" si="17"/>
        <v>0</v>
      </c>
      <c r="N71" s="14">
        <f t="shared" ca="1" si="17"/>
        <v>0</v>
      </c>
      <c r="O71" s="14">
        <f t="shared" ca="1" si="17"/>
        <v>0</v>
      </c>
      <c r="P71" s="14">
        <f t="shared" ca="1" si="17"/>
        <v>0</v>
      </c>
      <c r="Q71" s="14">
        <f t="shared" ref="G71:AL74" ca="1" si="20">$A71*H.Ar + $B71*H.Se + $C71*H.Ge + $D71*H.Ga</f>
        <v>0</v>
      </c>
      <c r="R71" s="14">
        <f t="shared" ca="1" si="20"/>
        <v>0</v>
      </c>
      <c r="S71" s="14">
        <f t="shared" ca="1" si="20"/>
        <v>0</v>
      </c>
      <c r="T71" s="14">
        <f t="shared" ca="1" si="20"/>
        <v>0</v>
      </c>
      <c r="U71" s="14">
        <f t="shared" ca="1" si="20"/>
        <v>0</v>
      </c>
      <c r="V71" s="14">
        <f t="shared" ca="1" si="20"/>
        <v>0</v>
      </c>
      <c r="W71" s="14">
        <f t="shared" ca="1" si="20"/>
        <v>0</v>
      </c>
      <c r="X71" s="14">
        <f t="shared" ca="1" si="20"/>
        <v>0</v>
      </c>
      <c r="Y71" s="14">
        <f t="shared" ca="1" si="20"/>
        <v>0</v>
      </c>
      <c r="Z71" s="14">
        <f t="shared" ca="1" si="20"/>
        <v>0</v>
      </c>
      <c r="AA71" s="14">
        <f t="shared" ca="1" si="20"/>
        <v>0</v>
      </c>
      <c r="AB71" s="14">
        <f t="shared" ca="1" si="20"/>
        <v>0</v>
      </c>
      <c r="AC71" s="14">
        <f t="shared" ca="1" si="20"/>
        <v>0</v>
      </c>
      <c r="AD71" s="14">
        <f t="shared" ca="1" si="20"/>
        <v>0</v>
      </c>
      <c r="AE71" s="14">
        <f t="shared" ca="1" si="20"/>
        <v>0</v>
      </c>
      <c r="AF71" s="14">
        <f t="shared" ca="1" si="20"/>
        <v>0</v>
      </c>
      <c r="AG71" s="14">
        <f t="shared" ca="1" si="20"/>
        <v>0</v>
      </c>
      <c r="AH71" s="14">
        <f t="shared" ca="1" si="20"/>
        <v>0</v>
      </c>
      <c r="AI71" s="14">
        <f t="shared" ca="1" si="20"/>
        <v>0</v>
      </c>
      <c r="AJ71" s="14">
        <f t="shared" ca="1" si="20"/>
        <v>0</v>
      </c>
      <c r="AK71" s="14">
        <f t="shared" ca="1" si="20"/>
        <v>0</v>
      </c>
      <c r="AL71" s="14">
        <f t="shared" ca="1" si="20"/>
        <v>0</v>
      </c>
    </row>
    <row r="72" spans="1:54" ht="21" hidden="1" customHeight="1" outlineLevel="1" thickBot="1" x14ac:dyDescent="0.4">
      <c r="A72" s="5">
        <f t="shared" si="18"/>
        <v>0</v>
      </c>
      <c r="B72" s="5">
        <f t="shared" si="18"/>
        <v>0</v>
      </c>
      <c r="C72" s="5">
        <f t="shared" si="18"/>
        <v>0</v>
      </c>
      <c r="D72" s="5">
        <f t="shared" si="18"/>
        <v>0</v>
      </c>
      <c r="E72" s="6">
        <f t="shared" si="18"/>
        <v>0</v>
      </c>
      <c r="F72" s="14">
        <f t="shared" ca="1" si="19"/>
        <v>0</v>
      </c>
      <c r="G72" s="14">
        <f t="shared" ca="1" si="20"/>
        <v>0</v>
      </c>
      <c r="H72" s="14">
        <f t="shared" ca="1" si="20"/>
        <v>0</v>
      </c>
      <c r="I72" s="14">
        <f t="shared" ca="1" si="20"/>
        <v>0</v>
      </c>
      <c r="J72" s="14">
        <f t="shared" ca="1" si="20"/>
        <v>0</v>
      </c>
      <c r="K72" s="14">
        <f t="shared" ca="1" si="20"/>
        <v>0</v>
      </c>
      <c r="L72" s="14">
        <f t="shared" ca="1" si="20"/>
        <v>0</v>
      </c>
      <c r="M72" s="14">
        <f t="shared" ca="1" si="20"/>
        <v>0</v>
      </c>
      <c r="N72" s="14">
        <f t="shared" ca="1" si="20"/>
        <v>0</v>
      </c>
      <c r="O72" s="14">
        <f t="shared" ca="1" si="20"/>
        <v>0</v>
      </c>
      <c r="P72" s="14">
        <f t="shared" ca="1" si="20"/>
        <v>0</v>
      </c>
      <c r="Q72" s="14">
        <f t="shared" ca="1" si="20"/>
        <v>0</v>
      </c>
      <c r="R72" s="14">
        <f t="shared" ca="1" si="20"/>
        <v>0</v>
      </c>
      <c r="S72" s="14">
        <f t="shared" ca="1" si="20"/>
        <v>0</v>
      </c>
      <c r="T72" s="14">
        <f t="shared" ca="1" si="20"/>
        <v>0</v>
      </c>
      <c r="U72" s="14">
        <f t="shared" ca="1" si="20"/>
        <v>0</v>
      </c>
      <c r="V72" s="14">
        <f t="shared" ca="1" si="20"/>
        <v>0</v>
      </c>
      <c r="W72" s="14">
        <f t="shared" ca="1" si="20"/>
        <v>0</v>
      </c>
      <c r="X72" s="14">
        <f t="shared" ca="1" si="20"/>
        <v>0</v>
      </c>
      <c r="Y72" s="14">
        <f t="shared" ca="1" si="20"/>
        <v>0</v>
      </c>
      <c r="Z72" s="14">
        <f t="shared" ca="1" si="20"/>
        <v>0</v>
      </c>
      <c r="AA72" s="14">
        <f t="shared" ca="1" si="20"/>
        <v>0</v>
      </c>
      <c r="AB72" s="14">
        <f t="shared" ca="1" si="20"/>
        <v>0</v>
      </c>
      <c r="AC72" s="14">
        <f t="shared" ca="1" si="20"/>
        <v>0</v>
      </c>
      <c r="AD72" s="14">
        <f t="shared" ca="1" si="20"/>
        <v>0</v>
      </c>
      <c r="AE72" s="14">
        <f t="shared" ca="1" si="20"/>
        <v>0</v>
      </c>
      <c r="AF72" s="14">
        <f t="shared" ca="1" si="20"/>
        <v>0</v>
      </c>
      <c r="AG72" s="14">
        <f t="shared" ca="1" si="20"/>
        <v>0</v>
      </c>
      <c r="AH72" s="14">
        <f t="shared" ca="1" si="20"/>
        <v>0</v>
      </c>
      <c r="AI72" s="14">
        <f t="shared" ca="1" si="20"/>
        <v>0</v>
      </c>
      <c r="AJ72" s="14">
        <f t="shared" ca="1" si="20"/>
        <v>0</v>
      </c>
      <c r="AK72" s="14">
        <f t="shared" ca="1" si="20"/>
        <v>0</v>
      </c>
      <c r="AL72" s="14">
        <f t="shared" ca="1" si="20"/>
        <v>0</v>
      </c>
    </row>
    <row r="73" spans="1:54" ht="21" hidden="1" customHeight="1" outlineLevel="1" thickBot="1" x14ac:dyDescent="0.4">
      <c r="A73" s="5">
        <f t="shared" si="18"/>
        <v>0</v>
      </c>
      <c r="B73" s="5">
        <f t="shared" si="18"/>
        <v>0</v>
      </c>
      <c r="C73" s="5">
        <f t="shared" si="18"/>
        <v>0</v>
      </c>
      <c r="D73" s="5">
        <f t="shared" si="18"/>
        <v>0</v>
      </c>
      <c r="E73" s="6">
        <f t="shared" si="18"/>
        <v>0</v>
      </c>
      <c r="F73" s="14">
        <f t="shared" ca="1" si="19"/>
        <v>0</v>
      </c>
      <c r="G73" s="14">
        <f t="shared" ca="1" si="20"/>
        <v>0</v>
      </c>
      <c r="H73" s="14">
        <f t="shared" ca="1" si="20"/>
        <v>0</v>
      </c>
      <c r="I73" s="14">
        <f t="shared" ca="1" si="20"/>
        <v>0</v>
      </c>
      <c r="J73" s="14">
        <f t="shared" ca="1" si="20"/>
        <v>0</v>
      </c>
      <c r="K73" s="14">
        <f t="shared" ca="1" si="20"/>
        <v>0</v>
      </c>
      <c r="L73" s="14">
        <f t="shared" ca="1" si="20"/>
        <v>0</v>
      </c>
      <c r="M73" s="14">
        <f t="shared" ca="1" si="20"/>
        <v>0</v>
      </c>
      <c r="N73" s="14">
        <f t="shared" ca="1" si="20"/>
        <v>0</v>
      </c>
      <c r="O73" s="14">
        <f t="shared" ca="1" si="20"/>
        <v>0</v>
      </c>
      <c r="P73" s="14">
        <f t="shared" ca="1" si="20"/>
        <v>0</v>
      </c>
      <c r="Q73" s="14">
        <f t="shared" ca="1" si="20"/>
        <v>0</v>
      </c>
      <c r="R73" s="14">
        <f t="shared" ca="1" si="20"/>
        <v>0</v>
      </c>
      <c r="S73" s="14">
        <f t="shared" ca="1" si="20"/>
        <v>0</v>
      </c>
      <c r="T73" s="14">
        <f t="shared" ca="1" si="20"/>
        <v>0</v>
      </c>
      <c r="U73" s="14">
        <f t="shared" ca="1" si="20"/>
        <v>0</v>
      </c>
      <c r="V73" s="14">
        <f t="shared" ca="1" si="20"/>
        <v>0</v>
      </c>
      <c r="W73" s="14">
        <f t="shared" ca="1" si="20"/>
        <v>0</v>
      </c>
      <c r="X73" s="14">
        <f t="shared" ca="1" si="20"/>
        <v>0</v>
      </c>
      <c r="Y73" s="14">
        <f t="shared" ca="1" si="20"/>
        <v>0</v>
      </c>
      <c r="Z73" s="14">
        <f t="shared" ca="1" si="20"/>
        <v>0</v>
      </c>
      <c r="AA73" s="14">
        <f t="shared" ca="1" si="20"/>
        <v>0</v>
      </c>
      <c r="AB73" s="14">
        <f t="shared" ca="1" si="20"/>
        <v>0</v>
      </c>
      <c r="AC73" s="14">
        <f t="shared" ca="1" si="20"/>
        <v>0</v>
      </c>
      <c r="AD73" s="14">
        <f t="shared" ca="1" si="20"/>
        <v>0</v>
      </c>
      <c r="AE73" s="14">
        <f t="shared" ca="1" si="20"/>
        <v>0</v>
      </c>
      <c r="AF73" s="14">
        <f t="shared" ca="1" si="20"/>
        <v>0</v>
      </c>
      <c r="AG73" s="14">
        <f t="shared" ca="1" si="20"/>
        <v>0</v>
      </c>
      <c r="AH73" s="14">
        <f t="shared" ca="1" si="20"/>
        <v>0</v>
      </c>
      <c r="AI73" s="14">
        <f t="shared" ca="1" si="20"/>
        <v>0</v>
      </c>
      <c r="AJ73" s="14">
        <f t="shared" ca="1" si="20"/>
        <v>0</v>
      </c>
      <c r="AK73" s="14">
        <f t="shared" ca="1" si="20"/>
        <v>0</v>
      </c>
      <c r="AL73" s="14">
        <f t="shared" ca="1" si="20"/>
        <v>0</v>
      </c>
    </row>
    <row r="74" spans="1:54" ht="21" hidden="1" customHeight="1" outlineLevel="1" thickBot="1" x14ac:dyDescent="0.4">
      <c r="A74" s="5">
        <f t="shared" si="18"/>
        <v>0</v>
      </c>
      <c r="B74" s="5">
        <f t="shared" si="18"/>
        <v>0</v>
      </c>
      <c r="C74" s="5">
        <f t="shared" si="18"/>
        <v>0</v>
      </c>
      <c r="D74" s="5">
        <f t="shared" si="18"/>
        <v>0</v>
      </c>
      <c r="E74" s="6">
        <f t="shared" si="18"/>
        <v>0</v>
      </c>
      <c r="F74" s="14">
        <f t="shared" ca="1" si="19"/>
        <v>0</v>
      </c>
      <c r="G74" s="14">
        <f t="shared" ca="1" si="20"/>
        <v>0</v>
      </c>
      <c r="H74" s="14">
        <f t="shared" ca="1" si="20"/>
        <v>0</v>
      </c>
      <c r="I74" s="14">
        <f t="shared" ca="1" si="20"/>
        <v>0</v>
      </c>
      <c r="J74" s="14">
        <f t="shared" ca="1" si="20"/>
        <v>0</v>
      </c>
      <c r="K74" s="14">
        <f t="shared" ca="1" si="20"/>
        <v>0</v>
      </c>
      <c r="L74" s="14">
        <f t="shared" ca="1" si="20"/>
        <v>0</v>
      </c>
      <c r="M74" s="14">
        <f t="shared" ca="1" si="20"/>
        <v>0</v>
      </c>
      <c r="N74" s="14">
        <f t="shared" ca="1" si="20"/>
        <v>0</v>
      </c>
      <c r="O74" s="14">
        <f t="shared" ca="1" si="20"/>
        <v>0</v>
      </c>
      <c r="P74" s="14">
        <f t="shared" ca="1" si="20"/>
        <v>0</v>
      </c>
      <c r="Q74" s="14">
        <f t="shared" ca="1" si="20"/>
        <v>0</v>
      </c>
      <c r="R74" s="14">
        <f t="shared" ca="1" si="20"/>
        <v>0</v>
      </c>
      <c r="S74" s="14">
        <f t="shared" ca="1" si="20"/>
        <v>0</v>
      </c>
      <c r="T74" s="14">
        <f t="shared" ca="1" si="20"/>
        <v>0</v>
      </c>
      <c r="U74" s="14">
        <f t="shared" ca="1" si="20"/>
        <v>0</v>
      </c>
      <c r="V74" s="14">
        <f t="shared" ca="1" si="20"/>
        <v>0</v>
      </c>
      <c r="W74" s="14">
        <f t="shared" ca="1" si="20"/>
        <v>0</v>
      </c>
      <c r="X74" s="14">
        <f t="shared" ca="1" si="20"/>
        <v>0</v>
      </c>
      <c r="Y74" s="14">
        <f t="shared" ca="1" si="20"/>
        <v>0</v>
      </c>
      <c r="Z74" s="14">
        <f t="shared" ca="1" si="20"/>
        <v>0</v>
      </c>
      <c r="AA74" s="14">
        <f t="shared" ca="1" si="20"/>
        <v>0</v>
      </c>
      <c r="AB74" s="14">
        <f t="shared" ca="1" si="20"/>
        <v>0</v>
      </c>
      <c r="AC74" s="14">
        <f t="shared" ca="1" si="20"/>
        <v>0</v>
      </c>
      <c r="AD74" s="14">
        <f t="shared" ca="1" si="20"/>
        <v>0</v>
      </c>
      <c r="AE74" s="14">
        <f t="shared" ca="1" si="20"/>
        <v>0</v>
      </c>
      <c r="AF74" s="14">
        <f t="shared" ca="1" si="20"/>
        <v>0</v>
      </c>
      <c r="AG74" s="14">
        <f t="shared" ca="1" si="20"/>
        <v>0</v>
      </c>
      <c r="AH74" s="14">
        <f t="shared" ca="1" si="20"/>
        <v>0</v>
      </c>
      <c r="AI74" s="14">
        <f t="shared" ca="1" si="20"/>
        <v>0</v>
      </c>
      <c r="AJ74" s="14">
        <f t="shared" ca="1" si="20"/>
        <v>0</v>
      </c>
      <c r="AK74" s="14">
        <f t="shared" ca="1" si="20"/>
        <v>0</v>
      </c>
      <c r="AL74" s="14">
        <f t="shared" ca="1" si="20"/>
        <v>0</v>
      </c>
    </row>
    <row r="75" spans="1:54" ht="21" hidden="1" customHeight="1" outlineLevel="1" thickBot="1" x14ac:dyDescent="0.4">
      <c r="A75" s="5">
        <f t="shared" si="18"/>
        <v>0</v>
      </c>
      <c r="B75" s="5">
        <f t="shared" si="18"/>
        <v>0</v>
      </c>
      <c r="C75" s="5">
        <f t="shared" si="18"/>
        <v>0</v>
      </c>
      <c r="D75" s="5">
        <f t="shared" si="18"/>
        <v>0</v>
      </c>
      <c r="E75" s="6">
        <f t="shared" si="18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A76" s="55"/>
      <c r="B76" s="55"/>
      <c r="C76" s="55"/>
      <c r="D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</row>
    <row r="77" spans="1:54" ht="21" customHeight="1" collapsed="1" x14ac:dyDescent="0.35"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</row>
    <row r="78" spans="1:54" ht="21" customHeight="1" x14ac:dyDescent="0.4">
      <c r="A78" s="85"/>
      <c r="B78" s="85"/>
      <c r="C78" s="86">
        <f>E41</f>
        <v>5</v>
      </c>
      <c r="D78" s="72"/>
      <c r="E78" s="71" t="s">
        <v>22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1">E45</f>
        <v>Temperature,К Pressure, at</v>
      </c>
      <c r="F79" s="3">
        <f t="shared" ref="F79:AL79" si="22">F3</f>
        <v>273.10000000000002</v>
      </c>
      <c r="G79" s="3">
        <f t="shared" si="22"/>
        <v>339.2</v>
      </c>
      <c r="H79" s="3">
        <f t="shared" si="22"/>
        <v>405.3</v>
      </c>
      <c r="I79" s="3">
        <f t="shared" si="22"/>
        <v>471.4</v>
      </c>
      <c r="J79" s="3">
        <f t="shared" si="22"/>
        <v>487.9</v>
      </c>
      <c r="K79" s="3">
        <f t="shared" si="22"/>
        <v>504.4</v>
      </c>
      <c r="L79" s="3">
        <f t="shared" si="22"/>
        <v>520.9</v>
      </c>
      <c r="M79" s="3">
        <f t="shared" si="22"/>
        <v>537.5</v>
      </c>
      <c r="N79" s="3">
        <f t="shared" si="22"/>
        <v>554</v>
      </c>
      <c r="O79" s="3">
        <f t="shared" si="22"/>
        <v>570.5</v>
      </c>
      <c r="P79" s="3">
        <f t="shared" si="22"/>
        <v>587</v>
      </c>
      <c r="Q79" s="3">
        <f t="shared" si="22"/>
        <v>603.5</v>
      </c>
      <c r="R79" s="3">
        <f t="shared" si="22"/>
        <v>669.6</v>
      </c>
      <c r="S79" s="3">
        <f t="shared" si="22"/>
        <v>686.1</v>
      </c>
      <c r="T79" s="3">
        <f t="shared" si="22"/>
        <v>702.7</v>
      </c>
      <c r="U79" s="3">
        <f t="shared" si="22"/>
        <v>719.2</v>
      </c>
      <c r="V79" s="3">
        <f t="shared" si="22"/>
        <v>735.7</v>
      </c>
      <c r="W79" s="3">
        <f t="shared" si="22"/>
        <v>801.8</v>
      </c>
      <c r="X79" s="3">
        <f t="shared" si="22"/>
        <v>818.3</v>
      </c>
      <c r="Y79" s="3">
        <f t="shared" si="22"/>
        <v>834.8</v>
      </c>
      <c r="Z79" s="3">
        <f t="shared" si="22"/>
        <v>851.3</v>
      </c>
      <c r="AA79" s="3">
        <f t="shared" si="22"/>
        <v>867.8</v>
      </c>
      <c r="AB79" s="3">
        <f t="shared" si="22"/>
        <v>884.4</v>
      </c>
      <c r="AC79" s="3">
        <f t="shared" si="22"/>
        <v>900.9</v>
      </c>
      <c r="AD79" s="3">
        <f t="shared" si="22"/>
        <v>917.4</v>
      </c>
      <c r="AE79" s="3">
        <f t="shared" si="22"/>
        <v>933.9</v>
      </c>
      <c r="AF79" s="3">
        <f t="shared" si="22"/>
        <v>1000</v>
      </c>
      <c r="AG79" s="3">
        <f t="shared" si="22"/>
        <v>0</v>
      </c>
      <c r="AH79" s="3">
        <f t="shared" si="22"/>
        <v>0</v>
      </c>
      <c r="AI79" s="3">
        <f t="shared" si="22"/>
        <v>0</v>
      </c>
      <c r="AJ79" s="3">
        <f t="shared" si="22"/>
        <v>0</v>
      </c>
      <c r="AK79" s="3">
        <f t="shared" si="22"/>
        <v>0</v>
      </c>
      <c r="AL79" s="3">
        <f t="shared" si="22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3">B46</f>
        <v>1</v>
      </c>
      <c r="C80" s="5">
        <f t="shared" si="23"/>
        <v>1</v>
      </c>
      <c r="D80" s="5">
        <f t="shared" si="23"/>
        <v>0</v>
      </c>
      <c r="E80" s="6" t="str">
        <f t="shared" si="21"/>
        <v>*GeSe</v>
      </c>
      <c r="F80" s="14">
        <f t="shared" ref="F80:AL80" si="24">F4*$C$78</f>
        <v>5.5274999999999994E-9</v>
      </c>
      <c r="G80" s="14">
        <f t="shared" si="24"/>
        <v>2.0607E-8</v>
      </c>
      <c r="H80" s="14">
        <f t="shared" si="24"/>
        <v>2.02305E-8</v>
      </c>
      <c r="I80" s="14">
        <f t="shared" si="24"/>
        <v>1.475E-13</v>
      </c>
      <c r="J80" s="14">
        <f t="shared" si="24"/>
        <v>1.1610000000000001E-17</v>
      </c>
      <c r="K80" s="14">
        <f t="shared" si="24"/>
        <v>8.3805E-23</v>
      </c>
      <c r="L80" s="14">
        <f t="shared" si="24"/>
        <v>9.0699999999999999E-29</v>
      </c>
      <c r="M80" s="14">
        <f t="shared" si="24"/>
        <v>1.0065E-33</v>
      </c>
      <c r="N80" s="14">
        <f t="shared" si="24"/>
        <v>0</v>
      </c>
      <c r="O80" s="14">
        <f t="shared" si="24"/>
        <v>0</v>
      </c>
      <c r="P80" s="14">
        <f t="shared" si="24"/>
        <v>0</v>
      </c>
      <c r="Q80" s="14">
        <f t="shared" si="24"/>
        <v>0</v>
      </c>
      <c r="R80" s="14">
        <f t="shared" si="24"/>
        <v>0</v>
      </c>
      <c r="S80" s="14">
        <f t="shared" si="24"/>
        <v>0</v>
      </c>
      <c r="T80" s="14">
        <f t="shared" si="24"/>
        <v>0</v>
      </c>
      <c r="U80" s="14">
        <f t="shared" si="24"/>
        <v>0</v>
      </c>
      <c r="V80" s="14">
        <f t="shared" si="24"/>
        <v>0</v>
      </c>
      <c r="W80" s="14">
        <f t="shared" si="24"/>
        <v>0</v>
      </c>
      <c r="X80" s="14">
        <f t="shared" si="24"/>
        <v>0</v>
      </c>
      <c r="Y80" s="14">
        <f t="shared" si="24"/>
        <v>0</v>
      </c>
      <c r="Z80" s="14">
        <f t="shared" si="24"/>
        <v>0</v>
      </c>
      <c r="AA80" s="14">
        <f t="shared" si="24"/>
        <v>0</v>
      </c>
      <c r="AB80" s="14">
        <f t="shared" si="24"/>
        <v>0</v>
      </c>
      <c r="AC80" s="14">
        <f t="shared" si="24"/>
        <v>0</v>
      </c>
      <c r="AD80" s="14">
        <f t="shared" si="24"/>
        <v>0</v>
      </c>
      <c r="AE80" s="14">
        <f t="shared" si="24"/>
        <v>0</v>
      </c>
      <c r="AF80" s="14">
        <f t="shared" si="24"/>
        <v>0</v>
      </c>
      <c r="AG80" s="14">
        <f t="shared" si="24"/>
        <v>0</v>
      </c>
      <c r="AH80" s="14">
        <f t="shared" si="24"/>
        <v>0</v>
      </c>
      <c r="AI80" s="14">
        <f t="shared" si="24"/>
        <v>0</v>
      </c>
      <c r="AJ80" s="14">
        <f t="shared" si="24"/>
        <v>0</v>
      </c>
      <c r="AK80" s="14">
        <f t="shared" si="24"/>
        <v>0</v>
      </c>
      <c r="AL80" s="14">
        <f t="shared" si="24"/>
        <v>0</v>
      </c>
    </row>
    <row r="81" spans="1:38" ht="21" hidden="1" customHeight="1" outlineLevel="1" thickBot="1" x14ac:dyDescent="0.4">
      <c r="A81" s="5">
        <f t="shared" ref="A81:D96" si="25">A47</f>
        <v>0</v>
      </c>
      <c r="B81" s="5">
        <f t="shared" si="25"/>
        <v>0</v>
      </c>
      <c r="C81" s="5">
        <f t="shared" si="25"/>
        <v>0</v>
      </c>
      <c r="D81" s="5">
        <f t="shared" si="25"/>
        <v>1</v>
      </c>
      <c r="E81" s="6" t="str">
        <f t="shared" si="21"/>
        <v>*Ga[1]</v>
      </c>
      <c r="F81" s="14">
        <f t="shared" ref="F81:AL81" si="26">F5*$C$78</f>
        <v>0</v>
      </c>
      <c r="G81" s="14">
        <f t="shared" si="26"/>
        <v>0</v>
      </c>
      <c r="H81" s="14">
        <f t="shared" si="26"/>
        <v>0</v>
      </c>
      <c r="I81" s="14">
        <f t="shared" si="26"/>
        <v>0</v>
      </c>
      <c r="J81" s="14">
        <f t="shared" si="26"/>
        <v>0</v>
      </c>
      <c r="K81" s="14">
        <f t="shared" si="26"/>
        <v>0</v>
      </c>
      <c r="L81" s="14">
        <f t="shared" si="26"/>
        <v>0</v>
      </c>
      <c r="M81" s="14">
        <f t="shared" si="26"/>
        <v>0</v>
      </c>
      <c r="N81" s="14">
        <f t="shared" si="26"/>
        <v>0</v>
      </c>
      <c r="O81" s="14">
        <f t="shared" si="26"/>
        <v>0</v>
      </c>
      <c r="P81" s="14">
        <f t="shared" si="26"/>
        <v>0</v>
      </c>
      <c r="Q81" s="14">
        <f t="shared" si="26"/>
        <v>0</v>
      </c>
      <c r="R81" s="14">
        <f t="shared" si="26"/>
        <v>0</v>
      </c>
      <c r="S81" s="14">
        <f t="shared" si="26"/>
        <v>0</v>
      </c>
      <c r="T81" s="14">
        <f t="shared" si="26"/>
        <v>0</v>
      </c>
      <c r="U81" s="14">
        <f t="shared" si="26"/>
        <v>0</v>
      </c>
      <c r="V81" s="14">
        <f t="shared" si="26"/>
        <v>0</v>
      </c>
      <c r="W81" s="14">
        <f t="shared" si="26"/>
        <v>6.1650000000000005E-12</v>
      </c>
      <c r="X81" s="14">
        <f t="shared" si="26"/>
        <v>1.9727499999999999E-8</v>
      </c>
      <c r="Y81" s="14">
        <f t="shared" si="26"/>
        <v>2.1304000000000002E-3</v>
      </c>
      <c r="Z81" s="14">
        <f t="shared" si="26"/>
        <v>4.2808999999999998E-3</v>
      </c>
      <c r="AA81" s="14">
        <f t="shared" si="26"/>
        <v>1.2722000000000001E-2</v>
      </c>
      <c r="AB81" s="14">
        <f t="shared" si="26"/>
        <v>3.7060000000000003E-2</v>
      </c>
      <c r="AC81" s="14">
        <f t="shared" si="26"/>
        <v>8.6974999999999997E-2</v>
      </c>
      <c r="AD81" s="14">
        <f t="shared" si="26"/>
        <v>0.15929499999999999</v>
      </c>
      <c r="AE81" s="14">
        <f t="shared" si="26"/>
        <v>0.18419000000000002</v>
      </c>
      <c r="AF81" s="14">
        <f t="shared" si="26"/>
        <v>9.5075000000000007E-2</v>
      </c>
      <c r="AG81" s="14">
        <f t="shared" si="26"/>
        <v>0</v>
      </c>
      <c r="AH81" s="14">
        <f t="shared" si="26"/>
        <v>0</v>
      </c>
      <c r="AI81" s="14">
        <f t="shared" si="26"/>
        <v>0</v>
      </c>
      <c r="AJ81" s="14">
        <f t="shared" si="26"/>
        <v>0</v>
      </c>
      <c r="AK81" s="14">
        <f t="shared" si="26"/>
        <v>0</v>
      </c>
      <c r="AL81" s="14">
        <f t="shared" si="26"/>
        <v>0</v>
      </c>
    </row>
    <row r="82" spans="1:38" ht="21" hidden="1" customHeight="1" outlineLevel="1" thickBot="1" x14ac:dyDescent="0.4">
      <c r="A82" s="5">
        <f t="shared" si="25"/>
        <v>0</v>
      </c>
      <c r="B82" s="5">
        <f t="shared" si="25"/>
        <v>1</v>
      </c>
      <c r="C82" s="5">
        <f t="shared" si="25"/>
        <v>0</v>
      </c>
      <c r="D82" s="5">
        <f t="shared" si="25"/>
        <v>0</v>
      </c>
      <c r="E82" s="6" t="str">
        <f t="shared" si="21"/>
        <v>*Se[m]</v>
      </c>
      <c r="F82" s="14">
        <f t="shared" ref="F82:AL82" si="27">F6*$C$78</f>
        <v>0</v>
      </c>
      <c r="G82" s="14">
        <f t="shared" si="27"/>
        <v>2.1445999999999998E-15</v>
      </c>
      <c r="H82" s="14">
        <f t="shared" si="27"/>
        <v>1.7588000000000001E-12</v>
      </c>
      <c r="I82" s="14">
        <f t="shared" si="27"/>
        <v>1.0136000000000001E-8</v>
      </c>
      <c r="J82" s="14">
        <f t="shared" si="27"/>
        <v>1.43755E-8</v>
      </c>
      <c r="K82" s="14">
        <f t="shared" si="27"/>
        <v>1.6942E-8</v>
      </c>
      <c r="L82" s="14">
        <f t="shared" si="27"/>
        <v>1.45755E-8</v>
      </c>
      <c r="M82" s="14">
        <f t="shared" si="27"/>
        <v>2.4616E-8</v>
      </c>
      <c r="N82" s="14">
        <f t="shared" si="27"/>
        <v>1.2340500000000001E-8</v>
      </c>
      <c r="O82" s="14">
        <f t="shared" si="27"/>
        <v>1.363E-8</v>
      </c>
      <c r="P82" s="14">
        <f t="shared" si="27"/>
        <v>1.4111E-8</v>
      </c>
      <c r="Q82" s="14">
        <f t="shared" si="27"/>
        <v>1.4445999999999999E-8</v>
      </c>
      <c r="R82" s="14">
        <f t="shared" si="27"/>
        <v>3.2892999999999995E-8</v>
      </c>
      <c r="S82" s="14">
        <f t="shared" si="27"/>
        <v>3.3081000000000004E-8</v>
      </c>
      <c r="T82" s="14">
        <f t="shared" si="27"/>
        <v>5.7914999999999999E-8</v>
      </c>
      <c r="U82" s="14">
        <f t="shared" si="27"/>
        <v>1.0617500000000001E-7</v>
      </c>
      <c r="V82" s="14">
        <f t="shared" si="27"/>
        <v>2.1673000000000001E-7</v>
      </c>
      <c r="W82" s="14">
        <f t="shared" si="27"/>
        <v>1.9183500000000002E-7</v>
      </c>
      <c r="X82" s="14">
        <f t="shared" si="27"/>
        <v>4.2044500000000002E-23</v>
      </c>
      <c r="Y82" s="14">
        <f t="shared" si="27"/>
        <v>8.9265000000000001E-11</v>
      </c>
      <c r="Z82" s="14">
        <f t="shared" si="27"/>
        <v>3.3733000000000004E-13</v>
      </c>
      <c r="AA82" s="14">
        <f t="shared" si="27"/>
        <v>3.2747999999999999E-10</v>
      </c>
      <c r="AB82" s="14">
        <f t="shared" si="27"/>
        <v>1.2505499999999999E-8</v>
      </c>
      <c r="AC82" s="14">
        <f t="shared" si="27"/>
        <v>1.03585E-7</v>
      </c>
      <c r="AD82" s="14">
        <f t="shared" si="27"/>
        <v>4.0141500000000002E-7</v>
      </c>
      <c r="AE82" s="14">
        <f t="shared" si="27"/>
        <v>1.1274499999999999E-6</v>
      </c>
      <c r="AF82" s="14">
        <f t="shared" si="27"/>
        <v>1.1521500000000001E-5</v>
      </c>
      <c r="AG82" s="14">
        <f t="shared" si="27"/>
        <v>0</v>
      </c>
      <c r="AH82" s="14">
        <f t="shared" si="27"/>
        <v>0</v>
      </c>
      <c r="AI82" s="14">
        <f t="shared" si="27"/>
        <v>0</v>
      </c>
      <c r="AJ82" s="14">
        <f t="shared" si="27"/>
        <v>0</v>
      </c>
      <c r="AK82" s="14">
        <f t="shared" si="27"/>
        <v>0</v>
      </c>
      <c r="AL82" s="14">
        <f t="shared" si="27"/>
        <v>0</v>
      </c>
    </row>
    <row r="83" spans="1:38" ht="21" hidden="1" customHeight="1" outlineLevel="1" thickBot="1" x14ac:dyDescent="0.4">
      <c r="A83" s="5">
        <f t="shared" si="25"/>
        <v>0</v>
      </c>
      <c r="B83" s="5">
        <f t="shared" si="25"/>
        <v>3</v>
      </c>
      <c r="C83" s="5">
        <f t="shared" si="25"/>
        <v>0</v>
      </c>
      <c r="D83" s="5">
        <f t="shared" si="25"/>
        <v>2</v>
      </c>
      <c r="E83" s="6" t="str">
        <f t="shared" si="21"/>
        <v>Ga2Se3</v>
      </c>
      <c r="F83" s="14">
        <f t="shared" ref="F83:AL83" si="28">F7*$C$78</f>
        <v>0.58209999999999995</v>
      </c>
      <c r="G83" s="14">
        <f t="shared" si="28"/>
        <v>0.55245</v>
      </c>
      <c r="H83" s="14">
        <f t="shared" si="28"/>
        <v>0.53690000000000004</v>
      </c>
      <c r="I83" s="14">
        <f t="shared" si="28"/>
        <v>0.50395000000000001</v>
      </c>
      <c r="J83" s="14">
        <f t="shared" si="28"/>
        <v>0.49155499999999996</v>
      </c>
      <c r="K83" s="14">
        <f t="shared" si="28"/>
        <v>0.48164499999999999</v>
      </c>
      <c r="L83" s="14">
        <f t="shared" si="28"/>
        <v>0.47506999999999999</v>
      </c>
      <c r="M83" s="14">
        <f t="shared" si="28"/>
        <v>0.47122999999999998</v>
      </c>
      <c r="N83" s="14">
        <f t="shared" si="28"/>
        <v>0.46912500000000001</v>
      </c>
      <c r="O83" s="14">
        <f t="shared" si="28"/>
        <v>0.46799499999999999</v>
      </c>
      <c r="P83" s="14">
        <f t="shared" si="28"/>
        <v>0.46733999999999998</v>
      </c>
      <c r="Q83" s="14">
        <f t="shared" si="28"/>
        <v>0.46677000000000002</v>
      </c>
      <c r="R83" s="14">
        <f t="shared" si="28"/>
        <v>0.40127999999999997</v>
      </c>
      <c r="S83" s="14">
        <f t="shared" si="28"/>
        <v>0.29972500000000002</v>
      </c>
      <c r="T83" s="14">
        <f t="shared" si="28"/>
        <v>0.170265</v>
      </c>
      <c r="U83" s="14">
        <f t="shared" si="28"/>
        <v>7.6134999999999994E-2</v>
      </c>
      <c r="V83" s="14">
        <f t="shared" si="28"/>
        <v>2.93875E-2</v>
      </c>
      <c r="W83" s="14">
        <f t="shared" si="28"/>
        <v>5.2139999999999999E-4</v>
      </c>
      <c r="X83" s="14">
        <f t="shared" si="28"/>
        <v>1.9689999999999999E-4</v>
      </c>
      <c r="Y83" s="14">
        <f t="shared" si="28"/>
        <v>6.1934999999999996E-5</v>
      </c>
      <c r="Z83" s="14">
        <f t="shared" si="28"/>
        <v>1.52245E-5</v>
      </c>
      <c r="AA83" s="14">
        <f t="shared" si="28"/>
        <v>3.4055000000000003E-6</v>
      </c>
      <c r="AB83" s="14">
        <f t="shared" si="28"/>
        <v>7.4595000000000003E-7</v>
      </c>
      <c r="AC83" s="14">
        <f t="shared" si="28"/>
        <v>1.6542000000000001E-7</v>
      </c>
      <c r="AD83" s="14">
        <f t="shared" si="28"/>
        <v>3.7652499999999999E-8</v>
      </c>
      <c r="AE83" s="14">
        <f t="shared" si="28"/>
        <v>8.840499999999999E-9</v>
      </c>
      <c r="AF83" s="14">
        <f t="shared" si="28"/>
        <v>3.7037999999999998E-11</v>
      </c>
      <c r="AG83" s="14">
        <f t="shared" si="28"/>
        <v>0</v>
      </c>
      <c r="AH83" s="14">
        <f t="shared" si="28"/>
        <v>0</v>
      </c>
      <c r="AI83" s="14">
        <f t="shared" si="28"/>
        <v>0</v>
      </c>
      <c r="AJ83" s="14">
        <f t="shared" si="28"/>
        <v>0</v>
      </c>
      <c r="AK83" s="14">
        <f t="shared" si="28"/>
        <v>0</v>
      </c>
      <c r="AL83" s="14">
        <f t="shared" si="28"/>
        <v>0</v>
      </c>
    </row>
    <row r="84" spans="1:38" ht="21" hidden="1" customHeight="1" outlineLevel="1" thickBot="1" x14ac:dyDescent="0.4">
      <c r="A84" s="5">
        <f t="shared" si="25"/>
        <v>0</v>
      </c>
      <c r="B84" s="5">
        <f t="shared" si="25"/>
        <v>1</v>
      </c>
      <c r="C84" s="5">
        <f t="shared" si="25"/>
        <v>0</v>
      </c>
      <c r="D84" s="5">
        <f t="shared" si="25"/>
        <v>2</v>
      </c>
      <c r="E84" s="6" t="str">
        <f t="shared" si="21"/>
        <v>Ga2Se</v>
      </c>
      <c r="F84" s="14">
        <f t="shared" ref="F84:AL84" si="29">F8*$C$78</f>
        <v>0</v>
      </c>
      <c r="G84" s="14">
        <f t="shared" si="29"/>
        <v>0</v>
      </c>
      <c r="H84" s="14">
        <f t="shared" si="29"/>
        <v>0</v>
      </c>
      <c r="I84" s="14">
        <f t="shared" si="29"/>
        <v>1.6132499999999998E-30</v>
      </c>
      <c r="J84" s="14">
        <f t="shared" si="29"/>
        <v>1.5307E-28</v>
      </c>
      <c r="K84" s="14">
        <f t="shared" si="29"/>
        <v>1.1578E-26</v>
      </c>
      <c r="L84" s="14">
        <f t="shared" si="29"/>
        <v>7.1295000000000005E-25</v>
      </c>
      <c r="M84" s="14">
        <f t="shared" si="29"/>
        <v>3.5947500000000002E-23</v>
      </c>
      <c r="N84" s="14">
        <f t="shared" si="29"/>
        <v>1.49105E-21</v>
      </c>
      <c r="O84" s="14">
        <f t="shared" si="29"/>
        <v>5.1280000000000002E-20</v>
      </c>
      <c r="P84" s="14">
        <f t="shared" si="29"/>
        <v>1.4777499999999999E-18</v>
      </c>
      <c r="Q84" s="14">
        <f t="shared" si="29"/>
        <v>3.6073000000000002E-17</v>
      </c>
      <c r="R84" s="14">
        <f t="shared" si="29"/>
        <v>2.31335E-12</v>
      </c>
      <c r="S84" s="14">
        <f t="shared" si="29"/>
        <v>1.7785999999999999E-11</v>
      </c>
      <c r="T84" s="14">
        <f t="shared" si="29"/>
        <v>8.8860000000000004E-11</v>
      </c>
      <c r="U84" s="14">
        <f t="shared" si="29"/>
        <v>3.3681499999999999E-10</v>
      </c>
      <c r="V84" s="14">
        <f t="shared" si="29"/>
        <v>1.1010999999999998E-9</v>
      </c>
      <c r="W84" s="14">
        <f t="shared" si="29"/>
        <v>6.229499999999999E-8</v>
      </c>
      <c r="X84" s="14">
        <f t="shared" si="29"/>
        <v>1.5030499999999999E-7</v>
      </c>
      <c r="Y84" s="14">
        <f t="shared" si="29"/>
        <v>2.11025E-7</v>
      </c>
      <c r="Z84" s="14">
        <f t="shared" si="29"/>
        <v>2.3998999999999997E-7</v>
      </c>
      <c r="AA84" s="14">
        <f t="shared" si="29"/>
        <v>2.5826500000000002E-7</v>
      </c>
      <c r="AB84" s="14">
        <f t="shared" si="29"/>
        <v>2.6991000000000001E-7</v>
      </c>
      <c r="AC84" s="14">
        <f t="shared" si="29"/>
        <v>2.7737E-7</v>
      </c>
      <c r="AD84" s="14">
        <f t="shared" si="29"/>
        <v>2.819E-7</v>
      </c>
      <c r="AE84" s="14">
        <f t="shared" si="29"/>
        <v>2.83925E-7</v>
      </c>
      <c r="AF84" s="14">
        <f t="shared" si="29"/>
        <v>2.7348499999999996E-7</v>
      </c>
      <c r="AG84" s="14">
        <f t="shared" si="29"/>
        <v>0</v>
      </c>
      <c r="AH84" s="14">
        <f t="shared" si="29"/>
        <v>0</v>
      </c>
      <c r="AI84" s="14">
        <f t="shared" si="29"/>
        <v>0</v>
      </c>
      <c r="AJ84" s="14">
        <f t="shared" si="29"/>
        <v>0</v>
      </c>
      <c r="AK84" s="14">
        <f t="shared" si="29"/>
        <v>0</v>
      </c>
      <c r="AL84" s="14">
        <f t="shared" si="29"/>
        <v>0</v>
      </c>
    </row>
    <row r="85" spans="1:38" ht="21" hidden="1" customHeight="1" outlineLevel="1" thickBot="1" x14ac:dyDescent="0.4">
      <c r="A85" s="5">
        <f t="shared" si="25"/>
        <v>0</v>
      </c>
      <c r="B85" s="5">
        <f t="shared" si="25"/>
        <v>0</v>
      </c>
      <c r="C85" s="5">
        <f t="shared" si="25"/>
        <v>0</v>
      </c>
      <c r="D85" s="5">
        <f t="shared" si="25"/>
        <v>1</v>
      </c>
      <c r="E85" s="6" t="str">
        <f t="shared" si="21"/>
        <v>Ga</v>
      </c>
      <c r="F85" s="14">
        <f t="shared" ref="F85:AL85" si="30">F9*$C$78</f>
        <v>0</v>
      </c>
      <c r="G85" s="14">
        <f t="shared" si="30"/>
        <v>0</v>
      </c>
      <c r="H85" s="14">
        <f t="shared" si="30"/>
        <v>0</v>
      </c>
      <c r="I85" s="14">
        <f t="shared" si="30"/>
        <v>7.581E-35</v>
      </c>
      <c r="J85" s="14">
        <f t="shared" si="30"/>
        <v>5.4920000000000001E-33</v>
      </c>
      <c r="K85" s="14">
        <f t="shared" si="30"/>
        <v>3.1768500000000001E-31</v>
      </c>
      <c r="L85" s="14">
        <f t="shared" si="30"/>
        <v>1.4978999999999999E-29</v>
      </c>
      <c r="M85" s="14">
        <f t="shared" si="30"/>
        <v>5.8090000000000005E-28</v>
      </c>
      <c r="N85" s="14">
        <f t="shared" si="30"/>
        <v>1.8668500000000001E-26</v>
      </c>
      <c r="O85" s="14">
        <f t="shared" si="30"/>
        <v>5.0200000000000005E-25</v>
      </c>
      <c r="P85" s="14">
        <f t="shared" si="30"/>
        <v>1.1420999999999999E-23</v>
      </c>
      <c r="Q85" s="14">
        <f t="shared" si="30"/>
        <v>2.2227500000000001E-22</v>
      </c>
      <c r="R85" s="14">
        <f t="shared" si="30"/>
        <v>6.8399999999999998E-18</v>
      </c>
      <c r="S85" s="14">
        <f t="shared" si="30"/>
        <v>5.1129999999999998E-17</v>
      </c>
      <c r="T85" s="14">
        <f t="shared" si="30"/>
        <v>2.8610499999999999E-16</v>
      </c>
      <c r="U85" s="14">
        <f t="shared" si="30"/>
        <v>1.37045E-15</v>
      </c>
      <c r="V85" s="14">
        <f t="shared" si="30"/>
        <v>6.1090000000000005E-15</v>
      </c>
      <c r="W85" s="14">
        <f t="shared" si="30"/>
        <v>1.3933500000000001E-12</v>
      </c>
      <c r="X85" s="14">
        <f t="shared" si="30"/>
        <v>4.7317000000000001E-12</v>
      </c>
      <c r="Y85" s="14">
        <f t="shared" si="30"/>
        <v>1.10745E-11</v>
      </c>
      <c r="Z85" s="14">
        <f t="shared" si="30"/>
        <v>2.3276500000000002E-11</v>
      </c>
      <c r="AA85" s="14">
        <f t="shared" si="30"/>
        <v>4.7553E-11</v>
      </c>
      <c r="AB85" s="14">
        <f t="shared" si="30"/>
        <v>9.4585000000000002E-11</v>
      </c>
      <c r="AC85" s="14">
        <f t="shared" si="30"/>
        <v>1.83465E-10</v>
      </c>
      <c r="AD85" s="14">
        <f t="shared" si="30"/>
        <v>3.4750000000000004E-10</v>
      </c>
      <c r="AE85" s="14">
        <f t="shared" si="30"/>
        <v>6.4320000000000001E-10</v>
      </c>
      <c r="AF85" s="14">
        <f t="shared" si="30"/>
        <v>6.1410000000000002E-9</v>
      </c>
      <c r="AG85" s="14">
        <f t="shared" si="30"/>
        <v>0</v>
      </c>
      <c r="AH85" s="14">
        <f t="shared" si="30"/>
        <v>0</v>
      </c>
      <c r="AI85" s="14">
        <f t="shared" si="30"/>
        <v>0</v>
      </c>
      <c r="AJ85" s="14">
        <f t="shared" si="30"/>
        <v>0</v>
      </c>
      <c r="AK85" s="14">
        <f t="shared" si="30"/>
        <v>0</v>
      </c>
      <c r="AL85" s="14">
        <f t="shared" si="30"/>
        <v>0</v>
      </c>
    </row>
    <row r="86" spans="1:38" ht="21" hidden="1" customHeight="1" outlineLevel="1" thickBot="1" x14ac:dyDescent="0.4">
      <c r="A86" s="5">
        <f t="shared" si="25"/>
        <v>1</v>
      </c>
      <c r="B86" s="5">
        <f t="shared" si="25"/>
        <v>0</v>
      </c>
      <c r="C86" s="5">
        <f t="shared" si="25"/>
        <v>0</v>
      </c>
      <c r="D86" s="5">
        <f t="shared" si="25"/>
        <v>0</v>
      </c>
      <c r="E86" s="6" t="str">
        <f t="shared" si="21"/>
        <v>Ar</v>
      </c>
      <c r="F86" s="14">
        <f t="shared" ref="F86:AL86" si="31">F10*$C$78</f>
        <v>1</v>
      </c>
      <c r="G86" s="14">
        <f t="shared" si="31"/>
        <v>1</v>
      </c>
      <c r="H86" s="14">
        <f t="shared" si="31"/>
        <v>1</v>
      </c>
      <c r="I86" s="14">
        <f t="shared" si="31"/>
        <v>1</v>
      </c>
      <c r="J86" s="14">
        <f t="shared" si="31"/>
        <v>1</v>
      </c>
      <c r="K86" s="14">
        <f t="shared" si="31"/>
        <v>1</v>
      </c>
      <c r="L86" s="14">
        <f t="shared" si="31"/>
        <v>1</v>
      </c>
      <c r="M86" s="14">
        <f t="shared" si="31"/>
        <v>1</v>
      </c>
      <c r="N86" s="14">
        <f t="shared" si="31"/>
        <v>1</v>
      </c>
      <c r="O86" s="14">
        <f t="shared" si="31"/>
        <v>1</v>
      </c>
      <c r="P86" s="14">
        <f t="shared" si="31"/>
        <v>1</v>
      </c>
      <c r="Q86" s="14">
        <f t="shared" si="31"/>
        <v>1</v>
      </c>
      <c r="R86" s="14">
        <f t="shared" si="31"/>
        <v>1</v>
      </c>
      <c r="S86" s="14">
        <f t="shared" si="31"/>
        <v>1</v>
      </c>
      <c r="T86" s="14">
        <f t="shared" si="31"/>
        <v>1</v>
      </c>
      <c r="U86" s="14">
        <f t="shared" si="31"/>
        <v>1</v>
      </c>
      <c r="V86" s="14">
        <f t="shared" si="31"/>
        <v>1</v>
      </c>
      <c r="W86" s="14">
        <f t="shared" si="31"/>
        <v>1</v>
      </c>
      <c r="X86" s="14">
        <f t="shared" si="31"/>
        <v>1</v>
      </c>
      <c r="Y86" s="14">
        <f t="shared" si="31"/>
        <v>1</v>
      </c>
      <c r="Z86" s="14">
        <f t="shared" si="31"/>
        <v>1</v>
      </c>
      <c r="AA86" s="14">
        <f t="shared" si="31"/>
        <v>1</v>
      </c>
      <c r="AB86" s="14">
        <f t="shared" si="31"/>
        <v>1</v>
      </c>
      <c r="AC86" s="14">
        <f t="shared" si="31"/>
        <v>1</v>
      </c>
      <c r="AD86" s="14">
        <f t="shared" si="31"/>
        <v>1</v>
      </c>
      <c r="AE86" s="14">
        <f t="shared" si="31"/>
        <v>1</v>
      </c>
      <c r="AF86" s="14">
        <f t="shared" si="31"/>
        <v>1</v>
      </c>
      <c r="AG86" s="14">
        <f t="shared" si="31"/>
        <v>0</v>
      </c>
      <c r="AH86" s="14">
        <f t="shared" si="31"/>
        <v>0</v>
      </c>
      <c r="AI86" s="14">
        <f t="shared" si="31"/>
        <v>0</v>
      </c>
      <c r="AJ86" s="14">
        <f t="shared" si="31"/>
        <v>0</v>
      </c>
      <c r="AK86" s="14">
        <f t="shared" si="31"/>
        <v>0</v>
      </c>
      <c r="AL86" s="14">
        <f t="shared" si="31"/>
        <v>0</v>
      </c>
    </row>
    <row r="87" spans="1:38" ht="21" hidden="1" customHeight="1" outlineLevel="1" thickBot="1" x14ac:dyDescent="0.4">
      <c r="A87" s="5">
        <f t="shared" si="25"/>
        <v>0</v>
      </c>
      <c r="B87" s="5">
        <f t="shared" si="25"/>
        <v>2</v>
      </c>
      <c r="C87" s="5">
        <f t="shared" si="25"/>
        <v>1</v>
      </c>
      <c r="D87" s="5">
        <f t="shared" si="25"/>
        <v>0</v>
      </c>
      <c r="E87" s="6" t="str">
        <f t="shared" si="21"/>
        <v>(1)GeSe2</v>
      </c>
      <c r="F87" s="14">
        <f t="shared" ref="F87:AL87" si="32">F11*$C$78</f>
        <v>9.7450000000000009E-2</v>
      </c>
      <c r="G87" s="14">
        <f t="shared" si="32"/>
        <v>3.2952500000000003E-2</v>
      </c>
      <c r="H87" s="14">
        <f t="shared" si="32"/>
        <v>1.7132E-3</v>
      </c>
      <c r="I87" s="14">
        <f t="shared" si="32"/>
        <v>9.5905000000000011E-5</v>
      </c>
      <c r="J87" s="14">
        <f t="shared" si="32"/>
        <v>3.9720999999999995E-5</v>
      </c>
      <c r="K87" s="14">
        <f t="shared" si="32"/>
        <v>1.47265E-5</v>
      </c>
      <c r="L87" s="14">
        <f t="shared" si="32"/>
        <v>5.0529999999999997E-6</v>
      </c>
      <c r="M87" s="14">
        <f t="shared" si="32"/>
        <v>1.677E-6</v>
      </c>
      <c r="N87" s="14">
        <f t="shared" si="32"/>
        <v>5.5715000000000004E-7</v>
      </c>
      <c r="O87" s="14">
        <f t="shared" si="32"/>
        <v>1.89015E-7</v>
      </c>
      <c r="P87" s="14">
        <f t="shared" si="32"/>
        <v>6.6100000000000003E-8</v>
      </c>
      <c r="Q87" s="14">
        <f t="shared" si="32"/>
        <v>2.3916999999999998E-8</v>
      </c>
      <c r="R87" s="14">
        <f t="shared" si="32"/>
        <v>6.526E-10</v>
      </c>
      <c r="S87" s="14">
        <f t="shared" si="32"/>
        <v>3.3726499999999997E-10</v>
      </c>
      <c r="T87" s="14">
        <f t="shared" si="32"/>
        <v>1.8834999999999998E-10</v>
      </c>
      <c r="U87" s="14">
        <f t="shared" si="32"/>
        <v>1.0132500000000001E-10</v>
      </c>
      <c r="V87" s="14">
        <f t="shared" si="32"/>
        <v>5.0910000000000002E-11</v>
      </c>
      <c r="W87" s="14">
        <f t="shared" si="32"/>
        <v>2.8554999999999997E-12</v>
      </c>
      <c r="X87" s="14">
        <f t="shared" si="32"/>
        <v>1.4306500000000002E-12</v>
      </c>
      <c r="Y87" s="14">
        <f t="shared" si="32"/>
        <v>9.6095000000000006E-13</v>
      </c>
      <c r="Z87" s="14">
        <f t="shared" si="32"/>
        <v>5.9680000000000004E-13</v>
      </c>
      <c r="AA87" s="14">
        <f t="shared" si="32"/>
        <v>3.4359999999999997E-13</v>
      </c>
      <c r="AB87" s="14">
        <f t="shared" si="32"/>
        <v>1.92435E-13</v>
      </c>
      <c r="AC87" s="14">
        <f t="shared" si="32"/>
        <v>1.0720500000000001E-13</v>
      </c>
      <c r="AD87" s="14">
        <f t="shared" si="32"/>
        <v>5.9975000000000004E-14</v>
      </c>
      <c r="AE87" s="14">
        <f t="shared" si="32"/>
        <v>3.37165E-14</v>
      </c>
      <c r="AF87" s="14">
        <f t="shared" si="32"/>
        <v>3.6246500000000002E-15</v>
      </c>
      <c r="AG87" s="14">
        <f t="shared" si="32"/>
        <v>0</v>
      </c>
      <c r="AH87" s="14">
        <f t="shared" si="32"/>
        <v>0</v>
      </c>
      <c r="AI87" s="14">
        <f t="shared" si="32"/>
        <v>0</v>
      </c>
      <c r="AJ87" s="14">
        <f t="shared" si="32"/>
        <v>0</v>
      </c>
      <c r="AK87" s="14">
        <f t="shared" si="32"/>
        <v>0</v>
      </c>
      <c r="AL87" s="14">
        <f t="shared" si="32"/>
        <v>0</v>
      </c>
    </row>
    <row r="88" spans="1:38" ht="21" hidden="1" customHeight="1" outlineLevel="1" thickBot="1" x14ac:dyDescent="0.4">
      <c r="A88" s="5">
        <f t="shared" si="25"/>
        <v>0</v>
      </c>
      <c r="B88" s="5">
        <f t="shared" si="25"/>
        <v>1</v>
      </c>
      <c r="C88" s="5">
        <f t="shared" si="25"/>
        <v>1</v>
      </c>
      <c r="D88" s="5">
        <f t="shared" si="25"/>
        <v>0</v>
      </c>
      <c r="E88" s="6" t="str">
        <f t="shared" si="21"/>
        <v>(l)GeSe</v>
      </c>
      <c r="F88" s="14">
        <f t="shared" ref="F88:AL88" si="33">F12*$C$78</f>
        <v>0.10255</v>
      </c>
      <c r="G88" s="14">
        <f t="shared" si="33"/>
        <v>0.166995</v>
      </c>
      <c r="H88" s="14">
        <f t="shared" si="33"/>
        <v>0.19279000000000002</v>
      </c>
      <c r="I88" s="14">
        <f t="shared" si="33"/>
        <v>0.11082</v>
      </c>
      <c r="J88" s="14">
        <f t="shared" si="33"/>
        <v>7.5865000000000002E-2</v>
      </c>
      <c r="K88" s="14">
        <f t="shared" si="33"/>
        <v>4.6613500000000002E-2</v>
      </c>
      <c r="L88" s="14">
        <f t="shared" si="33"/>
        <v>2.65285E-2</v>
      </c>
      <c r="M88" s="14">
        <f t="shared" si="33"/>
        <v>1.4522E-2</v>
      </c>
      <c r="N88" s="14">
        <f t="shared" si="33"/>
        <v>7.870499999999999E-3</v>
      </c>
      <c r="O88" s="14">
        <f t="shared" si="33"/>
        <v>4.2948999999999999E-3</v>
      </c>
      <c r="P88" s="14">
        <f t="shared" si="33"/>
        <v>2.3797499999999999E-3</v>
      </c>
      <c r="Q88" s="14">
        <f t="shared" si="33"/>
        <v>1.3437E-3</v>
      </c>
      <c r="R88" s="14">
        <f t="shared" si="33"/>
        <v>1.7701499999999998E-4</v>
      </c>
      <c r="S88" s="14">
        <f t="shared" si="33"/>
        <v>1.2106999999999999E-4</v>
      </c>
      <c r="T88" s="14">
        <f t="shared" si="33"/>
        <v>8.6294999999999986E-5</v>
      </c>
      <c r="U88" s="14">
        <f t="shared" si="33"/>
        <v>6.0504999999999998E-5</v>
      </c>
      <c r="V88" s="14">
        <f t="shared" si="33"/>
        <v>4.1090500000000002E-5</v>
      </c>
      <c r="W88" s="14">
        <f t="shared" si="33"/>
        <v>8.3550000000000005E-6</v>
      </c>
      <c r="X88" s="14">
        <f t="shared" si="33"/>
        <v>5.7164999999999994E-6</v>
      </c>
      <c r="Y88" s="14">
        <f t="shared" si="33"/>
        <v>4.4932499999999997E-6</v>
      </c>
      <c r="Z88" s="14">
        <f t="shared" si="33"/>
        <v>3.4034500000000004E-6</v>
      </c>
      <c r="AA88" s="14">
        <f t="shared" si="33"/>
        <v>2.4914999999999998E-6</v>
      </c>
      <c r="AB88" s="14">
        <f t="shared" si="33"/>
        <v>1.8041499999999999E-6</v>
      </c>
      <c r="AC88" s="14">
        <f t="shared" si="33"/>
        <v>1.30625E-6</v>
      </c>
      <c r="AD88" s="14">
        <f t="shared" si="33"/>
        <v>9.4985E-7</v>
      </c>
      <c r="AE88" s="14">
        <f t="shared" si="33"/>
        <v>6.9230000000000003E-7</v>
      </c>
      <c r="AF88" s="14">
        <f t="shared" si="33"/>
        <v>2.03205E-7</v>
      </c>
      <c r="AG88" s="14">
        <f t="shared" si="33"/>
        <v>0</v>
      </c>
      <c r="AH88" s="14">
        <f t="shared" si="33"/>
        <v>0</v>
      </c>
      <c r="AI88" s="14">
        <f t="shared" si="33"/>
        <v>0</v>
      </c>
      <c r="AJ88" s="14">
        <f t="shared" si="33"/>
        <v>0</v>
      </c>
      <c r="AK88" s="14">
        <f t="shared" si="33"/>
        <v>0</v>
      </c>
      <c r="AL88" s="14">
        <f t="shared" si="33"/>
        <v>0</v>
      </c>
    </row>
    <row r="89" spans="1:38" ht="21" hidden="1" customHeight="1" outlineLevel="1" thickBot="1" x14ac:dyDescent="0.4">
      <c r="A89" s="5">
        <f t="shared" si="25"/>
        <v>0</v>
      </c>
      <c r="B89" s="5">
        <f t="shared" si="25"/>
        <v>3</v>
      </c>
      <c r="C89" s="5">
        <f t="shared" si="25"/>
        <v>0</v>
      </c>
      <c r="D89" s="5">
        <f t="shared" si="25"/>
        <v>2</v>
      </c>
      <c r="E89" s="6" t="str">
        <f t="shared" si="21"/>
        <v>(1)Ga2Se3</v>
      </c>
      <c r="F89" s="14">
        <f t="shared" ref="F89:AL89" si="34">F13*$C$78</f>
        <v>0.11790500000000001</v>
      </c>
      <c r="G89" s="14">
        <f t="shared" si="34"/>
        <v>0.14755499999999999</v>
      </c>
      <c r="H89" s="14">
        <f t="shared" si="34"/>
        <v>0.16310000000000002</v>
      </c>
      <c r="I89" s="14">
        <f t="shared" si="34"/>
        <v>0.19603999999999999</v>
      </c>
      <c r="J89" s="14">
        <f t="shared" si="34"/>
        <v>0.20844499999999999</v>
      </c>
      <c r="K89" s="14">
        <f t="shared" si="34"/>
        <v>0.21835500000000002</v>
      </c>
      <c r="L89" s="14">
        <f t="shared" si="34"/>
        <v>0.22492999999999999</v>
      </c>
      <c r="M89" s="14">
        <f t="shared" si="34"/>
        <v>0.22877000000000003</v>
      </c>
      <c r="N89" s="14">
        <f t="shared" si="34"/>
        <v>0.23086999999999999</v>
      </c>
      <c r="O89" s="14">
        <f t="shared" si="34"/>
        <v>0.23199999999999998</v>
      </c>
      <c r="P89" s="14">
        <f t="shared" si="34"/>
        <v>0.23261500000000002</v>
      </c>
      <c r="Q89" s="14">
        <f t="shared" si="34"/>
        <v>0.23303500000000002</v>
      </c>
      <c r="R89" s="14">
        <f t="shared" si="34"/>
        <v>0.25437499999999996</v>
      </c>
      <c r="S89" s="14">
        <f t="shared" si="34"/>
        <v>0.26891500000000002</v>
      </c>
      <c r="T89" s="14">
        <f t="shared" si="34"/>
        <v>0.23640499999999998</v>
      </c>
      <c r="U89" s="14">
        <f t="shared" si="34"/>
        <v>0.14810999999999999</v>
      </c>
      <c r="V89" s="14">
        <f t="shared" si="34"/>
        <v>6.8705000000000002E-2</v>
      </c>
      <c r="W89" s="14">
        <f t="shared" si="34"/>
        <v>1.4266999999999999E-3</v>
      </c>
      <c r="X89" s="14">
        <f t="shared" si="34"/>
        <v>5.4855000000000008E-4</v>
      </c>
      <c r="Y89" s="14">
        <f t="shared" si="34"/>
        <v>1.7138E-4</v>
      </c>
      <c r="Z89" s="14">
        <f t="shared" si="34"/>
        <v>4.1644500000000004E-5</v>
      </c>
      <c r="AA89" s="14">
        <f t="shared" si="34"/>
        <v>9.2220000000000008E-6</v>
      </c>
      <c r="AB89" s="14">
        <f t="shared" si="34"/>
        <v>2.0026500000000002E-6</v>
      </c>
      <c r="AC89" s="14">
        <f t="shared" si="34"/>
        <v>4.4087E-7</v>
      </c>
      <c r="AD89" s="14">
        <f t="shared" si="34"/>
        <v>9.9740000000000005E-8</v>
      </c>
      <c r="AE89" s="14">
        <f t="shared" si="34"/>
        <v>2.3293999999999997E-8</v>
      </c>
      <c r="AF89" s="14">
        <f t="shared" si="34"/>
        <v>9.6155000000000003E-11</v>
      </c>
      <c r="AG89" s="14">
        <f t="shared" si="34"/>
        <v>0</v>
      </c>
      <c r="AH89" s="14">
        <f t="shared" si="34"/>
        <v>0</v>
      </c>
      <c r="AI89" s="14">
        <f t="shared" si="34"/>
        <v>0</v>
      </c>
      <c r="AJ89" s="14">
        <f t="shared" si="34"/>
        <v>0</v>
      </c>
      <c r="AK89" s="14">
        <f t="shared" si="34"/>
        <v>0</v>
      </c>
      <c r="AL89" s="14">
        <f t="shared" si="34"/>
        <v>0</v>
      </c>
    </row>
    <row r="90" spans="1:38" ht="21" hidden="1" customHeight="1" outlineLevel="1" thickBot="1" x14ac:dyDescent="0.4">
      <c r="A90" s="5">
        <f t="shared" si="25"/>
        <v>0</v>
      </c>
      <c r="B90" s="5">
        <f t="shared" si="25"/>
        <v>1</v>
      </c>
      <c r="C90" s="5">
        <f t="shared" si="25"/>
        <v>0</v>
      </c>
      <c r="D90" s="5">
        <f t="shared" si="25"/>
        <v>2</v>
      </c>
      <c r="E90" s="6" t="str">
        <f t="shared" si="21"/>
        <v>(1)Ga2Se</v>
      </c>
      <c r="F90" s="14">
        <f t="shared" ref="F90:AL90" si="35">F14*$C$78</f>
        <v>7.8929999999999996E-28</v>
      </c>
      <c r="G90" s="14">
        <f t="shared" si="35"/>
        <v>2.9348999999999999E-21</v>
      </c>
      <c r="H90" s="14">
        <f t="shared" si="35"/>
        <v>3.3267499999999999E-15</v>
      </c>
      <c r="I90" s="14">
        <f t="shared" si="35"/>
        <v>8.3644999999999999E-11</v>
      </c>
      <c r="J90" s="14">
        <f t="shared" si="35"/>
        <v>7.0880000000000008E-10</v>
      </c>
      <c r="K90" s="14">
        <f t="shared" si="35"/>
        <v>5.4899999999999999E-9</v>
      </c>
      <c r="L90" s="14">
        <f t="shared" si="35"/>
        <v>3.8959999999999999E-8</v>
      </c>
      <c r="M90" s="14">
        <f t="shared" si="35"/>
        <v>2.5283999999999998E-7</v>
      </c>
      <c r="N90" s="14">
        <f t="shared" si="35"/>
        <v>1.5008000000000001E-6</v>
      </c>
      <c r="O90" s="14">
        <f t="shared" si="35"/>
        <v>8.1725000000000001E-6</v>
      </c>
      <c r="P90" s="14">
        <f t="shared" si="35"/>
        <v>4.1017000000000004E-5</v>
      </c>
      <c r="Q90" s="14">
        <f t="shared" si="35"/>
        <v>1.9071999999999999E-4</v>
      </c>
      <c r="R90" s="14">
        <f t="shared" si="35"/>
        <v>4.3812499999999997E-2</v>
      </c>
      <c r="S90" s="14">
        <f t="shared" si="35"/>
        <v>0.12973500000000002</v>
      </c>
      <c r="T90" s="14">
        <f t="shared" si="35"/>
        <v>0.28905000000000003</v>
      </c>
      <c r="U90" s="14">
        <f t="shared" si="35"/>
        <v>0.46663999999999994</v>
      </c>
      <c r="V90" s="14">
        <f t="shared" si="35"/>
        <v>0.58579999999999999</v>
      </c>
      <c r="W90" s="14">
        <f t="shared" si="35"/>
        <v>0.62705</v>
      </c>
      <c r="X90" s="14">
        <f t="shared" si="35"/>
        <v>0.60509999999999997</v>
      </c>
      <c r="Y90" s="14">
        <f t="shared" si="35"/>
        <v>0.34296500000000002</v>
      </c>
      <c r="Z90" s="14">
        <f t="shared" si="35"/>
        <v>0.16185000000000002</v>
      </c>
      <c r="AA90" s="14">
        <f t="shared" si="35"/>
        <v>7.4624999999999997E-2</v>
      </c>
      <c r="AB90" s="14">
        <f t="shared" si="35"/>
        <v>3.4440999999999999E-2</v>
      </c>
      <c r="AC90" s="14">
        <f t="shared" si="35"/>
        <v>1.6083500000000001E-2</v>
      </c>
      <c r="AD90" s="14">
        <f t="shared" si="35"/>
        <v>7.6314999999999994E-3</v>
      </c>
      <c r="AE90" s="14">
        <f t="shared" si="35"/>
        <v>3.6806499999999997E-3</v>
      </c>
      <c r="AF90" s="14">
        <f t="shared" si="35"/>
        <v>2.3413000000000001E-4</v>
      </c>
      <c r="AG90" s="14">
        <f t="shared" si="35"/>
        <v>0</v>
      </c>
      <c r="AH90" s="14">
        <f t="shared" si="35"/>
        <v>0</v>
      </c>
      <c r="AI90" s="14">
        <f t="shared" si="35"/>
        <v>0</v>
      </c>
      <c r="AJ90" s="14">
        <f t="shared" si="35"/>
        <v>0</v>
      </c>
      <c r="AK90" s="14">
        <f t="shared" si="35"/>
        <v>0</v>
      </c>
      <c r="AL90" s="14">
        <f t="shared" si="35"/>
        <v>0</v>
      </c>
    </row>
    <row r="91" spans="1:38" ht="21" hidden="1" customHeight="1" outlineLevel="1" thickBot="1" x14ac:dyDescent="0.4">
      <c r="A91" s="5">
        <f t="shared" si="25"/>
        <v>0</v>
      </c>
      <c r="B91" s="5">
        <f t="shared" si="25"/>
        <v>0</v>
      </c>
      <c r="C91" s="5">
        <f t="shared" si="25"/>
        <v>1</v>
      </c>
      <c r="D91" s="5">
        <f t="shared" si="25"/>
        <v>0</v>
      </c>
      <c r="E91" s="6" t="str">
        <f t="shared" si="21"/>
        <v>(1)Ge</v>
      </c>
      <c r="F91" s="14">
        <f t="shared" ref="F91:AL91" si="36">F15*$C$78</f>
        <v>3.8720999999999998E-7</v>
      </c>
      <c r="G91" s="14">
        <f t="shared" si="36"/>
        <v>2.5846000000000003E-5</v>
      </c>
      <c r="H91" s="14">
        <f t="shared" si="36"/>
        <v>2.7486500000000001E-3</v>
      </c>
      <c r="I91" s="14">
        <f t="shared" si="36"/>
        <v>4.4542499999999999E-2</v>
      </c>
      <c r="J91" s="14">
        <f t="shared" si="36"/>
        <v>6.2049999999999994E-2</v>
      </c>
      <c r="K91" s="14">
        <f t="shared" si="36"/>
        <v>7.6685000000000003E-2</v>
      </c>
      <c r="L91" s="14">
        <f t="shared" si="36"/>
        <v>8.6735000000000007E-2</v>
      </c>
      <c r="M91" s="14">
        <f t="shared" si="36"/>
        <v>9.2739999999999989E-2</v>
      </c>
      <c r="N91" s="14">
        <f t="shared" si="36"/>
        <v>9.6065000000000011E-2</v>
      </c>
      <c r="O91" s="14">
        <f t="shared" si="36"/>
        <v>9.7850000000000006E-2</v>
      </c>
      <c r="P91" s="14">
        <f t="shared" si="36"/>
        <v>9.8809999999999995E-2</v>
      </c>
      <c r="Q91" s="14">
        <f t="shared" si="36"/>
        <v>9.9330000000000002E-2</v>
      </c>
      <c r="R91" s="14">
        <f t="shared" si="36"/>
        <v>9.9909999999999999E-2</v>
      </c>
      <c r="S91" s="14">
        <f t="shared" si="36"/>
        <v>9.9940000000000001E-2</v>
      </c>
      <c r="T91" s="14">
        <f t="shared" si="36"/>
        <v>9.9954999999999988E-2</v>
      </c>
      <c r="U91" s="14">
        <f t="shared" si="36"/>
        <v>9.9970000000000003E-2</v>
      </c>
      <c r="V91" s="14">
        <f t="shared" si="36"/>
        <v>9.9979999999999999E-2</v>
      </c>
      <c r="W91" s="14">
        <f t="shared" si="36"/>
        <v>9.9995000000000001E-2</v>
      </c>
      <c r="X91" s="14">
        <f t="shared" si="36"/>
        <v>9.9995000000000001E-2</v>
      </c>
      <c r="Y91" s="14">
        <f t="shared" si="36"/>
        <v>9.8154999999999992E-2</v>
      </c>
      <c r="Z91" s="14">
        <f t="shared" si="36"/>
        <v>9.6500000000000002E-2</v>
      </c>
      <c r="AA91" s="14">
        <f t="shared" si="36"/>
        <v>9.5344999999999999E-2</v>
      </c>
      <c r="AB91" s="14">
        <f t="shared" si="36"/>
        <v>9.4520000000000007E-2</v>
      </c>
      <c r="AC91" s="14">
        <f t="shared" si="36"/>
        <v>9.3954999999999997E-2</v>
      </c>
      <c r="AD91" s="14">
        <f t="shared" si="36"/>
        <v>9.3600000000000003E-2</v>
      </c>
      <c r="AE91" s="14">
        <f t="shared" si="36"/>
        <v>9.3050000000000008E-2</v>
      </c>
      <c r="AF91" s="14">
        <f t="shared" si="36"/>
        <v>8.9624999999999996E-2</v>
      </c>
      <c r="AG91" s="14">
        <f t="shared" si="36"/>
        <v>0</v>
      </c>
      <c r="AH91" s="14">
        <f t="shared" si="36"/>
        <v>0</v>
      </c>
      <c r="AI91" s="14">
        <f t="shared" si="36"/>
        <v>0</v>
      </c>
      <c r="AJ91" s="14">
        <f t="shared" si="36"/>
        <v>0</v>
      </c>
      <c r="AK91" s="14">
        <f t="shared" si="36"/>
        <v>0</v>
      </c>
      <c r="AL91" s="14">
        <f t="shared" si="36"/>
        <v>0</v>
      </c>
    </row>
    <row r="92" spans="1:38" ht="21" hidden="1" customHeight="1" outlineLevel="1" thickBot="1" x14ac:dyDescent="0.4">
      <c r="A92" s="5">
        <f t="shared" si="25"/>
        <v>0</v>
      </c>
      <c r="B92" s="5">
        <f t="shared" si="25"/>
        <v>0</v>
      </c>
      <c r="C92" s="5">
        <f t="shared" si="25"/>
        <v>0</v>
      </c>
      <c r="D92" s="5">
        <f t="shared" si="25"/>
        <v>1</v>
      </c>
      <c r="E92" s="6" t="str">
        <f t="shared" si="21"/>
        <v>(1)Ga</v>
      </c>
      <c r="F92" s="14">
        <f t="shared" ref="F92:AL92" si="37">F16*$C$78</f>
        <v>9.5145000000000012E-28</v>
      </c>
      <c r="G92" s="14">
        <f t="shared" si="37"/>
        <v>1.8295999999999999E-21</v>
      </c>
      <c r="H92" s="14">
        <f t="shared" si="37"/>
        <v>6.3889999999999999E-16</v>
      </c>
      <c r="I92" s="14">
        <f t="shared" si="37"/>
        <v>8.1570000000000009E-12</v>
      </c>
      <c r="J92" s="14">
        <f t="shared" si="37"/>
        <v>6.1214999999999992E-11</v>
      </c>
      <c r="K92" s="14">
        <f t="shared" si="37"/>
        <v>4.1864499999999995E-10</v>
      </c>
      <c r="L92" s="14">
        <f t="shared" si="37"/>
        <v>2.6131E-9</v>
      </c>
      <c r="M92" s="14">
        <f t="shared" si="37"/>
        <v>1.48975E-8</v>
      </c>
      <c r="N92" s="14">
        <f t="shared" si="37"/>
        <v>7.7789999999999997E-8</v>
      </c>
      <c r="O92" s="14">
        <f t="shared" si="37"/>
        <v>3.7357000000000003E-7</v>
      </c>
      <c r="P92" s="14">
        <f t="shared" si="37"/>
        <v>1.6579999999999998E-6</v>
      </c>
      <c r="Q92" s="14">
        <f t="shared" si="37"/>
        <v>6.8340000000000001E-6</v>
      </c>
      <c r="R92" s="14">
        <f t="shared" si="37"/>
        <v>1.0605499999999999E-3</v>
      </c>
      <c r="S92" s="14">
        <f t="shared" si="37"/>
        <v>3.2521E-3</v>
      </c>
      <c r="T92" s="14">
        <f t="shared" si="37"/>
        <v>8.5590000000000006E-3</v>
      </c>
      <c r="U92" s="14">
        <f t="shared" si="37"/>
        <v>1.8232000000000002E-2</v>
      </c>
      <c r="V92" s="14">
        <f t="shared" si="37"/>
        <v>3.22495E-2</v>
      </c>
      <c r="W92" s="14">
        <f t="shared" si="37"/>
        <v>0.14202999999999999</v>
      </c>
      <c r="X92" s="14">
        <f t="shared" si="37"/>
        <v>0.18831500000000001</v>
      </c>
      <c r="Y92" s="14">
        <f t="shared" si="37"/>
        <v>0.171595</v>
      </c>
      <c r="Z92" s="14">
        <f t="shared" si="37"/>
        <v>0.14252999999999999</v>
      </c>
      <c r="AA92" s="14">
        <f t="shared" si="37"/>
        <v>0.11731</v>
      </c>
      <c r="AB92" s="14">
        <f t="shared" si="37"/>
        <v>9.5645000000000008E-2</v>
      </c>
      <c r="AC92" s="14">
        <f t="shared" si="37"/>
        <v>7.7219999999999997E-2</v>
      </c>
      <c r="AD92" s="14">
        <f t="shared" si="37"/>
        <v>6.1710000000000001E-2</v>
      </c>
      <c r="AE92" s="14">
        <f t="shared" si="37"/>
        <v>4.8756499999999994E-2</v>
      </c>
      <c r="AF92" s="14">
        <f t="shared" si="37"/>
        <v>1.6858999999999999E-2</v>
      </c>
      <c r="AG92" s="14">
        <f t="shared" si="37"/>
        <v>0</v>
      </c>
      <c r="AH92" s="14">
        <f t="shared" si="37"/>
        <v>0</v>
      </c>
      <c r="AI92" s="14">
        <f t="shared" si="37"/>
        <v>0</v>
      </c>
      <c r="AJ92" s="14">
        <f t="shared" si="37"/>
        <v>0</v>
      </c>
      <c r="AK92" s="14">
        <f t="shared" si="37"/>
        <v>0</v>
      </c>
      <c r="AL92" s="14">
        <f t="shared" si="37"/>
        <v>0</v>
      </c>
    </row>
    <row r="93" spans="1:38" ht="21" hidden="1" customHeight="1" outlineLevel="1" thickBot="1" x14ac:dyDescent="0.4">
      <c r="A93" s="5">
        <f t="shared" si="25"/>
        <v>0</v>
      </c>
      <c r="B93" s="5">
        <f t="shared" si="25"/>
        <v>1</v>
      </c>
      <c r="C93" s="5">
        <f t="shared" si="25"/>
        <v>0</v>
      </c>
      <c r="D93" s="5">
        <f t="shared" si="25"/>
        <v>0</v>
      </c>
      <c r="E93" s="6" t="str">
        <f t="shared" si="21"/>
        <v>(l)Se</v>
      </c>
      <c r="F93" s="14">
        <f t="shared" ref="F93:AL93" si="38">F17*$C$78</f>
        <v>3.0279499999999997E-9</v>
      </c>
      <c r="G93" s="14">
        <f t="shared" si="38"/>
        <v>3.5503999999999998E-8</v>
      </c>
      <c r="H93" s="14">
        <f t="shared" si="38"/>
        <v>2.3290000000000002E-8</v>
      </c>
      <c r="I93" s="14">
        <f t="shared" si="38"/>
        <v>1.8142999999999999E-8</v>
      </c>
      <c r="J93" s="14">
        <f t="shared" si="38"/>
        <v>1.7467E-8</v>
      </c>
      <c r="K93" s="14">
        <f t="shared" si="38"/>
        <v>1.6564499999999999E-8</v>
      </c>
      <c r="L93" s="14">
        <f t="shared" si="38"/>
        <v>1.5289499999999999E-8</v>
      </c>
      <c r="M93" s="14">
        <f t="shared" si="38"/>
        <v>1.36505E-8</v>
      </c>
      <c r="N93" s="14">
        <f t="shared" si="38"/>
        <v>1.1949999999999999E-8</v>
      </c>
      <c r="O93" s="14">
        <f t="shared" si="38"/>
        <v>1.0351500000000002E-8</v>
      </c>
      <c r="P93" s="14">
        <f t="shared" si="38"/>
        <v>8.9220000000000004E-9</v>
      </c>
      <c r="Q93" s="14">
        <f t="shared" si="38"/>
        <v>7.6769999999999999E-9</v>
      </c>
      <c r="R93" s="14">
        <f t="shared" si="38"/>
        <v>5.4110000000000004E-9</v>
      </c>
      <c r="S93" s="14">
        <f t="shared" si="38"/>
        <v>6.7444999999999996E-9</v>
      </c>
      <c r="T93" s="14">
        <f t="shared" si="38"/>
        <v>9.1589999999999995E-9</v>
      </c>
      <c r="U93" s="14">
        <f t="shared" si="38"/>
        <v>1.11555E-8</v>
      </c>
      <c r="V93" s="14">
        <f t="shared" si="38"/>
        <v>1.1586499999999999E-8</v>
      </c>
      <c r="W93" s="14">
        <f t="shared" si="38"/>
        <v>7.4749999999999991E-9</v>
      </c>
      <c r="X93" s="14">
        <f t="shared" si="38"/>
        <v>6.5575000000000002E-9</v>
      </c>
      <c r="Y93" s="14">
        <f t="shared" si="38"/>
        <v>6.5095000000000003E-9</v>
      </c>
      <c r="Z93" s="14">
        <f t="shared" si="38"/>
        <v>6.1355000000000006E-9</v>
      </c>
      <c r="AA93" s="14">
        <f t="shared" si="38"/>
        <v>5.5249999999999998E-9</v>
      </c>
      <c r="AB93" s="14">
        <f t="shared" si="38"/>
        <v>4.8744000000000005E-9</v>
      </c>
      <c r="AC93" s="14">
        <f t="shared" si="38"/>
        <v>4.2632500000000001E-9</v>
      </c>
      <c r="AD93" s="14">
        <f t="shared" si="38"/>
        <v>3.7157499999999997E-9</v>
      </c>
      <c r="AE93" s="14">
        <f t="shared" si="38"/>
        <v>3.2346E-9</v>
      </c>
      <c r="AF93" s="14">
        <f t="shared" si="38"/>
        <v>1.86E-9</v>
      </c>
      <c r="AG93" s="14">
        <f t="shared" si="38"/>
        <v>0</v>
      </c>
      <c r="AH93" s="14">
        <f t="shared" si="38"/>
        <v>0</v>
      </c>
      <c r="AI93" s="14">
        <f t="shared" si="38"/>
        <v>0</v>
      </c>
      <c r="AJ93" s="14">
        <f t="shared" si="38"/>
        <v>0</v>
      </c>
      <c r="AK93" s="14">
        <f t="shared" si="38"/>
        <v>0</v>
      </c>
      <c r="AL93" s="14">
        <f t="shared" si="38"/>
        <v>0</v>
      </c>
    </row>
    <row r="94" spans="1:38" ht="21" hidden="1" customHeight="1" outlineLevel="1" thickBot="1" x14ac:dyDescent="0.4">
      <c r="A94" s="5">
        <f t="shared" si="25"/>
        <v>0</v>
      </c>
      <c r="B94" s="5">
        <f t="shared" si="25"/>
        <v>1</v>
      </c>
      <c r="C94" s="5">
        <f t="shared" si="25"/>
        <v>0</v>
      </c>
      <c r="D94" s="5">
        <f t="shared" si="25"/>
        <v>0</v>
      </c>
      <c r="E94" s="6" t="str">
        <f t="shared" si="21"/>
        <v>(1)Se[a]</v>
      </c>
      <c r="F94" s="14">
        <f t="shared" ref="F94:AL94" si="39">F18*$C$78</f>
        <v>6.9790000000000004E-10</v>
      </c>
      <c r="G94" s="14">
        <f t="shared" si="39"/>
        <v>1.2596500000000001E-8</v>
      </c>
      <c r="H94" s="14">
        <f t="shared" si="39"/>
        <v>1.1116E-8</v>
      </c>
      <c r="I94" s="14">
        <f t="shared" si="39"/>
        <v>1.07395E-8</v>
      </c>
      <c r="J94" s="14">
        <f t="shared" si="39"/>
        <v>1.08125E-8</v>
      </c>
      <c r="K94" s="14">
        <f t="shared" si="39"/>
        <v>1.0372499999999999E-8</v>
      </c>
      <c r="L94" s="14">
        <f t="shared" si="39"/>
        <v>9.4919999999999999E-9</v>
      </c>
      <c r="M94" s="14">
        <f t="shared" si="39"/>
        <v>8.3984999999999991E-9</v>
      </c>
      <c r="N94" s="14">
        <f t="shared" si="39"/>
        <v>7.2829999999999998E-9</v>
      </c>
      <c r="O94" s="14">
        <f t="shared" si="39"/>
        <v>6.2484999999999997E-9</v>
      </c>
      <c r="P94" s="14">
        <f t="shared" si="39"/>
        <v>5.3324999999999999E-9</v>
      </c>
      <c r="Q94" s="14">
        <f t="shared" si="39"/>
        <v>4.5428000000000005E-9</v>
      </c>
      <c r="R94" s="14">
        <f t="shared" si="39"/>
        <v>3.0745499999999999E-9</v>
      </c>
      <c r="S94" s="14">
        <f t="shared" si="39"/>
        <v>3.79365E-9</v>
      </c>
      <c r="T94" s="14">
        <f t="shared" si="39"/>
        <v>5.1000000000000002E-9</v>
      </c>
      <c r="U94" s="14">
        <f t="shared" si="39"/>
        <v>6.1494999999999999E-9</v>
      </c>
      <c r="V94" s="14">
        <f t="shared" si="39"/>
        <v>6.3235000000000003E-9</v>
      </c>
      <c r="W94" s="14">
        <f t="shared" si="39"/>
        <v>3.9219500000000001E-9</v>
      </c>
      <c r="X94" s="14">
        <f t="shared" si="39"/>
        <v>3.4074E-9</v>
      </c>
      <c r="Y94" s="14">
        <f t="shared" si="39"/>
        <v>3.3501000000000002E-9</v>
      </c>
      <c r="Z94" s="14">
        <f t="shared" si="39"/>
        <v>3.1276999999999999E-9</v>
      </c>
      <c r="AA94" s="14">
        <f t="shared" si="39"/>
        <v>2.7899499999999999E-9</v>
      </c>
      <c r="AB94" s="14">
        <f t="shared" si="39"/>
        <v>2.43855E-9</v>
      </c>
      <c r="AC94" s="14">
        <f t="shared" si="39"/>
        <v>2.1130499999999999E-9</v>
      </c>
      <c r="AD94" s="14">
        <f t="shared" si="39"/>
        <v>1.8246999999999999E-9</v>
      </c>
      <c r="AE94" s="14">
        <f t="shared" si="39"/>
        <v>1.5739000000000001E-9</v>
      </c>
      <c r="AF94" s="14">
        <f t="shared" si="39"/>
        <v>8.7275000000000001E-10</v>
      </c>
      <c r="AG94" s="14">
        <f t="shared" si="39"/>
        <v>0</v>
      </c>
      <c r="AH94" s="14">
        <f t="shared" si="39"/>
        <v>0</v>
      </c>
      <c r="AI94" s="14">
        <f t="shared" si="39"/>
        <v>0</v>
      </c>
      <c r="AJ94" s="14">
        <f t="shared" si="39"/>
        <v>0</v>
      </c>
      <c r="AK94" s="14">
        <f t="shared" si="39"/>
        <v>0</v>
      </c>
      <c r="AL94" s="14">
        <f t="shared" si="39"/>
        <v>0</v>
      </c>
    </row>
    <row r="95" spans="1:38" ht="21" hidden="1" customHeight="1" outlineLevel="1" thickBot="1" x14ac:dyDescent="0.4">
      <c r="A95" s="5">
        <f t="shared" si="25"/>
        <v>0</v>
      </c>
      <c r="B95" s="5">
        <f t="shared" si="25"/>
        <v>1</v>
      </c>
      <c r="C95" s="5">
        <f t="shared" si="25"/>
        <v>0</v>
      </c>
      <c r="D95" s="5">
        <f t="shared" si="25"/>
        <v>0</v>
      </c>
      <c r="E95" s="6" t="str">
        <f t="shared" si="21"/>
        <v>(1)Se[m]</v>
      </c>
      <c r="F95" s="14">
        <f t="shared" ref="F95:AL95" si="40">F19*$C$78</f>
        <v>2.5501999999999999E-3</v>
      </c>
      <c r="G95" s="14">
        <f t="shared" si="40"/>
        <v>6.7099999999999993E-2</v>
      </c>
      <c r="H95" s="14">
        <f t="shared" si="40"/>
        <v>0.103785</v>
      </c>
      <c r="I95" s="14">
        <f t="shared" si="40"/>
        <v>0.18898999999999999</v>
      </c>
      <c r="J95" s="14">
        <f t="shared" si="40"/>
        <v>0.22405499999999998</v>
      </c>
      <c r="K95" s="14">
        <f t="shared" si="40"/>
        <v>0.253355</v>
      </c>
      <c r="L95" s="14">
        <f t="shared" si="40"/>
        <v>0.27345999999999998</v>
      </c>
      <c r="M95" s="14">
        <f t="shared" si="40"/>
        <v>0.28547499999999998</v>
      </c>
      <c r="N95" s="14">
        <f t="shared" si="40"/>
        <v>0.29213</v>
      </c>
      <c r="O95" s="14">
        <f t="shared" si="40"/>
        <v>0.29571999999999998</v>
      </c>
      <c r="P95" s="14">
        <f t="shared" si="40"/>
        <v>0.297705</v>
      </c>
      <c r="Q95" s="14">
        <f t="shared" si="40"/>
        <v>0.29905000000000004</v>
      </c>
      <c r="R95" s="14">
        <f t="shared" si="40"/>
        <v>0.38904</v>
      </c>
      <c r="S95" s="14">
        <f t="shared" si="40"/>
        <v>0.56425000000000003</v>
      </c>
      <c r="T95" s="14">
        <f t="shared" si="40"/>
        <v>0.89084999999999992</v>
      </c>
      <c r="U95" s="14">
        <f t="shared" si="40"/>
        <v>1.2605500000000001</v>
      </c>
      <c r="V95" s="14">
        <f t="shared" si="40"/>
        <v>1.5198999999999998</v>
      </c>
      <c r="W95" s="14">
        <f t="shared" si="40"/>
        <v>1.7671000000000001</v>
      </c>
      <c r="X95" s="14">
        <f t="shared" si="40"/>
        <v>1.7926500000000001</v>
      </c>
      <c r="Y95" s="14">
        <f t="shared" si="40"/>
        <v>2.0563500000000001</v>
      </c>
      <c r="Z95" s="14">
        <f t="shared" si="40"/>
        <v>2.238</v>
      </c>
      <c r="AA95" s="14">
        <f t="shared" si="40"/>
        <v>2.3253499999999998</v>
      </c>
      <c r="AB95" s="14">
        <f t="shared" si="40"/>
        <v>2.3655499999999998</v>
      </c>
      <c r="AC95" s="14">
        <f t="shared" si="40"/>
        <v>2.3838999999999997</v>
      </c>
      <c r="AD95" s="14">
        <f t="shared" si="40"/>
        <v>2.39235</v>
      </c>
      <c r="AE95" s="14">
        <f t="shared" si="40"/>
        <v>2.3963000000000001</v>
      </c>
      <c r="AF95" s="14">
        <f t="shared" si="40"/>
        <v>2.39975</v>
      </c>
      <c r="AG95" s="14">
        <f t="shared" si="40"/>
        <v>0</v>
      </c>
      <c r="AH95" s="14">
        <f t="shared" si="40"/>
        <v>0</v>
      </c>
      <c r="AI95" s="14">
        <f t="shared" si="40"/>
        <v>0</v>
      </c>
      <c r="AJ95" s="14">
        <f t="shared" si="40"/>
        <v>0</v>
      </c>
      <c r="AK95" s="14">
        <f t="shared" si="40"/>
        <v>0</v>
      </c>
      <c r="AL95" s="14">
        <f t="shared" si="40"/>
        <v>0</v>
      </c>
    </row>
    <row r="96" spans="1:38" ht="21" hidden="1" customHeight="1" outlineLevel="1" thickBot="1" x14ac:dyDescent="0.4">
      <c r="A96" s="5">
        <f t="shared" si="25"/>
        <v>0</v>
      </c>
      <c r="B96" s="5">
        <f t="shared" si="25"/>
        <v>0</v>
      </c>
      <c r="C96" s="5">
        <f t="shared" si="25"/>
        <v>1</v>
      </c>
      <c r="D96" s="5">
        <f t="shared" si="25"/>
        <v>0</v>
      </c>
      <c r="E96" s="6" t="str">
        <f t="shared" si="21"/>
        <v>(1)Ge[c]</v>
      </c>
      <c r="F96" s="14">
        <f t="shared" ref="F96:AL96" si="41">F20*$C$78</f>
        <v>3.8720999999999998E-7</v>
      </c>
      <c r="G96" s="14">
        <f t="shared" si="41"/>
        <v>2.5846000000000003E-5</v>
      </c>
      <c r="H96" s="14">
        <f t="shared" si="41"/>
        <v>2.7486500000000001E-3</v>
      </c>
      <c r="I96" s="14">
        <f t="shared" si="41"/>
        <v>4.4542499999999999E-2</v>
      </c>
      <c r="J96" s="14">
        <f t="shared" si="41"/>
        <v>6.2049999999999994E-2</v>
      </c>
      <c r="K96" s="14">
        <f t="shared" si="41"/>
        <v>7.6685000000000003E-2</v>
      </c>
      <c r="L96" s="14">
        <f t="shared" si="41"/>
        <v>8.6735000000000007E-2</v>
      </c>
      <c r="M96" s="14">
        <f t="shared" si="41"/>
        <v>9.2739999999999989E-2</v>
      </c>
      <c r="N96" s="14">
        <f t="shared" si="41"/>
        <v>9.6065000000000011E-2</v>
      </c>
      <c r="O96" s="14">
        <f t="shared" si="41"/>
        <v>9.7850000000000006E-2</v>
      </c>
      <c r="P96" s="14">
        <f t="shared" si="41"/>
        <v>9.8809999999999995E-2</v>
      </c>
      <c r="Q96" s="14">
        <f t="shared" si="41"/>
        <v>9.9330000000000002E-2</v>
      </c>
      <c r="R96" s="14">
        <f t="shared" si="41"/>
        <v>9.9909999999999999E-2</v>
      </c>
      <c r="S96" s="14">
        <f t="shared" si="41"/>
        <v>9.9940000000000001E-2</v>
      </c>
      <c r="T96" s="14">
        <f t="shared" si="41"/>
        <v>9.9954999999999988E-2</v>
      </c>
      <c r="U96" s="14">
        <f t="shared" si="41"/>
        <v>9.9970000000000003E-2</v>
      </c>
      <c r="V96" s="14">
        <f t="shared" si="41"/>
        <v>9.9979999999999999E-2</v>
      </c>
      <c r="W96" s="14">
        <f t="shared" si="41"/>
        <v>9.9995000000000001E-2</v>
      </c>
      <c r="X96" s="14">
        <f t="shared" si="41"/>
        <v>9.9995000000000001E-2</v>
      </c>
      <c r="Y96" s="14">
        <f t="shared" si="41"/>
        <v>9.8154999999999992E-2</v>
      </c>
      <c r="Z96" s="14">
        <f t="shared" si="41"/>
        <v>9.6500000000000002E-2</v>
      </c>
      <c r="AA96" s="14">
        <f t="shared" si="41"/>
        <v>9.5344999999999999E-2</v>
      </c>
      <c r="AB96" s="14">
        <f t="shared" si="41"/>
        <v>9.4520000000000007E-2</v>
      </c>
      <c r="AC96" s="14">
        <f t="shared" si="41"/>
        <v>9.3954999999999997E-2</v>
      </c>
      <c r="AD96" s="14">
        <f t="shared" si="41"/>
        <v>9.3600000000000003E-2</v>
      </c>
      <c r="AE96" s="14">
        <f t="shared" si="41"/>
        <v>9.3050000000000008E-2</v>
      </c>
      <c r="AF96" s="14">
        <f t="shared" si="41"/>
        <v>8.9624999999999996E-2</v>
      </c>
      <c r="AG96" s="14">
        <f t="shared" si="41"/>
        <v>0</v>
      </c>
      <c r="AH96" s="14">
        <f t="shared" si="41"/>
        <v>0</v>
      </c>
      <c r="AI96" s="14">
        <f t="shared" si="41"/>
        <v>0</v>
      </c>
      <c r="AJ96" s="14">
        <f t="shared" si="41"/>
        <v>0</v>
      </c>
      <c r="AK96" s="14">
        <f t="shared" si="41"/>
        <v>0</v>
      </c>
      <c r="AL96" s="14">
        <f t="shared" si="41"/>
        <v>0</v>
      </c>
    </row>
    <row r="97" spans="1:54" ht="21" hidden="1" customHeight="1" outlineLevel="1" thickBot="1" x14ac:dyDescent="0.4">
      <c r="A97" s="5">
        <f t="shared" ref="A97:D109" si="42">A63</f>
        <v>0</v>
      </c>
      <c r="B97" s="5">
        <f t="shared" si="42"/>
        <v>0</v>
      </c>
      <c r="C97" s="5">
        <f t="shared" si="42"/>
        <v>0</v>
      </c>
      <c r="D97" s="5">
        <f t="shared" si="42"/>
        <v>1</v>
      </c>
      <c r="E97" s="6" t="str">
        <f t="shared" si="21"/>
        <v>(3)Ga[1]</v>
      </c>
      <c r="F97" s="14">
        <f t="shared" ref="F97:AL97" si="43">F21*$C$78</f>
        <v>0</v>
      </c>
      <c r="G97" s="14">
        <f t="shared" si="43"/>
        <v>0</v>
      </c>
      <c r="H97" s="14">
        <f t="shared" si="43"/>
        <v>0</v>
      </c>
      <c r="I97" s="14">
        <f t="shared" si="43"/>
        <v>0</v>
      </c>
      <c r="J97" s="14">
        <f t="shared" si="43"/>
        <v>0</v>
      </c>
      <c r="K97" s="14">
        <f t="shared" si="43"/>
        <v>0</v>
      </c>
      <c r="L97" s="14">
        <f t="shared" si="43"/>
        <v>0</v>
      </c>
      <c r="M97" s="14">
        <f t="shared" si="43"/>
        <v>0</v>
      </c>
      <c r="N97" s="14">
        <f t="shared" si="43"/>
        <v>0</v>
      </c>
      <c r="O97" s="14">
        <f t="shared" si="43"/>
        <v>0</v>
      </c>
      <c r="P97" s="14">
        <f t="shared" si="43"/>
        <v>0</v>
      </c>
      <c r="Q97" s="14">
        <f t="shared" si="43"/>
        <v>0</v>
      </c>
      <c r="R97" s="14">
        <f t="shared" si="43"/>
        <v>0</v>
      </c>
      <c r="S97" s="14">
        <f t="shared" si="43"/>
        <v>0</v>
      </c>
      <c r="T97" s="14">
        <f t="shared" si="43"/>
        <v>0</v>
      </c>
      <c r="U97" s="14">
        <f t="shared" si="43"/>
        <v>0</v>
      </c>
      <c r="V97" s="14">
        <f t="shared" si="43"/>
        <v>5.9664999999999993E-35</v>
      </c>
      <c r="W97" s="14">
        <f t="shared" si="43"/>
        <v>6.8370000000000003E-9</v>
      </c>
      <c r="X97" s="14">
        <f t="shared" si="43"/>
        <v>1.4488499999999999E-5</v>
      </c>
      <c r="Y97" s="14">
        <f t="shared" si="43"/>
        <v>0.53990000000000005</v>
      </c>
      <c r="Z97" s="14">
        <f t="shared" si="43"/>
        <v>0.9294</v>
      </c>
      <c r="AA97" s="14">
        <f t="shared" si="43"/>
        <v>1.1207</v>
      </c>
      <c r="AB97" s="14">
        <f t="shared" si="43"/>
        <v>1.1983999999999999</v>
      </c>
      <c r="AC97" s="14">
        <f t="shared" si="43"/>
        <v>1.2036500000000001</v>
      </c>
      <c r="AD97" s="14">
        <f t="shared" si="43"/>
        <v>1.1637500000000001</v>
      </c>
      <c r="AE97" s="14">
        <f t="shared" si="43"/>
        <v>1.1597</v>
      </c>
      <c r="AF97" s="14">
        <f t="shared" si="43"/>
        <v>1.2876000000000001</v>
      </c>
      <c r="AG97" s="14">
        <f t="shared" si="43"/>
        <v>0</v>
      </c>
      <c r="AH97" s="14">
        <f t="shared" si="43"/>
        <v>0</v>
      </c>
      <c r="AI97" s="14">
        <f t="shared" si="43"/>
        <v>0</v>
      </c>
      <c r="AJ97" s="14">
        <f t="shared" si="43"/>
        <v>0</v>
      </c>
      <c r="AK97" s="14">
        <f t="shared" si="43"/>
        <v>0</v>
      </c>
      <c r="AL97" s="14">
        <f t="shared" si="43"/>
        <v>0</v>
      </c>
    </row>
    <row r="98" spans="1:54" ht="21" hidden="1" customHeight="1" outlineLevel="1" thickBot="1" x14ac:dyDescent="0.4">
      <c r="A98" s="5">
        <f t="shared" si="42"/>
        <v>0</v>
      </c>
      <c r="B98" s="5">
        <f t="shared" si="42"/>
        <v>0</v>
      </c>
      <c r="C98" s="5">
        <f t="shared" si="42"/>
        <v>1</v>
      </c>
      <c r="D98" s="5">
        <f t="shared" si="42"/>
        <v>0</v>
      </c>
      <c r="E98" s="6" t="str">
        <f t="shared" si="21"/>
        <v>(3)Ge[1]</v>
      </c>
      <c r="F98" s="14">
        <f t="shared" ref="F98:AL98" si="44">F22*$C$78</f>
        <v>0</v>
      </c>
      <c r="G98" s="14">
        <f t="shared" si="44"/>
        <v>0</v>
      </c>
      <c r="H98" s="14">
        <f t="shared" si="44"/>
        <v>0</v>
      </c>
      <c r="I98" s="14">
        <f t="shared" si="44"/>
        <v>0</v>
      </c>
      <c r="J98" s="14">
        <f t="shared" si="44"/>
        <v>0</v>
      </c>
      <c r="K98" s="14">
        <f t="shared" si="44"/>
        <v>0</v>
      </c>
      <c r="L98" s="14">
        <f t="shared" si="44"/>
        <v>0</v>
      </c>
      <c r="M98" s="14">
        <f t="shared" si="44"/>
        <v>0</v>
      </c>
      <c r="N98" s="14">
        <f t="shared" si="44"/>
        <v>0</v>
      </c>
      <c r="O98" s="14">
        <f t="shared" si="44"/>
        <v>0</v>
      </c>
      <c r="P98" s="14">
        <f t="shared" si="44"/>
        <v>0</v>
      </c>
      <c r="Q98" s="14">
        <f t="shared" si="44"/>
        <v>0</v>
      </c>
      <c r="R98" s="14">
        <f t="shared" si="44"/>
        <v>0</v>
      </c>
      <c r="S98" s="14">
        <f t="shared" si="44"/>
        <v>0</v>
      </c>
      <c r="T98" s="14">
        <f t="shared" si="44"/>
        <v>0</v>
      </c>
      <c r="U98" s="14">
        <f t="shared" si="44"/>
        <v>0</v>
      </c>
      <c r="V98" s="14">
        <f t="shared" si="44"/>
        <v>0</v>
      </c>
      <c r="W98" s="14">
        <f t="shared" si="44"/>
        <v>6.3330000000000003E-11</v>
      </c>
      <c r="X98" s="14">
        <f t="shared" si="44"/>
        <v>9.7100000000000003E-8</v>
      </c>
      <c r="Y98" s="14">
        <f t="shared" si="44"/>
        <v>3.6855500000000001E-3</v>
      </c>
      <c r="Z98" s="14">
        <f t="shared" si="44"/>
        <v>6.9994999999999996E-3</v>
      </c>
      <c r="AA98" s="14">
        <f t="shared" si="44"/>
        <v>9.3074999999999998E-3</v>
      </c>
      <c r="AB98" s="14">
        <f t="shared" si="44"/>
        <v>1.0956E-2</v>
      </c>
      <c r="AC98" s="14">
        <f t="shared" si="44"/>
        <v>1.2084999999999999E-2</v>
      </c>
      <c r="AD98" s="14">
        <f t="shared" si="44"/>
        <v>1.2801E-2</v>
      </c>
      <c r="AE98" s="14">
        <f t="shared" si="44"/>
        <v>1.38975E-2</v>
      </c>
      <c r="AF98" s="14">
        <f t="shared" si="44"/>
        <v>2.0750500000000002E-2</v>
      </c>
      <c r="AG98" s="14">
        <f t="shared" si="44"/>
        <v>0</v>
      </c>
      <c r="AH98" s="14">
        <f t="shared" si="44"/>
        <v>0</v>
      </c>
      <c r="AI98" s="14">
        <f t="shared" si="44"/>
        <v>0</v>
      </c>
      <c r="AJ98" s="14">
        <f t="shared" si="44"/>
        <v>0</v>
      </c>
      <c r="AK98" s="14">
        <f t="shared" si="44"/>
        <v>0</v>
      </c>
      <c r="AL98" s="14">
        <f t="shared" si="44"/>
        <v>0</v>
      </c>
    </row>
    <row r="99" spans="1:54" ht="21" hidden="1" customHeight="1" outlineLevel="1" thickBot="1" x14ac:dyDescent="0.4">
      <c r="A99" s="5">
        <f t="shared" si="42"/>
        <v>1</v>
      </c>
      <c r="B99" s="5">
        <f t="shared" si="42"/>
        <v>0</v>
      </c>
      <c r="C99" s="5">
        <f t="shared" si="42"/>
        <v>0</v>
      </c>
      <c r="D99" s="5">
        <f t="shared" si="42"/>
        <v>0</v>
      </c>
      <c r="E99" s="6" t="str">
        <f t="shared" si="21"/>
        <v>H (Ar)</v>
      </c>
      <c r="F99" s="14">
        <f t="shared" ref="F99:AL99" si="45">F23*$C$78</f>
        <v>-95400</v>
      </c>
      <c r="G99" s="14">
        <f t="shared" si="45"/>
        <v>-95350</v>
      </c>
      <c r="H99" s="14">
        <f t="shared" si="45"/>
        <v>-95750</v>
      </c>
      <c r="I99" s="14">
        <f t="shared" si="45"/>
        <v>-96250</v>
      </c>
      <c r="J99" s="14">
        <f t="shared" si="45"/>
        <v>-96350</v>
      </c>
      <c r="K99" s="14">
        <f t="shared" si="45"/>
        <v>-96500</v>
      </c>
      <c r="L99" s="14">
        <f t="shared" si="45"/>
        <v>-96650</v>
      </c>
      <c r="M99" s="14">
        <f t="shared" si="45"/>
        <v>-96800</v>
      </c>
      <c r="N99" s="14">
        <f t="shared" si="45"/>
        <v>-96950</v>
      </c>
      <c r="O99" s="14">
        <f t="shared" si="45"/>
        <v>-97100</v>
      </c>
      <c r="P99" s="14">
        <f t="shared" si="45"/>
        <v>-97300</v>
      </c>
      <c r="Q99" s="14">
        <f t="shared" si="45"/>
        <v>-97450</v>
      </c>
      <c r="R99" s="14">
        <f t="shared" si="45"/>
        <v>-97900</v>
      </c>
      <c r="S99" s="14">
        <f t="shared" si="45"/>
        <v>-97700</v>
      </c>
      <c r="T99" s="14">
        <f t="shared" si="45"/>
        <v>-97350</v>
      </c>
      <c r="U99" s="14">
        <f t="shared" si="45"/>
        <v>-97100</v>
      </c>
      <c r="V99" s="14">
        <f t="shared" si="45"/>
        <v>-97050</v>
      </c>
      <c r="W99" s="14">
        <f t="shared" si="45"/>
        <v>-97550</v>
      </c>
      <c r="X99" s="14">
        <f t="shared" si="45"/>
        <v>-97750</v>
      </c>
      <c r="Y99" s="14">
        <f t="shared" si="45"/>
        <v>-97900</v>
      </c>
      <c r="Z99" s="14">
        <f t="shared" si="45"/>
        <v>-98050</v>
      </c>
      <c r="AA99" s="14">
        <f t="shared" si="45"/>
        <v>-98200</v>
      </c>
      <c r="AB99" s="14">
        <f t="shared" si="45"/>
        <v>-98350</v>
      </c>
      <c r="AC99" s="14">
        <f t="shared" si="45"/>
        <v>-98500</v>
      </c>
      <c r="AD99" s="14">
        <f t="shared" si="45"/>
        <v>-98650</v>
      </c>
      <c r="AE99" s="14">
        <f t="shared" si="45"/>
        <v>-98800</v>
      </c>
      <c r="AF99" s="14">
        <f t="shared" si="45"/>
        <v>-99400</v>
      </c>
      <c r="AG99" s="14">
        <f t="shared" si="45"/>
        <v>0</v>
      </c>
      <c r="AH99" s="14">
        <f t="shared" si="45"/>
        <v>0</v>
      </c>
      <c r="AI99" s="14">
        <f t="shared" si="45"/>
        <v>0</v>
      </c>
      <c r="AJ99" s="14">
        <f t="shared" si="45"/>
        <v>0</v>
      </c>
      <c r="AK99" s="14">
        <f t="shared" si="45"/>
        <v>0</v>
      </c>
      <c r="AL99" s="14">
        <f t="shared" si="45"/>
        <v>0</v>
      </c>
    </row>
    <row r="100" spans="1:54" ht="21" hidden="1" customHeight="1" outlineLevel="1" thickBot="1" x14ac:dyDescent="0.4">
      <c r="A100" s="5">
        <f t="shared" si="42"/>
        <v>0</v>
      </c>
      <c r="B100" s="5">
        <f t="shared" si="42"/>
        <v>0</v>
      </c>
      <c r="C100" s="5">
        <f t="shared" si="42"/>
        <v>0</v>
      </c>
      <c r="D100" s="5">
        <f t="shared" si="42"/>
        <v>1</v>
      </c>
      <c r="E100" s="6" t="str">
        <f t="shared" si="21"/>
        <v>H (Ga)</v>
      </c>
      <c r="F100" s="14">
        <f t="shared" ref="F100:AL100" si="46">F24*$C$78</f>
        <v>-329950</v>
      </c>
      <c r="G100" s="14">
        <f t="shared" si="46"/>
        <v>-258950</v>
      </c>
      <c r="H100" s="14">
        <f t="shared" si="46"/>
        <v>-196300</v>
      </c>
      <c r="I100" s="14">
        <f t="shared" si="46"/>
        <v>-150900</v>
      </c>
      <c r="J100" s="14">
        <f t="shared" si="46"/>
        <v>-141400</v>
      </c>
      <c r="K100" s="14">
        <f t="shared" si="46"/>
        <v>-132250</v>
      </c>
      <c r="L100" s="14">
        <f t="shared" si="46"/>
        <v>-123500</v>
      </c>
      <c r="M100" s="14">
        <f t="shared" si="46"/>
        <v>-115050</v>
      </c>
      <c r="N100" s="14">
        <f t="shared" si="46"/>
        <v>-107000</v>
      </c>
      <c r="O100" s="14">
        <f t="shared" si="46"/>
        <v>-99300</v>
      </c>
      <c r="P100" s="14">
        <f t="shared" si="46"/>
        <v>-91950</v>
      </c>
      <c r="Q100" s="14">
        <f t="shared" si="46"/>
        <v>-84950</v>
      </c>
      <c r="R100" s="14">
        <f t="shared" si="46"/>
        <v>-60700</v>
      </c>
      <c r="S100" s="14">
        <f t="shared" si="46"/>
        <v>-56350</v>
      </c>
      <c r="T100" s="14">
        <f t="shared" si="46"/>
        <v>-53050</v>
      </c>
      <c r="U100" s="14">
        <f t="shared" si="46"/>
        <v>-50350</v>
      </c>
      <c r="V100" s="14">
        <f t="shared" si="46"/>
        <v>-47980</v>
      </c>
      <c r="W100" s="14">
        <f t="shared" si="46"/>
        <v>-39845</v>
      </c>
      <c r="X100" s="14">
        <f t="shared" si="46"/>
        <v>-38050</v>
      </c>
      <c r="Y100" s="14">
        <f t="shared" si="46"/>
        <v>-37955</v>
      </c>
      <c r="Z100" s="14">
        <f t="shared" si="46"/>
        <v>-38240</v>
      </c>
      <c r="AA100" s="14">
        <f t="shared" si="46"/>
        <v>-38520</v>
      </c>
      <c r="AB100" s="14">
        <f t="shared" si="46"/>
        <v>-38800</v>
      </c>
      <c r="AC100" s="14">
        <f t="shared" si="46"/>
        <v>-39070</v>
      </c>
      <c r="AD100" s="14">
        <f t="shared" si="46"/>
        <v>-39335</v>
      </c>
      <c r="AE100" s="14">
        <f t="shared" si="46"/>
        <v>-39600</v>
      </c>
      <c r="AF100" s="14">
        <f t="shared" si="46"/>
        <v>-40620</v>
      </c>
      <c r="AG100" s="14">
        <f t="shared" si="46"/>
        <v>0</v>
      </c>
      <c r="AH100" s="14">
        <f t="shared" si="46"/>
        <v>0</v>
      </c>
      <c r="AI100" s="14">
        <f t="shared" si="46"/>
        <v>0</v>
      </c>
      <c r="AJ100" s="14">
        <f t="shared" si="46"/>
        <v>0</v>
      </c>
      <c r="AK100" s="14">
        <f t="shared" si="46"/>
        <v>0</v>
      </c>
      <c r="AL100" s="14">
        <f t="shared" si="46"/>
        <v>0</v>
      </c>
    </row>
    <row r="101" spans="1:54" ht="21" hidden="1" customHeight="1" outlineLevel="1" thickBot="1" x14ac:dyDescent="0.4">
      <c r="A101" s="5">
        <f t="shared" si="42"/>
        <v>0</v>
      </c>
      <c r="B101" s="5">
        <f t="shared" si="42"/>
        <v>0</v>
      </c>
      <c r="C101" s="5">
        <f t="shared" si="42"/>
        <v>1</v>
      </c>
      <c r="D101" s="5">
        <f t="shared" si="42"/>
        <v>0</v>
      </c>
      <c r="E101" s="6" t="str">
        <f t="shared" si="21"/>
        <v>H (Ge)</v>
      </c>
      <c r="F101" s="14">
        <f t="shared" ref="F101:AL101" si="47">F25*$C$78</f>
        <v>-86900</v>
      </c>
      <c r="G101" s="14">
        <f t="shared" si="47"/>
        <v>-67200</v>
      </c>
      <c r="H101" s="14">
        <f t="shared" si="47"/>
        <v>-44980</v>
      </c>
      <c r="I101" s="14">
        <f t="shared" si="47"/>
        <v>-32870</v>
      </c>
      <c r="J101" s="14">
        <f t="shared" si="47"/>
        <v>-31795</v>
      </c>
      <c r="K101" s="14">
        <f t="shared" si="47"/>
        <v>-31230</v>
      </c>
      <c r="L101" s="14">
        <f t="shared" si="47"/>
        <v>-31005</v>
      </c>
      <c r="M101" s="14">
        <f t="shared" si="47"/>
        <v>-30980</v>
      </c>
      <c r="N101" s="14">
        <f t="shared" si="47"/>
        <v>-31070</v>
      </c>
      <c r="O101" s="14">
        <f t="shared" si="47"/>
        <v>-31210</v>
      </c>
      <c r="P101" s="14">
        <f t="shared" si="47"/>
        <v>-31385</v>
      </c>
      <c r="Q101" s="14">
        <f t="shared" si="47"/>
        <v>-31575</v>
      </c>
      <c r="R101" s="14">
        <f t="shared" si="47"/>
        <v>-33330</v>
      </c>
      <c r="S101" s="14">
        <f t="shared" si="47"/>
        <v>-34895</v>
      </c>
      <c r="T101" s="14">
        <f t="shared" si="47"/>
        <v>-36755</v>
      </c>
      <c r="U101" s="14">
        <f t="shared" si="47"/>
        <v>-38220</v>
      </c>
      <c r="V101" s="14">
        <f t="shared" si="47"/>
        <v>-39120</v>
      </c>
      <c r="W101" s="14">
        <f t="shared" si="47"/>
        <v>-40555</v>
      </c>
      <c r="X101" s="14">
        <f t="shared" si="47"/>
        <v>-40835</v>
      </c>
      <c r="Y101" s="14">
        <f t="shared" si="47"/>
        <v>-41090</v>
      </c>
      <c r="Z101" s="14">
        <f t="shared" si="47"/>
        <v>-41305</v>
      </c>
      <c r="AA101" s="14">
        <f t="shared" si="47"/>
        <v>-41505</v>
      </c>
      <c r="AB101" s="14">
        <f t="shared" si="47"/>
        <v>-41695</v>
      </c>
      <c r="AC101" s="14">
        <f t="shared" si="47"/>
        <v>-41875</v>
      </c>
      <c r="AD101" s="14">
        <f t="shared" si="47"/>
        <v>-42050</v>
      </c>
      <c r="AE101" s="14">
        <f t="shared" si="47"/>
        <v>-42240</v>
      </c>
      <c r="AF101" s="14">
        <f t="shared" si="47"/>
        <v>-43075</v>
      </c>
      <c r="AG101" s="14">
        <f t="shared" si="47"/>
        <v>0</v>
      </c>
      <c r="AH101" s="14">
        <f t="shared" si="47"/>
        <v>0</v>
      </c>
      <c r="AI101" s="14">
        <f t="shared" si="47"/>
        <v>0</v>
      </c>
      <c r="AJ101" s="14">
        <f t="shared" si="47"/>
        <v>0</v>
      </c>
      <c r="AK101" s="14">
        <f t="shared" si="47"/>
        <v>0</v>
      </c>
      <c r="AL101" s="14">
        <f t="shared" si="47"/>
        <v>0</v>
      </c>
    </row>
    <row r="102" spans="1:54" ht="21" hidden="1" customHeight="1" outlineLevel="1" thickBot="1" x14ac:dyDescent="0.4">
      <c r="A102" s="5">
        <f t="shared" si="42"/>
        <v>0</v>
      </c>
      <c r="B102" s="5">
        <f t="shared" si="42"/>
        <v>1</v>
      </c>
      <c r="C102" s="5">
        <f t="shared" si="42"/>
        <v>0</v>
      </c>
      <c r="D102" s="5">
        <f t="shared" si="42"/>
        <v>0</v>
      </c>
      <c r="E102" s="6" t="str">
        <f t="shared" si="21"/>
        <v>H (Se)</v>
      </c>
      <c r="F102" s="14">
        <f t="shared" ref="F102:AL102" si="48">F26*$C$78</f>
        <v>-117850</v>
      </c>
      <c r="G102" s="14">
        <f t="shared" si="48"/>
        <v>-106900</v>
      </c>
      <c r="H102" s="14">
        <f t="shared" si="48"/>
        <v>-110150</v>
      </c>
      <c r="I102" s="14">
        <f t="shared" si="48"/>
        <v>-113250</v>
      </c>
      <c r="J102" s="14">
        <f t="shared" si="48"/>
        <v>-114050</v>
      </c>
      <c r="K102" s="14">
        <f t="shared" si="48"/>
        <v>-115000</v>
      </c>
      <c r="L102" s="14">
        <f t="shared" si="48"/>
        <v>-116050</v>
      </c>
      <c r="M102" s="14">
        <f t="shared" si="48"/>
        <v>-117150</v>
      </c>
      <c r="N102" s="14">
        <f t="shared" si="48"/>
        <v>-118300</v>
      </c>
      <c r="O102" s="14">
        <f t="shared" si="48"/>
        <v>-119500</v>
      </c>
      <c r="P102" s="14">
        <f t="shared" si="48"/>
        <v>-120700</v>
      </c>
      <c r="Q102" s="14">
        <f t="shared" si="48"/>
        <v>-121850</v>
      </c>
      <c r="R102" s="14">
        <f t="shared" si="48"/>
        <v>-126200</v>
      </c>
      <c r="S102" s="14">
        <f t="shared" si="48"/>
        <v>-126800</v>
      </c>
      <c r="T102" s="14">
        <f t="shared" si="48"/>
        <v>-127350</v>
      </c>
      <c r="U102" s="14">
        <f t="shared" si="48"/>
        <v>-128000</v>
      </c>
      <c r="V102" s="14">
        <f t="shared" si="48"/>
        <v>-128850</v>
      </c>
      <c r="W102" s="14">
        <f t="shared" si="48"/>
        <v>-133100</v>
      </c>
      <c r="X102" s="14">
        <f t="shared" si="48"/>
        <v>-134150</v>
      </c>
      <c r="Y102" s="14">
        <f t="shared" si="48"/>
        <v>-134500</v>
      </c>
      <c r="Z102" s="14">
        <f t="shared" si="48"/>
        <v>-135050</v>
      </c>
      <c r="AA102" s="14">
        <f t="shared" si="48"/>
        <v>-135850</v>
      </c>
      <c r="AB102" s="14">
        <f t="shared" si="48"/>
        <v>-136750</v>
      </c>
      <c r="AC102" s="14">
        <f t="shared" si="48"/>
        <v>-137700</v>
      </c>
      <c r="AD102" s="14">
        <f t="shared" si="48"/>
        <v>-138650</v>
      </c>
      <c r="AE102" s="14">
        <f t="shared" si="48"/>
        <v>-139600</v>
      </c>
      <c r="AF102" s="14">
        <f t="shared" si="48"/>
        <v>-143500</v>
      </c>
      <c r="AG102" s="14">
        <f t="shared" si="48"/>
        <v>0</v>
      </c>
      <c r="AH102" s="14">
        <f t="shared" si="48"/>
        <v>0</v>
      </c>
      <c r="AI102" s="14">
        <f t="shared" si="48"/>
        <v>0</v>
      </c>
      <c r="AJ102" s="14">
        <f t="shared" si="48"/>
        <v>0</v>
      </c>
      <c r="AK102" s="14">
        <f t="shared" si="48"/>
        <v>0</v>
      </c>
      <c r="AL102" s="14">
        <f t="shared" si="48"/>
        <v>0</v>
      </c>
    </row>
    <row r="103" spans="1:54" ht="21" hidden="1" customHeight="1" outlineLevel="1" thickBot="1" x14ac:dyDescent="0.4">
      <c r="A103" s="5">
        <f t="shared" si="42"/>
        <v>0</v>
      </c>
      <c r="B103" s="5">
        <f t="shared" si="42"/>
        <v>0</v>
      </c>
      <c r="C103" s="5">
        <f t="shared" si="42"/>
        <v>0</v>
      </c>
      <c r="D103" s="5">
        <f t="shared" si="42"/>
        <v>0</v>
      </c>
      <c r="E103" s="6">
        <f t="shared" si="21"/>
        <v>0</v>
      </c>
      <c r="F103" s="14">
        <f t="shared" ref="F103:AL103" si="49">F27*$C$78</f>
        <v>0</v>
      </c>
      <c r="G103" s="14">
        <f t="shared" si="49"/>
        <v>0</v>
      </c>
      <c r="H103" s="14">
        <f t="shared" si="49"/>
        <v>0</v>
      </c>
      <c r="I103" s="14">
        <f t="shared" si="49"/>
        <v>0</v>
      </c>
      <c r="J103" s="14">
        <f t="shared" si="49"/>
        <v>0</v>
      </c>
      <c r="K103" s="14">
        <f t="shared" si="49"/>
        <v>0</v>
      </c>
      <c r="L103" s="14">
        <f t="shared" si="49"/>
        <v>0</v>
      </c>
      <c r="M103" s="14">
        <f t="shared" si="49"/>
        <v>0</v>
      </c>
      <c r="N103" s="14">
        <f t="shared" si="49"/>
        <v>0</v>
      </c>
      <c r="O103" s="14">
        <f t="shared" si="49"/>
        <v>0</v>
      </c>
      <c r="P103" s="14">
        <f t="shared" si="49"/>
        <v>0</v>
      </c>
      <c r="Q103" s="14">
        <f t="shared" si="49"/>
        <v>0</v>
      </c>
      <c r="R103" s="14">
        <f t="shared" si="49"/>
        <v>0</v>
      </c>
      <c r="S103" s="14">
        <f t="shared" si="49"/>
        <v>0</v>
      </c>
      <c r="T103" s="14">
        <f t="shared" si="49"/>
        <v>0</v>
      </c>
      <c r="U103" s="14">
        <f t="shared" si="49"/>
        <v>0</v>
      </c>
      <c r="V103" s="14">
        <f t="shared" si="49"/>
        <v>0</v>
      </c>
      <c r="W103" s="14">
        <f t="shared" si="49"/>
        <v>0</v>
      </c>
      <c r="X103" s="14">
        <f t="shared" si="49"/>
        <v>0</v>
      </c>
      <c r="Y103" s="14">
        <f t="shared" si="49"/>
        <v>0</v>
      </c>
      <c r="Z103" s="14">
        <f t="shared" si="49"/>
        <v>0</v>
      </c>
      <c r="AA103" s="14">
        <f t="shared" si="49"/>
        <v>0</v>
      </c>
      <c r="AB103" s="14">
        <f t="shared" si="49"/>
        <v>0</v>
      </c>
      <c r="AC103" s="14">
        <f t="shared" si="49"/>
        <v>0</v>
      </c>
      <c r="AD103" s="14">
        <f t="shared" si="49"/>
        <v>0</v>
      </c>
      <c r="AE103" s="14">
        <f t="shared" si="49"/>
        <v>0</v>
      </c>
      <c r="AF103" s="14">
        <f t="shared" si="49"/>
        <v>0</v>
      </c>
      <c r="AG103" s="14">
        <f t="shared" si="49"/>
        <v>0</v>
      </c>
      <c r="AH103" s="14">
        <f t="shared" si="49"/>
        <v>0</v>
      </c>
      <c r="AI103" s="14">
        <f t="shared" si="49"/>
        <v>0</v>
      </c>
      <c r="AJ103" s="14">
        <f t="shared" si="49"/>
        <v>0</v>
      </c>
      <c r="AK103" s="14">
        <f t="shared" si="49"/>
        <v>0</v>
      </c>
      <c r="AL103" s="14">
        <f t="shared" si="49"/>
        <v>0</v>
      </c>
    </row>
    <row r="104" spans="1:54" ht="21" hidden="1" customHeight="1" outlineLevel="1" thickBot="1" x14ac:dyDescent="0.4">
      <c r="A104" s="5">
        <f t="shared" si="42"/>
        <v>0</v>
      </c>
      <c r="B104" s="5">
        <f t="shared" si="42"/>
        <v>0</v>
      </c>
      <c r="C104" s="5">
        <f t="shared" si="42"/>
        <v>0</v>
      </c>
      <c r="D104" s="5">
        <f t="shared" si="42"/>
        <v>0</v>
      </c>
      <c r="E104" s="6">
        <f t="shared" si="21"/>
        <v>0</v>
      </c>
      <c r="F104" s="14">
        <f t="shared" ref="F104:AL104" si="50">F28*$C$78</f>
        <v>0</v>
      </c>
      <c r="G104" s="14">
        <f t="shared" si="50"/>
        <v>0</v>
      </c>
      <c r="H104" s="14">
        <f t="shared" si="50"/>
        <v>0</v>
      </c>
      <c r="I104" s="14">
        <f t="shared" si="50"/>
        <v>0</v>
      </c>
      <c r="J104" s="14">
        <f t="shared" si="50"/>
        <v>0</v>
      </c>
      <c r="K104" s="14">
        <f t="shared" si="50"/>
        <v>0</v>
      </c>
      <c r="L104" s="14">
        <f t="shared" si="50"/>
        <v>0</v>
      </c>
      <c r="M104" s="14">
        <f t="shared" si="50"/>
        <v>0</v>
      </c>
      <c r="N104" s="14">
        <f t="shared" si="50"/>
        <v>0</v>
      </c>
      <c r="O104" s="14">
        <f t="shared" si="50"/>
        <v>0</v>
      </c>
      <c r="P104" s="14">
        <f t="shared" si="50"/>
        <v>0</v>
      </c>
      <c r="Q104" s="14">
        <f t="shared" si="50"/>
        <v>0</v>
      </c>
      <c r="R104" s="14">
        <f t="shared" si="50"/>
        <v>0</v>
      </c>
      <c r="S104" s="14">
        <f t="shared" si="50"/>
        <v>0</v>
      </c>
      <c r="T104" s="14">
        <f t="shared" si="50"/>
        <v>0</v>
      </c>
      <c r="U104" s="14">
        <f t="shared" si="50"/>
        <v>0</v>
      </c>
      <c r="V104" s="14">
        <f t="shared" si="50"/>
        <v>0</v>
      </c>
      <c r="W104" s="14">
        <f t="shared" si="50"/>
        <v>0</v>
      </c>
      <c r="X104" s="14">
        <f t="shared" si="50"/>
        <v>0</v>
      </c>
      <c r="Y104" s="14">
        <f t="shared" si="50"/>
        <v>0</v>
      </c>
      <c r="Z104" s="14">
        <f t="shared" si="50"/>
        <v>0</v>
      </c>
      <c r="AA104" s="14">
        <f t="shared" si="50"/>
        <v>0</v>
      </c>
      <c r="AB104" s="14">
        <f t="shared" si="50"/>
        <v>0</v>
      </c>
      <c r="AC104" s="14">
        <f t="shared" si="50"/>
        <v>0</v>
      </c>
      <c r="AD104" s="14">
        <f t="shared" si="50"/>
        <v>0</v>
      </c>
      <c r="AE104" s="14">
        <f t="shared" si="50"/>
        <v>0</v>
      </c>
      <c r="AF104" s="14">
        <f t="shared" si="50"/>
        <v>0</v>
      </c>
      <c r="AG104" s="14">
        <f t="shared" si="50"/>
        <v>0</v>
      </c>
      <c r="AH104" s="14">
        <f t="shared" si="50"/>
        <v>0</v>
      </c>
      <c r="AI104" s="14">
        <f t="shared" si="50"/>
        <v>0</v>
      </c>
      <c r="AJ104" s="14">
        <f t="shared" si="50"/>
        <v>0</v>
      </c>
      <c r="AK104" s="14">
        <f t="shared" si="50"/>
        <v>0</v>
      </c>
      <c r="AL104" s="14">
        <f t="shared" si="50"/>
        <v>0</v>
      </c>
    </row>
    <row r="105" spans="1:54" ht="21" hidden="1" customHeight="1" outlineLevel="1" thickBot="1" x14ac:dyDescent="0.4">
      <c r="A105" s="5">
        <f t="shared" si="42"/>
        <v>0</v>
      </c>
      <c r="B105" s="5">
        <f t="shared" si="42"/>
        <v>0</v>
      </c>
      <c r="C105" s="5">
        <f t="shared" si="42"/>
        <v>0</v>
      </c>
      <c r="D105" s="5">
        <f t="shared" si="42"/>
        <v>0</v>
      </c>
      <c r="E105" s="6">
        <f t="shared" si="21"/>
        <v>0</v>
      </c>
      <c r="F105" s="14">
        <f t="shared" ref="F105:AL105" si="51">F29*$C$78</f>
        <v>0</v>
      </c>
      <c r="G105" s="14">
        <f t="shared" si="51"/>
        <v>0</v>
      </c>
      <c r="H105" s="14">
        <f t="shared" si="51"/>
        <v>0</v>
      </c>
      <c r="I105" s="14">
        <f t="shared" si="51"/>
        <v>0</v>
      </c>
      <c r="J105" s="14">
        <f t="shared" si="51"/>
        <v>0</v>
      </c>
      <c r="K105" s="14">
        <f t="shared" si="51"/>
        <v>0</v>
      </c>
      <c r="L105" s="14">
        <f t="shared" si="51"/>
        <v>0</v>
      </c>
      <c r="M105" s="14">
        <f t="shared" si="51"/>
        <v>0</v>
      </c>
      <c r="N105" s="14">
        <f t="shared" si="51"/>
        <v>0</v>
      </c>
      <c r="O105" s="14">
        <f t="shared" si="51"/>
        <v>0</v>
      </c>
      <c r="P105" s="14">
        <f t="shared" si="51"/>
        <v>0</v>
      </c>
      <c r="Q105" s="14">
        <f t="shared" si="51"/>
        <v>0</v>
      </c>
      <c r="R105" s="14">
        <f t="shared" si="51"/>
        <v>0</v>
      </c>
      <c r="S105" s="14">
        <f t="shared" si="51"/>
        <v>0</v>
      </c>
      <c r="T105" s="14">
        <f t="shared" si="51"/>
        <v>0</v>
      </c>
      <c r="U105" s="14">
        <f t="shared" si="51"/>
        <v>0</v>
      </c>
      <c r="V105" s="14">
        <f t="shared" si="51"/>
        <v>0</v>
      </c>
      <c r="W105" s="14">
        <f t="shared" si="51"/>
        <v>0</v>
      </c>
      <c r="X105" s="14">
        <f t="shared" si="51"/>
        <v>0</v>
      </c>
      <c r="Y105" s="14">
        <f t="shared" si="51"/>
        <v>0</v>
      </c>
      <c r="Z105" s="14">
        <f t="shared" si="51"/>
        <v>0</v>
      </c>
      <c r="AA105" s="14">
        <f t="shared" si="51"/>
        <v>0</v>
      </c>
      <c r="AB105" s="14">
        <f t="shared" si="51"/>
        <v>0</v>
      </c>
      <c r="AC105" s="14">
        <f t="shared" si="51"/>
        <v>0</v>
      </c>
      <c r="AD105" s="14">
        <f t="shared" si="51"/>
        <v>0</v>
      </c>
      <c r="AE105" s="14">
        <f t="shared" si="51"/>
        <v>0</v>
      </c>
      <c r="AF105" s="14">
        <f t="shared" si="51"/>
        <v>0</v>
      </c>
      <c r="AG105" s="14">
        <f t="shared" si="51"/>
        <v>0</v>
      </c>
      <c r="AH105" s="14">
        <f t="shared" si="51"/>
        <v>0</v>
      </c>
      <c r="AI105" s="14">
        <f t="shared" si="51"/>
        <v>0</v>
      </c>
      <c r="AJ105" s="14">
        <f t="shared" si="51"/>
        <v>0</v>
      </c>
      <c r="AK105" s="14">
        <f t="shared" si="51"/>
        <v>0</v>
      </c>
      <c r="AL105" s="14">
        <f t="shared" si="51"/>
        <v>0</v>
      </c>
    </row>
    <row r="106" spans="1:54" ht="21" hidden="1" customHeight="1" outlineLevel="1" thickBot="1" x14ac:dyDescent="0.4">
      <c r="A106" s="5">
        <f t="shared" si="42"/>
        <v>0</v>
      </c>
      <c r="B106" s="5">
        <f t="shared" si="42"/>
        <v>0</v>
      </c>
      <c r="C106" s="5">
        <f t="shared" si="42"/>
        <v>0</v>
      </c>
      <c r="D106" s="5">
        <f t="shared" si="42"/>
        <v>0</v>
      </c>
      <c r="E106" s="6">
        <f t="shared" si="21"/>
        <v>0</v>
      </c>
      <c r="F106" s="14">
        <f t="shared" ref="F106:AL106" si="52">F30*$C$78</f>
        <v>0</v>
      </c>
      <c r="G106" s="14">
        <f t="shared" si="52"/>
        <v>0</v>
      </c>
      <c r="H106" s="14">
        <f t="shared" si="52"/>
        <v>0</v>
      </c>
      <c r="I106" s="14">
        <f t="shared" si="52"/>
        <v>0</v>
      </c>
      <c r="J106" s="14">
        <f t="shared" si="52"/>
        <v>0</v>
      </c>
      <c r="K106" s="14">
        <f t="shared" si="52"/>
        <v>0</v>
      </c>
      <c r="L106" s="14">
        <f t="shared" si="52"/>
        <v>0</v>
      </c>
      <c r="M106" s="14">
        <f t="shared" si="52"/>
        <v>0</v>
      </c>
      <c r="N106" s="14">
        <f t="shared" si="52"/>
        <v>0</v>
      </c>
      <c r="O106" s="14">
        <f t="shared" si="52"/>
        <v>0</v>
      </c>
      <c r="P106" s="14">
        <f t="shared" si="52"/>
        <v>0</v>
      </c>
      <c r="Q106" s="14">
        <f t="shared" si="52"/>
        <v>0</v>
      </c>
      <c r="R106" s="14">
        <f t="shared" si="52"/>
        <v>0</v>
      </c>
      <c r="S106" s="14">
        <f t="shared" si="52"/>
        <v>0</v>
      </c>
      <c r="T106" s="14">
        <f t="shared" si="52"/>
        <v>0</v>
      </c>
      <c r="U106" s="14">
        <f t="shared" si="52"/>
        <v>0</v>
      </c>
      <c r="V106" s="14">
        <f t="shared" si="52"/>
        <v>0</v>
      </c>
      <c r="W106" s="14">
        <f t="shared" si="52"/>
        <v>0</v>
      </c>
      <c r="X106" s="14">
        <f t="shared" si="52"/>
        <v>0</v>
      </c>
      <c r="Y106" s="14">
        <f t="shared" si="52"/>
        <v>0</v>
      </c>
      <c r="Z106" s="14">
        <f t="shared" si="52"/>
        <v>0</v>
      </c>
      <c r="AA106" s="14">
        <f t="shared" si="52"/>
        <v>0</v>
      </c>
      <c r="AB106" s="14">
        <f t="shared" si="52"/>
        <v>0</v>
      </c>
      <c r="AC106" s="14">
        <f t="shared" si="52"/>
        <v>0</v>
      </c>
      <c r="AD106" s="14">
        <f t="shared" si="52"/>
        <v>0</v>
      </c>
      <c r="AE106" s="14">
        <f t="shared" si="52"/>
        <v>0</v>
      </c>
      <c r="AF106" s="14">
        <f t="shared" si="52"/>
        <v>0</v>
      </c>
      <c r="AG106" s="14">
        <f t="shared" si="52"/>
        <v>0</v>
      </c>
      <c r="AH106" s="14">
        <f t="shared" si="52"/>
        <v>0</v>
      </c>
      <c r="AI106" s="14">
        <f t="shared" si="52"/>
        <v>0</v>
      </c>
      <c r="AJ106" s="14">
        <f t="shared" si="52"/>
        <v>0</v>
      </c>
      <c r="AK106" s="14">
        <f t="shared" si="52"/>
        <v>0</v>
      </c>
      <c r="AL106" s="14">
        <f t="shared" si="52"/>
        <v>0</v>
      </c>
    </row>
    <row r="107" spans="1:54" ht="21" hidden="1" customHeight="1" outlineLevel="1" thickBot="1" x14ac:dyDescent="0.4">
      <c r="A107" s="5">
        <f t="shared" si="42"/>
        <v>0</v>
      </c>
      <c r="B107" s="5">
        <f t="shared" si="42"/>
        <v>0</v>
      </c>
      <c r="C107" s="5">
        <f t="shared" si="42"/>
        <v>0</v>
      </c>
      <c r="D107" s="5">
        <f t="shared" si="42"/>
        <v>0</v>
      </c>
      <c r="E107" s="6">
        <f t="shared" si="21"/>
        <v>0</v>
      </c>
      <c r="F107" s="14">
        <f t="shared" ref="F107:AL107" si="53">F31*$C$78</f>
        <v>0</v>
      </c>
      <c r="G107" s="14">
        <f t="shared" si="53"/>
        <v>0</v>
      </c>
      <c r="H107" s="14">
        <f t="shared" si="53"/>
        <v>0</v>
      </c>
      <c r="I107" s="14">
        <f t="shared" si="53"/>
        <v>0</v>
      </c>
      <c r="J107" s="14">
        <f t="shared" si="53"/>
        <v>0</v>
      </c>
      <c r="K107" s="14">
        <f t="shared" si="53"/>
        <v>0</v>
      </c>
      <c r="L107" s="14">
        <f t="shared" si="53"/>
        <v>0</v>
      </c>
      <c r="M107" s="14">
        <f t="shared" si="53"/>
        <v>0</v>
      </c>
      <c r="N107" s="14">
        <f t="shared" si="53"/>
        <v>0</v>
      </c>
      <c r="O107" s="14">
        <f t="shared" si="53"/>
        <v>0</v>
      </c>
      <c r="P107" s="14">
        <f t="shared" si="53"/>
        <v>0</v>
      </c>
      <c r="Q107" s="14">
        <f t="shared" si="53"/>
        <v>0</v>
      </c>
      <c r="R107" s="14">
        <f t="shared" si="53"/>
        <v>0</v>
      </c>
      <c r="S107" s="14">
        <f t="shared" si="53"/>
        <v>0</v>
      </c>
      <c r="T107" s="14">
        <f t="shared" si="53"/>
        <v>0</v>
      </c>
      <c r="U107" s="14">
        <f t="shared" si="53"/>
        <v>0</v>
      </c>
      <c r="V107" s="14">
        <f t="shared" si="53"/>
        <v>0</v>
      </c>
      <c r="W107" s="14">
        <f t="shared" si="53"/>
        <v>0</v>
      </c>
      <c r="X107" s="14">
        <f t="shared" si="53"/>
        <v>0</v>
      </c>
      <c r="Y107" s="14">
        <f t="shared" si="53"/>
        <v>0</v>
      </c>
      <c r="Z107" s="14">
        <f t="shared" si="53"/>
        <v>0</v>
      </c>
      <c r="AA107" s="14">
        <f t="shared" si="53"/>
        <v>0</v>
      </c>
      <c r="AB107" s="14">
        <f t="shared" si="53"/>
        <v>0</v>
      </c>
      <c r="AC107" s="14">
        <f t="shared" si="53"/>
        <v>0</v>
      </c>
      <c r="AD107" s="14">
        <f t="shared" si="53"/>
        <v>0</v>
      </c>
      <c r="AE107" s="14">
        <f t="shared" si="53"/>
        <v>0</v>
      </c>
      <c r="AF107" s="14">
        <f t="shared" si="53"/>
        <v>0</v>
      </c>
      <c r="AG107" s="14">
        <f t="shared" si="53"/>
        <v>0</v>
      </c>
      <c r="AH107" s="14">
        <f t="shared" si="53"/>
        <v>0</v>
      </c>
      <c r="AI107" s="14">
        <f t="shared" si="53"/>
        <v>0</v>
      </c>
      <c r="AJ107" s="14">
        <f t="shared" si="53"/>
        <v>0</v>
      </c>
      <c r="AK107" s="14">
        <f t="shared" si="53"/>
        <v>0</v>
      </c>
      <c r="AL107" s="14">
        <f t="shared" si="53"/>
        <v>0</v>
      </c>
    </row>
    <row r="108" spans="1:54" ht="21" hidden="1" customHeight="1" outlineLevel="1" thickBot="1" x14ac:dyDescent="0.4">
      <c r="A108" s="5">
        <f t="shared" si="42"/>
        <v>0</v>
      </c>
      <c r="B108" s="5">
        <f t="shared" si="42"/>
        <v>0</v>
      </c>
      <c r="C108" s="5">
        <f t="shared" si="42"/>
        <v>0</v>
      </c>
      <c r="D108" s="5">
        <f t="shared" si="42"/>
        <v>0</v>
      </c>
      <c r="E108" s="6">
        <f t="shared" si="21"/>
        <v>0</v>
      </c>
      <c r="F108" s="14">
        <f t="shared" ref="F108:AL108" si="54">F32*$C$78</f>
        <v>0</v>
      </c>
      <c r="G108" s="14">
        <f t="shared" si="54"/>
        <v>0</v>
      </c>
      <c r="H108" s="14">
        <f t="shared" si="54"/>
        <v>0</v>
      </c>
      <c r="I108" s="14">
        <f t="shared" si="54"/>
        <v>0</v>
      </c>
      <c r="J108" s="14">
        <f t="shared" si="54"/>
        <v>0</v>
      </c>
      <c r="K108" s="14">
        <f t="shared" si="54"/>
        <v>0</v>
      </c>
      <c r="L108" s="14">
        <f t="shared" si="54"/>
        <v>0</v>
      </c>
      <c r="M108" s="14">
        <f t="shared" si="54"/>
        <v>0</v>
      </c>
      <c r="N108" s="14">
        <f t="shared" si="54"/>
        <v>0</v>
      </c>
      <c r="O108" s="14">
        <f t="shared" si="54"/>
        <v>0</v>
      </c>
      <c r="P108" s="14">
        <f t="shared" si="54"/>
        <v>0</v>
      </c>
      <c r="Q108" s="14">
        <f t="shared" si="54"/>
        <v>0</v>
      </c>
      <c r="R108" s="14">
        <f t="shared" si="54"/>
        <v>0</v>
      </c>
      <c r="S108" s="14">
        <f t="shared" si="54"/>
        <v>0</v>
      </c>
      <c r="T108" s="14">
        <f t="shared" si="54"/>
        <v>0</v>
      </c>
      <c r="U108" s="14">
        <f t="shared" si="54"/>
        <v>0</v>
      </c>
      <c r="V108" s="14">
        <f t="shared" si="54"/>
        <v>0</v>
      </c>
      <c r="W108" s="14">
        <f t="shared" si="54"/>
        <v>0</v>
      </c>
      <c r="X108" s="14">
        <f t="shared" si="54"/>
        <v>0</v>
      </c>
      <c r="Y108" s="14">
        <f t="shared" si="54"/>
        <v>0</v>
      </c>
      <c r="Z108" s="14">
        <f t="shared" si="54"/>
        <v>0</v>
      </c>
      <c r="AA108" s="14">
        <f t="shared" si="54"/>
        <v>0</v>
      </c>
      <c r="AB108" s="14">
        <f t="shared" si="54"/>
        <v>0</v>
      </c>
      <c r="AC108" s="14">
        <f t="shared" si="54"/>
        <v>0</v>
      </c>
      <c r="AD108" s="14">
        <f t="shared" si="54"/>
        <v>0</v>
      </c>
      <c r="AE108" s="14">
        <f t="shared" si="54"/>
        <v>0</v>
      </c>
      <c r="AF108" s="14">
        <f t="shared" si="54"/>
        <v>0</v>
      </c>
      <c r="AG108" s="14">
        <f t="shared" si="54"/>
        <v>0</v>
      </c>
      <c r="AH108" s="14">
        <f t="shared" si="54"/>
        <v>0</v>
      </c>
      <c r="AI108" s="14">
        <f t="shared" si="54"/>
        <v>0</v>
      </c>
      <c r="AJ108" s="14">
        <f t="shared" si="54"/>
        <v>0</v>
      </c>
      <c r="AK108" s="14">
        <f t="shared" si="54"/>
        <v>0</v>
      </c>
      <c r="AL108" s="14">
        <f t="shared" si="54"/>
        <v>0</v>
      </c>
    </row>
    <row r="109" spans="1:54" ht="21" hidden="1" customHeight="1" outlineLevel="1" thickBot="1" x14ac:dyDescent="0.4">
      <c r="A109" s="5">
        <f t="shared" si="42"/>
        <v>0</v>
      </c>
      <c r="B109" s="5">
        <f t="shared" si="42"/>
        <v>0</v>
      </c>
      <c r="C109" s="5">
        <f t="shared" si="42"/>
        <v>0</v>
      </c>
      <c r="D109" s="5">
        <f t="shared" si="42"/>
        <v>0</v>
      </c>
      <c r="E109" s="6">
        <f t="shared" si="21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</row>
    <row r="111" spans="1:54" ht="21" customHeight="1" collapsed="1" x14ac:dyDescent="0.35"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</row>
    <row r="112" spans="1:54" ht="21" customHeight="1" thickBot="1" x14ac:dyDescent="0.45">
      <c r="A112" s="72"/>
      <c r="B112" s="72"/>
      <c r="C112" s="72"/>
      <c r="D112" s="72"/>
      <c r="E112" s="71" t="s">
        <v>23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8" t="s">
        <v>10</v>
      </c>
      <c r="B113" s="189"/>
      <c r="C113" s="23" t="s">
        <v>11</v>
      </c>
      <c r="D113" s="15" t="s">
        <v>12</v>
      </c>
      <c r="E113" s="15"/>
      <c r="F113" s="4">
        <f t="shared" ref="F113:AL113" si="55">F3</f>
        <v>273.10000000000002</v>
      </c>
      <c r="G113" s="4">
        <f t="shared" si="55"/>
        <v>339.2</v>
      </c>
      <c r="H113" s="4">
        <f t="shared" si="55"/>
        <v>405.3</v>
      </c>
      <c r="I113" s="4">
        <f t="shared" si="55"/>
        <v>471.4</v>
      </c>
      <c r="J113" s="4">
        <f t="shared" si="55"/>
        <v>487.9</v>
      </c>
      <c r="K113" s="4">
        <f t="shared" si="55"/>
        <v>504.4</v>
      </c>
      <c r="L113" s="4">
        <f t="shared" si="55"/>
        <v>520.9</v>
      </c>
      <c r="M113" s="4">
        <f t="shared" si="55"/>
        <v>537.5</v>
      </c>
      <c r="N113" s="4">
        <f t="shared" si="55"/>
        <v>554</v>
      </c>
      <c r="O113" s="4">
        <f t="shared" si="55"/>
        <v>570.5</v>
      </c>
      <c r="P113" s="4">
        <f t="shared" si="55"/>
        <v>587</v>
      </c>
      <c r="Q113" s="4">
        <f t="shared" si="55"/>
        <v>603.5</v>
      </c>
      <c r="R113" s="4">
        <f t="shared" si="55"/>
        <v>669.6</v>
      </c>
      <c r="S113" s="4">
        <f t="shared" si="55"/>
        <v>686.1</v>
      </c>
      <c r="T113" s="4">
        <f t="shared" si="55"/>
        <v>702.7</v>
      </c>
      <c r="U113" s="4">
        <f t="shared" si="55"/>
        <v>719.2</v>
      </c>
      <c r="V113" s="4">
        <f t="shared" si="55"/>
        <v>735.7</v>
      </c>
      <c r="W113" s="4">
        <f t="shared" si="55"/>
        <v>801.8</v>
      </c>
      <c r="X113" s="4">
        <f t="shared" si="55"/>
        <v>818.3</v>
      </c>
      <c r="Y113" s="4">
        <f t="shared" si="55"/>
        <v>834.8</v>
      </c>
      <c r="Z113" s="4">
        <f t="shared" si="55"/>
        <v>851.3</v>
      </c>
      <c r="AA113" s="4">
        <f t="shared" si="55"/>
        <v>867.8</v>
      </c>
      <c r="AB113" s="4">
        <f t="shared" si="55"/>
        <v>884.4</v>
      </c>
      <c r="AC113" s="4">
        <f t="shared" si="55"/>
        <v>900.9</v>
      </c>
      <c r="AD113" s="4">
        <f t="shared" si="55"/>
        <v>917.4</v>
      </c>
      <c r="AE113" s="4">
        <f t="shared" si="55"/>
        <v>933.9</v>
      </c>
      <c r="AF113" s="4">
        <f t="shared" si="55"/>
        <v>1000</v>
      </c>
      <c r="AG113" s="4">
        <f t="shared" si="55"/>
        <v>0</v>
      </c>
      <c r="AH113" s="4">
        <f t="shared" si="55"/>
        <v>0</v>
      </c>
      <c r="AI113" s="4">
        <f t="shared" si="55"/>
        <v>0</v>
      </c>
      <c r="AJ113" s="4">
        <f t="shared" si="55"/>
        <v>0</v>
      </c>
      <c r="AK113" s="4">
        <f t="shared" si="55"/>
        <v>0</v>
      </c>
      <c r="AL113" s="4">
        <f t="shared" si="55"/>
        <v>0</v>
      </c>
    </row>
    <row r="114" spans="1:38" ht="21" customHeight="1" outlineLevel="1" thickTop="1" thickBot="1" x14ac:dyDescent="0.4">
      <c r="A114" s="21">
        <f>$A$2</f>
        <v>700</v>
      </c>
      <c r="B114" s="120">
        <f ca="1">MIN(MIN(F114:AL116),MIN(F41:AL41))</f>
        <v>-681594.44070000004</v>
      </c>
      <c r="C114" s="24">
        <f>COUNTA(E114:E121)+1</f>
        <v>7</v>
      </c>
      <c r="E114" s="17" t="s">
        <v>34</v>
      </c>
      <c r="F114" s="52">
        <f ca="1">F$113*$B$2*SUMPRODUCT(F$87:F$96,F$53:F$62)/1000</f>
        <v>-78214.330208321626</v>
      </c>
      <c r="G114" s="52">
        <f t="shared" ref="G114:AL114" ca="1" si="56">G$113*$B$2*SUMPRODUCT(G$87:G$96,G$53:G$62)/1000</f>
        <v>-95466.18346448135</v>
      </c>
      <c r="H114" s="52">
        <f t="shared" ca="1" si="56"/>
        <v>-107815.94830211742</v>
      </c>
      <c r="I114" s="52">
        <f t="shared" ca="1" si="56"/>
        <v>-130375.74206962287</v>
      </c>
      <c r="J114" s="52">
        <f t="shared" ca="1" si="56"/>
        <v>-138608.88547768336</v>
      </c>
      <c r="K114" s="52">
        <f t="shared" ca="1" si="56"/>
        <v>-145805.41511779922</v>
      </c>
      <c r="L114" s="52">
        <f t="shared" ca="1" si="56"/>
        <v>-151484.50865120062</v>
      </c>
      <c r="M114" s="52">
        <f t="shared" ca="1" si="56"/>
        <v>-155864.55159450401</v>
      </c>
      <c r="N114" s="52">
        <f t="shared" ca="1" si="56"/>
        <v>-159418.66202788256</v>
      </c>
      <c r="O114" s="52">
        <f t="shared" ca="1" si="56"/>
        <v>-162550.92468781979</v>
      </c>
      <c r="P114" s="52">
        <f t="shared" ca="1" si="56"/>
        <v>-165469.98521453046</v>
      </c>
      <c r="Q114" s="52">
        <f t="shared" ca="1" si="56"/>
        <v>-168350.13663000008</v>
      </c>
      <c r="R114" s="52">
        <f t="shared" ca="1" si="56"/>
        <v>-215886.58358207654</v>
      </c>
      <c r="S114" s="52">
        <f t="shared" ca="1" si="56"/>
        <v>-276555.75590609113</v>
      </c>
      <c r="T114" s="52">
        <f t="shared" ca="1" si="56"/>
        <v>-355400.02582554927</v>
      </c>
      <c r="U114" s="52">
        <f t="shared" ca="1" si="56"/>
        <v>-416707.09479155584</v>
      </c>
      <c r="V114" s="52">
        <f t="shared" ca="1" si="56"/>
        <v>-452730.15728869685</v>
      </c>
      <c r="W114" s="52">
        <f t="shared" ca="1" si="56"/>
        <v>-510773.07718967879</v>
      </c>
      <c r="X114" s="52">
        <f t="shared" ca="1" si="56"/>
        <v>-521578.28024541069</v>
      </c>
      <c r="Y114" s="52">
        <f t="shared" ca="1" si="56"/>
        <v>-504474.18138865533</v>
      </c>
      <c r="Z114" s="52">
        <f t="shared" ca="1" si="56"/>
        <v>-495357.39541447908</v>
      </c>
      <c r="AA114" s="52">
        <f t="shared" ca="1" si="56"/>
        <v>-496737.46897053684</v>
      </c>
      <c r="AB114" s="52">
        <f t="shared" ca="1" si="56"/>
        <v>-503653.66457715456</v>
      </c>
      <c r="AC114" s="52">
        <f t="shared" ca="1" si="56"/>
        <v>-513282.27743239002</v>
      </c>
      <c r="AD114" s="52">
        <f t="shared" ca="1" si="56"/>
        <v>-524264.26081769104</v>
      </c>
      <c r="AE114" s="52">
        <f t="shared" ca="1" si="56"/>
        <v>-535966.13347278815</v>
      </c>
      <c r="AF114" s="52">
        <f t="shared" ca="1" si="56"/>
        <v>-586709.01426585531</v>
      </c>
      <c r="AG114" s="52">
        <f t="shared" ca="1" si="56"/>
        <v>0</v>
      </c>
      <c r="AH114" s="52">
        <f t="shared" ca="1" si="56"/>
        <v>0</v>
      </c>
      <c r="AI114" s="52">
        <f t="shared" ca="1" si="56"/>
        <v>0</v>
      </c>
      <c r="AJ114" s="52">
        <f t="shared" ca="1" si="56"/>
        <v>0</v>
      </c>
      <c r="AK114" s="52">
        <f t="shared" ca="1" si="56"/>
        <v>0</v>
      </c>
      <c r="AL114" s="52">
        <f t="shared" ca="1" si="56"/>
        <v>0</v>
      </c>
    </row>
    <row r="115" spans="1:38" ht="21" customHeight="1" outlineLevel="1" thickBot="1" x14ac:dyDescent="0.4">
      <c r="A115" s="22">
        <f>$A$114</f>
        <v>700</v>
      </c>
      <c r="B115" s="121">
        <f ca="1">MAX(MAX(F114:AL116),MAX(F41:AL41))</f>
        <v>0</v>
      </c>
      <c r="C115" s="25">
        <f xml:space="preserve"> COUNTIF(F113:AL113,"&lt;&gt;"&amp;0)</f>
        <v>27</v>
      </c>
      <c r="E115" s="17" t="s">
        <v>44</v>
      </c>
      <c r="F115" s="14">
        <f ca="1">F$113*$B$2*SUMPRODUCT(F$97:F$98,F$63:F$64)/1000</f>
        <v>0</v>
      </c>
      <c r="G115" s="14">
        <f t="shared" ref="G115:AL115" ca="1" si="57">G$113*$B$2*SUMPRODUCT(G$97:G$98,G$63:G$64)/1000</f>
        <v>0</v>
      </c>
      <c r="H115" s="14">
        <f t="shared" ca="1" si="57"/>
        <v>0</v>
      </c>
      <c r="I115" s="14">
        <f t="shared" ca="1" si="57"/>
        <v>0</v>
      </c>
      <c r="J115" s="14">
        <f t="shared" ca="1" si="57"/>
        <v>0</v>
      </c>
      <c r="K115" s="14">
        <f t="shared" ca="1" si="57"/>
        <v>0</v>
      </c>
      <c r="L115" s="14">
        <f t="shared" ca="1" si="57"/>
        <v>0</v>
      </c>
      <c r="M115" s="14">
        <f t="shared" ca="1" si="57"/>
        <v>0</v>
      </c>
      <c r="N115" s="14">
        <f t="shared" ca="1" si="57"/>
        <v>0</v>
      </c>
      <c r="O115" s="14">
        <f t="shared" ca="1" si="57"/>
        <v>0</v>
      </c>
      <c r="P115" s="14">
        <f t="shared" ca="1" si="57"/>
        <v>0</v>
      </c>
      <c r="Q115" s="14">
        <f t="shared" ca="1" si="57"/>
        <v>0</v>
      </c>
      <c r="R115" s="14">
        <f t="shared" ca="1" si="57"/>
        <v>0</v>
      </c>
      <c r="S115" s="14">
        <f t="shared" ca="1" si="57"/>
        <v>0</v>
      </c>
      <c r="T115" s="14">
        <f t="shared" ca="1" si="57"/>
        <v>0</v>
      </c>
      <c r="U115" s="14">
        <f t="shared" ca="1" si="57"/>
        <v>0</v>
      </c>
      <c r="V115" s="14">
        <f t="shared" ca="1" si="57"/>
        <v>-3.5022470483916509E-30</v>
      </c>
      <c r="W115" s="14">
        <f t="shared" ca="1" si="57"/>
        <v>-3.6664595326236089E-4</v>
      </c>
      <c r="X115" s="14">
        <f t="shared" ca="1" si="57"/>
        <v>-0.75556043825780361</v>
      </c>
      <c r="Y115" s="14">
        <f t="shared" ca="1" si="57"/>
        <v>-28656.861064807155</v>
      </c>
      <c r="Z115" s="14">
        <f t="shared" ca="1" si="57"/>
        <v>-50721.0158161652</v>
      </c>
      <c r="AA115" s="14">
        <f t="shared" ca="1" si="57"/>
        <v>-62853.648956873418</v>
      </c>
      <c r="AB115" s="14">
        <f t="shared" ca="1" si="57"/>
        <v>-69054.855162915672</v>
      </c>
      <c r="AC115" s="14">
        <f t="shared" ca="1" si="57"/>
        <v>-71208.999440152329</v>
      </c>
      <c r="AD115" s="14">
        <f t="shared" ca="1" si="57"/>
        <v>-70654.658489353824</v>
      </c>
      <c r="AE115" s="14">
        <f t="shared" ca="1" si="57"/>
        <v>-72230.993788949447</v>
      </c>
      <c r="AF115" s="14">
        <f t="shared" ca="1" si="57"/>
        <v>-88459.860852633763</v>
      </c>
      <c r="AG115" s="14">
        <f t="shared" ca="1" si="57"/>
        <v>0</v>
      </c>
      <c r="AH115" s="14">
        <f t="shared" ca="1" si="57"/>
        <v>0</v>
      </c>
      <c r="AI115" s="14">
        <f t="shared" ca="1" si="57"/>
        <v>0</v>
      </c>
      <c r="AJ115" s="14">
        <f t="shared" ca="1" si="57"/>
        <v>0</v>
      </c>
      <c r="AK115" s="14">
        <f t="shared" ca="1" si="57"/>
        <v>0</v>
      </c>
      <c r="AL115" s="14">
        <f t="shared" ca="1" si="57"/>
        <v>0</v>
      </c>
    </row>
    <row r="116" spans="1:38" ht="21" customHeight="1" outlineLevel="1" thickBot="1" x14ac:dyDescent="0.4">
      <c r="E116" s="17" t="s">
        <v>14</v>
      </c>
      <c r="F116" s="14">
        <f ca="1">F$113*$B$2*SUMPRODUCT(F$83:F$85,F$49:F$51)/1000</f>
        <v>-267909.28156651754</v>
      </c>
      <c r="G116" s="14">
        <f t="shared" ref="G116:AL116" ca="1" si="58">G$113*$B$2*SUMPRODUCT(G$83:G$85,G$49:G$51)/1000</f>
        <v>-261318.29316485763</v>
      </c>
      <c r="H116" s="14">
        <f t="shared" ca="1" si="58"/>
        <v>-261640.19941633672</v>
      </c>
      <c r="I116" s="14">
        <f t="shared" ca="1" si="58"/>
        <v>-253439.13074419487</v>
      </c>
      <c r="J116" s="14">
        <f t="shared" ca="1" si="58"/>
        <v>-249238.04833278846</v>
      </c>
      <c r="K116" s="14">
        <f t="shared" ca="1" si="58"/>
        <v>-246230.57392526191</v>
      </c>
      <c r="L116" s="14">
        <f t="shared" ca="1" si="58"/>
        <v>-244908.8814968674</v>
      </c>
      <c r="M116" s="14">
        <f t="shared" ca="1" si="58"/>
        <v>-244942.7521330069</v>
      </c>
      <c r="N116" s="14">
        <f t="shared" ca="1" si="58"/>
        <v>-245867.09460590253</v>
      </c>
      <c r="O116" s="14">
        <f t="shared" ca="1" si="58"/>
        <v>-247341.02355992454</v>
      </c>
      <c r="P116" s="14">
        <f t="shared" ca="1" si="58"/>
        <v>-249074.82364237198</v>
      </c>
      <c r="Q116" s="14">
        <f t="shared" ca="1" si="58"/>
        <v>-250821.79189733951</v>
      </c>
      <c r="R116" s="14">
        <f t="shared" ca="1" si="58"/>
        <v>-223408.19381823781</v>
      </c>
      <c r="S116" s="14">
        <f t="shared" ca="1" si="58"/>
        <v>-168620.94700670685</v>
      </c>
      <c r="T116" s="14">
        <f t="shared" ca="1" si="58"/>
        <v>-97121.361809784081</v>
      </c>
      <c r="U116" s="14">
        <f t="shared" ca="1" si="58"/>
        <v>-44133.989234632179</v>
      </c>
      <c r="V116" s="14">
        <f t="shared" ca="1" si="58"/>
        <v>-17347.458514723665</v>
      </c>
      <c r="W116" s="14">
        <f t="shared" ca="1" si="58"/>
        <v>-333.00649893260845</v>
      </c>
      <c r="X116" s="14">
        <f t="shared" ca="1" si="58"/>
        <v>-128.26180608532431</v>
      </c>
      <c r="Y116" s="14">
        <f t="shared" ca="1" si="58"/>
        <v>-41.280102680238038</v>
      </c>
      <c r="Z116" s="14">
        <f t="shared" ca="1" si="58"/>
        <v>-10.452056459566405</v>
      </c>
      <c r="AA116" s="14">
        <f t="shared" ca="1" si="58"/>
        <v>-2.460793321054997</v>
      </c>
      <c r="AB116" s="14">
        <f t="shared" ca="1" si="58"/>
        <v>-0.62028482456708522</v>
      </c>
      <c r="AC116" s="14">
        <f t="shared" ca="1" si="58"/>
        <v>-0.21143621957663919</v>
      </c>
      <c r="AD116" s="14">
        <f t="shared" ca="1" si="58"/>
        <v>-0.12189078338116206</v>
      </c>
      <c r="AE116" s="14">
        <f t="shared" ca="1" si="58"/>
        <v>-0.10335226127098227</v>
      </c>
      <c r="AF116" s="14">
        <f t="shared" ca="1" si="58"/>
        <v>-0.10265317856098294</v>
      </c>
      <c r="AG116" s="14">
        <f t="shared" ca="1" si="58"/>
        <v>0</v>
      </c>
      <c r="AH116" s="14">
        <f t="shared" ca="1" si="58"/>
        <v>0</v>
      </c>
      <c r="AI116" s="14">
        <f t="shared" ca="1" si="58"/>
        <v>0</v>
      </c>
      <c r="AJ116" s="14">
        <f t="shared" ca="1" si="58"/>
        <v>0</v>
      </c>
      <c r="AK116" s="14">
        <f t="shared" ca="1" si="58"/>
        <v>0</v>
      </c>
      <c r="AL116" s="14">
        <f t="shared" ca="1" si="58"/>
        <v>0</v>
      </c>
    </row>
    <row r="117" spans="1:38" ht="21" customHeight="1" outlineLevel="1" thickBot="1" x14ac:dyDescent="0.4">
      <c r="E117" s="17" t="s">
        <v>35</v>
      </c>
      <c r="F117" s="14">
        <f ca="1">F116+F114</f>
        <v>-346123.61177483917</v>
      </c>
      <c r="G117" s="14">
        <f t="shared" ref="G117:AL117" ca="1" si="59">G116+G114</f>
        <v>-356784.47662933898</v>
      </c>
      <c r="H117" s="14">
        <f t="shared" ca="1" si="59"/>
        <v>-369456.14771845413</v>
      </c>
      <c r="I117" s="14">
        <f t="shared" ca="1" si="59"/>
        <v>-383814.87281381775</v>
      </c>
      <c r="J117" s="14">
        <f t="shared" ca="1" si="59"/>
        <v>-387846.93381047179</v>
      </c>
      <c r="K117" s="14">
        <f t="shared" ca="1" si="59"/>
        <v>-392035.98904306116</v>
      </c>
      <c r="L117" s="14">
        <f t="shared" ca="1" si="59"/>
        <v>-396393.39014806802</v>
      </c>
      <c r="M117" s="14">
        <f t="shared" ca="1" si="59"/>
        <v>-400807.30372751091</v>
      </c>
      <c r="N117" s="14">
        <f t="shared" ca="1" si="59"/>
        <v>-405285.75663378509</v>
      </c>
      <c r="O117" s="14">
        <f t="shared" ca="1" si="59"/>
        <v>-409891.94824774435</v>
      </c>
      <c r="P117" s="14">
        <f t="shared" ca="1" si="59"/>
        <v>-414544.80885690241</v>
      </c>
      <c r="Q117" s="14">
        <f t="shared" ca="1" si="59"/>
        <v>-419171.92852733959</v>
      </c>
      <c r="R117" s="14">
        <f t="shared" ca="1" si="59"/>
        <v>-439294.77740031434</v>
      </c>
      <c r="S117" s="14">
        <f t="shared" ca="1" si="59"/>
        <v>-445176.70291279798</v>
      </c>
      <c r="T117" s="14">
        <f t="shared" ca="1" si="59"/>
        <v>-452521.38763533335</v>
      </c>
      <c r="U117" s="14">
        <f t="shared" ca="1" si="59"/>
        <v>-460841.08402618801</v>
      </c>
      <c r="V117" s="14">
        <f t="shared" ca="1" si="59"/>
        <v>-470077.61580342054</v>
      </c>
      <c r="W117" s="14">
        <f t="shared" ca="1" si="59"/>
        <v>-511106.0836886114</v>
      </c>
      <c r="X117" s="14">
        <f t="shared" ca="1" si="59"/>
        <v>-521706.54205149598</v>
      </c>
      <c r="Y117" s="14">
        <f t="shared" ca="1" si="59"/>
        <v>-504515.46149133559</v>
      </c>
      <c r="Z117" s="14">
        <f t="shared" ca="1" si="59"/>
        <v>-495367.84747093864</v>
      </c>
      <c r="AA117" s="14">
        <f t="shared" ca="1" si="59"/>
        <v>-496739.92976385792</v>
      </c>
      <c r="AB117" s="14">
        <f t="shared" ca="1" si="59"/>
        <v>-503654.28486197913</v>
      </c>
      <c r="AC117" s="14">
        <f t="shared" ca="1" si="59"/>
        <v>-513282.48886860959</v>
      </c>
      <c r="AD117" s="14">
        <f t="shared" ca="1" si="59"/>
        <v>-524264.38270847441</v>
      </c>
      <c r="AE117" s="14">
        <f t="shared" ca="1" si="59"/>
        <v>-535966.23682504939</v>
      </c>
      <c r="AF117" s="14">
        <f t="shared" ca="1" si="59"/>
        <v>-586709.11691903381</v>
      </c>
      <c r="AG117" s="14">
        <f t="shared" ca="1" si="59"/>
        <v>0</v>
      </c>
      <c r="AH117" s="14">
        <f t="shared" ca="1" si="59"/>
        <v>0</v>
      </c>
      <c r="AI117" s="14">
        <f t="shared" ca="1" si="59"/>
        <v>0</v>
      </c>
      <c r="AJ117" s="14">
        <f t="shared" ca="1" si="59"/>
        <v>0</v>
      </c>
      <c r="AK117" s="14">
        <f t="shared" ca="1" si="59"/>
        <v>0</v>
      </c>
      <c r="AL117" s="14">
        <f t="shared" ca="1" si="59"/>
        <v>0</v>
      </c>
    </row>
    <row r="118" spans="1:38" ht="21" customHeight="1" outlineLevel="1" thickBot="1" x14ac:dyDescent="0.4">
      <c r="E118" s="17" t="s">
        <v>45</v>
      </c>
      <c r="F118" s="14">
        <f ca="1">F116+F115</f>
        <v>-267909.28156651754</v>
      </c>
      <c r="G118" s="14">
        <f t="shared" ref="G118:AL118" ca="1" si="60">G116+G115</f>
        <v>-261318.29316485763</v>
      </c>
      <c r="H118" s="14">
        <f t="shared" ca="1" si="60"/>
        <v>-261640.19941633672</v>
      </c>
      <c r="I118" s="14">
        <f t="shared" ca="1" si="60"/>
        <v>-253439.13074419487</v>
      </c>
      <c r="J118" s="14">
        <f t="shared" ca="1" si="60"/>
        <v>-249238.04833278846</v>
      </c>
      <c r="K118" s="14">
        <f t="shared" ca="1" si="60"/>
        <v>-246230.57392526191</v>
      </c>
      <c r="L118" s="14">
        <f t="shared" ca="1" si="60"/>
        <v>-244908.8814968674</v>
      </c>
      <c r="M118" s="14">
        <f t="shared" ca="1" si="60"/>
        <v>-244942.7521330069</v>
      </c>
      <c r="N118" s="14">
        <f t="shared" ca="1" si="60"/>
        <v>-245867.09460590253</v>
      </c>
      <c r="O118" s="14">
        <f t="shared" ca="1" si="60"/>
        <v>-247341.02355992454</v>
      </c>
      <c r="P118" s="14">
        <f t="shared" ca="1" si="60"/>
        <v>-249074.82364237198</v>
      </c>
      <c r="Q118" s="14">
        <f t="shared" ca="1" si="60"/>
        <v>-250821.79189733951</v>
      </c>
      <c r="R118" s="14">
        <f t="shared" ca="1" si="60"/>
        <v>-223408.19381823781</v>
      </c>
      <c r="S118" s="14">
        <f t="shared" ca="1" si="60"/>
        <v>-168620.94700670685</v>
      </c>
      <c r="T118" s="14">
        <f t="shared" ca="1" si="60"/>
        <v>-97121.361809784081</v>
      </c>
      <c r="U118" s="14">
        <f t="shared" ca="1" si="60"/>
        <v>-44133.989234632179</v>
      </c>
      <c r="V118" s="14">
        <f t="shared" ca="1" si="60"/>
        <v>-17347.458514723665</v>
      </c>
      <c r="W118" s="14">
        <f t="shared" ca="1" si="60"/>
        <v>-333.0068655785617</v>
      </c>
      <c r="X118" s="14">
        <f t="shared" ca="1" si="60"/>
        <v>-129.01736652358213</v>
      </c>
      <c r="Y118" s="14">
        <f t="shared" ca="1" si="60"/>
        <v>-28698.141167487393</v>
      </c>
      <c r="Z118" s="14">
        <f t="shared" ca="1" si="60"/>
        <v>-50731.467872624766</v>
      </c>
      <c r="AA118" s="14">
        <f t="shared" ca="1" si="60"/>
        <v>-62856.109750194475</v>
      </c>
      <c r="AB118" s="14">
        <f t="shared" ca="1" si="60"/>
        <v>-69055.475447740246</v>
      </c>
      <c r="AC118" s="14">
        <f t="shared" ca="1" si="60"/>
        <v>-71209.210876371901</v>
      </c>
      <c r="AD118" s="14">
        <f t="shared" ca="1" si="60"/>
        <v>-70654.780380137207</v>
      </c>
      <c r="AE118" s="14">
        <f t="shared" ca="1" si="60"/>
        <v>-72231.097141210717</v>
      </c>
      <c r="AF118" s="14">
        <f t="shared" ca="1" si="60"/>
        <v>-88459.963505812324</v>
      </c>
      <c r="AG118" s="14">
        <f t="shared" ca="1" si="60"/>
        <v>0</v>
      </c>
      <c r="AH118" s="14">
        <f t="shared" ca="1" si="60"/>
        <v>0</v>
      </c>
      <c r="AI118" s="14">
        <f t="shared" ca="1" si="60"/>
        <v>0</v>
      </c>
      <c r="AJ118" s="14">
        <f t="shared" ca="1" si="60"/>
        <v>0</v>
      </c>
      <c r="AK118" s="14">
        <f t="shared" ca="1" si="60"/>
        <v>0</v>
      </c>
      <c r="AL118" s="14">
        <f t="shared" ca="1" si="60"/>
        <v>0</v>
      </c>
    </row>
    <row r="119" spans="1:38" ht="21" customHeight="1" outlineLevel="1" x14ac:dyDescent="0.35">
      <c r="E119" s="122" t="s">
        <v>83</v>
      </c>
      <c r="F119" s="14">
        <f ca="1">SUM(F114:F116)</f>
        <v>-346123.61177483917</v>
      </c>
      <c r="G119" s="14">
        <f t="shared" ref="G119:AL119" ca="1" si="61">SUM(G114:G116)</f>
        <v>-356784.47662933898</v>
      </c>
      <c r="H119" s="14">
        <f t="shared" ca="1" si="61"/>
        <v>-369456.14771845413</v>
      </c>
      <c r="I119" s="14">
        <f t="shared" ca="1" si="61"/>
        <v>-383814.87281381775</v>
      </c>
      <c r="J119" s="14">
        <f t="shared" ca="1" si="61"/>
        <v>-387846.93381047179</v>
      </c>
      <c r="K119" s="14">
        <f t="shared" ca="1" si="61"/>
        <v>-392035.98904306116</v>
      </c>
      <c r="L119" s="14">
        <f t="shared" ca="1" si="61"/>
        <v>-396393.39014806802</v>
      </c>
      <c r="M119" s="14">
        <f t="shared" ca="1" si="61"/>
        <v>-400807.30372751091</v>
      </c>
      <c r="N119" s="14">
        <f t="shared" ca="1" si="61"/>
        <v>-405285.75663378509</v>
      </c>
      <c r="O119" s="14">
        <f t="shared" ca="1" si="61"/>
        <v>-409891.94824774435</v>
      </c>
      <c r="P119" s="14">
        <f t="shared" ca="1" si="61"/>
        <v>-414544.80885690241</v>
      </c>
      <c r="Q119" s="14">
        <f t="shared" ca="1" si="61"/>
        <v>-419171.92852733959</v>
      </c>
      <c r="R119" s="14">
        <f t="shared" ca="1" si="61"/>
        <v>-439294.77740031434</v>
      </c>
      <c r="S119" s="14">
        <f t="shared" ca="1" si="61"/>
        <v>-445176.70291279798</v>
      </c>
      <c r="T119" s="14">
        <f t="shared" ca="1" si="61"/>
        <v>-452521.38763533335</v>
      </c>
      <c r="U119" s="14">
        <f t="shared" ca="1" si="61"/>
        <v>-460841.08402618801</v>
      </c>
      <c r="V119" s="14">
        <f t="shared" ca="1" si="61"/>
        <v>-470077.61580342054</v>
      </c>
      <c r="W119" s="14">
        <f t="shared" ca="1" si="61"/>
        <v>-511106.08405525738</v>
      </c>
      <c r="X119" s="14">
        <f t="shared" ca="1" si="61"/>
        <v>-521707.29761193425</v>
      </c>
      <c r="Y119" s="14">
        <f t="shared" ca="1" si="61"/>
        <v>-533172.3225561427</v>
      </c>
      <c r="Z119" s="14">
        <f t="shared" ca="1" si="61"/>
        <v>-546088.86328710394</v>
      </c>
      <c r="AA119" s="14">
        <f t="shared" ca="1" si="61"/>
        <v>-559593.57872073131</v>
      </c>
      <c r="AB119" s="14">
        <f t="shared" ca="1" si="61"/>
        <v>-572709.14002489473</v>
      </c>
      <c r="AC119" s="14">
        <f t="shared" ca="1" si="61"/>
        <v>-584491.48830876197</v>
      </c>
      <c r="AD119" s="14">
        <f t="shared" ca="1" si="61"/>
        <v>-594919.04119782825</v>
      </c>
      <c r="AE119" s="14">
        <f t="shared" ca="1" si="61"/>
        <v>-608197.23061399884</v>
      </c>
      <c r="AF119" s="14">
        <f t="shared" ca="1" si="61"/>
        <v>-675168.97777166753</v>
      </c>
      <c r="AG119" s="14">
        <f t="shared" ca="1" si="61"/>
        <v>0</v>
      </c>
      <c r="AH119" s="14">
        <f t="shared" ca="1" si="61"/>
        <v>0</v>
      </c>
      <c r="AI119" s="14">
        <f t="shared" ca="1" si="61"/>
        <v>0</v>
      </c>
      <c r="AJ119" s="14">
        <f t="shared" ca="1" si="61"/>
        <v>0</v>
      </c>
      <c r="AK119" s="14">
        <f t="shared" ca="1" si="61"/>
        <v>0</v>
      </c>
      <c r="AL119" s="14">
        <f t="shared" ca="1" si="61"/>
        <v>0</v>
      </c>
    </row>
    <row r="120" spans="1:38" ht="21" customHeight="1" outlineLevel="1" thickBot="1" x14ac:dyDescent="0.4"/>
    <row r="121" spans="1:38" ht="21" customHeight="1" outlineLevel="1" thickBot="1" x14ac:dyDescent="0.4">
      <c r="E121" s="18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487.9</v>
      </c>
      <c r="K122" s="4">
        <f ca="1"/>
        <v>504.4</v>
      </c>
      <c r="L122" s="4">
        <f ca="1"/>
        <v>520.9</v>
      </c>
      <c r="M122" s="4">
        <f ca="1"/>
        <v>537.5</v>
      </c>
      <c r="N122" s="4">
        <f ca="1"/>
        <v>554</v>
      </c>
      <c r="O122" s="4">
        <f ca="1"/>
        <v>570.5</v>
      </c>
      <c r="P122" s="4">
        <f ca="1"/>
        <v>587</v>
      </c>
      <c r="Q122" s="4">
        <f ca="1"/>
        <v>603.5</v>
      </c>
      <c r="R122" s="4">
        <f ca="1"/>
        <v>669.6</v>
      </c>
      <c r="S122" s="4">
        <f ca="1"/>
        <v>686.1</v>
      </c>
      <c r="T122" s="20">
        <f ca="1"/>
        <v>702.7</v>
      </c>
      <c r="U122" s="62">
        <f ca="1"/>
        <v>719.2</v>
      </c>
      <c r="V122" s="63">
        <f ca="1"/>
        <v>735.7</v>
      </c>
      <c r="W122" s="65">
        <f ca="1"/>
        <v>801.8</v>
      </c>
      <c r="X122" s="59">
        <f ca="1"/>
        <v>818.3</v>
      </c>
      <c r="Y122" s="4">
        <f ca="1"/>
        <v>834.8</v>
      </c>
      <c r="Z122" s="4">
        <f ca="1"/>
        <v>851.3</v>
      </c>
      <c r="AA122" s="4">
        <f ca="1"/>
        <v>867.8</v>
      </c>
      <c r="AB122" s="4">
        <f ca="1"/>
        <v>884.4</v>
      </c>
      <c r="AC122" s="4">
        <f ca="1"/>
        <v>900.9</v>
      </c>
      <c r="AD122" s="4">
        <f ca="1"/>
        <v>917.4</v>
      </c>
      <c r="AE122" s="4">
        <f ca="1"/>
        <v>933.9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1(тв): </v>
      </c>
      <c r="F123" s="55">
        <f ca="1"/>
        <v>-78214.330208321626</v>
      </c>
      <c r="G123" s="55">
        <f ca="1"/>
        <v>-95466.18346448135</v>
      </c>
      <c r="H123" s="55">
        <f ca="1"/>
        <v>-107815.94830211742</v>
      </c>
      <c r="I123" s="55">
        <f ca="1"/>
        <v>-130375.74206962287</v>
      </c>
      <c r="J123" s="55">
        <f ca="1"/>
        <v>-138608.88547768336</v>
      </c>
      <c r="K123" s="55">
        <f ca="1"/>
        <v>-145805.41511779922</v>
      </c>
      <c r="L123" s="55">
        <f ca="1"/>
        <v>-151484.50865120062</v>
      </c>
      <c r="M123" s="55">
        <f ca="1"/>
        <v>-155864.55159450401</v>
      </c>
      <c r="N123" s="55">
        <f ca="1"/>
        <v>-159418.66202788256</v>
      </c>
      <c r="O123" s="55">
        <f ca="1"/>
        <v>-162550.92468781979</v>
      </c>
      <c r="P123" s="55">
        <f ca="1"/>
        <v>-165469.98521453046</v>
      </c>
      <c r="Q123" s="55">
        <f ca="1"/>
        <v>-168350.13663000008</v>
      </c>
      <c r="R123" s="55">
        <f ca="1"/>
        <v>-215886.58358207654</v>
      </c>
      <c r="S123" s="55">
        <f ca="1"/>
        <v>-276555.75590609113</v>
      </c>
      <c r="T123" s="55">
        <f ca="1"/>
        <v>-355400.02582554927</v>
      </c>
      <c r="U123" s="55">
        <f ca="1"/>
        <v>-416707.09479155584</v>
      </c>
      <c r="V123" s="55">
        <f ca="1"/>
        <v>-452730.15728869685</v>
      </c>
      <c r="W123" s="55">
        <f ca="1"/>
        <v>-510773.07718967879</v>
      </c>
      <c r="X123" s="55">
        <f ca="1"/>
        <v>-521578.28024541069</v>
      </c>
      <c r="Y123" s="55">
        <f ca="1"/>
        <v>-504474.18138865533</v>
      </c>
      <c r="Z123" s="55">
        <f ca="1"/>
        <v>-495357.39541447908</v>
      </c>
      <c r="AA123" s="55">
        <f ca="1"/>
        <v>-496737.46897053684</v>
      </c>
      <c r="AB123" s="55">
        <f ca="1"/>
        <v>-503653.66457715456</v>
      </c>
      <c r="AC123" s="55">
        <f ca="1"/>
        <v>-513282.27743239002</v>
      </c>
      <c r="AD123" s="55">
        <f ca="1"/>
        <v>-524264.26081769104</v>
      </c>
      <c r="AE123" s="55">
        <f ca="1"/>
        <v>-535966.13347278815</v>
      </c>
      <c r="AF123" s="55">
        <f ca="1"/>
        <v>-586709.01426585531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Раствор 3 (жид): </v>
      </c>
      <c r="F124" s="55">
        <f ca="1"/>
        <v>0</v>
      </c>
      <c r="G124" s="55">
        <f ca="1"/>
        <v>0</v>
      </c>
      <c r="H124" s="55">
        <f ca="1"/>
        <v>0</v>
      </c>
      <c r="I124" s="55">
        <f ca="1"/>
        <v>0</v>
      </c>
      <c r="J124" s="55">
        <f ca="1"/>
        <v>0</v>
      </c>
      <c r="K124" s="55">
        <f ca="1"/>
        <v>0</v>
      </c>
      <c r="L124" s="55">
        <f ca="1"/>
        <v>0</v>
      </c>
      <c r="M124" s="55">
        <f ca="1"/>
        <v>0</v>
      </c>
      <c r="N124" s="55">
        <f ca="1"/>
        <v>0</v>
      </c>
      <c r="O124" s="55">
        <f ca="1"/>
        <v>0</v>
      </c>
      <c r="P124" s="55">
        <f ca="1"/>
        <v>0</v>
      </c>
      <c r="Q124" s="55">
        <f ca="1"/>
        <v>0</v>
      </c>
      <c r="R124" s="55">
        <f ca="1"/>
        <v>0</v>
      </c>
      <c r="S124" s="55">
        <f ca="1"/>
        <v>0</v>
      </c>
      <c r="T124" s="55">
        <f ca="1"/>
        <v>0</v>
      </c>
      <c r="U124" s="55">
        <f ca="1"/>
        <v>0</v>
      </c>
      <c r="V124" s="55">
        <f ca="1"/>
        <v>-3.5022470483916509E-30</v>
      </c>
      <c r="W124" s="55">
        <f ca="1"/>
        <v>-3.6664595326236089E-4</v>
      </c>
      <c r="X124" s="55">
        <f ca="1"/>
        <v>-0.75556043825780361</v>
      </c>
      <c r="Y124" s="55">
        <f ca="1"/>
        <v>-28656.861064807155</v>
      </c>
      <c r="Z124" s="55">
        <f ca="1"/>
        <v>-50721.0158161652</v>
      </c>
      <c r="AA124" s="55">
        <f ca="1"/>
        <v>-62853.648956873418</v>
      </c>
      <c r="AB124" s="55">
        <f ca="1"/>
        <v>-69054.855162915672</v>
      </c>
      <c r="AC124" s="55">
        <f ca="1"/>
        <v>-71208.999440152329</v>
      </c>
      <c r="AD124" s="55">
        <f ca="1"/>
        <v>-70654.658489353824</v>
      </c>
      <c r="AE124" s="55">
        <f ca="1"/>
        <v>-72230.993788949447</v>
      </c>
      <c r="AF124" s="55">
        <f ca="1"/>
        <v>-88459.860852633763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 без Ar: </v>
      </c>
      <c r="F125" s="55">
        <f ca="1"/>
        <v>-267909.28156651754</v>
      </c>
      <c r="G125" s="55">
        <f ca="1"/>
        <v>-261318.29316485763</v>
      </c>
      <c r="H125" s="55">
        <f ca="1"/>
        <v>-261640.19941633672</v>
      </c>
      <c r="I125" s="55">
        <f ca="1"/>
        <v>-253439.13074419487</v>
      </c>
      <c r="J125" s="55">
        <f ca="1"/>
        <v>-249238.04833278846</v>
      </c>
      <c r="K125" s="55">
        <f ca="1"/>
        <v>-246230.57392526191</v>
      </c>
      <c r="L125" s="55">
        <f ca="1"/>
        <v>-244908.8814968674</v>
      </c>
      <c r="M125" s="55">
        <f ca="1"/>
        <v>-244942.7521330069</v>
      </c>
      <c r="N125" s="55">
        <f ca="1"/>
        <v>-245867.09460590253</v>
      </c>
      <c r="O125" s="55">
        <f ca="1"/>
        <v>-247341.02355992454</v>
      </c>
      <c r="P125" s="55">
        <f ca="1"/>
        <v>-249074.82364237198</v>
      </c>
      <c r="Q125" s="55">
        <f ca="1"/>
        <v>-250821.79189733951</v>
      </c>
      <c r="R125" s="55">
        <f ca="1"/>
        <v>-223408.19381823781</v>
      </c>
      <c r="S125" s="55">
        <f ca="1"/>
        <v>-168620.94700670685</v>
      </c>
      <c r="T125" s="55">
        <f ca="1"/>
        <v>-97121.361809784081</v>
      </c>
      <c r="U125" s="55">
        <f ca="1"/>
        <v>-44133.989234632179</v>
      </c>
      <c r="V125" s="55">
        <f ca="1"/>
        <v>-17347.458514723665</v>
      </c>
      <c r="W125" s="55">
        <f ca="1"/>
        <v>-333.00649893260845</v>
      </c>
      <c r="X125" s="55">
        <f ca="1"/>
        <v>-128.26180608532431</v>
      </c>
      <c r="Y125" s="55">
        <f ca="1"/>
        <v>-41.280102680238038</v>
      </c>
      <c r="Z125" s="55">
        <f ca="1"/>
        <v>-10.452056459566405</v>
      </c>
      <c r="AA125" s="55">
        <f ca="1"/>
        <v>-2.460793321054997</v>
      </c>
      <c r="AB125" s="55">
        <f ca="1"/>
        <v>-0.62028482456708522</v>
      </c>
      <c r="AC125" s="55">
        <f ca="1"/>
        <v>-0.21143621957663919</v>
      </c>
      <c r="AD125" s="55">
        <f ca="1"/>
        <v>-0.12189078338116206</v>
      </c>
      <c r="AE125" s="55">
        <f ca="1"/>
        <v>-0.10335226127098227</v>
      </c>
      <c r="AF125" s="55">
        <f ca="1"/>
        <v>-0.10265317856098294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 xml:space="preserve">Раствор 1 + газовая без Ar: </v>
      </c>
      <c r="F126" s="55">
        <f ca="1"/>
        <v>-346123.61177483917</v>
      </c>
      <c r="G126" s="55">
        <f ca="1"/>
        <v>-356784.47662933898</v>
      </c>
      <c r="H126" s="55">
        <f ca="1"/>
        <v>-369456.14771845413</v>
      </c>
      <c r="I126" s="55">
        <f ca="1"/>
        <v>-383814.87281381775</v>
      </c>
      <c r="J126" s="55">
        <f ca="1"/>
        <v>-387846.93381047179</v>
      </c>
      <c r="K126" s="55">
        <f ca="1"/>
        <v>-392035.98904306116</v>
      </c>
      <c r="L126" s="55">
        <f ca="1"/>
        <v>-396393.39014806802</v>
      </c>
      <c r="M126" s="55">
        <f ca="1"/>
        <v>-400807.30372751091</v>
      </c>
      <c r="N126" s="55">
        <f ca="1"/>
        <v>-405285.75663378509</v>
      </c>
      <c r="O126" s="55">
        <f ca="1"/>
        <v>-409891.94824774435</v>
      </c>
      <c r="P126" s="55">
        <f ca="1"/>
        <v>-414544.80885690241</v>
      </c>
      <c r="Q126" s="55">
        <f ca="1"/>
        <v>-419171.92852733959</v>
      </c>
      <c r="R126" s="55">
        <f ca="1"/>
        <v>-439294.77740031434</v>
      </c>
      <c r="S126" s="55">
        <f ca="1"/>
        <v>-445176.70291279798</v>
      </c>
      <c r="T126" s="55">
        <f ca="1"/>
        <v>-452521.38763533335</v>
      </c>
      <c r="U126" s="55">
        <f ca="1"/>
        <v>-460841.08402618801</v>
      </c>
      <c r="V126" s="55">
        <f ca="1"/>
        <v>-470077.61580342054</v>
      </c>
      <c r="W126" s="55">
        <f ca="1"/>
        <v>-511106.0836886114</v>
      </c>
      <c r="X126" s="55">
        <f ca="1"/>
        <v>-521706.54205149598</v>
      </c>
      <c r="Y126" s="55">
        <f ca="1"/>
        <v>-504515.46149133559</v>
      </c>
      <c r="Z126" s="55">
        <f ca="1"/>
        <v>-495367.84747093864</v>
      </c>
      <c r="AA126" s="55">
        <f ca="1"/>
        <v>-496739.92976385792</v>
      </c>
      <c r="AB126" s="55">
        <f ca="1"/>
        <v>-503654.28486197913</v>
      </c>
      <c r="AC126" s="55">
        <f ca="1"/>
        <v>-513282.48886860959</v>
      </c>
      <c r="AD126" s="55">
        <f ca="1"/>
        <v>-524264.38270847441</v>
      </c>
      <c r="AE126" s="55">
        <f ca="1"/>
        <v>-535966.23682504939</v>
      </c>
      <c r="AF126" s="55">
        <f ca="1"/>
        <v>-586709.11691903381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str">
        <f ca="1"/>
        <v xml:space="preserve">Раствор 3 + газовая без Ar: </v>
      </c>
      <c r="F127" s="55">
        <f ca="1"/>
        <v>-267909.28156651754</v>
      </c>
      <c r="G127" s="55">
        <f ca="1"/>
        <v>-261318.29316485763</v>
      </c>
      <c r="H127" s="55">
        <f ca="1"/>
        <v>-261640.19941633672</v>
      </c>
      <c r="I127" s="55">
        <f ca="1"/>
        <v>-253439.13074419487</v>
      </c>
      <c r="J127" s="55">
        <f ca="1"/>
        <v>-249238.04833278846</v>
      </c>
      <c r="K127" s="55">
        <f ca="1"/>
        <v>-246230.57392526191</v>
      </c>
      <c r="L127" s="55">
        <f ca="1"/>
        <v>-244908.8814968674</v>
      </c>
      <c r="M127" s="55">
        <f ca="1"/>
        <v>-244942.7521330069</v>
      </c>
      <c r="N127" s="55">
        <f ca="1"/>
        <v>-245867.09460590253</v>
      </c>
      <c r="O127" s="55">
        <f ca="1"/>
        <v>-247341.02355992454</v>
      </c>
      <c r="P127" s="55">
        <f ca="1"/>
        <v>-249074.82364237198</v>
      </c>
      <c r="Q127" s="55">
        <f ca="1"/>
        <v>-250821.79189733951</v>
      </c>
      <c r="R127" s="55">
        <f ca="1"/>
        <v>-223408.19381823781</v>
      </c>
      <c r="S127" s="55">
        <f ca="1"/>
        <v>-168620.94700670685</v>
      </c>
      <c r="T127" s="55">
        <f ca="1"/>
        <v>-97121.361809784081</v>
      </c>
      <c r="U127" s="55">
        <f ca="1"/>
        <v>-44133.989234632179</v>
      </c>
      <c r="V127" s="55">
        <f ca="1"/>
        <v>-17347.458514723665</v>
      </c>
      <c r="W127" s="55">
        <f ca="1"/>
        <v>-333.0068655785617</v>
      </c>
      <c r="X127" s="55">
        <f ca="1"/>
        <v>-129.01736652358213</v>
      </c>
      <c r="Y127" s="55">
        <f ca="1"/>
        <v>-28698.141167487393</v>
      </c>
      <c r="Z127" s="55">
        <f ca="1"/>
        <v>-50731.467872624766</v>
      </c>
      <c r="AA127" s="55">
        <f ca="1"/>
        <v>-62856.109750194475</v>
      </c>
      <c r="AB127" s="55">
        <f ca="1"/>
        <v>-69055.475447740246</v>
      </c>
      <c r="AC127" s="55">
        <f ca="1"/>
        <v>-71209.210876371901</v>
      </c>
      <c r="AD127" s="55">
        <f ca="1"/>
        <v>-70654.780380137207</v>
      </c>
      <c r="AE127" s="55">
        <f ca="1"/>
        <v>-72231.097141210717</v>
      </c>
      <c r="AF127" s="55">
        <f ca="1"/>
        <v>-88459.963505812324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str">
        <f ca="1"/>
        <v>Все</v>
      </c>
      <c r="F128" s="55">
        <f ca="1"/>
        <v>-346123.61177483917</v>
      </c>
      <c r="G128" s="55">
        <f ca="1"/>
        <v>-356784.47662933898</v>
      </c>
      <c r="H128" s="55">
        <f ca="1"/>
        <v>-369456.14771845413</v>
      </c>
      <c r="I128" s="55">
        <f ca="1"/>
        <v>-383814.87281381775</v>
      </c>
      <c r="J128" s="55">
        <f ca="1"/>
        <v>-387846.93381047179</v>
      </c>
      <c r="K128" s="55">
        <f ca="1"/>
        <v>-392035.98904306116</v>
      </c>
      <c r="L128" s="55">
        <f ca="1"/>
        <v>-396393.39014806802</v>
      </c>
      <c r="M128" s="55">
        <f ca="1"/>
        <v>-400807.30372751091</v>
      </c>
      <c r="N128" s="55">
        <f ca="1"/>
        <v>-405285.75663378509</v>
      </c>
      <c r="O128" s="55">
        <f ca="1"/>
        <v>-409891.94824774435</v>
      </c>
      <c r="P128" s="55">
        <f ca="1"/>
        <v>-414544.80885690241</v>
      </c>
      <c r="Q128" s="55">
        <f ca="1"/>
        <v>-419171.92852733959</v>
      </c>
      <c r="R128" s="55">
        <f ca="1"/>
        <v>-439294.77740031434</v>
      </c>
      <c r="S128" s="55">
        <f ca="1"/>
        <v>-445176.70291279798</v>
      </c>
      <c r="T128" s="55">
        <f ca="1"/>
        <v>-452521.38763533335</v>
      </c>
      <c r="U128" s="55">
        <f ca="1"/>
        <v>-460841.08402618801</v>
      </c>
      <c r="V128" s="55">
        <f ca="1"/>
        <v>-470077.61580342054</v>
      </c>
      <c r="W128" s="55">
        <f ca="1"/>
        <v>-511106.08405525738</v>
      </c>
      <c r="X128" s="55">
        <f ca="1"/>
        <v>-521707.29761193425</v>
      </c>
      <c r="Y128" s="55">
        <f ca="1"/>
        <v>-533172.3225561427</v>
      </c>
      <c r="Z128" s="55">
        <f ca="1"/>
        <v>-546088.86328710394</v>
      </c>
      <c r="AA128" s="55">
        <f ca="1"/>
        <v>-559593.57872073131</v>
      </c>
      <c r="AB128" s="55">
        <f ca="1"/>
        <v>-572709.14002489473</v>
      </c>
      <c r="AC128" s="55">
        <f ca="1"/>
        <v>-584491.48830876197</v>
      </c>
      <c r="AD128" s="55">
        <f ca="1"/>
        <v>-594919.04119782825</v>
      </c>
      <c r="AE128" s="55">
        <f ca="1"/>
        <v>-608197.23061399884</v>
      </c>
      <c r="AF128" s="55">
        <f ca="1"/>
        <v>-675168.97777166753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13:B113"/>
    <mergeCell ref="A1:BB1"/>
  </mergeCells>
  <conditionalFormatting sqref="A4:D33">
    <cfRule type="cellIs" dxfId="12" priority="66" operator="equal">
      <formula>0</formula>
    </cfRule>
  </conditionalFormatting>
  <conditionalFormatting sqref="A80:D109">
    <cfRule type="cellIs" dxfId="11" priority="64" operator="equal">
      <formula>0</formula>
    </cfRule>
  </conditionalFormatting>
  <conditionalFormatting sqref="F32:AL32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AK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4:AK4">
    <cfRule type="colorScale" priority="24">
      <colorScale>
        <cfvo type="min"/>
        <cfvo type="max"/>
        <color rgb="FFFFEF9C"/>
        <color rgb="FF63BE7B"/>
      </colorScale>
    </cfRule>
  </conditionalFormatting>
  <conditionalFormatting sqref="F5:AK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AK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AK8">
    <cfRule type="colorScale" priority="19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AK9">
    <cfRule type="colorScale" priority="18">
      <colorScale>
        <cfvo type="min"/>
        <cfvo type="max"/>
        <color rgb="FFFFEF9C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AK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AK11">
    <cfRule type="colorScale" priority="16">
      <colorScale>
        <cfvo type="min"/>
        <cfvo type="max"/>
        <color rgb="FFFFEF9C"/>
        <color rgb="FF63BE7B"/>
      </colorScale>
    </cfRule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AK12">
    <cfRule type="colorScale" priority="15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AK13">
    <cfRule type="colorScale" priority="14">
      <colorScale>
        <cfvo type="min"/>
        <cfvo type="max"/>
        <color rgb="FFFFEF9C"/>
        <color rgb="FF63BE7B"/>
      </colorScale>
    </cfRule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AK14">
    <cfRule type="colorScale" priority="13">
      <colorScale>
        <cfvo type="min"/>
        <cfvo type="max"/>
        <color rgb="FFFFEF9C"/>
        <color rgb="FF63BE7B"/>
      </colorScale>
    </cfRule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AK15">
    <cfRule type="colorScale" priority="12">
      <colorScale>
        <cfvo type="min"/>
        <cfvo type="max"/>
        <color rgb="FFFFEF9C"/>
        <color rgb="FF63BE7B"/>
      </colorScale>
    </cfRule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AK16">
    <cfRule type="colorScale" priority="11">
      <colorScale>
        <cfvo type="min"/>
        <cfvo type="max"/>
        <color rgb="FFFFEF9C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AK17">
    <cfRule type="colorScale" priority="10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AK18">
    <cfRule type="colorScale" priority="9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AK19">
    <cfRule type="colorScale" priority="8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BB136"/>
  <sheetViews>
    <sheetView topLeftCell="A111" zoomScale="85" zoomScaleNormal="85" zoomScaleSheetLayoutView="25" workbookViewId="0">
      <selection activeCell="BA114" sqref="BA114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19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735.7</v>
      </c>
      <c r="N3" s="3">
        <v>801.8</v>
      </c>
      <c r="O3" s="3">
        <v>867.8</v>
      </c>
      <c r="P3" s="3">
        <v>933.9</v>
      </c>
      <c r="Q3" s="3">
        <v>1000</v>
      </c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 t="shared" ref="A4:D22" si="0">IF( ISNUMBER( FIND(A$3,$E4,1)),   IF( ISNUMBER( VALUE(MID($E4,FIND(A$3,$E4,1)+2,1)) ), VALUE( MID($E4,FIND(A$3,$E4,1)+2,1) ),1),0)</f>
        <v>0</v>
      </c>
      <c r="B4" s="44">
        <f t="shared" si="0"/>
        <v>1</v>
      </c>
      <c r="C4" s="44">
        <f t="shared" si="0"/>
        <v>0</v>
      </c>
      <c r="D4" s="44">
        <f t="shared" si="0"/>
        <v>0</v>
      </c>
      <c r="E4" s="6" t="s">
        <v>85</v>
      </c>
      <c r="F4" s="49">
        <v>2.2242000000000002E-8</v>
      </c>
      <c r="G4" s="49">
        <v>2.2247999999999998E-8</v>
      </c>
      <c r="H4" s="49">
        <v>2.3671999999999998E-8</v>
      </c>
      <c r="I4" s="49">
        <v>3.2255E-8</v>
      </c>
      <c r="J4" s="49">
        <v>2.6537000000000001E-8</v>
      </c>
      <c r="K4" s="49">
        <v>3.1168999999999999E-8</v>
      </c>
      <c r="L4" s="49">
        <v>8.4434E-8</v>
      </c>
      <c r="M4" s="49">
        <v>1.8601999999999999E-7</v>
      </c>
      <c r="N4" s="49">
        <v>3.1254000000000002E-7</v>
      </c>
      <c r="O4" s="49">
        <v>2.2541999999999999E-7</v>
      </c>
      <c r="P4" s="49">
        <v>7.5778000000000005E-8</v>
      </c>
      <c r="Q4" s="49">
        <v>1.4534E-8</v>
      </c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si="0"/>
        <v>0</v>
      </c>
      <c r="B5" s="44">
        <f t="shared" si="0"/>
        <v>3</v>
      </c>
      <c r="C5" s="44">
        <f t="shared" si="0"/>
        <v>0</v>
      </c>
      <c r="D5" s="44">
        <f t="shared" si="0"/>
        <v>0</v>
      </c>
      <c r="E5" s="6" t="s">
        <v>90</v>
      </c>
      <c r="F5" s="49">
        <v>2.7272000000000002E-25</v>
      </c>
      <c r="G5" s="49">
        <v>4.1284999999999998E-19</v>
      </c>
      <c r="H5" s="49">
        <v>4.7402E-15</v>
      </c>
      <c r="I5" s="49">
        <v>3.3996000000000002E-12</v>
      </c>
      <c r="J5" s="49">
        <v>4.5457000000000001E-10</v>
      </c>
      <c r="K5" s="49">
        <v>2.3800999999999999E-8</v>
      </c>
      <c r="L5" s="49">
        <v>7.5532000000000002E-7</v>
      </c>
      <c r="M5" s="49">
        <v>1.1523E-5</v>
      </c>
      <c r="N5" s="49">
        <v>9.4486000000000003E-5</v>
      </c>
      <c r="O5" s="49">
        <v>4.8326E-4</v>
      </c>
      <c r="P5" s="49">
        <v>1.4422E-3</v>
      </c>
      <c r="Q5" s="49">
        <v>2.5249999999999999E-3</v>
      </c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0"/>
        <v>0</v>
      </c>
      <c r="B6" s="44">
        <f t="shared" si="0"/>
        <v>4</v>
      </c>
      <c r="C6" s="44">
        <f t="shared" si="0"/>
        <v>0</v>
      </c>
      <c r="D6" s="44">
        <f t="shared" si="0"/>
        <v>0</v>
      </c>
      <c r="E6" s="6" t="s">
        <v>91</v>
      </c>
      <c r="F6" s="49">
        <v>2.8659000000000002E-23</v>
      </c>
      <c r="G6" s="49">
        <v>1.0815E-17</v>
      </c>
      <c r="H6" s="49">
        <v>4.5689999999999999E-14</v>
      </c>
      <c r="I6" s="49">
        <v>1.5355000000000002E-11</v>
      </c>
      <c r="J6" s="49">
        <v>1.1383999999999999E-9</v>
      </c>
      <c r="K6" s="49">
        <v>3.8416999999999999E-8</v>
      </c>
      <c r="L6" s="49">
        <v>9.1559000000000001E-7</v>
      </c>
      <c r="M6" s="49">
        <v>1.0886999999999999E-5</v>
      </c>
      <c r="N6" s="49">
        <v>6.9212000000000001E-5</v>
      </c>
      <c r="O6" s="49">
        <v>2.6913000000000002E-4</v>
      </c>
      <c r="P6" s="49">
        <v>5.6862000000000004E-4</v>
      </c>
      <c r="Q6" s="49">
        <v>6.5127000000000002E-4</v>
      </c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0"/>
        <v>0</v>
      </c>
      <c r="B7" s="44">
        <f t="shared" si="0"/>
        <v>5</v>
      </c>
      <c r="C7" s="44">
        <f t="shared" si="0"/>
        <v>0</v>
      </c>
      <c r="D7" s="44">
        <f t="shared" si="0"/>
        <v>0</v>
      </c>
      <c r="E7" s="6" t="s">
        <v>92</v>
      </c>
      <c r="F7" s="49">
        <v>8.2633000000000005E-20</v>
      </c>
      <c r="G7" s="49">
        <v>1.0203E-14</v>
      </c>
      <c r="H7" s="49">
        <v>1.9250000000000001E-11</v>
      </c>
      <c r="I7" s="49">
        <v>3.5040999999999999E-9</v>
      </c>
      <c r="J7" s="49">
        <v>1.6116E-7</v>
      </c>
      <c r="K7" s="49">
        <v>3.8342999999999999E-6</v>
      </c>
      <c r="L7" s="49">
        <v>7.3837999999999993E-5</v>
      </c>
      <c r="M7" s="49">
        <v>7.2721000000000005E-4</v>
      </c>
      <c r="N7" s="49">
        <v>3.7735999999999998E-3</v>
      </c>
      <c r="O7" s="49">
        <v>1.1657000000000001E-2</v>
      </c>
      <c r="P7" s="49">
        <v>1.8113000000000001E-2</v>
      </c>
      <c r="Q7" s="49">
        <v>1.4031E-2</v>
      </c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0"/>
        <v>0</v>
      </c>
      <c r="B8" s="44">
        <f t="shared" si="0"/>
        <v>6</v>
      </c>
      <c r="C8" s="44">
        <f t="shared" si="0"/>
        <v>0</v>
      </c>
      <c r="D8" s="44">
        <f t="shared" si="0"/>
        <v>0</v>
      </c>
      <c r="E8" s="6" t="s">
        <v>93</v>
      </c>
      <c r="F8" s="49">
        <v>3.1684999999999997E-17</v>
      </c>
      <c r="G8" s="49">
        <v>5.6344999999999999E-13</v>
      </c>
      <c r="H8" s="49">
        <v>2.7184000000000001E-10</v>
      </c>
      <c r="I8" s="49">
        <v>1.7900999999999999E-8</v>
      </c>
      <c r="J8" s="49">
        <v>3.7619999999999999E-7</v>
      </c>
      <c r="K8" s="49">
        <v>4.9656000000000004E-6</v>
      </c>
      <c r="L8" s="49">
        <v>6.3712000000000003E-5</v>
      </c>
      <c r="M8" s="49">
        <v>4.4351999999999998E-4</v>
      </c>
      <c r="N8" s="49">
        <v>1.6451E-3</v>
      </c>
      <c r="O8" s="49">
        <v>3.6072999999999999E-3</v>
      </c>
      <c r="P8" s="49">
        <v>3.7415999999999999E-3</v>
      </c>
      <c r="Q8" s="49">
        <v>1.802E-3</v>
      </c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0"/>
        <v>0</v>
      </c>
      <c r="B9" s="44">
        <f t="shared" si="0"/>
        <v>7</v>
      </c>
      <c r="C9" s="44">
        <f t="shared" si="0"/>
        <v>0</v>
      </c>
      <c r="D9" s="44">
        <f t="shared" si="0"/>
        <v>0</v>
      </c>
      <c r="E9" s="6" t="s">
        <v>96</v>
      </c>
      <c r="F9" s="49">
        <v>2.7152E-18</v>
      </c>
      <c r="G9" s="49">
        <v>8.4466000000000006E-14</v>
      </c>
      <c r="H9" s="49">
        <v>5.5933000000000001E-11</v>
      </c>
      <c r="I9" s="49">
        <v>4.4589999999999996E-9</v>
      </c>
      <c r="J9" s="49">
        <v>1.064E-7</v>
      </c>
      <c r="K9" s="49">
        <v>1.5854000000000001E-6</v>
      </c>
      <c r="L9" s="49">
        <v>2.3963000000000001E-5</v>
      </c>
      <c r="M9" s="49">
        <v>1.8815999999999999E-4</v>
      </c>
      <c r="N9" s="49">
        <v>7.3693999999999995E-4</v>
      </c>
      <c r="O9" s="49">
        <v>1.5964E-3</v>
      </c>
      <c r="P9" s="49">
        <v>1.4679999999999999E-3</v>
      </c>
      <c r="Q9" s="49">
        <v>5.6232000000000005E-4</v>
      </c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0"/>
        <v>0</v>
      </c>
      <c r="B10" s="44">
        <f t="shared" si="0"/>
        <v>8</v>
      </c>
      <c r="C10" s="44">
        <f t="shared" si="0"/>
        <v>0</v>
      </c>
      <c r="D10" s="44">
        <f t="shared" si="0"/>
        <v>0</v>
      </c>
      <c r="E10" s="6" t="s">
        <v>94</v>
      </c>
      <c r="F10" s="49">
        <v>4.8741E-20</v>
      </c>
      <c r="G10" s="49">
        <v>2.3718E-15</v>
      </c>
      <c r="H10" s="49">
        <v>2.0010000000000001E-12</v>
      </c>
      <c r="I10" s="49">
        <v>1.8312999999999999E-10</v>
      </c>
      <c r="J10" s="49">
        <v>4.7675000000000003E-9</v>
      </c>
      <c r="K10" s="49">
        <v>7.7751000000000006E-8</v>
      </c>
      <c r="L10" s="49">
        <v>1.3506E-6</v>
      </c>
      <c r="M10" s="49">
        <v>1.1721E-5</v>
      </c>
      <c r="N10" s="49">
        <v>4.7664999999999998E-5</v>
      </c>
      <c r="O10" s="49">
        <v>1.0056E-4</v>
      </c>
      <c r="P10" s="49">
        <v>8.0994000000000004E-5</v>
      </c>
      <c r="Q10" s="49">
        <v>2.4414E-5</v>
      </c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0"/>
        <v>0</v>
      </c>
      <c r="B11" s="44">
        <f t="shared" si="0"/>
        <v>2</v>
      </c>
      <c r="C11" s="44">
        <f t="shared" si="0"/>
        <v>0</v>
      </c>
      <c r="D11" s="44">
        <f t="shared" si="0"/>
        <v>0</v>
      </c>
      <c r="E11" s="6" t="s">
        <v>95</v>
      </c>
      <c r="F11" s="49">
        <v>3.8015999999999999E-20</v>
      </c>
      <c r="G11" s="49">
        <v>4.4898999999999999E-15</v>
      </c>
      <c r="H11" s="49">
        <v>1.0205E-11</v>
      </c>
      <c r="I11" s="49">
        <v>2.4292999999999999E-9</v>
      </c>
      <c r="J11" s="49">
        <v>1.4644000000000001E-7</v>
      </c>
      <c r="K11" s="49">
        <v>4.0779999999999997E-6</v>
      </c>
      <c r="L11" s="49">
        <v>7.3652000000000006E-5</v>
      </c>
      <c r="M11" s="49">
        <v>7.2294000000000004E-4</v>
      </c>
      <c r="N11" s="49">
        <v>4.3204000000000003E-3</v>
      </c>
      <c r="O11" s="49">
        <v>1.7999999999999999E-2</v>
      </c>
      <c r="P11" s="49">
        <v>5.0483E-2</v>
      </c>
      <c r="Q11" s="49">
        <v>9.5179E-2</v>
      </c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0"/>
        <v>0</v>
      </c>
      <c r="B12" s="44">
        <f t="shared" si="0"/>
        <v>1</v>
      </c>
      <c r="C12" s="44">
        <f t="shared" si="0"/>
        <v>0</v>
      </c>
      <c r="D12" s="44">
        <f t="shared" si="0"/>
        <v>0</v>
      </c>
      <c r="E12" s="6" t="s">
        <v>2</v>
      </c>
      <c r="F12" s="49">
        <v>0</v>
      </c>
      <c r="G12" s="49">
        <v>5.7083999999999999E-31</v>
      </c>
      <c r="H12" s="49">
        <v>3.8909000000000002E-25</v>
      </c>
      <c r="I12" s="49">
        <v>5.8823999999999999E-21</v>
      </c>
      <c r="J12" s="49">
        <v>8.3353999999999996E-18</v>
      </c>
      <c r="K12" s="49">
        <v>2.6978000000000002E-15</v>
      </c>
      <c r="L12" s="49">
        <v>3.2924999999999999E-13</v>
      </c>
      <c r="M12" s="49">
        <v>1.5834000000000001E-11</v>
      </c>
      <c r="N12" s="49">
        <v>3.7623E-10</v>
      </c>
      <c r="O12" s="49">
        <v>5.3875000000000003E-9</v>
      </c>
      <c r="P12" s="49">
        <v>4.8953000000000002E-8</v>
      </c>
      <c r="Q12" s="49">
        <v>2.9139999999999998E-7</v>
      </c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0"/>
        <v>0</v>
      </c>
      <c r="B13" s="44">
        <f t="shared" si="0"/>
        <v>1</v>
      </c>
      <c r="C13" s="44">
        <f t="shared" si="0"/>
        <v>0</v>
      </c>
      <c r="D13" s="44">
        <f t="shared" si="0"/>
        <v>2</v>
      </c>
      <c r="E13" s="6" t="s">
        <v>82</v>
      </c>
      <c r="F13" s="49">
        <v>2.4508999999999998E-10</v>
      </c>
      <c r="G13" s="49">
        <v>2.5343000000000001E-7</v>
      </c>
      <c r="H13" s="49">
        <v>2.336E-5</v>
      </c>
      <c r="I13" s="49">
        <v>5.4794999999999996E-4</v>
      </c>
      <c r="J13" s="49">
        <v>5.5066999999999998E-3</v>
      </c>
      <c r="K13" s="49">
        <v>3.0283000000000001E-2</v>
      </c>
      <c r="L13" s="49">
        <v>7.9266000000000003E-2</v>
      </c>
      <c r="M13" s="49">
        <v>0.10901</v>
      </c>
      <c r="N13" s="49">
        <v>0.12328</v>
      </c>
      <c r="O13" s="49">
        <v>0.1318</v>
      </c>
      <c r="P13" s="49">
        <v>0.13641</v>
      </c>
      <c r="Q13" s="49">
        <v>0.13813</v>
      </c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0"/>
        <v>1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 t="s">
        <v>1</v>
      </c>
      <c r="F14" s="49">
        <v>0.2</v>
      </c>
      <c r="G14" s="49">
        <v>0.2</v>
      </c>
      <c r="H14" s="49">
        <v>0.2</v>
      </c>
      <c r="I14" s="49">
        <v>0.2</v>
      </c>
      <c r="J14" s="49">
        <v>0.2</v>
      </c>
      <c r="K14" s="49">
        <v>0.2</v>
      </c>
      <c r="L14" s="49">
        <v>0.2</v>
      </c>
      <c r="M14" s="49">
        <v>0.2</v>
      </c>
      <c r="N14" s="49">
        <v>0.2</v>
      </c>
      <c r="O14" s="49">
        <v>0.2</v>
      </c>
      <c r="P14" s="49">
        <v>0.2</v>
      </c>
      <c r="Q14" s="49">
        <v>0.2</v>
      </c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0"/>
        <v>0</v>
      </c>
      <c r="B15" s="44">
        <f t="shared" si="0"/>
        <v>0</v>
      </c>
      <c r="C15" s="44">
        <f t="shared" si="0"/>
        <v>0</v>
      </c>
      <c r="D15" s="44">
        <f t="shared" si="0"/>
        <v>1</v>
      </c>
      <c r="E15" s="6" t="s">
        <v>84</v>
      </c>
      <c r="F15" s="49">
        <v>0.28000000000000003</v>
      </c>
      <c r="G15" s="49">
        <v>0.28000000000000003</v>
      </c>
      <c r="H15" s="49">
        <v>0.27994999999999998</v>
      </c>
      <c r="I15" s="49">
        <v>0.27889999999999998</v>
      </c>
      <c r="J15" s="49">
        <v>0.26899000000000001</v>
      </c>
      <c r="K15" s="49">
        <v>0.21942999999999999</v>
      </c>
      <c r="L15" s="49">
        <v>0.12146999999999999</v>
      </c>
      <c r="M15" s="49">
        <v>6.1982000000000002E-2</v>
      </c>
      <c r="N15" s="49">
        <v>3.3440999999999999E-2</v>
      </c>
      <c r="O15" s="49">
        <v>1.6393000000000001E-2</v>
      </c>
      <c r="P15" s="49">
        <v>7.1728E-3</v>
      </c>
      <c r="Q15" s="49">
        <v>3.7469000000000001E-3</v>
      </c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0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6" t="s">
        <v>86</v>
      </c>
      <c r="F16" s="49">
        <v>0.04</v>
      </c>
      <c r="G16" s="49">
        <v>0.04</v>
      </c>
      <c r="H16" s="49">
        <v>0.04</v>
      </c>
      <c r="I16" s="49">
        <v>0.04</v>
      </c>
      <c r="J16" s="49">
        <v>0.04</v>
      </c>
      <c r="K16" s="49">
        <v>0.04</v>
      </c>
      <c r="L16" s="49">
        <v>0.04</v>
      </c>
      <c r="M16" s="49">
        <v>0.04</v>
      </c>
      <c r="N16" s="49">
        <v>0.04</v>
      </c>
      <c r="O16" s="49">
        <v>0.04</v>
      </c>
      <c r="P16" s="49">
        <v>0.04</v>
      </c>
      <c r="Q16" s="49">
        <v>0.04</v>
      </c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0"/>
        <v>0</v>
      </c>
      <c r="B17" s="44">
        <f t="shared" si="0"/>
        <v>1</v>
      </c>
      <c r="C17" s="44">
        <f t="shared" si="0"/>
        <v>0</v>
      </c>
      <c r="D17" s="44">
        <f t="shared" si="0"/>
        <v>0</v>
      </c>
      <c r="E17" s="6" t="s">
        <v>87</v>
      </c>
      <c r="F17" s="49">
        <v>0.48</v>
      </c>
      <c r="G17" s="49">
        <v>0.48</v>
      </c>
      <c r="H17" s="49">
        <v>0.47998000000000002</v>
      </c>
      <c r="I17" s="49">
        <v>0.47944999999999999</v>
      </c>
      <c r="J17" s="49">
        <v>0.47449000000000002</v>
      </c>
      <c r="K17" s="49">
        <v>0.44964999999999999</v>
      </c>
      <c r="L17" s="49">
        <v>0.39965000000000001</v>
      </c>
      <c r="M17" s="49">
        <v>0.36176000000000003</v>
      </c>
      <c r="N17" s="49">
        <v>0.31324000000000002</v>
      </c>
      <c r="O17" s="49">
        <v>0.21776000000000001</v>
      </c>
      <c r="P17" s="49">
        <v>0.11208</v>
      </c>
      <c r="Q17" s="49">
        <v>5.6237000000000002E-2</v>
      </c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0"/>
        <v>1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 t="s">
        <v>27</v>
      </c>
      <c r="F18" s="49">
        <v>-18.62</v>
      </c>
      <c r="G18" s="49">
        <v>-18.63</v>
      </c>
      <c r="H18" s="49">
        <v>-18.72</v>
      </c>
      <c r="I18" s="49">
        <v>-18.84</v>
      </c>
      <c r="J18" s="49">
        <v>-19</v>
      </c>
      <c r="K18" s="49">
        <v>-19.25</v>
      </c>
      <c r="L18" s="49">
        <v>-19.579999999999998</v>
      </c>
      <c r="M18" s="49">
        <v>-19.82</v>
      </c>
      <c r="N18" s="49">
        <v>-20.03</v>
      </c>
      <c r="O18" s="49">
        <v>-20.25</v>
      </c>
      <c r="P18" s="49">
        <v>-20.49</v>
      </c>
      <c r="Q18" s="49">
        <v>-20.7</v>
      </c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0"/>
        <v>0</v>
      </c>
      <c r="B19" s="44">
        <f t="shared" si="0"/>
        <v>0</v>
      </c>
      <c r="C19" s="44">
        <f t="shared" si="0"/>
        <v>0</v>
      </c>
      <c r="D19" s="44">
        <f t="shared" si="0"/>
        <v>1</v>
      </c>
      <c r="E19" s="6" t="s">
        <v>5</v>
      </c>
      <c r="F19" s="49">
        <v>-5.7169999999999996</v>
      </c>
      <c r="G19" s="49">
        <v>-6.2089999999999996</v>
      </c>
      <c r="H19" s="49">
        <v>-6.649</v>
      </c>
      <c r="I19" s="49">
        <v>-7.0430000000000001</v>
      </c>
      <c r="J19" s="49">
        <v>-7.4130000000000003</v>
      </c>
      <c r="K19" s="49">
        <v>-7.835</v>
      </c>
      <c r="L19" s="49">
        <v>-8.4830000000000005</v>
      </c>
      <c r="M19" s="49">
        <v>-9.234</v>
      </c>
      <c r="N19" s="49">
        <v>-9.9160000000000004</v>
      </c>
      <c r="O19" s="49">
        <v>-10.51</v>
      </c>
      <c r="P19" s="49">
        <v>-11.01</v>
      </c>
      <c r="Q19" s="49">
        <v>-11.39</v>
      </c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0"/>
        <v>0</v>
      </c>
      <c r="B20" s="44">
        <f t="shared" si="0"/>
        <v>0</v>
      </c>
      <c r="C20" s="44">
        <f t="shared" si="0"/>
        <v>1</v>
      </c>
      <c r="D20" s="44">
        <f t="shared" si="0"/>
        <v>0</v>
      </c>
      <c r="E20" s="6" t="s">
        <v>6</v>
      </c>
      <c r="F20" s="49">
        <v>5.5659999999999998</v>
      </c>
      <c r="G20" s="49">
        <v>2.508</v>
      </c>
      <c r="H20" s="49">
        <v>0.3417</v>
      </c>
      <c r="I20" s="49">
        <v>-1.292</v>
      </c>
      <c r="J20" s="49">
        <v>-2.5640000000000001</v>
      </c>
      <c r="K20" s="49">
        <v>-3.5169999999999999</v>
      </c>
      <c r="L20" s="49">
        <v>-4.1639999999999997</v>
      </c>
      <c r="M20" s="49">
        <v>-4.726</v>
      </c>
      <c r="N20" s="49">
        <v>-5.1970000000000001</v>
      </c>
      <c r="O20" s="49">
        <v>-5.4269999999999996</v>
      </c>
      <c r="P20" s="49">
        <v>-5.3949999999999996</v>
      </c>
      <c r="Q20" s="49">
        <v>-5.3879999999999999</v>
      </c>
      <c r="R20" s="49"/>
      <c r="S20" s="49"/>
      <c r="T20" s="49"/>
      <c r="U20" s="49"/>
      <c r="V20" s="49"/>
      <c r="W20" s="49"/>
      <c r="X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0"/>
        <v>0</v>
      </c>
      <c r="B21" s="44">
        <f t="shared" si="0"/>
        <v>1</v>
      </c>
      <c r="C21" s="44">
        <f t="shared" si="0"/>
        <v>0</v>
      </c>
      <c r="D21" s="44">
        <f t="shared" si="0"/>
        <v>0</v>
      </c>
      <c r="E21" s="48" t="s">
        <v>7</v>
      </c>
      <c r="F21" s="49">
        <v>-4.7</v>
      </c>
      <c r="G21" s="49">
        <v>-5.0519999999999996</v>
      </c>
      <c r="H21" s="49">
        <v>-5.44</v>
      </c>
      <c r="I21" s="49">
        <v>-5.8230000000000004</v>
      </c>
      <c r="J21" s="49">
        <v>-6.18</v>
      </c>
      <c r="K21" s="49">
        <v>-6.476</v>
      </c>
      <c r="L21" s="49">
        <v>-6.6790000000000003</v>
      </c>
      <c r="M21" s="49">
        <v>-6.8860000000000001</v>
      </c>
      <c r="N21" s="49">
        <v>-7.1260000000000003</v>
      </c>
      <c r="O21" s="49">
        <v>-7.4080000000000004</v>
      </c>
      <c r="P21" s="49">
        <v>-7.7750000000000004</v>
      </c>
      <c r="Q21" s="49">
        <v>-8.2319999999999993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0"/>
        <v>0</v>
      </c>
      <c r="B22" s="44">
        <f t="shared" si="0"/>
        <v>0</v>
      </c>
      <c r="C22" s="44">
        <f t="shared" si="0"/>
        <v>0</v>
      </c>
      <c r="D22" s="44">
        <f t="shared" si="0"/>
        <v>0</v>
      </c>
      <c r="E22" s="48" t="s">
        <v>72</v>
      </c>
      <c r="F22" s="49">
        <v>0.2</v>
      </c>
      <c r="G22" s="49">
        <v>0.2</v>
      </c>
      <c r="H22" s="49">
        <v>0.20002</v>
      </c>
      <c r="I22" s="49">
        <v>0.20055000000000001</v>
      </c>
      <c r="J22" s="49">
        <v>0.20551</v>
      </c>
      <c r="K22" s="49">
        <v>0.2303</v>
      </c>
      <c r="L22" s="49">
        <v>0.27950000000000003</v>
      </c>
      <c r="M22" s="49">
        <v>0.31113000000000002</v>
      </c>
      <c r="N22" s="49">
        <v>0.33396999999999999</v>
      </c>
      <c r="O22" s="49">
        <v>0.36752000000000001</v>
      </c>
      <c r="P22" s="49">
        <v>0.41231000000000001</v>
      </c>
      <c r="Q22" s="49">
        <v>0.45290000000000002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ref="A23:D27" si="1">IF( ISNUMBER( FIND(A$3,$E23,1)),   IF( ISNUMBER( VALUE(MID($E23,FIND(A$3,$E23,1)+2,1)) ), VALUE( MID($E23,FIND(A$3,$E23,1)+2,1) ),1),0)</f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27</v>
      </c>
      <c r="D34" s="47">
        <f t="shared" ref="D34:D35" si="3">MATCH(C34,$E$4:$E$33)</f>
        <v>15</v>
      </c>
      <c r="E34" s="11" t="str">
        <f t="shared" ref="E34:N37" ca="1" si="4">OFFSET($E$3:$AL$3,$D34,0)</f>
        <v>H (Ar)</v>
      </c>
      <c r="F34" s="14">
        <f t="shared" ca="1" si="4"/>
        <v>-18.62</v>
      </c>
      <c r="G34" s="14">
        <f t="shared" ca="1" si="4"/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-19</v>
      </c>
      <c r="K34" s="14">
        <f t="shared" ca="1" si="4"/>
        <v>-19.25</v>
      </c>
      <c r="L34" s="14">
        <f t="shared" ca="1" si="4"/>
        <v>-19.579999999999998</v>
      </c>
      <c r="M34" s="14">
        <f t="shared" ca="1" si="4"/>
        <v>-19.82</v>
      </c>
      <c r="N34" s="14">
        <f t="shared" ca="1" si="4"/>
        <v>-20.03</v>
      </c>
      <c r="O34" s="14">
        <f t="shared" ref="O34:X37" ca="1" si="5">OFFSET($E$3:$AL$3,$D34,0)</f>
        <v>-20.25</v>
      </c>
      <c r="P34" s="14">
        <f t="shared" ca="1" si="5"/>
        <v>-20.49</v>
      </c>
      <c r="Q34" s="14">
        <f t="shared" ca="1" si="5"/>
        <v>-20.7</v>
      </c>
      <c r="R34" s="14">
        <f t="shared" ca="1" si="5"/>
        <v>0</v>
      </c>
      <c r="S34" s="14">
        <f t="shared" ca="1" si="5"/>
        <v>0</v>
      </c>
      <c r="T34" s="14">
        <f t="shared" ca="1" si="5"/>
        <v>0</v>
      </c>
      <c r="U34" s="14">
        <f t="shared" ca="1" si="5"/>
        <v>0</v>
      </c>
      <c r="V34" s="14">
        <f t="shared" ca="1" si="5"/>
        <v>0</v>
      </c>
      <c r="W34" s="14">
        <f t="shared" ca="1" si="5"/>
        <v>0</v>
      </c>
      <c r="X34" s="14">
        <f t="shared" ca="1" si="5"/>
        <v>0</v>
      </c>
      <c r="Y34" s="14">
        <f t="shared" ref="Y34:AL37" ca="1" si="6">OFFSET($E$3:$AL$3,$D34,0)</f>
        <v>0</v>
      </c>
      <c r="Z34" s="14">
        <f t="shared" ca="1" si="6"/>
        <v>0</v>
      </c>
      <c r="AA34" s="14">
        <f t="shared" ca="1" si="6"/>
        <v>0</v>
      </c>
      <c r="AB34" s="14">
        <f t="shared" ca="1" si="6"/>
        <v>0</v>
      </c>
      <c r="AC34" s="14">
        <f t="shared" ca="1" si="6"/>
        <v>0</v>
      </c>
      <c r="AD34" s="14">
        <f t="shared" ca="1" si="6"/>
        <v>0</v>
      </c>
      <c r="AE34" s="14">
        <f t="shared" ca="1" si="6"/>
        <v>0</v>
      </c>
      <c r="AF34" s="14">
        <f t="shared" ca="1" si="6"/>
        <v>0</v>
      </c>
      <c r="AG34" s="14">
        <f t="shared" ca="1" si="6"/>
        <v>0</v>
      </c>
      <c r="AH34" s="14">
        <f t="shared" ca="1" si="6"/>
        <v>0</v>
      </c>
      <c r="AI34" s="14">
        <f t="shared" ca="1" si="6"/>
        <v>0</v>
      </c>
      <c r="AJ34" s="14">
        <f t="shared" ca="1" si="6"/>
        <v>0</v>
      </c>
      <c r="AK34" s="14">
        <f t="shared" ca="1" si="6"/>
        <v>0</v>
      </c>
      <c r="AL34" s="14">
        <f t="shared" ca="1" si="6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si="3"/>
        <v>16</v>
      </c>
      <c r="E35" s="11" t="str">
        <f t="shared" ca="1" si="4"/>
        <v>H (Ga)</v>
      </c>
      <c r="F35" s="14">
        <f t="shared" ca="1" si="4"/>
        <v>-5.7169999999999996</v>
      </c>
      <c r="G35" s="14">
        <f t="shared" ca="1" si="4"/>
        <v>-6.2089999999999996</v>
      </c>
      <c r="H35" s="14">
        <f t="shared" ca="1" si="4"/>
        <v>-6.649</v>
      </c>
      <c r="I35" s="14">
        <f t="shared" ca="1" si="4"/>
        <v>-7.0430000000000001</v>
      </c>
      <c r="J35" s="14">
        <f t="shared" ca="1" si="4"/>
        <v>-7.4130000000000003</v>
      </c>
      <c r="K35" s="14">
        <f t="shared" ca="1" si="4"/>
        <v>-7.835</v>
      </c>
      <c r="L35" s="14">
        <f t="shared" ca="1" si="4"/>
        <v>-8.4830000000000005</v>
      </c>
      <c r="M35" s="14">
        <f t="shared" ca="1" si="4"/>
        <v>-9.234</v>
      </c>
      <c r="N35" s="14">
        <f t="shared" ca="1" si="4"/>
        <v>-9.9160000000000004</v>
      </c>
      <c r="O35" s="14">
        <f t="shared" ca="1" si="5"/>
        <v>-10.51</v>
      </c>
      <c r="P35" s="14">
        <f t="shared" ca="1" si="5"/>
        <v>-11.01</v>
      </c>
      <c r="Q35" s="14">
        <f t="shared" ca="1" si="5"/>
        <v>-11.39</v>
      </c>
      <c r="R35" s="14">
        <f t="shared" ca="1" si="5"/>
        <v>0</v>
      </c>
      <c r="S35" s="14">
        <f t="shared" ca="1" si="5"/>
        <v>0</v>
      </c>
      <c r="T35" s="14">
        <f t="shared" ca="1" si="5"/>
        <v>0</v>
      </c>
      <c r="U35" s="14">
        <f t="shared" ca="1" si="5"/>
        <v>0</v>
      </c>
      <c r="V35" s="14">
        <f t="shared" ca="1" si="5"/>
        <v>0</v>
      </c>
      <c r="W35" s="14">
        <f t="shared" ca="1" si="5"/>
        <v>0</v>
      </c>
      <c r="X35" s="14">
        <f t="shared" ca="1" si="5"/>
        <v>0</v>
      </c>
      <c r="Y35" s="14">
        <f t="shared" ca="1" si="6"/>
        <v>0</v>
      </c>
      <c r="Z35" s="14">
        <f t="shared" ca="1" si="6"/>
        <v>0</v>
      </c>
      <c r="AA35" s="14">
        <f t="shared" ca="1" si="6"/>
        <v>0</v>
      </c>
      <c r="AB35" s="14">
        <f t="shared" ca="1" si="6"/>
        <v>0</v>
      </c>
      <c r="AC35" s="14">
        <f t="shared" ca="1" si="6"/>
        <v>0</v>
      </c>
      <c r="AD35" s="14">
        <f t="shared" ca="1" si="6"/>
        <v>0</v>
      </c>
      <c r="AE35" s="14">
        <f t="shared" ca="1" si="6"/>
        <v>0</v>
      </c>
      <c r="AF35" s="14">
        <f t="shared" ca="1" si="6"/>
        <v>0</v>
      </c>
      <c r="AG35" s="14">
        <f t="shared" ca="1" si="6"/>
        <v>0</v>
      </c>
      <c r="AH35" s="14">
        <f t="shared" ca="1" si="6"/>
        <v>0</v>
      </c>
      <c r="AI35" s="14">
        <f t="shared" ca="1" si="6"/>
        <v>0</v>
      </c>
      <c r="AJ35" s="14">
        <f t="shared" ca="1" si="6"/>
        <v>0</v>
      </c>
      <c r="AK35" s="14">
        <f t="shared" ca="1" si="6"/>
        <v>0</v>
      </c>
      <c r="AL35" s="14">
        <f t="shared" ca="1" si="6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>MATCH(C36,$E$4:$E$33)</f>
        <v>17</v>
      </c>
      <c r="E36" s="11" t="str">
        <f t="shared" ca="1" si="4"/>
        <v>H (Ge)</v>
      </c>
      <c r="F36" s="14">
        <f t="shared" ca="1" si="4"/>
        <v>5.5659999999999998</v>
      </c>
      <c r="G36" s="14">
        <f t="shared" ca="1" si="4"/>
        <v>2.508</v>
      </c>
      <c r="H36" s="14">
        <f t="shared" ca="1" si="4"/>
        <v>0.3417</v>
      </c>
      <c r="I36" s="14">
        <f t="shared" ca="1" si="4"/>
        <v>-1.292</v>
      </c>
      <c r="J36" s="14">
        <f t="shared" ca="1" si="4"/>
        <v>-2.5640000000000001</v>
      </c>
      <c r="K36" s="14">
        <f t="shared" ca="1" si="4"/>
        <v>-3.5169999999999999</v>
      </c>
      <c r="L36" s="14">
        <f t="shared" ca="1" si="4"/>
        <v>-4.1639999999999997</v>
      </c>
      <c r="M36" s="14">
        <f t="shared" ca="1" si="4"/>
        <v>-4.726</v>
      </c>
      <c r="N36" s="14">
        <f t="shared" ca="1" si="4"/>
        <v>-5.1970000000000001</v>
      </c>
      <c r="O36" s="14">
        <f t="shared" ca="1" si="5"/>
        <v>-5.4269999999999996</v>
      </c>
      <c r="P36" s="14">
        <f t="shared" ca="1" si="5"/>
        <v>-5.3949999999999996</v>
      </c>
      <c r="Q36" s="14">
        <f t="shared" ca="1" si="5"/>
        <v>-5.3879999999999999</v>
      </c>
      <c r="R36" s="14">
        <f t="shared" ca="1" si="5"/>
        <v>0</v>
      </c>
      <c r="S36" s="14">
        <f t="shared" ca="1" si="5"/>
        <v>0</v>
      </c>
      <c r="T36" s="14">
        <f t="shared" ca="1" si="5"/>
        <v>0</v>
      </c>
      <c r="U36" s="14">
        <f t="shared" ca="1" si="5"/>
        <v>0</v>
      </c>
      <c r="V36" s="14">
        <f t="shared" ca="1" si="5"/>
        <v>0</v>
      </c>
      <c r="W36" s="14">
        <f t="shared" ca="1" si="5"/>
        <v>0</v>
      </c>
      <c r="X36" s="14">
        <f t="shared" ca="1" si="5"/>
        <v>0</v>
      </c>
      <c r="Y36" s="14">
        <f t="shared" ca="1" si="6"/>
        <v>0</v>
      </c>
      <c r="Z36" s="14">
        <f t="shared" ca="1" si="6"/>
        <v>0</v>
      </c>
      <c r="AA36" s="14">
        <f t="shared" ca="1" si="6"/>
        <v>0</v>
      </c>
      <c r="AB36" s="14">
        <f t="shared" ca="1" si="6"/>
        <v>0</v>
      </c>
      <c r="AC36" s="14">
        <f t="shared" ca="1" si="6"/>
        <v>0</v>
      </c>
      <c r="AD36" s="14">
        <f t="shared" ca="1" si="6"/>
        <v>0</v>
      </c>
      <c r="AE36" s="14">
        <f t="shared" ca="1" si="6"/>
        <v>0</v>
      </c>
      <c r="AF36" s="14">
        <f t="shared" ca="1" si="6"/>
        <v>0</v>
      </c>
      <c r="AG36" s="14">
        <f t="shared" ca="1" si="6"/>
        <v>0</v>
      </c>
      <c r="AH36" s="14">
        <f t="shared" ca="1" si="6"/>
        <v>0</v>
      </c>
      <c r="AI36" s="14">
        <f t="shared" ca="1" si="6"/>
        <v>0</v>
      </c>
      <c r="AJ36" s="14">
        <f t="shared" ca="1" si="6"/>
        <v>0</v>
      </c>
      <c r="AK36" s="14">
        <f t="shared" ca="1" si="6"/>
        <v>0</v>
      </c>
      <c r="AL36" s="14">
        <f t="shared" ca="1" si="6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>MATCH(C37,$E$4:$E$33)</f>
        <v>18</v>
      </c>
      <c r="E37" s="11" t="str">
        <f t="shared" ca="1" si="4"/>
        <v>H (Se)</v>
      </c>
      <c r="F37" s="14">
        <f t="shared" ca="1" si="4"/>
        <v>-4.7</v>
      </c>
      <c r="G37" s="14">
        <f t="shared" ca="1" si="4"/>
        <v>-5.0519999999999996</v>
      </c>
      <c r="H37" s="14">
        <f t="shared" ca="1" si="4"/>
        <v>-5.44</v>
      </c>
      <c r="I37" s="14">
        <f t="shared" ca="1" si="4"/>
        <v>-5.8230000000000004</v>
      </c>
      <c r="J37" s="14">
        <f t="shared" ca="1" si="4"/>
        <v>-6.18</v>
      </c>
      <c r="K37" s="14">
        <f t="shared" ca="1" si="4"/>
        <v>-6.476</v>
      </c>
      <c r="L37" s="14">
        <f t="shared" ca="1" si="4"/>
        <v>-6.6790000000000003</v>
      </c>
      <c r="M37" s="14">
        <f t="shared" ca="1" si="4"/>
        <v>-6.8860000000000001</v>
      </c>
      <c r="N37" s="14">
        <f t="shared" ca="1" si="4"/>
        <v>-7.1260000000000003</v>
      </c>
      <c r="O37" s="14">
        <f t="shared" ca="1" si="5"/>
        <v>-7.4080000000000004</v>
      </c>
      <c r="P37" s="14">
        <f t="shared" ca="1" si="5"/>
        <v>-7.7750000000000004</v>
      </c>
      <c r="Q37" s="14">
        <f t="shared" ca="1" si="5"/>
        <v>-8.2319999999999993</v>
      </c>
      <c r="R37" s="14">
        <f t="shared" ca="1" si="5"/>
        <v>0</v>
      </c>
      <c r="S37" s="14">
        <f t="shared" ca="1" si="5"/>
        <v>0</v>
      </c>
      <c r="T37" s="14">
        <f t="shared" ca="1" si="5"/>
        <v>0</v>
      </c>
      <c r="U37" s="14">
        <f t="shared" ca="1" si="5"/>
        <v>0</v>
      </c>
      <c r="V37" s="14">
        <f t="shared" ca="1" si="5"/>
        <v>0</v>
      </c>
      <c r="W37" s="14">
        <f t="shared" ca="1" si="5"/>
        <v>0</v>
      </c>
      <c r="X37" s="14">
        <f t="shared" ca="1" si="5"/>
        <v>0</v>
      </c>
      <c r="Y37" s="14">
        <f t="shared" ca="1" si="6"/>
        <v>0</v>
      </c>
      <c r="Z37" s="14">
        <f t="shared" ca="1" si="6"/>
        <v>0</v>
      </c>
      <c r="AA37" s="14">
        <f t="shared" ca="1" si="6"/>
        <v>0</v>
      </c>
      <c r="AB37" s="14">
        <f t="shared" ca="1" si="6"/>
        <v>0</v>
      </c>
      <c r="AC37" s="14">
        <f t="shared" ca="1" si="6"/>
        <v>0</v>
      </c>
      <c r="AD37" s="14">
        <f t="shared" ca="1" si="6"/>
        <v>0</v>
      </c>
      <c r="AE37" s="14">
        <f t="shared" ca="1" si="6"/>
        <v>0</v>
      </c>
      <c r="AF37" s="14">
        <f t="shared" ca="1" si="6"/>
        <v>0</v>
      </c>
      <c r="AG37" s="14">
        <f t="shared" ca="1" si="6"/>
        <v>0</v>
      </c>
      <c r="AH37" s="14">
        <f t="shared" ca="1" si="6"/>
        <v>0</v>
      </c>
      <c r="AI37" s="14">
        <f t="shared" ca="1" si="6"/>
        <v>0</v>
      </c>
      <c r="AJ37" s="14">
        <f t="shared" ca="1" si="6"/>
        <v>0</v>
      </c>
      <c r="AK37" s="14">
        <f t="shared" ca="1" si="6"/>
        <v>0</v>
      </c>
      <c r="AL37" s="14">
        <f t="shared" ca="1" si="6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20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7">G3</f>
        <v>339.2</v>
      </c>
      <c r="H40" s="8">
        <f t="shared" si="7"/>
        <v>405.3</v>
      </c>
      <c r="I40" s="8">
        <f t="shared" si="7"/>
        <v>471.4</v>
      </c>
      <c r="J40" s="8">
        <f t="shared" si="7"/>
        <v>537.5</v>
      </c>
      <c r="K40" s="8">
        <f t="shared" si="7"/>
        <v>603.5</v>
      </c>
      <c r="L40" s="8">
        <f t="shared" si="7"/>
        <v>669.6</v>
      </c>
      <c r="M40" s="8">
        <f t="shared" si="7"/>
        <v>735.7</v>
      </c>
      <c r="N40" s="8">
        <f t="shared" si="7"/>
        <v>801.8</v>
      </c>
      <c r="O40" s="8">
        <f t="shared" si="7"/>
        <v>867.8</v>
      </c>
      <c r="P40" s="8">
        <f t="shared" si="7"/>
        <v>933.9</v>
      </c>
      <c r="Q40" s="8">
        <f t="shared" si="7"/>
        <v>1000</v>
      </c>
      <c r="R40" s="8">
        <f t="shared" si="7"/>
        <v>0</v>
      </c>
      <c r="S40" s="8">
        <f t="shared" si="7"/>
        <v>0</v>
      </c>
      <c r="T40" s="8">
        <f t="shared" si="7"/>
        <v>0</v>
      </c>
      <c r="U40" s="8">
        <f t="shared" si="7"/>
        <v>0</v>
      </c>
      <c r="V40" s="8">
        <f t="shared" si="7"/>
        <v>0</v>
      </c>
      <c r="W40" s="8">
        <f t="shared" si="7"/>
        <v>0</v>
      </c>
      <c r="X40" s="8">
        <f t="shared" si="7"/>
        <v>0</v>
      </c>
      <c r="Y40" s="8">
        <f t="shared" si="7"/>
        <v>0</v>
      </c>
      <c r="Z40" s="8">
        <f t="shared" si="7"/>
        <v>0</v>
      </c>
      <c r="AA40" s="8">
        <f t="shared" si="7"/>
        <v>0</v>
      </c>
      <c r="AB40" s="8">
        <f t="shared" si="7"/>
        <v>0</v>
      </c>
      <c r="AC40" s="8">
        <f t="shared" si="7"/>
        <v>0</v>
      </c>
      <c r="AD40" s="8">
        <f t="shared" si="7"/>
        <v>0</v>
      </c>
      <c r="AE40" s="8">
        <f t="shared" si="7"/>
        <v>0</v>
      </c>
      <c r="AF40" s="8">
        <f t="shared" si="7"/>
        <v>0</v>
      </c>
      <c r="AG40" s="8">
        <f t="shared" si="7"/>
        <v>0</v>
      </c>
      <c r="AH40" s="8">
        <f t="shared" si="7"/>
        <v>0</v>
      </c>
      <c r="AI40" s="8">
        <f t="shared" si="7"/>
        <v>0</v>
      </c>
      <c r="AJ40" s="8">
        <f t="shared" si="7"/>
        <v>0</v>
      </c>
      <c r="AK40" s="8">
        <f t="shared" si="7"/>
        <v>0</v>
      </c>
      <c r="AL40" s="8">
        <f t="shared" si="7"/>
        <v>0</v>
      </c>
    </row>
    <row r="41" spans="1:54" ht="21" customHeight="1" outlineLevel="1" thickTop="1" x14ac:dyDescent="0.35">
      <c r="A41" s="9">
        <f>Values!D3/Values!$E$3</f>
        <v>5</v>
      </c>
      <c r="B41" s="9">
        <f>Values!E3/Values!$E$3</f>
        <v>1</v>
      </c>
      <c r="C41" s="9">
        <f>Values!F3/Values!$E$3</f>
        <v>7</v>
      </c>
      <c r="D41" s="9">
        <f>Values!G3/Values!$E$3</f>
        <v>12</v>
      </c>
      <c r="E41" s="9">
        <f>SUM(A41:D41)</f>
        <v>25</v>
      </c>
      <c r="F41" s="10">
        <f t="shared" ref="F41:AL41" ca="1" si="8">($B$41*H.Ge+$C$41*H.Ga+$D$41*H.Se)*F$40*$B$2/1000</f>
        <v>-206.29899402735006</v>
      </c>
      <c r="G41" s="10">
        <f t="shared" ca="1" si="8"/>
        <v>-286.48105959359992</v>
      </c>
      <c r="H41" s="10">
        <f t="shared" ca="1" si="8"/>
        <v>-375.67713726490507</v>
      </c>
      <c r="I41" s="10">
        <f t="shared" ca="1" si="8"/>
        <v>-472.17286053570007</v>
      </c>
      <c r="J41" s="10">
        <f t="shared" ca="1" si="8"/>
        <v>-574.7860619062501</v>
      </c>
      <c r="K41" s="10">
        <f t="shared" ca="1" si="8"/>
        <v>-682.79221925550007</v>
      </c>
      <c r="L41" s="10">
        <f t="shared" ca="1" si="8"/>
        <v>-799.99485631560003</v>
      </c>
      <c r="M41" s="10">
        <f t="shared" ca="1" si="8"/>
        <v>-929.75613488940019</v>
      </c>
      <c r="N41" s="10">
        <f t="shared" ca="1" si="8"/>
        <v>-1067.4572304981002</v>
      </c>
      <c r="O41" s="10">
        <f t="shared" ca="1" si="8"/>
        <v>-1211.4022412283</v>
      </c>
      <c r="P41" s="10">
        <f t="shared" ca="1" si="8"/>
        <v>-1364.7996785857501</v>
      </c>
      <c r="Q41" s="10">
        <f t="shared" ca="1" si="8"/>
        <v>-1529.0531790000002</v>
      </c>
      <c r="R41" s="10">
        <f t="shared" ca="1" si="8"/>
        <v>0</v>
      </c>
      <c r="S41" s="10">
        <f t="shared" ca="1" si="8"/>
        <v>0</v>
      </c>
      <c r="T41" s="10">
        <f t="shared" ca="1" si="8"/>
        <v>0</v>
      </c>
      <c r="U41" s="10">
        <f t="shared" ca="1" si="8"/>
        <v>0</v>
      </c>
      <c r="V41" s="10">
        <f t="shared" ca="1" si="8"/>
        <v>0</v>
      </c>
      <c r="W41" s="10">
        <f t="shared" ca="1" si="8"/>
        <v>0</v>
      </c>
      <c r="X41" s="10">
        <f t="shared" ca="1" si="8"/>
        <v>0</v>
      </c>
      <c r="Y41" s="10">
        <f t="shared" ca="1" si="8"/>
        <v>0</v>
      </c>
      <c r="Z41" s="10">
        <f t="shared" ca="1" si="8"/>
        <v>0</v>
      </c>
      <c r="AA41" s="10">
        <f t="shared" ca="1" si="8"/>
        <v>0</v>
      </c>
      <c r="AB41" s="10">
        <f t="shared" ca="1" si="8"/>
        <v>0</v>
      </c>
      <c r="AC41" s="10">
        <f t="shared" ca="1" si="8"/>
        <v>0</v>
      </c>
      <c r="AD41" s="10">
        <f t="shared" ca="1" si="8"/>
        <v>0</v>
      </c>
      <c r="AE41" s="10">
        <f t="shared" ca="1" si="8"/>
        <v>0</v>
      </c>
      <c r="AF41" s="10">
        <f t="shared" ca="1" si="8"/>
        <v>0</v>
      </c>
      <c r="AG41" s="10">
        <f t="shared" ca="1" si="8"/>
        <v>0</v>
      </c>
      <c r="AH41" s="10">
        <f t="shared" ca="1" si="8"/>
        <v>0</v>
      </c>
      <c r="AI41" s="10">
        <f t="shared" ca="1" si="8"/>
        <v>0</v>
      </c>
      <c r="AJ41" s="10">
        <f t="shared" ca="1" si="8"/>
        <v>0</v>
      </c>
      <c r="AK41" s="10">
        <f t="shared" ca="1" si="8"/>
        <v>0</v>
      </c>
      <c r="AL41" s="10">
        <f t="shared" ca="1" si="8"/>
        <v>0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x14ac:dyDescent="0.4">
      <c r="A44" s="72"/>
      <c r="B44" s="72"/>
      <c r="C44" s="72"/>
      <c r="D44" s="72"/>
      <c r="E44" s="71" t="s">
        <v>21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>E3</f>
        <v>0</v>
      </c>
      <c r="F45" s="3">
        <f>F3</f>
        <v>273.10000000000002</v>
      </c>
      <c r="G45" s="3">
        <f t="shared" ref="G45:AL45" si="9">G3</f>
        <v>339.2</v>
      </c>
      <c r="H45" s="3">
        <f t="shared" si="9"/>
        <v>405.3</v>
      </c>
      <c r="I45" s="3">
        <f t="shared" si="9"/>
        <v>471.4</v>
      </c>
      <c r="J45" s="3">
        <f t="shared" si="9"/>
        <v>537.5</v>
      </c>
      <c r="K45" s="3">
        <f t="shared" si="9"/>
        <v>603.5</v>
      </c>
      <c r="L45" s="3">
        <f t="shared" si="9"/>
        <v>669.6</v>
      </c>
      <c r="M45" s="3">
        <f t="shared" si="9"/>
        <v>735.7</v>
      </c>
      <c r="N45" s="3">
        <f t="shared" si="9"/>
        <v>801.8</v>
      </c>
      <c r="O45" s="3">
        <f t="shared" si="9"/>
        <v>867.8</v>
      </c>
      <c r="P45" s="3">
        <f t="shared" si="9"/>
        <v>933.9</v>
      </c>
      <c r="Q45" s="3">
        <f t="shared" si="9"/>
        <v>1000</v>
      </c>
      <c r="R45" s="3">
        <f t="shared" si="9"/>
        <v>0</v>
      </c>
      <c r="S45" s="3">
        <f t="shared" si="9"/>
        <v>0</v>
      </c>
      <c r="T45" s="3">
        <f t="shared" si="9"/>
        <v>0</v>
      </c>
      <c r="U45" s="3">
        <f t="shared" si="9"/>
        <v>0</v>
      </c>
      <c r="V45" s="3">
        <f t="shared" si="9"/>
        <v>0</v>
      </c>
      <c r="W45" s="3">
        <f t="shared" si="9"/>
        <v>0</v>
      </c>
      <c r="X45" s="3">
        <f t="shared" si="9"/>
        <v>0</v>
      </c>
      <c r="Y45" s="3">
        <f t="shared" si="9"/>
        <v>0</v>
      </c>
      <c r="Z45" s="3">
        <f t="shared" si="9"/>
        <v>0</v>
      </c>
      <c r="AA45" s="3">
        <f t="shared" si="9"/>
        <v>0</v>
      </c>
      <c r="AB45" s="3">
        <f t="shared" si="9"/>
        <v>0</v>
      </c>
      <c r="AC45" s="3">
        <f t="shared" si="9"/>
        <v>0</v>
      </c>
      <c r="AD45" s="3">
        <f t="shared" si="9"/>
        <v>0</v>
      </c>
      <c r="AE45" s="3">
        <f t="shared" si="9"/>
        <v>0</v>
      </c>
      <c r="AF45" s="3">
        <f t="shared" si="9"/>
        <v>0</v>
      </c>
      <c r="AG45" s="3">
        <f t="shared" si="9"/>
        <v>0</v>
      </c>
      <c r="AH45" s="3">
        <f t="shared" si="9"/>
        <v>0</v>
      </c>
      <c r="AI45" s="3">
        <f t="shared" si="9"/>
        <v>0</v>
      </c>
      <c r="AJ45" s="3">
        <f t="shared" si="9"/>
        <v>0</v>
      </c>
      <c r="AK45" s="3">
        <f t="shared" si="9"/>
        <v>0</v>
      </c>
      <c r="AL45" s="3">
        <f t="shared" si="9"/>
        <v>0</v>
      </c>
    </row>
    <row r="46" spans="1:54" ht="21" hidden="1" customHeight="1" outlineLevel="1" thickTop="1" thickBot="1" x14ac:dyDescent="0.4">
      <c r="A46" s="5">
        <f t="shared" ref="A46:D55" si="10">A4</f>
        <v>0</v>
      </c>
      <c r="B46" s="5">
        <f t="shared" si="10"/>
        <v>1</v>
      </c>
      <c r="C46" s="5">
        <f t="shared" si="10"/>
        <v>0</v>
      </c>
      <c r="D46" s="5">
        <f t="shared" si="10"/>
        <v>0</v>
      </c>
      <c r="E46" s="6" t="str">
        <f t="shared" ref="E46:E64" si="11">E4</f>
        <v>*Se[l]</v>
      </c>
      <c r="F46" s="14">
        <f t="shared" ref="F46:U55" ca="1" si="12">$A46*H.Ar + $B46*H.Se + $C46*H.Ge + $D46*H.Ga</f>
        <v>-4.7</v>
      </c>
      <c r="G46" s="14">
        <f t="shared" ca="1" si="12"/>
        <v>-5.0519999999999996</v>
      </c>
      <c r="H46" s="14">
        <f t="shared" ca="1" si="12"/>
        <v>-5.44</v>
      </c>
      <c r="I46" s="14">
        <f t="shared" ca="1" si="12"/>
        <v>-5.8230000000000004</v>
      </c>
      <c r="J46" s="14">
        <f t="shared" ca="1" si="12"/>
        <v>-6.18</v>
      </c>
      <c r="K46" s="14">
        <f t="shared" ca="1" si="12"/>
        <v>-6.476</v>
      </c>
      <c r="L46" s="14">
        <f t="shared" ca="1" si="12"/>
        <v>-6.6790000000000003</v>
      </c>
      <c r="M46" s="14">
        <f t="shared" ca="1" si="12"/>
        <v>-6.8860000000000001</v>
      </c>
      <c r="N46" s="14">
        <f t="shared" ca="1" si="12"/>
        <v>-7.1260000000000003</v>
      </c>
      <c r="O46" s="14">
        <f t="shared" ca="1" si="12"/>
        <v>-7.4080000000000004</v>
      </c>
      <c r="P46" s="14">
        <f t="shared" ca="1" si="12"/>
        <v>-7.7750000000000004</v>
      </c>
      <c r="Q46" s="14">
        <f t="shared" ca="1" si="12"/>
        <v>-8.2319999999999993</v>
      </c>
      <c r="R46" s="14">
        <f t="shared" ca="1" si="12"/>
        <v>0</v>
      </c>
      <c r="S46" s="14">
        <f t="shared" ca="1" si="12"/>
        <v>0</v>
      </c>
      <c r="T46" s="14">
        <f t="shared" ca="1" si="12"/>
        <v>0</v>
      </c>
      <c r="U46" s="14">
        <f t="shared" ca="1" si="12"/>
        <v>0</v>
      </c>
      <c r="V46" s="14">
        <f t="shared" ref="V46:AL46" ca="1" si="13">$A46*H.Ar + $B46*H.Se + $C46*H.Ge + $D46*H.Ga</f>
        <v>0</v>
      </c>
      <c r="W46" s="14">
        <f t="shared" ca="1" si="13"/>
        <v>0</v>
      </c>
      <c r="X46" s="14">
        <f t="shared" ca="1" si="13"/>
        <v>0</v>
      </c>
      <c r="Y46" s="14">
        <f t="shared" ca="1" si="13"/>
        <v>0</v>
      </c>
      <c r="Z46" s="14">
        <f t="shared" ca="1" si="13"/>
        <v>0</v>
      </c>
      <c r="AA46" s="14">
        <f t="shared" ca="1" si="13"/>
        <v>0</v>
      </c>
      <c r="AB46" s="14">
        <f t="shared" ca="1" si="13"/>
        <v>0</v>
      </c>
      <c r="AC46" s="14">
        <f t="shared" ca="1" si="13"/>
        <v>0</v>
      </c>
      <c r="AD46" s="14">
        <f t="shared" ca="1" si="13"/>
        <v>0</v>
      </c>
      <c r="AE46" s="14">
        <f t="shared" ca="1" si="13"/>
        <v>0</v>
      </c>
      <c r="AF46" s="14">
        <f t="shared" ca="1" si="13"/>
        <v>0</v>
      </c>
      <c r="AG46" s="14">
        <f t="shared" ca="1" si="13"/>
        <v>0</v>
      </c>
      <c r="AH46" s="14">
        <f t="shared" ca="1" si="13"/>
        <v>0</v>
      </c>
      <c r="AI46" s="14">
        <f t="shared" ca="1" si="13"/>
        <v>0</v>
      </c>
      <c r="AJ46" s="14">
        <f t="shared" ca="1" si="13"/>
        <v>0</v>
      </c>
      <c r="AK46" s="14">
        <f t="shared" ca="1" si="13"/>
        <v>0</v>
      </c>
      <c r="AL46" s="14">
        <f t="shared" ca="1" si="13"/>
        <v>0</v>
      </c>
    </row>
    <row r="47" spans="1:54" ht="21" hidden="1" customHeight="1" outlineLevel="1" thickBot="1" x14ac:dyDescent="0.4">
      <c r="A47" s="5">
        <f t="shared" si="10"/>
        <v>0</v>
      </c>
      <c r="B47" s="5">
        <f t="shared" si="10"/>
        <v>3</v>
      </c>
      <c r="C47" s="5">
        <f t="shared" si="10"/>
        <v>0</v>
      </c>
      <c r="D47" s="5">
        <f t="shared" si="10"/>
        <v>0</v>
      </c>
      <c r="E47" s="6" t="str">
        <f t="shared" si="11"/>
        <v>Se3</v>
      </c>
      <c r="F47" s="14">
        <f t="shared" ca="1" si="12"/>
        <v>-14.100000000000001</v>
      </c>
      <c r="G47" s="14">
        <f t="shared" ref="G47:AL54" ca="1" si="14">$A47*H.Ar + $B47*H.Se + $C47*H.Ge + $D47*H.Ga</f>
        <v>-15.155999999999999</v>
      </c>
      <c r="H47" s="14">
        <f t="shared" ca="1" si="14"/>
        <v>-16.32</v>
      </c>
      <c r="I47" s="14">
        <f t="shared" ca="1" si="14"/>
        <v>-17.469000000000001</v>
      </c>
      <c r="J47" s="14">
        <f t="shared" ca="1" si="14"/>
        <v>-18.54</v>
      </c>
      <c r="K47" s="14">
        <f t="shared" ca="1" si="14"/>
        <v>-19.428000000000001</v>
      </c>
      <c r="L47" s="14">
        <f t="shared" ca="1" si="14"/>
        <v>-20.036999999999999</v>
      </c>
      <c r="M47" s="14">
        <f t="shared" ca="1" si="14"/>
        <v>-20.658000000000001</v>
      </c>
      <c r="N47" s="14">
        <f t="shared" ca="1" si="14"/>
        <v>-21.378</v>
      </c>
      <c r="O47" s="14">
        <f t="shared" ca="1" si="14"/>
        <v>-22.224</v>
      </c>
      <c r="P47" s="14">
        <f t="shared" ca="1" si="14"/>
        <v>-23.325000000000003</v>
      </c>
      <c r="Q47" s="14">
        <f t="shared" ca="1" si="14"/>
        <v>-24.695999999999998</v>
      </c>
      <c r="R47" s="14">
        <f t="shared" ca="1" si="14"/>
        <v>0</v>
      </c>
      <c r="S47" s="14">
        <f t="shared" ca="1" si="14"/>
        <v>0</v>
      </c>
      <c r="T47" s="14">
        <f t="shared" ca="1" si="14"/>
        <v>0</v>
      </c>
      <c r="U47" s="14">
        <f t="shared" ca="1" si="14"/>
        <v>0</v>
      </c>
      <c r="V47" s="14">
        <f t="shared" ca="1" si="14"/>
        <v>0</v>
      </c>
      <c r="W47" s="14">
        <f t="shared" ca="1" si="14"/>
        <v>0</v>
      </c>
      <c r="X47" s="14">
        <f t="shared" ca="1" si="14"/>
        <v>0</v>
      </c>
      <c r="Y47" s="14">
        <f t="shared" ca="1" si="14"/>
        <v>0</v>
      </c>
      <c r="Z47" s="14">
        <f t="shared" ca="1" si="14"/>
        <v>0</v>
      </c>
      <c r="AA47" s="14">
        <f t="shared" ca="1" si="14"/>
        <v>0</v>
      </c>
      <c r="AB47" s="14">
        <f t="shared" ca="1" si="14"/>
        <v>0</v>
      </c>
      <c r="AC47" s="14">
        <f t="shared" ca="1" si="14"/>
        <v>0</v>
      </c>
      <c r="AD47" s="14">
        <f t="shared" ca="1" si="14"/>
        <v>0</v>
      </c>
      <c r="AE47" s="14">
        <f t="shared" ca="1" si="14"/>
        <v>0</v>
      </c>
      <c r="AF47" s="14">
        <f t="shared" ca="1" si="14"/>
        <v>0</v>
      </c>
      <c r="AG47" s="14">
        <f t="shared" ca="1" si="14"/>
        <v>0</v>
      </c>
      <c r="AH47" s="14">
        <f t="shared" ca="1" si="14"/>
        <v>0</v>
      </c>
      <c r="AI47" s="14">
        <f t="shared" ca="1" si="14"/>
        <v>0</v>
      </c>
      <c r="AJ47" s="14">
        <f t="shared" ca="1" si="14"/>
        <v>0</v>
      </c>
      <c r="AK47" s="14">
        <f t="shared" ca="1" si="14"/>
        <v>0</v>
      </c>
      <c r="AL47" s="14">
        <f t="shared" ca="1" si="14"/>
        <v>0</v>
      </c>
    </row>
    <row r="48" spans="1:54" ht="21" hidden="1" customHeight="1" outlineLevel="1" thickBot="1" x14ac:dyDescent="0.4">
      <c r="A48" s="5">
        <f t="shared" si="10"/>
        <v>0</v>
      </c>
      <c r="B48" s="5">
        <f t="shared" si="10"/>
        <v>4</v>
      </c>
      <c r="C48" s="5">
        <f t="shared" si="10"/>
        <v>0</v>
      </c>
      <c r="D48" s="5">
        <f t="shared" si="10"/>
        <v>0</v>
      </c>
      <c r="E48" s="6" t="str">
        <f t="shared" si="11"/>
        <v>Se4</v>
      </c>
      <c r="F48" s="14">
        <f t="shared" ca="1" si="12"/>
        <v>-18.8</v>
      </c>
      <c r="G48" s="14">
        <f t="shared" ca="1" si="14"/>
        <v>-20.207999999999998</v>
      </c>
      <c r="H48" s="14">
        <f t="shared" ca="1" si="14"/>
        <v>-21.76</v>
      </c>
      <c r="I48" s="14">
        <f t="shared" ca="1" si="14"/>
        <v>-23.292000000000002</v>
      </c>
      <c r="J48" s="14">
        <f t="shared" ca="1" si="14"/>
        <v>-24.72</v>
      </c>
      <c r="K48" s="14">
        <f t="shared" ca="1" si="14"/>
        <v>-25.904</v>
      </c>
      <c r="L48" s="14">
        <f t="shared" ca="1" si="14"/>
        <v>-26.716000000000001</v>
      </c>
      <c r="M48" s="14">
        <f t="shared" ca="1" si="14"/>
        <v>-27.544</v>
      </c>
      <c r="N48" s="14">
        <f t="shared" ca="1" si="14"/>
        <v>-28.504000000000001</v>
      </c>
      <c r="O48" s="14">
        <f t="shared" ca="1" si="14"/>
        <v>-29.632000000000001</v>
      </c>
      <c r="P48" s="14">
        <f t="shared" ca="1" si="14"/>
        <v>-31.1</v>
      </c>
      <c r="Q48" s="14">
        <f t="shared" ca="1" si="14"/>
        <v>-32.927999999999997</v>
      </c>
      <c r="R48" s="14">
        <f t="shared" ca="1" si="14"/>
        <v>0</v>
      </c>
      <c r="S48" s="14">
        <f t="shared" ca="1" si="14"/>
        <v>0</v>
      </c>
      <c r="T48" s="14">
        <f t="shared" ca="1" si="14"/>
        <v>0</v>
      </c>
      <c r="U48" s="14">
        <f t="shared" ca="1" si="14"/>
        <v>0</v>
      </c>
      <c r="V48" s="14">
        <f t="shared" ca="1" si="14"/>
        <v>0</v>
      </c>
      <c r="W48" s="14">
        <f t="shared" ca="1" si="14"/>
        <v>0</v>
      </c>
      <c r="X48" s="14">
        <f t="shared" ca="1" si="14"/>
        <v>0</v>
      </c>
      <c r="Y48" s="14">
        <f t="shared" ca="1" si="14"/>
        <v>0</v>
      </c>
      <c r="Z48" s="14">
        <f t="shared" ca="1" si="14"/>
        <v>0</v>
      </c>
      <c r="AA48" s="14">
        <f t="shared" ca="1" si="14"/>
        <v>0</v>
      </c>
      <c r="AB48" s="14">
        <f t="shared" ca="1" si="14"/>
        <v>0</v>
      </c>
      <c r="AC48" s="14">
        <f t="shared" ca="1" si="14"/>
        <v>0</v>
      </c>
      <c r="AD48" s="14">
        <f t="shared" ca="1" si="14"/>
        <v>0</v>
      </c>
      <c r="AE48" s="14">
        <f t="shared" ca="1" si="14"/>
        <v>0</v>
      </c>
      <c r="AF48" s="14">
        <f t="shared" ca="1" si="14"/>
        <v>0</v>
      </c>
      <c r="AG48" s="14">
        <f t="shared" ca="1" si="14"/>
        <v>0</v>
      </c>
      <c r="AH48" s="14">
        <f t="shared" ca="1" si="14"/>
        <v>0</v>
      </c>
      <c r="AI48" s="14">
        <f t="shared" ca="1" si="14"/>
        <v>0</v>
      </c>
      <c r="AJ48" s="14">
        <f t="shared" ca="1" si="14"/>
        <v>0</v>
      </c>
      <c r="AK48" s="14">
        <f t="shared" ca="1" si="14"/>
        <v>0</v>
      </c>
      <c r="AL48" s="14">
        <f t="shared" ca="1" si="14"/>
        <v>0</v>
      </c>
    </row>
    <row r="49" spans="1:38" ht="21" hidden="1" customHeight="1" outlineLevel="1" thickBot="1" x14ac:dyDescent="0.4">
      <c r="A49" s="5">
        <f t="shared" si="10"/>
        <v>0</v>
      </c>
      <c r="B49" s="5">
        <f t="shared" si="10"/>
        <v>5</v>
      </c>
      <c r="C49" s="5">
        <f t="shared" si="10"/>
        <v>0</v>
      </c>
      <c r="D49" s="5">
        <f t="shared" si="10"/>
        <v>0</v>
      </c>
      <c r="E49" s="6" t="str">
        <f t="shared" si="11"/>
        <v>Se5</v>
      </c>
      <c r="F49" s="14">
        <f t="shared" ca="1" si="12"/>
        <v>-23.5</v>
      </c>
      <c r="G49" s="14">
        <f t="shared" ca="1" si="14"/>
        <v>-25.259999999999998</v>
      </c>
      <c r="H49" s="14">
        <f t="shared" ca="1" si="14"/>
        <v>-27.200000000000003</v>
      </c>
      <c r="I49" s="14">
        <f t="shared" ca="1" si="14"/>
        <v>-29.115000000000002</v>
      </c>
      <c r="J49" s="14">
        <f t="shared" ca="1" si="14"/>
        <v>-30.9</v>
      </c>
      <c r="K49" s="14">
        <f t="shared" ca="1" si="14"/>
        <v>-32.380000000000003</v>
      </c>
      <c r="L49" s="14">
        <f t="shared" ca="1" si="14"/>
        <v>-33.395000000000003</v>
      </c>
      <c r="M49" s="14">
        <f t="shared" ca="1" si="14"/>
        <v>-34.43</v>
      </c>
      <c r="N49" s="14">
        <f t="shared" ca="1" si="14"/>
        <v>-35.630000000000003</v>
      </c>
      <c r="O49" s="14">
        <f t="shared" ca="1" si="14"/>
        <v>-37.04</v>
      </c>
      <c r="P49" s="14">
        <f t="shared" ca="1" si="14"/>
        <v>-38.875</v>
      </c>
      <c r="Q49" s="14">
        <f t="shared" ca="1" si="14"/>
        <v>-41.16</v>
      </c>
      <c r="R49" s="14">
        <f t="shared" ca="1" si="14"/>
        <v>0</v>
      </c>
      <c r="S49" s="14">
        <f t="shared" ca="1" si="14"/>
        <v>0</v>
      </c>
      <c r="T49" s="14">
        <f t="shared" ca="1" si="14"/>
        <v>0</v>
      </c>
      <c r="U49" s="14">
        <f t="shared" ca="1" si="14"/>
        <v>0</v>
      </c>
      <c r="V49" s="14">
        <f t="shared" ca="1" si="14"/>
        <v>0</v>
      </c>
      <c r="W49" s="14">
        <f t="shared" ca="1" si="14"/>
        <v>0</v>
      </c>
      <c r="X49" s="14">
        <f t="shared" ca="1" si="14"/>
        <v>0</v>
      </c>
      <c r="Y49" s="14">
        <f t="shared" ca="1" si="14"/>
        <v>0</v>
      </c>
      <c r="Z49" s="14">
        <f t="shared" ca="1" si="14"/>
        <v>0</v>
      </c>
      <c r="AA49" s="14">
        <f t="shared" ca="1" si="14"/>
        <v>0</v>
      </c>
      <c r="AB49" s="14">
        <f t="shared" ca="1" si="14"/>
        <v>0</v>
      </c>
      <c r="AC49" s="14">
        <f t="shared" ca="1" si="14"/>
        <v>0</v>
      </c>
      <c r="AD49" s="14">
        <f t="shared" ca="1" si="14"/>
        <v>0</v>
      </c>
      <c r="AE49" s="14">
        <f t="shared" ca="1" si="14"/>
        <v>0</v>
      </c>
      <c r="AF49" s="14">
        <f t="shared" ca="1" si="14"/>
        <v>0</v>
      </c>
      <c r="AG49" s="14">
        <f t="shared" ca="1" si="14"/>
        <v>0</v>
      </c>
      <c r="AH49" s="14">
        <f t="shared" ca="1" si="14"/>
        <v>0</v>
      </c>
      <c r="AI49" s="14">
        <f t="shared" ca="1" si="14"/>
        <v>0</v>
      </c>
      <c r="AJ49" s="14">
        <f t="shared" ca="1" si="14"/>
        <v>0</v>
      </c>
      <c r="AK49" s="14">
        <f t="shared" ca="1" si="14"/>
        <v>0</v>
      </c>
      <c r="AL49" s="14">
        <f t="shared" ca="1" si="14"/>
        <v>0</v>
      </c>
    </row>
    <row r="50" spans="1:38" ht="21" hidden="1" customHeight="1" outlineLevel="1" thickBot="1" x14ac:dyDescent="0.4">
      <c r="A50" s="5">
        <f t="shared" si="10"/>
        <v>0</v>
      </c>
      <c r="B50" s="5">
        <f t="shared" si="10"/>
        <v>6</v>
      </c>
      <c r="C50" s="5">
        <f t="shared" si="10"/>
        <v>0</v>
      </c>
      <c r="D50" s="5">
        <f t="shared" si="10"/>
        <v>0</v>
      </c>
      <c r="E50" s="6" t="str">
        <f t="shared" si="11"/>
        <v>Se6</v>
      </c>
      <c r="F50" s="14">
        <f t="shared" ca="1" si="12"/>
        <v>-28.200000000000003</v>
      </c>
      <c r="G50" s="14">
        <f t="shared" ca="1" si="14"/>
        <v>-30.311999999999998</v>
      </c>
      <c r="H50" s="14">
        <f t="shared" ca="1" si="14"/>
        <v>-32.64</v>
      </c>
      <c r="I50" s="14">
        <f t="shared" ca="1" si="14"/>
        <v>-34.938000000000002</v>
      </c>
      <c r="J50" s="14">
        <f t="shared" ca="1" si="14"/>
        <v>-37.08</v>
      </c>
      <c r="K50" s="14">
        <f t="shared" ca="1" si="14"/>
        <v>-38.856000000000002</v>
      </c>
      <c r="L50" s="14">
        <f t="shared" ca="1" si="14"/>
        <v>-40.073999999999998</v>
      </c>
      <c r="M50" s="14">
        <f t="shared" ca="1" si="14"/>
        <v>-41.316000000000003</v>
      </c>
      <c r="N50" s="14">
        <f t="shared" ca="1" si="14"/>
        <v>-42.756</v>
      </c>
      <c r="O50" s="14">
        <f t="shared" ca="1" si="14"/>
        <v>-44.448</v>
      </c>
      <c r="P50" s="14">
        <f t="shared" ca="1" si="14"/>
        <v>-46.650000000000006</v>
      </c>
      <c r="Q50" s="14">
        <f t="shared" ca="1" si="14"/>
        <v>-49.391999999999996</v>
      </c>
      <c r="R50" s="14">
        <f t="shared" ca="1" si="14"/>
        <v>0</v>
      </c>
      <c r="S50" s="14">
        <f t="shared" ca="1" si="14"/>
        <v>0</v>
      </c>
      <c r="T50" s="14">
        <f t="shared" ca="1" si="14"/>
        <v>0</v>
      </c>
      <c r="U50" s="14">
        <f t="shared" ca="1" si="14"/>
        <v>0</v>
      </c>
      <c r="V50" s="14">
        <f t="shared" ca="1" si="14"/>
        <v>0</v>
      </c>
      <c r="W50" s="14">
        <f t="shared" ca="1" si="14"/>
        <v>0</v>
      </c>
      <c r="X50" s="14">
        <f t="shared" ca="1" si="14"/>
        <v>0</v>
      </c>
      <c r="Y50" s="14">
        <f t="shared" ca="1" si="14"/>
        <v>0</v>
      </c>
      <c r="Z50" s="14">
        <f t="shared" ca="1" si="14"/>
        <v>0</v>
      </c>
      <c r="AA50" s="14">
        <f t="shared" ca="1" si="14"/>
        <v>0</v>
      </c>
      <c r="AB50" s="14">
        <f t="shared" ca="1" si="14"/>
        <v>0</v>
      </c>
      <c r="AC50" s="14">
        <f t="shared" ca="1" si="14"/>
        <v>0</v>
      </c>
      <c r="AD50" s="14">
        <f t="shared" ca="1" si="14"/>
        <v>0</v>
      </c>
      <c r="AE50" s="14">
        <f t="shared" ca="1" si="14"/>
        <v>0</v>
      </c>
      <c r="AF50" s="14">
        <f t="shared" ca="1" si="14"/>
        <v>0</v>
      </c>
      <c r="AG50" s="14">
        <f t="shared" ca="1" si="14"/>
        <v>0</v>
      </c>
      <c r="AH50" s="14">
        <f t="shared" ca="1" si="14"/>
        <v>0</v>
      </c>
      <c r="AI50" s="14">
        <f t="shared" ca="1" si="14"/>
        <v>0</v>
      </c>
      <c r="AJ50" s="14">
        <f t="shared" ca="1" si="14"/>
        <v>0</v>
      </c>
      <c r="AK50" s="14">
        <f t="shared" ca="1" si="14"/>
        <v>0</v>
      </c>
      <c r="AL50" s="14">
        <f t="shared" ca="1" si="14"/>
        <v>0</v>
      </c>
    </row>
    <row r="51" spans="1:38" ht="21" hidden="1" customHeight="1" outlineLevel="1" thickBot="1" x14ac:dyDescent="0.4">
      <c r="A51" s="5">
        <f t="shared" si="10"/>
        <v>0</v>
      </c>
      <c r="B51" s="5">
        <f t="shared" si="10"/>
        <v>7</v>
      </c>
      <c r="C51" s="5">
        <f t="shared" si="10"/>
        <v>0</v>
      </c>
      <c r="D51" s="5">
        <f t="shared" si="10"/>
        <v>0</v>
      </c>
      <c r="E51" s="6" t="str">
        <f t="shared" si="11"/>
        <v>Se7</v>
      </c>
      <c r="F51" s="14">
        <f t="shared" ca="1" si="12"/>
        <v>-32.9</v>
      </c>
      <c r="G51" s="14">
        <f t="shared" ca="1" si="14"/>
        <v>-35.363999999999997</v>
      </c>
      <c r="H51" s="14">
        <f t="shared" ca="1" si="14"/>
        <v>-38.080000000000005</v>
      </c>
      <c r="I51" s="14">
        <f t="shared" ca="1" si="14"/>
        <v>-40.761000000000003</v>
      </c>
      <c r="J51" s="14">
        <f t="shared" ca="1" si="14"/>
        <v>-43.26</v>
      </c>
      <c r="K51" s="14">
        <f t="shared" ca="1" si="14"/>
        <v>-45.332000000000001</v>
      </c>
      <c r="L51" s="14">
        <f t="shared" ca="1" si="14"/>
        <v>-46.753</v>
      </c>
      <c r="M51" s="14">
        <f t="shared" ca="1" si="14"/>
        <v>-48.201999999999998</v>
      </c>
      <c r="N51" s="14">
        <f t="shared" ca="1" si="14"/>
        <v>-49.882000000000005</v>
      </c>
      <c r="O51" s="14">
        <f t="shared" ca="1" si="14"/>
        <v>-51.856000000000002</v>
      </c>
      <c r="P51" s="14">
        <f t="shared" ca="1" si="14"/>
        <v>-54.425000000000004</v>
      </c>
      <c r="Q51" s="14">
        <f t="shared" ca="1" si="14"/>
        <v>-57.623999999999995</v>
      </c>
      <c r="R51" s="14">
        <f t="shared" ca="1" si="14"/>
        <v>0</v>
      </c>
      <c r="S51" s="14">
        <f t="shared" ca="1" si="14"/>
        <v>0</v>
      </c>
      <c r="T51" s="14">
        <f t="shared" ca="1" si="14"/>
        <v>0</v>
      </c>
      <c r="U51" s="14">
        <f t="shared" ca="1" si="14"/>
        <v>0</v>
      </c>
      <c r="V51" s="14">
        <f t="shared" ca="1" si="14"/>
        <v>0</v>
      </c>
      <c r="W51" s="14">
        <f t="shared" ca="1" si="14"/>
        <v>0</v>
      </c>
      <c r="X51" s="14">
        <f t="shared" ca="1" si="14"/>
        <v>0</v>
      </c>
      <c r="Y51" s="14">
        <f t="shared" ca="1" si="14"/>
        <v>0</v>
      </c>
      <c r="Z51" s="14">
        <f t="shared" ca="1" si="14"/>
        <v>0</v>
      </c>
      <c r="AA51" s="14">
        <f t="shared" ca="1" si="14"/>
        <v>0</v>
      </c>
      <c r="AB51" s="14">
        <f t="shared" ca="1" si="14"/>
        <v>0</v>
      </c>
      <c r="AC51" s="14">
        <f t="shared" ca="1" si="14"/>
        <v>0</v>
      </c>
      <c r="AD51" s="14">
        <f t="shared" ca="1" si="14"/>
        <v>0</v>
      </c>
      <c r="AE51" s="14">
        <f t="shared" ca="1" si="14"/>
        <v>0</v>
      </c>
      <c r="AF51" s="14">
        <f t="shared" ca="1" si="14"/>
        <v>0</v>
      </c>
      <c r="AG51" s="14">
        <f t="shared" ca="1" si="14"/>
        <v>0</v>
      </c>
      <c r="AH51" s="14">
        <f t="shared" ca="1" si="14"/>
        <v>0</v>
      </c>
      <c r="AI51" s="14">
        <f t="shared" ca="1" si="14"/>
        <v>0</v>
      </c>
      <c r="AJ51" s="14">
        <f t="shared" ca="1" si="14"/>
        <v>0</v>
      </c>
      <c r="AK51" s="14">
        <f t="shared" ca="1" si="14"/>
        <v>0</v>
      </c>
      <c r="AL51" s="14">
        <f t="shared" ca="1" si="14"/>
        <v>0</v>
      </c>
    </row>
    <row r="52" spans="1:38" ht="21" hidden="1" customHeight="1" outlineLevel="1" thickBot="1" x14ac:dyDescent="0.4">
      <c r="A52" s="5">
        <f t="shared" si="10"/>
        <v>0</v>
      </c>
      <c r="B52" s="5">
        <f t="shared" si="10"/>
        <v>8</v>
      </c>
      <c r="C52" s="5">
        <f t="shared" si="10"/>
        <v>0</v>
      </c>
      <c r="D52" s="5">
        <f t="shared" si="10"/>
        <v>0</v>
      </c>
      <c r="E52" s="6" t="str">
        <f t="shared" si="11"/>
        <v>Se8</v>
      </c>
      <c r="F52" s="14">
        <f t="shared" ca="1" si="12"/>
        <v>-37.6</v>
      </c>
      <c r="G52" s="14">
        <f t="shared" ca="1" si="14"/>
        <v>-40.415999999999997</v>
      </c>
      <c r="H52" s="14">
        <f t="shared" ca="1" si="14"/>
        <v>-43.52</v>
      </c>
      <c r="I52" s="14">
        <f t="shared" ca="1" si="14"/>
        <v>-46.584000000000003</v>
      </c>
      <c r="J52" s="14">
        <f t="shared" ca="1" si="14"/>
        <v>-49.44</v>
      </c>
      <c r="K52" s="14">
        <f t="shared" ca="1" si="14"/>
        <v>-51.808</v>
      </c>
      <c r="L52" s="14">
        <f t="shared" ca="1" si="14"/>
        <v>-53.432000000000002</v>
      </c>
      <c r="M52" s="14">
        <f t="shared" ca="1" si="14"/>
        <v>-55.088000000000001</v>
      </c>
      <c r="N52" s="14">
        <f t="shared" ca="1" si="14"/>
        <v>-57.008000000000003</v>
      </c>
      <c r="O52" s="14">
        <f t="shared" ca="1" si="14"/>
        <v>-59.264000000000003</v>
      </c>
      <c r="P52" s="14">
        <f t="shared" ca="1" si="14"/>
        <v>-62.2</v>
      </c>
      <c r="Q52" s="14">
        <f t="shared" ca="1" si="14"/>
        <v>-65.855999999999995</v>
      </c>
      <c r="R52" s="14">
        <f t="shared" ca="1" si="14"/>
        <v>0</v>
      </c>
      <c r="S52" s="14">
        <f t="shared" ca="1" si="14"/>
        <v>0</v>
      </c>
      <c r="T52" s="14">
        <f t="shared" ca="1" si="14"/>
        <v>0</v>
      </c>
      <c r="U52" s="14">
        <f t="shared" ca="1" si="14"/>
        <v>0</v>
      </c>
      <c r="V52" s="14">
        <f t="shared" ca="1" si="14"/>
        <v>0</v>
      </c>
      <c r="W52" s="14">
        <f t="shared" ca="1" si="14"/>
        <v>0</v>
      </c>
      <c r="X52" s="14">
        <f t="shared" ca="1" si="14"/>
        <v>0</v>
      </c>
      <c r="Y52" s="14">
        <f t="shared" ca="1" si="14"/>
        <v>0</v>
      </c>
      <c r="Z52" s="14">
        <f t="shared" ca="1" si="14"/>
        <v>0</v>
      </c>
      <c r="AA52" s="14">
        <f t="shared" ca="1" si="14"/>
        <v>0</v>
      </c>
      <c r="AB52" s="14">
        <f t="shared" ca="1" si="14"/>
        <v>0</v>
      </c>
      <c r="AC52" s="14">
        <f t="shared" ca="1" si="14"/>
        <v>0</v>
      </c>
      <c r="AD52" s="14">
        <f t="shared" ca="1" si="14"/>
        <v>0</v>
      </c>
      <c r="AE52" s="14">
        <f t="shared" ca="1" si="14"/>
        <v>0</v>
      </c>
      <c r="AF52" s="14">
        <f t="shared" ca="1" si="14"/>
        <v>0</v>
      </c>
      <c r="AG52" s="14">
        <f t="shared" ca="1" si="14"/>
        <v>0</v>
      </c>
      <c r="AH52" s="14">
        <f t="shared" ca="1" si="14"/>
        <v>0</v>
      </c>
      <c r="AI52" s="14">
        <f t="shared" ca="1" si="14"/>
        <v>0</v>
      </c>
      <c r="AJ52" s="14">
        <f t="shared" ca="1" si="14"/>
        <v>0</v>
      </c>
      <c r="AK52" s="14">
        <f t="shared" ca="1" si="14"/>
        <v>0</v>
      </c>
      <c r="AL52" s="14">
        <f t="shared" ca="1" si="14"/>
        <v>0</v>
      </c>
    </row>
    <row r="53" spans="1:38" ht="21" hidden="1" customHeight="1" outlineLevel="1" thickBot="1" x14ac:dyDescent="0.4">
      <c r="A53" s="5">
        <f t="shared" si="10"/>
        <v>0</v>
      </c>
      <c r="B53" s="5">
        <f t="shared" si="10"/>
        <v>2</v>
      </c>
      <c r="C53" s="5">
        <f t="shared" si="10"/>
        <v>0</v>
      </c>
      <c r="D53" s="5">
        <f t="shared" si="10"/>
        <v>0</v>
      </c>
      <c r="E53" s="6" t="str">
        <f t="shared" si="11"/>
        <v>Se2</v>
      </c>
      <c r="F53" s="14">
        <f t="shared" ca="1" si="12"/>
        <v>-9.4</v>
      </c>
      <c r="G53" s="14">
        <f t="shared" ca="1" si="14"/>
        <v>-10.103999999999999</v>
      </c>
      <c r="H53" s="14">
        <f t="shared" ca="1" si="14"/>
        <v>-10.88</v>
      </c>
      <c r="I53" s="14">
        <f t="shared" ca="1" si="14"/>
        <v>-11.646000000000001</v>
      </c>
      <c r="J53" s="14">
        <f t="shared" ca="1" si="14"/>
        <v>-12.36</v>
      </c>
      <c r="K53" s="14">
        <f t="shared" ca="1" si="14"/>
        <v>-12.952</v>
      </c>
      <c r="L53" s="14">
        <f t="shared" ca="1" si="14"/>
        <v>-13.358000000000001</v>
      </c>
      <c r="M53" s="14">
        <f t="shared" ca="1" si="14"/>
        <v>-13.772</v>
      </c>
      <c r="N53" s="14">
        <f t="shared" ca="1" si="14"/>
        <v>-14.252000000000001</v>
      </c>
      <c r="O53" s="14">
        <f t="shared" ca="1" si="14"/>
        <v>-14.816000000000001</v>
      </c>
      <c r="P53" s="14">
        <f t="shared" ca="1" si="14"/>
        <v>-15.55</v>
      </c>
      <c r="Q53" s="14">
        <f t="shared" ca="1" si="14"/>
        <v>-16.463999999999999</v>
      </c>
      <c r="R53" s="14">
        <f t="shared" ca="1" si="14"/>
        <v>0</v>
      </c>
      <c r="S53" s="14">
        <f t="shared" ca="1" si="14"/>
        <v>0</v>
      </c>
      <c r="T53" s="14">
        <f t="shared" ca="1" si="14"/>
        <v>0</v>
      </c>
      <c r="U53" s="14">
        <f t="shared" ca="1" si="14"/>
        <v>0</v>
      </c>
      <c r="V53" s="14">
        <f t="shared" ca="1" si="14"/>
        <v>0</v>
      </c>
      <c r="W53" s="14">
        <f t="shared" ca="1" si="14"/>
        <v>0</v>
      </c>
      <c r="X53" s="14">
        <f t="shared" ca="1" si="14"/>
        <v>0</v>
      </c>
      <c r="Y53" s="14">
        <f t="shared" ca="1" si="14"/>
        <v>0</v>
      </c>
      <c r="Z53" s="14">
        <f t="shared" ca="1" si="14"/>
        <v>0</v>
      </c>
      <c r="AA53" s="14">
        <f t="shared" ca="1" si="14"/>
        <v>0</v>
      </c>
      <c r="AB53" s="14">
        <f t="shared" ca="1" si="14"/>
        <v>0</v>
      </c>
      <c r="AC53" s="14">
        <f t="shared" ca="1" si="14"/>
        <v>0</v>
      </c>
      <c r="AD53" s="14">
        <f t="shared" ca="1" si="14"/>
        <v>0</v>
      </c>
      <c r="AE53" s="14">
        <f t="shared" ca="1" si="14"/>
        <v>0</v>
      </c>
      <c r="AF53" s="14">
        <f t="shared" ca="1" si="14"/>
        <v>0</v>
      </c>
      <c r="AG53" s="14">
        <f t="shared" ca="1" si="14"/>
        <v>0</v>
      </c>
      <c r="AH53" s="14">
        <f t="shared" ca="1" si="14"/>
        <v>0</v>
      </c>
      <c r="AI53" s="14">
        <f t="shared" ca="1" si="14"/>
        <v>0</v>
      </c>
      <c r="AJ53" s="14">
        <f t="shared" ca="1" si="14"/>
        <v>0</v>
      </c>
      <c r="AK53" s="14">
        <f t="shared" ca="1" si="14"/>
        <v>0</v>
      </c>
      <c r="AL53" s="14">
        <f t="shared" ca="1" si="14"/>
        <v>0</v>
      </c>
    </row>
    <row r="54" spans="1:38" ht="21" hidden="1" customHeight="1" outlineLevel="1" thickBot="1" x14ac:dyDescent="0.4">
      <c r="A54" s="5">
        <f t="shared" si="10"/>
        <v>0</v>
      </c>
      <c r="B54" s="5">
        <f t="shared" si="10"/>
        <v>1</v>
      </c>
      <c r="C54" s="5">
        <f t="shared" si="10"/>
        <v>0</v>
      </c>
      <c r="D54" s="5">
        <f t="shared" si="10"/>
        <v>0</v>
      </c>
      <c r="E54" s="6" t="str">
        <f t="shared" si="11"/>
        <v>Se</v>
      </c>
      <c r="F54" s="14">
        <f t="shared" ca="1" si="12"/>
        <v>-4.7</v>
      </c>
      <c r="G54" s="14">
        <f t="shared" ca="1" si="14"/>
        <v>-5.0519999999999996</v>
      </c>
      <c r="H54" s="14">
        <f t="shared" ca="1" si="14"/>
        <v>-5.44</v>
      </c>
      <c r="I54" s="14">
        <f t="shared" ca="1" si="14"/>
        <v>-5.8230000000000004</v>
      </c>
      <c r="J54" s="14">
        <f t="shared" ca="1" si="14"/>
        <v>-6.18</v>
      </c>
      <c r="K54" s="14">
        <f t="shared" ca="1" si="14"/>
        <v>-6.476</v>
      </c>
      <c r="L54" s="14">
        <f t="shared" ca="1" si="14"/>
        <v>-6.6790000000000003</v>
      </c>
      <c r="M54" s="14">
        <f t="shared" ca="1" si="14"/>
        <v>-6.8860000000000001</v>
      </c>
      <c r="N54" s="14">
        <f t="shared" ca="1" si="14"/>
        <v>-7.1260000000000003</v>
      </c>
      <c r="O54" s="14">
        <f t="shared" ca="1" si="14"/>
        <v>-7.4080000000000004</v>
      </c>
      <c r="P54" s="14">
        <f t="shared" ca="1" si="14"/>
        <v>-7.7750000000000004</v>
      </c>
      <c r="Q54" s="14">
        <f t="shared" ca="1" si="14"/>
        <v>-8.2319999999999993</v>
      </c>
      <c r="R54" s="14">
        <f t="shared" ca="1" si="14"/>
        <v>0</v>
      </c>
      <c r="S54" s="14">
        <f t="shared" ca="1" si="14"/>
        <v>0</v>
      </c>
      <c r="T54" s="14">
        <f t="shared" ca="1" si="14"/>
        <v>0</v>
      </c>
      <c r="U54" s="14">
        <f t="shared" ref="U54:AL54" ca="1" si="15">$A54*H.Ar + $B54*H.Se + $C54*H.Ge + $D54*H.Ga</f>
        <v>0</v>
      </c>
      <c r="V54" s="14">
        <f t="shared" ca="1" si="15"/>
        <v>0</v>
      </c>
      <c r="W54" s="14">
        <f t="shared" ca="1" si="15"/>
        <v>0</v>
      </c>
      <c r="X54" s="14">
        <f t="shared" ca="1" si="15"/>
        <v>0</v>
      </c>
      <c r="Y54" s="14">
        <f t="shared" ca="1" si="15"/>
        <v>0</v>
      </c>
      <c r="Z54" s="14">
        <f t="shared" ca="1" si="15"/>
        <v>0</v>
      </c>
      <c r="AA54" s="14">
        <f t="shared" ca="1" si="15"/>
        <v>0</v>
      </c>
      <c r="AB54" s="14">
        <f t="shared" ca="1" si="15"/>
        <v>0</v>
      </c>
      <c r="AC54" s="14">
        <f t="shared" ca="1" si="15"/>
        <v>0</v>
      </c>
      <c r="AD54" s="14">
        <f t="shared" ca="1" si="15"/>
        <v>0</v>
      </c>
      <c r="AE54" s="14">
        <f t="shared" ca="1" si="15"/>
        <v>0</v>
      </c>
      <c r="AF54" s="14">
        <f t="shared" ca="1" si="15"/>
        <v>0</v>
      </c>
      <c r="AG54" s="14">
        <f t="shared" ca="1" si="15"/>
        <v>0</v>
      </c>
      <c r="AH54" s="14">
        <f t="shared" ca="1" si="15"/>
        <v>0</v>
      </c>
      <c r="AI54" s="14">
        <f t="shared" ca="1" si="15"/>
        <v>0</v>
      </c>
      <c r="AJ54" s="14">
        <f t="shared" ca="1" si="15"/>
        <v>0</v>
      </c>
      <c r="AK54" s="14">
        <f t="shared" ca="1" si="15"/>
        <v>0</v>
      </c>
      <c r="AL54" s="14">
        <f t="shared" ca="1" si="15"/>
        <v>0</v>
      </c>
    </row>
    <row r="55" spans="1:38" ht="21" hidden="1" customHeight="1" outlineLevel="1" thickBot="1" x14ac:dyDescent="0.4">
      <c r="A55" s="5">
        <f t="shared" si="10"/>
        <v>0</v>
      </c>
      <c r="B55" s="5">
        <f t="shared" si="10"/>
        <v>1</v>
      </c>
      <c r="C55" s="5">
        <f t="shared" si="10"/>
        <v>0</v>
      </c>
      <c r="D55" s="5">
        <f t="shared" si="10"/>
        <v>2</v>
      </c>
      <c r="E55" s="6" t="str">
        <f t="shared" si="11"/>
        <v>Ga2Se</v>
      </c>
      <c r="F55" s="14">
        <f t="shared" ca="1" si="12"/>
        <v>-16.134</v>
      </c>
      <c r="G55" s="14">
        <f t="shared" ref="G55:AL62" ca="1" si="16">$A55*H.Ar + $B55*H.Se + $C55*H.Ge + $D55*H.Ga</f>
        <v>-17.47</v>
      </c>
      <c r="H55" s="14">
        <f t="shared" ca="1" si="16"/>
        <v>-18.738</v>
      </c>
      <c r="I55" s="14">
        <f t="shared" ca="1" si="16"/>
        <v>-19.908999999999999</v>
      </c>
      <c r="J55" s="14">
        <f t="shared" ca="1" si="16"/>
        <v>-21.006</v>
      </c>
      <c r="K55" s="14">
        <f t="shared" ca="1" si="16"/>
        <v>-22.146000000000001</v>
      </c>
      <c r="L55" s="14">
        <f t="shared" ca="1" si="16"/>
        <v>-23.645000000000003</v>
      </c>
      <c r="M55" s="14">
        <f t="shared" ca="1" si="16"/>
        <v>-25.353999999999999</v>
      </c>
      <c r="N55" s="14">
        <f t="shared" ca="1" si="16"/>
        <v>-26.958000000000002</v>
      </c>
      <c r="O55" s="14">
        <f t="shared" ca="1" si="16"/>
        <v>-28.428000000000001</v>
      </c>
      <c r="P55" s="14">
        <f t="shared" ca="1" si="16"/>
        <v>-29.795000000000002</v>
      </c>
      <c r="Q55" s="14">
        <f t="shared" ca="1" si="16"/>
        <v>-31.012</v>
      </c>
      <c r="R55" s="14">
        <f t="shared" ca="1" si="16"/>
        <v>0</v>
      </c>
      <c r="S55" s="14">
        <f t="shared" ca="1" si="16"/>
        <v>0</v>
      </c>
      <c r="T55" s="14">
        <f t="shared" ca="1" si="16"/>
        <v>0</v>
      </c>
      <c r="U55" s="14">
        <f t="shared" ca="1" si="16"/>
        <v>0</v>
      </c>
      <c r="V55" s="14">
        <f t="shared" ca="1" si="16"/>
        <v>0</v>
      </c>
      <c r="W55" s="14">
        <f t="shared" ca="1" si="16"/>
        <v>0</v>
      </c>
      <c r="X55" s="14">
        <f t="shared" ca="1" si="16"/>
        <v>0</v>
      </c>
      <c r="Y55" s="14">
        <f t="shared" ca="1" si="16"/>
        <v>0</v>
      </c>
      <c r="Z55" s="14">
        <f t="shared" ca="1" si="16"/>
        <v>0</v>
      </c>
      <c r="AA55" s="14">
        <f t="shared" ca="1" si="16"/>
        <v>0</v>
      </c>
      <c r="AB55" s="14">
        <f t="shared" ca="1" si="16"/>
        <v>0</v>
      </c>
      <c r="AC55" s="14">
        <f t="shared" ca="1" si="16"/>
        <v>0</v>
      </c>
      <c r="AD55" s="14">
        <f t="shared" ca="1" si="16"/>
        <v>0</v>
      </c>
      <c r="AE55" s="14">
        <f t="shared" ca="1" si="16"/>
        <v>0</v>
      </c>
      <c r="AF55" s="14">
        <f t="shared" ca="1" si="16"/>
        <v>0</v>
      </c>
      <c r="AG55" s="14">
        <f t="shared" ca="1" si="16"/>
        <v>0</v>
      </c>
      <c r="AH55" s="14">
        <f t="shared" ca="1" si="16"/>
        <v>0</v>
      </c>
      <c r="AI55" s="14">
        <f t="shared" ca="1" si="16"/>
        <v>0</v>
      </c>
      <c r="AJ55" s="14">
        <f t="shared" ca="1" si="16"/>
        <v>0</v>
      </c>
      <c r="AK55" s="14">
        <f t="shared" ca="1" si="16"/>
        <v>0</v>
      </c>
      <c r="AL55" s="14">
        <f t="shared" ca="1" si="16"/>
        <v>0</v>
      </c>
    </row>
    <row r="56" spans="1:38" ht="21" hidden="1" customHeight="1" outlineLevel="1" thickBot="1" x14ac:dyDescent="0.4">
      <c r="A56" s="5">
        <f t="shared" ref="A56:E65" si="17">A14</f>
        <v>1</v>
      </c>
      <c r="B56" s="5">
        <f t="shared" si="17"/>
        <v>0</v>
      </c>
      <c r="C56" s="5">
        <f t="shared" si="17"/>
        <v>0</v>
      </c>
      <c r="D56" s="5">
        <f t="shared" si="17"/>
        <v>0</v>
      </c>
      <c r="E56" s="6" t="str">
        <f t="shared" si="11"/>
        <v>Ar</v>
      </c>
      <c r="F56" s="14">
        <f t="shared" ref="F56:U65" ca="1" si="18">$A56*H.Ar + $B56*H.Se + $C56*H.Ge + $D56*H.Ga</f>
        <v>-18.62</v>
      </c>
      <c r="G56" s="14">
        <f t="shared" ca="1" si="18"/>
        <v>-18.63</v>
      </c>
      <c r="H56" s="14">
        <f t="shared" ca="1" si="18"/>
        <v>-18.72</v>
      </c>
      <c r="I56" s="14">
        <f t="shared" ca="1" si="18"/>
        <v>-18.84</v>
      </c>
      <c r="J56" s="14">
        <f t="shared" ca="1" si="18"/>
        <v>-19</v>
      </c>
      <c r="K56" s="14">
        <f t="shared" ca="1" si="18"/>
        <v>-19.25</v>
      </c>
      <c r="L56" s="14">
        <f t="shared" ca="1" si="18"/>
        <v>-19.579999999999998</v>
      </c>
      <c r="M56" s="14">
        <f t="shared" ca="1" si="18"/>
        <v>-19.82</v>
      </c>
      <c r="N56" s="14">
        <f t="shared" ca="1" si="18"/>
        <v>-20.03</v>
      </c>
      <c r="O56" s="14">
        <f t="shared" ca="1" si="18"/>
        <v>-20.25</v>
      </c>
      <c r="P56" s="14">
        <f t="shared" ca="1" si="18"/>
        <v>-20.49</v>
      </c>
      <c r="Q56" s="14">
        <f t="shared" ca="1" si="18"/>
        <v>-20.7</v>
      </c>
      <c r="R56" s="14">
        <f t="shared" ca="1" si="18"/>
        <v>0</v>
      </c>
      <c r="S56" s="14">
        <f t="shared" ca="1" si="18"/>
        <v>0</v>
      </c>
      <c r="T56" s="14">
        <f t="shared" ca="1" si="18"/>
        <v>0</v>
      </c>
      <c r="U56" s="14">
        <f t="shared" ca="1" si="18"/>
        <v>0</v>
      </c>
      <c r="V56" s="14">
        <f t="shared" ca="1" si="16"/>
        <v>0</v>
      </c>
      <c r="W56" s="14">
        <f t="shared" ca="1" si="16"/>
        <v>0</v>
      </c>
      <c r="X56" s="14">
        <f t="shared" ca="1" si="16"/>
        <v>0</v>
      </c>
      <c r="Y56" s="14">
        <f t="shared" ca="1" si="16"/>
        <v>0</v>
      </c>
      <c r="Z56" s="14">
        <f t="shared" ca="1" si="16"/>
        <v>0</v>
      </c>
      <c r="AA56" s="14">
        <f t="shared" ca="1" si="16"/>
        <v>0</v>
      </c>
      <c r="AB56" s="14">
        <f t="shared" ca="1" si="16"/>
        <v>0</v>
      </c>
      <c r="AC56" s="14">
        <f t="shared" ca="1" si="16"/>
        <v>0</v>
      </c>
      <c r="AD56" s="14">
        <f t="shared" ca="1" si="16"/>
        <v>0</v>
      </c>
      <c r="AE56" s="14">
        <f t="shared" ca="1" si="16"/>
        <v>0</v>
      </c>
      <c r="AF56" s="14">
        <f t="shared" ca="1" si="16"/>
        <v>0</v>
      </c>
      <c r="AG56" s="14">
        <f t="shared" ca="1" si="16"/>
        <v>0</v>
      </c>
      <c r="AH56" s="14">
        <f t="shared" ca="1" si="16"/>
        <v>0</v>
      </c>
      <c r="AI56" s="14">
        <f t="shared" ca="1" si="16"/>
        <v>0</v>
      </c>
      <c r="AJ56" s="14">
        <f t="shared" ca="1" si="16"/>
        <v>0</v>
      </c>
      <c r="AK56" s="14">
        <f t="shared" ca="1" si="16"/>
        <v>0</v>
      </c>
      <c r="AL56" s="14">
        <f t="shared" ca="1" si="16"/>
        <v>0</v>
      </c>
    </row>
    <row r="57" spans="1:38" ht="21" hidden="1" customHeight="1" outlineLevel="1" thickBot="1" x14ac:dyDescent="0.4">
      <c r="A57" s="5">
        <f t="shared" si="17"/>
        <v>0</v>
      </c>
      <c r="B57" s="5">
        <f t="shared" si="17"/>
        <v>0</v>
      </c>
      <c r="C57" s="5">
        <f t="shared" si="17"/>
        <v>0</v>
      </c>
      <c r="D57" s="5">
        <f t="shared" si="17"/>
        <v>1</v>
      </c>
      <c r="E57" s="6" t="str">
        <f t="shared" si="11"/>
        <v>(l)Ga[l]</v>
      </c>
      <c r="F57" s="14">
        <f t="shared" ca="1" si="18"/>
        <v>-5.7169999999999996</v>
      </c>
      <c r="G57" s="14">
        <f t="shared" ca="1" si="16"/>
        <v>-6.2089999999999996</v>
      </c>
      <c r="H57" s="14">
        <f t="shared" ca="1" si="16"/>
        <v>-6.649</v>
      </c>
      <c r="I57" s="14">
        <f t="shared" ca="1" si="16"/>
        <v>-7.0430000000000001</v>
      </c>
      <c r="J57" s="14">
        <f t="shared" ca="1" si="16"/>
        <v>-7.4130000000000003</v>
      </c>
      <c r="K57" s="14">
        <f t="shared" ca="1" si="16"/>
        <v>-7.835</v>
      </c>
      <c r="L57" s="14">
        <f t="shared" ca="1" si="16"/>
        <v>-8.4830000000000005</v>
      </c>
      <c r="M57" s="14">
        <f t="shared" ca="1" si="16"/>
        <v>-9.234</v>
      </c>
      <c r="N57" s="14">
        <f t="shared" ca="1" si="16"/>
        <v>-9.9160000000000004</v>
      </c>
      <c r="O57" s="14">
        <f t="shared" ca="1" si="16"/>
        <v>-10.51</v>
      </c>
      <c r="P57" s="14">
        <f t="shared" ca="1" si="16"/>
        <v>-11.01</v>
      </c>
      <c r="Q57" s="14">
        <f t="shared" ca="1" si="16"/>
        <v>-11.39</v>
      </c>
      <c r="R57" s="14">
        <f t="shared" ca="1" si="16"/>
        <v>0</v>
      </c>
      <c r="S57" s="14">
        <f t="shared" ca="1" si="16"/>
        <v>0</v>
      </c>
      <c r="T57" s="14">
        <f t="shared" ca="1" si="16"/>
        <v>0</v>
      </c>
      <c r="U57" s="14">
        <f t="shared" ca="1" si="16"/>
        <v>0</v>
      </c>
      <c r="V57" s="14">
        <f t="shared" ca="1" si="16"/>
        <v>0</v>
      </c>
      <c r="W57" s="14">
        <f t="shared" ca="1" si="16"/>
        <v>0</v>
      </c>
      <c r="X57" s="14">
        <f t="shared" ca="1" si="16"/>
        <v>0</v>
      </c>
      <c r="Y57" s="14">
        <f t="shared" ca="1" si="16"/>
        <v>0</v>
      </c>
      <c r="Z57" s="14">
        <f t="shared" ca="1" si="16"/>
        <v>0</v>
      </c>
      <c r="AA57" s="14">
        <f t="shared" ca="1" si="16"/>
        <v>0</v>
      </c>
      <c r="AB57" s="14">
        <f t="shared" ca="1" si="16"/>
        <v>0</v>
      </c>
      <c r="AC57" s="14">
        <f t="shared" ca="1" si="16"/>
        <v>0</v>
      </c>
      <c r="AD57" s="14">
        <f t="shared" ca="1" si="16"/>
        <v>0</v>
      </c>
      <c r="AE57" s="14">
        <f t="shared" ca="1" si="16"/>
        <v>0</v>
      </c>
      <c r="AF57" s="14">
        <f t="shared" ca="1" si="16"/>
        <v>0</v>
      </c>
      <c r="AG57" s="14">
        <f t="shared" ca="1" si="16"/>
        <v>0</v>
      </c>
      <c r="AH57" s="14">
        <f t="shared" ca="1" si="16"/>
        <v>0</v>
      </c>
      <c r="AI57" s="14">
        <f t="shared" ca="1" si="16"/>
        <v>0</v>
      </c>
      <c r="AJ57" s="14">
        <f t="shared" ca="1" si="16"/>
        <v>0</v>
      </c>
      <c r="AK57" s="14">
        <f t="shared" ca="1" si="16"/>
        <v>0</v>
      </c>
      <c r="AL57" s="14">
        <f t="shared" ca="1" si="16"/>
        <v>0</v>
      </c>
    </row>
    <row r="58" spans="1:38" ht="21" hidden="1" customHeight="1" outlineLevel="1" thickBot="1" x14ac:dyDescent="0.4">
      <c r="A58" s="5">
        <f t="shared" si="17"/>
        <v>0</v>
      </c>
      <c r="B58" s="5">
        <f t="shared" si="17"/>
        <v>0</v>
      </c>
      <c r="C58" s="5">
        <f t="shared" si="17"/>
        <v>1</v>
      </c>
      <c r="D58" s="5">
        <f t="shared" si="17"/>
        <v>0</v>
      </c>
      <c r="E58" s="6" t="str">
        <f t="shared" si="11"/>
        <v>(l)Ge[lJ</v>
      </c>
      <c r="F58" s="14">
        <f t="shared" ca="1" si="18"/>
        <v>5.5659999999999998</v>
      </c>
      <c r="G58" s="14">
        <f t="shared" ca="1" si="16"/>
        <v>2.508</v>
      </c>
      <c r="H58" s="14">
        <f t="shared" ca="1" si="16"/>
        <v>0.3417</v>
      </c>
      <c r="I58" s="14">
        <f t="shared" ca="1" si="16"/>
        <v>-1.292</v>
      </c>
      <c r="J58" s="14">
        <f t="shared" ca="1" si="16"/>
        <v>-2.5640000000000001</v>
      </c>
      <c r="K58" s="14">
        <f t="shared" ca="1" si="16"/>
        <v>-3.5169999999999999</v>
      </c>
      <c r="L58" s="14">
        <f t="shared" ca="1" si="16"/>
        <v>-4.1639999999999997</v>
      </c>
      <c r="M58" s="14">
        <f t="shared" ca="1" si="16"/>
        <v>-4.726</v>
      </c>
      <c r="N58" s="14">
        <f t="shared" ca="1" si="16"/>
        <v>-5.1970000000000001</v>
      </c>
      <c r="O58" s="14">
        <f t="shared" ca="1" si="16"/>
        <v>-5.4269999999999996</v>
      </c>
      <c r="P58" s="14">
        <f t="shared" ca="1" si="16"/>
        <v>-5.3949999999999996</v>
      </c>
      <c r="Q58" s="14">
        <f t="shared" ca="1" si="16"/>
        <v>-5.3879999999999999</v>
      </c>
      <c r="R58" s="14">
        <f t="shared" ca="1" si="16"/>
        <v>0</v>
      </c>
      <c r="S58" s="14">
        <f t="shared" ca="1" si="16"/>
        <v>0</v>
      </c>
      <c r="T58" s="14">
        <f t="shared" ca="1" si="16"/>
        <v>0</v>
      </c>
      <c r="U58" s="14">
        <f t="shared" ca="1" si="16"/>
        <v>0</v>
      </c>
      <c r="V58" s="14">
        <f t="shared" ca="1" si="16"/>
        <v>0</v>
      </c>
      <c r="W58" s="14">
        <f t="shared" ca="1" si="16"/>
        <v>0</v>
      </c>
      <c r="X58" s="14">
        <f t="shared" ca="1" si="16"/>
        <v>0</v>
      </c>
      <c r="Y58" s="14">
        <f t="shared" ca="1" si="16"/>
        <v>0</v>
      </c>
      <c r="Z58" s="14">
        <f t="shared" ca="1" si="16"/>
        <v>0</v>
      </c>
      <c r="AA58" s="14">
        <f t="shared" ca="1" si="16"/>
        <v>0</v>
      </c>
      <c r="AB58" s="14">
        <f t="shared" ca="1" si="16"/>
        <v>0</v>
      </c>
      <c r="AC58" s="14">
        <f t="shared" ca="1" si="16"/>
        <v>0</v>
      </c>
      <c r="AD58" s="14">
        <f t="shared" ca="1" si="16"/>
        <v>0</v>
      </c>
      <c r="AE58" s="14">
        <f t="shared" ca="1" si="16"/>
        <v>0</v>
      </c>
      <c r="AF58" s="14">
        <f t="shared" ca="1" si="16"/>
        <v>0</v>
      </c>
      <c r="AG58" s="14">
        <f t="shared" ca="1" si="16"/>
        <v>0</v>
      </c>
      <c r="AH58" s="14">
        <f t="shared" ca="1" si="16"/>
        <v>0</v>
      </c>
      <c r="AI58" s="14">
        <f t="shared" ca="1" si="16"/>
        <v>0</v>
      </c>
      <c r="AJ58" s="14">
        <f t="shared" ca="1" si="16"/>
        <v>0</v>
      </c>
      <c r="AK58" s="14">
        <f t="shared" ca="1" si="16"/>
        <v>0</v>
      </c>
      <c r="AL58" s="14">
        <f t="shared" ca="1" si="16"/>
        <v>0</v>
      </c>
    </row>
    <row r="59" spans="1:38" ht="21" hidden="1" customHeight="1" outlineLevel="1" thickBot="1" x14ac:dyDescent="0.4">
      <c r="A59" s="5">
        <f t="shared" si="17"/>
        <v>0</v>
      </c>
      <c r="B59" s="5">
        <f t="shared" si="17"/>
        <v>1</v>
      </c>
      <c r="C59" s="5">
        <f t="shared" si="17"/>
        <v>0</v>
      </c>
      <c r="D59" s="5">
        <f t="shared" si="17"/>
        <v>0</v>
      </c>
      <c r="E59" s="6" t="str">
        <f t="shared" si="11"/>
        <v>(l)SeCl]</v>
      </c>
      <c r="F59" s="14">
        <f t="shared" ca="1" si="18"/>
        <v>-4.7</v>
      </c>
      <c r="G59" s="14">
        <f t="shared" ca="1" si="16"/>
        <v>-5.0519999999999996</v>
      </c>
      <c r="H59" s="14">
        <f t="shared" ca="1" si="16"/>
        <v>-5.44</v>
      </c>
      <c r="I59" s="14">
        <f t="shared" ca="1" si="16"/>
        <v>-5.8230000000000004</v>
      </c>
      <c r="J59" s="14">
        <f t="shared" ca="1" si="16"/>
        <v>-6.18</v>
      </c>
      <c r="K59" s="14">
        <f t="shared" ca="1" si="16"/>
        <v>-6.476</v>
      </c>
      <c r="L59" s="14">
        <f t="shared" ca="1" si="16"/>
        <v>-6.6790000000000003</v>
      </c>
      <c r="M59" s="14">
        <f t="shared" ca="1" si="16"/>
        <v>-6.8860000000000001</v>
      </c>
      <c r="N59" s="14">
        <f t="shared" ca="1" si="16"/>
        <v>-7.1260000000000003</v>
      </c>
      <c r="O59" s="14">
        <f t="shared" ca="1" si="16"/>
        <v>-7.4080000000000004</v>
      </c>
      <c r="P59" s="14">
        <f t="shared" ca="1" si="16"/>
        <v>-7.7750000000000004</v>
      </c>
      <c r="Q59" s="14">
        <f t="shared" ca="1" si="16"/>
        <v>-8.2319999999999993</v>
      </c>
      <c r="R59" s="14">
        <f t="shared" ca="1" si="16"/>
        <v>0</v>
      </c>
      <c r="S59" s="14">
        <f t="shared" ca="1" si="16"/>
        <v>0</v>
      </c>
      <c r="T59" s="14">
        <f t="shared" ca="1" si="16"/>
        <v>0</v>
      </c>
      <c r="U59" s="14">
        <f t="shared" ca="1" si="16"/>
        <v>0</v>
      </c>
      <c r="V59" s="14">
        <f t="shared" ca="1" si="16"/>
        <v>0</v>
      </c>
      <c r="W59" s="14">
        <f t="shared" ca="1" si="16"/>
        <v>0</v>
      </c>
      <c r="X59" s="14">
        <f t="shared" ca="1" si="16"/>
        <v>0</v>
      </c>
      <c r="Y59" s="14">
        <f t="shared" ca="1" si="16"/>
        <v>0</v>
      </c>
      <c r="Z59" s="14">
        <f t="shared" ca="1" si="16"/>
        <v>0</v>
      </c>
      <c r="AA59" s="14">
        <f t="shared" ca="1" si="16"/>
        <v>0</v>
      </c>
      <c r="AB59" s="14">
        <f t="shared" ca="1" si="16"/>
        <v>0</v>
      </c>
      <c r="AC59" s="14">
        <f t="shared" ca="1" si="16"/>
        <v>0</v>
      </c>
      <c r="AD59" s="14">
        <f t="shared" ca="1" si="16"/>
        <v>0</v>
      </c>
      <c r="AE59" s="14">
        <f t="shared" ca="1" si="16"/>
        <v>0</v>
      </c>
      <c r="AF59" s="14">
        <f t="shared" ca="1" si="16"/>
        <v>0</v>
      </c>
      <c r="AG59" s="14">
        <f t="shared" ca="1" si="16"/>
        <v>0</v>
      </c>
      <c r="AH59" s="14">
        <f t="shared" ca="1" si="16"/>
        <v>0</v>
      </c>
      <c r="AI59" s="14">
        <f t="shared" ca="1" si="16"/>
        <v>0</v>
      </c>
      <c r="AJ59" s="14">
        <f t="shared" ca="1" si="16"/>
        <v>0</v>
      </c>
      <c r="AK59" s="14">
        <f t="shared" ca="1" si="16"/>
        <v>0</v>
      </c>
      <c r="AL59" s="14">
        <f t="shared" ca="1" si="16"/>
        <v>0</v>
      </c>
    </row>
    <row r="60" spans="1:38" ht="21" hidden="1" customHeight="1" outlineLevel="1" thickBot="1" x14ac:dyDescent="0.4">
      <c r="A60" s="5">
        <f t="shared" si="17"/>
        <v>1</v>
      </c>
      <c r="B60" s="5">
        <f t="shared" si="17"/>
        <v>0</v>
      </c>
      <c r="C60" s="5">
        <f t="shared" si="17"/>
        <v>0</v>
      </c>
      <c r="D60" s="5">
        <f t="shared" si="17"/>
        <v>0</v>
      </c>
      <c r="E60" s="6" t="str">
        <f t="shared" si="11"/>
        <v>H (Ar)</v>
      </c>
      <c r="F60" s="14">
        <f t="shared" ca="1" si="18"/>
        <v>-18.62</v>
      </c>
      <c r="G60" s="14">
        <f t="shared" ca="1" si="16"/>
        <v>-18.63</v>
      </c>
      <c r="H60" s="14">
        <f t="shared" ca="1" si="16"/>
        <v>-18.72</v>
      </c>
      <c r="I60" s="14">
        <f t="shared" ca="1" si="16"/>
        <v>-18.84</v>
      </c>
      <c r="J60" s="14">
        <f t="shared" ca="1" si="16"/>
        <v>-19</v>
      </c>
      <c r="K60" s="14">
        <f t="shared" ca="1" si="16"/>
        <v>-19.25</v>
      </c>
      <c r="L60" s="14">
        <f t="shared" ca="1" si="16"/>
        <v>-19.579999999999998</v>
      </c>
      <c r="M60" s="14">
        <f t="shared" ca="1" si="16"/>
        <v>-19.82</v>
      </c>
      <c r="N60" s="14">
        <f t="shared" ca="1" si="16"/>
        <v>-20.03</v>
      </c>
      <c r="O60" s="14">
        <f t="shared" ca="1" si="16"/>
        <v>-20.25</v>
      </c>
      <c r="P60" s="14">
        <f t="shared" ca="1" si="16"/>
        <v>-20.49</v>
      </c>
      <c r="Q60" s="14">
        <f t="shared" ca="1" si="16"/>
        <v>-20.7</v>
      </c>
      <c r="R60" s="14">
        <f t="shared" ca="1" si="16"/>
        <v>0</v>
      </c>
      <c r="S60" s="14">
        <f t="shared" ca="1" si="16"/>
        <v>0</v>
      </c>
      <c r="T60" s="14">
        <f t="shared" ca="1" si="16"/>
        <v>0</v>
      </c>
      <c r="U60" s="14">
        <f t="shared" ca="1" si="16"/>
        <v>0</v>
      </c>
      <c r="V60" s="14">
        <f t="shared" ca="1" si="16"/>
        <v>0</v>
      </c>
      <c r="W60" s="14">
        <f t="shared" ca="1" si="16"/>
        <v>0</v>
      </c>
      <c r="X60" s="14">
        <f t="shared" ca="1" si="16"/>
        <v>0</v>
      </c>
      <c r="Y60" s="14">
        <f t="shared" ca="1" si="16"/>
        <v>0</v>
      </c>
      <c r="Z60" s="14">
        <f t="shared" ca="1" si="16"/>
        <v>0</v>
      </c>
      <c r="AA60" s="14">
        <f t="shared" ca="1" si="16"/>
        <v>0</v>
      </c>
      <c r="AB60" s="14">
        <f t="shared" ca="1" si="16"/>
        <v>0</v>
      </c>
      <c r="AC60" s="14">
        <f t="shared" ca="1" si="16"/>
        <v>0</v>
      </c>
      <c r="AD60" s="14">
        <f t="shared" ca="1" si="16"/>
        <v>0</v>
      </c>
      <c r="AE60" s="14">
        <f t="shared" ca="1" si="16"/>
        <v>0</v>
      </c>
      <c r="AF60" s="14">
        <f t="shared" ca="1" si="16"/>
        <v>0</v>
      </c>
      <c r="AG60" s="14">
        <f t="shared" ca="1" si="16"/>
        <v>0</v>
      </c>
      <c r="AH60" s="14">
        <f t="shared" ca="1" si="16"/>
        <v>0</v>
      </c>
      <c r="AI60" s="14">
        <f t="shared" ca="1" si="16"/>
        <v>0</v>
      </c>
      <c r="AJ60" s="14">
        <f t="shared" ca="1" si="16"/>
        <v>0</v>
      </c>
      <c r="AK60" s="14">
        <f t="shared" ca="1" si="16"/>
        <v>0</v>
      </c>
      <c r="AL60" s="14">
        <f t="shared" ca="1" si="16"/>
        <v>0</v>
      </c>
    </row>
    <row r="61" spans="1:38" ht="21" hidden="1" customHeight="1" outlineLevel="1" thickBot="1" x14ac:dyDescent="0.4">
      <c r="A61" s="5">
        <f t="shared" si="17"/>
        <v>0</v>
      </c>
      <c r="B61" s="5">
        <f t="shared" si="17"/>
        <v>0</v>
      </c>
      <c r="C61" s="5">
        <f t="shared" si="17"/>
        <v>0</v>
      </c>
      <c r="D61" s="5">
        <f t="shared" si="17"/>
        <v>1</v>
      </c>
      <c r="E61" s="6" t="str">
        <f t="shared" si="11"/>
        <v>H (Ga)</v>
      </c>
      <c r="F61" s="14">
        <f t="shared" ca="1" si="18"/>
        <v>-5.7169999999999996</v>
      </c>
      <c r="G61" s="14">
        <f t="shared" ca="1" si="16"/>
        <v>-6.2089999999999996</v>
      </c>
      <c r="H61" s="14">
        <f t="shared" ca="1" si="16"/>
        <v>-6.649</v>
      </c>
      <c r="I61" s="14">
        <f t="shared" ca="1" si="16"/>
        <v>-7.0430000000000001</v>
      </c>
      <c r="J61" s="14">
        <f t="shared" ca="1" si="16"/>
        <v>-7.4130000000000003</v>
      </c>
      <c r="K61" s="14">
        <f t="shared" ca="1" si="16"/>
        <v>-7.835</v>
      </c>
      <c r="L61" s="14">
        <f t="shared" ca="1" si="16"/>
        <v>-8.4830000000000005</v>
      </c>
      <c r="M61" s="14">
        <f t="shared" ca="1" si="16"/>
        <v>-9.234</v>
      </c>
      <c r="N61" s="14">
        <f t="shared" ca="1" si="16"/>
        <v>-9.9160000000000004</v>
      </c>
      <c r="O61" s="14">
        <f t="shared" ca="1" si="16"/>
        <v>-10.51</v>
      </c>
      <c r="P61" s="14">
        <f t="shared" ca="1" si="16"/>
        <v>-11.01</v>
      </c>
      <c r="Q61" s="14">
        <f t="shared" ca="1" si="16"/>
        <v>-11.39</v>
      </c>
      <c r="R61" s="14">
        <f t="shared" ca="1" si="16"/>
        <v>0</v>
      </c>
      <c r="S61" s="14">
        <f t="shared" ca="1" si="16"/>
        <v>0</v>
      </c>
      <c r="T61" s="14">
        <f t="shared" ca="1" si="16"/>
        <v>0</v>
      </c>
      <c r="U61" s="14">
        <f t="shared" ca="1" si="16"/>
        <v>0</v>
      </c>
      <c r="V61" s="14">
        <f t="shared" ca="1" si="16"/>
        <v>0</v>
      </c>
      <c r="W61" s="14">
        <f t="shared" ca="1" si="16"/>
        <v>0</v>
      </c>
      <c r="X61" s="14">
        <f t="shared" ca="1" si="16"/>
        <v>0</v>
      </c>
      <c r="Y61" s="14">
        <f t="shared" ca="1" si="16"/>
        <v>0</v>
      </c>
      <c r="Z61" s="14">
        <f t="shared" ca="1" si="16"/>
        <v>0</v>
      </c>
      <c r="AA61" s="14">
        <f t="shared" ca="1" si="16"/>
        <v>0</v>
      </c>
      <c r="AB61" s="14">
        <f t="shared" ca="1" si="16"/>
        <v>0</v>
      </c>
      <c r="AC61" s="14">
        <f t="shared" ca="1" si="16"/>
        <v>0</v>
      </c>
      <c r="AD61" s="14">
        <f t="shared" ca="1" si="16"/>
        <v>0</v>
      </c>
      <c r="AE61" s="14">
        <f t="shared" ca="1" si="16"/>
        <v>0</v>
      </c>
      <c r="AF61" s="14">
        <f t="shared" ca="1" si="16"/>
        <v>0</v>
      </c>
      <c r="AG61" s="14">
        <f t="shared" ca="1" si="16"/>
        <v>0</v>
      </c>
      <c r="AH61" s="14">
        <f t="shared" ca="1" si="16"/>
        <v>0</v>
      </c>
      <c r="AI61" s="14">
        <f t="shared" ca="1" si="16"/>
        <v>0</v>
      </c>
      <c r="AJ61" s="14">
        <f t="shared" ca="1" si="16"/>
        <v>0</v>
      </c>
      <c r="AK61" s="14">
        <f t="shared" ca="1" si="16"/>
        <v>0</v>
      </c>
      <c r="AL61" s="14">
        <f t="shared" ca="1" si="16"/>
        <v>0</v>
      </c>
    </row>
    <row r="62" spans="1:38" ht="21" hidden="1" customHeight="1" outlineLevel="1" thickBot="1" x14ac:dyDescent="0.4">
      <c r="A62" s="5">
        <f t="shared" si="17"/>
        <v>0</v>
      </c>
      <c r="B62" s="5">
        <f t="shared" si="17"/>
        <v>0</v>
      </c>
      <c r="C62" s="5">
        <f t="shared" si="17"/>
        <v>1</v>
      </c>
      <c r="D62" s="5">
        <f t="shared" si="17"/>
        <v>0</v>
      </c>
      <c r="E62" s="6" t="str">
        <f t="shared" si="11"/>
        <v>H (Ge)</v>
      </c>
      <c r="F62" s="14">
        <f t="shared" ca="1" si="18"/>
        <v>5.5659999999999998</v>
      </c>
      <c r="G62" s="14">
        <f t="shared" ca="1" si="16"/>
        <v>2.508</v>
      </c>
      <c r="H62" s="14">
        <f t="shared" ca="1" si="16"/>
        <v>0.3417</v>
      </c>
      <c r="I62" s="14">
        <f t="shared" ca="1" si="16"/>
        <v>-1.292</v>
      </c>
      <c r="J62" s="14">
        <f t="shared" ca="1" si="16"/>
        <v>-2.5640000000000001</v>
      </c>
      <c r="K62" s="14">
        <f t="shared" ca="1" si="16"/>
        <v>-3.5169999999999999</v>
      </c>
      <c r="L62" s="14">
        <f t="shared" ca="1" si="16"/>
        <v>-4.1639999999999997</v>
      </c>
      <c r="M62" s="14">
        <f t="shared" ca="1" si="16"/>
        <v>-4.726</v>
      </c>
      <c r="N62" s="14">
        <f t="shared" ca="1" si="16"/>
        <v>-5.1970000000000001</v>
      </c>
      <c r="O62" s="14">
        <f t="shared" ca="1" si="16"/>
        <v>-5.4269999999999996</v>
      </c>
      <c r="P62" s="14">
        <f t="shared" ca="1" si="16"/>
        <v>-5.3949999999999996</v>
      </c>
      <c r="Q62" s="14">
        <f t="shared" ca="1" si="16"/>
        <v>-5.3879999999999999</v>
      </c>
      <c r="R62" s="14">
        <f t="shared" ca="1" si="16"/>
        <v>0</v>
      </c>
      <c r="S62" s="14">
        <f t="shared" ca="1" si="16"/>
        <v>0</v>
      </c>
      <c r="T62" s="14">
        <f t="shared" ca="1" si="16"/>
        <v>0</v>
      </c>
      <c r="U62" s="14">
        <f t="shared" ca="1" si="16"/>
        <v>0</v>
      </c>
      <c r="V62" s="14">
        <f t="shared" ca="1" si="16"/>
        <v>0</v>
      </c>
      <c r="W62" s="14">
        <f t="shared" ca="1" si="16"/>
        <v>0</v>
      </c>
      <c r="X62" s="14">
        <f t="shared" ca="1" si="16"/>
        <v>0</v>
      </c>
      <c r="Y62" s="14">
        <f t="shared" ca="1" si="16"/>
        <v>0</v>
      </c>
      <c r="Z62" s="14">
        <f t="shared" ca="1" si="16"/>
        <v>0</v>
      </c>
      <c r="AA62" s="14">
        <f t="shared" ca="1" si="16"/>
        <v>0</v>
      </c>
      <c r="AB62" s="14">
        <f t="shared" ca="1" si="16"/>
        <v>0</v>
      </c>
      <c r="AC62" s="14">
        <f t="shared" ca="1" si="16"/>
        <v>0</v>
      </c>
      <c r="AD62" s="14">
        <f t="shared" ca="1" si="16"/>
        <v>0</v>
      </c>
      <c r="AE62" s="14">
        <f t="shared" ca="1" si="16"/>
        <v>0</v>
      </c>
      <c r="AF62" s="14">
        <f t="shared" ca="1" si="16"/>
        <v>0</v>
      </c>
      <c r="AG62" s="14">
        <f t="shared" ca="1" si="16"/>
        <v>0</v>
      </c>
      <c r="AH62" s="14">
        <f t="shared" ca="1" si="16"/>
        <v>0</v>
      </c>
      <c r="AI62" s="14">
        <f t="shared" ref="AI62:AL62" ca="1" si="19">$A62*H.Ar + $B62*H.Se + $C62*H.Ge + $D62*H.Ga</f>
        <v>0</v>
      </c>
      <c r="AJ62" s="14">
        <f t="shared" ca="1" si="19"/>
        <v>0</v>
      </c>
      <c r="AK62" s="14">
        <f t="shared" ca="1" si="19"/>
        <v>0</v>
      </c>
      <c r="AL62" s="14">
        <f t="shared" ca="1" si="19"/>
        <v>0</v>
      </c>
    </row>
    <row r="63" spans="1:38" ht="21" hidden="1" customHeight="1" outlineLevel="1" thickBot="1" x14ac:dyDescent="0.4">
      <c r="A63" s="5">
        <f t="shared" si="17"/>
        <v>0</v>
      </c>
      <c r="B63" s="5">
        <f t="shared" si="17"/>
        <v>1</v>
      </c>
      <c r="C63" s="5">
        <f t="shared" si="17"/>
        <v>0</v>
      </c>
      <c r="D63" s="5">
        <f t="shared" si="17"/>
        <v>0</v>
      </c>
      <c r="E63" s="6" t="str">
        <f t="shared" si="11"/>
        <v>H (Se)</v>
      </c>
      <c r="F63" s="14">
        <f t="shared" ca="1" si="18"/>
        <v>-4.7</v>
      </c>
      <c r="G63" s="14">
        <f t="shared" ref="G63:AL71" ca="1" si="20">$A63*H.Ar + $B63*H.Se + $C63*H.Ge + $D63*H.Ga</f>
        <v>-5.0519999999999996</v>
      </c>
      <c r="H63" s="14">
        <f t="shared" ca="1" si="20"/>
        <v>-5.44</v>
      </c>
      <c r="I63" s="14">
        <f t="shared" ca="1" si="20"/>
        <v>-5.8230000000000004</v>
      </c>
      <c r="J63" s="14">
        <f t="shared" ca="1" si="20"/>
        <v>-6.18</v>
      </c>
      <c r="K63" s="14">
        <f t="shared" ca="1" si="20"/>
        <v>-6.476</v>
      </c>
      <c r="L63" s="14">
        <f t="shared" ca="1" si="20"/>
        <v>-6.6790000000000003</v>
      </c>
      <c r="M63" s="14">
        <f t="shared" ca="1" si="20"/>
        <v>-6.8860000000000001</v>
      </c>
      <c r="N63" s="14">
        <f t="shared" ca="1" si="20"/>
        <v>-7.1260000000000003</v>
      </c>
      <c r="O63" s="14">
        <f t="shared" ca="1" si="20"/>
        <v>-7.4080000000000004</v>
      </c>
      <c r="P63" s="14">
        <f t="shared" ca="1" si="20"/>
        <v>-7.7750000000000004</v>
      </c>
      <c r="Q63" s="14">
        <f t="shared" ca="1" si="20"/>
        <v>-8.2319999999999993</v>
      </c>
      <c r="R63" s="14">
        <f t="shared" ca="1" si="20"/>
        <v>0</v>
      </c>
      <c r="S63" s="14">
        <f t="shared" ca="1" si="20"/>
        <v>0</v>
      </c>
      <c r="T63" s="14">
        <f t="shared" ca="1" si="20"/>
        <v>0</v>
      </c>
      <c r="U63" s="14">
        <f t="shared" ca="1" si="20"/>
        <v>0</v>
      </c>
      <c r="V63" s="14">
        <f t="shared" ca="1" si="20"/>
        <v>0</v>
      </c>
      <c r="W63" s="14">
        <f t="shared" ca="1" si="20"/>
        <v>0</v>
      </c>
      <c r="X63" s="14">
        <f t="shared" ca="1" si="20"/>
        <v>0</v>
      </c>
      <c r="Y63" s="14">
        <f t="shared" ca="1" si="20"/>
        <v>0</v>
      </c>
      <c r="Z63" s="14">
        <f t="shared" ca="1" si="20"/>
        <v>0</v>
      </c>
      <c r="AA63" s="14">
        <f t="shared" ca="1" si="20"/>
        <v>0</v>
      </c>
      <c r="AB63" s="14">
        <f t="shared" ca="1" si="20"/>
        <v>0</v>
      </c>
      <c r="AC63" s="14">
        <f t="shared" ca="1" si="20"/>
        <v>0</v>
      </c>
      <c r="AD63" s="14">
        <f t="shared" ca="1" si="20"/>
        <v>0</v>
      </c>
      <c r="AE63" s="14">
        <f t="shared" ca="1" si="20"/>
        <v>0</v>
      </c>
      <c r="AF63" s="14">
        <f t="shared" ca="1" si="20"/>
        <v>0</v>
      </c>
      <c r="AG63" s="14">
        <f t="shared" ca="1" si="20"/>
        <v>0</v>
      </c>
      <c r="AH63" s="14">
        <f t="shared" ca="1" si="20"/>
        <v>0</v>
      </c>
      <c r="AI63" s="14">
        <f t="shared" ca="1" si="20"/>
        <v>0</v>
      </c>
      <c r="AJ63" s="14">
        <f t="shared" ca="1" si="20"/>
        <v>0</v>
      </c>
      <c r="AK63" s="14">
        <f t="shared" ca="1" si="20"/>
        <v>0</v>
      </c>
      <c r="AL63" s="14">
        <f t="shared" ca="1" si="20"/>
        <v>0</v>
      </c>
    </row>
    <row r="64" spans="1:38" ht="21" hidden="1" customHeight="1" outlineLevel="1" thickBot="1" x14ac:dyDescent="0.4">
      <c r="A64" s="5">
        <f t="shared" si="17"/>
        <v>0</v>
      </c>
      <c r="B64" s="5">
        <f t="shared" si="17"/>
        <v>0</v>
      </c>
      <c r="C64" s="5">
        <f t="shared" si="17"/>
        <v>0</v>
      </c>
      <c r="D64" s="5">
        <f t="shared" si="17"/>
        <v>0</v>
      </c>
      <c r="E64" s="6" t="str">
        <f t="shared" si="11"/>
        <v>Vapor</v>
      </c>
      <c r="F64" s="14">
        <f t="shared" ca="1" si="18"/>
        <v>0</v>
      </c>
      <c r="G64" s="14">
        <f t="shared" ca="1" si="20"/>
        <v>0</v>
      </c>
      <c r="H64" s="14">
        <f t="shared" ca="1" si="20"/>
        <v>0</v>
      </c>
      <c r="I64" s="14">
        <f t="shared" ca="1" si="20"/>
        <v>0</v>
      </c>
      <c r="J64" s="14">
        <f t="shared" ca="1" si="20"/>
        <v>0</v>
      </c>
      <c r="K64" s="14">
        <f t="shared" ca="1" si="20"/>
        <v>0</v>
      </c>
      <c r="L64" s="14">
        <f t="shared" ca="1" si="20"/>
        <v>0</v>
      </c>
      <c r="M64" s="14">
        <f t="shared" ca="1" si="20"/>
        <v>0</v>
      </c>
      <c r="N64" s="14">
        <f t="shared" ca="1" si="20"/>
        <v>0</v>
      </c>
      <c r="O64" s="14">
        <f t="shared" ca="1" si="20"/>
        <v>0</v>
      </c>
      <c r="P64" s="14">
        <f t="shared" ca="1" si="20"/>
        <v>0</v>
      </c>
      <c r="Q64" s="14">
        <f t="shared" ca="1" si="20"/>
        <v>0</v>
      </c>
      <c r="R64" s="14">
        <f t="shared" ca="1" si="20"/>
        <v>0</v>
      </c>
      <c r="S64" s="14">
        <f t="shared" ca="1" si="20"/>
        <v>0</v>
      </c>
      <c r="T64" s="14">
        <f t="shared" ca="1" si="20"/>
        <v>0</v>
      </c>
      <c r="U64" s="14">
        <f t="shared" ca="1" si="20"/>
        <v>0</v>
      </c>
      <c r="V64" s="14">
        <f t="shared" ca="1" si="20"/>
        <v>0</v>
      </c>
      <c r="W64" s="14">
        <f t="shared" ca="1" si="20"/>
        <v>0</v>
      </c>
      <c r="X64" s="14">
        <f t="shared" ca="1" si="20"/>
        <v>0</v>
      </c>
      <c r="Y64" s="14">
        <f t="shared" ca="1" si="20"/>
        <v>0</v>
      </c>
      <c r="Z64" s="14">
        <f t="shared" ca="1" si="20"/>
        <v>0</v>
      </c>
      <c r="AA64" s="14">
        <f t="shared" ca="1" si="20"/>
        <v>0</v>
      </c>
      <c r="AB64" s="14">
        <f t="shared" ca="1" si="20"/>
        <v>0</v>
      </c>
      <c r="AC64" s="14">
        <f t="shared" ca="1" si="20"/>
        <v>0</v>
      </c>
      <c r="AD64" s="14">
        <f t="shared" ca="1" si="20"/>
        <v>0</v>
      </c>
      <c r="AE64" s="14">
        <f t="shared" ca="1" si="20"/>
        <v>0</v>
      </c>
      <c r="AF64" s="14">
        <f t="shared" ca="1" si="20"/>
        <v>0</v>
      </c>
      <c r="AG64" s="14">
        <f t="shared" ca="1" si="20"/>
        <v>0</v>
      </c>
      <c r="AH64" s="14">
        <f t="shared" ca="1" si="20"/>
        <v>0</v>
      </c>
      <c r="AI64" s="14">
        <f t="shared" ca="1" si="20"/>
        <v>0</v>
      </c>
      <c r="AJ64" s="14">
        <f t="shared" ca="1" si="20"/>
        <v>0</v>
      </c>
      <c r="AK64" s="14">
        <f t="shared" ca="1" si="20"/>
        <v>0</v>
      </c>
      <c r="AL64" s="14">
        <f t="shared" ca="1" si="20"/>
        <v>0</v>
      </c>
    </row>
    <row r="65" spans="1:54" ht="21" hidden="1" customHeight="1" outlineLevel="1" thickBot="1" x14ac:dyDescent="0.4">
      <c r="A65" s="5">
        <f t="shared" si="17"/>
        <v>0</v>
      </c>
      <c r="B65" s="5">
        <f t="shared" si="17"/>
        <v>0</v>
      </c>
      <c r="C65" s="5">
        <f t="shared" si="17"/>
        <v>0</v>
      </c>
      <c r="D65" s="5">
        <f t="shared" si="17"/>
        <v>0</v>
      </c>
      <c r="E65" s="6">
        <f t="shared" si="17"/>
        <v>0</v>
      </c>
      <c r="F65" s="14">
        <f t="shared" ca="1" si="18"/>
        <v>0</v>
      </c>
      <c r="G65" s="14">
        <f t="shared" ca="1" si="20"/>
        <v>0</v>
      </c>
      <c r="H65" s="14">
        <f t="shared" ca="1" si="20"/>
        <v>0</v>
      </c>
      <c r="I65" s="14">
        <f t="shared" ca="1" si="20"/>
        <v>0</v>
      </c>
      <c r="J65" s="14">
        <f t="shared" ca="1" si="20"/>
        <v>0</v>
      </c>
      <c r="K65" s="14">
        <f t="shared" ca="1" si="20"/>
        <v>0</v>
      </c>
      <c r="L65" s="14">
        <f t="shared" ca="1" si="20"/>
        <v>0</v>
      </c>
      <c r="M65" s="14">
        <f t="shared" ca="1" si="20"/>
        <v>0</v>
      </c>
      <c r="N65" s="14">
        <f t="shared" ca="1" si="20"/>
        <v>0</v>
      </c>
      <c r="O65" s="14">
        <f t="shared" ca="1" si="20"/>
        <v>0</v>
      </c>
      <c r="P65" s="14">
        <f t="shared" ca="1" si="20"/>
        <v>0</v>
      </c>
      <c r="Q65" s="14">
        <f t="shared" ca="1" si="20"/>
        <v>0</v>
      </c>
      <c r="R65" s="14">
        <f t="shared" ca="1" si="20"/>
        <v>0</v>
      </c>
      <c r="S65" s="14">
        <f t="shared" ca="1" si="20"/>
        <v>0</v>
      </c>
      <c r="T65" s="14">
        <f t="shared" ca="1" si="20"/>
        <v>0</v>
      </c>
      <c r="U65" s="14">
        <f t="shared" ca="1" si="20"/>
        <v>0</v>
      </c>
      <c r="V65" s="14">
        <f t="shared" ca="1" si="20"/>
        <v>0</v>
      </c>
      <c r="W65" s="14">
        <f t="shared" ca="1" si="20"/>
        <v>0</v>
      </c>
      <c r="X65" s="14">
        <f t="shared" ca="1" si="20"/>
        <v>0</v>
      </c>
      <c r="Y65" s="14">
        <f t="shared" ca="1" si="20"/>
        <v>0</v>
      </c>
      <c r="Z65" s="14">
        <f t="shared" ca="1" si="20"/>
        <v>0</v>
      </c>
      <c r="AA65" s="14">
        <f t="shared" ca="1" si="20"/>
        <v>0</v>
      </c>
      <c r="AB65" s="14">
        <f t="shared" ca="1" si="20"/>
        <v>0</v>
      </c>
      <c r="AC65" s="14">
        <f t="shared" ca="1" si="20"/>
        <v>0</v>
      </c>
      <c r="AD65" s="14">
        <f t="shared" ca="1" si="20"/>
        <v>0</v>
      </c>
      <c r="AE65" s="14">
        <f t="shared" ca="1" si="20"/>
        <v>0</v>
      </c>
      <c r="AF65" s="14">
        <f t="shared" ca="1" si="20"/>
        <v>0</v>
      </c>
      <c r="AG65" s="14">
        <f t="shared" ca="1" si="20"/>
        <v>0</v>
      </c>
      <c r="AH65" s="14">
        <f t="shared" ca="1" si="20"/>
        <v>0</v>
      </c>
      <c r="AI65" s="14">
        <f t="shared" ca="1" si="20"/>
        <v>0</v>
      </c>
      <c r="AJ65" s="14">
        <f t="shared" ca="1" si="20"/>
        <v>0</v>
      </c>
      <c r="AK65" s="14">
        <f t="shared" ca="1" si="20"/>
        <v>0</v>
      </c>
      <c r="AL65" s="14">
        <f t="shared" ca="1" si="20"/>
        <v>0</v>
      </c>
    </row>
    <row r="66" spans="1:54" ht="21" hidden="1" customHeight="1" outlineLevel="1" thickBot="1" x14ac:dyDescent="0.4">
      <c r="A66" s="5">
        <f t="shared" ref="A66:E75" si="21">A24</f>
        <v>0</v>
      </c>
      <c r="B66" s="5">
        <f t="shared" si="21"/>
        <v>0</v>
      </c>
      <c r="C66" s="5">
        <f t="shared" si="21"/>
        <v>0</v>
      </c>
      <c r="D66" s="5">
        <f t="shared" si="21"/>
        <v>0</v>
      </c>
      <c r="E66" s="6">
        <f t="shared" si="21"/>
        <v>0</v>
      </c>
      <c r="F66" s="14">
        <f t="shared" ref="F66:U74" ca="1" si="22">$A66*H.Ar + $B66*H.Se + $C66*H.Ge + $D66*H.Ga</f>
        <v>0</v>
      </c>
      <c r="G66" s="14">
        <f t="shared" ca="1" si="22"/>
        <v>0</v>
      </c>
      <c r="H66" s="14">
        <f t="shared" ca="1" si="22"/>
        <v>0</v>
      </c>
      <c r="I66" s="14">
        <f t="shared" ca="1" si="22"/>
        <v>0</v>
      </c>
      <c r="J66" s="14">
        <f t="shared" ca="1" si="22"/>
        <v>0</v>
      </c>
      <c r="K66" s="14">
        <f t="shared" ca="1" si="22"/>
        <v>0</v>
      </c>
      <c r="L66" s="14">
        <f t="shared" ca="1" si="22"/>
        <v>0</v>
      </c>
      <c r="M66" s="14">
        <f t="shared" ca="1" si="22"/>
        <v>0</v>
      </c>
      <c r="N66" s="14">
        <f t="shared" ca="1" si="22"/>
        <v>0</v>
      </c>
      <c r="O66" s="14">
        <f t="shared" ca="1" si="22"/>
        <v>0</v>
      </c>
      <c r="P66" s="14">
        <f t="shared" ca="1" si="22"/>
        <v>0</v>
      </c>
      <c r="Q66" s="14">
        <f t="shared" ca="1" si="22"/>
        <v>0</v>
      </c>
      <c r="R66" s="14">
        <f t="shared" ca="1" si="22"/>
        <v>0</v>
      </c>
      <c r="S66" s="14">
        <f t="shared" ca="1" si="22"/>
        <v>0</v>
      </c>
      <c r="T66" s="14">
        <f t="shared" ca="1" si="22"/>
        <v>0</v>
      </c>
      <c r="U66" s="14">
        <f t="shared" ca="1" si="22"/>
        <v>0</v>
      </c>
      <c r="V66" s="14">
        <f t="shared" ca="1" si="20"/>
        <v>0</v>
      </c>
      <c r="W66" s="14">
        <f t="shared" ca="1" si="20"/>
        <v>0</v>
      </c>
      <c r="X66" s="14">
        <f t="shared" ca="1" si="20"/>
        <v>0</v>
      </c>
      <c r="Y66" s="14">
        <f t="shared" ca="1" si="20"/>
        <v>0</v>
      </c>
      <c r="Z66" s="14">
        <f t="shared" ca="1" si="20"/>
        <v>0</v>
      </c>
      <c r="AA66" s="14">
        <f t="shared" ca="1" si="20"/>
        <v>0</v>
      </c>
      <c r="AB66" s="14">
        <f t="shared" ca="1" si="20"/>
        <v>0</v>
      </c>
      <c r="AC66" s="14">
        <f t="shared" ca="1" si="20"/>
        <v>0</v>
      </c>
      <c r="AD66" s="14">
        <f t="shared" ca="1" si="20"/>
        <v>0</v>
      </c>
      <c r="AE66" s="14">
        <f t="shared" ca="1" si="20"/>
        <v>0</v>
      </c>
      <c r="AF66" s="14">
        <f t="shared" ca="1" si="20"/>
        <v>0</v>
      </c>
      <c r="AG66" s="14">
        <f t="shared" ca="1" si="20"/>
        <v>0</v>
      </c>
      <c r="AH66" s="14">
        <f t="shared" ca="1" si="20"/>
        <v>0</v>
      </c>
      <c r="AI66" s="14">
        <f t="shared" ca="1" si="20"/>
        <v>0</v>
      </c>
      <c r="AJ66" s="14">
        <f t="shared" ca="1" si="20"/>
        <v>0</v>
      </c>
      <c r="AK66" s="14">
        <f t="shared" ca="1" si="20"/>
        <v>0</v>
      </c>
      <c r="AL66" s="14">
        <f t="shared" ca="1" si="20"/>
        <v>0</v>
      </c>
    </row>
    <row r="67" spans="1:54" ht="21" hidden="1" customHeight="1" outlineLevel="1" thickBot="1" x14ac:dyDescent="0.4">
      <c r="A67" s="5">
        <f t="shared" si="21"/>
        <v>0</v>
      </c>
      <c r="B67" s="5">
        <f t="shared" si="21"/>
        <v>0</v>
      </c>
      <c r="C67" s="5">
        <f t="shared" si="21"/>
        <v>0</v>
      </c>
      <c r="D67" s="5">
        <f t="shared" si="21"/>
        <v>0</v>
      </c>
      <c r="E67" s="6">
        <f t="shared" si="21"/>
        <v>0</v>
      </c>
      <c r="F67" s="14">
        <f t="shared" ca="1" si="22"/>
        <v>0</v>
      </c>
      <c r="G67" s="14">
        <f t="shared" ca="1" si="20"/>
        <v>0</v>
      </c>
      <c r="H67" s="14">
        <f t="shared" ca="1" si="20"/>
        <v>0</v>
      </c>
      <c r="I67" s="14">
        <f t="shared" ca="1" si="20"/>
        <v>0</v>
      </c>
      <c r="J67" s="14">
        <f t="shared" ca="1" si="20"/>
        <v>0</v>
      </c>
      <c r="K67" s="14">
        <f t="shared" ca="1" si="20"/>
        <v>0</v>
      </c>
      <c r="L67" s="14">
        <f t="shared" ca="1" si="20"/>
        <v>0</v>
      </c>
      <c r="M67" s="14">
        <f t="shared" ca="1" si="20"/>
        <v>0</v>
      </c>
      <c r="N67" s="14">
        <f t="shared" ca="1" si="20"/>
        <v>0</v>
      </c>
      <c r="O67" s="14">
        <f t="shared" ca="1" si="20"/>
        <v>0</v>
      </c>
      <c r="P67" s="14">
        <f t="shared" ca="1" si="20"/>
        <v>0</v>
      </c>
      <c r="Q67" s="14">
        <f t="shared" ca="1" si="20"/>
        <v>0</v>
      </c>
      <c r="R67" s="14">
        <f t="shared" ca="1" si="20"/>
        <v>0</v>
      </c>
      <c r="S67" s="14">
        <f t="shared" ca="1" si="20"/>
        <v>0</v>
      </c>
      <c r="T67" s="14">
        <f t="shared" ca="1" si="20"/>
        <v>0</v>
      </c>
      <c r="U67" s="14">
        <f t="shared" ca="1" si="20"/>
        <v>0</v>
      </c>
      <c r="V67" s="14">
        <f t="shared" ca="1" si="20"/>
        <v>0</v>
      </c>
      <c r="W67" s="14">
        <f t="shared" ca="1" si="20"/>
        <v>0</v>
      </c>
      <c r="X67" s="14">
        <f t="shared" ca="1" si="20"/>
        <v>0</v>
      </c>
      <c r="Y67" s="14">
        <f t="shared" ca="1" si="20"/>
        <v>0</v>
      </c>
      <c r="Z67" s="14">
        <f t="shared" ca="1" si="20"/>
        <v>0</v>
      </c>
      <c r="AA67" s="14">
        <f t="shared" ca="1" si="20"/>
        <v>0</v>
      </c>
      <c r="AB67" s="14">
        <f t="shared" ca="1" si="20"/>
        <v>0</v>
      </c>
      <c r="AC67" s="14">
        <f t="shared" ca="1" si="20"/>
        <v>0</v>
      </c>
      <c r="AD67" s="14">
        <f t="shared" ca="1" si="20"/>
        <v>0</v>
      </c>
      <c r="AE67" s="14">
        <f t="shared" ca="1" si="20"/>
        <v>0</v>
      </c>
      <c r="AF67" s="14">
        <f t="shared" ca="1" si="20"/>
        <v>0</v>
      </c>
      <c r="AG67" s="14">
        <f t="shared" ca="1" si="20"/>
        <v>0</v>
      </c>
      <c r="AH67" s="14">
        <f t="shared" ca="1" si="20"/>
        <v>0</v>
      </c>
      <c r="AI67" s="14">
        <f t="shared" ca="1" si="20"/>
        <v>0</v>
      </c>
      <c r="AJ67" s="14">
        <f t="shared" ca="1" si="20"/>
        <v>0</v>
      </c>
      <c r="AK67" s="14">
        <f t="shared" ca="1" si="20"/>
        <v>0</v>
      </c>
      <c r="AL67" s="14">
        <f t="shared" ca="1" si="20"/>
        <v>0</v>
      </c>
    </row>
    <row r="68" spans="1:54" ht="21" hidden="1" customHeight="1" outlineLevel="1" thickBot="1" x14ac:dyDescent="0.4">
      <c r="A68" s="5">
        <f t="shared" si="21"/>
        <v>0</v>
      </c>
      <c r="B68" s="5">
        <f t="shared" si="21"/>
        <v>0</v>
      </c>
      <c r="C68" s="5">
        <f t="shared" si="21"/>
        <v>0</v>
      </c>
      <c r="D68" s="5">
        <f t="shared" si="21"/>
        <v>0</v>
      </c>
      <c r="E68" s="6">
        <f t="shared" si="21"/>
        <v>0</v>
      </c>
      <c r="F68" s="14">
        <f t="shared" ca="1" si="22"/>
        <v>0</v>
      </c>
      <c r="G68" s="14">
        <f t="shared" ca="1" si="20"/>
        <v>0</v>
      </c>
      <c r="H68" s="14">
        <f t="shared" ca="1" si="20"/>
        <v>0</v>
      </c>
      <c r="I68" s="14">
        <f t="shared" ca="1" si="20"/>
        <v>0</v>
      </c>
      <c r="J68" s="14">
        <f t="shared" ca="1" si="20"/>
        <v>0</v>
      </c>
      <c r="K68" s="14">
        <f t="shared" ca="1" si="20"/>
        <v>0</v>
      </c>
      <c r="L68" s="14">
        <f t="shared" ca="1" si="20"/>
        <v>0</v>
      </c>
      <c r="M68" s="14">
        <f t="shared" ca="1" si="20"/>
        <v>0</v>
      </c>
      <c r="N68" s="14">
        <f t="shared" ca="1" si="20"/>
        <v>0</v>
      </c>
      <c r="O68" s="14">
        <f t="shared" ca="1" si="20"/>
        <v>0</v>
      </c>
      <c r="P68" s="14">
        <f t="shared" ca="1" si="20"/>
        <v>0</v>
      </c>
      <c r="Q68" s="14">
        <f t="shared" ca="1" si="20"/>
        <v>0</v>
      </c>
      <c r="R68" s="14">
        <f t="shared" ca="1" si="20"/>
        <v>0</v>
      </c>
      <c r="S68" s="14">
        <f t="shared" ca="1" si="20"/>
        <v>0</v>
      </c>
      <c r="T68" s="14">
        <f t="shared" ca="1" si="20"/>
        <v>0</v>
      </c>
      <c r="U68" s="14">
        <f t="shared" ca="1" si="20"/>
        <v>0</v>
      </c>
      <c r="V68" s="14">
        <f t="shared" ca="1" si="20"/>
        <v>0</v>
      </c>
      <c r="W68" s="14">
        <f t="shared" ca="1" si="20"/>
        <v>0</v>
      </c>
      <c r="X68" s="14">
        <f t="shared" ca="1" si="20"/>
        <v>0</v>
      </c>
      <c r="Y68" s="14">
        <f t="shared" ca="1" si="20"/>
        <v>0</v>
      </c>
      <c r="Z68" s="14">
        <f t="shared" ca="1" si="20"/>
        <v>0</v>
      </c>
      <c r="AA68" s="14">
        <f t="shared" ca="1" si="20"/>
        <v>0</v>
      </c>
      <c r="AB68" s="14">
        <f t="shared" ca="1" si="20"/>
        <v>0</v>
      </c>
      <c r="AC68" s="14">
        <f t="shared" ca="1" si="20"/>
        <v>0</v>
      </c>
      <c r="AD68" s="14">
        <f t="shared" ca="1" si="20"/>
        <v>0</v>
      </c>
      <c r="AE68" s="14">
        <f t="shared" ca="1" si="20"/>
        <v>0</v>
      </c>
      <c r="AF68" s="14">
        <f t="shared" ca="1" si="20"/>
        <v>0</v>
      </c>
      <c r="AG68" s="14">
        <f t="shared" ca="1" si="20"/>
        <v>0</v>
      </c>
      <c r="AH68" s="14">
        <f t="shared" ca="1" si="20"/>
        <v>0</v>
      </c>
      <c r="AI68" s="14">
        <f t="shared" ca="1" si="20"/>
        <v>0</v>
      </c>
      <c r="AJ68" s="14">
        <f t="shared" ca="1" si="20"/>
        <v>0</v>
      </c>
      <c r="AK68" s="14">
        <f t="shared" ca="1" si="20"/>
        <v>0</v>
      </c>
      <c r="AL68" s="14">
        <f t="shared" ca="1" si="20"/>
        <v>0</v>
      </c>
    </row>
    <row r="69" spans="1:54" ht="21" hidden="1" customHeight="1" outlineLevel="1" thickBot="1" x14ac:dyDescent="0.4">
      <c r="A69" s="5">
        <f t="shared" si="21"/>
        <v>0</v>
      </c>
      <c r="B69" s="5">
        <f t="shared" si="21"/>
        <v>0</v>
      </c>
      <c r="C69" s="5">
        <f t="shared" si="21"/>
        <v>0</v>
      </c>
      <c r="D69" s="5">
        <f t="shared" si="21"/>
        <v>0</v>
      </c>
      <c r="E69" s="6">
        <f t="shared" si="21"/>
        <v>0</v>
      </c>
      <c r="F69" s="14">
        <f t="shared" ca="1" si="22"/>
        <v>0</v>
      </c>
      <c r="G69" s="14">
        <f t="shared" ca="1" si="20"/>
        <v>0</v>
      </c>
      <c r="H69" s="14">
        <f t="shared" ca="1" si="20"/>
        <v>0</v>
      </c>
      <c r="I69" s="14">
        <f t="shared" ca="1" si="20"/>
        <v>0</v>
      </c>
      <c r="J69" s="14">
        <f t="shared" ca="1" si="20"/>
        <v>0</v>
      </c>
      <c r="K69" s="14">
        <f t="shared" ca="1" si="20"/>
        <v>0</v>
      </c>
      <c r="L69" s="14">
        <f t="shared" ca="1" si="20"/>
        <v>0</v>
      </c>
      <c r="M69" s="14">
        <f t="shared" ca="1" si="20"/>
        <v>0</v>
      </c>
      <c r="N69" s="14">
        <f t="shared" ca="1" si="20"/>
        <v>0</v>
      </c>
      <c r="O69" s="14">
        <f t="shared" ca="1" si="20"/>
        <v>0</v>
      </c>
      <c r="P69" s="14">
        <f t="shared" ca="1" si="20"/>
        <v>0</v>
      </c>
      <c r="Q69" s="14">
        <f t="shared" ca="1" si="20"/>
        <v>0</v>
      </c>
      <c r="R69" s="14">
        <f t="shared" ca="1" si="20"/>
        <v>0</v>
      </c>
      <c r="S69" s="14">
        <f t="shared" ca="1" si="20"/>
        <v>0</v>
      </c>
      <c r="T69" s="14">
        <f t="shared" ca="1" si="20"/>
        <v>0</v>
      </c>
      <c r="U69" s="14">
        <f t="shared" ca="1" si="20"/>
        <v>0</v>
      </c>
      <c r="V69" s="14">
        <f t="shared" ca="1" si="20"/>
        <v>0</v>
      </c>
      <c r="W69" s="14">
        <f t="shared" ca="1" si="20"/>
        <v>0</v>
      </c>
      <c r="X69" s="14">
        <f t="shared" ca="1" si="20"/>
        <v>0</v>
      </c>
      <c r="Y69" s="14">
        <f t="shared" ca="1" si="20"/>
        <v>0</v>
      </c>
      <c r="Z69" s="14">
        <f t="shared" ca="1" si="20"/>
        <v>0</v>
      </c>
      <c r="AA69" s="14">
        <f t="shared" ca="1" si="20"/>
        <v>0</v>
      </c>
      <c r="AB69" s="14">
        <f t="shared" ca="1" si="20"/>
        <v>0</v>
      </c>
      <c r="AC69" s="14">
        <f t="shared" ca="1" si="20"/>
        <v>0</v>
      </c>
      <c r="AD69" s="14">
        <f t="shared" ca="1" si="20"/>
        <v>0</v>
      </c>
      <c r="AE69" s="14">
        <f t="shared" ca="1" si="20"/>
        <v>0</v>
      </c>
      <c r="AF69" s="14">
        <f t="shared" ca="1" si="20"/>
        <v>0</v>
      </c>
      <c r="AG69" s="14">
        <f t="shared" ca="1" si="20"/>
        <v>0</v>
      </c>
      <c r="AH69" s="14">
        <f t="shared" ca="1" si="20"/>
        <v>0</v>
      </c>
      <c r="AI69" s="14">
        <f t="shared" ca="1" si="20"/>
        <v>0</v>
      </c>
      <c r="AJ69" s="14">
        <f t="shared" ca="1" si="20"/>
        <v>0</v>
      </c>
      <c r="AK69" s="14">
        <f t="shared" ca="1" si="20"/>
        <v>0</v>
      </c>
      <c r="AL69" s="14">
        <f t="shared" ca="1" si="20"/>
        <v>0</v>
      </c>
    </row>
    <row r="70" spans="1:54" ht="21" hidden="1" customHeight="1" outlineLevel="1" thickBot="1" x14ac:dyDescent="0.4">
      <c r="A70" s="5">
        <f t="shared" si="21"/>
        <v>0</v>
      </c>
      <c r="B70" s="5">
        <f t="shared" si="21"/>
        <v>0</v>
      </c>
      <c r="C70" s="5">
        <f t="shared" si="21"/>
        <v>0</v>
      </c>
      <c r="D70" s="5">
        <f t="shared" si="21"/>
        <v>0</v>
      </c>
      <c r="E70" s="6">
        <f t="shared" si="21"/>
        <v>0</v>
      </c>
      <c r="F70" s="14">
        <f t="shared" ca="1" si="22"/>
        <v>0</v>
      </c>
      <c r="G70" s="14">
        <f t="shared" ca="1" si="20"/>
        <v>0</v>
      </c>
      <c r="H70" s="14">
        <f t="shared" ca="1" si="20"/>
        <v>0</v>
      </c>
      <c r="I70" s="14">
        <f t="shared" ca="1" si="20"/>
        <v>0</v>
      </c>
      <c r="J70" s="14">
        <f t="shared" ca="1" si="20"/>
        <v>0</v>
      </c>
      <c r="K70" s="14">
        <f t="shared" ca="1" si="20"/>
        <v>0</v>
      </c>
      <c r="L70" s="14">
        <f t="shared" ca="1" si="20"/>
        <v>0</v>
      </c>
      <c r="M70" s="14">
        <f t="shared" ca="1" si="20"/>
        <v>0</v>
      </c>
      <c r="N70" s="14">
        <f t="shared" ca="1" si="20"/>
        <v>0</v>
      </c>
      <c r="O70" s="14">
        <f t="shared" ca="1" si="20"/>
        <v>0</v>
      </c>
      <c r="P70" s="14">
        <f t="shared" ca="1" si="20"/>
        <v>0</v>
      </c>
      <c r="Q70" s="14">
        <f t="shared" ca="1" si="20"/>
        <v>0</v>
      </c>
      <c r="R70" s="14">
        <f t="shared" ca="1" si="20"/>
        <v>0</v>
      </c>
      <c r="S70" s="14">
        <f t="shared" ca="1" si="20"/>
        <v>0</v>
      </c>
      <c r="T70" s="14">
        <f t="shared" ca="1" si="20"/>
        <v>0</v>
      </c>
      <c r="U70" s="14">
        <f t="shared" ca="1" si="20"/>
        <v>0</v>
      </c>
      <c r="V70" s="14">
        <f t="shared" ca="1" si="20"/>
        <v>0</v>
      </c>
      <c r="W70" s="14">
        <f t="shared" ca="1" si="20"/>
        <v>0</v>
      </c>
      <c r="X70" s="14">
        <f t="shared" ca="1" si="20"/>
        <v>0</v>
      </c>
      <c r="Y70" s="14">
        <f t="shared" ca="1" si="20"/>
        <v>0</v>
      </c>
      <c r="Z70" s="14">
        <f t="shared" ca="1" si="20"/>
        <v>0</v>
      </c>
      <c r="AA70" s="14">
        <f t="shared" ca="1" si="20"/>
        <v>0</v>
      </c>
      <c r="AB70" s="14">
        <f t="shared" ca="1" si="20"/>
        <v>0</v>
      </c>
      <c r="AC70" s="14">
        <f t="shared" ca="1" si="20"/>
        <v>0</v>
      </c>
      <c r="AD70" s="14">
        <f t="shared" ca="1" si="20"/>
        <v>0</v>
      </c>
      <c r="AE70" s="14">
        <f t="shared" ca="1" si="20"/>
        <v>0</v>
      </c>
      <c r="AF70" s="14">
        <f t="shared" ca="1" si="20"/>
        <v>0</v>
      </c>
      <c r="AG70" s="14">
        <f t="shared" ca="1" si="20"/>
        <v>0</v>
      </c>
      <c r="AH70" s="14">
        <f t="shared" ca="1" si="20"/>
        <v>0</v>
      </c>
      <c r="AI70" s="14">
        <f t="shared" ca="1" si="20"/>
        <v>0</v>
      </c>
      <c r="AJ70" s="14">
        <f t="shared" ca="1" si="20"/>
        <v>0</v>
      </c>
      <c r="AK70" s="14">
        <f t="shared" ca="1" si="20"/>
        <v>0</v>
      </c>
      <c r="AL70" s="14">
        <f t="shared" ca="1" si="20"/>
        <v>0</v>
      </c>
    </row>
    <row r="71" spans="1:54" ht="21" hidden="1" customHeight="1" outlineLevel="1" thickBot="1" x14ac:dyDescent="0.4">
      <c r="A71" s="5">
        <f t="shared" si="21"/>
        <v>0</v>
      </c>
      <c r="B71" s="5">
        <f t="shared" si="21"/>
        <v>0</v>
      </c>
      <c r="C71" s="5">
        <f t="shared" si="21"/>
        <v>0</v>
      </c>
      <c r="D71" s="5">
        <f t="shared" si="21"/>
        <v>0</v>
      </c>
      <c r="E71" s="6">
        <f t="shared" si="21"/>
        <v>0</v>
      </c>
      <c r="F71" s="14">
        <f t="shared" ca="1" si="22"/>
        <v>0</v>
      </c>
      <c r="G71" s="14">
        <f t="shared" ca="1" si="20"/>
        <v>0</v>
      </c>
      <c r="H71" s="14">
        <f t="shared" ca="1" si="20"/>
        <v>0</v>
      </c>
      <c r="I71" s="14">
        <f t="shared" ca="1" si="20"/>
        <v>0</v>
      </c>
      <c r="J71" s="14">
        <f t="shared" ca="1" si="20"/>
        <v>0</v>
      </c>
      <c r="K71" s="14">
        <f t="shared" ca="1" si="20"/>
        <v>0</v>
      </c>
      <c r="L71" s="14">
        <f t="shared" ca="1" si="20"/>
        <v>0</v>
      </c>
      <c r="M71" s="14">
        <f t="shared" ca="1" si="20"/>
        <v>0</v>
      </c>
      <c r="N71" s="14">
        <f t="shared" ca="1" si="20"/>
        <v>0</v>
      </c>
      <c r="O71" s="14">
        <f t="shared" ca="1" si="20"/>
        <v>0</v>
      </c>
      <c r="P71" s="14">
        <f t="shared" ca="1" si="20"/>
        <v>0</v>
      </c>
      <c r="Q71" s="14">
        <f t="shared" ref="Q71:AL71" ca="1" si="23">$A71*H.Ar + $B71*H.Se + $C71*H.Ge + $D71*H.Ga</f>
        <v>0</v>
      </c>
      <c r="R71" s="14">
        <f t="shared" ca="1" si="23"/>
        <v>0</v>
      </c>
      <c r="S71" s="14">
        <f t="shared" ca="1" si="23"/>
        <v>0</v>
      </c>
      <c r="T71" s="14">
        <f t="shared" ca="1" si="23"/>
        <v>0</v>
      </c>
      <c r="U71" s="14">
        <f t="shared" ca="1" si="23"/>
        <v>0</v>
      </c>
      <c r="V71" s="14">
        <f t="shared" ca="1" si="23"/>
        <v>0</v>
      </c>
      <c r="W71" s="14">
        <f t="shared" ca="1" si="23"/>
        <v>0</v>
      </c>
      <c r="X71" s="14">
        <f t="shared" ca="1" si="23"/>
        <v>0</v>
      </c>
      <c r="Y71" s="14">
        <f t="shared" ca="1" si="23"/>
        <v>0</v>
      </c>
      <c r="Z71" s="14">
        <f t="shared" ca="1" si="23"/>
        <v>0</v>
      </c>
      <c r="AA71" s="14">
        <f t="shared" ca="1" si="23"/>
        <v>0</v>
      </c>
      <c r="AB71" s="14">
        <f t="shared" ca="1" si="23"/>
        <v>0</v>
      </c>
      <c r="AC71" s="14">
        <f t="shared" ca="1" si="23"/>
        <v>0</v>
      </c>
      <c r="AD71" s="14">
        <f t="shared" ca="1" si="23"/>
        <v>0</v>
      </c>
      <c r="AE71" s="14">
        <f t="shared" ca="1" si="23"/>
        <v>0</v>
      </c>
      <c r="AF71" s="14">
        <f t="shared" ca="1" si="23"/>
        <v>0</v>
      </c>
      <c r="AG71" s="14">
        <f t="shared" ca="1" si="23"/>
        <v>0</v>
      </c>
      <c r="AH71" s="14">
        <f t="shared" ca="1" si="23"/>
        <v>0</v>
      </c>
      <c r="AI71" s="14">
        <f t="shared" ca="1" si="23"/>
        <v>0</v>
      </c>
      <c r="AJ71" s="14">
        <f t="shared" ca="1" si="23"/>
        <v>0</v>
      </c>
      <c r="AK71" s="14">
        <f t="shared" ca="1" si="23"/>
        <v>0</v>
      </c>
      <c r="AL71" s="14">
        <f t="shared" ca="1" si="23"/>
        <v>0</v>
      </c>
    </row>
    <row r="72" spans="1:54" ht="21" hidden="1" customHeight="1" outlineLevel="1" thickBot="1" x14ac:dyDescent="0.4">
      <c r="A72" s="5">
        <f t="shared" si="21"/>
        <v>0</v>
      </c>
      <c r="B72" s="5">
        <f t="shared" si="21"/>
        <v>0</v>
      </c>
      <c r="C72" s="5">
        <f t="shared" si="21"/>
        <v>0</v>
      </c>
      <c r="D72" s="5">
        <f t="shared" si="21"/>
        <v>0</v>
      </c>
      <c r="E72" s="6">
        <f t="shared" si="21"/>
        <v>0</v>
      </c>
      <c r="F72" s="14">
        <f t="shared" ca="1" si="22"/>
        <v>0</v>
      </c>
      <c r="G72" s="14">
        <f t="shared" ref="G72:AL74" ca="1" si="24">$A72*H.Ar + $B72*H.Se + $C72*H.Ge + $D72*H.Ga</f>
        <v>0</v>
      </c>
      <c r="H72" s="14">
        <f t="shared" ca="1" si="24"/>
        <v>0</v>
      </c>
      <c r="I72" s="14">
        <f t="shared" ca="1" si="24"/>
        <v>0</v>
      </c>
      <c r="J72" s="14">
        <f t="shared" ca="1" si="24"/>
        <v>0</v>
      </c>
      <c r="K72" s="14">
        <f t="shared" ca="1" si="24"/>
        <v>0</v>
      </c>
      <c r="L72" s="14">
        <f t="shared" ca="1" si="24"/>
        <v>0</v>
      </c>
      <c r="M72" s="14">
        <f t="shared" ca="1" si="24"/>
        <v>0</v>
      </c>
      <c r="N72" s="14">
        <f t="shared" ca="1" si="24"/>
        <v>0</v>
      </c>
      <c r="O72" s="14">
        <f t="shared" ca="1" si="24"/>
        <v>0</v>
      </c>
      <c r="P72" s="14">
        <f t="shared" ca="1" si="24"/>
        <v>0</v>
      </c>
      <c r="Q72" s="14">
        <f t="shared" ca="1" si="24"/>
        <v>0</v>
      </c>
      <c r="R72" s="14">
        <f t="shared" ca="1" si="24"/>
        <v>0</v>
      </c>
      <c r="S72" s="14">
        <f t="shared" ca="1" si="24"/>
        <v>0</v>
      </c>
      <c r="T72" s="14">
        <f t="shared" ca="1" si="24"/>
        <v>0</v>
      </c>
      <c r="U72" s="14">
        <f t="shared" ca="1" si="24"/>
        <v>0</v>
      </c>
      <c r="V72" s="14">
        <f t="shared" ca="1" si="24"/>
        <v>0</v>
      </c>
      <c r="W72" s="14">
        <f t="shared" ca="1" si="24"/>
        <v>0</v>
      </c>
      <c r="X72" s="14">
        <f t="shared" ca="1" si="24"/>
        <v>0</v>
      </c>
      <c r="Y72" s="14">
        <f t="shared" ca="1" si="24"/>
        <v>0</v>
      </c>
      <c r="Z72" s="14">
        <f t="shared" ca="1" si="24"/>
        <v>0</v>
      </c>
      <c r="AA72" s="14">
        <f t="shared" ca="1" si="24"/>
        <v>0</v>
      </c>
      <c r="AB72" s="14">
        <f t="shared" ca="1" si="24"/>
        <v>0</v>
      </c>
      <c r="AC72" s="14">
        <f t="shared" ca="1" si="24"/>
        <v>0</v>
      </c>
      <c r="AD72" s="14">
        <f t="shared" ca="1" si="24"/>
        <v>0</v>
      </c>
      <c r="AE72" s="14">
        <f t="shared" ca="1" si="24"/>
        <v>0</v>
      </c>
      <c r="AF72" s="14">
        <f t="shared" ca="1" si="24"/>
        <v>0</v>
      </c>
      <c r="AG72" s="14">
        <f t="shared" ca="1" si="24"/>
        <v>0</v>
      </c>
      <c r="AH72" s="14">
        <f t="shared" ca="1" si="24"/>
        <v>0</v>
      </c>
      <c r="AI72" s="14">
        <f t="shared" ca="1" si="24"/>
        <v>0</v>
      </c>
      <c r="AJ72" s="14">
        <f t="shared" ca="1" si="24"/>
        <v>0</v>
      </c>
      <c r="AK72" s="14">
        <f t="shared" ca="1" si="24"/>
        <v>0</v>
      </c>
      <c r="AL72" s="14">
        <f t="shared" ca="1" si="24"/>
        <v>0</v>
      </c>
    </row>
    <row r="73" spans="1:54" ht="21" hidden="1" customHeight="1" outlineLevel="1" thickBot="1" x14ac:dyDescent="0.4">
      <c r="A73" s="5">
        <f t="shared" si="21"/>
        <v>0</v>
      </c>
      <c r="B73" s="5">
        <f t="shared" si="21"/>
        <v>0</v>
      </c>
      <c r="C73" s="5">
        <f t="shared" si="21"/>
        <v>0</v>
      </c>
      <c r="D73" s="5">
        <f t="shared" si="21"/>
        <v>0</v>
      </c>
      <c r="E73" s="6">
        <f t="shared" si="21"/>
        <v>0</v>
      </c>
      <c r="F73" s="14">
        <f t="shared" ca="1" si="22"/>
        <v>0</v>
      </c>
      <c r="G73" s="14">
        <f t="shared" ca="1" si="24"/>
        <v>0</v>
      </c>
      <c r="H73" s="14">
        <f t="shared" ca="1" si="24"/>
        <v>0</v>
      </c>
      <c r="I73" s="14">
        <f t="shared" ca="1" si="24"/>
        <v>0</v>
      </c>
      <c r="J73" s="14">
        <f t="shared" ca="1" si="24"/>
        <v>0</v>
      </c>
      <c r="K73" s="14">
        <f t="shared" ca="1" si="24"/>
        <v>0</v>
      </c>
      <c r="L73" s="14">
        <f t="shared" ca="1" si="24"/>
        <v>0</v>
      </c>
      <c r="M73" s="14">
        <f t="shared" ca="1" si="24"/>
        <v>0</v>
      </c>
      <c r="N73" s="14">
        <f t="shared" ca="1" si="24"/>
        <v>0</v>
      </c>
      <c r="O73" s="14">
        <f t="shared" ca="1" si="24"/>
        <v>0</v>
      </c>
      <c r="P73" s="14">
        <f t="shared" ca="1" si="24"/>
        <v>0</v>
      </c>
      <c r="Q73" s="14">
        <f t="shared" ca="1" si="24"/>
        <v>0</v>
      </c>
      <c r="R73" s="14">
        <f t="shared" ca="1" si="24"/>
        <v>0</v>
      </c>
      <c r="S73" s="14">
        <f t="shared" ca="1" si="24"/>
        <v>0</v>
      </c>
      <c r="T73" s="14">
        <f t="shared" ca="1" si="24"/>
        <v>0</v>
      </c>
      <c r="U73" s="14">
        <f t="shared" ca="1" si="24"/>
        <v>0</v>
      </c>
      <c r="V73" s="14">
        <f t="shared" ca="1" si="24"/>
        <v>0</v>
      </c>
      <c r="W73" s="14">
        <f t="shared" ca="1" si="24"/>
        <v>0</v>
      </c>
      <c r="X73" s="14">
        <f t="shared" ca="1" si="24"/>
        <v>0</v>
      </c>
      <c r="Y73" s="14">
        <f t="shared" ca="1" si="24"/>
        <v>0</v>
      </c>
      <c r="Z73" s="14">
        <f t="shared" ca="1" si="24"/>
        <v>0</v>
      </c>
      <c r="AA73" s="14">
        <f t="shared" ca="1" si="24"/>
        <v>0</v>
      </c>
      <c r="AB73" s="14">
        <f t="shared" ca="1" si="24"/>
        <v>0</v>
      </c>
      <c r="AC73" s="14">
        <f t="shared" ca="1" si="24"/>
        <v>0</v>
      </c>
      <c r="AD73" s="14">
        <f t="shared" ca="1" si="24"/>
        <v>0</v>
      </c>
      <c r="AE73" s="14">
        <f t="shared" ca="1" si="24"/>
        <v>0</v>
      </c>
      <c r="AF73" s="14">
        <f t="shared" ca="1" si="24"/>
        <v>0</v>
      </c>
      <c r="AG73" s="14">
        <f t="shared" ca="1" si="24"/>
        <v>0</v>
      </c>
      <c r="AH73" s="14">
        <f t="shared" ca="1" si="24"/>
        <v>0</v>
      </c>
      <c r="AI73" s="14">
        <f t="shared" ca="1" si="24"/>
        <v>0</v>
      </c>
      <c r="AJ73" s="14">
        <f t="shared" ca="1" si="24"/>
        <v>0</v>
      </c>
      <c r="AK73" s="14">
        <f t="shared" ca="1" si="24"/>
        <v>0</v>
      </c>
      <c r="AL73" s="14">
        <f t="shared" ca="1" si="24"/>
        <v>0</v>
      </c>
    </row>
    <row r="74" spans="1:54" ht="21" hidden="1" customHeight="1" outlineLevel="1" thickBot="1" x14ac:dyDescent="0.4">
      <c r="A74" s="5">
        <f t="shared" si="21"/>
        <v>0</v>
      </c>
      <c r="B74" s="5">
        <f t="shared" si="21"/>
        <v>0</v>
      </c>
      <c r="C74" s="5">
        <f t="shared" si="21"/>
        <v>0</v>
      </c>
      <c r="D74" s="5">
        <f t="shared" si="21"/>
        <v>0</v>
      </c>
      <c r="E74" s="6">
        <f t="shared" si="21"/>
        <v>0</v>
      </c>
      <c r="F74" s="14">
        <f t="shared" ca="1" si="22"/>
        <v>0</v>
      </c>
      <c r="G74" s="14">
        <f t="shared" ca="1" si="24"/>
        <v>0</v>
      </c>
      <c r="H74" s="14">
        <f t="shared" ca="1" si="24"/>
        <v>0</v>
      </c>
      <c r="I74" s="14">
        <f t="shared" ca="1" si="24"/>
        <v>0</v>
      </c>
      <c r="J74" s="14">
        <f t="shared" ca="1" si="24"/>
        <v>0</v>
      </c>
      <c r="K74" s="14">
        <f t="shared" ca="1" si="24"/>
        <v>0</v>
      </c>
      <c r="L74" s="14">
        <f t="shared" ca="1" si="24"/>
        <v>0</v>
      </c>
      <c r="M74" s="14">
        <f t="shared" ca="1" si="24"/>
        <v>0</v>
      </c>
      <c r="N74" s="14">
        <f t="shared" ca="1" si="24"/>
        <v>0</v>
      </c>
      <c r="O74" s="14">
        <f t="shared" ca="1" si="24"/>
        <v>0</v>
      </c>
      <c r="P74" s="14">
        <f t="shared" ca="1" si="24"/>
        <v>0</v>
      </c>
      <c r="Q74" s="14">
        <f t="shared" ca="1" si="24"/>
        <v>0</v>
      </c>
      <c r="R74" s="14">
        <f t="shared" ca="1" si="24"/>
        <v>0</v>
      </c>
      <c r="S74" s="14">
        <f t="shared" ca="1" si="24"/>
        <v>0</v>
      </c>
      <c r="T74" s="14">
        <f t="shared" ca="1" si="24"/>
        <v>0</v>
      </c>
      <c r="U74" s="14">
        <f t="shared" ca="1" si="24"/>
        <v>0</v>
      </c>
      <c r="V74" s="14">
        <f t="shared" ca="1" si="24"/>
        <v>0</v>
      </c>
      <c r="W74" s="14">
        <f t="shared" ca="1" si="24"/>
        <v>0</v>
      </c>
      <c r="X74" s="14">
        <f t="shared" ca="1" si="24"/>
        <v>0</v>
      </c>
      <c r="Y74" s="14">
        <f t="shared" ca="1" si="24"/>
        <v>0</v>
      </c>
      <c r="Z74" s="14">
        <f t="shared" ca="1" si="24"/>
        <v>0</v>
      </c>
      <c r="AA74" s="14">
        <f t="shared" ca="1" si="24"/>
        <v>0</v>
      </c>
      <c r="AB74" s="14">
        <f t="shared" ca="1" si="24"/>
        <v>0</v>
      </c>
      <c r="AC74" s="14">
        <f t="shared" ca="1" si="24"/>
        <v>0</v>
      </c>
      <c r="AD74" s="14">
        <f t="shared" ca="1" si="24"/>
        <v>0</v>
      </c>
      <c r="AE74" s="14">
        <f t="shared" ca="1" si="24"/>
        <v>0</v>
      </c>
      <c r="AF74" s="14">
        <f t="shared" ca="1" si="24"/>
        <v>0</v>
      </c>
      <c r="AG74" s="14">
        <f t="shared" ca="1" si="24"/>
        <v>0</v>
      </c>
      <c r="AH74" s="14">
        <f t="shared" ca="1" si="24"/>
        <v>0</v>
      </c>
      <c r="AI74" s="14">
        <f t="shared" ca="1" si="24"/>
        <v>0</v>
      </c>
      <c r="AJ74" s="14">
        <f t="shared" ca="1" si="24"/>
        <v>0</v>
      </c>
      <c r="AK74" s="14">
        <f t="shared" ca="1" si="24"/>
        <v>0</v>
      </c>
      <c r="AL74" s="14">
        <f t="shared" ca="1" si="24"/>
        <v>0</v>
      </c>
    </row>
    <row r="75" spans="1:54" ht="21" hidden="1" customHeight="1" outlineLevel="1" thickBot="1" x14ac:dyDescent="0.4">
      <c r="A75" s="5">
        <f t="shared" si="21"/>
        <v>0</v>
      </c>
      <c r="B75" s="5">
        <f t="shared" si="21"/>
        <v>0</v>
      </c>
      <c r="C75" s="5">
        <f t="shared" si="21"/>
        <v>0</v>
      </c>
      <c r="D75" s="5">
        <f t="shared" si="21"/>
        <v>0</v>
      </c>
      <c r="E75" s="6">
        <f t="shared" si="21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5"/>
      <c r="B78" s="85"/>
      <c r="C78" s="86">
        <f>E41</f>
        <v>25</v>
      </c>
      <c r="D78" s="72"/>
      <c r="E78" s="71" t="s">
        <v>22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5">E45</f>
        <v>0</v>
      </c>
      <c r="F79" s="3">
        <f>F3</f>
        <v>273.10000000000002</v>
      </c>
      <c r="G79" s="3">
        <f t="shared" ref="G79:AL79" si="26">G3</f>
        <v>339.2</v>
      </c>
      <c r="H79" s="3">
        <f t="shared" si="26"/>
        <v>405.3</v>
      </c>
      <c r="I79" s="3">
        <f t="shared" si="26"/>
        <v>471.4</v>
      </c>
      <c r="J79" s="3">
        <f t="shared" si="26"/>
        <v>537.5</v>
      </c>
      <c r="K79" s="3">
        <f t="shared" si="26"/>
        <v>603.5</v>
      </c>
      <c r="L79" s="3">
        <f t="shared" si="26"/>
        <v>669.6</v>
      </c>
      <c r="M79" s="3">
        <f t="shared" si="26"/>
        <v>735.7</v>
      </c>
      <c r="N79" s="3">
        <f t="shared" si="26"/>
        <v>801.8</v>
      </c>
      <c r="O79" s="3">
        <f t="shared" si="26"/>
        <v>867.8</v>
      </c>
      <c r="P79" s="3">
        <f t="shared" si="26"/>
        <v>933.9</v>
      </c>
      <c r="Q79" s="3">
        <f t="shared" si="26"/>
        <v>1000</v>
      </c>
      <c r="R79" s="3">
        <f t="shared" si="26"/>
        <v>0</v>
      </c>
      <c r="S79" s="3">
        <f t="shared" si="26"/>
        <v>0</v>
      </c>
      <c r="T79" s="3">
        <f t="shared" si="26"/>
        <v>0</v>
      </c>
      <c r="U79" s="3">
        <f t="shared" si="26"/>
        <v>0</v>
      </c>
      <c r="V79" s="3">
        <f t="shared" si="26"/>
        <v>0</v>
      </c>
      <c r="W79" s="3">
        <f t="shared" si="26"/>
        <v>0</v>
      </c>
      <c r="X79" s="3">
        <f t="shared" si="26"/>
        <v>0</v>
      </c>
      <c r="Y79" s="3">
        <f t="shared" si="26"/>
        <v>0</v>
      </c>
      <c r="Z79" s="3">
        <f t="shared" si="26"/>
        <v>0</v>
      </c>
      <c r="AA79" s="3">
        <f t="shared" si="26"/>
        <v>0</v>
      </c>
      <c r="AB79" s="3">
        <f t="shared" si="26"/>
        <v>0</v>
      </c>
      <c r="AC79" s="3">
        <f t="shared" si="26"/>
        <v>0</v>
      </c>
      <c r="AD79" s="3">
        <f t="shared" si="26"/>
        <v>0</v>
      </c>
      <c r="AE79" s="3">
        <f t="shared" si="26"/>
        <v>0</v>
      </c>
      <c r="AF79" s="3">
        <f t="shared" si="26"/>
        <v>0</v>
      </c>
      <c r="AG79" s="3">
        <f t="shared" si="26"/>
        <v>0</v>
      </c>
      <c r="AH79" s="3">
        <f t="shared" si="26"/>
        <v>0</v>
      </c>
      <c r="AI79" s="3">
        <f t="shared" si="26"/>
        <v>0</v>
      </c>
      <c r="AJ79" s="3">
        <f t="shared" si="26"/>
        <v>0</v>
      </c>
      <c r="AK79" s="3">
        <f t="shared" si="26"/>
        <v>0</v>
      </c>
      <c r="AL79" s="3">
        <f t="shared" si="26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7">B46</f>
        <v>1</v>
      </c>
      <c r="C80" s="5">
        <f t="shared" si="27"/>
        <v>0</v>
      </c>
      <c r="D80" s="5">
        <f t="shared" si="27"/>
        <v>0</v>
      </c>
      <c r="E80" s="6" t="str">
        <f t="shared" si="25"/>
        <v>*Se[l]</v>
      </c>
      <c r="F80" s="14">
        <f t="shared" ref="F80:F98" si="28">F4*$C$78</f>
        <v>5.5605000000000006E-7</v>
      </c>
      <c r="G80" s="14">
        <f t="shared" ref="G80:AL80" si="29">G4*$C$78</f>
        <v>5.5619999999999996E-7</v>
      </c>
      <c r="H80" s="14">
        <f t="shared" si="29"/>
        <v>5.9179999999999999E-7</v>
      </c>
      <c r="I80" s="14">
        <f t="shared" si="29"/>
        <v>8.0637499999999997E-7</v>
      </c>
      <c r="J80" s="14">
        <f t="shared" si="29"/>
        <v>6.6342500000000003E-7</v>
      </c>
      <c r="K80" s="14">
        <f t="shared" si="29"/>
        <v>7.7922499999999994E-7</v>
      </c>
      <c r="L80" s="14">
        <f t="shared" si="29"/>
        <v>2.1108499999999999E-6</v>
      </c>
      <c r="M80" s="14">
        <f t="shared" si="29"/>
        <v>4.6504999999999998E-6</v>
      </c>
      <c r="N80" s="14">
        <f t="shared" si="29"/>
        <v>7.8135000000000007E-6</v>
      </c>
      <c r="O80" s="14">
        <f t="shared" si="29"/>
        <v>5.6354999999999997E-6</v>
      </c>
      <c r="P80" s="14">
        <f t="shared" si="29"/>
        <v>1.8944500000000001E-6</v>
      </c>
      <c r="Q80" s="14">
        <f t="shared" si="29"/>
        <v>3.6334999999999998E-7</v>
      </c>
      <c r="R80" s="14">
        <f t="shared" si="29"/>
        <v>0</v>
      </c>
      <c r="S80" s="14">
        <f t="shared" si="29"/>
        <v>0</v>
      </c>
      <c r="T80" s="14">
        <f t="shared" si="29"/>
        <v>0</v>
      </c>
      <c r="U80" s="14">
        <f t="shared" si="29"/>
        <v>0</v>
      </c>
      <c r="V80" s="14">
        <f t="shared" si="29"/>
        <v>0</v>
      </c>
      <c r="W80" s="14">
        <f t="shared" si="29"/>
        <v>0</v>
      </c>
      <c r="X80" s="14">
        <f t="shared" si="29"/>
        <v>0</v>
      </c>
      <c r="Y80" s="14">
        <f t="shared" si="29"/>
        <v>0</v>
      </c>
      <c r="Z80" s="14">
        <f t="shared" si="29"/>
        <v>0</v>
      </c>
      <c r="AA80" s="14">
        <f t="shared" si="29"/>
        <v>0</v>
      </c>
      <c r="AB80" s="14">
        <f t="shared" si="29"/>
        <v>0</v>
      </c>
      <c r="AC80" s="14">
        <f t="shared" si="29"/>
        <v>0</v>
      </c>
      <c r="AD80" s="14">
        <f t="shared" si="29"/>
        <v>0</v>
      </c>
      <c r="AE80" s="14">
        <f t="shared" si="29"/>
        <v>0</v>
      </c>
      <c r="AF80" s="14">
        <f t="shared" si="29"/>
        <v>0</v>
      </c>
      <c r="AG80" s="14">
        <f t="shared" si="29"/>
        <v>0</v>
      </c>
      <c r="AH80" s="14">
        <f t="shared" si="29"/>
        <v>0</v>
      </c>
      <c r="AI80" s="14">
        <f t="shared" si="29"/>
        <v>0</v>
      </c>
      <c r="AJ80" s="14">
        <f t="shared" si="29"/>
        <v>0</v>
      </c>
      <c r="AK80" s="14">
        <f t="shared" si="29"/>
        <v>0</v>
      </c>
      <c r="AL80" s="14">
        <f t="shared" si="29"/>
        <v>0</v>
      </c>
    </row>
    <row r="81" spans="1:38" ht="21" hidden="1" customHeight="1" outlineLevel="1" thickBot="1" x14ac:dyDescent="0.4">
      <c r="A81" s="5">
        <f t="shared" ref="A81:D96" si="30">A47</f>
        <v>0</v>
      </c>
      <c r="B81" s="5">
        <f t="shared" si="30"/>
        <v>3</v>
      </c>
      <c r="C81" s="5">
        <f t="shared" si="30"/>
        <v>0</v>
      </c>
      <c r="D81" s="5">
        <f t="shared" si="30"/>
        <v>0</v>
      </c>
      <c r="E81" s="6" t="str">
        <f t="shared" si="25"/>
        <v>Se3</v>
      </c>
      <c r="F81" s="14">
        <f t="shared" si="28"/>
        <v>6.8180000000000002E-24</v>
      </c>
      <c r="G81" s="14">
        <f t="shared" ref="G81:AL81" si="31">G5*$C$78</f>
        <v>1.0321249999999999E-17</v>
      </c>
      <c r="H81" s="14">
        <f t="shared" si="31"/>
        <v>1.1850500000000001E-13</v>
      </c>
      <c r="I81" s="14">
        <f t="shared" si="31"/>
        <v>8.4990000000000008E-11</v>
      </c>
      <c r="J81" s="14">
        <f t="shared" si="31"/>
        <v>1.136425E-8</v>
      </c>
      <c r="K81" s="14">
        <f t="shared" si="31"/>
        <v>5.9502499999999997E-7</v>
      </c>
      <c r="L81" s="14">
        <f t="shared" si="31"/>
        <v>1.8883000000000002E-5</v>
      </c>
      <c r="M81" s="14">
        <f t="shared" si="31"/>
        <v>2.88075E-4</v>
      </c>
      <c r="N81" s="14">
        <f t="shared" si="31"/>
        <v>2.3621499999999999E-3</v>
      </c>
      <c r="O81" s="14">
        <f t="shared" si="31"/>
        <v>1.20815E-2</v>
      </c>
      <c r="P81" s="14">
        <f t="shared" si="31"/>
        <v>3.6055000000000004E-2</v>
      </c>
      <c r="Q81" s="14">
        <f t="shared" si="31"/>
        <v>6.3125000000000001E-2</v>
      </c>
      <c r="R81" s="14">
        <f t="shared" si="31"/>
        <v>0</v>
      </c>
      <c r="S81" s="14">
        <f t="shared" si="31"/>
        <v>0</v>
      </c>
      <c r="T81" s="14">
        <f t="shared" si="31"/>
        <v>0</v>
      </c>
      <c r="U81" s="14">
        <f t="shared" si="31"/>
        <v>0</v>
      </c>
      <c r="V81" s="14">
        <f t="shared" si="31"/>
        <v>0</v>
      </c>
      <c r="W81" s="14">
        <f t="shared" si="31"/>
        <v>0</v>
      </c>
      <c r="X81" s="14">
        <f t="shared" si="31"/>
        <v>0</v>
      </c>
      <c r="Y81" s="14">
        <f t="shared" si="31"/>
        <v>0</v>
      </c>
      <c r="Z81" s="14">
        <f t="shared" si="31"/>
        <v>0</v>
      </c>
      <c r="AA81" s="14">
        <f t="shared" si="31"/>
        <v>0</v>
      </c>
      <c r="AB81" s="14">
        <f t="shared" si="31"/>
        <v>0</v>
      </c>
      <c r="AC81" s="14">
        <f t="shared" si="31"/>
        <v>0</v>
      </c>
      <c r="AD81" s="14">
        <f t="shared" si="31"/>
        <v>0</v>
      </c>
      <c r="AE81" s="14">
        <f t="shared" si="31"/>
        <v>0</v>
      </c>
      <c r="AF81" s="14">
        <f t="shared" si="31"/>
        <v>0</v>
      </c>
      <c r="AG81" s="14">
        <f t="shared" si="31"/>
        <v>0</v>
      </c>
      <c r="AH81" s="14">
        <f t="shared" si="31"/>
        <v>0</v>
      </c>
      <c r="AI81" s="14">
        <f t="shared" si="31"/>
        <v>0</v>
      </c>
      <c r="AJ81" s="14">
        <f t="shared" si="31"/>
        <v>0</v>
      </c>
      <c r="AK81" s="14">
        <f t="shared" si="31"/>
        <v>0</v>
      </c>
      <c r="AL81" s="14">
        <f t="shared" si="31"/>
        <v>0</v>
      </c>
    </row>
    <row r="82" spans="1:38" ht="21" hidden="1" customHeight="1" outlineLevel="1" thickBot="1" x14ac:dyDescent="0.4">
      <c r="A82" s="5">
        <f t="shared" si="30"/>
        <v>0</v>
      </c>
      <c r="B82" s="5">
        <f t="shared" si="30"/>
        <v>4</v>
      </c>
      <c r="C82" s="5">
        <f t="shared" si="30"/>
        <v>0</v>
      </c>
      <c r="D82" s="5">
        <f t="shared" si="30"/>
        <v>0</v>
      </c>
      <c r="E82" s="6" t="str">
        <f t="shared" si="25"/>
        <v>Se4</v>
      </c>
      <c r="F82" s="14">
        <f t="shared" si="28"/>
        <v>7.1647500000000002E-22</v>
      </c>
      <c r="G82" s="14">
        <f t="shared" ref="G82:AL82" si="32">G6*$C$78</f>
        <v>2.7037499999999998E-16</v>
      </c>
      <c r="H82" s="14">
        <f t="shared" si="32"/>
        <v>1.1422499999999999E-12</v>
      </c>
      <c r="I82" s="14">
        <f t="shared" si="32"/>
        <v>3.8387500000000003E-10</v>
      </c>
      <c r="J82" s="14">
        <f t="shared" si="32"/>
        <v>2.8459999999999998E-8</v>
      </c>
      <c r="K82" s="14">
        <f t="shared" si="32"/>
        <v>9.60425E-7</v>
      </c>
      <c r="L82" s="14">
        <f t="shared" si="32"/>
        <v>2.2889749999999999E-5</v>
      </c>
      <c r="M82" s="14">
        <f t="shared" si="32"/>
        <v>2.7217499999999999E-4</v>
      </c>
      <c r="N82" s="14">
        <f t="shared" si="32"/>
        <v>1.7302999999999999E-3</v>
      </c>
      <c r="O82" s="14">
        <f t="shared" si="32"/>
        <v>6.7282500000000007E-3</v>
      </c>
      <c r="P82" s="14">
        <f t="shared" si="32"/>
        <v>1.4215500000000001E-2</v>
      </c>
      <c r="Q82" s="14">
        <f t="shared" si="32"/>
        <v>1.6281750000000001E-2</v>
      </c>
      <c r="R82" s="14">
        <f t="shared" si="32"/>
        <v>0</v>
      </c>
      <c r="S82" s="14">
        <f t="shared" si="32"/>
        <v>0</v>
      </c>
      <c r="T82" s="14">
        <f t="shared" si="32"/>
        <v>0</v>
      </c>
      <c r="U82" s="14">
        <f t="shared" si="32"/>
        <v>0</v>
      </c>
      <c r="V82" s="14">
        <f t="shared" si="32"/>
        <v>0</v>
      </c>
      <c r="W82" s="14">
        <f t="shared" si="32"/>
        <v>0</v>
      </c>
      <c r="X82" s="14">
        <f t="shared" si="32"/>
        <v>0</v>
      </c>
      <c r="Y82" s="14">
        <f t="shared" si="32"/>
        <v>0</v>
      </c>
      <c r="Z82" s="14">
        <f t="shared" si="32"/>
        <v>0</v>
      </c>
      <c r="AA82" s="14">
        <f t="shared" si="32"/>
        <v>0</v>
      </c>
      <c r="AB82" s="14">
        <f t="shared" si="32"/>
        <v>0</v>
      </c>
      <c r="AC82" s="14">
        <f t="shared" si="32"/>
        <v>0</v>
      </c>
      <c r="AD82" s="14">
        <f t="shared" si="32"/>
        <v>0</v>
      </c>
      <c r="AE82" s="14">
        <f t="shared" si="32"/>
        <v>0</v>
      </c>
      <c r="AF82" s="14">
        <f t="shared" si="32"/>
        <v>0</v>
      </c>
      <c r="AG82" s="14">
        <f t="shared" si="32"/>
        <v>0</v>
      </c>
      <c r="AH82" s="14">
        <f t="shared" si="32"/>
        <v>0</v>
      </c>
      <c r="AI82" s="14">
        <f t="shared" si="32"/>
        <v>0</v>
      </c>
      <c r="AJ82" s="14">
        <f t="shared" si="32"/>
        <v>0</v>
      </c>
      <c r="AK82" s="14">
        <f t="shared" si="32"/>
        <v>0</v>
      </c>
      <c r="AL82" s="14">
        <f t="shared" si="32"/>
        <v>0</v>
      </c>
    </row>
    <row r="83" spans="1:38" ht="21" hidden="1" customHeight="1" outlineLevel="1" thickBot="1" x14ac:dyDescent="0.4">
      <c r="A83" s="5">
        <f t="shared" si="30"/>
        <v>0</v>
      </c>
      <c r="B83" s="5">
        <f t="shared" si="30"/>
        <v>5</v>
      </c>
      <c r="C83" s="5">
        <f t="shared" si="30"/>
        <v>0</v>
      </c>
      <c r="D83" s="5">
        <f t="shared" si="30"/>
        <v>0</v>
      </c>
      <c r="E83" s="6" t="str">
        <f t="shared" si="25"/>
        <v>Se5</v>
      </c>
      <c r="F83" s="14">
        <f t="shared" si="28"/>
        <v>2.0658249999999999E-18</v>
      </c>
      <c r="G83" s="14">
        <f t="shared" ref="G83:AL83" si="33">G7*$C$78</f>
        <v>2.55075E-13</v>
      </c>
      <c r="H83" s="14">
        <f t="shared" si="33"/>
        <v>4.8125000000000007E-10</v>
      </c>
      <c r="I83" s="14">
        <f t="shared" si="33"/>
        <v>8.7602499999999993E-8</v>
      </c>
      <c r="J83" s="14">
        <f t="shared" si="33"/>
        <v>4.0289999999999999E-6</v>
      </c>
      <c r="K83" s="14">
        <f t="shared" si="33"/>
        <v>9.5857499999999995E-5</v>
      </c>
      <c r="L83" s="14">
        <f t="shared" si="33"/>
        <v>1.8459499999999998E-3</v>
      </c>
      <c r="M83" s="14">
        <f t="shared" si="33"/>
        <v>1.8180250000000002E-2</v>
      </c>
      <c r="N83" s="14">
        <f t="shared" si="33"/>
        <v>9.4339999999999993E-2</v>
      </c>
      <c r="O83" s="14">
        <f t="shared" si="33"/>
        <v>0.29142500000000005</v>
      </c>
      <c r="P83" s="14">
        <f t="shared" si="33"/>
        <v>0.45282500000000003</v>
      </c>
      <c r="Q83" s="14">
        <f t="shared" si="33"/>
        <v>0.350775</v>
      </c>
      <c r="R83" s="14">
        <f t="shared" si="33"/>
        <v>0</v>
      </c>
      <c r="S83" s="14">
        <f t="shared" si="33"/>
        <v>0</v>
      </c>
      <c r="T83" s="14">
        <f t="shared" si="33"/>
        <v>0</v>
      </c>
      <c r="U83" s="14">
        <f t="shared" si="33"/>
        <v>0</v>
      </c>
      <c r="V83" s="14">
        <f t="shared" si="33"/>
        <v>0</v>
      </c>
      <c r="W83" s="14">
        <f t="shared" si="33"/>
        <v>0</v>
      </c>
      <c r="X83" s="14">
        <f t="shared" si="33"/>
        <v>0</v>
      </c>
      <c r="Y83" s="14">
        <f t="shared" si="33"/>
        <v>0</v>
      </c>
      <c r="Z83" s="14">
        <f t="shared" si="33"/>
        <v>0</v>
      </c>
      <c r="AA83" s="14">
        <f t="shared" si="33"/>
        <v>0</v>
      </c>
      <c r="AB83" s="14">
        <f t="shared" si="33"/>
        <v>0</v>
      </c>
      <c r="AC83" s="14">
        <f t="shared" si="33"/>
        <v>0</v>
      </c>
      <c r="AD83" s="14">
        <f t="shared" si="33"/>
        <v>0</v>
      </c>
      <c r="AE83" s="14">
        <f t="shared" si="33"/>
        <v>0</v>
      </c>
      <c r="AF83" s="14">
        <f t="shared" si="33"/>
        <v>0</v>
      </c>
      <c r="AG83" s="14">
        <f t="shared" si="33"/>
        <v>0</v>
      </c>
      <c r="AH83" s="14">
        <f t="shared" si="33"/>
        <v>0</v>
      </c>
      <c r="AI83" s="14">
        <f t="shared" si="33"/>
        <v>0</v>
      </c>
      <c r="AJ83" s="14">
        <f t="shared" si="33"/>
        <v>0</v>
      </c>
      <c r="AK83" s="14">
        <f t="shared" si="33"/>
        <v>0</v>
      </c>
      <c r="AL83" s="14">
        <f t="shared" si="33"/>
        <v>0</v>
      </c>
    </row>
    <row r="84" spans="1:38" ht="21" hidden="1" customHeight="1" outlineLevel="1" thickBot="1" x14ac:dyDescent="0.4">
      <c r="A84" s="5">
        <f t="shared" si="30"/>
        <v>0</v>
      </c>
      <c r="B84" s="5">
        <f t="shared" si="30"/>
        <v>6</v>
      </c>
      <c r="C84" s="5">
        <f t="shared" si="30"/>
        <v>0</v>
      </c>
      <c r="D84" s="5">
        <f t="shared" si="30"/>
        <v>0</v>
      </c>
      <c r="E84" s="6" t="str">
        <f t="shared" si="25"/>
        <v>Se6</v>
      </c>
      <c r="F84" s="14">
        <f t="shared" si="28"/>
        <v>7.9212499999999993E-16</v>
      </c>
      <c r="G84" s="14">
        <f t="shared" ref="G84:AL84" si="34">G8*$C$78</f>
        <v>1.408625E-11</v>
      </c>
      <c r="H84" s="14">
        <f t="shared" si="34"/>
        <v>6.7960000000000001E-9</v>
      </c>
      <c r="I84" s="14">
        <f t="shared" si="34"/>
        <v>4.4752500000000001E-7</v>
      </c>
      <c r="J84" s="14">
        <f t="shared" si="34"/>
        <v>9.4050000000000006E-6</v>
      </c>
      <c r="K84" s="14">
        <f t="shared" si="34"/>
        <v>1.2414000000000001E-4</v>
      </c>
      <c r="L84" s="14">
        <f t="shared" si="34"/>
        <v>1.5928000000000001E-3</v>
      </c>
      <c r="M84" s="14">
        <f t="shared" si="34"/>
        <v>1.1087999999999999E-2</v>
      </c>
      <c r="N84" s="14">
        <f t="shared" si="34"/>
        <v>4.1127499999999997E-2</v>
      </c>
      <c r="O84" s="14">
        <f t="shared" si="34"/>
        <v>9.0182499999999999E-2</v>
      </c>
      <c r="P84" s="14">
        <f t="shared" si="34"/>
        <v>9.3539999999999998E-2</v>
      </c>
      <c r="Q84" s="14">
        <f t="shared" si="34"/>
        <v>4.505E-2</v>
      </c>
      <c r="R84" s="14">
        <f t="shared" si="34"/>
        <v>0</v>
      </c>
      <c r="S84" s="14">
        <f t="shared" si="34"/>
        <v>0</v>
      </c>
      <c r="T84" s="14">
        <f t="shared" si="34"/>
        <v>0</v>
      </c>
      <c r="U84" s="14">
        <f t="shared" si="34"/>
        <v>0</v>
      </c>
      <c r="V84" s="14">
        <f t="shared" si="34"/>
        <v>0</v>
      </c>
      <c r="W84" s="14">
        <f t="shared" si="34"/>
        <v>0</v>
      </c>
      <c r="X84" s="14">
        <f t="shared" si="34"/>
        <v>0</v>
      </c>
      <c r="Y84" s="14">
        <f t="shared" si="34"/>
        <v>0</v>
      </c>
      <c r="Z84" s="14">
        <f t="shared" si="34"/>
        <v>0</v>
      </c>
      <c r="AA84" s="14">
        <f t="shared" si="34"/>
        <v>0</v>
      </c>
      <c r="AB84" s="14">
        <f t="shared" si="34"/>
        <v>0</v>
      </c>
      <c r="AC84" s="14">
        <f t="shared" si="34"/>
        <v>0</v>
      </c>
      <c r="AD84" s="14">
        <f t="shared" si="34"/>
        <v>0</v>
      </c>
      <c r="AE84" s="14">
        <f t="shared" si="34"/>
        <v>0</v>
      </c>
      <c r="AF84" s="14">
        <f t="shared" si="34"/>
        <v>0</v>
      </c>
      <c r="AG84" s="14">
        <f t="shared" si="34"/>
        <v>0</v>
      </c>
      <c r="AH84" s="14">
        <f t="shared" si="34"/>
        <v>0</v>
      </c>
      <c r="AI84" s="14">
        <f t="shared" si="34"/>
        <v>0</v>
      </c>
      <c r="AJ84" s="14">
        <f t="shared" si="34"/>
        <v>0</v>
      </c>
      <c r="AK84" s="14">
        <f t="shared" si="34"/>
        <v>0</v>
      </c>
      <c r="AL84" s="14">
        <f t="shared" si="34"/>
        <v>0</v>
      </c>
    </row>
    <row r="85" spans="1:38" ht="21" hidden="1" customHeight="1" outlineLevel="1" thickBot="1" x14ac:dyDescent="0.4">
      <c r="A85" s="5">
        <f t="shared" si="30"/>
        <v>0</v>
      </c>
      <c r="B85" s="5">
        <f t="shared" si="30"/>
        <v>7</v>
      </c>
      <c r="C85" s="5">
        <f t="shared" si="30"/>
        <v>0</v>
      </c>
      <c r="D85" s="5">
        <f t="shared" si="30"/>
        <v>0</v>
      </c>
      <c r="E85" s="6" t="str">
        <f t="shared" si="25"/>
        <v>Se7</v>
      </c>
      <c r="F85" s="14">
        <f t="shared" si="28"/>
        <v>6.7880000000000006E-17</v>
      </c>
      <c r="G85" s="14">
        <f t="shared" ref="G85:AL85" si="35">G9*$C$78</f>
        <v>2.1116500000000002E-12</v>
      </c>
      <c r="H85" s="14">
        <f t="shared" si="35"/>
        <v>1.3983249999999999E-9</v>
      </c>
      <c r="I85" s="14">
        <f t="shared" si="35"/>
        <v>1.1147499999999998E-7</v>
      </c>
      <c r="J85" s="14">
        <f t="shared" si="35"/>
        <v>2.6599999999999999E-6</v>
      </c>
      <c r="K85" s="14">
        <f t="shared" si="35"/>
        <v>3.9635000000000003E-5</v>
      </c>
      <c r="L85" s="14">
        <f t="shared" si="35"/>
        <v>5.9907500000000002E-4</v>
      </c>
      <c r="M85" s="14">
        <f t="shared" si="35"/>
        <v>4.7039999999999998E-3</v>
      </c>
      <c r="N85" s="14">
        <f t="shared" si="35"/>
        <v>1.8423499999999999E-2</v>
      </c>
      <c r="O85" s="14">
        <f t="shared" si="35"/>
        <v>3.9910000000000001E-2</v>
      </c>
      <c r="P85" s="14">
        <f t="shared" si="35"/>
        <v>3.6699999999999997E-2</v>
      </c>
      <c r="Q85" s="14">
        <f t="shared" si="35"/>
        <v>1.4058000000000001E-2</v>
      </c>
      <c r="R85" s="14">
        <f t="shared" si="35"/>
        <v>0</v>
      </c>
      <c r="S85" s="14">
        <f t="shared" si="35"/>
        <v>0</v>
      </c>
      <c r="T85" s="14">
        <f t="shared" si="35"/>
        <v>0</v>
      </c>
      <c r="U85" s="14">
        <f t="shared" si="35"/>
        <v>0</v>
      </c>
      <c r="V85" s="14">
        <f t="shared" si="35"/>
        <v>0</v>
      </c>
      <c r="W85" s="14">
        <f t="shared" si="35"/>
        <v>0</v>
      </c>
      <c r="X85" s="14">
        <f t="shared" si="35"/>
        <v>0</v>
      </c>
      <c r="Y85" s="14">
        <f t="shared" si="35"/>
        <v>0</v>
      </c>
      <c r="Z85" s="14">
        <f t="shared" si="35"/>
        <v>0</v>
      </c>
      <c r="AA85" s="14">
        <f t="shared" si="35"/>
        <v>0</v>
      </c>
      <c r="AB85" s="14">
        <f t="shared" si="35"/>
        <v>0</v>
      </c>
      <c r="AC85" s="14">
        <f t="shared" si="35"/>
        <v>0</v>
      </c>
      <c r="AD85" s="14">
        <f t="shared" si="35"/>
        <v>0</v>
      </c>
      <c r="AE85" s="14">
        <f t="shared" si="35"/>
        <v>0</v>
      </c>
      <c r="AF85" s="14">
        <f t="shared" si="35"/>
        <v>0</v>
      </c>
      <c r="AG85" s="14">
        <f t="shared" si="35"/>
        <v>0</v>
      </c>
      <c r="AH85" s="14">
        <f t="shared" si="35"/>
        <v>0</v>
      </c>
      <c r="AI85" s="14">
        <f t="shared" si="35"/>
        <v>0</v>
      </c>
      <c r="AJ85" s="14">
        <f t="shared" si="35"/>
        <v>0</v>
      </c>
      <c r="AK85" s="14">
        <f t="shared" si="35"/>
        <v>0</v>
      </c>
      <c r="AL85" s="14">
        <f t="shared" si="35"/>
        <v>0</v>
      </c>
    </row>
    <row r="86" spans="1:38" ht="21" hidden="1" customHeight="1" outlineLevel="1" thickBot="1" x14ac:dyDescent="0.4">
      <c r="A86" s="5">
        <f t="shared" si="30"/>
        <v>0</v>
      </c>
      <c r="B86" s="5">
        <f t="shared" si="30"/>
        <v>8</v>
      </c>
      <c r="C86" s="5">
        <f t="shared" si="30"/>
        <v>0</v>
      </c>
      <c r="D86" s="5">
        <f t="shared" si="30"/>
        <v>0</v>
      </c>
      <c r="E86" s="6" t="str">
        <f t="shared" si="25"/>
        <v>Se8</v>
      </c>
      <c r="F86" s="14">
        <f t="shared" si="28"/>
        <v>1.218525E-18</v>
      </c>
      <c r="G86" s="14">
        <f t="shared" ref="G86:AL86" si="36">G10*$C$78</f>
        <v>5.9295000000000001E-14</v>
      </c>
      <c r="H86" s="14">
        <f t="shared" si="36"/>
        <v>5.0025000000000003E-11</v>
      </c>
      <c r="I86" s="14">
        <f t="shared" si="36"/>
        <v>4.57825E-9</v>
      </c>
      <c r="J86" s="14">
        <f t="shared" si="36"/>
        <v>1.1918750000000001E-7</v>
      </c>
      <c r="K86" s="14">
        <f t="shared" si="36"/>
        <v>1.9437750000000003E-6</v>
      </c>
      <c r="L86" s="14">
        <f t="shared" si="36"/>
        <v>3.3764999999999999E-5</v>
      </c>
      <c r="M86" s="14">
        <f t="shared" si="36"/>
        <v>2.9302499999999998E-4</v>
      </c>
      <c r="N86" s="14">
        <f t="shared" si="36"/>
        <v>1.191625E-3</v>
      </c>
      <c r="O86" s="14">
        <f t="shared" si="36"/>
        <v>2.5140000000000002E-3</v>
      </c>
      <c r="P86" s="14">
        <f t="shared" si="36"/>
        <v>2.0248499999999999E-3</v>
      </c>
      <c r="Q86" s="14">
        <f t="shared" si="36"/>
        <v>6.1034999999999996E-4</v>
      </c>
      <c r="R86" s="14">
        <f t="shared" si="36"/>
        <v>0</v>
      </c>
      <c r="S86" s="14">
        <f t="shared" si="36"/>
        <v>0</v>
      </c>
      <c r="T86" s="14">
        <f t="shared" si="36"/>
        <v>0</v>
      </c>
      <c r="U86" s="14">
        <f t="shared" si="36"/>
        <v>0</v>
      </c>
      <c r="V86" s="14">
        <f t="shared" si="36"/>
        <v>0</v>
      </c>
      <c r="W86" s="14">
        <f t="shared" si="36"/>
        <v>0</v>
      </c>
      <c r="X86" s="14">
        <f t="shared" si="36"/>
        <v>0</v>
      </c>
      <c r="Y86" s="14">
        <f t="shared" si="36"/>
        <v>0</v>
      </c>
      <c r="Z86" s="14">
        <f t="shared" si="36"/>
        <v>0</v>
      </c>
      <c r="AA86" s="14">
        <f t="shared" si="36"/>
        <v>0</v>
      </c>
      <c r="AB86" s="14">
        <f t="shared" si="36"/>
        <v>0</v>
      </c>
      <c r="AC86" s="14">
        <f t="shared" si="36"/>
        <v>0</v>
      </c>
      <c r="AD86" s="14">
        <f t="shared" si="36"/>
        <v>0</v>
      </c>
      <c r="AE86" s="14">
        <f t="shared" si="36"/>
        <v>0</v>
      </c>
      <c r="AF86" s="14">
        <f t="shared" si="36"/>
        <v>0</v>
      </c>
      <c r="AG86" s="14">
        <f t="shared" si="36"/>
        <v>0</v>
      </c>
      <c r="AH86" s="14">
        <f t="shared" si="36"/>
        <v>0</v>
      </c>
      <c r="AI86" s="14">
        <f t="shared" si="36"/>
        <v>0</v>
      </c>
      <c r="AJ86" s="14">
        <f t="shared" si="36"/>
        <v>0</v>
      </c>
      <c r="AK86" s="14">
        <f t="shared" si="36"/>
        <v>0</v>
      </c>
      <c r="AL86" s="14">
        <f t="shared" si="36"/>
        <v>0</v>
      </c>
    </row>
    <row r="87" spans="1:38" ht="21" hidden="1" customHeight="1" outlineLevel="1" thickBot="1" x14ac:dyDescent="0.4">
      <c r="A87" s="5">
        <f t="shared" si="30"/>
        <v>0</v>
      </c>
      <c r="B87" s="5">
        <f t="shared" si="30"/>
        <v>2</v>
      </c>
      <c r="C87" s="5">
        <f t="shared" si="30"/>
        <v>0</v>
      </c>
      <c r="D87" s="5">
        <f t="shared" si="30"/>
        <v>0</v>
      </c>
      <c r="E87" s="6" t="str">
        <f t="shared" si="25"/>
        <v>Se2</v>
      </c>
      <c r="F87" s="14">
        <f t="shared" si="28"/>
        <v>9.5039999999999997E-19</v>
      </c>
      <c r="G87" s="14">
        <f t="shared" ref="G87:AL87" si="37">G11*$C$78</f>
        <v>1.122475E-13</v>
      </c>
      <c r="H87" s="14">
        <f t="shared" si="37"/>
        <v>2.5512499999999998E-10</v>
      </c>
      <c r="I87" s="14">
        <f t="shared" si="37"/>
        <v>6.0732499999999991E-8</v>
      </c>
      <c r="J87" s="14">
        <f t="shared" si="37"/>
        <v>3.6610000000000002E-6</v>
      </c>
      <c r="K87" s="14">
        <f t="shared" si="37"/>
        <v>1.0195E-4</v>
      </c>
      <c r="L87" s="14">
        <f t="shared" si="37"/>
        <v>1.8413000000000001E-3</v>
      </c>
      <c r="M87" s="14">
        <f t="shared" si="37"/>
        <v>1.8073499999999999E-2</v>
      </c>
      <c r="N87" s="14">
        <f t="shared" si="37"/>
        <v>0.10801000000000001</v>
      </c>
      <c r="O87" s="14">
        <f t="shared" si="37"/>
        <v>0.44999999999999996</v>
      </c>
      <c r="P87" s="14">
        <f t="shared" si="37"/>
        <v>1.2620750000000001</v>
      </c>
      <c r="Q87" s="14">
        <f t="shared" si="37"/>
        <v>2.3794749999999998</v>
      </c>
      <c r="R87" s="14">
        <f t="shared" si="37"/>
        <v>0</v>
      </c>
      <c r="S87" s="14">
        <f t="shared" si="37"/>
        <v>0</v>
      </c>
      <c r="T87" s="14">
        <f t="shared" si="37"/>
        <v>0</v>
      </c>
      <c r="U87" s="14">
        <f t="shared" si="37"/>
        <v>0</v>
      </c>
      <c r="V87" s="14">
        <f t="shared" si="37"/>
        <v>0</v>
      </c>
      <c r="W87" s="14">
        <f t="shared" si="37"/>
        <v>0</v>
      </c>
      <c r="X87" s="14">
        <f t="shared" si="37"/>
        <v>0</v>
      </c>
      <c r="Y87" s="14">
        <f t="shared" si="37"/>
        <v>0</v>
      </c>
      <c r="Z87" s="14">
        <f t="shared" si="37"/>
        <v>0</v>
      </c>
      <c r="AA87" s="14">
        <f t="shared" si="37"/>
        <v>0</v>
      </c>
      <c r="AB87" s="14">
        <f t="shared" si="37"/>
        <v>0</v>
      </c>
      <c r="AC87" s="14">
        <f t="shared" si="37"/>
        <v>0</v>
      </c>
      <c r="AD87" s="14">
        <f t="shared" si="37"/>
        <v>0</v>
      </c>
      <c r="AE87" s="14">
        <f t="shared" si="37"/>
        <v>0</v>
      </c>
      <c r="AF87" s="14">
        <f t="shared" si="37"/>
        <v>0</v>
      </c>
      <c r="AG87" s="14">
        <f t="shared" si="37"/>
        <v>0</v>
      </c>
      <c r="AH87" s="14">
        <f t="shared" si="37"/>
        <v>0</v>
      </c>
      <c r="AI87" s="14">
        <f t="shared" si="37"/>
        <v>0</v>
      </c>
      <c r="AJ87" s="14">
        <f t="shared" si="37"/>
        <v>0</v>
      </c>
      <c r="AK87" s="14">
        <f t="shared" si="37"/>
        <v>0</v>
      </c>
      <c r="AL87" s="14">
        <f t="shared" si="37"/>
        <v>0</v>
      </c>
    </row>
    <row r="88" spans="1:38" ht="21" hidden="1" customHeight="1" outlineLevel="1" thickBot="1" x14ac:dyDescent="0.4">
      <c r="A88" s="5">
        <f t="shared" si="30"/>
        <v>0</v>
      </c>
      <c r="B88" s="5">
        <f t="shared" si="30"/>
        <v>1</v>
      </c>
      <c r="C88" s="5">
        <f t="shared" si="30"/>
        <v>0</v>
      </c>
      <c r="D88" s="5">
        <f t="shared" si="30"/>
        <v>0</v>
      </c>
      <c r="E88" s="6" t="str">
        <f t="shared" si="25"/>
        <v>Se</v>
      </c>
      <c r="F88" s="14">
        <f t="shared" si="28"/>
        <v>0</v>
      </c>
      <c r="G88" s="14">
        <f t="shared" ref="G88:AL88" si="38">G12*$C$78</f>
        <v>1.4270999999999999E-29</v>
      </c>
      <c r="H88" s="14">
        <f t="shared" si="38"/>
        <v>9.727250000000001E-24</v>
      </c>
      <c r="I88" s="14">
        <f t="shared" si="38"/>
        <v>1.4706E-19</v>
      </c>
      <c r="J88" s="14">
        <f t="shared" si="38"/>
        <v>2.0838499999999998E-16</v>
      </c>
      <c r="K88" s="14">
        <f t="shared" si="38"/>
        <v>6.7445000000000009E-14</v>
      </c>
      <c r="L88" s="14">
        <f t="shared" si="38"/>
        <v>8.2312499999999997E-12</v>
      </c>
      <c r="M88" s="14">
        <f t="shared" si="38"/>
        <v>3.9585000000000003E-10</v>
      </c>
      <c r="N88" s="14">
        <f t="shared" si="38"/>
        <v>9.4057499999999997E-9</v>
      </c>
      <c r="O88" s="14">
        <f t="shared" si="38"/>
        <v>1.3468750000000001E-7</v>
      </c>
      <c r="P88" s="14">
        <f t="shared" si="38"/>
        <v>1.2238250000000001E-6</v>
      </c>
      <c r="Q88" s="14">
        <f t="shared" si="38"/>
        <v>7.2849999999999997E-6</v>
      </c>
      <c r="R88" s="14">
        <f t="shared" si="38"/>
        <v>0</v>
      </c>
      <c r="S88" s="14">
        <f t="shared" si="38"/>
        <v>0</v>
      </c>
      <c r="T88" s="14">
        <f t="shared" si="38"/>
        <v>0</v>
      </c>
      <c r="U88" s="14">
        <f t="shared" si="38"/>
        <v>0</v>
      </c>
      <c r="V88" s="14">
        <f t="shared" si="38"/>
        <v>0</v>
      </c>
      <c r="W88" s="14">
        <f t="shared" si="38"/>
        <v>0</v>
      </c>
      <c r="X88" s="14">
        <f t="shared" si="38"/>
        <v>0</v>
      </c>
      <c r="Y88" s="14">
        <f t="shared" si="38"/>
        <v>0</v>
      </c>
      <c r="Z88" s="14">
        <f t="shared" si="38"/>
        <v>0</v>
      </c>
      <c r="AA88" s="14">
        <f t="shared" si="38"/>
        <v>0</v>
      </c>
      <c r="AB88" s="14">
        <f t="shared" si="38"/>
        <v>0</v>
      </c>
      <c r="AC88" s="14">
        <f t="shared" si="38"/>
        <v>0</v>
      </c>
      <c r="AD88" s="14">
        <f t="shared" si="38"/>
        <v>0</v>
      </c>
      <c r="AE88" s="14">
        <f t="shared" si="38"/>
        <v>0</v>
      </c>
      <c r="AF88" s="14">
        <f t="shared" si="38"/>
        <v>0</v>
      </c>
      <c r="AG88" s="14">
        <f t="shared" si="38"/>
        <v>0</v>
      </c>
      <c r="AH88" s="14">
        <f t="shared" si="38"/>
        <v>0</v>
      </c>
      <c r="AI88" s="14">
        <f t="shared" si="38"/>
        <v>0</v>
      </c>
      <c r="AJ88" s="14">
        <f t="shared" si="38"/>
        <v>0</v>
      </c>
      <c r="AK88" s="14">
        <f t="shared" si="38"/>
        <v>0</v>
      </c>
      <c r="AL88" s="14">
        <f t="shared" si="38"/>
        <v>0</v>
      </c>
    </row>
    <row r="89" spans="1:38" ht="21" hidden="1" customHeight="1" outlineLevel="1" thickBot="1" x14ac:dyDescent="0.4">
      <c r="A89" s="5">
        <f t="shared" si="30"/>
        <v>0</v>
      </c>
      <c r="B89" s="5">
        <f t="shared" si="30"/>
        <v>1</v>
      </c>
      <c r="C89" s="5">
        <f t="shared" si="30"/>
        <v>0</v>
      </c>
      <c r="D89" s="5">
        <f t="shared" si="30"/>
        <v>2</v>
      </c>
      <c r="E89" s="6" t="str">
        <f t="shared" si="25"/>
        <v>Ga2Se</v>
      </c>
      <c r="F89" s="14">
        <f t="shared" si="28"/>
        <v>6.1272499999999995E-9</v>
      </c>
      <c r="G89" s="14">
        <f t="shared" ref="G89:AL89" si="39">G13*$C$78</f>
        <v>6.3357500000000003E-6</v>
      </c>
      <c r="H89" s="14">
        <f t="shared" si="39"/>
        <v>5.8399999999999999E-4</v>
      </c>
      <c r="I89" s="14">
        <f t="shared" si="39"/>
        <v>1.3698749999999999E-2</v>
      </c>
      <c r="J89" s="14">
        <f t="shared" si="39"/>
        <v>0.1376675</v>
      </c>
      <c r="K89" s="14">
        <f t="shared" si="39"/>
        <v>0.75707500000000005</v>
      </c>
      <c r="L89" s="14">
        <f t="shared" si="39"/>
        <v>1.9816500000000001</v>
      </c>
      <c r="M89" s="14">
        <f t="shared" si="39"/>
        <v>2.72525</v>
      </c>
      <c r="N89" s="14">
        <f t="shared" si="39"/>
        <v>3.0819999999999999</v>
      </c>
      <c r="O89" s="14">
        <f t="shared" si="39"/>
        <v>3.2949999999999999</v>
      </c>
      <c r="P89" s="14">
        <f t="shared" si="39"/>
        <v>3.41025</v>
      </c>
      <c r="Q89" s="14">
        <f t="shared" si="39"/>
        <v>3.4532500000000002</v>
      </c>
      <c r="R89" s="14">
        <f t="shared" si="39"/>
        <v>0</v>
      </c>
      <c r="S89" s="14">
        <f t="shared" si="39"/>
        <v>0</v>
      </c>
      <c r="T89" s="14">
        <f t="shared" si="39"/>
        <v>0</v>
      </c>
      <c r="U89" s="14">
        <f t="shared" si="39"/>
        <v>0</v>
      </c>
      <c r="V89" s="14">
        <f t="shared" si="39"/>
        <v>0</v>
      </c>
      <c r="W89" s="14">
        <f t="shared" si="39"/>
        <v>0</v>
      </c>
      <c r="X89" s="14">
        <f t="shared" si="39"/>
        <v>0</v>
      </c>
      <c r="Y89" s="14">
        <f t="shared" si="39"/>
        <v>0</v>
      </c>
      <c r="Z89" s="14">
        <f t="shared" si="39"/>
        <v>0</v>
      </c>
      <c r="AA89" s="14">
        <f t="shared" si="39"/>
        <v>0</v>
      </c>
      <c r="AB89" s="14">
        <f t="shared" si="39"/>
        <v>0</v>
      </c>
      <c r="AC89" s="14">
        <f t="shared" si="39"/>
        <v>0</v>
      </c>
      <c r="AD89" s="14">
        <f t="shared" si="39"/>
        <v>0</v>
      </c>
      <c r="AE89" s="14">
        <f t="shared" si="39"/>
        <v>0</v>
      </c>
      <c r="AF89" s="14">
        <f t="shared" si="39"/>
        <v>0</v>
      </c>
      <c r="AG89" s="14">
        <f t="shared" si="39"/>
        <v>0</v>
      </c>
      <c r="AH89" s="14">
        <f t="shared" si="39"/>
        <v>0</v>
      </c>
      <c r="AI89" s="14">
        <f t="shared" si="39"/>
        <v>0</v>
      </c>
      <c r="AJ89" s="14">
        <f t="shared" si="39"/>
        <v>0</v>
      </c>
      <c r="AK89" s="14">
        <f t="shared" si="39"/>
        <v>0</v>
      </c>
      <c r="AL89" s="14">
        <f t="shared" si="39"/>
        <v>0</v>
      </c>
    </row>
    <row r="90" spans="1:38" ht="21" hidden="1" customHeight="1" outlineLevel="1" thickBot="1" x14ac:dyDescent="0.4">
      <c r="A90" s="5">
        <f t="shared" si="30"/>
        <v>1</v>
      </c>
      <c r="B90" s="5">
        <f t="shared" si="30"/>
        <v>0</v>
      </c>
      <c r="C90" s="5">
        <f t="shared" si="30"/>
        <v>0</v>
      </c>
      <c r="D90" s="5">
        <f t="shared" si="30"/>
        <v>0</v>
      </c>
      <c r="E90" s="6" t="str">
        <f t="shared" si="25"/>
        <v>Ar</v>
      </c>
      <c r="F90" s="14">
        <f t="shared" si="28"/>
        <v>5</v>
      </c>
      <c r="G90" s="14">
        <f t="shared" ref="G90:AL90" si="40">G14*$C$78</f>
        <v>5</v>
      </c>
      <c r="H90" s="14">
        <f t="shared" si="40"/>
        <v>5</v>
      </c>
      <c r="I90" s="14">
        <f t="shared" si="40"/>
        <v>5</v>
      </c>
      <c r="J90" s="14">
        <f t="shared" si="40"/>
        <v>5</v>
      </c>
      <c r="K90" s="14">
        <f t="shared" si="40"/>
        <v>5</v>
      </c>
      <c r="L90" s="14">
        <f t="shared" si="40"/>
        <v>5</v>
      </c>
      <c r="M90" s="14">
        <f t="shared" si="40"/>
        <v>5</v>
      </c>
      <c r="N90" s="14">
        <f t="shared" si="40"/>
        <v>5</v>
      </c>
      <c r="O90" s="14">
        <f t="shared" si="40"/>
        <v>5</v>
      </c>
      <c r="P90" s="14">
        <f t="shared" si="40"/>
        <v>5</v>
      </c>
      <c r="Q90" s="14">
        <f t="shared" si="40"/>
        <v>5</v>
      </c>
      <c r="R90" s="14">
        <f t="shared" si="40"/>
        <v>0</v>
      </c>
      <c r="S90" s="14">
        <f t="shared" si="40"/>
        <v>0</v>
      </c>
      <c r="T90" s="14">
        <f t="shared" si="40"/>
        <v>0</v>
      </c>
      <c r="U90" s="14">
        <f t="shared" si="40"/>
        <v>0</v>
      </c>
      <c r="V90" s="14">
        <f t="shared" si="40"/>
        <v>0</v>
      </c>
      <c r="W90" s="14">
        <f t="shared" si="40"/>
        <v>0</v>
      </c>
      <c r="X90" s="14">
        <f t="shared" si="40"/>
        <v>0</v>
      </c>
      <c r="Y90" s="14">
        <f t="shared" si="40"/>
        <v>0</v>
      </c>
      <c r="Z90" s="14">
        <f t="shared" si="40"/>
        <v>0</v>
      </c>
      <c r="AA90" s="14">
        <f t="shared" si="40"/>
        <v>0</v>
      </c>
      <c r="AB90" s="14">
        <f t="shared" si="40"/>
        <v>0</v>
      </c>
      <c r="AC90" s="14">
        <f t="shared" si="40"/>
        <v>0</v>
      </c>
      <c r="AD90" s="14">
        <f t="shared" si="40"/>
        <v>0</v>
      </c>
      <c r="AE90" s="14">
        <f t="shared" si="40"/>
        <v>0</v>
      </c>
      <c r="AF90" s="14">
        <f t="shared" si="40"/>
        <v>0</v>
      </c>
      <c r="AG90" s="14">
        <f t="shared" si="40"/>
        <v>0</v>
      </c>
      <c r="AH90" s="14">
        <f t="shared" si="40"/>
        <v>0</v>
      </c>
      <c r="AI90" s="14">
        <f t="shared" si="40"/>
        <v>0</v>
      </c>
      <c r="AJ90" s="14">
        <f t="shared" si="40"/>
        <v>0</v>
      </c>
      <c r="AK90" s="14">
        <f t="shared" si="40"/>
        <v>0</v>
      </c>
      <c r="AL90" s="14">
        <f t="shared" si="40"/>
        <v>0</v>
      </c>
    </row>
    <row r="91" spans="1:38" ht="21" hidden="1" customHeight="1" outlineLevel="1" thickBot="1" x14ac:dyDescent="0.4">
      <c r="A91" s="5">
        <f t="shared" si="30"/>
        <v>0</v>
      </c>
      <c r="B91" s="5">
        <f t="shared" si="30"/>
        <v>0</v>
      </c>
      <c r="C91" s="5">
        <f t="shared" si="30"/>
        <v>0</v>
      </c>
      <c r="D91" s="5">
        <f t="shared" si="30"/>
        <v>1</v>
      </c>
      <c r="E91" s="6" t="str">
        <f t="shared" si="25"/>
        <v>(l)Ga[l]</v>
      </c>
      <c r="F91" s="14">
        <f t="shared" si="28"/>
        <v>7.0000000000000009</v>
      </c>
      <c r="G91" s="14">
        <f t="shared" ref="G91:AL91" si="41">G15*$C$78</f>
        <v>7.0000000000000009</v>
      </c>
      <c r="H91" s="14">
        <f t="shared" si="41"/>
        <v>6.9987499999999994</v>
      </c>
      <c r="I91" s="14">
        <f t="shared" si="41"/>
        <v>6.9724999999999993</v>
      </c>
      <c r="J91" s="14">
        <f t="shared" si="41"/>
        <v>6.7247500000000002</v>
      </c>
      <c r="K91" s="14">
        <f t="shared" si="41"/>
        <v>5.4857499999999995</v>
      </c>
      <c r="L91" s="14">
        <f t="shared" si="41"/>
        <v>3.0367500000000001</v>
      </c>
      <c r="M91" s="14">
        <f t="shared" si="41"/>
        <v>1.54955</v>
      </c>
      <c r="N91" s="14">
        <f t="shared" si="41"/>
        <v>0.83602500000000002</v>
      </c>
      <c r="O91" s="14">
        <f t="shared" si="41"/>
        <v>0.40982500000000005</v>
      </c>
      <c r="P91" s="14">
        <f t="shared" si="41"/>
        <v>0.17932000000000001</v>
      </c>
      <c r="Q91" s="14">
        <f t="shared" si="41"/>
        <v>9.3672500000000006E-2</v>
      </c>
      <c r="R91" s="14">
        <f t="shared" si="41"/>
        <v>0</v>
      </c>
      <c r="S91" s="14">
        <f t="shared" si="41"/>
        <v>0</v>
      </c>
      <c r="T91" s="14">
        <f t="shared" si="41"/>
        <v>0</v>
      </c>
      <c r="U91" s="14">
        <f t="shared" si="41"/>
        <v>0</v>
      </c>
      <c r="V91" s="14">
        <f t="shared" si="41"/>
        <v>0</v>
      </c>
      <c r="W91" s="14">
        <f t="shared" si="41"/>
        <v>0</v>
      </c>
      <c r="X91" s="14">
        <f t="shared" si="41"/>
        <v>0</v>
      </c>
      <c r="Y91" s="14">
        <f t="shared" si="41"/>
        <v>0</v>
      </c>
      <c r="Z91" s="14">
        <f t="shared" si="41"/>
        <v>0</v>
      </c>
      <c r="AA91" s="14">
        <f t="shared" si="41"/>
        <v>0</v>
      </c>
      <c r="AB91" s="14">
        <f t="shared" si="41"/>
        <v>0</v>
      </c>
      <c r="AC91" s="14">
        <f t="shared" si="41"/>
        <v>0</v>
      </c>
      <c r="AD91" s="14">
        <f t="shared" si="41"/>
        <v>0</v>
      </c>
      <c r="AE91" s="14">
        <f t="shared" si="41"/>
        <v>0</v>
      </c>
      <c r="AF91" s="14">
        <f t="shared" si="41"/>
        <v>0</v>
      </c>
      <c r="AG91" s="14">
        <f t="shared" si="41"/>
        <v>0</v>
      </c>
      <c r="AH91" s="14">
        <f t="shared" si="41"/>
        <v>0</v>
      </c>
      <c r="AI91" s="14">
        <f t="shared" si="41"/>
        <v>0</v>
      </c>
      <c r="AJ91" s="14">
        <f t="shared" si="41"/>
        <v>0</v>
      </c>
      <c r="AK91" s="14">
        <f t="shared" si="41"/>
        <v>0</v>
      </c>
      <c r="AL91" s="14">
        <f t="shared" si="41"/>
        <v>0</v>
      </c>
    </row>
    <row r="92" spans="1:38" ht="21" hidden="1" customHeight="1" outlineLevel="1" thickBot="1" x14ac:dyDescent="0.4">
      <c r="A92" s="5">
        <f t="shared" si="30"/>
        <v>0</v>
      </c>
      <c r="B92" s="5">
        <f t="shared" si="30"/>
        <v>0</v>
      </c>
      <c r="C92" s="5">
        <f t="shared" si="30"/>
        <v>1</v>
      </c>
      <c r="D92" s="5">
        <f t="shared" si="30"/>
        <v>0</v>
      </c>
      <c r="E92" s="6" t="str">
        <f t="shared" si="25"/>
        <v>(l)Ge[lJ</v>
      </c>
      <c r="F92" s="14">
        <f t="shared" si="28"/>
        <v>1</v>
      </c>
      <c r="G92" s="14">
        <f t="shared" ref="G92:AL92" si="42">G16*$C$78</f>
        <v>1</v>
      </c>
      <c r="H92" s="14">
        <f t="shared" si="42"/>
        <v>1</v>
      </c>
      <c r="I92" s="14">
        <f t="shared" si="42"/>
        <v>1</v>
      </c>
      <c r="J92" s="14">
        <f t="shared" si="42"/>
        <v>1</v>
      </c>
      <c r="K92" s="14">
        <f t="shared" si="42"/>
        <v>1</v>
      </c>
      <c r="L92" s="14">
        <f t="shared" si="42"/>
        <v>1</v>
      </c>
      <c r="M92" s="14">
        <f t="shared" si="42"/>
        <v>1</v>
      </c>
      <c r="N92" s="14">
        <f t="shared" si="42"/>
        <v>1</v>
      </c>
      <c r="O92" s="14">
        <f t="shared" si="42"/>
        <v>1</v>
      </c>
      <c r="P92" s="14">
        <f t="shared" si="42"/>
        <v>1</v>
      </c>
      <c r="Q92" s="14">
        <f t="shared" si="42"/>
        <v>1</v>
      </c>
      <c r="R92" s="14">
        <f t="shared" si="42"/>
        <v>0</v>
      </c>
      <c r="S92" s="14">
        <f t="shared" si="42"/>
        <v>0</v>
      </c>
      <c r="T92" s="14">
        <f t="shared" si="42"/>
        <v>0</v>
      </c>
      <c r="U92" s="14">
        <f t="shared" si="42"/>
        <v>0</v>
      </c>
      <c r="V92" s="14">
        <f t="shared" si="42"/>
        <v>0</v>
      </c>
      <c r="W92" s="14">
        <f t="shared" si="42"/>
        <v>0</v>
      </c>
      <c r="X92" s="14">
        <f t="shared" si="42"/>
        <v>0</v>
      </c>
      <c r="Y92" s="14">
        <f t="shared" si="42"/>
        <v>0</v>
      </c>
      <c r="Z92" s="14">
        <f t="shared" si="42"/>
        <v>0</v>
      </c>
      <c r="AA92" s="14">
        <f t="shared" si="42"/>
        <v>0</v>
      </c>
      <c r="AB92" s="14">
        <f t="shared" si="42"/>
        <v>0</v>
      </c>
      <c r="AC92" s="14">
        <f t="shared" si="42"/>
        <v>0</v>
      </c>
      <c r="AD92" s="14">
        <f t="shared" si="42"/>
        <v>0</v>
      </c>
      <c r="AE92" s="14">
        <f t="shared" si="42"/>
        <v>0</v>
      </c>
      <c r="AF92" s="14">
        <f t="shared" si="42"/>
        <v>0</v>
      </c>
      <c r="AG92" s="14">
        <f t="shared" si="42"/>
        <v>0</v>
      </c>
      <c r="AH92" s="14">
        <f t="shared" si="42"/>
        <v>0</v>
      </c>
      <c r="AI92" s="14">
        <f t="shared" si="42"/>
        <v>0</v>
      </c>
      <c r="AJ92" s="14">
        <f t="shared" si="42"/>
        <v>0</v>
      </c>
      <c r="AK92" s="14">
        <f t="shared" si="42"/>
        <v>0</v>
      </c>
      <c r="AL92" s="14">
        <f t="shared" si="42"/>
        <v>0</v>
      </c>
    </row>
    <row r="93" spans="1:38" ht="21" hidden="1" customHeight="1" outlineLevel="1" thickBot="1" x14ac:dyDescent="0.4">
      <c r="A93" s="5">
        <f t="shared" si="30"/>
        <v>0</v>
      </c>
      <c r="B93" s="5">
        <f t="shared" si="30"/>
        <v>1</v>
      </c>
      <c r="C93" s="5">
        <f t="shared" si="30"/>
        <v>0</v>
      </c>
      <c r="D93" s="5">
        <f t="shared" si="30"/>
        <v>0</v>
      </c>
      <c r="E93" s="6" t="str">
        <f t="shared" si="25"/>
        <v>(l)SeCl]</v>
      </c>
      <c r="F93" s="14">
        <f t="shared" si="28"/>
        <v>12</v>
      </c>
      <c r="G93" s="14">
        <f t="shared" ref="G93:AL93" si="43">G17*$C$78</f>
        <v>12</v>
      </c>
      <c r="H93" s="14">
        <f t="shared" si="43"/>
        <v>11.999500000000001</v>
      </c>
      <c r="I93" s="14">
        <f t="shared" si="43"/>
        <v>11.98625</v>
      </c>
      <c r="J93" s="14">
        <f t="shared" si="43"/>
        <v>11.862250000000001</v>
      </c>
      <c r="K93" s="14">
        <f t="shared" si="43"/>
        <v>11.241249999999999</v>
      </c>
      <c r="L93" s="14">
        <f t="shared" si="43"/>
        <v>9.9912500000000009</v>
      </c>
      <c r="M93" s="14">
        <f t="shared" si="43"/>
        <v>9.0440000000000005</v>
      </c>
      <c r="N93" s="14">
        <f t="shared" si="43"/>
        <v>7.8310000000000004</v>
      </c>
      <c r="O93" s="14">
        <f t="shared" si="43"/>
        <v>5.444</v>
      </c>
      <c r="P93" s="14">
        <f t="shared" si="43"/>
        <v>2.802</v>
      </c>
      <c r="Q93" s="14">
        <f t="shared" si="43"/>
        <v>1.4059250000000001</v>
      </c>
      <c r="R93" s="14">
        <f t="shared" si="43"/>
        <v>0</v>
      </c>
      <c r="S93" s="14">
        <f t="shared" si="43"/>
        <v>0</v>
      </c>
      <c r="T93" s="14">
        <f t="shared" si="43"/>
        <v>0</v>
      </c>
      <c r="U93" s="14">
        <f t="shared" si="43"/>
        <v>0</v>
      </c>
      <c r="V93" s="14">
        <f t="shared" si="43"/>
        <v>0</v>
      </c>
      <c r="W93" s="14">
        <f t="shared" si="43"/>
        <v>0</v>
      </c>
      <c r="X93" s="14">
        <f t="shared" si="43"/>
        <v>0</v>
      </c>
      <c r="Y93" s="14">
        <f t="shared" si="43"/>
        <v>0</v>
      </c>
      <c r="Z93" s="14">
        <f t="shared" si="43"/>
        <v>0</v>
      </c>
      <c r="AA93" s="14">
        <f t="shared" si="43"/>
        <v>0</v>
      </c>
      <c r="AB93" s="14">
        <f t="shared" si="43"/>
        <v>0</v>
      </c>
      <c r="AC93" s="14">
        <f t="shared" si="43"/>
        <v>0</v>
      </c>
      <c r="AD93" s="14">
        <f t="shared" si="43"/>
        <v>0</v>
      </c>
      <c r="AE93" s="14">
        <f t="shared" si="43"/>
        <v>0</v>
      </c>
      <c r="AF93" s="14">
        <f t="shared" si="43"/>
        <v>0</v>
      </c>
      <c r="AG93" s="14">
        <f t="shared" si="43"/>
        <v>0</v>
      </c>
      <c r="AH93" s="14">
        <f t="shared" si="43"/>
        <v>0</v>
      </c>
      <c r="AI93" s="14">
        <f t="shared" si="43"/>
        <v>0</v>
      </c>
      <c r="AJ93" s="14">
        <f t="shared" si="43"/>
        <v>0</v>
      </c>
      <c r="AK93" s="14">
        <f t="shared" si="43"/>
        <v>0</v>
      </c>
      <c r="AL93" s="14">
        <f t="shared" si="43"/>
        <v>0</v>
      </c>
    </row>
    <row r="94" spans="1:38" ht="21" hidden="1" customHeight="1" outlineLevel="1" thickBot="1" x14ac:dyDescent="0.4">
      <c r="A94" s="5">
        <f t="shared" si="30"/>
        <v>1</v>
      </c>
      <c r="B94" s="5">
        <f t="shared" si="30"/>
        <v>0</v>
      </c>
      <c r="C94" s="5">
        <f t="shared" si="30"/>
        <v>0</v>
      </c>
      <c r="D94" s="5">
        <f t="shared" si="30"/>
        <v>0</v>
      </c>
      <c r="E94" s="6" t="str">
        <f t="shared" si="25"/>
        <v>H (Ar)</v>
      </c>
      <c r="F94" s="14">
        <f t="shared" si="28"/>
        <v>-465.5</v>
      </c>
      <c r="G94" s="14">
        <f t="shared" ref="G94:AL94" si="44">G18*$C$78</f>
        <v>-465.75</v>
      </c>
      <c r="H94" s="14">
        <f t="shared" si="44"/>
        <v>-468</v>
      </c>
      <c r="I94" s="14">
        <f t="shared" si="44"/>
        <v>-471</v>
      </c>
      <c r="J94" s="14">
        <f t="shared" si="44"/>
        <v>-475</v>
      </c>
      <c r="K94" s="14">
        <f t="shared" si="44"/>
        <v>-481.25</v>
      </c>
      <c r="L94" s="14">
        <f t="shared" si="44"/>
        <v>-489.49999999999994</v>
      </c>
      <c r="M94" s="14">
        <f t="shared" si="44"/>
        <v>-495.5</v>
      </c>
      <c r="N94" s="14">
        <f t="shared" si="44"/>
        <v>-500.75</v>
      </c>
      <c r="O94" s="14">
        <f t="shared" si="44"/>
        <v>-506.25</v>
      </c>
      <c r="P94" s="14">
        <f t="shared" si="44"/>
        <v>-512.25</v>
      </c>
      <c r="Q94" s="14">
        <f t="shared" si="44"/>
        <v>-517.5</v>
      </c>
      <c r="R94" s="14">
        <f t="shared" si="44"/>
        <v>0</v>
      </c>
      <c r="S94" s="14">
        <f t="shared" si="44"/>
        <v>0</v>
      </c>
      <c r="T94" s="14">
        <f t="shared" si="44"/>
        <v>0</v>
      </c>
      <c r="U94" s="14">
        <f t="shared" si="44"/>
        <v>0</v>
      </c>
      <c r="V94" s="14">
        <f t="shared" si="44"/>
        <v>0</v>
      </c>
      <c r="W94" s="14">
        <f t="shared" si="44"/>
        <v>0</v>
      </c>
      <c r="X94" s="14">
        <f t="shared" si="44"/>
        <v>0</v>
      </c>
      <c r="Y94" s="14">
        <f t="shared" si="44"/>
        <v>0</v>
      </c>
      <c r="Z94" s="14">
        <f t="shared" si="44"/>
        <v>0</v>
      </c>
      <c r="AA94" s="14">
        <f t="shared" si="44"/>
        <v>0</v>
      </c>
      <c r="AB94" s="14">
        <f t="shared" si="44"/>
        <v>0</v>
      </c>
      <c r="AC94" s="14">
        <f t="shared" si="44"/>
        <v>0</v>
      </c>
      <c r="AD94" s="14">
        <f t="shared" si="44"/>
        <v>0</v>
      </c>
      <c r="AE94" s="14">
        <f t="shared" si="44"/>
        <v>0</v>
      </c>
      <c r="AF94" s="14">
        <f t="shared" si="44"/>
        <v>0</v>
      </c>
      <c r="AG94" s="14">
        <f t="shared" si="44"/>
        <v>0</v>
      </c>
      <c r="AH94" s="14">
        <f t="shared" si="44"/>
        <v>0</v>
      </c>
      <c r="AI94" s="14">
        <f t="shared" si="44"/>
        <v>0</v>
      </c>
      <c r="AJ94" s="14">
        <f t="shared" si="44"/>
        <v>0</v>
      </c>
      <c r="AK94" s="14">
        <f t="shared" si="44"/>
        <v>0</v>
      </c>
      <c r="AL94" s="14">
        <f t="shared" si="44"/>
        <v>0</v>
      </c>
    </row>
    <row r="95" spans="1:38" ht="21" hidden="1" customHeight="1" outlineLevel="1" thickBot="1" x14ac:dyDescent="0.4">
      <c r="A95" s="5">
        <f t="shared" si="30"/>
        <v>0</v>
      </c>
      <c r="B95" s="5">
        <f t="shared" si="30"/>
        <v>0</v>
      </c>
      <c r="C95" s="5">
        <f t="shared" si="30"/>
        <v>0</v>
      </c>
      <c r="D95" s="5">
        <f t="shared" si="30"/>
        <v>1</v>
      </c>
      <c r="E95" s="6" t="str">
        <f t="shared" si="25"/>
        <v>H (Ga)</v>
      </c>
      <c r="F95" s="14">
        <f t="shared" si="28"/>
        <v>-142.92499999999998</v>
      </c>
      <c r="G95" s="14">
        <f t="shared" ref="G95:AL95" si="45">G19*$C$78</f>
        <v>-155.22499999999999</v>
      </c>
      <c r="H95" s="14">
        <f t="shared" si="45"/>
        <v>-166.22499999999999</v>
      </c>
      <c r="I95" s="14">
        <f t="shared" si="45"/>
        <v>-176.07500000000002</v>
      </c>
      <c r="J95" s="14">
        <f t="shared" si="45"/>
        <v>-185.32500000000002</v>
      </c>
      <c r="K95" s="14">
        <f t="shared" si="45"/>
        <v>-195.875</v>
      </c>
      <c r="L95" s="14">
        <f t="shared" si="45"/>
        <v>-212.07500000000002</v>
      </c>
      <c r="M95" s="14">
        <f t="shared" si="45"/>
        <v>-230.85</v>
      </c>
      <c r="N95" s="14">
        <f t="shared" si="45"/>
        <v>-247.9</v>
      </c>
      <c r="O95" s="14">
        <f t="shared" si="45"/>
        <v>-262.75</v>
      </c>
      <c r="P95" s="14">
        <f t="shared" si="45"/>
        <v>-275.25</v>
      </c>
      <c r="Q95" s="14">
        <f t="shared" si="45"/>
        <v>-284.75</v>
      </c>
      <c r="R95" s="14">
        <f t="shared" si="45"/>
        <v>0</v>
      </c>
      <c r="S95" s="14">
        <f t="shared" si="45"/>
        <v>0</v>
      </c>
      <c r="T95" s="14">
        <f t="shared" si="45"/>
        <v>0</v>
      </c>
      <c r="U95" s="14">
        <f t="shared" si="45"/>
        <v>0</v>
      </c>
      <c r="V95" s="14">
        <f t="shared" si="45"/>
        <v>0</v>
      </c>
      <c r="W95" s="14">
        <f t="shared" si="45"/>
        <v>0</v>
      </c>
      <c r="X95" s="14">
        <f t="shared" si="45"/>
        <v>0</v>
      </c>
      <c r="Y95" s="14">
        <f t="shared" si="45"/>
        <v>0</v>
      </c>
      <c r="Z95" s="14">
        <f t="shared" si="45"/>
        <v>0</v>
      </c>
      <c r="AA95" s="14">
        <f t="shared" si="45"/>
        <v>0</v>
      </c>
      <c r="AB95" s="14">
        <f t="shared" si="45"/>
        <v>0</v>
      </c>
      <c r="AC95" s="14">
        <f t="shared" si="45"/>
        <v>0</v>
      </c>
      <c r="AD95" s="14">
        <f t="shared" si="45"/>
        <v>0</v>
      </c>
      <c r="AE95" s="14">
        <f t="shared" si="45"/>
        <v>0</v>
      </c>
      <c r="AF95" s="14">
        <f t="shared" si="45"/>
        <v>0</v>
      </c>
      <c r="AG95" s="14">
        <f t="shared" si="45"/>
        <v>0</v>
      </c>
      <c r="AH95" s="14">
        <f t="shared" si="45"/>
        <v>0</v>
      </c>
      <c r="AI95" s="14">
        <f t="shared" si="45"/>
        <v>0</v>
      </c>
      <c r="AJ95" s="14">
        <f t="shared" si="45"/>
        <v>0</v>
      </c>
      <c r="AK95" s="14">
        <f t="shared" si="45"/>
        <v>0</v>
      </c>
      <c r="AL95" s="14">
        <f t="shared" si="45"/>
        <v>0</v>
      </c>
    </row>
    <row r="96" spans="1:38" ht="21" hidden="1" customHeight="1" outlineLevel="1" thickBot="1" x14ac:dyDescent="0.4">
      <c r="A96" s="5">
        <f t="shared" si="30"/>
        <v>0</v>
      </c>
      <c r="B96" s="5">
        <f t="shared" si="30"/>
        <v>0</v>
      </c>
      <c r="C96" s="5">
        <f t="shared" si="30"/>
        <v>1</v>
      </c>
      <c r="D96" s="5">
        <f t="shared" si="30"/>
        <v>0</v>
      </c>
      <c r="E96" s="6" t="str">
        <f t="shared" si="25"/>
        <v>H (Ge)</v>
      </c>
      <c r="F96" s="14">
        <f t="shared" si="28"/>
        <v>139.15</v>
      </c>
      <c r="G96" s="14">
        <f t="shared" ref="G96:AL96" si="46">G20*$C$78</f>
        <v>62.7</v>
      </c>
      <c r="H96" s="14">
        <f t="shared" si="46"/>
        <v>8.5425000000000004</v>
      </c>
      <c r="I96" s="14">
        <f t="shared" si="46"/>
        <v>-32.300000000000004</v>
      </c>
      <c r="J96" s="14">
        <f t="shared" si="46"/>
        <v>-64.099999999999994</v>
      </c>
      <c r="K96" s="14">
        <f t="shared" si="46"/>
        <v>-87.924999999999997</v>
      </c>
      <c r="L96" s="14">
        <f t="shared" si="46"/>
        <v>-104.1</v>
      </c>
      <c r="M96" s="14">
        <f t="shared" si="46"/>
        <v>-118.15</v>
      </c>
      <c r="N96" s="14">
        <f t="shared" si="46"/>
        <v>-129.92500000000001</v>
      </c>
      <c r="O96" s="14">
        <f t="shared" si="46"/>
        <v>-135.67499999999998</v>
      </c>
      <c r="P96" s="14">
        <f t="shared" si="46"/>
        <v>-134.875</v>
      </c>
      <c r="Q96" s="14">
        <f t="shared" si="46"/>
        <v>-134.69999999999999</v>
      </c>
      <c r="R96" s="14">
        <f t="shared" si="46"/>
        <v>0</v>
      </c>
      <c r="S96" s="14">
        <f t="shared" si="46"/>
        <v>0</v>
      </c>
      <c r="T96" s="14">
        <f t="shared" si="46"/>
        <v>0</v>
      </c>
      <c r="U96" s="14">
        <f t="shared" si="46"/>
        <v>0</v>
      </c>
      <c r="V96" s="14">
        <f t="shared" si="46"/>
        <v>0</v>
      </c>
      <c r="W96" s="14">
        <f t="shared" si="46"/>
        <v>0</v>
      </c>
      <c r="X96" s="14">
        <f t="shared" si="46"/>
        <v>0</v>
      </c>
      <c r="Y96" s="14">
        <f t="shared" si="46"/>
        <v>0</v>
      </c>
      <c r="Z96" s="14">
        <f t="shared" si="46"/>
        <v>0</v>
      </c>
      <c r="AA96" s="14">
        <f t="shared" si="46"/>
        <v>0</v>
      </c>
      <c r="AB96" s="14">
        <f t="shared" si="46"/>
        <v>0</v>
      </c>
      <c r="AC96" s="14">
        <f t="shared" si="46"/>
        <v>0</v>
      </c>
      <c r="AD96" s="14">
        <f t="shared" si="46"/>
        <v>0</v>
      </c>
      <c r="AE96" s="14">
        <f t="shared" si="46"/>
        <v>0</v>
      </c>
      <c r="AF96" s="14">
        <f t="shared" si="46"/>
        <v>0</v>
      </c>
      <c r="AG96" s="14">
        <f t="shared" si="46"/>
        <v>0</v>
      </c>
      <c r="AH96" s="14">
        <f t="shared" si="46"/>
        <v>0</v>
      </c>
      <c r="AI96" s="14">
        <f t="shared" si="46"/>
        <v>0</v>
      </c>
      <c r="AJ96" s="14">
        <f t="shared" si="46"/>
        <v>0</v>
      </c>
      <c r="AK96" s="14">
        <f t="shared" si="46"/>
        <v>0</v>
      </c>
      <c r="AL96" s="14">
        <f t="shared" si="46"/>
        <v>0</v>
      </c>
    </row>
    <row r="97" spans="1:54" ht="21" hidden="1" customHeight="1" outlineLevel="1" thickBot="1" x14ac:dyDescent="0.4">
      <c r="A97" s="5">
        <f t="shared" ref="A97:D109" si="47">A63</f>
        <v>0</v>
      </c>
      <c r="B97" s="5">
        <f t="shared" si="47"/>
        <v>1</v>
      </c>
      <c r="C97" s="5">
        <f t="shared" si="47"/>
        <v>0</v>
      </c>
      <c r="D97" s="5">
        <f t="shared" si="47"/>
        <v>0</v>
      </c>
      <c r="E97" s="6" t="str">
        <f t="shared" si="25"/>
        <v>H (Se)</v>
      </c>
      <c r="F97" s="14">
        <f t="shared" si="28"/>
        <v>-117.5</v>
      </c>
      <c r="G97" s="14">
        <f t="shared" ref="G97:AL97" si="48">G21*$C$78</f>
        <v>-126.29999999999998</v>
      </c>
      <c r="H97" s="14">
        <f t="shared" si="48"/>
        <v>-136</v>
      </c>
      <c r="I97" s="14">
        <f t="shared" si="48"/>
        <v>-145.57500000000002</v>
      </c>
      <c r="J97" s="14">
        <f t="shared" si="48"/>
        <v>-154.5</v>
      </c>
      <c r="K97" s="14">
        <f t="shared" si="48"/>
        <v>-161.9</v>
      </c>
      <c r="L97" s="14">
        <f t="shared" si="48"/>
        <v>-166.97499999999999</v>
      </c>
      <c r="M97" s="14">
        <f t="shared" si="48"/>
        <v>-172.15</v>
      </c>
      <c r="N97" s="14">
        <f t="shared" si="48"/>
        <v>-178.15</v>
      </c>
      <c r="O97" s="14">
        <f t="shared" si="48"/>
        <v>-185.20000000000002</v>
      </c>
      <c r="P97" s="14">
        <f t="shared" si="48"/>
        <v>-194.375</v>
      </c>
      <c r="Q97" s="14">
        <f t="shared" si="48"/>
        <v>-205.79999999999998</v>
      </c>
      <c r="R97" s="14">
        <f t="shared" si="48"/>
        <v>0</v>
      </c>
      <c r="S97" s="14">
        <f t="shared" si="48"/>
        <v>0</v>
      </c>
      <c r="T97" s="14">
        <f t="shared" si="48"/>
        <v>0</v>
      </c>
      <c r="U97" s="14">
        <f t="shared" si="48"/>
        <v>0</v>
      </c>
      <c r="V97" s="14">
        <f t="shared" si="48"/>
        <v>0</v>
      </c>
      <c r="W97" s="14">
        <f t="shared" si="48"/>
        <v>0</v>
      </c>
      <c r="X97" s="14">
        <f t="shared" si="48"/>
        <v>0</v>
      </c>
      <c r="Y97" s="14">
        <f t="shared" si="48"/>
        <v>0</v>
      </c>
      <c r="Z97" s="14">
        <f t="shared" si="48"/>
        <v>0</v>
      </c>
      <c r="AA97" s="14">
        <f t="shared" si="48"/>
        <v>0</v>
      </c>
      <c r="AB97" s="14">
        <f t="shared" si="48"/>
        <v>0</v>
      </c>
      <c r="AC97" s="14">
        <f t="shared" si="48"/>
        <v>0</v>
      </c>
      <c r="AD97" s="14">
        <f t="shared" si="48"/>
        <v>0</v>
      </c>
      <c r="AE97" s="14">
        <f t="shared" si="48"/>
        <v>0</v>
      </c>
      <c r="AF97" s="14">
        <f t="shared" si="48"/>
        <v>0</v>
      </c>
      <c r="AG97" s="14">
        <f t="shared" si="48"/>
        <v>0</v>
      </c>
      <c r="AH97" s="14">
        <f t="shared" si="48"/>
        <v>0</v>
      </c>
      <c r="AI97" s="14">
        <f t="shared" si="48"/>
        <v>0</v>
      </c>
      <c r="AJ97" s="14">
        <f t="shared" si="48"/>
        <v>0</v>
      </c>
      <c r="AK97" s="14">
        <f t="shared" si="48"/>
        <v>0</v>
      </c>
      <c r="AL97" s="14">
        <f t="shared" si="48"/>
        <v>0</v>
      </c>
    </row>
    <row r="98" spans="1:54" ht="21" hidden="1" customHeight="1" outlineLevel="1" thickBot="1" x14ac:dyDescent="0.4">
      <c r="A98" s="5">
        <f t="shared" si="47"/>
        <v>0</v>
      </c>
      <c r="B98" s="5">
        <f t="shared" si="47"/>
        <v>0</v>
      </c>
      <c r="C98" s="5">
        <f t="shared" si="47"/>
        <v>0</v>
      </c>
      <c r="D98" s="5">
        <f t="shared" si="47"/>
        <v>0</v>
      </c>
      <c r="E98" s="6" t="str">
        <f t="shared" si="25"/>
        <v>Vapor</v>
      </c>
      <c r="F98" s="14">
        <f t="shared" si="28"/>
        <v>5</v>
      </c>
      <c r="G98" s="14">
        <f t="shared" ref="G98:AL98" si="49">G22*$C$78</f>
        <v>5</v>
      </c>
      <c r="H98" s="14">
        <f t="shared" si="49"/>
        <v>5.0004999999999997</v>
      </c>
      <c r="I98" s="14">
        <f t="shared" si="49"/>
        <v>5.0137499999999999</v>
      </c>
      <c r="J98" s="14">
        <f t="shared" si="49"/>
        <v>5.1377499999999996</v>
      </c>
      <c r="K98" s="14">
        <f t="shared" si="49"/>
        <v>5.7575000000000003</v>
      </c>
      <c r="L98" s="14">
        <f t="shared" si="49"/>
        <v>6.9875000000000007</v>
      </c>
      <c r="M98" s="14">
        <f t="shared" si="49"/>
        <v>7.7782500000000008</v>
      </c>
      <c r="N98" s="14">
        <f t="shared" si="49"/>
        <v>8.3492499999999996</v>
      </c>
      <c r="O98" s="14">
        <f t="shared" si="49"/>
        <v>9.1880000000000006</v>
      </c>
      <c r="P98" s="14">
        <f t="shared" si="49"/>
        <v>10.30775</v>
      </c>
      <c r="Q98" s="14">
        <f t="shared" si="49"/>
        <v>11.3225</v>
      </c>
      <c r="R98" s="14">
        <f t="shared" si="49"/>
        <v>0</v>
      </c>
      <c r="S98" s="14">
        <f t="shared" si="49"/>
        <v>0</v>
      </c>
      <c r="T98" s="14">
        <f t="shared" si="49"/>
        <v>0</v>
      </c>
      <c r="U98" s="14">
        <f t="shared" si="49"/>
        <v>0</v>
      </c>
      <c r="V98" s="14">
        <f t="shared" si="49"/>
        <v>0</v>
      </c>
      <c r="W98" s="14">
        <f t="shared" si="49"/>
        <v>0</v>
      </c>
      <c r="X98" s="14">
        <f t="shared" si="49"/>
        <v>0</v>
      </c>
      <c r="Y98" s="14">
        <f t="shared" si="49"/>
        <v>0</v>
      </c>
      <c r="Z98" s="14">
        <f t="shared" si="49"/>
        <v>0</v>
      </c>
      <c r="AA98" s="14">
        <f t="shared" si="49"/>
        <v>0</v>
      </c>
      <c r="AB98" s="14">
        <f t="shared" si="49"/>
        <v>0</v>
      </c>
      <c r="AC98" s="14">
        <f t="shared" si="49"/>
        <v>0</v>
      </c>
      <c r="AD98" s="14">
        <f t="shared" si="49"/>
        <v>0</v>
      </c>
      <c r="AE98" s="14">
        <f t="shared" si="49"/>
        <v>0</v>
      </c>
      <c r="AF98" s="14">
        <f t="shared" si="49"/>
        <v>0</v>
      </c>
      <c r="AG98" s="14">
        <f t="shared" si="49"/>
        <v>0</v>
      </c>
      <c r="AH98" s="14">
        <f t="shared" si="49"/>
        <v>0</v>
      </c>
      <c r="AI98" s="14">
        <f t="shared" si="49"/>
        <v>0</v>
      </c>
      <c r="AJ98" s="14">
        <f t="shared" si="49"/>
        <v>0</v>
      </c>
      <c r="AK98" s="14">
        <f t="shared" si="49"/>
        <v>0</v>
      </c>
      <c r="AL98" s="14">
        <f t="shared" si="49"/>
        <v>0</v>
      </c>
    </row>
    <row r="99" spans="1:54" ht="21" hidden="1" customHeight="1" outlineLevel="1" thickBot="1" x14ac:dyDescent="0.4">
      <c r="A99" s="5">
        <f t="shared" si="47"/>
        <v>0</v>
      </c>
      <c r="B99" s="5">
        <f t="shared" si="47"/>
        <v>0</v>
      </c>
      <c r="C99" s="5">
        <f t="shared" si="47"/>
        <v>0</v>
      </c>
      <c r="D99" s="5">
        <f t="shared" si="47"/>
        <v>0</v>
      </c>
      <c r="E99" s="6">
        <f t="shared" si="25"/>
        <v>0</v>
      </c>
      <c r="F99" s="14">
        <f t="shared" ref="F99:AL99" si="50">F23*$C$78</f>
        <v>0</v>
      </c>
      <c r="G99" s="14">
        <f t="shared" si="50"/>
        <v>0</v>
      </c>
      <c r="H99" s="14">
        <f t="shared" si="50"/>
        <v>0</v>
      </c>
      <c r="I99" s="14">
        <f t="shared" si="50"/>
        <v>0</v>
      </c>
      <c r="J99" s="14">
        <f t="shared" si="50"/>
        <v>0</v>
      </c>
      <c r="K99" s="14">
        <f t="shared" si="50"/>
        <v>0</v>
      </c>
      <c r="L99" s="14">
        <f t="shared" si="50"/>
        <v>0</v>
      </c>
      <c r="M99" s="14">
        <f t="shared" si="50"/>
        <v>0</v>
      </c>
      <c r="N99" s="14">
        <f t="shared" si="50"/>
        <v>0</v>
      </c>
      <c r="O99" s="14">
        <f t="shared" si="50"/>
        <v>0</v>
      </c>
      <c r="P99" s="14">
        <f t="shared" si="50"/>
        <v>0</v>
      </c>
      <c r="Q99" s="14">
        <f t="shared" si="50"/>
        <v>0</v>
      </c>
      <c r="R99" s="14">
        <f t="shared" si="50"/>
        <v>0</v>
      </c>
      <c r="S99" s="14">
        <f t="shared" si="50"/>
        <v>0</v>
      </c>
      <c r="T99" s="14">
        <f t="shared" si="50"/>
        <v>0</v>
      </c>
      <c r="U99" s="14">
        <f t="shared" si="50"/>
        <v>0</v>
      </c>
      <c r="V99" s="14">
        <f t="shared" si="50"/>
        <v>0</v>
      </c>
      <c r="W99" s="14">
        <f t="shared" si="50"/>
        <v>0</v>
      </c>
      <c r="X99" s="14">
        <f t="shared" si="50"/>
        <v>0</v>
      </c>
      <c r="Y99" s="14">
        <f t="shared" si="50"/>
        <v>0</v>
      </c>
      <c r="Z99" s="14">
        <f t="shared" si="50"/>
        <v>0</v>
      </c>
      <c r="AA99" s="14">
        <f t="shared" si="50"/>
        <v>0</v>
      </c>
      <c r="AB99" s="14">
        <f t="shared" si="50"/>
        <v>0</v>
      </c>
      <c r="AC99" s="14">
        <f t="shared" si="50"/>
        <v>0</v>
      </c>
      <c r="AD99" s="14">
        <f t="shared" si="50"/>
        <v>0</v>
      </c>
      <c r="AE99" s="14">
        <f t="shared" si="50"/>
        <v>0</v>
      </c>
      <c r="AF99" s="14">
        <f t="shared" si="50"/>
        <v>0</v>
      </c>
      <c r="AG99" s="14">
        <f t="shared" si="50"/>
        <v>0</v>
      </c>
      <c r="AH99" s="14">
        <f t="shared" si="50"/>
        <v>0</v>
      </c>
      <c r="AI99" s="14">
        <f t="shared" si="50"/>
        <v>0</v>
      </c>
      <c r="AJ99" s="14">
        <f t="shared" si="50"/>
        <v>0</v>
      </c>
      <c r="AK99" s="14">
        <f t="shared" si="50"/>
        <v>0</v>
      </c>
      <c r="AL99" s="14">
        <f t="shared" si="50"/>
        <v>0</v>
      </c>
    </row>
    <row r="100" spans="1:54" ht="21" hidden="1" customHeight="1" outlineLevel="1" thickBot="1" x14ac:dyDescent="0.4">
      <c r="A100" s="5">
        <f t="shared" si="47"/>
        <v>0</v>
      </c>
      <c r="B100" s="5">
        <f t="shared" si="47"/>
        <v>0</v>
      </c>
      <c r="C100" s="5">
        <f t="shared" si="47"/>
        <v>0</v>
      </c>
      <c r="D100" s="5">
        <f t="shared" si="47"/>
        <v>0</v>
      </c>
      <c r="E100" s="6">
        <f t="shared" si="25"/>
        <v>0</v>
      </c>
      <c r="F100" s="14">
        <f t="shared" ref="F100:AL100" si="51">F24*$C$78</f>
        <v>0</v>
      </c>
      <c r="G100" s="14">
        <f t="shared" si="51"/>
        <v>0</v>
      </c>
      <c r="H100" s="14">
        <f t="shared" si="51"/>
        <v>0</v>
      </c>
      <c r="I100" s="14">
        <f t="shared" si="51"/>
        <v>0</v>
      </c>
      <c r="J100" s="14">
        <f t="shared" si="51"/>
        <v>0</v>
      </c>
      <c r="K100" s="14">
        <f t="shared" si="51"/>
        <v>0</v>
      </c>
      <c r="L100" s="14">
        <f t="shared" si="51"/>
        <v>0</v>
      </c>
      <c r="M100" s="14">
        <f t="shared" si="51"/>
        <v>0</v>
      </c>
      <c r="N100" s="14">
        <f t="shared" si="51"/>
        <v>0</v>
      </c>
      <c r="O100" s="14">
        <f t="shared" si="51"/>
        <v>0</v>
      </c>
      <c r="P100" s="14">
        <f t="shared" si="51"/>
        <v>0</v>
      </c>
      <c r="Q100" s="14">
        <f t="shared" si="51"/>
        <v>0</v>
      </c>
      <c r="R100" s="14">
        <f t="shared" si="51"/>
        <v>0</v>
      </c>
      <c r="S100" s="14">
        <f t="shared" si="51"/>
        <v>0</v>
      </c>
      <c r="T100" s="14">
        <f t="shared" si="51"/>
        <v>0</v>
      </c>
      <c r="U100" s="14">
        <f t="shared" si="51"/>
        <v>0</v>
      </c>
      <c r="V100" s="14">
        <f t="shared" si="51"/>
        <v>0</v>
      </c>
      <c r="W100" s="14">
        <f t="shared" si="51"/>
        <v>0</v>
      </c>
      <c r="X100" s="14">
        <f t="shared" si="51"/>
        <v>0</v>
      </c>
      <c r="Y100" s="14">
        <f t="shared" si="51"/>
        <v>0</v>
      </c>
      <c r="Z100" s="14">
        <f t="shared" si="51"/>
        <v>0</v>
      </c>
      <c r="AA100" s="14">
        <f t="shared" si="51"/>
        <v>0</v>
      </c>
      <c r="AB100" s="14">
        <f t="shared" si="51"/>
        <v>0</v>
      </c>
      <c r="AC100" s="14">
        <f t="shared" si="51"/>
        <v>0</v>
      </c>
      <c r="AD100" s="14">
        <f t="shared" si="51"/>
        <v>0</v>
      </c>
      <c r="AE100" s="14">
        <f t="shared" si="51"/>
        <v>0</v>
      </c>
      <c r="AF100" s="14">
        <f t="shared" si="51"/>
        <v>0</v>
      </c>
      <c r="AG100" s="14">
        <f t="shared" si="51"/>
        <v>0</v>
      </c>
      <c r="AH100" s="14">
        <f t="shared" si="51"/>
        <v>0</v>
      </c>
      <c r="AI100" s="14">
        <f t="shared" si="51"/>
        <v>0</v>
      </c>
      <c r="AJ100" s="14">
        <f t="shared" si="51"/>
        <v>0</v>
      </c>
      <c r="AK100" s="14">
        <f t="shared" si="51"/>
        <v>0</v>
      </c>
      <c r="AL100" s="14">
        <f t="shared" si="51"/>
        <v>0</v>
      </c>
    </row>
    <row r="101" spans="1:54" ht="21" hidden="1" customHeight="1" outlineLevel="1" thickBot="1" x14ac:dyDescent="0.4">
      <c r="A101" s="5">
        <f t="shared" si="47"/>
        <v>0</v>
      </c>
      <c r="B101" s="5">
        <f t="shared" si="47"/>
        <v>0</v>
      </c>
      <c r="C101" s="5">
        <f t="shared" si="47"/>
        <v>0</v>
      </c>
      <c r="D101" s="5">
        <f t="shared" si="47"/>
        <v>0</v>
      </c>
      <c r="E101" s="6">
        <f t="shared" si="25"/>
        <v>0</v>
      </c>
      <c r="F101" s="14">
        <f t="shared" ref="F101:AL101" si="52">F25*$C$78</f>
        <v>0</v>
      </c>
      <c r="G101" s="14">
        <f t="shared" si="52"/>
        <v>0</v>
      </c>
      <c r="H101" s="14">
        <f t="shared" si="52"/>
        <v>0</v>
      </c>
      <c r="I101" s="14">
        <f t="shared" si="52"/>
        <v>0</v>
      </c>
      <c r="J101" s="14">
        <f t="shared" si="52"/>
        <v>0</v>
      </c>
      <c r="K101" s="14">
        <f t="shared" si="52"/>
        <v>0</v>
      </c>
      <c r="L101" s="14">
        <f t="shared" si="52"/>
        <v>0</v>
      </c>
      <c r="M101" s="14">
        <f t="shared" si="52"/>
        <v>0</v>
      </c>
      <c r="N101" s="14">
        <f t="shared" si="52"/>
        <v>0</v>
      </c>
      <c r="O101" s="14">
        <f t="shared" si="52"/>
        <v>0</v>
      </c>
      <c r="P101" s="14">
        <f t="shared" si="52"/>
        <v>0</v>
      </c>
      <c r="Q101" s="14">
        <f t="shared" si="52"/>
        <v>0</v>
      </c>
      <c r="R101" s="14">
        <f t="shared" si="52"/>
        <v>0</v>
      </c>
      <c r="S101" s="14">
        <f t="shared" si="52"/>
        <v>0</v>
      </c>
      <c r="T101" s="14">
        <f t="shared" si="52"/>
        <v>0</v>
      </c>
      <c r="U101" s="14">
        <f t="shared" si="52"/>
        <v>0</v>
      </c>
      <c r="V101" s="14">
        <f t="shared" si="52"/>
        <v>0</v>
      </c>
      <c r="W101" s="14">
        <f t="shared" si="52"/>
        <v>0</v>
      </c>
      <c r="X101" s="14">
        <f t="shared" si="52"/>
        <v>0</v>
      </c>
      <c r="Y101" s="14">
        <f t="shared" si="52"/>
        <v>0</v>
      </c>
      <c r="Z101" s="14">
        <f t="shared" si="52"/>
        <v>0</v>
      </c>
      <c r="AA101" s="14">
        <f t="shared" si="52"/>
        <v>0</v>
      </c>
      <c r="AB101" s="14">
        <f t="shared" si="52"/>
        <v>0</v>
      </c>
      <c r="AC101" s="14">
        <f t="shared" si="52"/>
        <v>0</v>
      </c>
      <c r="AD101" s="14">
        <f t="shared" si="52"/>
        <v>0</v>
      </c>
      <c r="AE101" s="14">
        <f t="shared" si="52"/>
        <v>0</v>
      </c>
      <c r="AF101" s="14">
        <f t="shared" si="52"/>
        <v>0</v>
      </c>
      <c r="AG101" s="14">
        <f t="shared" si="52"/>
        <v>0</v>
      </c>
      <c r="AH101" s="14">
        <f t="shared" si="52"/>
        <v>0</v>
      </c>
      <c r="AI101" s="14">
        <f t="shared" si="52"/>
        <v>0</v>
      </c>
      <c r="AJ101" s="14">
        <f t="shared" si="52"/>
        <v>0</v>
      </c>
      <c r="AK101" s="14">
        <f t="shared" si="52"/>
        <v>0</v>
      </c>
      <c r="AL101" s="14">
        <f t="shared" si="52"/>
        <v>0</v>
      </c>
    </row>
    <row r="102" spans="1:54" ht="21" hidden="1" customHeight="1" outlineLevel="1" thickBot="1" x14ac:dyDescent="0.4">
      <c r="A102" s="5">
        <f t="shared" si="47"/>
        <v>0</v>
      </c>
      <c r="B102" s="5">
        <f t="shared" si="47"/>
        <v>0</v>
      </c>
      <c r="C102" s="5">
        <f t="shared" si="47"/>
        <v>0</v>
      </c>
      <c r="D102" s="5">
        <f t="shared" si="47"/>
        <v>0</v>
      </c>
      <c r="E102" s="6">
        <f t="shared" si="25"/>
        <v>0</v>
      </c>
      <c r="F102" s="14">
        <f t="shared" ref="F102:AL102" si="53">F26*$C$78</f>
        <v>0</v>
      </c>
      <c r="G102" s="14">
        <f t="shared" si="53"/>
        <v>0</v>
      </c>
      <c r="H102" s="14">
        <f t="shared" si="53"/>
        <v>0</v>
      </c>
      <c r="I102" s="14">
        <f t="shared" si="53"/>
        <v>0</v>
      </c>
      <c r="J102" s="14">
        <f t="shared" si="53"/>
        <v>0</v>
      </c>
      <c r="K102" s="14">
        <f t="shared" si="53"/>
        <v>0</v>
      </c>
      <c r="L102" s="14">
        <f t="shared" si="53"/>
        <v>0</v>
      </c>
      <c r="M102" s="14">
        <f t="shared" si="53"/>
        <v>0</v>
      </c>
      <c r="N102" s="14">
        <f t="shared" si="53"/>
        <v>0</v>
      </c>
      <c r="O102" s="14">
        <f t="shared" si="53"/>
        <v>0</v>
      </c>
      <c r="P102" s="14">
        <f t="shared" si="53"/>
        <v>0</v>
      </c>
      <c r="Q102" s="14">
        <f t="shared" si="53"/>
        <v>0</v>
      </c>
      <c r="R102" s="14">
        <f t="shared" si="53"/>
        <v>0</v>
      </c>
      <c r="S102" s="14">
        <f t="shared" si="53"/>
        <v>0</v>
      </c>
      <c r="T102" s="14">
        <f t="shared" si="53"/>
        <v>0</v>
      </c>
      <c r="U102" s="14">
        <f t="shared" si="53"/>
        <v>0</v>
      </c>
      <c r="V102" s="14">
        <f t="shared" si="53"/>
        <v>0</v>
      </c>
      <c r="W102" s="14">
        <f t="shared" si="53"/>
        <v>0</v>
      </c>
      <c r="X102" s="14">
        <f t="shared" si="53"/>
        <v>0</v>
      </c>
      <c r="Y102" s="14">
        <f t="shared" si="53"/>
        <v>0</v>
      </c>
      <c r="Z102" s="14">
        <f t="shared" si="53"/>
        <v>0</v>
      </c>
      <c r="AA102" s="14">
        <f t="shared" si="53"/>
        <v>0</v>
      </c>
      <c r="AB102" s="14">
        <f t="shared" si="53"/>
        <v>0</v>
      </c>
      <c r="AC102" s="14">
        <f t="shared" si="53"/>
        <v>0</v>
      </c>
      <c r="AD102" s="14">
        <f t="shared" si="53"/>
        <v>0</v>
      </c>
      <c r="AE102" s="14">
        <f t="shared" si="53"/>
        <v>0</v>
      </c>
      <c r="AF102" s="14">
        <f t="shared" si="53"/>
        <v>0</v>
      </c>
      <c r="AG102" s="14">
        <f t="shared" si="53"/>
        <v>0</v>
      </c>
      <c r="AH102" s="14">
        <f t="shared" si="53"/>
        <v>0</v>
      </c>
      <c r="AI102" s="14">
        <f t="shared" si="53"/>
        <v>0</v>
      </c>
      <c r="AJ102" s="14">
        <f t="shared" si="53"/>
        <v>0</v>
      </c>
      <c r="AK102" s="14">
        <f t="shared" si="53"/>
        <v>0</v>
      </c>
      <c r="AL102" s="14">
        <f t="shared" si="53"/>
        <v>0</v>
      </c>
    </row>
    <row r="103" spans="1:54" ht="21" hidden="1" customHeight="1" outlineLevel="1" thickBot="1" x14ac:dyDescent="0.4">
      <c r="A103" s="5">
        <f t="shared" si="47"/>
        <v>0</v>
      </c>
      <c r="B103" s="5">
        <f t="shared" si="47"/>
        <v>0</v>
      </c>
      <c r="C103" s="5">
        <f t="shared" si="47"/>
        <v>0</v>
      </c>
      <c r="D103" s="5">
        <f t="shared" si="47"/>
        <v>0</v>
      </c>
      <c r="E103" s="6">
        <f t="shared" si="25"/>
        <v>0</v>
      </c>
      <c r="F103" s="14">
        <f t="shared" ref="F103:AL103" si="54">F27*$C$78</f>
        <v>0</v>
      </c>
      <c r="G103" s="14">
        <f t="shared" si="54"/>
        <v>0</v>
      </c>
      <c r="H103" s="14">
        <f t="shared" si="54"/>
        <v>0</v>
      </c>
      <c r="I103" s="14">
        <f t="shared" si="54"/>
        <v>0</v>
      </c>
      <c r="J103" s="14">
        <f t="shared" si="54"/>
        <v>0</v>
      </c>
      <c r="K103" s="14">
        <f t="shared" si="54"/>
        <v>0</v>
      </c>
      <c r="L103" s="14">
        <f t="shared" si="54"/>
        <v>0</v>
      </c>
      <c r="M103" s="14">
        <f t="shared" si="54"/>
        <v>0</v>
      </c>
      <c r="N103" s="14">
        <f t="shared" si="54"/>
        <v>0</v>
      </c>
      <c r="O103" s="14">
        <f t="shared" si="54"/>
        <v>0</v>
      </c>
      <c r="P103" s="14">
        <f t="shared" si="54"/>
        <v>0</v>
      </c>
      <c r="Q103" s="14">
        <f t="shared" si="54"/>
        <v>0</v>
      </c>
      <c r="R103" s="14">
        <f t="shared" si="54"/>
        <v>0</v>
      </c>
      <c r="S103" s="14">
        <f t="shared" si="54"/>
        <v>0</v>
      </c>
      <c r="T103" s="14">
        <f t="shared" si="54"/>
        <v>0</v>
      </c>
      <c r="U103" s="14">
        <f t="shared" si="54"/>
        <v>0</v>
      </c>
      <c r="V103" s="14">
        <f t="shared" si="54"/>
        <v>0</v>
      </c>
      <c r="W103" s="14">
        <f t="shared" si="54"/>
        <v>0</v>
      </c>
      <c r="X103" s="14">
        <f t="shared" si="54"/>
        <v>0</v>
      </c>
      <c r="Y103" s="14">
        <f t="shared" si="54"/>
        <v>0</v>
      </c>
      <c r="Z103" s="14">
        <f t="shared" si="54"/>
        <v>0</v>
      </c>
      <c r="AA103" s="14">
        <f t="shared" si="54"/>
        <v>0</v>
      </c>
      <c r="AB103" s="14">
        <f t="shared" si="54"/>
        <v>0</v>
      </c>
      <c r="AC103" s="14">
        <f t="shared" si="54"/>
        <v>0</v>
      </c>
      <c r="AD103" s="14">
        <f t="shared" si="54"/>
        <v>0</v>
      </c>
      <c r="AE103" s="14">
        <f t="shared" si="54"/>
        <v>0</v>
      </c>
      <c r="AF103" s="14">
        <f t="shared" si="54"/>
        <v>0</v>
      </c>
      <c r="AG103" s="14">
        <f t="shared" si="54"/>
        <v>0</v>
      </c>
      <c r="AH103" s="14">
        <f t="shared" si="54"/>
        <v>0</v>
      </c>
      <c r="AI103" s="14">
        <f t="shared" si="54"/>
        <v>0</v>
      </c>
      <c r="AJ103" s="14">
        <f t="shared" si="54"/>
        <v>0</v>
      </c>
      <c r="AK103" s="14">
        <f t="shared" si="54"/>
        <v>0</v>
      </c>
      <c r="AL103" s="14">
        <f t="shared" si="54"/>
        <v>0</v>
      </c>
    </row>
    <row r="104" spans="1:54" ht="21" hidden="1" customHeight="1" outlineLevel="1" thickBot="1" x14ac:dyDescent="0.4">
      <c r="A104" s="5">
        <f t="shared" si="47"/>
        <v>0</v>
      </c>
      <c r="B104" s="5">
        <f t="shared" si="47"/>
        <v>0</v>
      </c>
      <c r="C104" s="5">
        <f t="shared" si="47"/>
        <v>0</v>
      </c>
      <c r="D104" s="5">
        <f t="shared" si="47"/>
        <v>0</v>
      </c>
      <c r="E104" s="6">
        <f t="shared" si="25"/>
        <v>0</v>
      </c>
      <c r="F104" s="14">
        <f t="shared" ref="F104:AL104" si="55">F28*$C$78</f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4">
        <f t="shared" si="55"/>
        <v>0</v>
      </c>
      <c r="L104" s="14">
        <f t="shared" si="55"/>
        <v>0</v>
      </c>
      <c r="M104" s="14">
        <f t="shared" si="55"/>
        <v>0</v>
      </c>
      <c r="N104" s="14">
        <f t="shared" si="55"/>
        <v>0</v>
      </c>
      <c r="O104" s="14">
        <f t="shared" si="55"/>
        <v>0</v>
      </c>
      <c r="P104" s="14">
        <f t="shared" si="55"/>
        <v>0</v>
      </c>
      <c r="Q104" s="14">
        <f t="shared" si="55"/>
        <v>0</v>
      </c>
      <c r="R104" s="14">
        <f t="shared" si="55"/>
        <v>0</v>
      </c>
      <c r="S104" s="14">
        <f t="shared" si="55"/>
        <v>0</v>
      </c>
      <c r="T104" s="14">
        <f t="shared" si="55"/>
        <v>0</v>
      </c>
      <c r="U104" s="14">
        <f t="shared" si="55"/>
        <v>0</v>
      </c>
      <c r="V104" s="14">
        <f t="shared" si="55"/>
        <v>0</v>
      </c>
      <c r="W104" s="14">
        <f t="shared" si="55"/>
        <v>0</v>
      </c>
      <c r="X104" s="14">
        <f t="shared" si="55"/>
        <v>0</v>
      </c>
      <c r="Y104" s="14">
        <f t="shared" si="55"/>
        <v>0</v>
      </c>
      <c r="Z104" s="14">
        <f t="shared" si="55"/>
        <v>0</v>
      </c>
      <c r="AA104" s="14">
        <f t="shared" si="55"/>
        <v>0</v>
      </c>
      <c r="AB104" s="14">
        <f t="shared" si="55"/>
        <v>0</v>
      </c>
      <c r="AC104" s="14">
        <f t="shared" si="55"/>
        <v>0</v>
      </c>
      <c r="AD104" s="14">
        <f t="shared" si="55"/>
        <v>0</v>
      </c>
      <c r="AE104" s="14">
        <f t="shared" si="55"/>
        <v>0</v>
      </c>
      <c r="AF104" s="14">
        <f t="shared" si="55"/>
        <v>0</v>
      </c>
      <c r="AG104" s="14">
        <f t="shared" si="55"/>
        <v>0</v>
      </c>
      <c r="AH104" s="14">
        <f t="shared" si="55"/>
        <v>0</v>
      </c>
      <c r="AI104" s="14">
        <f t="shared" si="55"/>
        <v>0</v>
      </c>
      <c r="AJ104" s="14">
        <f t="shared" si="55"/>
        <v>0</v>
      </c>
      <c r="AK104" s="14">
        <f t="shared" si="55"/>
        <v>0</v>
      </c>
      <c r="AL104" s="14">
        <f t="shared" si="55"/>
        <v>0</v>
      </c>
    </row>
    <row r="105" spans="1:54" ht="21" hidden="1" customHeight="1" outlineLevel="1" thickBot="1" x14ac:dyDescent="0.4">
      <c r="A105" s="5">
        <f t="shared" si="47"/>
        <v>0</v>
      </c>
      <c r="B105" s="5">
        <f t="shared" si="47"/>
        <v>0</v>
      </c>
      <c r="C105" s="5">
        <f t="shared" si="47"/>
        <v>0</v>
      </c>
      <c r="D105" s="5">
        <f t="shared" si="47"/>
        <v>0</v>
      </c>
      <c r="E105" s="6">
        <f t="shared" si="25"/>
        <v>0</v>
      </c>
      <c r="F105" s="14">
        <f t="shared" ref="F105:AL105" si="56">F29*$C$78</f>
        <v>0</v>
      </c>
      <c r="G105" s="14">
        <f t="shared" si="56"/>
        <v>0</v>
      </c>
      <c r="H105" s="14">
        <f t="shared" si="56"/>
        <v>0</v>
      </c>
      <c r="I105" s="14">
        <f t="shared" si="56"/>
        <v>0</v>
      </c>
      <c r="J105" s="14">
        <f t="shared" si="56"/>
        <v>0</v>
      </c>
      <c r="K105" s="14">
        <f t="shared" si="56"/>
        <v>0</v>
      </c>
      <c r="L105" s="14">
        <f t="shared" si="56"/>
        <v>0</v>
      </c>
      <c r="M105" s="14">
        <f t="shared" si="56"/>
        <v>0</v>
      </c>
      <c r="N105" s="14">
        <f t="shared" si="56"/>
        <v>0</v>
      </c>
      <c r="O105" s="14">
        <f t="shared" si="56"/>
        <v>0</v>
      </c>
      <c r="P105" s="14">
        <f t="shared" si="56"/>
        <v>0</v>
      </c>
      <c r="Q105" s="14">
        <f t="shared" si="56"/>
        <v>0</v>
      </c>
      <c r="R105" s="14">
        <f t="shared" si="56"/>
        <v>0</v>
      </c>
      <c r="S105" s="14">
        <f t="shared" si="56"/>
        <v>0</v>
      </c>
      <c r="T105" s="14">
        <f t="shared" si="56"/>
        <v>0</v>
      </c>
      <c r="U105" s="14">
        <f t="shared" si="56"/>
        <v>0</v>
      </c>
      <c r="V105" s="14">
        <f t="shared" si="56"/>
        <v>0</v>
      </c>
      <c r="W105" s="14">
        <f t="shared" si="56"/>
        <v>0</v>
      </c>
      <c r="X105" s="14">
        <f t="shared" si="56"/>
        <v>0</v>
      </c>
      <c r="Y105" s="14">
        <f t="shared" si="56"/>
        <v>0</v>
      </c>
      <c r="Z105" s="14">
        <f t="shared" si="56"/>
        <v>0</v>
      </c>
      <c r="AA105" s="14">
        <f t="shared" si="56"/>
        <v>0</v>
      </c>
      <c r="AB105" s="14">
        <f t="shared" si="56"/>
        <v>0</v>
      </c>
      <c r="AC105" s="14">
        <f t="shared" si="56"/>
        <v>0</v>
      </c>
      <c r="AD105" s="14">
        <f t="shared" si="56"/>
        <v>0</v>
      </c>
      <c r="AE105" s="14">
        <f t="shared" si="56"/>
        <v>0</v>
      </c>
      <c r="AF105" s="14">
        <f t="shared" si="56"/>
        <v>0</v>
      </c>
      <c r="AG105" s="14">
        <f t="shared" si="56"/>
        <v>0</v>
      </c>
      <c r="AH105" s="14">
        <f t="shared" si="56"/>
        <v>0</v>
      </c>
      <c r="AI105" s="14">
        <f t="shared" si="56"/>
        <v>0</v>
      </c>
      <c r="AJ105" s="14">
        <f t="shared" si="56"/>
        <v>0</v>
      </c>
      <c r="AK105" s="14">
        <f t="shared" si="56"/>
        <v>0</v>
      </c>
      <c r="AL105" s="14">
        <f t="shared" si="56"/>
        <v>0</v>
      </c>
    </row>
    <row r="106" spans="1:54" ht="21" hidden="1" customHeight="1" outlineLevel="1" thickBot="1" x14ac:dyDescent="0.4">
      <c r="A106" s="5">
        <f t="shared" si="47"/>
        <v>0</v>
      </c>
      <c r="B106" s="5">
        <f t="shared" si="47"/>
        <v>0</v>
      </c>
      <c r="C106" s="5">
        <f t="shared" si="47"/>
        <v>0</v>
      </c>
      <c r="D106" s="5">
        <f t="shared" si="47"/>
        <v>0</v>
      </c>
      <c r="E106" s="6">
        <f t="shared" si="25"/>
        <v>0</v>
      </c>
      <c r="F106" s="14">
        <f t="shared" ref="F106:AL106" si="57">F30*$C$78</f>
        <v>0</v>
      </c>
      <c r="G106" s="14">
        <f t="shared" si="57"/>
        <v>0</v>
      </c>
      <c r="H106" s="14">
        <f t="shared" si="57"/>
        <v>0</v>
      </c>
      <c r="I106" s="14">
        <f t="shared" si="57"/>
        <v>0</v>
      </c>
      <c r="J106" s="14">
        <f t="shared" si="57"/>
        <v>0</v>
      </c>
      <c r="K106" s="14">
        <f t="shared" si="57"/>
        <v>0</v>
      </c>
      <c r="L106" s="14">
        <f t="shared" si="57"/>
        <v>0</v>
      </c>
      <c r="M106" s="14">
        <f t="shared" si="57"/>
        <v>0</v>
      </c>
      <c r="N106" s="14">
        <f t="shared" si="57"/>
        <v>0</v>
      </c>
      <c r="O106" s="14">
        <f t="shared" si="57"/>
        <v>0</v>
      </c>
      <c r="P106" s="14">
        <f t="shared" si="57"/>
        <v>0</v>
      </c>
      <c r="Q106" s="14">
        <f t="shared" si="57"/>
        <v>0</v>
      </c>
      <c r="R106" s="14">
        <f t="shared" si="57"/>
        <v>0</v>
      </c>
      <c r="S106" s="14">
        <f t="shared" si="57"/>
        <v>0</v>
      </c>
      <c r="T106" s="14">
        <f t="shared" si="57"/>
        <v>0</v>
      </c>
      <c r="U106" s="14">
        <f t="shared" si="57"/>
        <v>0</v>
      </c>
      <c r="V106" s="14">
        <f t="shared" si="57"/>
        <v>0</v>
      </c>
      <c r="W106" s="14">
        <f t="shared" si="57"/>
        <v>0</v>
      </c>
      <c r="X106" s="14">
        <f t="shared" si="57"/>
        <v>0</v>
      </c>
      <c r="Y106" s="14">
        <f t="shared" si="57"/>
        <v>0</v>
      </c>
      <c r="Z106" s="14">
        <f t="shared" si="57"/>
        <v>0</v>
      </c>
      <c r="AA106" s="14">
        <f t="shared" si="57"/>
        <v>0</v>
      </c>
      <c r="AB106" s="14">
        <f t="shared" si="57"/>
        <v>0</v>
      </c>
      <c r="AC106" s="14">
        <f t="shared" si="57"/>
        <v>0</v>
      </c>
      <c r="AD106" s="14">
        <f t="shared" si="57"/>
        <v>0</v>
      </c>
      <c r="AE106" s="14">
        <f t="shared" si="57"/>
        <v>0</v>
      </c>
      <c r="AF106" s="14">
        <f t="shared" si="57"/>
        <v>0</v>
      </c>
      <c r="AG106" s="14">
        <f t="shared" si="57"/>
        <v>0</v>
      </c>
      <c r="AH106" s="14">
        <f t="shared" si="57"/>
        <v>0</v>
      </c>
      <c r="AI106" s="14">
        <f t="shared" si="57"/>
        <v>0</v>
      </c>
      <c r="AJ106" s="14">
        <f t="shared" si="57"/>
        <v>0</v>
      </c>
      <c r="AK106" s="14">
        <f t="shared" si="57"/>
        <v>0</v>
      </c>
      <c r="AL106" s="14">
        <f t="shared" si="57"/>
        <v>0</v>
      </c>
    </row>
    <row r="107" spans="1:54" ht="21" hidden="1" customHeight="1" outlineLevel="1" thickBot="1" x14ac:dyDescent="0.4">
      <c r="A107" s="5">
        <f t="shared" si="47"/>
        <v>0</v>
      </c>
      <c r="B107" s="5">
        <f t="shared" si="47"/>
        <v>0</v>
      </c>
      <c r="C107" s="5">
        <f t="shared" si="47"/>
        <v>0</v>
      </c>
      <c r="D107" s="5">
        <f t="shared" si="47"/>
        <v>0</v>
      </c>
      <c r="E107" s="6">
        <f t="shared" si="25"/>
        <v>0</v>
      </c>
      <c r="F107" s="14">
        <f t="shared" ref="F107:AL107" si="58">F31*$C$78</f>
        <v>0</v>
      </c>
      <c r="G107" s="14">
        <f t="shared" si="58"/>
        <v>0</v>
      </c>
      <c r="H107" s="14">
        <f t="shared" si="58"/>
        <v>0</v>
      </c>
      <c r="I107" s="14">
        <f t="shared" si="58"/>
        <v>0</v>
      </c>
      <c r="J107" s="14">
        <f t="shared" si="58"/>
        <v>0</v>
      </c>
      <c r="K107" s="14">
        <f t="shared" si="58"/>
        <v>0</v>
      </c>
      <c r="L107" s="14">
        <f t="shared" si="58"/>
        <v>0</v>
      </c>
      <c r="M107" s="14">
        <f t="shared" si="58"/>
        <v>0</v>
      </c>
      <c r="N107" s="14">
        <f t="shared" si="58"/>
        <v>0</v>
      </c>
      <c r="O107" s="14">
        <f t="shared" si="58"/>
        <v>0</v>
      </c>
      <c r="P107" s="14">
        <f t="shared" si="58"/>
        <v>0</v>
      </c>
      <c r="Q107" s="14">
        <f t="shared" si="58"/>
        <v>0</v>
      </c>
      <c r="R107" s="14">
        <f t="shared" si="58"/>
        <v>0</v>
      </c>
      <c r="S107" s="14">
        <f t="shared" si="58"/>
        <v>0</v>
      </c>
      <c r="T107" s="14">
        <f t="shared" si="58"/>
        <v>0</v>
      </c>
      <c r="U107" s="14">
        <f t="shared" si="58"/>
        <v>0</v>
      </c>
      <c r="V107" s="14">
        <f t="shared" si="58"/>
        <v>0</v>
      </c>
      <c r="W107" s="14">
        <f t="shared" si="58"/>
        <v>0</v>
      </c>
      <c r="X107" s="14">
        <f t="shared" si="58"/>
        <v>0</v>
      </c>
      <c r="Y107" s="14">
        <f t="shared" si="58"/>
        <v>0</v>
      </c>
      <c r="Z107" s="14">
        <f t="shared" si="58"/>
        <v>0</v>
      </c>
      <c r="AA107" s="14">
        <f t="shared" si="58"/>
        <v>0</v>
      </c>
      <c r="AB107" s="14">
        <f t="shared" si="58"/>
        <v>0</v>
      </c>
      <c r="AC107" s="14">
        <f t="shared" si="58"/>
        <v>0</v>
      </c>
      <c r="AD107" s="14">
        <f t="shared" si="58"/>
        <v>0</v>
      </c>
      <c r="AE107" s="14">
        <f t="shared" si="58"/>
        <v>0</v>
      </c>
      <c r="AF107" s="14">
        <f t="shared" si="58"/>
        <v>0</v>
      </c>
      <c r="AG107" s="14">
        <f t="shared" si="58"/>
        <v>0</v>
      </c>
      <c r="AH107" s="14">
        <f t="shared" si="58"/>
        <v>0</v>
      </c>
      <c r="AI107" s="14">
        <f t="shared" si="58"/>
        <v>0</v>
      </c>
      <c r="AJ107" s="14">
        <f t="shared" si="58"/>
        <v>0</v>
      </c>
      <c r="AK107" s="14">
        <f t="shared" si="58"/>
        <v>0</v>
      </c>
      <c r="AL107" s="14">
        <f t="shared" si="58"/>
        <v>0</v>
      </c>
    </row>
    <row r="108" spans="1:54" ht="21" hidden="1" customHeight="1" outlineLevel="1" thickBot="1" x14ac:dyDescent="0.4">
      <c r="A108" s="5">
        <f t="shared" si="47"/>
        <v>0</v>
      </c>
      <c r="B108" s="5">
        <f t="shared" si="47"/>
        <v>0</v>
      </c>
      <c r="C108" s="5">
        <f t="shared" si="47"/>
        <v>0</v>
      </c>
      <c r="D108" s="5">
        <f t="shared" si="47"/>
        <v>0</v>
      </c>
      <c r="E108" s="6">
        <f t="shared" si="25"/>
        <v>0</v>
      </c>
      <c r="F108" s="14">
        <f t="shared" ref="F108:AL108" si="59">F32*$C$78</f>
        <v>0</v>
      </c>
      <c r="G108" s="14">
        <f t="shared" si="59"/>
        <v>0</v>
      </c>
      <c r="H108" s="14">
        <f t="shared" si="59"/>
        <v>0</v>
      </c>
      <c r="I108" s="14">
        <f t="shared" si="59"/>
        <v>0</v>
      </c>
      <c r="J108" s="14">
        <f t="shared" si="59"/>
        <v>0</v>
      </c>
      <c r="K108" s="14">
        <f t="shared" si="59"/>
        <v>0</v>
      </c>
      <c r="L108" s="14">
        <f t="shared" si="59"/>
        <v>0</v>
      </c>
      <c r="M108" s="14">
        <f t="shared" si="59"/>
        <v>0</v>
      </c>
      <c r="N108" s="14">
        <f t="shared" si="59"/>
        <v>0</v>
      </c>
      <c r="O108" s="14">
        <f t="shared" si="59"/>
        <v>0</v>
      </c>
      <c r="P108" s="14">
        <f t="shared" si="59"/>
        <v>0</v>
      </c>
      <c r="Q108" s="14">
        <f t="shared" si="59"/>
        <v>0</v>
      </c>
      <c r="R108" s="14">
        <f t="shared" si="59"/>
        <v>0</v>
      </c>
      <c r="S108" s="14">
        <f t="shared" si="59"/>
        <v>0</v>
      </c>
      <c r="T108" s="14">
        <f t="shared" si="59"/>
        <v>0</v>
      </c>
      <c r="U108" s="14">
        <f t="shared" si="59"/>
        <v>0</v>
      </c>
      <c r="V108" s="14">
        <f t="shared" si="59"/>
        <v>0</v>
      </c>
      <c r="W108" s="14">
        <f t="shared" si="59"/>
        <v>0</v>
      </c>
      <c r="X108" s="14">
        <f t="shared" si="59"/>
        <v>0</v>
      </c>
      <c r="Y108" s="14">
        <f t="shared" si="59"/>
        <v>0</v>
      </c>
      <c r="Z108" s="14">
        <f t="shared" si="59"/>
        <v>0</v>
      </c>
      <c r="AA108" s="14">
        <f t="shared" si="59"/>
        <v>0</v>
      </c>
      <c r="AB108" s="14">
        <f t="shared" si="59"/>
        <v>0</v>
      </c>
      <c r="AC108" s="14">
        <f t="shared" si="59"/>
        <v>0</v>
      </c>
      <c r="AD108" s="14">
        <f t="shared" si="59"/>
        <v>0</v>
      </c>
      <c r="AE108" s="14">
        <f t="shared" si="59"/>
        <v>0</v>
      </c>
      <c r="AF108" s="14">
        <f t="shared" si="59"/>
        <v>0</v>
      </c>
      <c r="AG108" s="14">
        <f t="shared" si="59"/>
        <v>0</v>
      </c>
      <c r="AH108" s="14">
        <f t="shared" si="59"/>
        <v>0</v>
      </c>
      <c r="AI108" s="14">
        <f t="shared" si="59"/>
        <v>0</v>
      </c>
      <c r="AJ108" s="14">
        <f t="shared" si="59"/>
        <v>0</v>
      </c>
      <c r="AK108" s="14">
        <f t="shared" si="59"/>
        <v>0</v>
      </c>
      <c r="AL108" s="14">
        <f t="shared" si="59"/>
        <v>0</v>
      </c>
    </row>
    <row r="109" spans="1:54" ht="21" hidden="1" customHeight="1" outlineLevel="1" thickBot="1" x14ac:dyDescent="0.4">
      <c r="A109" s="5">
        <f t="shared" si="47"/>
        <v>0</v>
      </c>
      <c r="B109" s="5">
        <f t="shared" si="47"/>
        <v>0</v>
      </c>
      <c r="C109" s="5">
        <f t="shared" si="47"/>
        <v>0</v>
      </c>
      <c r="D109" s="5">
        <f t="shared" si="47"/>
        <v>0</v>
      </c>
      <c r="E109" s="6">
        <f t="shared" si="25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2"/>
      <c r="B112" s="72"/>
      <c r="C112" s="72"/>
      <c r="D112" s="72"/>
      <c r="E112" s="71" t="s">
        <v>23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8" t="s">
        <v>10</v>
      </c>
      <c r="B113" s="189"/>
      <c r="C113" s="23" t="s">
        <v>11</v>
      </c>
      <c r="D113" s="15" t="s">
        <v>12</v>
      </c>
      <c r="E113" s="15"/>
      <c r="F113" s="4">
        <f>F3</f>
        <v>273.10000000000002</v>
      </c>
      <c r="G113" s="4">
        <f t="shared" ref="G113:AL113" si="60">G3</f>
        <v>339.2</v>
      </c>
      <c r="H113" s="4">
        <f t="shared" si="60"/>
        <v>405.3</v>
      </c>
      <c r="I113" s="4">
        <f t="shared" si="60"/>
        <v>471.4</v>
      </c>
      <c r="J113" s="4">
        <f t="shared" si="60"/>
        <v>537.5</v>
      </c>
      <c r="K113" s="4">
        <f t="shared" si="60"/>
        <v>603.5</v>
      </c>
      <c r="L113" s="4">
        <f t="shared" si="60"/>
        <v>669.6</v>
      </c>
      <c r="M113" s="4">
        <f t="shared" si="60"/>
        <v>735.7</v>
      </c>
      <c r="N113" s="4">
        <f t="shared" si="60"/>
        <v>801.8</v>
      </c>
      <c r="O113" s="4">
        <f t="shared" si="60"/>
        <v>867.8</v>
      </c>
      <c r="P113" s="4">
        <f t="shared" si="60"/>
        <v>933.9</v>
      </c>
      <c r="Q113" s="4">
        <f t="shared" si="60"/>
        <v>1000</v>
      </c>
      <c r="R113" s="4">
        <f t="shared" si="60"/>
        <v>0</v>
      </c>
      <c r="S113" s="4">
        <f t="shared" si="60"/>
        <v>0</v>
      </c>
      <c r="T113" s="4">
        <f t="shared" si="60"/>
        <v>0</v>
      </c>
      <c r="U113" s="4">
        <f t="shared" si="60"/>
        <v>0</v>
      </c>
      <c r="V113" s="4">
        <f t="shared" si="60"/>
        <v>0</v>
      </c>
      <c r="W113" s="4">
        <f t="shared" si="60"/>
        <v>0</v>
      </c>
      <c r="X113" s="4">
        <f t="shared" si="60"/>
        <v>0</v>
      </c>
      <c r="Y113" s="4">
        <f t="shared" si="60"/>
        <v>0</v>
      </c>
      <c r="Z113" s="4">
        <f t="shared" si="60"/>
        <v>0</v>
      </c>
      <c r="AA113" s="4">
        <f t="shared" si="60"/>
        <v>0</v>
      </c>
      <c r="AB113" s="4">
        <f t="shared" si="60"/>
        <v>0</v>
      </c>
      <c r="AC113" s="4">
        <f t="shared" si="60"/>
        <v>0</v>
      </c>
      <c r="AD113" s="4">
        <f t="shared" si="60"/>
        <v>0</v>
      </c>
      <c r="AE113" s="4">
        <f t="shared" si="60"/>
        <v>0</v>
      </c>
      <c r="AF113" s="4">
        <f t="shared" si="60"/>
        <v>0</v>
      </c>
      <c r="AG113" s="4">
        <f t="shared" si="60"/>
        <v>0</v>
      </c>
      <c r="AH113" s="4">
        <f t="shared" si="60"/>
        <v>0</v>
      </c>
      <c r="AI113" s="4">
        <f t="shared" si="60"/>
        <v>0</v>
      </c>
      <c r="AJ113" s="4">
        <f t="shared" si="60"/>
        <v>0</v>
      </c>
      <c r="AK113" s="4">
        <f t="shared" si="60"/>
        <v>0</v>
      </c>
      <c r="AL113" s="4">
        <f t="shared" si="60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MIN(MIN(F114:AL116),MIN(F41:AL41))</f>
        <v>-1529.0762285460314</v>
      </c>
      <c r="C114" s="24">
        <f>COUNTA(E114:E121)+1</f>
        <v>4</v>
      </c>
      <c r="E114" s="17" t="s">
        <v>13</v>
      </c>
      <c r="F114" s="52">
        <f ca="1">F$113*$B$2*SUMPRODUCT(F$91:F$93,F$57:F$59)/1000</f>
        <v>-206.29899402735006</v>
      </c>
      <c r="G114" s="52">
        <f t="shared" ref="G114:AL114" ca="1" si="61">G$113*$B$2*SUMPRODUCT(G$91:G$93,G$57:G$59)/1000</f>
        <v>-286.48105959359998</v>
      </c>
      <c r="H114" s="52">
        <f t="shared" ca="1" si="61"/>
        <v>-375.63996342121601</v>
      </c>
      <c r="I114" s="52">
        <f t="shared" ca="1" si="61"/>
        <v>-471.09991454664413</v>
      </c>
      <c r="J114" s="52">
        <f t="shared" ca="1" si="61"/>
        <v>-561.86282418910787</v>
      </c>
      <c r="K114" s="52">
        <f t="shared" ca="1" si="61"/>
        <v>-598.60449283738967</v>
      </c>
      <c r="L114" s="52">
        <f t="shared" ca="1" si="61"/>
        <v>-538.12329083846294</v>
      </c>
      <c r="M114" s="52">
        <f t="shared" ca="1" si="61"/>
        <v>-497.38080374523366</v>
      </c>
      <c r="N114" s="52">
        <f t="shared" ca="1" si="61"/>
        <v>-461.93123099559637</v>
      </c>
      <c r="O114" s="52">
        <f t="shared" ca="1" si="61"/>
        <v>-361.2236984799095</v>
      </c>
      <c r="P114" s="52">
        <f t="shared" ca="1" si="61"/>
        <v>-226.38493400034997</v>
      </c>
      <c r="Q114" s="52">
        <f t="shared" ca="1" si="61"/>
        <v>-149.89799962593753</v>
      </c>
      <c r="R114" s="52">
        <f t="shared" ca="1" si="61"/>
        <v>0</v>
      </c>
      <c r="S114" s="52">
        <f t="shared" ca="1" si="61"/>
        <v>0</v>
      </c>
      <c r="T114" s="52">
        <f t="shared" ca="1" si="61"/>
        <v>0</v>
      </c>
      <c r="U114" s="52">
        <f t="shared" ca="1" si="61"/>
        <v>0</v>
      </c>
      <c r="V114" s="52">
        <f t="shared" ca="1" si="61"/>
        <v>0</v>
      </c>
      <c r="W114" s="52">
        <f t="shared" ca="1" si="61"/>
        <v>0</v>
      </c>
      <c r="X114" s="52">
        <f t="shared" ca="1" si="61"/>
        <v>0</v>
      </c>
      <c r="Y114" s="52">
        <f t="shared" ca="1" si="61"/>
        <v>0</v>
      </c>
      <c r="Z114" s="52">
        <f t="shared" ca="1" si="61"/>
        <v>0</v>
      </c>
      <c r="AA114" s="52">
        <f t="shared" ca="1" si="61"/>
        <v>0</v>
      </c>
      <c r="AB114" s="52">
        <f t="shared" ca="1" si="61"/>
        <v>0</v>
      </c>
      <c r="AC114" s="52">
        <f t="shared" ca="1" si="61"/>
        <v>0</v>
      </c>
      <c r="AD114" s="52">
        <f t="shared" ca="1" si="61"/>
        <v>0</v>
      </c>
      <c r="AE114" s="52">
        <f t="shared" ca="1" si="61"/>
        <v>0</v>
      </c>
      <c r="AF114" s="52">
        <f t="shared" ca="1" si="61"/>
        <v>0</v>
      </c>
      <c r="AG114" s="52">
        <f t="shared" ca="1" si="61"/>
        <v>0</v>
      </c>
      <c r="AH114" s="52">
        <f t="shared" ca="1" si="61"/>
        <v>0</v>
      </c>
      <c r="AI114" s="52">
        <f t="shared" ca="1" si="61"/>
        <v>0</v>
      </c>
      <c r="AJ114" s="52">
        <f t="shared" ca="1" si="61"/>
        <v>0</v>
      </c>
      <c r="AK114" s="52">
        <f t="shared" ca="1" si="61"/>
        <v>0</v>
      </c>
      <c r="AL114" s="52">
        <f t="shared" ca="1" si="61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MAX(MAX(F114:AL116),MAX(F41:AL41))</f>
        <v>0</v>
      </c>
      <c r="C115" s="25">
        <f xml:space="preserve"> COUNTIF(F113:AL113,"&lt;&gt;"&amp;0)</f>
        <v>12</v>
      </c>
      <c r="E115" s="17" t="s">
        <v>14</v>
      </c>
      <c r="F115" s="14">
        <f ca="1">F$113*$B$2*SUMPRODUCT(F$81:F$89,F$47:F$55)/1000</f>
        <v>-2.2447376935579382E-7</v>
      </c>
      <c r="G115" s="14">
        <f t="shared" ref="G115:AL115" ca="1" si="62">G$113*$B$2*SUMPRODUCT(G$81:G$89,G$47:G$55)/1000</f>
        <v>-3.1216551587006676E-4</v>
      </c>
      <c r="H115" s="14">
        <f t="shared" ca="1" si="62"/>
        <v>-3.6877413821002333E-2</v>
      </c>
      <c r="I115" s="14">
        <f t="shared" ca="1" si="62"/>
        <v>-1.0690395649551332</v>
      </c>
      <c r="J115" s="14">
        <f t="shared" ca="1" si="62"/>
        <v>-12.926636947409618</v>
      </c>
      <c r="K115" s="14">
        <f t="shared" ca="1" si="62"/>
        <v>-84.18547333525585</v>
      </c>
      <c r="L115" s="14">
        <f t="shared" ca="1" si="62"/>
        <v>-261.87322048986942</v>
      </c>
      <c r="M115" s="14">
        <f t="shared" ca="1" si="62"/>
        <v>-432.38031936189975</v>
      </c>
      <c r="N115" s="14">
        <f t="shared" ca="1" si="62"/>
        <v>-605.52718465746125</v>
      </c>
      <c r="O115" s="14">
        <f t="shared" ca="1" si="62"/>
        <v>-850.1577692831255</v>
      </c>
      <c r="P115" s="14">
        <f t="shared" ca="1" si="62"/>
        <v>-1138.3928373258293</v>
      </c>
      <c r="Q115" s="14">
        <f t="shared" ca="1" si="62"/>
        <v>-1379.1782289200939</v>
      </c>
      <c r="R115" s="14">
        <f t="shared" ca="1" si="62"/>
        <v>0</v>
      </c>
      <c r="S115" s="14">
        <f t="shared" ca="1" si="62"/>
        <v>0</v>
      </c>
      <c r="T115" s="14">
        <f t="shared" ca="1" si="62"/>
        <v>0</v>
      </c>
      <c r="U115" s="14">
        <f t="shared" ca="1" si="62"/>
        <v>0</v>
      </c>
      <c r="V115" s="14">
        <f t="shared" ca="1" si="62"/>
        <v>0</v>
      </c>
      <c r="W115" s="14">
        <f t="shared" ca="1" si="62"/>
        <v>0</v>
      </c>
      <c r="X115" s="14">
        <f t="shared" ca="1" si="62"/>
        <v>0</v>
      </c>
      <c r="Y115" s="14">
        <f t="shared" ca="1" si="62"/>
        <v>0</v>
      </c>
      <c r="Z115" s="14">
        <f t="shared" ca="1" si="62"/>
        <v>0</v>
      </c>
      <c r="AA115" s="14">
        <f t="shared" ca="1" si="62"/>
        <v>0</v>
      </c>
      <c r="AB115" s="14">
        <f t="shared" ca="1" si="62"/>
        <v>0</v>
      </c>
      <c r="AC115" s="14">
        <f t="shared" ca="1" si="62"/>
        <v>0</v>
      </c>
      <c r="AD115" s="14">
        <f t="shared" ca="1" si="62"/>
        <v>0</v>
      </c>
      <c r="AE115" s="14">
        <f t="shared" ca="1" si="62"/>
        <v>0</v>
      </c>
      <c r="AF115" s="14">
        <f t="shared" ca="1" si="62"/>
        <v>0</v>
      </c>
      <c r="AG115" s="14">
        <f t="shared" ca="1" si="62"/>
        <v>0</v>
      </c>
      <c r="AH115" s="14">
        <f t="shared" ca="1" si="62"/>
        <v>0</v>
      </c>
      <c r="AI115" s="14">
        <f t="shared" ca="1" si="62"/>
        <v>0</v>
      </c>
      <c r="AJ115" s="14">
        <f t="shared" ca="1" si="62"/>
        <v>0</v>
      </c>
      <c r="AK115" s="14">
        <f t="shared" ca="1" si="62"/>
        <v>0</v>
      </c>
      <c r="AL115" s="14">
        <f t="shared" ca="1" si="62"/>
        <v>0</v>
      </c>
    </row>
    <row r="116" spans="1:38" ht="21" customHeight="1" outlineLevel="1" thickBot="1" x14ac:dyDescent="0.4">
      <c r="E116" s="17" t="s">
        <v>16</v>
      </c>
      <c r="F116" s="14">
        <f ca="1">F115+F114</f>
        <v>-206.29899425182384</v>
      </c>
      <c r="G116" s="14">
        <f t="shared" ref="G116:AL116" ca="1" si="63">G115+G114</f>
        <v>-286.48137175911586</v>
      </c>
      <c r="H116" s="14">
        <f t="shared" ca="1" si="63"/>
        <v>-375.67684083503701</v>
      </c>
      <c r="I116" s="14">
        <f t="shared" ca="1" si="63"/>
        <v>-472.16895411159925</v>
      </c>
      <c r="J116" s="14">
        <f t="shared" ca="1" si="63"/>
        <v>-574.7894611365175</v>
      </c>
      <c r="K116" s="14">
        <f t="shared" ca="1" si="63"/>
        <v>-682.78996617264556</v>
      </c>
      <c r="L116" s="14">
        <f t="shared" ca="1" si="63"/>
        <v>-799.99651132833242</v>
      </c>
      <c r="M116" s="14">
        <f t="shared" ca="1" si="63"/>
        <v>-929.76112310713347</v>
      </c>
      <c r="N116" s="14">
        <f t="shared" ca="1" si="63"/>
        <v>-1067.4584156530577</v>
      </c>
      <c r="O116" s="14">
        <f t="shared" ca="1" si="63"/>
        <v>-1211.3814677630351</v>
      </c>
      <c r="P116" s="14">
        <f t="shared" ca="1" si="63"/>
        <v>-1364.7777713261794</v>
      </c>
      <c r="Q116" s="14">
        <f t="shared" ca="1" si="63"/>
        <v>-1529.0762285460314</v>
      </c>
      <c r="R116" s="14">
        <f t="shared" ca="1" si="63"/>
        <v>0</v>
      </c>
      <c r="S116" s="14">
        <f t="shared" ca="1" si="63"/>
        <v>0</v>
      </c>
      <c r="T116" s="14">
        <f t="shared" ca="1" si="63"/>
        <v>0</v>
      </c>
      <c r="U116" s="14">
        <f t="shared" ca="1" si="63"/>
        <v>0</v>
      </c>
      <c r="V116" s="14">
        <f t="shared" ca="1" si="63"/>
        <v>0</v>
      </c>
      <c r="W116" s="14">
        <f t="shared" ca="1" si="63"/>
        <v>0</v>
      </c>
      <c r="X116" s="14">
        <f t="shared" ca="1" si="63"/>
        <v>0</v>
      </c>
      <c r="Y116" s="14">
        <f t="shared" ca="1" si="63"/>
        <v>0</v>
      </c>
      <c r="Z116" s="14">
        <f t="shared" ca="1" si="63"/>
        <v>0</v>
      </c>
      <c r="AA116" s="14">
        <f t="shared" ca="1" si="63"/>
        <v>0</v>
      </c>
      <c r="AB116" s="14">
        <f t="shared" ca="1" si="63"/>
        <v>0</v>
      </c>
      <c r="AC116" s="14">
        <f t="shared" ca="1" si="63"/>
        <v>0</v>
      </c>
      <c r="AD116" s="14">
        <f t="shared" ca="1" si="63"/>
        <v>0</v>
      </c>
      <c r="AE116" s="14">
        <f t="shared" ca="1" si="63"/>
        <v>0</v>
      </c>
      <c r="AF116" s="14">
        <f t="shared" ca="1" si="63"/>
        <v>0</v>
      </c>
      <c r="AG116" s="14">
        <f t="shared" ca="1" si="63"/>
        <v>0</v>
      </c>
      <c r="AH116" s="14">
        <f t="shared" ca="1" si="63"/>
        <v>0</v>
      </c>
      <c r="AI116" s="14">
        <f t="shared" ca="1" si="63"/>
        <v>0</v>
      </c>
      <c r="AJ116" s="14">
        <f t="shared" ca="1" si="63"/>
        <v>0</v>
      </c>
      <c r="AK116" s="14">
        <f t="shared" ca="1" si="63"/>
        <v>0</v>
      </c>
      <c r="AL116" s="14">
        <f t="shared" ca="1" si="63"/>
        <v>0</v>
      </c>
    </row>
    <row r="117" spans="1:38" ht="21" customHeight="1" outlineLevel="1" thickBot="1" x14ac:dyDescent="0.4">
      <c r="E117" s="17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</row>
    <row r="118" spans="1:38" ht="21" customHeight="1" outlineLevel="1" thickBot="1" x14ac:dyDescent="0.4"/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62" t="e">
        <f ca="1"/>
        <v>#N/A</v>
      </c>
      <c r="V122" s="63" t="e">
        <f ca="1"/>
        <v>#N/A</v>
      </c>
      <c r="W122" s="65" t="e">
        <f ca="1"/>
        <v>#N/A</v>
      </c>
      <c r="X122" s="59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(жид): </v>
      </c>
      <c r="F123" s="55">
        <f ca="1"/>
        <v>-206.29899402735006</v>
      </c>
      <c r="G123" s="55">
        <f ca="1"/>
        <v>-286.48105959359998</v>
      </c>
      <c r="H123" s="55">
        <f ca="1"/>
        <v>-375.63996342121601</v>
      </c>
      <c r="I123" s="55">
        <f ca="1"/>
        <v>-471.09991454664413</v>
      </c>
      <c r="J123" s="55">
        <f ca="1"/>
        <v>-561.86282418910787</v>
      </c>
      <c r="K123" s="55">
        <f ca="1"/>
        <v>-598.60449283738967</v>
      </c>
      <c r="L123" s="55">
        <f ca="1"/>
        <v>-538.12329083846294</v>
      </c>
      <c r="M123" s="55">
        <f ca="1"/>
        <v>-497.38080374523366</v>
      </c>
      <c r="N123" s="55">
        <f ca="1"/>
        <v>-461.93123099559637</v>
      </c>
      <c r="O123" s="55">
        <f ca="1"/>
        <v>-361.2236984799095</v>
      </c>
      <c r="P123" s="55">
        <f ca="1"/>
        <v>-226.38493400034997</v>
      </c>
      <c r="Q123" s="55">
        <f ca="1"/>
        <v>-149.89799962593753</v>
      </c>
      <c r="R123" s="55" t="e">
        <f ca="1"/>
        <v>#N/A</v>
      </c>
      <c r="S123" s="55" t="e">
        <f ca="1"/>
        <v>#N/A</v>
      </c>
      <c r="T123" s="55" t="e">
        <f ca="1"/>
        <v>#N/A</v>
      </c>
      <c r="U123" s="55" t="e">
        <f ca="1"/>
        <v>#N/A</v>
      </c>
      <c r="V123" s="55" t="e">
        <f ca="1"/>
        <v>#N/A</v>
      </c>
      <c r="W123" s="55" t="e">
        <f ca="1"/>
        <v>#N/A</v>
      </c>
      <c r="X123" s="55" t="e">
        <f ca="1"/>
        <v>#N/A</v>
      </c>
      <c r="Y123" s="55" t="e">
        <f ca="1"/>
        <v>#N/A</v>
      </c>
      <c r="Z123" s="55" t="e">
        <f ca="1"/>
        <v>#N/A</v>
      </c>
      <c r="AA123" s="55" t="e">
        <f ca="1"/>
        <v>#N/A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-2.2447376935579382E-7</v>
      </c>
      <c r="G124" s="55">
        <f ca="1"/>
        <v>-3.1216551587006676E-4</v>
      </c>
      <c r="H124" s="55">
        <f ca="1"/>
        <v>-3.6877413821002333E-2</v>
      </c>
      <c r="I124" s="55">
        <f ca="1"/>
        <v>-1.0690395649551332</v>
      </c>
      <c r="J124" s="55">
        <f ca="1"/>
        <v>-12.926636947409618</v>
      </c>
      <c r="K124" s="55">
        <f ca="1"/>
        <v>-84.18547333525585</v>
      </c>
      <c r="L124" s="55">
        <f ca="1"/>
        <v>-261.87322048986942</v>
      </c>
      <c r="M124" s="55">
        <f ca="1"/>
        <v>-432.38031936189975</v>
      </c>
      <c r="N124" s="55">
        <f ca="1"/>
        <v>-605.52718465746125</v>
      </c>
      <c r="O124" s="55">
        <f ca="1"/>
        <v>-850.1577692831255</v>
      </c>
      <c r="P124" s="55">
        <f ca="1"/>
        <v>-1138.3928373258293</v>
      </c>
      <c r="Q124" s="55">
        <f ca="1"/>
        <v>-1379.1782289200939</v>
      </c>
      <c r="R124" s="55" t="e">
        <f ca="1"/>
        <v>#N/A</v>
      </c>
      <c r="S124" s="55" t="e">
        <f ca="1"/>
        <v>#N/A</v>
      </c>
      <c r="T124" s="55" t="e">
        <f ca="1"/>
        <v>#N/A</v>
      </c>
      <c r="U124" s="55" t="e">
        <f ca="1"/>
        <v>#N/A</v>
      </c>
      <c r="V124" s="55" t="e">
        <f ca="1"/>
        <v>#N/A</v>
      </c>
      <c r="W124" s="55" t="e">
        <f ca="1"/>
        <v>#N/A</v>
      </c>
      <c r="X124" s="55" t="e">
        <f ca="1"/>
        <v>#N/A</v>
      </c>
      <c r="Y124" s="55" t="e">
        <f ca="1"/>
        <v>#N/A</v>
      </c>
      <c r="Z124" s="55" t="e">
        <f ca="1"/>
        <v>#N/A</v>
      </c>
      <c r="AA124" s="55" t="e">
        <f ca="1"/>
        <v>#N/A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Раствор + газовая без Ar: </v>
      </c>
      <c r="F125" s="55">
        <f ca="1"/>
        <v>-206.29899425182384</v>
      </c>
      <c r="G125" s="55">
        <f ca="1"/>
        <v>-286.48137175911586</v>
      </c>
      <c r="H125" s="55">
        <f ca="1"/>
        <v>-375.67684083503701</v>
      </c>
      <c r="I125" s="55">
        <f ca="1"/>
        <v>-472.16895411159925</v>
      </c>
      <c r="J125" s="55">
        <f ca="1"/>
        <v>-574.7894611365175</v>
      </c>
      <c r="K125" s="55">
        <f ca="1"/>
        <v>-682.78996617264556</v>
      </c>
      <c r="L125" s="55">
        <f ca="1"/>
        <v>-799.99651132833242</v>
      </c>
      <c r="M125" s="55">
        <f ca="1"/>
        <v>-929.76112310713347</v>
      </c>
      <c r="N125" s="55">
        <f ca="1"/>
        <v>-1067.4584156530577</v>
      </c>
      <c r="O125" s="55">
        <f ca="1"/>
        <v>-1211.3814677630351</v>
      </c>
      <c r="P125" s="55">
        <f ca="1"/>
        <v>-1364.7777713261794</v>
      </c>
      <c r="Q125" s="55">
        <f ca="1"/>
        <v>-1529.0762285460314</v>
      </c>
      <c r="R125" s="55" t="e">
        <f ca="1"/>
        <v>#N/A</v>
      </c>
      <c r="S125" s="55" t="e">
        <f ca="1"/>
        <v>#N/A</v>
      </c>
      <c r="T125" s="55" t="e">
        <f ca="1"/>
        <v>#N/A</v>
      </c>
      <c r="U125" s="55" t="e">
        <f ca="1"/>
        <v>#N/A</v>
      </c>
      <c r="V125" s="55" t="e">
        <f ca="1"/>
        <v>#N/A</v>
      </c>
      <c r="W125" s="55" t="e">
        <f ca="1"/>
        <v>#N/A</v>
      </c>
      <c r="X125" s="55" t="e">
        <f ca="1"/>
        <v>#N/A</v>
      </c>
      <c r="Y125" s="55" t="e">
        <f ca="1"/>
        <v>#N/A</v>
      </c>
      <c r="Z125" s="55" t="e">
        <f ca="1"/>
        <v>#N/A</v>
      </c>
      <c r="AA125" s="55" t="e">
        <f ca="1"/>
        <v>#N/A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e">
        <f ca="1"/>
        <v>#N/A</v>
      </c>
      <c r="F126" s="55" t="e">
        <f ca="1"/>
        <v>#N/A</v>
      </c>
      <c r="G126" s="55" t="e">
        <f ca="1"/>
        <v>#N/A</v>
      </c>
      <c r="H126" s="55" t="e">
        <f ca="1"/>
        <v>#N/A</v>
      </c>
      <c r="I126" s="55" t="e">
        <f ca="1"/>
        <v>#N/A</v>
      </c>
      <c r="J126" s="55" t="e">
        <f ca="1"/>
        <v>#N/A</v>
      </c>
      <c r="K126" s="55" t="e">
        <f ca="1"/>
        <v>#N/A</v>
      </c>
      <c r="L126" s="55" t="e">
        <f ca="1"/>
        <v>#N/A</v>
      </c>
      <c r="M126" s="55" t="e">
        <f ca="1"/>
        <v>#N/A</v>
      </c>
      <c r="N126" s="55" t="e">
        <f ca="1"/>
        <v>#N/A</v>
      </c>
      <c r="O126" s="55" t="e">
        <f ca="1"/>
        <v>#N/A</v>
      </c>
      <c r="P126" s="55" t="e">
        <f ca="1"/>
        <v>#N/A</v>
      </c>
      <c r="Q126" s="55" t="e">
        <f ca="1"/>
        <v>#N/A</v>
      </c>
      <c r="R126" s="55" t="e">
        <f ca="1"/>
        <v>#N/A</v>
      </c>
      <c r="S126" s="55" t="e">
        <f ca="1"/>
        <v>#N/A</v>
      </c>
      <c r="T126" s="55" t="e">
        <f ca="1"/>
        <v>#N/A</v>
      </c>
      <c r="U126" s="55" t="e">
        <f ca="1"/>
        <v>#N/A</v>
      </c>
      <c r="V126" s="55" t="e">
        <f ca="1"/>
        <v>#N/A</v>
      </c>
      <c r="W126" s="55" t="e">
        <f ca="1"/>
        <v>#N/A</v>
      </c>
      <c r="X126" s="55" t="e">
        <f ca="1"/>
        <v>#N/A</v>
      </c>
      <c r="Y126" s="55" t="e">
        <f ca="1"/>
        <v>#N/A</v>
      </c>
      <c r="Z126" s="55" t="e">
        <f ca="1"/>
        <v>#N/A</v>
      </c>
      <c r="AA126" s="55" t="e">
        <f ca="1"/>
        <v>#N/A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 t="s">
        <v>97</v>
      </c>
      <c r="F136" s="55">
        <v>0</v>
      </c>
      <c r="G136" s="55">
        <v>0</v>
      </c>
      <c r="H136" s="55">
        <v>0</v>
      </c>
      <c r="I136" s="55">
        <v>0</v>
      </c>
      <c r="J136" s="55">
        <v>0</v>
      </c>
      <c r="K136" s="55">
        <v>0</v>
      </c>
      <c r="L136" s="55">
        <v>0</v>
      </c>
      <c r="M136" s="55">
        <v>0</v>
      </c>
      <c r="N136" s="55">
        <v>0</v>
      </c>
      <c r="O136" s="55">
        <v>0</v>
      </c>
      <c r="P136" s="55">
        <v>0</v>
      </c>
      <c r="Q136" s="55">
        <v>0</v>
      </c>
      <c r="R136" s="55">
        <v>0</v>
      </c>
      <c r="S136" s="55">
        <v>0</v>
      </c>
      <c r="T136" s="55">
        <v>0</v>
      </c>
      <c r="U136" s="55">
        <v>0</v>
      </c>
      <c r="V136" s="55">
        <v>0</v>
      </c>
      <c r="W136" s="55">
        <v>0</v>
      </c>
      <c r="X136" s="55">
        <v>0</v>
      </c>
      <c r="Y136" s="55">
        <v>0</v>
      </c>
      <c r="Z136" s="55">
        <v>0</v>
      </c>
      <c r="AA136" s="55">
        <v>0</v>
      </c>
      <c r="AB136" s="55">
        <v>0</v>
      </c>
      <c r="AC136" s="55">
        <v>0</v>
      </c>
      <c r="AD136" s="55">
        <v>0</v>
      </c>
      <c r="AE136" s="55">
        <v>0</v>
      </c>
      <c r="AF136" s="55">
        <v>0</v>
      </c>
      <c r="AG136" s="55">
        <v>0</v>
      </c>
      <c r="AH136" s="55">
        <v>0</v>
      </c>
      <c r="AI136" s="55">
        <v>0</v>
      </c>
      <c r="AJ136" s="55">
        <v>0</v>
      </c>
      <c r="AK136" s="55">
        <v>0</v>
      </c>
      <c r="AL136" s="55">
        <v>0</v>
      </c>
    </row>
  </sheetData>
  <mergeCells count="2">
    <mergeCell ref="A1:BB1"/>
    <mergeCell ref="A113:B113"/>
  </mergeCells>
  <conditionalFormatting sqref="A4:D33">
    <cfRule type="cellIs" dxfId="9" priority="49" operator="equal">
      <formula>0</formula>
    </cfRule>
  </conditionalFormatting>
  <conditionalFormatting sqref="A80:D109">
    <cfRule type="cellIs" dxfId="8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9467FA4-E0FB-4D01-8E75-9A948969D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FLUID!F29:AK29</xm:f>
              <xm:sqref>AL29</xm:sqref>
            </x14:sparkline>
            <x14:sparkline>
              <xm:f>FLUID!F30:AK30</xm:f>
              <xm:sqref>AL30</xm:sqref>
            </x14:sparkline>
            <x14:sparkline>
              <xm:f>FLUID!F31:AK31</xm:f>
              <xm:sqref>AL31</xm:sqref>
            </x14:sparkline>
            <x14:sparkline>
              <xm:f>FLUID!F32:AK32</xm:f>
              <xm:sqref>AL32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BB136"/>
  <sheetViews>
    <sheetView topLeftCell="A15" zoomScale="85" zoomScaleNormal="85" zoomScaleSheetLayoutView="25" workbookViewId="0">
      <selection activeCell="AY25" sqref="AY25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92" t="s">
        <v>25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19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 t="shared" ref="A4:D33" si="0">IF( ISNUMBER( FIND(A$3,$E4,1)),   IF( ISNUMBER( VALUE(MID($E4,FIND(A$3,$E4,1)+2,1)) ), VALUE( MID($E4,FIND(A$3,$E4,1)+2,1) ),1),0)</f>
        <v>0</v>
      </c>
      <c r="B4" s="44">
        <f t="shared" si="0"/>
        <v>0</v>
      </c>
      <c r="C4" s="44">
        <f t="shared" si="0"/>
        <v>0</v>
      </c>
      <c r="D4" s="44">
        <f t="shared" si="0"/>
        <v>0</v>
      </c>
      <c r="E4" s="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si="0"/>
        <v>0</v>
      </c>
      <c r="B5" s="44">
        <f t="shared" si="0"/>
        <v>0</v>
      </c>
      <c r="C5" s="44">
        <f t="shared" si="0"/>
        <v>0</v>
      </c>
      <c r="D5" s="44">
        <f t="shared" si="0"/>
        <v>0</v>
      </c>
      <c r="E5" s="6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0"/>
        <v>0</v>
      </c>
      <c r="B6" s="44">
        <f t="shared" si="0"/>
        <v>0</v>
      </c>
      <c r="C6" s="44">
        <f t="shared" si="0"/>
        <v>0</v>
      </c>
      <c r="D6" s="44">
        <f t="shared" si="0"/>
        <v>0</v>
      </c>
      <c r="E6" s="6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0"/>
        <v>0</v>
      </c>
      <c r="B7" s="44">
        <f t="shared" si="0"/>
        <v>0</v>
      </c>
      <c r="C7" s="44">
        <f t="shared" si="0"/>
        <v>0</v>
      </c>
      <c r="D7" s="44">
        <f t="shared" si="0"/>
        <v>0</v>
      </c>
      <c r="E7" s="6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0"/>
        <v>0</v>
      </c>
      <c r="B8" s="44">
        <f t="shared" si="0"/>
        <v>0</v>
      </c>
      <c r="C8" s="44">
        <f t="shared" si="0"/>
        <v>0</v>
      </c>
      <c r="D8" s="44">
        <f t="shared" si="0"/>
        <v>0</v>
      </c>
      <c r="E8" s="6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0"/>
        <v>0</v>
      </c>
      <c r="B9" s="44">
        <f t="shared" si="0"/>
        <v>0</v>
      </c>
      <c r="C9" s="44">
        <f t="shared" si="0"/>
        <v>0</v>
      </c>
      <c r="D9" s="44">
        <f t="shared" si="0"/>
        <v>0</v>
      </c>
      <c r="E9" s="6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0"/>
        <v>0</v>
      </c>
      <c r="B10" s="44">
        <f t="shared" si="0"/>
        <v>0</v>
      </c>
      <c r="C10" s="44">
        <f t="shared" si="0"/>
        <v>0</v>
      </c>
      <c r="D10" s="44">
        <f t="shared" si="0"/>
        <v>0</v>
      </c>
      <c r="E10" s="6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0"/>
        <v>0</v>
      </c>
      <c r="B11" s="44">
        <f t="shared" si="0"/>
        <v>0</v>
      </c>
      <c r="C11" s="44">
        <f t="shared" si="0"/>
        <v>0</v>
      </c>
      <c r="D11" s="44">
        <f t="shared" si="0"/>
        <v>0</v>
      </c>
      <c r="E11" s="6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0"/>
        <v>0</v>
      </c>
      <c r="B12" s="44">
        <f t="shared" si="0"/>
        <v>0</v>
      </c>
      <c r="C12" s="44">
        <f t="shared" si="0"/>
        <v>0</v>
      </c>
      <c r="D12" s="44">
        <f t="shared" si="0"/>
        <v>0</v>
      </c>
      <c r="E12" s="6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0"/>
        <v>0</v>
      </c>
      <c r="B13" s="44">
        <f t="shared" si="0"/>
        <v>0</v>
      </c>
      <c r="C13" s="44">
        <f t="shared" si="0"/>
        <v>0</v>
      </c>
      <c r="D13" s="44">
        <f t="shared" si="0"/>
        <v>0</v>
      </c>
      <c r="E13" s="6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0"/>
        <v>0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0"/>
        <v>0</v>
      </c>
      <c r="B15" s="44">
        <f t="shared" si="0"/>
        <v>0</v>
      </c>
      <c r="C15" s="44">
        <f t="shared" si="0"/>
        <v>0</v>
      </c>
      <c r="D15" s="44">
        <f t="shared" si="0"/>
        <v>0</v>
      </c>
      <c r="E15" s="6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0"/>
        <v>0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6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0"/>
        <v>0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0"/>
        <v>0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0"/>
        <v>0</v>
      </c>
      <c r="B19" s="44">
        <f t="shared" si="0"/>
        <v>0</v>
      </c>
      <c r="C19" s="44">
        <f t="shared" si="0"/>
        <v>0</v>
      </c>
      <c r="D19" s="44">
        <f t="shared" si="0"/>
        <v>0</v>
      </c>
      <c r="E19" s="6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0"/>
        <v>0</v>
      </c>
      <c r="B20" s="44">
        <f t="shared" si="0"/>
        <v>0</v>
      </c>
      <c r="C20" s="44">
        <f t="shared" si="0"/>
        <v>0</v>
      </c>
      <c r="D20" s="44">
        <f t="shared" si="0"/>
        <v>0</v>
      </c>
      <c r="E20" s="48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0"/>
        <v>0</v>
      </c>
      <c r="B21" s="44">
        <f t="shared" si="0"/>
        <v>0</v>
      </c>
      <c r="C21" s="44">
        <f t="shared" si="0"/>
        <v>0</v>
      </c>
      <c r="D21" s="44">
        <f t="shared" si="0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0"/>
        <v>0</v>
      </c>
      <c r="B22" s="44">
        <f t="shared" si="0"/>
        <v>0</v>
      </c>
      <c r="C22" s="44">
        <f t="shared" si="0"/>
        <v>0</v>
      </c>
      <c r="D22" s="44">
        <f t="shared" si="0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0"/>
        <v>0</v>
      </c>
      <c r="B23" s="44">
        <f t="shared" si="0"/>
        <v>0</v>
      </c>
      <c r="C23" s="44">
        <f t="shared" si="0"/>
        <v>0</v>
      </c>
      <c r="D23" s="44">
        <f t="shared" si="0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0"/>
        <v>0</v>
      </c>
      <c r="B24" s="44">
        <f t="shared" si="0"/>
        <v>0</v>
      </c>
      <c r="C24" s="44">
        <f t="shared" si="0"/>
        <v>0</v>
      </c>
      <c r="D24" s="44">
        <f t="shared" si="0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0"/>
        <v>0</v>
      </c>
      <c r="B25" s="44">
        <f t="shared" si="0"/>
        <v>0</v>
      </c>
      <c r="C25" s="44">
        <f t="shared" si="0"/>
        <v>0</v>
      </c>
      <c r="D25" s="44">
        <f t="shared" si="0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0"/>
        <v>0</v>
      </c>
      <c r="B26" s="44">
        <f t="shared" si="0"/>
        <v>0</v>
      </c>
      <c r="C26" s="44">
        <f t="shared" si="0"/>
        <v>0</v>
      </c>
      <c r="D26" s="44">
        <f t="shared" si="0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0"/>
        <v>0</v>
      </c>
      <c r="B27" s="44">
        <f t="shared" si="0"/>
        <v>0</v>
      </c>
      <c r="C27" s="44">
        <f t="shared" si="0"/>
        <v>0</v>
      </c>
      <c r="D27" s="44">
        <f t="shared" si="0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si="0"/>
        <v>0</v>
      </c>
      <c r="B28" s="44">
        <f t="shared" si="0"/>
        <v>0</v>
      </c>
      <c r="C28" s="44">
        <f t="shared" si="0"/>
        <v>0</v>
      </c>
      <c r="D28" s="44">
        <f t="shared" si="0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0"/>
        <v>0</v>
      </c>
      <c r="B29" s="44">
        <f t="shared" si="0"/>
        <v>0</v>
      </c>
      <c r="C29" s="44">
        <f t="shared" si="0"/>
        <v>0</v>
      </c>
      <c r="D29" s="44">
        <f t="shared" si="0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0"/>
        <v>0</v>
      </c>
      <c r="B30" s="44">
        <f t="shared" si="0"/>
        <v>0</v>
      </c>
      <c r="C30" s="44">
        <f t="shared" si="0"/>
        <v>0</v>
      </c>
      <c r="D30" s="44">
        <f t="shared" si="0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0"/>
        <v>0</v>
      </c>
      <c r="B31" s="44">
        <f t="shared" si="0"/>
        <v>0</v>
      </c>
      <c r="C31" s="44">
        <f t="shared" si="0"/>
        <v>0</v>
      </c>
      <c r="D31" s="44">
        <f t="shared" si="0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0"/>
        <v>0</v>
      </c>
      <c r="B32" s="44">
        <f t="shared" si="0"/>
        <v>0</v>
      </c>
      <c r="C32" s="44">
        <f t="shared" si="0"/>
        <v>0</v>
      </c>
      <c r="D32" s="44">
        <f t="shared" si="0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0"/>
        <v>0</v>
      </c>
      <c r="B33" s="44">
        <f t="shared" si="0"/>
        <v>0</v>
      </c>
      <c r="C33" s="44">
        <f t="shared" si="0"/>
        <v>0</v>
      </c>
      <c r="D33" s="44">
        <f t="shared" si="0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27</v>
      </c>
      <c r="D34" s="47" t="e">
        <f>MATCH(C34,$E$4:$E$33)</f>
        <v>#N/A</v>
      </c>
      <c r="E34" s="11" t="e">
        <f t="shared" ref="E34:N37" ca="1" si="1">OFFSET($E$3:$AL$3,$D34,0)</f>
        <v>#N/A</v>
      </c>
      <c r="F34" s="14" t="e">
        <f t="shared" ca="1" si="1"/>
        <v>#N/A</v>
      </c>
      <c r="G34" s="14" t="e">
        <f t="shared" ca="1" si="1"/>
        <v>#N/A</v>
      </c>
      <c r="H34" s="14" t="e">
        <f t="shared" ca="1" si="1"/>
        <v>#N/A</v>
      </c>
      <c r="I34" s="14" t="e">
        <f t="shared" ca="1" si="1"/>
        <v>#N/A</v>
      </c>
      <c r="J34" s="14" t="e">
        <f t="shared" ca="1" si="1"/>
        <v>#N/A</v>
      </c>
      <c r="K34" s="14" t="e">
        <f t="shared" ca="1" si="1"/>
        <v>#N/A</v>
      </c>
      <c r="L34" s="14" t="e">
        <f t="shared" ca="1" si="1"/>
        <v>#N/A</v>
      </c>
      <c r="M34" s="14" t="e">
        <f t="shared" ca="1" si="1"/>
        <v>#N/A</v>
      </c>
      <c r="N34" s="14" t="e">
        <f t="shared" ca="1" si="1"/>
        <v>#N/A</v>
      </c>
      <c r="O34" s="14" t="e">
        <f t="shared" ref="O34:X37" ca="1" si="2">OFFSET($E$3:$AL$3,$D34,0)</f>
        <v>#N/A</v>
      </c>
      <c r="P34" s="14" t="e">
        <f t="shared" ca="1" si="2"/>
        <v>#N/A</v>
      </c>
      <c r="Q34" s="14" t="e">
        <f t="shared" ca="1" si="2"/>
        <v>#N/A</v>
      </c>
      <c r="R34" s="14" t="e">
        <f t="shared" ca="1" si="2"/>
        <v>#N/A</v>
      </c>
      <c r="S34" s="14" t="e">
        <f t="shared" ca="1" si="2"/>
        <v>#N/A</v>
      </c>
      <c r="T34" s="14" t="e">
        <f t="shared" ca="1" si="2"/>
        <v>#N/A</v>
      </c>
      <c r="U34" s="14" t="e">
        <f t="shared" ca="1" si="2"/>
        <v>#N/A</v>
      </c>
      <c r="V34" s="14" t="e">
        <f t="shared" ca="1" si="2"/>
        <v>#N/A</v>
      </c>
      <c r="W34" s="14" t="e">
        <f t="shared" ca="1" si="2"/>
        <v>#N/A</v>
      </c>
      <c r="X34" s="14" t="e">
        <f t="shared" ca="1" si="2"/>
        <v>#N/A</v>
      </c>
      <c r="Y34" s="14" t="e">
        <f t="shared" ref="Y34:AL37" ca="1" si="3">OFFSET($E$3:$AL$3,$D34,0)</f>
        <v>#N/A</v>
      </c>
      <c r="Z34" s="14" t="e">
        <f t="shared" ca="1" si="3"/>
        <v>#N/A</v>
      </c>
      <c r="AA34" s="14" t="e">
        <f t="shared" ca="1" si="3"/>
        <v>#N/A</v>
      </c>
      <c r="AB34" s="14" t="e">
        <f t="shared" ca="1" si="3"/>
        <v>#N/A</v>
      </c>
      <c r="AC34" s="14" t="e">
        <f t="shared" ca="1" si="3"/>
        <v>#N/A</v>
      </c>
      <c r="AD34" s="14" t="e">
        <f t="shared" ca="1" si="3"/>
        <v>#N/A</v>
      </c>
      <c r="AE34" s="14" t="e">
        <f t="shared" ca="1" si="3"/>
        <v>#N/A</v>
      </c>
      <c r="AF34" s="14" t="e">
        <f t="shared" ca="1" si="3"/>
        <v>#N/A</v>
      </c>
      <c r="AG34" s="14" t="e">
        <f t="shared" ca="1" si="3"/>
        <v>#N/A</v>
      </c>
      <c r="AH34" s="14" t="e">
        <f t="shared" ca="1" si="3"/>
        <v>#N/A</v>
      </c>
      <c r="AI34" s="14" t="e">
        <f t="shared" ca="1" si="3"/>
        <v>#N/A</v>
      </c>
      <c r="AJ34" s="14" t="e">
        <f t="shared" ca="1" si="3"/>
        <v>#N/A</v>
      </c>
      <c r="AK34" s="14" t="e">
        <f t="shared" ca="1" si="3"/>
        <v>#N/A</v>
      </c>
      <c r="AL34" s="14" t="e">
        <f t="shared" ca="1" si="3"/>
        <v>#N/A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 t="e">
        <f>MATCH(C35,$E$4:$E$33)</f>
        <v>#N/A</v>
      </c>
      <c r="E35" s="11" t="e">
        <f t="shared" ca="1" si="1"/>
        <v>#N/A</v>
      </c>
      <c r="F35" s="14" t="e">
        <f t="shared" ca="1" si="1"/>
        <v>#N/A</v>
      </c>
      <c r="G35" s="14" t="e">
        <f t="shared" ca="1" si="1"/>
        <v>#N/A</v>
      </c>
      <c r="H35" s="14" t="e">
        <f t="shared" ca="1" si="1"/>
        <v>#N/A</v>
      </c>
      <c r="I35" s="14" t="e">
        <f t="shared" ca="1" si="1"/>
        <v>#N/A</v>
      </c>
      <c r="J35" s="14" t="e">
        <f t="shared" ca="1" si="1"/>
        <v>#N/A</v>
      </c>
      <c r="K35" s="14" t="e">
        <f t="shared" ca="1" si="1"/>
        <v>#N/A</v>
      </c>
      <c r="L35" s="14" t="e">
        <f t="shared" ca="1" si="1"/>
        <v>#N/A</v>
      </c>
      <c r="M35" s="14" t="e">
        <f t="shared" ca="1" si="1"/>
        <v>#N/A</v>
      </c>
      <c r="N35" s="14" t="e">
        <f t="shared" ca="1" si="1"/>
        <v>#N/A</v>
      </c>
      <c r="O35" s="14" t="e">
        <f t="shared" ca="1" si="2"/>
        <v>#N/A</v>
      </c>
      <c r="P35" s="14" t="e">
        <f t="shared" ca="1" si="2"/>
        <v>#N/A</v>
      </c>
      <c r="Q35" s="14" t="e">
        <f t="shared" ca="1" si="2"/>
        <v>#N/A</v>
      </c>
      <c r="R35" s="14" t="e">
        <f t="shared" ca="1" si="2"/>
        <v>#N/A</v>
      </c>
      <c r="S35" s="14" t="e">
        <f t="shared" ca="1" si="2"/>
        <v>#N/A</v>
      </c>
      <c r="T35" s="14" t="e">
        <f t="shared" ca="1" si="2"/>
        <v>#N/A</v>
      </c>
      <c r="U35" s="14" t="e">
        <f t="shared" ca="1" si="2"/>
        <v>#N/A</v>
      </c>
      <c r="V35" s="14" t="e">
        <f t="shared" ca="1" si="2"/>
        <v>#N/A</v>
      </c>
      <c r="W35" s="14" t="e">
        <f t="shared" ca="1" si="2"/>
        <v>#N/A</v>
      </c>
      <c r="X35" s="14" t="e">
        <f t="shared" ca="1" si="2"/>
        <v>#N/A</v>
      </c>
      <c r="Y35" s="14" t="e">
        <f t="shared" ca="1" si="3"/>
        <v>#N/A</v>
      </c>
      <c r="Z35" s="14" t="e">
        <f t="shared" ca="1" si="3"/>
        <v>#N/A</v>
      </c>
      <c r="AA35" s="14" t="e">
        <f t="shared" ca="1" si="3"/>
        <v>#N/A</v>
      </c>
      <c r="AB35" s="14" t="e">
        <f t="shared" ca="1" si="3"/>
        <v>#N/A</v>
      </c>
      <c r="AC35" s="14" t="e">
        <f t="shared" ca="1" si="3"/>
        <v>#N/A</v>
      </c>
      <c r="AD35" s="14" t="e">
        <f t="shared" ca="1" si="3"/>
        <v>#N/A</v>
      </c>
      <c r="AE35" s="14" t="e">
        <f t="shared" ca="1" si="3"/>
        <v>#N/A</v>
      </c>
      <c r="AF35" s="14" t="e">
        <f t="shared" ca="1" si="3"/>
        <v>#N/A</v>
      </c>
      <c r="AG35" s="14" t="e">
        <f t="shared" ca="1" si="3"/>
        <v>#N/A</v>
      </c>
      <c r="AH35" s="14" t="e">
        <f t="shared" ca="1" si="3"/>
        <v>#N/A</v>
      </c>
      <c r="AI35" s="14" t="e">
        <f t="shared" ca="1" si="3"/>
        <v>#N/A</v>
      </c>
      <c r="AJ35" s="14" t="e">
        <f t="shared" ca="1" si="3"/>
        <v>#N/A</v>
      </c>
      <c r="AK35" s="14" t="e">
        <f t="shared" ca="1" si="3"/>
        <v>#N/A</v>
      </c>
      <c r="AL35" s="14" t="e">
        <f t="shared" ca="1" si="3"/>
        <v>#N/A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 t="e">
        <f>MATCH(C36,$E$4:$E$33)</f>
        <v>#N/A</v>
      </c>
      <c r="E36" s="11" t="e">
        <f t="shared" ca="1" si="1"/>
        <v>#N/A</v>
      </c>
      <c r="F36" s="14" t="e">
        <f t="shared" ca="1" si="1"/>
        <v>#N/A</v>
      </c>
      <c r="G36" s="14" t="e">
        <f t="shared" ca="1" si="1"/>
        <v>#N/A</v>
      </c>
      <c r="H36" s="14" t="e">
        <f t="shared" ca="1" si="1"/>
        <v>#N/A</v>
      </c>
      <c r="I36" s="14" t="e">
        <f t="shared" ca="1" si="1"/>
        <v>#N/A</v>
      </c>
      <c r="J36" s="14" t="e">
        <f t="shared" ca="1" si="1"/>
        <v>#N/A</v>
      </c>
      <c r="K36" s="14" t="e">
        <f t="shared" ca="1" si="1"/>
        <v>#N/A</v>
      </c>
      <c r="L36" s="14" t="e">
        <f t="shared" ca="1" si="1"/>
        <v>#N/A</v>
      </c>
      <c r="M36" s="14" t="e">
        <f t="shared" ca="1" si="1"/>
        <v>#N/A</v>
      </c>
      <c r="N36" s="14" t="e">
        <f t="shared" ca="1" si="1"/>
        <v>#N/A</v>
      </c>
      <c r="O36" s="14" t="e">
        <f t="shared" ca="1" si="2"/>
        <v>#N/A</v>
      </c>
      <c r="P36" s="14" t="e">
        <f t="shared" ca="1" si="2"/>
        <v>#N/A</v>
      </c>
      <c r="Q36" s="14" t="e">
        <f t="shared" ca="1" si="2"/>
        <v>#N/A</v>
      </c>
      <c r="R36" s="14" t="e">
        <f t="shared" ca="1" si="2"/>
        <v>#N/A</v>
      </c>
      <c r="S36" s="14" t="e">
        <f t="shared" ca="1" si="2"/>
        <v>#N/A</v>
      </c>
      <c r="T36" s="14" t="e">
        <f t="shared" ca="1" si="2"/>
        <v>#N/A</v>
      </c>
      <c r="U36" s="14" t="e">
        <f t="shared" ca="1" si="2"/>
        <v>#N/A</v>
      </c>
      <c r="V36" s="14" t="e">
        <f t="shared" ca="1" si="2"/>
        <v>#N/A</v>
      </c>
      <c r="W36" s="14" t="e">
        <f t="shared" ca="1" si="2"/>
        <v>#N/A</v>
      </c>
      <c r="X36" s="14" t="e">
        <f t="shared" ca="1" si="2"/>
        <v>#N/A</v>
      </c>
      <c r="Y36" s="14" t="e">
        <f t="shared" ca="1" si="3"/>
        <v>#N/A</v>
      </c>
      <c r="Z36" s="14" t="e">
        <f t="shared" ca="1" si="3"/>
        <v>#N/A</v>
      </c>
      <c r="AA36" s="14" t="e">
        <f t="shared" ca="1" si="3"/>
        <v>#N/A</v>
      </c>
      <c r="AB36" s="14" t="e">
        <f t="shared" ca="1" si="3"/>
        <v>#N/A</v>
      </c>
      <c r="AC36" s="14" t="e">
        <f t="shared" ca="1" si="3"/>
        <v>#N/A</v>
      </c>
      <c r="AD36" s="14" t="e">
        <f t="shared" ca="1" si="3"/>
        <v>#N/A</v>
      </c>
      <c r="AE36" s="14" t="e">
        <f t="shared" ca="1" si="3"/>
        <v>#N/A</v>
      </c>
      <c r="AF36" s="14" t="e">
        <f t="shared" ca="1" si="3"/>
        <v>#N/A</v>
      </c>
      <c r="AG36" s="14" t="e">
        <f t="shared" ca="1" si="3"/>
        <v>#N/A</v>
      </c>
      <c r="AH36" s="14" t="e">
        <f t="shared" ca="1" si="3"/>
        <v>#N/A</v>
      </c>
      <c r="AI36" s="14" t="e">
        <f t="shared" ca="1" si="3"/>
        <v>#N/A</v>
      </c>
      <c r="AJ36" s="14" t="e">
        <f t="shared" ca="1" si="3"/>
        <v>#N/A</v>
      </c>
      <c r="AK36" s="14" t="e">
        <f t="shared" ca="1" si="3"/>
        <v>#N/A</v>
      </c>
      <c r="AL36" s="14" t="e">
        <f t="shared" ca="1" si="3"/>
        <v>#N/A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 t="e">
        <f>MATCH(C37,$E$4:$E$33)</f>
        <v>#N/A</v>
      </c>
      <c r="E37" s="11" t="e">
        <f t="shared" ca="1" si="1"/>
        <v>#N/A</v>
      </c>
      <c r="F37" s="14" t="e">
        <f t="shared" ca="1" si="1"/>
        <v>#N/A</v>
      </c>
      <c r="G37" s="14" t="e">
        <f t="shared" ca="1" si="1"/>
        <v>#N/A</v>
      </c>
      <c r="H37" s="14" t="e">
        <f t="shared" ca="1" si="1"/>
        <v>#N/A</v>
      </c>
      <c r="I37" s="14" t="e">
        <f t="shared" ca="1" si="1"/>
        <v>#N/A</v>
      </c>
      <c r="J37" s="14" t="e">
        <f t="shared" ca="1" si="1"/>
        <v>#N/A</v>
      </c>
      <c r="K37" s="14" t="e">
        <f t="shared" ca="1" si="1"/>
        <v>#N/A</v>
      </c>
      <c r="L37" s="14" t="e">
        <f t="shared" ca="1" si="1"/>
        <v>#N/A</v>
      </c>
      <c r="M37" s="14" t="e">
        <f t="shared" ca="1" si="1"/>
        <v>#N/A</v>
      </c>
      <c r="N37" s="14" t="e">
        <f t="shared" ca="1" si="1"/>
        <v>#N/A</v>
      </c>
      <c r="O37" s="14" t="e">
        <f t="shared" ca="1" si="2"/>
        <v>#N/A</v>
      </c>
      <c r="P37" s="14" t="e">
        <f t="shared" ca="1" si="2"/>
        <v>#N/A</v>
      </c>
      <c r="Q37" s="14" t="e">
        <f t="shared" ca="1" si="2"/>
        <v>#N/A</v>
      </c>
      <c r="R37" s="14" t="e">
        <f t="shared" ca="1" si="2"/>
        <v>#N/A</v>
      </c>
      <c r="S37" s="14" t="e">
        <f t="shared" ca="1" si="2"/>
        <v>#N/A</v>
      </c>
      <c r="T37" s="14" t="e">
        <f t="shared" ca="1" si="2"/>
        <v>#N/A</v>
      </c>
      <c r="U37" s="14" t="e">
        <f t="shared" ca="1" si="2"/>
        <v>#N/A</v>
      </c>
      <c r="V37" s="14" t="e">
        <f t="shared" ca="1" si="2"/>
        <v>#N/A</v>
      </c>
      <c r="W37" s="14" t="e">
        <f t="shared" ca="1" si="2"/>
        <v>#N/A</v>
      </c>
      <c r="X37" s="14" t="e">
        <f t="shared" ca="1" si="2"/>
        <v>#N/A</v>
      </c>
      <c r="Y37" s="14" t="e">
        <f t="shared" ca="1" si="3"/>
        <v>#N/A</v>
      </c>
      <c r="Z37" s="14" t="e">
        <f t="shared" ca="1" si="3"/>
        <v>#N/A</v>
      </c>
      <c r="AA37" s="14" t="e">
        <f t="shared" ca="1" si="3"/>
        <v>#N/A</v>
      </c>
      <c r="AB37" s="14" t="e">
        <f t="shared" ca="1" si="3"/>
        <v>#N/A</v>
      </c>
      <c r="AC37" s="14" t="e">
        <f t="shared" ca="1" si="3"/>
        <v>#N/A</v>
      </c>
      <c r="AD37" s="14" t="e">
        <f t="shared" ca="1" si="3"/>
        <v>#N/A</v>
      </c>
      <c r="AE37" s="14" t="e">
        <f t="shared" ca="1" si="3"/>
        <v>#N/A</v>
      </c>
      <c r="AF37" s="14" t="e">
        <f t="shared" ca="1" si="3"/>
        <v>#N/A</v>
      </c>
      <c r="AG37" s="14" t="e">
        <f t="shared" ca="1" si="3"/>
        <v>#N/A</v>
      </c>
      <c r="AH37" s="14" t="e">
        <f t="shared" ca="1" si="3"/>
        <v>#N/A</v>
      </c>
      <c r="AI37" s="14" t="e">
        <f t="shared" ca="1" si="3"/>
        <v>#N/A</v>
      </c>
      <c r="AJ37" s="14" t="e">
        <f t="shared" ca="1" si="3"/>
        <v>#N/A</v>
      </c>
      <c r="AK37" s="14" t="e">
        <f t="shared" ca="1" si="3"/>
        <v>#N/A</v>
      </c>
      <c r="AL37" s="14" t="e">
        <f t="shared" ca="1" si="3"/>
        <v>#N/A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20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L40" si="4">G3</f>
        <v>0</v>
      </c>
      <c r="H40" s="8">
        <f t="shared" si="4"/>
        <v>0</v>
      </c>
      <c r="I40" s="8">
        <f t="shared" si="4"/>
        <v>0</v>
      </c>
      <c r="J40" s="8">
        <f t="shared" si="4"/>
        <v>0</v>
      </c>
      <c r="K40" s="8">
        <f t="shared" si="4"/>
        <v>0</v>
      </c>
      <c r="L40" s="8">
        <f t="shared" si="4"/>
        <v>0</v>
      </c>
      <c r="M40" s="8">
        <f t="shared" si="4"/>
        <v>0</v>
      </c>
      <c r="N40" s="8">
        <f t="shared" si="4"/>
        <v>0</v>
      </c>
      <c r="O40" s="8">
        <f t="shared" si="4"/>
        <v>0</v>
      </c>
      <c r="P40" s="8">
        <f t="shared" si="4"/>
        <v>0</v>
      </c>
      <c r="Q40" s="8">
        <f t="shared" si="4"/>
        <v>0</v>
      </c>
      <c r="R40" s="8">
        <f t="shared" si="4"/>
        <v>0</v>
      </c>
      <c r="S40" s="8">
        <f t="shared" si="4"/>
        <v>0</v>
      </c>
      <c r="T40" s="8">
        <f t="shared" si="4"/>
        <v>0</v>
      </c>
      <c r="U40" s="8">
        <f t="shared" si="4"/>
        <v>0</v>
      </c>
      <c r="V40" s="8">
        <f t="shared" si="4"/>
        <v>0</v>
      </c>
      <c r="W40" s="8">
        <f t="shared" si="4"/>
        <v>0</v>
      </c>
      <c r="X40" s="8">
        <f t="shared" si="4"/>
        <v>0</v>
      </c>
      <c r="Y40" s="8">
        <f t="shared" si="4"/>
        <v>0</v>
      </c>
      <c r="Z40" s="8">
        <f t="shared" si="4"/>
        <v>0</v>
      </c>
      <c r="AA40" s="8">
        <f t="shared" si="4"/>
        <v>0</v>
      </c>
      <c r="AB40" s="8">
        <f t="shared" si="4"/>
        <v>0</v>
      </c>
      <c r="AC40" s="8">
        <f t="shared" si="4"/>
        <v>0</v>
      </c>
      <c r="AD40" s="8">
        <f t="shared" si="4"/>
        <v>0</v>
      </c>
      <c r="AE40" s="8">
        <f t="shared" si="4"/>
        <v>0</v>
      </c>
      <c r="AF40" s="8">
        <f t="shared" si="4"/>
        <v>0</v>
      </c>
      <c r="AG40" s="8">
        <f t="shared" si="4"/>
        <v>0</v>
      </c>
      <c r="AH40" s="8">
        <f t="shared" si="4"/>
        <v>0</v>
      </c>
      <c r="AI40" s="8">
        <f t="shared" si="4"/>
        <v>0</v>
      </c>
      <c r="AJ40" s="8">
        <f t="shared" si="4"/>
        <v>0</v>
      </c>
      <c r="AK40" s="8">
        <f t="shared" si="4"/>
        <v>0</v>
      </c>
      <c r="AL40" s="8">
        <f t="shared" si="4"/>
        <v>0</v>
      </c>
    </row>
    <row r="41" spans="1:54" ht="21" customHeight="1" outlineLevel="1" thickTop="1" x14ac:dyDescent="0.35">
      <c r="A41" s="9">
        <f>Values!D3/Values!$E$3</f>
        <v>5</v>
      </c>
      <c r="B41" s="9">
        <f>Values!E3/Values!$E$3</f>
        <v>1</v>
      </c>
      <c r="C41" s="9">
        <f>Values!F3/Values!$E$3</f>
        <v>7</v>
      </c>
      <c r="D41" s="9">
        <f>Values!G3/Values!$E$3</f>
        <v>12</v>
      </c>
      <c r="E41" s="9">
        <f>SUM(A41:D41)</f>
        <v>25</v>
      </c>
      <c r="F41" s="10" t="e">
        <f t="shared" ref="F41:AL41" ca="1" si="5">($B$41*H.Ge+$C$41*H.Ga+$D$41*H.Se)*F$40*$B$2/1000</f>
        <v>#N/A</v>
      </c>
      <c r="G41" s="10" t="e">
        <f t="shared" ca="1" si="5"/>
        <v>#N/A</v>
      </c>
      <c r="H41" s="10" t="e">
        <f t="shared" ca="1" si="5"/>
        <v>#N/A</v>
      </c>
      <c r="I41" s="10" t="e">
        <f t="shared" ca="1" si="5"/>
        <v>#N/A</v>
      </c>
      <c r="J41" s="10" t="e">
        <f t="shared" ca="1" si="5"/>
        <v>#N/A</v>
      </c>
      <c r="K41" s="10" t="e">
        <f t="shared" ca="1" si="5"/>
        <v>#N/A</v>
      </c>
      <c r="L41" s="10" t="e">
        <f t="shared" ca="1" si="5"/>
        <v>#N/A</v>
      </c>
      <c r="M41" s="10" t="e">
        <f t="shared" ca="1" si="5"/>
        <v>#N/A</v>
      </c>
      <c r="N41" s="10" t="e">
        <f t="shared" ca="1" si="5"/>
        <v>#N/A</v>
      </c>
      <c r="O41" s="10" t="e">
        <f t="shared" ca="1" si="5"/>
        <v>#N/A</v>
      </c>
      <c r="P41" s="10" t="e">
        <f t="shared" ca="1" si="5"/>
        <v>#N/A</v>
      </c>
      <c r="Q41" s="10" t="e">
        <f t="shared" ca="1" si="5"/>
        <v>#N/A</v>
      </c>
      <c r="R41" s="10" t="e">
        <f t="shared" ca="1" si="5"/>
        <v>#N/A</v>
      </c>
      <c r="S41" s="10" t="e">
        <f t="shared" ca="1" si="5"/>
        <v>#N/A</v>
      </c>
      <c r="T41" s="10" t="e">
        <f t="shared" ca="1" si="5"/>
        <v>#N/A</v>
      </c>
      <c r="U41" s="10" t="e">
        <f t="shared" ca="1" si="5"/>
        <v>#N/A</v>
      </c>
      <c r="V41" s="10" t="e">
        <f t="shared" ca="1" si="5"/>
        <v>#N/A</v>
      </c>
      <c r="W41" s="10" t="e">
        <f t="shared" ca="1" si="5"/>
        <v>#N/A</v>
      </c>
      <c r="X41" s="10" t="e">
        <f t="shared" ca="1" si="5"/>
        <v>#N/A</v>
      </c>
      <c r="Y41" s="10" t="e">
        <f t="shared" ca="1" si="5"/>
        <v>#N/A</v>
      </c>
      <c r="Z41" s="10" t="e">
        <f t="shared" ca="1" si="5"/>
        <v>#N/A</v>
      </c>
      <c r="AA41" s="10" t="e">
        <f t="shared" ca="1" si="5"/>
        <v>#N/A</v>
      </c>
      <c r="AB41" s="10" t="e">
        <f t="shared" ca="1" si="5"/>
        <v>#N/A</v>
      </c>
      <c r="AC41" s="10" t="e">
        <f t="shared" ca="1" si="5"/>
        <v>#N/A</v>
      </c>
      <c r="AD41" s="10" t="e">
        <f t="shared" ca="1" si="5"/>
        <v>#N/A</v>
      </c>
      <c r="AE41" s="10" t="e">
        <f t="shared" ca="1" si="5"/>
        <v>#N/A</v>
      </c>
      <c r="AF41" s="10" t="e">
        <f t="shared" ca="1" si="5"/>
        <v>#N/A</v>
      </c>
      <c r="AG41" s="10" t="e">
        <f t="shared" ca="1" si="5"/>
        <v>#N/A</v>
      </c>
      <c r="AH41" s="10" t="e">
        <f t="shared" ca="1" si="5"/>
        <v>#N/A</v>
      </c>
      <c r="AI41" s="10" t="e">
        <f t="shared" ca="1" si="5"/>
        <v>#N/A</v>
      </c>
      <c r="AJ41" s="10" t="e">
        <f t="shared" ca="1" si="5"/>
        <v>#N/A</v>
      </c>
      <c r="AK41" s="10" t="e">
        <f t="shared" ca="1" si="5"/>
        <v>#N/A</v>
      </c>
      <c r="AL41" s="10" t="e">
        <f t="shared" ca="1" si="5"/>
        <v>#N/A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thickBot="1" x14ac:dyDescent="0.45">
      <c r="A44" s="72"/>
      <c r="B44" s="72"/>
      <c r="C44" s="72"/>
      <c r="D44" s="72"/>
      <c r="E44" s="71" t="s">
        <v>21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6">E3</f>
        <v>0</v>
      </c>
      <c r="F45" s="3">
        <f t="shared" si="6"/>
        <v>0</v>
      </c>
      <c r="G45" s="3">
        <f t="shared" si="6"/>
        <v>0</v>
      </c>
      <c r="H45" s="3">
        <f t="shared" si="6"/>
        <v>0</v>
      </c>
      <c r="I45" s="3">
        <f t="shared" si="6"/>
        <v>0</v>
      </c>
      <c r="J45" s="3">
        <f t="shared" si="6"/>
        <v>0</v>
      </c>
      <c r="K45" s="3">
        <f t="shared" si="6"/>
        <v>0</v>
      </c>
      <c r="L45" s="3">
        <f t="shared" si="6"/>
        <v>0</v>
      </c>
      <c r="M45" s="3">
        <f t="shared" si="6"/>
        <v>0</v>
      </c>
      <c r="N45" s="3">
        <f t="shared" si="6"/>
        <v>0</v>
      </c>
      <c r="O45" s="3">
        <f t="shared" si="6"/>
        <v>0</v>
      </c>
      <c r="P45" s="3">
        <f t="shared" si="6"/>
        <v>0</v>
      </c>
      <c r="Q45" s="3">
        <f t="shared" si="6"/>
        <v>0</v>
      </c>
      <c r="R45" s="3">
        <f t="shared" si="6"/>
        <v>0</v>
      </c>
      <c r="S45" s="3">
        <f t="shared" si="6"/>
        <v>0</v>
      </c>
      <c r="T45" s="3">
        <f t="shared" si="6"/>
        <v>0</v>
      </c>
      <c r="U45" s="3">
        <f t="shared" si="6"/>
        <v>0</v>
      </c>
      <c r="V45" s="3">
        <f t="shared" si="6"/>
        <v>0</v>
      </c>
      <c r="W45" s="3">
        <f t="shared" si="6"/>
        <v>0</v>
      </c>
      <c r="X45" s="3">
        <f t="shared" si="6"/>
        <v>0</v>
      </c>
      <c r="Y45" s="3">
        <f t="shared" si="6"/>
        <v>0</v>
      </c>
      <c r="Z45" s="3">
        <f t="shared" si="6"/>
        <v>0</v>
      </c>
      <c r="AA45" s="3">
        <f t="shared" si="6"/>
        <v>0</v>
      </c>
      <c r="AB45" s="3">
        <f t="shared" si="6"/>
        <v>0</v>
      </c>
      <c r="AC45" s="3">
        <f t="shared" si="6"/>
        <v>0</v>
      </c>
      <c r="AD45" s="3">
        <f t="shared" si="6"/>
        <v>0</v>
      </c>
      <c r="AE45" s="3">
        <f t="shared" si="6"/>
        <v>0</v>
      </c>
      <c r="AF45" s="3">
        <f t="shared" si="6"/>
        <v>0</v>
      </c>
      <c r="AG45" s="3">
        <f t="shared" si="6"/>
        <v>0</v>
      </c>
      <c r="AH45" s="3">
        <f t="shared" si="6"/>
        <v>0</v>
      </c>
      <c r="AI45" s="3">
        <f t="shared" si="6"/>
        <v>0</v>
      </c>
      <c r="AJ45" s="3">
        <f t="shared" si="6"/>
        <v>0</v>
      </c>
      <c r="AK45" s="3">
        <f t="shared" si="6"/>
        <v>0</v>
      </c>
      <c r="AL45" s="3">
        <f t="shared" si="6"/>
        <v>0</v>
      </c>
    </row>
    <row r="46" spans="1:54" ht="21" customHeight="1" outlineLevel="1" thickTop="1" thickBot="1" x14ac:dyDescent="0.4">
      <c r="A46" s="5">
        <f t="shared" ref="A46:E55" si="7">A4</f>
        <v>0</v>
      </c>
      <c r="B46" s="5">
        <f t="shared" si="7"/>
        <v>0</v>
      </c>
      <c r="C46" s="5">
        <f t="shared" si="7"/>
        <v>0</v>
      </c>
      <c r="D46" s="5">
        <f t="shared" si="7"/>
        <v>0</v>
      </c>
      <c r="E46" s="6">
        <f t="shared" si="7"/>
        <v>0</v>
      </c>
      <c r="F46" s="14" t="e">
        <f t="shared" ref="F46:O55" ca="1" si="8">$A46*H.Ar + $B46*H.Se + $C46*H.Ge + $D46*H.Ga</f>
        <v>#N/A</v>
      </c>
      <c r="G46" s="14" t="e">
        <f t="shared" ca="1" si="8"/>
        <v>#N/A</v>
      </c>
      <c r="H46" s="14" t="e">
        <f t="shared" ca="1" si="8"/>
        <v>#N/A</v>
      </c>
      <c r="I46" s="14" t="e">
        <f t="shared" ca="1" si="8"/>
        <v>#N/A</v>
      </c>
      <c r="J46" s="14" t="e">
        <f t="shared" ca="1" si="8"/>
        <v>#N/A</v>
      </c>
      <c r="K46" s="14" t="e">
        <f t="shared" ca="1" si="8"/>
        <v>#N/A</v>
      </c>
      <c r="L46" s="14" t="e">
        <f t="shared" ca="1" si="8"/>
        <v>#N/A</v>
      </c>
      <c r="M46" s="14" t="e">
        <f t="shared" ca="1" si="8"/>
        <v>#N/A</v>
      </c>
      <c r="N46" s="14" t="e">
        <f t="shared" ca="1" si="8"/>
        <v>#N/A</v>
      </c>
      <c r="O46" s="14" t="e">
        <f t="shared" ca="1" si="8"/>
        <v>#N/A</v>
      </c>
      <c r="P46" s="14" t="e">
        <f t="shared" ref="P46:Y55" ca="1" si="9">$A46*H.Ar + $B46*H.Se + $C46*H.Ge + $D46*H.Ga</f>
        <v>#N/A</v>
      </c>
      <c r="Q46" s="14" t="e">
        <f t="shared" ca="1" si="9"/>
        <v>#N/A</v>
      </c>
      <c r="R46" s="14" t="e">
        <f t="shared" ca="1" si="9"/>
        <v>#N/A</v>
      </c>
      <c r="S46" s="14" t="e">
        <f t="shared" ca="1" si="9"/>
        <v>#N/A</v>
      </c>
      <c r="T46" s="14" t="e">
        <f t="shared" ca="1" si="9"/>
        <v>#N/A</v>
      </c>
      <c r="U46" s="14" t="e">
        <f t="shared" ca="1" si="9"/>
        <v>#N/A</v>
      </c>
      <c r="V46" s="14" t="e">
        <f t="shared" ca="1" si="9"/>
        <v>#N/A</v>
      </c>
      <c r="W46" s="14" t="e">
        <f t="shared" ca="1" si="9"/>
        <v>#N/A</v>
      </c>
      <c r="X46" s="14" t="e">
        <f t="shared" ca="1" si="9"/>
        <v>#N/A</v>
      </c>
      <c r="Y46" s="14" t="e">
        <f t="shared" ca="1" si="9"/>
        <v>#N/A</v>
      </c>
      <c r="Z46" s="14" t="e">
        <f t="shared" ref="Z46:AL55" ca="1" si="10">$A46*H.Ar + $B46*H.Se + $C46*H.Ge + $D46*H.Ga</f>
        <v>#N/A</v>
      </c>
      <c r="AA46" s="14" t="e">
        <f t="shared" ca="1" si="10"/>
        <v>#N/A</v>
      </c>
      <c r="AB46" s="14" t="e">
        <f t="shared" ca="1" si="10"/>
        <v>#N/A</v>
      </c>
      <c r="AC46" s="14" t="e">
        <f t="shared" ca="1" si="10"/>
        <v>#N/A</v>
      </c>
      <c r="AD46" s="14" t="e">
        <f t="shared" ca="1" si="10"/>
        <v>#N/A</v>
      </c>
      <c r="AE46" s="14" t="e">
        <f t="shared" ca="1" si="10"/>
        <v>#N/A</v>
      </c>
      <c r="AF46" s="14" t="e">
        <f t="shared" ca="1" si="10"/>
        <v>#N/A</v>
      </c>
      <c r="AG46" s="14" t="e">
        <f t="shared" ca="1" si="10"/>
        <v>#N/A</v>
      </c>
      <c r="AH46" s="14" t="e">
        <f t="shared" ca="1" si="10"/>
        <v>#N/A</v>
      </c>
      <c r="AI46" s="14" t="e">
        <f t="shared" ca="1" si="10"/>
        <v>#N/A</v>
      </c>
      <c r="AJ46" s="14" t="e">
        <f t="shared" ca="1" si="10"/>
        <v>#N/A</v>
      </c>
      <c r="AK46" s="14" t="e">
        <f t="shared" ca="1" si="10"/>
        <v>#N/A</v>
      </c>
      <c r="AL46" s="14" t="e">
        <f t="shared" ca="1" si="10"/>
        <v>#N/A</v>
      </c>
    </row>
    <row r="47" spans="1:54" ht="21" customHeight="1" outlineLevel="1" thickBot="1" x14ac:dyDescent="0.4">
      <c r="A47" s="5">
        <f t="shared" si="7"/>
        <v>0</v>
      </c>
      <c r="B47" s="5">
        <f t="shared" si="7"/>
        <v>0</v>
      </c>
      <c r="C47" s="5">
        <f t="shared" si="7"/>
        <v>0</v>
      </c>
      <c r="D47" s="5">
        <f t="shared" si="7"/>
        <v>0</v>
      </c>
      <c r="E47" s="6">
        <f t="shared" si="7"/>
        <v>0</v>
      </c>
      <c r="F47" s="14" t="e">
        <f t="shared" ca="1" si="8"/>
        <v>#N/A</v>
      </c>
      <c r="G47" s="14" t="e">
        <f t="shared" ca="1" si="8"/>
        <v>#N/A</v>
      </c>
      <c r="H47" s="14" t="e">
        <f t="shared" ca="1" si="8"/>
        <v>#N/A</v>
      </c>
      <c r="I47" s="14" t="e">
        <f t="shared" ca="1" si="8"/>
        <v>#N/A</v>
      </c>
      <c r="J47" s="14" t="e">
        <f t="shared" ca="1" si="8"/>
        <v>#N/A</v>
      </c>
      <c r="K47" s="14" t="e">
        <f t="shared" ca="1" si="8"/>
        <v>#N/A</v>
      </c>
      <c r="L47" s="14" t="e">
        <f t="shared" ca="1" si="8"/>
        <v>#N/A</v>
      </c>
      <c r="M47" s="14" t="e">
        <f t="shared" ca="1" si="8"/>
        <v>#N/A</v>
      </c>
      <c r="N47" s="14" t="e">
        <f t="shared" ca="1" si="8"/>
        <v>#N/A</v>
      </c>
      <c r="O47" s="14" t="e">
        <f t="shared" ca="1" si="8"/>
        <v>#N/A</v>
      </c>
      <c r="P47" s="14" t="e">
        <f t="shared" ca="1" si="9"/>
        <v>#N/A</v>
      </c>
      <c r="Q47" s="14" t="e">
        <f t="shared" ca="1" si="9"/>
        <v>#N/A</v>
      </c>
      <c r="R47" s="14" t="e">
        <f t="shared" ca="1" si="9"/>
        <v>#N/A</v>
      </c>
      <c r="S47" s="14" t="e">
        <f t="shared" ca="1" si="9"/>
        <v>#N/A</v>
      </c>
      <c r="T47" s="14" t="e">
        <f t="shared" ca="1" si="9"/>
        <v>#N/A</v>
      </c>
      <c r="U47" s="14" t="e">
        <f t="shared" ca="1" si="9"/>
        <v>#N/A</v>
      </c>
      <c r="V47" s="14" t="e">
        <f t="shared" ca="1" si="9"/>
        <v>#N/A</v>
      </c>
      <c r="W47" s="14" t="e">
        <f t="shared" ca="1" si="9"/>
        <v>#N/A</v>
      </c>
      <c r="X47" s="14" t="e">
        <f t="shared" ca="1" si="9"/>
        <v>#N/A</v>
      </c>
      <c r="Y47" s="14" t="e">
        <f t="shared" ca="1" si="9"/>
        <v>#N/A</v>
      </c>
      <c r="Z47" s="14" t="e">
        <f t="shared" ca="1" si="10"/>
        <v>#N/A</v>
      </c>
      <c r="AA47" s="14" t="e">
        <f t="shared" ca="1" si="10"/>
        <v>#N/A</v>
      </c>
      <c r="AB47" s="14" t="e">
        <f t="shared" ca="1" si="10"/>
        <v>#N/A</v>
      </c>
      <c r="AC47" s="14" t="e">
        <f t="shared" ca="1" si="10"/>
        <v>#N/A</v>
      </c>
      <c r="AD47" s="14" t="e">
        <f t="shared" ca="1" si="10"/>
        <v>#N/A</v>
      </c>
      <c r="AE47" s="14" t="e">
        <f t="shared" ca="1" si="10"/>
        <v>#N/A</v>
      </c>
      <c r="AF47" s="14" t="e">
        <f t="shared" ca="1" si="10"/>
        <v>#N/A</v>
      </c>
      <c r="AG47" s="14" t="e">
        <f t="shared" ca="1" si="10"/>
        <v>#N/A</v>
      </c>
      <c r="AH47" s="14" t="e">
        <f t="shared" ca="1" si="10"/>
        <v>#N/A</v>
      </c>
      <c r="AI47" s="14" t="e">
        <f t="shared" ca="1" si="10"/>
        <v>#N/A</v>
      </c>
      <c r="AJ47" s="14" t="e">
        <f t="shared" ca="1" si="10"/>
        <v>#N/A</v>
      </c>
      <c r="AK47" s="14" t="e">
        <f t="shared" ca="1" si="10"/>
        <v>#N/A</v>
      </c>
      <c r="AL47" s="14" t="e">
        <f t="shared" ca="1" si="10"/>
        <v>#N/A</v>
      </c>
    </row>
    <row r="48" spans="1:54" ht="21" customHeight="1" outlineLevel="1" thickBot="1" x14ac:dyDescent="0.4">
      <c r="A48" s="5">
        <f t="shared" si="7"/>
        <v>0</v>
      </c>
      <c r="B48" s="5">
        <f t="shared" si="7"/>
        <v>0</v>
      </c>
      <c r="C48" s="5">
        <f t="shared" si="7"/>
        <v>0</v>
      </c>
      <c r="D48" s="5">
        <f t="shared" si="7"/>
        <v>0</v>
      </c>
      <c r="E48" s="6">
        <f t="shared" si="7"/>
        <v>0</v>
      </c>
      <c r="F48" s="14" t="e">
        <f t="shared" ca="1" si="8"/>
        <v>#N/A</v>
      </c>
      <c r="G48" s="14" t="e">
        <f t="shared" ca="1" si="8"/>
        <v>#N/A</v>
      </c>
      <c r="H48" s="14" t="e">
        <f t="shared" ca="1" si="8"/>
        <v>#N/A</v>
      </c>
      <c r="I48" s="14" t="e">
        <f t="shared" ca="1" si="8"/>
        <v>#N/A</v>
      </c>
      <c r="J48" s="14" t="e">
        <f t="shared" ca="1" si="8"/>
        <v>#N/A</v>
      </c>
      <c r="K48" s="14" t="e">
        <f t="shared" ca="1" si="8"/>
        <v>#N/A</v>
      </c>
      <c r="L48" s="14" t="e">
        <f t="shared" ca="1" si="8"/>
        <v>#N/A</v>
      </c>
      <c r="M48" s="14" t="e">
        <f t="shared" ca="1" si="8"/>
        <v>#N/A</v>
      </c>
      <c r="N48" s="14" t="e">
        <f t="shared" ca="1" si="8"/>
        <v>#N/A</v>
      </c>
      <c r="O48" s="14" t="e">
        <f t="shared" ca="1" si="8"/>
        <v>#N/A</v>
      </c>
      <c r="P48" s="14" t="e">
        <f t="shared" ca="1" si="9"/>
        <v>#N/A</v>
      </c>
      <c r="Q48" s="14" t="e">
        <f t="shared" ca="1" si="9"/>
        <v>#N/A</v>
      </c>
      <c r="R48" s="14" t="e">
        <f t="shared" ca="1" si="9"/>
        <v>#N/A</v>
      </c>
      <c r="S48" s="14" t="e">
        <f t="shared" ca="1" si="9"/>
        <v>#N/A</v>
      </c>
      <c r="T48" s="14" t="e">
        <f t="shared" ca="1" si="9"/>
        <v>#N/A</v>
      </c>
      <c r="U48" s="14" t="e">
        <f t="shared" ca="1" si="9"/>
        <v>#N/A</v>
      </c>
      <c r="V48" s="14" t="e">
        <f t="shared" ca="1" si="9"/>
        <v>#N/A</v>
      </c>
      <c r="W48" s="14" t="e">
        <f t="shared" ca="1" si="9"/>
        <v>#N/A</v>
      </c>
      <c r="X48" s="14" t="e">
        <f t="shared" ca="1" si="9"/>
        <v>#N/A</v>
      </c>
      <c r="Y48" s="14" t="e">
        <f t="shared" ca="1" si="9"/>
        <v>#N/A</v>
      </c>
      <c r="Z48" s="14" t="e">
        <f t="shared" ca="1" si="10"/>
        <v>#N/A</v>
      </c>
      <c r="AA48" s="14" t="e">
        <f t="shared" ca="1" si="10"/>
        <v>#N/A</v>
      </c>
      <c r="AB48" s="14" t="e">
        <f t="shared" ca="1" si="10"/>
        <v>#N/A</v>
      </c>
      <c r="AC48" s="14" t="e">
        <f t="shared" ca="1" si="10"/>
        <v>#N/A</v>
      </c>
      <c r="AD48" s="14" t="e">
        <f t="shared" ca="1" si="10"/>
        <v>#N/A</v>
      </c>
      <c r="AE48" s="14" t="e">
        <f t="shared" ca="1" si="10"/>
        <v>#N/A</v>
      </c>
      <c r="AF48" s="14" t="e">
        <f t="shared" ca="1" si="10"/>
        <v>#N/A</v>
      </c>
      <c r="AG48" s="14" t="e">
        <f t="shared" ca="1" si="10"/>
        <v>#N/A</v>
      </c>
      <c r="AH48" s="14" t="e">
        <f t="shared" ca="1" si="10"/>
        <v>#N/A</v>
      </c>
      <c r="AI48" s="14" t="e">
        <f t="shared" ca="1" si="10"/>
        <v>#N/A</v>
      </c>
      <c r="AJ48" s="14" t="e">
        <f t="shared" ca="1" si="10"/>
        <v>#N/A</v>
      </c>
      <c r="AK48" s="14" t="e">
        <f t="shared" ca="1" si="10"/>
        <v>#N/A</v>
      </c>
      <c r="AL48" s="14" t="e">
        <f t="shared" ca="1" si="10"/>
        <v>#N/A</v>
      </c>
    </row>
    <row r="49" spans="1:38" ht="21" customHeight="1" outlineLevel="1" thickBot="1" x14ac:dyDescent="0.4">
      <c r="A49" s="5">
        <f t="shared" si="7"/>
        <v>0</v>
      </c>
      <c r="B49" s="5">
        <f t="shared" si="7"/>
        <v>0</v>
      </c>
      <c r="C49" s="5">
        <f t="shared" si="7"/>
        <v>0</v>
      </c>
      <c r="D49" s="5">
        <f t="shared" si="7"/>
        <v>0</v>
      </c>
      <c r="E49" s="6">
        <f t="shared" si="7"/>
        <v>0</v>
      </c>
      <c r="F49" s="14" t="e">
        <f t="shared" ca="1" si="8"/>
        <v>#N/A</v>
      </c>
      <c r="G49" s="14" t="e">
        <f t="shared" ca="1" si="8"/>
        <v>#N/A</v>
      </c>
      <c r="H49" s="14" t="e">
        <f t="shared" ca="1" si="8"/>
        <v>#N/A</v>
      </c>
      <c r="I49" s="14" t="e">
        <f t="shared" ca="1" si="8"/>
        <v>#N/A</v>
      </c>
      <c r="J49" s="14" t="e">
        <f t="shared" ca="1" si="8"/>
        <v>#N/A</v>
      </c>
      <c r="K49" s="14" t="e">
        <f t="shared" ca="1" si="8"/>
        <v>#N/A</v>
      </c>
      <c r="L49" s="14" t="e">
        <f t="shared" ca="1" si="8"/>
        <v>#N/A</v>
      </c>
      <c r="M49" s="14" t="e">
        <f t="shared" ca="1" si="8"/>
        <v>#N/A</v>
      </c>
      <c r="N49" s="14" t="e">
        <f t="shared" ca="1" si="8"/>
        <v>#N/A</v>
      </c>
      <c r="O49" s="14" t="e">
        <f t="shared" ca="1" si="8"/>
        <v>#N/A</v>
      </c>
      <c r="P49" s="14" t="e">
        <f t="shared" ca="1" si="9"/>
        <v>#N/A</v>
      </c>
      <c r="Q49" s="14" t="e">
        <f t="shared" ca="1" si="9"/>
        <v>#N/A</v>
      </c>
      <c r="R49" s="14" t="e">
        <f t="shared" ca="1" si="9"/>
        <v>#N/A</v>
      </c>
      <c r="S49" s="14" t="e">
        <f t="shared" ca="1" si="9"/>
        <v>#N/A</v>
      </c>
      <c r="T49" s="14" t="e">
        <f t="shared" ca="1" si="9"/>
        <v>#N/A</v>
      </c>
      <c r="U49" s="14" t="e">
        <f t="shared" ca="1" si="9"/>
        <v>#N/A</v>
      </c>
      <c r="V49" s="14" t="e">
        <f t="shared" ca="1" si="9"/>
        <v>#N/A</v>
      </c>
      <c r="W49" s="14" t="e">
        <f t="shared" ca="1" si="9"/>
        <v>#N/A</v>
      </c>
      <c r="X49" s="14" t="e">
        <f t="shared" ca="1" si="9"/>
        <v>#N/A</v>
      </c>
      <c r="Y49" s="14" t="e">
        <f t="shared" ca="1" si="9"/>
        <v>#N/A</v>
      </c>
      <c r="Z49" s="14" t="e">
        <f t="shared" ca="1" si="10"/>
        <v>#N/A</v>
      </c>
      <c r="AA49" s="14" t="e">
        <f t="shared" ca="1" si="10"/>
        <v>#N/A</v>
      </c>
      <c r="AB49" s="14" t="e">
        <f t="shared" ca="1" si="10"/>
        <v>#N/A</v>
      </c>
      <c r="AC49" s="14" t="e">
        <f t="shared" ca="1" si="10"/>
        <v>#N/A</v>
      </c>
      <c r="AD49" s="14" t="e">
        <f t="shared" ca="1" si="10"/>
        <v>#N/A</v>
      </c>
      <c r="AE49" s="14" t="e">
        <f t="shared" ca="1" si="10"/>
        <v>#N/A</v>
      </c>
      <c r="AF49" s="14" t="e">
        <f t="shared" ca="1" si="10"/>
        <v>#N/A</v>
      </c>
      <c r="AG49" s="14" t="e">
        <f t="shared" ca="1" si="10"/>
        <v>#N/A</v>
      </c>
      <c r="AH49" s="14" t="e">
        <f t="shared" ca="1" si="10"/>
        <v>#N/A</v>
      </c>
      <c r="AI49" s="14" t="e">
        <f t="shared" ca="1" si="10"/>
        <v>#N/A</v>
      </c>
      <c r="AJ49" s="14" t="e">
        <f t="shared" ca="1" si="10"/>
        <v>#N/A</v>
      </c>
      <c r="AK49" s="14" t="e">
        <f t="shared" ca="1" si="10"/>
        <v>#N/A</v>
      </c>
      <c r="AL49" s="14" t="e">
        <f t="shared" ca="1" si="10"/>
        <v>#N/A</v>
      </c>
    </row>
    <row r="50" spans="1:38" ht="21" customHeight="1" outlineLevel="1" thickBot="1" x14ac:dyDescent="0.4">
      <c r="A50" s="5">
        <f t="shared" si="7"/>
        <v>0</v>
      </c>
      <c r="B50" s="5">
        <f t="shared" si="7"/>
        <v>0</v>
      </c>
      <c r="C50" s="5">
        <f t="shared" si="7"/>
        <v>0</v>
      </c>
      <c r="D50" s="5">
        <f t="shared" si="7"/>
        <v>0</v>
      </c>
      <c r="E50" s="6">
        <f t="shared" si="7"/>
        <v>0</v>
      </c>
      <c r="F50" s="14" t="e">
        <f t="shared" ca="1" si="8"/>
        <v>#N/A</v>
      </c>
      <c r="G50" s="14" t="e">
        <f t="shared" ca="1" si="8"/>
        <v>#N/A</v>
      </c>
      <c r="H50" s="14" t="e">
        <f t="shared" ca="1" si="8"/>
        <v>#N/A</v>
      </c>
      <c r="I50" s="14" t="e">
        <f t="shared" ca="1" si="8"/>
        <v>#N/A</v>
      </c>
      <c r="J50" s="14" t="e">
        <f t="shared" ca="1" si="8"/>
        <v>#N/A</v>
      </c>
      <c r="K50" s="14" t="e">
        <f t="shared" ca="1" si="8"/>
        <v>#N/A</v>
      </c>
      <c r="L50" s="14" t="e">
        <f t="shared" ca="1" si="8"/>
        <v>#N/A</v>
      </c>
      <c r="M50" s="14" t="e">
        <f t="shared" ca="1" si="8"/>
        <v>#N/A</v>
      </c>
      <c r="N50" s="14" t="e">
        <f t="shared" ca="1" si="8"/>
        <v>#N/A</v>
      </c>
      <c r="O50" s="14" t="e">
        <f t="shared" ca="1" si="8"/>
        <v>#N/A</v>
      </c>
      <c r="P50" s="14" t="e">
        <f t="shared" ca="1" si="9"/>
        <v>#N/A</v>
      </c>
      <c r="Q50" s="14" t="e">
        <f t="shared" ca="1" si="9"/>
        <v>#N/A</v>
      </c>
      <c r="R50" s="14" t="e">
        <f t="shared" ca="1" si="9"/>
        <v>#N/A</v>
      </c>
      <c r="S50" s="14" t="e">
        <f t="shared" ca="1" si="9"/>
        <v>#N/A</v>
      </c>
      <c r="T50" s="14" t="e">
        <f t="shared" ca="1" si="9"/>
        <v>#N/A</v>
      </c>
      <c r="U50" s="14" t="e">
        <f t="shared" ca="1" si="9"/>
        <v>#N/A</v>
      </c>
      <c r="V50" s="14" t="e">
        <f t="shared" ca="1" si="9"/>
        <v>#N/A</v>
      </c>
      <c r="W50" s="14" t="e">
        <f t="shared" ca="1" si="9"/>
        <v>#N/A</v>
      </c>
      <c r="X50" s="14" t="e">
        <f t="shared" ca="1" si="9"/>
        <v>#N/A</v>
      </c>
      <c r="Y50" s="14" t="e">
        <f t="shared" ca="1" si="9"/>
        <v>#N/A</v>
      </c>
      <c r="Z50" s="14" t="e">
        <f t="shared" ca="1" si="10"/>
        <v>#N/A</v>
      </c>
      <c r="AA50" s="14" t="e">
        <f t="shared" ca="1" si="10"/>
        <v>#N/A</v>
      </c>
      <c r="AB50" s="14" t="e">
        <f t="shared" ca="1" si="10"/>
        <v>#N/A</v>
      </c>
      <c r="AC50" s="14" t="e">
        <f t="shared" ca="1" si="10"/>
        <v>#N/A</v>
      </c>
      <c r="AD50" s="14" t="e">
        <f t="shared" ca="1" si="10"/>
        <v>#N/A</v>
      </c>
      <c r="AE50" s="14" t="e">
        <f t="shared" ca="1" si="10"/>
        <v>#N/A</v>
      </c>
      <c r="AF50" s="14" t="e">
        <f t="shared" ca="1" si="10"/>
        <v>#N/A</v>
      </c>
      <c r="AG50" s="14" t="e">
        <f t="shared" ca="1" si="10"/>
        <v>#N/A</v>
      </c>
      <c r="AH50" s="14" t="e">
        <f t="shared" ca="1" si="10"/>
        <v>#N/A</v>
      </c>
      <c r="AI50" s="14" t="e">
        <f t="shared" ca="1" si="10"/>
        <v>#N/A</v>
      </c>
      <c r="AJ50" s="14" t="e">
        <f t="shared" ca="1" si="10"/>
        <v>#N/A</v>
      </c>
      <c r="AK50" s="14" t="e">
        <f t="shared" ca="1" si="10"/>
        <v>#N/A</v>
      </c>
      <c r="AL50" s="14" t="e">
        <f t="shared" ca="1" si="10"/>
        <v>#N/A</v>
      </c>
    </row>
    <row r="51" spans="1:38" ht="21" customHeight="1" outlineLevel="1" thickBot="1" x14ac:dyDescent="0.4">
      <c r="A51" s="5">
        <f t="shared" si="7"/>
        <v>0</v>
      </c>
      <c r="B51" s="5">
        <f t="shared" si="7"/>
        <v>0</v>
      </c>
      <c r="C51" s="5">
        <f t="shared" si="7"/>
        <v>0</v>
      </c>
      <c r="D51" s="5">
        <f t="shared" si="7"/>
        <v>0</v>
      </c>
      <c r="E51" s="6">
        <f t="shared" si="7"/>
        <v>0</v>
      </c>
      <c r="F51" s="14" t="e">
        <f t="shared" ca="1" si="8"/>
        <v>#N/A</v>
      </c>
      <c r="G51" s="14" t="e">
        <f t="shared" ca="1" si="8"/>
        <v>#N/A</v>
      </c>
      <c r="H51" s="14" t="e">
        <f t="shared" ca="1" si="8"/>
        <v>#N/A</v>
      </c>
      <c r="I51" s="14" t="e">
        <f t="shared" ca="1" si="8"/>
        <v>#N/A</v>
      </c>
      <c r="J51" s="14" t="e">
        <f t="shared" ca="1" si="8"/>
        <v>#N/A</v>
      </c>
      <c r="K51" s="14" t="e">
        <f t="shared" ca="1" si="8"/>
        <v>#N/A</v>
      </c>
      <c r="L51" s="14" t="e">
        <f t="shared" ca="1" si="8"/>
        <v>#N/A</v>
      </c>
      <c r="M51" s="14" t="e">
        <f t="shared" ca="1" si="8"/>
        <v>#N/A</v>
      </c>
      <c r="N51" s="14" t="e">
        <f t="shared" ca="1" si="8"/>
        <v>#N/A</v>
      </c>
      <c r="O51" s="14" t="e">
        <f t="shared" ca="1" si="8"/>
        <v>#N/A</v>
      </c>
      <c r="P51" s="14" t="e">
        <f t="shared" ca="1" si="9"/>
        <v>#N/A</v>
      </c>
      <c r="Q51" s="14" t="e">
        <f t="shared" ca="1" si="9"/>
        <v>#N/A</v>
      </c>
      <c r="R51" s="14" t="e">
        <f t="shared" ca="1" si="9"/>
        <v>#N/A</v>
      </c>
      <c r="S51" s="14" t="e">
        <f t="shared" ca="1" si="9"/>
        <v>#N/A</v>
      </c>
      <c r="T51" s="14" t="e">
        <f t="shared" ca="1" si="9"/>
        <v>#N/A</v>
      </c>
      <c r="U51" s="14" t="e">
        <f t="shared" ca="1" si="9"/>
        <v>#N/A</v>
      </c>
      <c r="V51" s="14" t="e">
        <f t="shared" ca="1" si="9"/>
        <v>#N/A</v>
      </c>
      <c r="W51" s="14" t="e">
        <f t="shared" ca="1" si="9"/>
        <v>#N/A</v>
      </c>
      <c r="X51" s="14" t="e">
        <f t="shared" ca="1" si="9"/>
        <v>#N/A</v>
      </c>
      <c r="Y51" s="14" t="e">
        <f t="shared" ca="1" si="9"/>
        <v>#N/A</v>
      </c>
      <c r="Z51" s="14" t="e">
        <f t="shared" ca="1" si="10"/>
        <v>#N/A</v>
      </c>
      <c r="AA51" s="14" t="e">
        <f t="shared" ca="1" si="10"/>
        <v>#N/A</v>
      </c>
      <c r="AB51" s="14" t="e">
        <f t="shared" ca="1" si="10"/>
        <v>#N/A</v>
      </c>
      <c r="AC51" s="14" t="e">
        <f t="shared" ca="1" si="10"/>
        <v>#N/A</v>
      </c>
      <c r="AD51" s="14" t="e">
        <f t="shared" ca="1" si="10"/>
        <v>#N/A</v>
      </c>
      <c r="AE51" s="14" t="e">
        <f t="shared" ca="1" si="10"/>
        <v>#N/A</v>
      </c>
      <c r="AF51" s="14" t="e">
        <f t="shared" ca="1" si="10"/>
        <v>#N/A</v>
      </c>
      <c r="AG51" s="14" t="e">
        <f t="shared" ca="1" si="10"/>
        <v>#N/A</v>
      </c>
      <c r="AH51" s="14" t="e">
        <f t="shared" ca="1" si="10"/>
        <v>#N/A</v>
      </c>
      <c r="AI51" s="14" t="e">
        <f t="shared" ca="1" si="10"/>
        <v>#N/A</v>
      </c>
      <c r="AJ51" s="14" t="e">
        <f t="shared" ca="1" si="10"/>
        <v>#N/A</v>
      </c>
      <c r="AK51" s="14" t="e">
        <f t="shared" ca="1" si="10"/>
        <v>#N/A</v>
      </c>
      <c r="AL51" s="14" t="e">
        <f t="shared" ca="1" si="10"/>
        <v>#N/A</v>
      </c>
    </row>
    <row r="52" spans="1:38" ht="21" customHeight="1" outlineLevel="1" thickBot="1" x14ac:dyDescent="0.4">
      <c r="A52" s="5">
        <f t="shared" si="7"/>
        <v>0</v>
      </c>
      <c r="B52" s="5">
        <f t="shared" si="7"/>
        <v>0</v>
      </c>
      <c r="C52" s="5">
        <f t="shared" si="7"/>
        <v>0</v>
      </c>
      <c r="D52" s="5">
        <f t="shared" si="7"/>
        <v>0</v>
      </c>
      <c r="E52" s="6">
        <f t="shared" si="7"/>
        <v>0</v>
      </c>
      <c r="F52" s="14" t="e">
        <f t="shared" ca="1" si="8"/>
        <v>#N/A</v>
      </c>
      <c r="G52" s="14" t="e">
        <f t="shared" ca="1" si="8"/>
        <v>#N/A</v>
      </c>
      <c r="H52" s="14" t="e">
        <f t="shared" ca="1" si="8"/>
        <v>#N/A</v>
      </c>
      <c r="I52" s="14" t="e">
        <f t="shared" ca="1" si="8"/>
        <v>#N/A</v>
      </c>
      <c r="J52" s="14" t="e">
        <f t="shared" ca="1" si="8"/>
        <v>#N/A</v>
      </c>
      <c r="K52" s="14" t="e">
        <f t="shared" ca="1" si="8"/>
        <v>#N/A</v>
      </c>
      <c r="L52" s="14" t="e">
        <f t="shared" ca="1" si="8"/>
        <v>#N/A</v>
      </c>
      <c r="M52" s="14" t="e">
        <f t="shared" ca="1" si="8"/>
        <v>#N/A</v>
      </c>
      <c r="N52" s="14" t="e">
        <f t="shared" ca="1" si="8"/>
        <v>#N/A</v>
      </c>
      <c r="O52" s="14" t="e">
        <f t="shared" ca="1" si="8"/>
        <v>#N/A</v>
      </c>
      <c r="P52" s="14" t="e">
        <f t="shared" ca="1" si="9"/>
        <v>#N/A</v>
      </c>
      <c r="Q52" s="14" t="e">
        <f t="shared" ca="1" si="9"/>
        <v>#N/A</v>
      </c>
      <c r="R52" s="14" t="e">
        <f t="shared" ca="1" si="9"/>
        <v>#N/A</v>
      </c>
      <c r="S52" s="14" t="e">
        <f t="shared" ca="1" si="9"/>
        <v>#N/A</v>
      </c>
      <c r="T52" s="14" t="e">
        <f t="shared" ca="1" si="9"/>
        <v>#N/A</v>
      </c>
      <c r="U52" s="14" t="e">
        <f t="shared" ca="1" si="9"/>
        <v>#N/A</v>
      </c>
      <c r="V52" s="14" t="e">
        <f t="shared" ca="1" si="9"/>
        <v>#N/A</v>
      </c>
      <c r="W52" s="14" t="e">
        <f t="shared" ca="1" si="9"/>
        <v>#N/A</v>
      </c>
      <c r="X52" s="14" t="e">
        <f t="shared" ca="1" si="9"/>
        <v>#N/A</v>
      </c>
      <c r="Y52" s="14" t="e">
        <f t="shared" ca="1" si="9"/>
        <v>#N/A</v>
      </c>
      <c r="Z52" s="14" t="e">
        <f t="shared" ca="1" si="10"/>
        <v>#N/A</v>
      </c>
      <c r="AA52" s="14" t="e">
        <f t="shared" ca="1" si="10"/>
        <v>#N/A</v>
      </c>
      <c r="AB52" s="14" t="e">
        <f t="shared" ca="1" si="10"/>
        <v>#N/A</v>
      </c>
      <c r="AC52" s="14" t="e">
        <f t="shared" ca="1" si="10"/>
        <v>#N/A</v>
      </c>
      <c r="AD52" s="14" t="e">
        <f t="shared" ca="1" si="10"/>
        <v>#N/A</v>
      </c>
      <c r="AE52" s="14" t="e">
        <f t="shared" ca="1" si="10"/>
        <v>#N/A</v>
      </c>
      <c r="AF52" s="14" t="e">
        <f t="shared" ca="1" si="10"/>
        <v>#N/A</v>
      </c>
      <c r="AG52" s="14" t="e">
        <f t="shared" ca="1" si="10"/>
        <v>#N/A</v>
      </c>
      <c r="AH52" s="14" t="e">
        <f t="shared" ca="1" si="10"/>
        <v>#N/A</v>
      </c>
      <c r="AI52" s="14" t="e">
        <f t="shared" ca="1" si="10"/>
        <v>#N/A</v>
      </c>
      <c r="AJ52" s="14" t="e">
        <f t="shared" ca="1" si="10"/>
        <v>#N/A</v>
      </c>
      <c r="AK52" s="14" t="e">
        <f t="shared" ca="1" si="10"/>
        <v>#N/A</v>
      </c>
      <c r="AL52" s="14" t="e">
        <f t="shared" ca="1" si="10"/>
        <v>#N/A</v>
      </c>
    </row>
    <row r="53" spans="1:38" ht="21" customHeight="1" outlineLevel="1" thickBot="1" x14ac:dyDescent="0.4">
      <c r="A53" s="5">
        <f t="shared" si="7"/>
        <v>0</v>
      </c>
      <c r="B53" s="5">
        <f t="shared" si="7"/>
        <v>0</v>
      </c>
      <c r="C53" s="5">
        <f t="shared" si="7"/>
        <v>0</v>
      </c>
      <c r="D53" s="5">
        <f t="shared" si="7"/>
        <v>0</v>
      </c>
      <c r="E53" s="6">
        <f t="shared" si="7"/>
        <v>0</v>
      </c>
      <c r="F53" s="14" t="e">
        <f t="shared" ca="1" si="8"/>
        <v>#N/A</v>
      </c>
      <c r="G53" s="14" t="e">
        <f t="shared" ca="1" si="8"/>
        <v>#N/A</v>
      </c>
      <c r="H53" s="14" t="e">
        <f t="shared" ca="1" si="8"/>
        <v>#N/A</v>
      </c>
      <c r="I53" s="14" t="e">
        <f t="shared" ca="1" si="8"/>
        <v>#N/A</v>
      </c>
      <c r="J53" s="14" t="e">
        <f t="shared" ca="1" si="8"/>
        <v>#N/A</v>
      </c>
      <c r="K53" s="14" t="e">
        <f t="shared" ca="1" si="8"/>
        <v>#N/A</v>
      </c>
      <c r="L53" s="14" t="e">
        <f t="shared" ca="1" si="8"/>
        <v>#N/A</v>
      </c>
      <c r="M53" s="14" t="e">
        <f t="shared" ca="1" si="8"/>
        <v>#N/A</v>
      </c>
      <c r="N53" s="14" t="e">
        <f t="shared" ca="1" si="8"/>
        <v>#N/A</v>
      </c>
      <c r="O53" s="14" t="e">
        <f t="shared" ca="1" si="8"/>
        <v>#N/A</v>
      </c>
      <c r="P53" s="14" t="e">
        <f t="shared" ca="1" si="9"/>
        <v>#N/A</v>
      </c>
      <c r="Q53" s="14" t="e">
        <f t="shared" ca="1" si="9"/>
        <v>#N/A</v>
      </c>
      <c r="R53" s="14" t="e">
        <f t="shared" ca="1" si="9"/>
        <v>#N/A</v>
      </c>
      <c r="S53" s="14" t="e">
        <f t="shared" ca="1" si="9"/>
        <v>#N/A</v>
      </c>
      <c r="T53" s="14" t="e">
        <f t="shared" ca="1" si="9"/>
        <v>#N/A</v>
      </c>
      <c r="U53" s="14" t="e">
        <f t="shared" ca="1" si="9"/>
        <v>#N/A</v>
      </c>
      <c r="V53" s="14" t="e">
        <f t="shared" ca="1" si="9"/>
        <v>#N/A</v>
      </c>
      <c r="W53" s="14" t="e">
        <f t="shared" ca="1" si="9"/>
        <v>#N/A</v>
      </c>
      <c r="X53" s="14" t="e">
        <f t="shared" ca="1" si="9"/>
        <v>#N/A</v>
      </c>
      <c r="Y53" s="14" t="e">
        <f t="shared" ca="1" si="9"/>
        <v>#N/A</v>
      </c>
      <c r="Z53" s="14" t="e">
        <f t="shared" ca="1" si="10"/>
        <v>#N/A</v>
      </c>
      <c r="AA53" s="14" t="e">
        <f t="shared" ca="1" si="10"/>
        <v>#N/A</v>
      </c>
      <c r="AB53" s="14" t="e">
        <f t="shared" ca="1" si="10"/>
        <v>#N/A</v>
      </c>
      <c r="AC53" s="14" t="e">
        <f t="shared" ca="1" si="10"/>
        <v>#N/A</v>
      </c>
      <c r="AD53" s="14" t="e">
        <f t="shared" ca="1" si="10"/>
        <v>#N/A</v>
      </c>
      <c r="AE53" s="14" t="e">
        <f t="shared" ca="1" si="10"/>
        <v>#N/A</v>
      </c>
      <c r="AF53" s="14" t="e">
        <f t="shared" ca="1" si="10"/>
        <v>#N/A</v>
      </c>
      <c r="AG53" s="14" t="e">
        <f t="shared" ca="1" si="10"/>
        <v>#N/A</v>
      </c>
      <c r="AH53" s="14" t="e">
        <f t="shared" ca="1" si="10"/>
        <v>#N/A</v>
      </c>
      <c r="AI53" s="14" t="e">
        <f t="shared" ca="1" si="10"/>
        <v>#N/A</v>
      </c>
      <c r="AJ53" s="14" t="e">
        <f t="shared" ca="1" si="10"/>
        <v>#N/A</v>
      </c>
      <c r="AK53" s="14" t="e">
        <f t="shared" ca="1" si="10"/>
        <v>#N/A</v>
      </c>
      <c r="AL53" s="14" t="e">
        <f t="shared" ca="1" si="10"/>
        <v>#N/A</v>
      </c>
    </row>
    <row r="54" spans="1:38" ht="21" customHeight="1" outlineLevel="1" thickBot="1" x14ac:dyDescent="0.4">
      <c r="A54" s="5">
        <f t="shared" si="7"/>
        <v>0</v>
      </c>
      <c r="B54" s="5">
        <f t="shared" si="7"/>
        <v>0</v>
      </c>
      <c r="C54" s="5">
        <f t="shared" si="7"/>
        <v>0</v>
      </c>
      <c r="D54" s="5">
        <f t="shared" si="7"/>
        <v>0</v>
      </c>
      <c r="E54" s="6">
        <f t="shared" si="7"/>
        <v>0</v>
      </c>
      <c r="F54" s="14" t="e">
        <f t="shared" ca="1" si="8"/>
        <v>#N/A</v>
      </c>
      <c r="G54" s="14" t="e">
        <f t="shared" ca="1" si="8"/>
        <v>#N/A</v>
      </c>
      <c r="H54" s="14" t="e">
        <f t="shared" ca="1" si="8"/>
        <v>#N/A</v>
      </c>
      <c r="I54" s="14" t="e">
        <f t="shared" ca="1" si="8"/>
        <v>#N/A</v>
      </c>
      <c r="J54" s="14" t="e">
        <f t="shared" ca="1" si="8"/>
        <v>#N/A</v>
      </c>
      <c r="K54" s="14" t="e">
        <f t="shared" ca="1" si="8"/>
        <v>#N/A</v>
      </c>
      <c r="L54" s="14" t="e">
        <f t="shared" ca="1" si="8"/>
        <v>#N/A</v>
      </c>
      <c r="M54" s="14" t="e">
        <f t="shared" ca="1" si="8"/>
        <v>#N/A</v>
      </c>
      <c r="N54" s="14" t="e">
        <f t="shared" ca="1" si="8"/>
        <v>#N/A</v>
      </c>
      <c r="O54" s="14" t="e">
        <f t="shared" ca="1" si="8"/>
        <v>#N/A</v>
      </c>
      <c r="P54" s="14" t="e">
        <f t="shared" ca="1" si="9"/>
        <v>#N/A</v>
      </c>
      <c r="Q54" s="14" t="e">
        <f t="shared" ca="1" si="9"/>
        <v>#N/A</v>
      </c>
      <c r="R54" s="14" t="e">
        <f t="shared" ca="1" si="9"/>
        <v>#N/A</v>
      </c>
      <c r="S54" s="14" t="e">
        <f t="shared" ca="1" si="9"/>
        <v>#N/A</v>
      </c>
      <c r="T54" s="14" t="e">
        <f t="shared" ca="1" si="9"/>
        <v>#N/A</v>
      </c>
      <c r="U54" s="14" t="e">
        <f t="shared" ca="1" si="9"/>
        <v>#N/A</v>
      </c>
      <c r="V54" s="14" t="e">
        <f t="shared" ca="1" si="9"/>
        <v>#N/A</v>
      </c>
      <c r="W54" s="14" t="e">
        <f t="shared" ca="1" si="9"/>
        <v>#N/A</v>
      </c>
      <c r="X54" s="14" t="e">
        <f t="shared" ca="1" si="9"/>
        <v>#N/A</v>
      </c>
      <c r="Y54" s="14" t="e">
        <f t="shared" ca="1" si="9"/>
        <v>#N/A</v>
      </c>
      <c r="Z54" s="14" t="e">
        <f t="shared" ca="1" si="10"/>
        <v>#N/A</v>
      </c>
      <c r="AA54" s="14" t="e">
        <f t="shared" ca="1" si="10"/>
        <v>#N/A</v>
      </c>
      <c r="AB54" s="14" t="e">
        <f t="shared" ca="1" si="10"/>
        <v>#N/A</v>
      </c>
      <c r="AC54" s="14" t="e">
        <f t="shared" ca="1" si="10"/>
        <v>#N/A</v>
      </c>
      <c r="AD54" s="14" t="e">
        <f t="shared" ca="1" si="10"/>
        <v>#N/A</v>
      </c>
      <c r="AE54" s="14" t="e">
        <f t="shared" ca="1" si="10"/>
        <v>#N/A</v>
      </c>
      <c r="AF54" s="14" t="e">
        <f t="shared" ca="1" si="10"/>
        <v>#N/A</v>
      </c>
      <c r="AG54" s="14" t="e">
        <f t="shared" ca="1" si="10"/>
        <v>#N/A</v>
      </c>
      <c r="AH54" s="14" t="e">
        <f t="shared" ca="1" si="10"/>
        <v>#N/A</v>
      </c>
      <c r="AI54" s="14" t="e">
        <f t="shared" ca="1" si="10"/>
        <v>#N/A</v>
      </c>
      <c r="AJ54" s="14" t="e">
        <f t="shared" ca="1" si="10"/>
        <v>#N/A</v>
      </c>
      <c r="AK54" s="14" t="e">
        <f t="shared" ca="1" si="10"/>
        <v>#N/A</v>
      </c>
      <c r="AL54" s="14" t="e">
        <f t="shared" ca="1" si="10"/>
        <v>#N/A</v>
      </c>
    </row>
    <row r="55" spans="1:38" ht="21" customHeight="1" outlineLevel="1" thickBot="1" x14ac:dyDescent="0.4">
      <c r="A55" s="5">
        <f t="shared" si="7"/>
        <v>0</v>
      </c>
      <c r="B55" s="5">
        <f t="shared" si="7"/>
        <v>0</v>
      </c>
      <c r="C55" s="5">
        <f t="shared" si="7"/>
        <v>0</v>
      </c>
      <c r="D55" s="5">
        <f t="shared" si="7"/>
        <v>0</v>
      </c>
      <c r="E55" s="6">
        <f t="shared" si="7"/>
        <v>0</v>
      </c>
      <c r="F55" s="14" t="e">
        <f t="shared" ca="1" si="8"/>
        <v>#N/A</v>
      </c>
      <c r="G55" s="14" t="e">
        <f t="shared" ca="1" si="8"/>
        <v>#N/A</v>
      </c>
      <c r="H55" s="14" t="e">
        <f t="shared" ca="1" si="8"/>
        <v>#N/A</v>
      </c>
      <c r="I55" s="14" t="e">
        <f t="shared" ca="1" si="8"/>
        <v>#N/A</v>
      </c>
      <c r="J55" s="14" t="e">
        <f t="shared" ca="1" si="8"/>
        <v>#N/A</v>
      </c>
      <c r="K55" s="14" t="e">
        <f t="shared" ca="1" si="8"/>
        <v>#N/A</v>
      </c>
      <c r="L55" s="14" t="e">
        <f t="shared" ca="1" si="8"/>
        <v>#N/A</v>
      </c>
      <c r="M55" s="14" t="e">
        <f t="shared" ca="1" si="8"/>
        <v>#N/A</v>
      </c>
      <c r="N55" s="14" t="e">
        <f t="shared" ca="1" si="8"/>
        <v>#N/A</v>
      </c>
      <c r="O55" s="14" t="e">
        <f t="shared" ca="1" si="8"/>
        <v>#N/A</v>
      </c>
      <c r="P55" s="14" t="e">
        <f t="shared" ca="1" si="9"/>
        <v>#N/A</v>
      </c>
      <c r="Q55" s="14" t="e">
        <f t="shared" ca="1" si="9"/>
        <v>#N/A</v>
      </c>
      <c r="R55" s="14" t="e">
        <f t="shared" ca="1" si="9"/>
        <v>#N/A</v>
      </c>
      <c r="S55" s="14" t="e">
        <f t="shared" ca="1" si="9"/>
        <v>#N/A</v>
      </c>
      <c r="T55" s="14" t="e">
        <f t="shared" ca="1" si="9"/>
        <v>#N/A</v>
      </c>
      <c r="U55" s="14" t="e">
        <f t="shared" ca="1" si="9"/>
        <v>#N/A</v>
      </c>
      <c r="V55" s="14" t="e">
        <f t="shared" ca="1" si="9"/>
        <v>#N/A</v>
      </c>
      <c r="W55" s="14" t="e">
        <f t="shared" ca="1" si="9"/>
        <v>#N/A</v>
      </c>
      <c r="X55" s="14" t="e">
        <f t="shared" ca="1" si="9"/>
        <v>#N/A</v>
      </c>
      <c r="Y55" s="14" t="e">
        <f t="shared" ca="1" si="9"/>
        <v>#N/A</v>
      </c>
      <c r="Z55" s="14" t="e">
        <f t="shared" ca="1" si="10"/>
        <v>#N/A</v>
      </c>
      <c r="AA55" s="14" t="e">
        <f t="shared" ca="1" si="10"/>
        <v>#N/A</v>
      </c>
      <c r="AB55" s="14" t="e">
        <f t="shared" ca="1" si="10"/>
        <v>#N/A</v>
      </c>
      <c r="AC55" s="14" t="e">
        <f t="shared" ca="1" si="10"/>
        <v>#N/A</v>
      </c>
      <c r="AD55" s="14" t="e">
        <f t="shared" ca="1" si="10"/>
        <v>#N/A</v>
      </c>
      <c r="AE55" s="14" t="e">
        <f t="shared" ca="1" si="10"/>
        <v>#N/A</v>
      </c>
      <c r="AF55" s="14" t="e">
        <f t="shared" ca="1" si="10"/>
        <v>#N/A</v>
      </c>
      <c r="AG55" s="14" t="e">
        <f t="shared" ca="1" si="10"/>
        <v>#N/A</v>
      </c>
      <c r="AH55" s="14" t="e">
        <f t="shared" ca="1" si="10"/>
        <v>#N/A</v>
      </c>
      <c r="AI55" s="14" t="e">
        <f t="shared" ca="1" si="10"/>
        <v>#N/A</v>
      </c>
      <c r="AJ55" s="14" t="e">
        <f t="shared" ca="1" si="10"/>
        <v>#N/A</v>
      </c>
      <c r="AK55" s="14" t="e">
        <f t="shared" ca="1" si="10"/>
        <v>#N/A</v>
      </c>
      <c r="AL55" s="14" t="e">
        <f t="shared" ca="1" si="10"/>
        <v>#N/A</v>
      </c>
    </row>
    <row r="56" spans="1:38" ht="21" customHeight="1" outlineLevel="1" thickBot="1" x14ac:dyDescent="0.4">
      <c r="A56" s="5">
        <f t="shared" ref="A56:E65" si="11">A14</f>
        <v>0</v>
      </c>
      <c r="B56" s="5">
        <f t="shared" si="11"/>
        <v>0</v>
      </c>
      <c r="C56" s="5">
        <f t="shared" si="11"/>
        <v>0</v>
      </c>
      <c r="D56" s="5">
        <f t="shared" si="11"/>
        <v>0</v>
      </c>
      <c r="E56" s="6">
        <f t="shared" si="11"/>
        <v>0</v>
      </c>
      <c r="F56" s="14" t="e">
        <f t="shared" ref="F56:O65" ca="1" si="12">$A56*H.Ar + $B56*H.Se + $C56*H.Ge + $D56*H.Ga</f>
        <v>#N/A</v>
      </c>
      <c r="G56" s="14" t="e">
        <f t="shared" ca="1" si="12"/>
        <v>#N/A</v>
      </c>
      <c r="H56" s="14" t="e">
        <f t="shared" ca="1" si="12"/>
        <v>#N/A</v>
      </c>
      <c r="I56" s="14" t="e">
        <f t="shared" ca="1" si="12"/>
        <v>#N/A</v>
      </c>
      <c r="J56" s="14" t="e">
        <f t="shared" ca="1" si="12"/>
        <v>#N/A</v>
      </c>
      <c r="K56" s="14" t="e">
        <f t="shared" ca="1" si="12"/>
        <v>#N/A</v>
      </c>
      <c r="L56" s="14" t="e">
        <f t="shared" ca="1" si="12"/>
        <v>#N/A</v>
      </c>
      <c r="M56" s="14" t="e">
        <f t="shared" ca="1" si="12"/>
        <v>#N/A</v>
      </c>
      <c r="N56" s="14" t="e">
        <f t="shared" ca="1" si="12"/>
        <v>#N/A</v>
      </c>
      <c r="O56" s="14" t="e">
        <f t="shared" ca="1" si="12"/>
        <v>#N/A</v>
      </c>
      <c r="P56" s="14" t="e">
        <f t="shared" ref="P56:Y65" ca="1" si="13">$A56*H.Ar + $B56*H.Se + $C56*H.Ge + $D56*H.Ga</f>
        <v>#N/A</v>
      </c>
      <c r="Q56" s="14" t="e">
        <f t="shared" ca="1" si="13"/>
        <v>#N/A</v>
      </c>
      <c r="R56" s="14" t="e">
        <f t="shared" ca="1" si="13"/>
        <v>#N/A</v>
      </c>
      <c r="S56" s="14" t="e">
        <f t="shared" ca="1" si="13"/>
        <v>#N/A</v>
      </c>
      <c r="T56" s="14" t="e">
        <f t="shared" ca="1" si="13"/>
        <v>#N/A</v>
      </c>
      <c r="U56" s="14" t="e">
        <f t="shared" ca="1" si="13"/>
        <v>#N/A</v>
      </c>
      <c r="V56" s="14" t="e">
        <f t="shared" ca="1" si="13"/>
        <v>#N/A</v>
      </c>
      <c r="W56" s="14" t="e">
        <f t="shared" ca="1" si="13"/>
        <v>#N/A</v>
      </c>
      <c r="X56" s="14" t="e">
        <f t="shared" ca="1" si="13"/>
        <v>#N/A</v>
      </c>
      <c r="Y56" s="14" t="e">
        <f t="shared" ca="1" si="13"/>
        <v>#N/A</v>
      </c>
      <c r="Z56" s="14" t="e">
        <f t="shared" ref="Z56:AL65" ca="1" si="14">$A56*H.Ar + $B56*H.Se + $C56*H.Ge + $D56*H.Ga</f>
        <v>#N/A</v>
      </c>
      <c r="AA56" s="14" t="e">
        <f t="shared" ca="1" si="14"/>
        <v>#N/A</v>
      </c>
      <c r="AB56" s="14" t="e">
        <f t="shared" ca="1" si="14"/>
        <v>#N/A</v>
      </c>
      <c r="AC56" s="14" t="e">
        <f t="shared" ca="1" si="14"/>
        <v>#N/A</v>
      </c>
      <c r="AD56" s="14" t="e">
        <f t="shared" ca="1" si="14"/>
        <v>#N/A</v>
      </c>
      <c r="AE56" s="14" t="e">
        <f t="shared" ca="1" si="14"/>
        <v>#N/A</v>
      </c>
      <c r="AF56" s="14" t="e">
        <f t="shared" ca="1" si="14"/>
        <v>#N/A</v>
      </c>
      <c r="AG56" s="14" t="e">
        <f t="shared" ca="1" si="14"/>
        <v>#N/A</v>
      </c>
      <c r="AH56" s="14" t="e">
        <f t="shared" ca="1" si="14"/>
        <v>#N/A</v>
      </c>
      <c r="AI56" s="14" t="e">
        <f t="shared" ca="1" si="14"/>
        <v>#N/A</v>
      </c>
      <c r="AJ56" s="14" t="e">
        <f t="shared" ca="1" si="14"/>
        <v>#N/A</v>
      </c>
      <c r="AK56" s="14" t="e">
        <f t="shared" ca="1" si="14"/>
        <v>#N/A</v>
      </c>
      <c r="AL56" s="14" t="e">
        <f t="shared" ca="1" si="14"/>
        <v>#N/A</v>
      </c>
    </row>
    <row r="57" spans="1:38" ht="21" customHeight="1" outlineLevel="1" thickBot="1" x14ac:dyDescent="0.4">
      <c r="A57" s="5">
        <f t="shared" si="11"/>
        <v>0</v>
      </c>
      <c r="B57" s="5">
        <f t="shared" si="11"/>
        <v>0</v>
      </c>
      <c r="C57" s="5">
        <f t="shared" si="11"/>
        <v>0</v>
      </c>
      <c r="D57" s="5">
        <f t="shared" si="11"/>
        <v>0</v>
      </c>
      <c r="E57" s="6">
        <f t="shared" si="11"/>
        <v>0</v>
      </c>
      <c r="F57" s="14" t="e">
        <f t="shared" ca="1" si="12"/>
        <v>#N/A</v>
      </c>
      <c r="G57" s="14" t="e">
        <f t="shared" ca="1" si="12"/>
        <v>#N/A</v>
      </c>
      <c r="H57" s="14" t="e">
        <f t="shared" ca="1" si="12"/>
        <v>#N/A</v>
      </c>
      <c r="I57" s="14" t="e">
        <f t="shared" ca="1" si="12"/>
        <v>#N/A</v>
      </c>
      <c r="J57" s="14" t="e">
        <f t="shared" ca="1" si="12"/>
        <v>#N/A</v>
      </c>
      <c r="K57" s="14" t="e">
        <f t="shared" ca="1" si="12"/>
        <v>#N/A</v>
      </c>
      <c r="L57" s="14" t="e">
        <f t="shared" ca="1" si="12"/>
        <v>#N/A</v>
      </c>
      <c r="M57" s="14" t="e">
        <f t="shared" ca="1" si="12"/>
        <v>#N/A</v>
      </c>
      <c r="N57" s="14" t="e">
        <f t="shared" ca="1" si="12"/>
        <v>#N/A</v>
      </c>
      <c r="O57" s="14" t="e">
        <f t="shared" ca="1" si="12"/>
        <v>#N/A</v>
      </c>
      <c r="P57" s="14" t="e">
        <f t="shared" ca="1" si="13"/>
        <v>#N/A</v>
      </c>
      <c r="Q57" s="14" t="e">
        <f t="shared" ca="1" si="13"/>
        <v>#N/A</v>
      </c>
      <c r="R57" s="14" t="e">
        <f t="shared" ca="1" si="13"/>
        <v>#N/A</v>
      </c>
      <c r="S57" s="14" t="e">
        <f t="shared" ca="1" si="13"/>
        <v>#N/A</v>
      </c>
      <c r="T57" s="14" t="e">
        <f t="shared" ca="1" si="13"/>
        <v>#N/A</v>
      </c>
      <c r="U57" s="14" t="e">
        <f t="shared" ca="1" si="13"/>
        <v>#N/A</v>
      </c>
      <c r="V57" s="14" t="e">
        <f t="shared" ca="1" si="13"/>
        <v>#N/A</v>
      </c>
      <c r="W57" s="14" t="e">
        <f t="shared" ca="1" si="13"/>
        <v>#N/A</v>
      </c>
      <c r="X57" s="14" t="e">
        <f t="shared" ca="1" si="13"/>
        <v>#N/A</v>
      </c>
      <c r="Y57" s="14" t="e">
        <f t="shared" ca="1" si="13"/>
        <v>#N/A</v>
      </c>
      <c r="Z57" s="14" t="e">
        <f t="shared" ca="1" si="14"/>
        <v>#N/A</v>
      </c>
      <c r="AA57" s="14" t="e">
        <f t="shared" ca="1" si="14"/>
        <v>#N/A</v>
      </c>
      <c r="AB57" s="14" t="e">
        <f t="shared" ca="1" si="14"/>
        <v>#N/A</v>
      </c>
      <c r="AC57" s="14" t="e">
        <f t="shared" ca="1" si="14"/>
        <v>#N/A</v>
      </c>
      <c r="AD57" s="14" t="e">
        <f t="shared" ca="1" si="14"/>
        <v>#N/A</v>
      </c>
      <c r="AE57" s="14" t="e">
        <f t="shared" ca="1" si="14"/>
        <v>#N/A</v>
      </c>
      <c r="AF57" s="14" t="e">
        <f t="shared" ca="1" si="14"/>
        <v>#N/A</v>
      </c>
      <c r="AG57" s="14" t="e">
        <f t="shared" ca="1" si="14"/>
        <v>#N/A</v>
      </c>
      <c r="AH57" s="14" t="e">
        <f t="shared" ca="1" si="14"/>
        <v>#N/A</v>
      </c>
      <c r="AI57" s="14" t="e">
        <f t="shared" ca="1" si="14"/>
        <v>#N/A</v>
      </c>
      <c r="AJ57" s="14" t="e">
        <f t="shared" ca="1" si="14"/>
        <v>#N/A</v>
      </c>
      <c r="AK57" s="14" t="e">
        <f t="shared" ca="1" si="14"/>
        <v>#N/A</v>
      </c>
      <c r="AL57" s="14" t="e">
        <f t="shared" ca="1" si="14"/>
        <v>#N/A</v>
      </c>
    </row>
    <row r="58" spans="1:38" ht="21" customHeight="1" outlineLevel="1" thickBot="1" x14ac:dyDescent="0.4">
      <c r="A58" s="5">
        <f t="shared" si="11"/>
        <v>0</v>
      </c>
      <c r="B58" s="5">
        <f t="shared" si="11"/>
        <v>0</v>
      </c>
      <c r="C58" s="5">
        <f t="shared" si="11"/>
        <v>0</v>
      </c>
      <c r="D58" s="5">
        <f t="shared" si="11"/>
        <v>0</v>
      </c>
      <c r="E58" s="6">
        <f t="shared" si="11"/>
        <v>0</v>
      </c>
      <c r="F58" s="14" t="e">
        <f t="shared" ca="1" si="12"/>
        <v>#N/A</v>
      </c>
      <c r="G58" s="14" t="e">
        <f t="shared" ca="1" si="12"/>
        <v>#N/A</v>
      </c>
      <c r="H58" s="14" t="e">
        <f t="shared" ca="1" si="12"/>
        <v>#N/A</v>
      </c>
      <c r="I58" s="14" t="e">
        <f t="shared" ca="1" si="12"/>
        <v>#N/A</v>
      </c>
      <c r="J58" s="14" t="e">
        <f t="shared" ca="1" si="12"/>
        <v>#N/A</v>
      </c>
      <c r="K58" s="14" t="e">
        <f t="shared" ca="1" si="12"/>
        <v>#N/A</v>
      </c>
      <c r="L58" s="14" t="e">
        <f t="shared" ca="1" si="12"/>
        <v>#N/A</v>
      </c>
      <c r="M58" s="14" t="e">
        <f t="shared" ca="1" si="12"/>
        <v>#N/A</v>
      </c>
      <c r="N58" s="14" t="e">
        <f t="shared" ca="1" si="12"/>
        <v>#N/A</v>
      </c>
      <c r="O58" s="14" t="e">
        <f t="shared" ca="1" si="12"/>
        <v>#N/A</v>
      </c>
      <c r="P58" s="14" t="e">
        <f t="shared" ca="1" si="13"/>
        <v>#N/A</v>
      </c>
      <c r="Q58" s="14" t="e">
        <f t="shared" ca="1" si="13"/>
        <v>#N/A</v>
      </c>
      <c r="R58" s="14" t="e">
        <f t="shared" ca="1" si="13"/>
        <v>#N/A</v>
      </c>
      <c r="S58" s="14" t="e">
        <f t="shared" ca="1" si="13"/>
        <v>#N/A</v>
      </c>
      <c r="T58" s="14" t="e">
        <f t="shared" ca="1" si="13"/>
        <v>#N/A</v>
      </c>
      <c r="U58" s="14" t="e">
        <f t="shared" ca="1" si="13"/>
        <v>#N/A</v>
      </c>
      <c r="V58" s="14" t="e">
        <f t="shared" ca="1" si="13"/>
        <v>#N/A</v>
      </c>
      <c r="W58" s="14" t="e">
        <f t="shared" ca="1" si="13"/>
        <v>#N/A</v>
      </c>
      <c r="X58" s="14" t="e">
        <f t="shared" ca="1" si="13"/>
        <v>#N/A</v>
      </c>
      <c r="Y58" s="14" t="e">
        <f t="shared" ca="1" si="13"/>
        <v>#N/A</v>
      </c>
      <c r="Z58" s="14" t="e">
        <f t="shared" ca="1" si="14"/>
        <v>#N/A</v>
      </c>
      <c r="AA58" s="14" t="e">
        <f t="shared" ca="1" si="14"/>
        <v>#N/A</v>
      </c>
      <c r="AB58" s="14" t="e">
        <f t="shared" ca="1" si="14"/>
        <v>#N/A</v>
      </c>
      <c r="AC58" s="14" t="e">
        <f t="shared" ca="1" si="14"/>
        <v>#N/A</v>
      </c>
      <c r="AD58" s="14" t="e">
        <f t="shared" ca="1" si="14"/>
        <v>#N/A</v>
      </c>
      <c r="AE58" s="14" t="e">
        <f t="shared" ca="1" si="14"/>
        <v>#N/A</v>
      </c>
      <c r="AF58" s="14" t="e">
        <f t="shared" ca="1" si="14"/>
        <v>#N/A</v>
      </c>
      <c r="AG58" s="14" t="e">
        <f t="shared" ca="1" si="14"/>
        <v>#N/A</v>
      </c>
      <c r="AH58" s="14" t="e">
        <f t="shared" ca="1" si="14"/>
        <v>#N/A</v>
      </c>
      <c r="AI58" s="14" t="e">
        <f t="shared" ca="1" si="14"/>
        <v>#N/A</v>
      </c>
      <c r="AJ58" s="14" t="e">
        <f t="shared" ca="1" si="14"/>
        <v>#N/A</v>
      </c>
      <c r="AK58" s="14" t="e">
        <f t="shared" ca="1" si="14"/>
        <v>#N/A</v>
      </c>
      <c r="AL58" s="14" t="e">
        <f t="shared" ca="1" si="14"/>
        <v>#N/A</v>
      </c>
    </row>
    <row r="59" spans="1:38" ht="21" customHeight="1" outlineLevel="1" thickBot="1" x14ac:dyDescent="0.4">
      <c r="A59" s="5">
        <f t="shared" si="11"/>
        <v>0</v>
      </c>
      <c r="B59" s="5">
        <f t="shared" si="11"/>
        <v>0</v>
      </c>
      <c r="C59" s="5">
        <f t="shared" si="11"/>
        <v>0</v>
      </c>
      <c r="D59" s="5">
        <f t="shared" si="11"/>
        <v>0</v>
      </c>
      <c r="E59" s="6">
        <f t="shared" si="11"/>
        <v>0</v>
      </c>
      <c r="F59" s="14" t="e">
        <f t="shared" ca="1" si="12"/>
        <v>#N/A</v>
      </c>
      <c r="G59" s="14" t="e">
        <f t="shared" ca="1" si="12"/>
        <v>#N/A</v>
      </c>
      <c r="H59" s="14" t="e">
        <f t="shared" ca="1" si="12"/>
        <v>#N/A</v>
      </c>
      <c r="I59" s="14" t="e">
        <f t="shared" ca="1" si="12"/>
        <v>#N/A</v>
      </c>
      <c r="J59" s="14" t="e">
        <f t="shared" ca="1" si="12"/>
        <v>#N/A</v>
      </c>
      <c r="K59" s="14" t="e">
        <f t="shared" ca="1" si="12"/>
        <v>#N/A</v>
      </c>
      <c r="L59" s="14" t="e">
        <f t="shared" ca="1" si="12"/>
        <v>#N/A</v>
      </c>
      <c r="M59" s="14" t="e">
        <f t="shared" ca="1" si="12"/>
        <v>#N/A</v>
      </c>
      <c r="N59" s="14" t="e">
        <f t="shared" ca="1" si="12"/>
        <v>#N/A</v>
      </c>
      <c r="O59" s="14" t="e">
        <f t="shared" ca="1" si="12"/>
        <v>#N/A</v>
      </c>
      <c r="P59" s="14" t="e">
        <f t="shared" ca="1" si="13"/>
        <v>#N/A</v>
      </c>
      <c r="Q59" s="14" t="e">
        <f t="shared" ca="1" si="13"/>
        <v>#N/A</v>
      </c>
      <c r="R59" s="14" t="e">
        <f t="shared" ca="1" si="13"/>
        <v>#N/A</v>
      </c>
      <c r="S59" s="14" t="e">
        <f t="shared" ca="1" si="13"/>
        <v>#N/A</v>
      </c>
      <c r="T59" s="14" t="e">
        <f t="shared" ca="1" si="13"/>
        <v>#N/A</v>
      </c>
      <c r="U59" s="14" t="e">
        <f t="shared" ca="1" si="13"/>
        <v>#N/A</v>
      </c>
      <c r="V59" s="14" t="e">
        <f t="shared" ca="1" si="13"/>
        <v>#N/A</v>
      </c>
      <c r="W59" s="14" t="e">
        <f t="shared" ca="1" si="13"/>
        <v>#N/A</v>
      </c>
      <c r="X59" s="14" t="e">
        <f t="shared" ca="1" si="13"/>
        <v>#N/A</v>
      </c>
      <c r="Y59" s="14" t="e">
        <f t="shared" ca="1" si="13"/>
        <v>#N/A</v>
      </c>
      <c r="Z59" s="14" t="e">
        <f t="shared" ca="1" si="14"/>
        <v>#N/A</v>
      </c>
      <c r="AA59" s="14" t="e">
        <f t="shared" ca="1" si="14"/>
        <v>#N/A</v>
      </c>
      <c r="AB59" s="14" t="e">
        <f t="shared" ca="1" si="14"/>
        <v>#N/A</v>
      </c>
      <c r="AC59" s="14" t="e">
        <f t="shared" ca="1" si="14"/>
        <v>#N/A</v>
      </c>
      <c r="AD59" s="14" t="e">
        <f t="shared" ca="1" si="14"/>
        <v>#N/A</v>
      </c>
      <c r="AE59" s="14" t="e">
        <f t="shared" ca="1" si="14"/>
        <v>#N/A</v>
      </c>
      <c r="AF59" s="14" t="e">
        <f t="shared" ca="1" si="14"/>
        <v>#N/A</v>
      </c>
      <c r="AG59" s="14" t="e">
        <f t="shared" ca="1" si="14"/>
        <v>#N/A</v>
      </c>
      <c r="AH59" s="14" t="e">
        <f t="shared" ca="1" si="14"/>
        <v>#N/A</v>
      </c>
      <c r="AI59" s="14" t="e">
        <f t="shared" ca="1" si="14"/>
        <v>#N/A</v>
      </c>
      <c r="AJ59" s="14" t="e">
        <f t="shared" ca="1" si="14"/>
        <v>#N/A</v>
      </c>
      <c r="AK59" s="14" t="e">
        <f t="shared" ca="1" si="14"/>
        <v>#N/A</v>
      </c>
      <c r="AL59" s="14" t="e">
        <f t="shared" ca="1" si="14"/>
        <v>#N/A</v>
      </c>
    </row>
    <row r="60" spans="1:38" ht="21" customHeight="1" outlineLevel="1" thickBot="1" x14ac:dyDescent="0.4">
      <c r="A60" s="5">
        <f t="shared" si="11"/>
        <v>0</v>
      </c>
      <c r="B60" s="5">
        <f t="shared" si="11"/>
        <v>0</v>
      </c>
      <c r="C60" s="5">
        <f t="shared" si="11"/>
        <v>0</v>
      </c>
      <c r="D60" s="5">
        <f t="shared" si="11"/>
        <v>0</v>
      </c>
      <c r="E60" s="6">
        <f t="shared" si="11"/>
        <v>0</v>
      </c>
      <c r="F60" s="14" t="e">
        <f t="shared" ca="1" si="12"/>
        <v>#N/A</v>
      </c>
      <c r="G60" s="14" t="e">
        <f t="shared" ca="1" si="12"/>
        <v>#N/A</v>
      </c>
      <c r="H60" s="14" t="e">
        <f t="shared" ca="1" si="12"/>
        <v>#N/A</v>
      </c>
      <c r="I60" s="14" t="e">
        <f t="shared" ca="1" si="12"/>
        <v>#N/A</v>
      </c>
      <c r="J60" s="14" t="e">
        <f t="shared" ca="1" si="12"/>
        <v>#N/A</v>
      </c>
      <c r="K60" s="14" t="e">
        <f t="shared" ca="1" si="12"/>
        <v>#N/A</v>
      </c>
      <c r="L60" s="14" t="e">
        <f t="shared" ca="1" si="12"/>
        <v>#N/A</v>
      </c>
      <c r="M60" s="14" t="e">
        <f t="shared" ca="1" si="12"/>
        <v>#N/A</v>
      </c>
      <c r="N60" s="14" t="e">
        <f t="shared" ca="1" si="12"/>
        <v>#N/A</v>
      </c>
      <c r="O60" s="14" t="e">
        <f t="shared" ca="1" si="12"/>
        <v>#N/A</v>
      </c>
      <c r="P60" s="14" t="e">
        <f t="shared" ca="1" si="13"/>
        <v>#N/A</v>
      </c>
      <c r="Q60" s="14" t="e">
        <f t="shared" ca="1" si="13"/>
        <v>#N/A</v>
      </c>
      <c r="R60" s="14" t="e">
        <f t="shared" ca="1" si="13"/>
        <v>#N/A</v>
      </c>
      <c r="S60" s="14" t="e">
        <f t="shared" ca="1" si="13"/>
        <v>#N/A</v>
      </c>
      <c r="T60" s="14" t="e">
        <f t="shared" ca="1" si="13"/>
        <v>#N/A</v>
      </c>
      <c r="U60" s="14" t="e">
        <f t="shared" ca="1" si="13"/>
        <v>#N/A</v>
      </c>
      <c r="V60" s="14" t="e">
        <f t="shared" ca="1" si="13"/>
        <v>#N/A</v>
      </c>
      <c r="W60" s="14" t="e">
        <f t="shared" ca="1" si="13"/>
        <v>#N/A</v>
      </c>
      <c r="X60" s="14" t="e">
        <f t="shared" ca="1" si="13"/>
        <v>#N/A</v>
      </c>
      <c r="Y60" s="14" t="e">
        <f t="shared" ca="1" si="13"/>
        <v>#N/A</v>
      </c>
      <c r="Z60" s="14" t="e">
        <f t="shared" ca="1" si="14"/>
        <v>#N/A</v>
      </c>
      <c r="AA60" s="14" t="e">
        <f t="shared" ca="1" si="14"/>
        <v>#N/A</v>
      </c>
      <c r="AB60" s="14" t="e">
        <f t="shared" ca="1" si="14"/>
        <v>#N/A</v>
      </c>
      <c r="AC60" s="14" t="e">
        <f t="shared" ca="1" si="14"/>
        <v>#N/A</v>
      </c>
      <c r="AD60" s="14" t="e">
        <f t="shared" ca="1" si="14"/>
        <v>#N/A</v>
      </c>
      <c r="AE60" s="14" t="e">
        <f t="shared" ca="1" si="14"/>
        <v>#N/A</v>
      </c>
      <c r="AF60" s="14" t="e">
        <f t="shared" ca="1" si="14"/>
        <v>#N/A</v>
      </c>
      <c r="AG60" s="14" t="e">
        <f t="shared" ca="1" si="14"/>
        <v>#N/A</v>
      </c>
      <c r="AH60" s="14" t="e">
        <f t="shared" ca="1" si="14"/>
        <v>#N/A</v>
      </c>
      <c r="AI60" s="14" t="e">
        <f t="shared" ca="1" si="14"/>
        <v>#N/A</v>
      </c>
      <c r="AJ60" s="14" t="e">
        <f t="shared" ca="1" si="14"/>
        <v>#N/A</v>
      </c>
      <c r="AK60" s="14" t="e">
        <f t="shared" ca="1" si="14"/>
        <v>#N/A</v>
      </c>
      <c r="AL60" s="14" t="e">
        <f t="shared" ca="1" si="14"/>
        <v>#N/A</v>
      </c>
    </row>
    <row r="61" spans="1:38" ht="21" customHeight="1" outlineLevel="1" thickBot="1" x14ac:dyDescent="0.4">
      <c r="A61" s="5">
        <f t="shared" si="11"/>
        <v>0</v>
      </c>
      <c r="B61" s="5">
        <f t="shared" si="11"/>
        <v>0</v>
      </c>
      <c r="C61" s="5">
        <f t="shared" si="11"/>
        <v>0</v>
      </c>
      <c r="D61" s="5">
        <f t="shared" si="11"/>
        <v>0</v>
      </c>
      <c r="E61" s="6">
        <f t="shared" si="11"/>
        <v>0</v>
      </c>
      <c r="F61" s="14" t="e">
        <f t="shared" ca="1" si="12"/>
        <v>#N/A</v>
      </c>
      <c r="G61" s="14" t="e">
        <f t="shared" ca="1" si="12"/>
        <v>#N/A</v>
      </c>
      <c r="H61" s="14" t="e">
        <f t="shared" ca="1" si="12"/>
        <v>#N/A</v>
      </c>
      <c r="I61" s="14" t="e">
        <f t="shared" ca="1" si="12"/>
        <v>#N/A</v>
      </c>
      <c r="J61" s="14" t="e">
        <f t="shared" ca="1" si="12"/>
        <v>#N/A</v>
      </c>
      <c r="K61" s="14" t="e">
        <f t="shared" ca="1" si="12"/>
        <v>#N/A</v>
      </c>
      <c r="L61" s="14" t="e">
        <f t="shared" ca="1" si="12"/>
        <v>#N/A</v>
      </c>
      <c r="M61" s="14" t="e">
        <f t="shared" ca="1" si="12"/>
        <v>#N/A</v>
      </c>
      <c r="N61" s="14" t="e">
        <f t="shared" ca="1" si="12"/>
        <v>#N/A</v>
      </c>
      <c r="O61" s="14" t="e">
        <f t="shared" ca="1" si="12"/>
        <v>#N/A</v>
      </c>
      <c r="P61" s="14" t="e">
        <f t="shared" ca="1" si="13"/>
        <v>#N/A</v>
      </c>
      <c r="Q61" s="14" t="e">
        <f t="shared" ca="1" si="13"/>
        <v>#N/A</v>
      </c>
      <c r="R61" s="14" t="e">
        <f t="shared" ca="1" si="13"/>
        <v>#N/A</v>
      </c>
      <c r="S61" s="14" t="e">
        <f t="shared" ca="1" si="13"/>
        <v>#N/A</v>
      </c>
      <c r="T61" s="14" t="e">
        <f t="shared" ca="1" si="13"/>
        <v>#N/A</v>
      </c>
      <c r="U61" s="14" t="e">
        <f t="shared" ca="1" si="13"/>
        <v>#N/A</v>
      </c>
      <c r="V61" s="14" t="e">
        <f t="shared" ca="1" si="13"/>
        <v>#N/A</v>
      </c>
      <c r="W61" s="14" t="e">
        <f t="shared" ca="1" si="13"/>
        <v>#N/A</v>
      </c>
      <c r="X61" s="14" t="e">
        <f t="shared" ca="1" si="13"/>
        <v>#N/A</v>
      </c>
      <c r="Y61" s="14" t="e">
        <f t="shared" ca="1" si="13"/>
        <v>#N/A</v>
      </c>
      <c r="Z61" s="14" t="e">
        <f t="shared" ca="1" si="14"/>
        <v>#N/A</v>
      </c>
      <c r="AA61" s="14" t="e">
        <f t="shared" ca="1" si="14"/>
        <v>#N/A</v>
      </c>
      <c r="AB61" s="14" t="e">
        <f t="shared" ca="1" si="14"/>
        <v>#N/A</v>
      </c>
      <c r="AC61" s="14" t="e">
        <f t="shared" ca="1" si="14"/>
        <v>#N/A</v>
      </c>
      <c r="AD61" s="14" t="e">
        <f t="shared" ca="1" si="14"/>
        <v>#N/A</v>
      </c>
      <c r="AE61" s="14" t="e">
        <f t="shared" ca="1" si="14"/>
        <v>#N/A</v>
      </c>
      <c r="AF61" s="14" t="e">
        <f t="shared" ca="1" si="14"/>
        <v>#N/A</v>
      </c>
      <c r="AG61" s="14" t="e">
        <f t="shared" ca="1" si="14"/>
        <v>#N/A</v>
      </c>
      <c r="AH61" s="14" t="e">
        <f t="shared" ca="1" si="14"/>
        <v>#N/A</v>
      </c>
      <c r="AI61" s="14" t="e">
        <f t="shared" ca="1" si="14"/>
        <v>#N/A</v>
      </c>
      <c r="AJ61" s="14" t="e">
        <f t="shared" ca="1" si="14"/>
        <v>#N/A</v>
      </c>
      <c r="AK61" s="14" t="e">
        <f t="shared" ca="1" si="14"/>
        <v>#N/A</v>
      </c>
      <c r="AL61" s="14" t="e">
        <f t="shared" ca="1" si="14"/>
        <v>#N/A</v>
      </c>
    </row>
    <row r="62" spans="1:38" ht="21" customHeight="1" outlineLevel="1" thickBot="1" x14ac:dyDescent="0.4">
      <c r="A62" s="5">
        <f t="shared" si="11"/>
        <v>0</v>
      </c>
      <c r="B62" s="5">
        <f t="shared" si="11"/>
        <v>0</v>
      </c>
      <c r="C62" s="5">
        <f t="shared" si="11"/>
        <v>0</v>
      </c>
      <c r="D62" s="5">
        <f t="shared" si="11"/>
        <v>0</v>
      </c>
      <c r="E62" s="6">
        <f t="shared" si="11"/>
        <v>0</v>
      </c>
      <c r="F62" s="14" t="e">
        <f t="shared" ca="1" si="12"/>
        <v>#N/A</v>
      </c>
      <c r="G62" s="14" t="e">
        <f t="shared" ca="1" si="12"/>
        <v>#N/A</v>
      </c>
      <c r="H62" s="14" t="e">
        <f t="shared" ca="1" si="12"/>
        <v>#N/A</v>
      </c>
      <c r="I62" s="14" t="e">
        <f t="shared" ca="1" si="12"/>
        <v>#N/A</v>
      </c>
      <c r="J62" s="14" t="e">
        <f t="shared" ca="1" si="12"/>
        <v>#N/A</v>
      </c>
      <c r="K62" s="14" t="e">
        <f t="shared" ca="1" si="12"/>
        <v>#N/A</v>
      </c>
      <c r="L62" s="14" t="e">
        <f t="shared" ca="1" si="12"/>
        <v>#N/A</v>
      </c>
      <c r="M62" s="14" t="e">
        <f t="shared" ca="1" si="12"/>
        <v>#N/A</v>
      </c>
      <c r="N62" s="14" t="e">
        <f t="shared" ca="1" si="12"/>
        <v>#N/A</v>
      </c>
      <c r="O62" s="14" t="e">
        <f t="shared" ca="1" si="12"/>
        <v>#N/A</v>
      </c>
      <c r="P62" s="14" t="e">
        <f t="shared" ca="1" si="13"/>
        <v>#N/A</v>
      </c>
      <c r="Q62" s="14" t="e">
        <f t="shared" ca="1" si="13"/>
        <v>#N/A</v>
      </c>
      <c r="R62" s="14" t="e">
        <f t="shared" ca="1" si="13"/>
        <v>#N/A</v>
      </c>
      <c r="S62" s="14" t="e">
        <f t="shared" ca="1" si="13"/>
        <v>#N/A</v>
      </c>
      <c r="T62" s="14" t="e">
        <f t="shared" ca="1" si="13"/>
        <v>#N/A</v>
      </c>
      <c r="U62" s="14" t="e">
        <f t="shared" ca="1" si="13"/>
        <v>#N/A</v>
      </c>
      <c r="V62" s="14" t="e">
        <f t="shared" ca="1" si="13"/>
        <v>#N/A</v>
      </c>
      <c r="W62" s="14" t="e">
        <f t="shared" ca="1" si="13"/>
        <v>#N/A</v>
      </c>
      <c r="X62" s="14" t="e">
        <f t="shared" ca="1" si="13"/>
        <v>#N/A</v>
      </c>
      <c r="Y62" s="14" t="e">
        <f t="shared" ca="1" si="13"/>
        <v>#N/A</v>
      </c>
      <c r="Z62" s="14" t="e">
        <f t="shared" ca="1" si="14"/>
        <v>#N/A</v>
      </c>
      <c r="AA62" s="14" t="e">
        <f t="shared" ca="1" si="14"/>
        <v>#N/A</v>
      </c>
      <c r="AB62" s="14" t="e">
        <f t="shared" ca="1" si="14"/>
        <v>#N/A</v>
      </c>
      <c r="AC62" s="14" t="e">
        <f t="shared" ca="1" si="14"/>
        <v>#N/A</v>
      </c>
      <c r="AD62" s="14" t="e">
        <f t="shared" ca="1" si="14"/>
        <v>#N/A</v>
      </c>
      <c r="AE62" s="14" t="e">
        <f t="shared" ca="1" si="14"/>
        <v>#N/A</v>
      </c>
      <c r="AF62" s="14" t="e">
        <f t="shared" ca="1" si="14"/>
        <v>#N/A</v>
      </c>
      <c r="AG62" s="14" t="e">
        <f t="shared" ca="1" si="14"/>
        <v>#N/A</v>
      </c>
      <c r="AH62" s="14" t="e">
        <f t="shared" ca="1" si="14"/>
        <v>#N/A</v>
      </c>
      <c r="AI62" s="14" t="e">
        <f t="shared" ca="1" si="14"/>
        <v>#N/A</v>
      </c>
      <c r="AJ62" s="14" t="e">
        <f t="shared" ca="1" si="14"/>
        <v>#N/A</v>
      </c>
      <c r="AK62" s="14" t="e">
        <f t="shared" ca="1" si="14"/>
        <v>#N/A</v>
      </c>
      <c r="AL62" s="14" t="e">
        <f t="shared" ca="1" si="14"/>
        <v>#N/A</v>
      </c>
    </row>
    <row r="63" spans="1:38" ht="21" customHeight="1" outlineLevel="1" thickBot="1" x14ac:dyDescent="0.4">
      <c r="A63" s="5">
        <f t="shared" si="11"/>
        <v>0</v>
      </c>
      <c r="B63" s="5">
        <f t="shared" si="11"/>
        <v>0</v>
      </c>
      <c r="C63" s="5">
        <f t="shared" si="11"/>
        <v>0</v>
      </c>
      <c r="D63" s="5">
        <f t="shared" si="11"/>
        <v>0</v>
      </c>
      <c r="E63" s="6">
        <f t="shared" si="11"/>
        <v>0</v>
      </c>
      <c r="F63" s="14" t="e">
        <f t="shared" ca="1" si="12"/>
        <v>#N/A</v>
      </c>
      <c r="G63" s="14" t="e">
        <f t="shared" ca="1" si="12"/>
        <v>#N/A</v>
      </c>
      <c r="H63" s="14" t="e">
        <f t="shared" ca="1" si="12"/>
        <v>#N/A</v>
      </c>
      <c r="I63" s="14" t="e">
        <f t="shared" ca="1" si="12"/>
        <v>#N/A</v>
      </c>
      <c r="J63" s="14" t="e">
        <f t="shared" ca="1" si="12"/>
        <v>#N/A</v>
      </c>
      <c r="K63" s="14" t="e">
        <f t="shared" ca="1" si="12"/>
        <v>#N/A</v>
      </c>
      <c r="L63" s="14" t="e">
        <f t="shared" ca="1" si="12"/>
        <v>#N/A</v>
      </c>
      <c r="M63" s="14" t="e">
        <f t="shared" ca="1" si="12"/>
        <v>#N/A</v>
      </c>
      <c r="N63" s="14" t="e">
        <f t="shared" ca="1" si="12"/>
        <v>#N/A</v>
      </c>
      <c r="O63" s="14" t="e">
        <f t="shared" ca="1" si="12"/>
        <v>#N/A</v>
      </c>
      <c r="P63" s="14" t="e">
        <f t="shared" ca="1" si="13"/>
        <v>#N/A</v>
      </c>
      <c r="Q63" s="14" t="e">
        <f t="shared" ca="1" si="13"/>
        <v>#N/A</v>
      </c>
      <c r="R63" s="14" t="e">
        <f t="shared" ca="1" si="13"/>
        <v>#N/A</v>
      </c>
      <c r="S63" s="14" t="e">
        <f t="shared" ca="1" si="13"/>
        <v>#N/A</v>
      </c>
      <c r="T63" s="14" t="e">
        <f t="shared" ca="1" si="13"/>
        <v>#N/A</v>
      </c>
      <c r="U63" s="14" t="e">
        <f t="shared" ca="1" si="13"/>
        <v>#N/A</v>
      </c>
      <c r="V63" s="14" t="e">
        <f t="shared" ca="1" si="13"/>
        <v>#N/A</v>
      </c>
      <c r="W63" s="14" t="e">
        <f t="shared" ca="1" si="13"/>
        <v>#N/A</v>
      </c>
      <c r="X63" s="14" t="e">
        <f t="shared" ca="1" si="13"/>
        <v>#N/A</v>
      </c>
      <c r="Y63" s="14" t="e">
        <f t="shared" ca="1" si="13"/>
        <v>#N/A</v>
      </c>
      <c r="Z63" s="14" t="e">
        <f t="shared" ca="1" si="14"/>
        <v>#N/A</v>
      </c>
      <c r="AA63" s="14" t="e">
        <f t="shared" ca="1" si="14"/>
        <v>#N/A</v>
      </c>
      <c r="AB63" s="14" t="e">
        <f t="shared" ca="1" si="14"/>
        <v>#N/A</v>
      </c>
      <c r="AC63" s="14" t="e">
        <f t="shared" ca="1" si="14"/>
        <v>#N/A</v>
      </c>
      <c r="AD63" s="14" t="e">
        <f t="shared" ca="1" si="14"/>
        <v>#N/A</v>
      </c>
      <c r="AE63" s="14" t="e">
        <f t="shared" ca="1" si="14"/>
        <v>#N/A</v>
      </c>
      <c r="AF63" s="14" t="e">
        <f t="shared" ca="1" si="14"/>
        <v>#N/A</v>
      </c>
      <c r="AG63" s="14" t="e">
        <f t="shared" ca="1" si="14"/>
        <v>#N/A</v>
      </c>
      <c r="AH63" s="14" t="e">
        <f t="shared" ca="1" si="14"/>
        <v>#N/A</v>
      </c>
      <c r="AI63" s="14" t="e">
        <f t="shared" ca="1" si="14"/>
        <v>#N/A</v>
      </c>
      <c r="AJ63" s="14" t="e">
        <f t="shared" ca="1" si="14"/>
        <v>#N/A</v>
      </c>
      <c r="AK63" s="14" t="e">
        <f t="shared" ca="1" si="14"/>
        <v>#N/A</v>
      </c>
      <c r="AL63" s="14" t="e">
        <f t="shared" ca="1" si="14"/>
        <v>#N/A</v>
      </c>
    </row>
    <row r="64" spans="1:38" ht="21" customHeight="1" outlineLevel="1" thickBot="1" x14ac:dyDescent="0.4">
      <c r="A64" s="5">
        <f t="shared" si="11"/>
        <v>0</v>
      </c>
      <c r="B64" s="5">
        <f t="shared" si="11"/>
        <v>0</v>
      </c>
      <c r="C64" s="5">
        <f t="shared" si="11"/>
        <v>0</v>
      </c>
      <c r="D64" s="5">
        <f t="shared" si="11"/>
        <v>0</v>
      </c>
      <c r="E64" s="6">
        <f t="shared" si="11"/>
        <v>0</v>
      </c>
      <c r="F64" s="14" t="e">
        <f t="shared" ca="1" si="12"/>
        <v>#N/A</v>
      </c>
      <c r="G64" s="14" t="e">
        <f t="shared" ca="1" si="12"/>
        <v>#N/A</v>
      </c>
      <c r="H64" s="14" t="e">
        <f t="shared" ca="1" si="12"/>
        <v>#N/A</v>
      </c>
      <c r="I64" s="14" t="e">
        <f t="shared" ca="1" si="12"/>
        <v>#N/A</v>
      </c>
      <c r="J64" s="14" t="e">
        <f t="shared" ca="1" si="12"/>
        <v>#N/A</v>
      </c>
      <c r="K64" s="14" t="e">
        <f t="shared" ca="1" si="12"/>
        <v>#N/A</v>
      </c>
      <c r="L64" s="14" t="e">
        <f t="shared" ca="1" si="12"/>
        <v>#N/A</v>
      </c>
      <c r="M64" s="14" t="e">
        <f t="shared" ca="1" si="12"/>
        <v>#N/A</v>
      </c>
      <c r="N64" s="14" t="e">
        <f t="shared" ca="1" si="12"/>
        <v>#N/A</v>
      </c>
      <c r="O64" s="14" t="e">
        <f t="shared" ca="1" si="12"/>
        <v>#N/A</v>
      </c>
      <c r="P64" s="14" t="e">
        <f t="shared" ca="1" si="13"/>
        <v>#N/A</v>
      </c>
      <c r="Q64" s="14" t="e">
        <f t="shared" ca="1" si="13"/>
        <v>#N/A</v>
      </c>
      <c r="R64" s="14" t="e">
        <f t="shared" ca="1" si="13"/>
        <v>#N/A</v>
      </c>
      <c r="S64" s="14" t="e">
        <f t="shared" ca="1" si="13"/>
        <v>#N/A</v>
      </c>
      <c r="T64" s="14" t="e">
        <f t="shared" ca="1" si="13"/>
        <v>#N/A</v>
      </c>
      <c r="U64" s="14" t="e">
        <f t="shared" ca="1" si="13"/>
        <v>#N/A</v>
      </c>
      <c r="V64" s="14" t="e">
        <f t="shared" ca="1" si="13"/>
        <v>#N/A</v>
      </c>
      <c r="W64" s="14" t="e">
        <f t="shared" ca="1" si="13"/>
        <v>#N/A</v>
      </c>
      <c r="X64" s="14" t="e">
        <f t="shared" ca="1" si="13"/>
        <v>#N/A</v>
      </c>
      <c r="Y64" s="14" t="e">
        <f t="shared" ca="1" si="13"/>
        <v>#N/A</v>
      </c>
      <c r="Z64" s="14" t="e">
        <f t="shared" ca="1" si="14"/>
        <v>#N/A</v>
      </c>
      <c r="AA64" s="14" t="e">
        <f t="shared" ca="1" si="14"/>
        <v>#N/A</v>
      </c>
      <c r="AB64" s="14" t="e">
        <f t="shared" ca="1" si="14"/>
        <v>#N/A</v>
      </c>
      <c r="AC64" s="14" t="e">
        <f t="shared" ca="1" si="14"/>
        <v>#N/A</v>
      </c>
      <c r="AD64" s="14" t="e">
        <f t="shared" ca="1" si="14"/>
        <v>#N/A</v>
      </c>
      <c r="AE64" s="14" t="e">
        <f t="shared" ca="1" si="14"/>
        <v>#N/A</v>
      </c>
      <c r="AF64" s="14" t="e">
        <f t="shared" ca="1" si="14"/>
        <v>#N/A</v>
      </c>
      <c r="AG64" s="14" t="e">
        <f t="shared" ca="1" si="14"/>
        <v>#N/A</v>
      </c>
      <c r="AH64" s="14" t="e">
        <f t="shared" ca="1" si="14"/>
        <v>#N/A</v>
      </c>
      <c r="AI64" s="14" t="e">
        <f t="shared" ca="1" si="14"/>
        <v>#N/A</v>
      </c>
      <c r="AJ64" s="14" t="e">
        <f t="shared" ca="1" si="14"/>
        <v>#N/A</v>
      </c>
      <c r="AK64" s="14" t="e">
        <f t="shared" ca="1" si="14"/>
        <v>#N/A</v>
      </c>
      <c r="AL64" s="14" t="e">
        <f t="shared" ca="1" si="14"/>
        <v>#N/A</v>
      </c>
    </row>
    <row r="65" spans="1:54" ht="21" customHeight="1" outlineLevel="1" thickBot="1" x14ac:dyDescent="0.4">
      <c r="A65" s="5">
        <f t="shared" si="11"/>
        <v>0</v>
      </c>
      <c r="B65" s="5">
        <f t="shared" si="11"/>
        <v>0</v>
      </c>
      <c r="C65" s="5">
        <f t="shared" si="11"/>
        <v>0</v>
      </c>
      <c r="D65" s="5">
        <f t="shared" si="11"/>
        <v>0</v>
      </c>
      <c r="E65" s="6">
        <f t="shared" si="11"/>
        <v>0</v>
      </c>
      <c r="F65" s="14" t="e">
        <f t="shared" ca="1" si="12"/>
        <v>#N/A</v>
      </c>
      <c r="G65" s="14" t="e">
        <f t="shared" ca="1" si="12"/>
        <v>#N/A</v>
      </c>
      <c r="H65" s="14" t="e">
        <f t="shared" ca="1" si="12"/>
        <v>#N/A</v>
      </c>
      <c r="I65" s="14" t="e">
        <f t="shared" ca="1" si="12"/>
        <v>#N/A</v>
      </c>
      <c r="J65" s="14" t="e">
        <f t="shared" ca="1" si="12"/>
        <v>#N/A</v>
      </c>
      <c r="K65" s="14" t="e">
        <f t="shared" ca="1" si="12"/>
        <v>#N/A</v>
      </c>
      <c r="L65" s="14" t="e">
        <f t="shared" ca="1" si="12"/>
        <v>#N/A</v>
      </c>
      <c r="M65" s="14" t="e">
        <f t="shared" ca="1" si="12"/>
        <v>#N/A</v>
      </c>
      <c r="N65" s="14" t="e">
        <f t="shared" ca="1" si="12"/>
        <v>#N/A</v>
      </c>
      <c r="O65" s="14" t="e">
        <f t="shared" ca="1" si="12"/>
        <v>#N/A</v>
      </c>
      <c r="P65" s="14" t="e">
        <f t="shared" ca="1" si="13"/>
        <v>#N/A</v>
      </c>
      <c r="Q65" s="14" t="e">
        <f t="shared" ca="1" si="13"/>
        <v>#N/A</v>
      </c>
      <c r="R65" s="14" t="e">
        <f t="shared" ca="1" si="13"/>
        <v>#N/A</v>
      </c>
      <c r="S65" s="14" t="e">
        <f t="shared" ca="1" si="13"/>
        <v>#N/A</v>
      </c>
      <c r="T65" s="14" t="e">
        <f t="shared" ca="1" si="13"/>
        <v>#N/A</v>
      </c>
      <c r="U65" s="14" t="e">
        <f t="shared" ca="1" si="13"/>
        <v>#N/A</v>
      </c>
      <c r="V65" s="14" t="e">
        <f t="shared" ca="1" si="13"/>
        <v>#N/A</v>
      </c>
      <c r="W65" s="14" t="e">
        <f t="shared" ca="1" si="13"/>
        <v>#N/A</v>
      </c>
      <c r="X65" s="14" t="e">
        <f t="shared" ca="1" si="13"/>
        <v>#N/A</v>
      </c>
      <c r="Y65" s="14" t="e">
        <f t="shared" ca="1" si="13"/>
        <v>#N/A</v>
      </c>
      <c r="Z65" s="14" t="e">
        <f t="shared" ca="1" si="14"/>
        <v>#N/A</v>
      </c>
      <c r="AA65" s="14" t="e">
        <f t="shared" ca="1" si="14"/>
        <v>#N/A</v>
      </c>
      <c r="AB65" s="14" t="e">
        <f t="shared" ca="1" si="14"/>
        <v>#N/A</v>
      </c>
      <c r="AC65" s="14" t="e">
        <f t="shared" ca="1" si="14"/>
        <v>#N/A</v>
      </c>
      <c r="AD65" s="14" t="e">
        <f t="shared" ca="1" si="14"/>
        <v>#N/A</v>
      </c>
      <c r="AE65" s="14" t="e">
        <f t="shared" ca="1" si="14"/>
        <v>#N/A</v>
      </c>
      <c r="AF65" s="14" t="e">
        <f t="shared" ca="1" si="14"/>
        <v>#N/A</v>
      </c>
      <c r="AG65" s="14" t="e">
        <f t="shared" ca="1" si="14"/>
        <v>#N/A</v>
      </c>
      <c r="AH65" s="14" t="e">
        <f t="shared" ca="1" si="14"/>
        <v>#N/A</v>
      </c>
      <c r="AI65" s="14" t="e">
        <f t="shared" ca="1" si="14"/>
        <v>#N/A</v>
      </c>
      <c r="AJ65" s="14" t="e">
        <f t="shared" ca="1" si="14"/>
        <v>#N/A</v>
      </c>
      <c r="AK65" s="14" t="e">
        <f t="shared" ca="1" si="14"/>
        <v>#N/A</v>
      </c>
      <c r="AL65" s="14" t="e">
        <f t="shared" ca="1" si="14"/>
        <v>#N/A</v>
      </c>
    </row>
    <row r="66" spans="1:54" ht="21" customHeight="1" outlineLevel="1" thickBot="1" x14ac:dyDescent="0.4">
      <c r="A66" s="5">
        <f t="shared" ref="A66:E75" si="15">A24</f>
        <v>0</v>
      </c>
      <c r="B66" s="5">
        <f t="shared" si="15"/>
        <v>0</v>
      </c>
      <c r="C66" s="5">
        <f t="shared" si="15"/>
        <v>0</v>
      </c>
      <c r="D66" s="5">
        <f t="shared" si="15"/>
        <v>0</v>
      </c>
      <c r="E66" s="6">
        <f t="shared" si="15"/>
        <v>0</v>
      </c>
      <c r="F66" s="14" t="e">
        <f t="shared" ref="F66:O74" ca="1" si="16">$A66*H.Ar + $B66*H.Se + $C66*H.Ge + $D66*H.Ga</f>
        <v>#N/A</v>
      </c>
      <c r="G66" s="14" t="e">
        <f t="shared" ca="1" si="16"/>
        <v>#N/A</v>
      </c>
      <c r="H66" s="14" t="e">
        <f t="shared" ca="1" si="16"/>
        <v>#N/A</v>
      </c>
      <c r="I66" s="14" t="e">
        <f t="shared" ca="1" si="16"/>
        <v>#N/A</v>
      </c>
      <c r="J66" s="14" t="e">
        <f t="shared" ca="1" si="16"/>
        <v>#N/A</v>
      </c>
      <c r="K66" s="14" t="e">
        <f t="shared" ca="1" si="16"/>
        <v>#N/A</v>
      </c>
      <c r="L66" s="14" t="e">
        <f t="shared" ca="1" si="16"/>
        <v>#N/A</v>
      </c>
      <c r="M66" s="14" t="e">
        <f t="shared" ca="1" si="16"/>
        <v>#N/A</v>
      </c>
      <c r="N66" s="14" t="e">
        <f t="shared" ca="1" si="16"/>
        <v>#N/A</v>
      </c>
      <c r="O66" s="14" t="e">
        <f t="shared" ca="1" si="16"/>
        <v>#N/A</v>
      </c>
      <c r="P66" s="14" t="e">
        <f t="shared" ref="P66:Y74" ca="1" si="17">$A66*H.Ar + $B66*H.Se + $C66*H.Ge + $D66*H.Ga</f>
        <v>#N/A</v>
      </c>
      <c r="Q66" s="14" t="e">
        <f t="shared" ca="1" si="17"/>
        <v>#N/A</v>
      </c>
      <c r="R66" s="14" t="e">
        <f t="shared" ca="1" si="17"/>
        <v>#N/A</v>
      </c>
      <c r="S66" s="14" t="e">
        <f t="shared" ca="1" si="17"/>
        <v>#N/A</v>
      </c>
      <c r="T66" s="14" t="e">
        <f t="shared" ca="1" si="17"/>
        <v>#N/A</v>
      </c>
      <c r="U66" s="14" t="e">
        <f t="shared" ca="1" si="17"/>
        <v>#N/A</v>
      </c>
      <c r="V66" s="14" t="e">
        <f t="shared" ca="1" si="17"/>
        <v>#N/A</v>
      </c>
      <c r="W66" s="14" t="e">
        <f t="shared" ca="1" si="17"/>
        <v>#N/A</v>
      </c>
      <c r="X66" s="14" t="e">
        <f t="shared" ca="1" si="17"/>
        <v>#N/A</v>
      </c>
      <c r="Y66" s="14" t="e">
        <f t="shared" ca="1" si="17"/>
        <v>#N/A</v>
      </c>
      <c r="Z66" s="14" t="e">
        <f t="shared" ref="Z66:AL74" ca="1" si="18">$A66*H.Ar + $B66*H.Se + $C66*H.Ge + $D66*H.Ga</f>
        <v>#N/A</v>
      </c>
      <c r="AA66" s="14" t="e">
        <f t="shared" ca="1" si="18"/>
        <v>#N/A</v>
      </c>
      <c r="AB66" s="14" t="e">
        <f t="shared" ca="1" si="18"/>
        <v>#N/A</v>
      </c>
      <c r="AC66" s="14" t="e">
        <f t="shared" ca="1" si="18"/>
        <v>#N/A</v>
      </c>
      <c r="AD66" s="14" t="e">
        <f t="shared" ca="1" si="18"/>
        <v>#N/A</v>
      </c>
      <c r="AE66" s="14" t="e">
        <f t="shared" ca="1" si="18"/>
        <v>#N/A</v>
      </c>
      <c r="AF66" s="14" t="e">
        <f t="shared" ca="1" si="18"/>
        <v>#N/A</v>
      </c>
      <c r="AG66" s="14" t="e">
        <f t="shared" ca="1" si="18"/>
        <v>#N/A</v>
      </c>
      <c r="AH66" s="14" t="e">
        <f t="shared" ca="1" si="18"/>
        <v>#N/A</v>
      </c>
      <c r="AI66" s="14" t="e">
        <f t="shared" ca="1" si="18"/>
        <v>#N/A</v>
      </c>
      <c r="AJ66" s="14" t="e">
        <f t="shared" ca="1" si="18"/>
        <v>#N/A</v>
      </c>
      <c r="AK66" s="14" t="e">
        <f t="shared" ca="1" si="18"/>
        <v>#N/A</v>
      </c>
      <c r="AL66" s="14" t="e">
        <f t="shared" ca="1" si="18"/>
        <v>#N/A</v>
      </c>
    </row>
    <row r="67" spans="1:54" ht="21" customHeight="1" outlineLevel="1" thickBot="1" x14ac:dyDescent="0.4">
      <c r="A67" s="5">
        <f t="shared" si="15"/>
        <v>0</v>
      </c>
      <c r="B67" s="5">
        <f t="shared" si="15"/>
        <v>0</v>
      </c>
      <c r="C67" s="5">
        <f t="shared" si="15"/>
        <v>0</v>
      </c>
      <c r="D67" s="5">
        <f t="shared" si="15"/>
        <v>0</v>
      </c>
      <c r="E67" s="6">
        <f t="shared" si="15"/>
        <v>0</v>
      </c>
      <c r="F67" s="14" t="e">
        <f t="shared" ca="1" si="16"/>
        <v>#N/A</v>
      </c>
      <c r="G67" s="14" t="e">
        <f t="shared" ca="1" si="16"/>
        <v>#N/A</v>
      </c>
      <c r="H67" s="14" t="e">
        <f t="shared" ca="1" si="16"/>
        <v>#N/A</v>
      </c>
      <c r="I67" s="14" t="e">
        <f t="shared" ca="1" si="16"/>
        <v>#N/A</v>
      </c>
      <c r="J67" s="14" t="e">
        <f t="shared" ca="1" si="16"/>
        <v>#N/A</v>
      </c>
      <c r="K67" s="14" t="e">
        <f t="shared" ca="1" si="16"/>
        <v>#N/A</v>
      </c>
      <c r="L67" s="14" t="e">
        <f t="shared" ca="1" si="16"/>
        <v>#N/A</v>
      </c>
      <c r="M67" s="14" t="e">
        <f t="shared" ca="1" si="16"/>
        <v>#N/A</v>
      </c>
      <c r="N67" s="14" t="e">
        <f t="shared" ca="1" si="16"/>
        <v>#N/A</v>
      </c>
      <c r="O67" s="14" t="e">
        <f t="shared" ca="1" si="16"/>
        <v>#N/A</v>
      </c>
      <c r="P67" s="14" t="e">
        <f t="shared" ca="1" si="17"/>
        <v>#N/A</v>
      </c>
      <c r="Q67" s="14" t="e">
        <f t="shared" ca="1" si="17"/>
        <v>#N/A</v>
      </c>
      <c r="R67" s="14" t="e">
        <f t="shared" ca="1" si="17"/>
        <v>#N/A</v>
      </c>
      <c r="S67" s="14" t="e">
        <f t="shared" ca="1" si="17"/>
        <v>#N/A</v>
      </c>
      <c r="T67" s="14" t="e">
        <f t="shared" ca="1" si="17"/>
        <v>#N/A</v>
      </c>
      <c r="U67" s="14" t="e">
        <f t="shared" ca="1" si="17"/>
        <v>#N/A</v>
      </c>
      <c r="V67" s="14" t="e">
        <f t="shared" ca="1" si="17"/>
        <v>#N/A</v>
      </c>
      <c r="W67" s="14" t="e">
        <f t="shared" ca="1" si="17"/>
        <v>#N/A</v>
      </c>
      <c r="X67" s="14" t="e">
        <f t="shared" ca="1" si="17"/>
        <v>#N/A</v>
      </c>
      <c r="Y67" s="14" t="e">
        <f t="shared" ca="1" si="17"/>
        <v>#N/A</v>
      </c>
      <c r="Z67" s="14" t="e">
        <f t="shared" ca="1" si="18"/>
        <v>#N/A</v>
      </c>
      <c r="AA67" s="14" t="e">
        <f t="shared" ca="1" si="18"/>
        <v>#N/A</v>
      </c>
      <c r="AB67" s="14" t="e">
        <f t="shared" ca="1" si="18"/>
        <v>#N/A</v>
      </c>
      <c r="AC67" s="14" t="e">
        <f t="shared" ca="1" si="18"/>
        <v>#N/A</v>
      </c>
      <c r="AD67" s="14" t="e">
        <f t="shared" ca="1" si="18"/>
        <v>#N/A</v>
      </c>
      <c r="AE67" s="14" t="e">
        <f t="shared" ca="1" si="18"/>
        <v>#N/A</v>
      </c>
      <c r="AF67" s="14" t="e">
        <f t="shared" ca="1" si="18"/>
        <v>#N/A</v>
      </c>
      <c r="AG67" s="14" t="e">
        <f t="shared" ca="1" si="18"/>
        <v>#N/A</v>
      </c>
      <c r="AH67" s="14" t="e">
        <f t="shared" ca="1" si="18"/>
        <v>#N/A</v>
      </c>
      <c r="AI67" s="14" t="e">
        <f t="shared" ca="1" si="18"/>
        <v>#N/A</v>
      </c>
      <c r="AJ67" s="14" t="e">
        <f t="shared" ca="1" si="18"/>
        <v>#N/A</v>
      </c>
      <c r="AK67" s="14" t="e">
        <f t="shared" ca="1" si="18"/>
        <v>#N/A</v>
      </c>
      <c r="AL67" s="14" t="e">
        <f t="shared" ca="1" si="18"/>
        <v>#N/A</v>
      </c>
    </row>
    <row r="68" spans="1:54" ht="21" customHeight="1" outlineLevel="1" thickBot="1" x14ac:dyDescent="0.4">
      <c r="A68" s="5">
        <f t="shared" si="15"/>
        <v>0</v>
      </c>
      <c r="B68" s="5">
        <f t="shared" si="15"/>
        <v>0</v>
      </c>
      <c r="C68" s="5">
        <f t="shared" si="15"/>
        <v>0</v>
      </c>
      <c r="D68" s="5">
        <f t="shared" si="15"/>
        <v>0</v>
      </c>
      <c r="E68" s="6">
        <f t="shared" si="15"/>
        <v>0</v>
      </c>
      <c r="F68" s="14" t="e">
        <f t="shared" ca="1" si="16"/>
        <v>#N/A</v>
      </c>
      <c r="G68" s="14" t="e">
        <f t="shared" ca="1" si="16"/>
        <v>#N/A</v>
      </c>
      <c r="H68" s="14" t="e">
        <f t="shared" ca="1" si="16"/>
        <v>#N/A</v>
      </c>
      <c r="I68" s="14" t="e">
        <f t="shared" ca="1" si="16"/>
        <v>#N/A</v>
      </c>
      <c r="J68" s="14" t="e">
        <f t="shared" ca="1" si="16"/>
        <v>#N/A</v>
      </c>
      <c r="K68" s="14" t="e">
        <f t="shared" ca="1" si="16"/>
        <v>#N/A</v>
      </c>
      <c r="L68" s="14" t="e">
        <f t="shared" ca="1" si="16"/>
        <v>#N/A</v>
      </c>
      <c r="M68" s="14" t="e">
        <f t="shared" ca="1" si="16"/>
        <v>#N/A</v>
      </c>
      <c r="N68" s="14" t="e">
        <f t="shared" ca="1" si="16"/>
        <v>#N/A</v>
      </c>
      <c r="O68" s="14" t="e">
        <f t="shared" ca="1" si="16"/>
        <v>#N/A</v>
      </c>
      <c r="P68" s="14" t="e">
        <f t="shared" ca="1" si="17"/>
        <v>#N/A</v>
      </c>
      <c r="Q68" s="14" t="e">
        <f t="shared" ca="1" si="17"/>
        <v>#N/A</v>
      </c>
      <c r="R68" s="14" t="e">
        <f t="shared" ca="1" si="17"/>
        <v>#N/A</v>
      </c>
      <c r="S68" s="14" t="e">
        <f t="shared" ca="1" si="17"/>
        <v>#N/A</v>
      </c>
      <c r="T68" s="14" t="e">
        <f t="shared" ca="1" si="17"/>
        <v>#N/A</v>
      </c>
      <c r="U68" s="14" t="e">
        <f t="shared" ca="1" si="17"/>
        <v>#N/A</v>
      </c>
      <c r="V68" s="14" t="e">
        <f t="shared" ca="1" si="17"/>
        <v>#N/A</v>
      </c>
      <c r="W68" s="14" t="e">
        <f t="shared" ca="1" si="17"/>
        <v>#N/A</v>
      </c>
      <c r="X68" s="14" t="e">
        <f t="shared" ca="1" si="17"/>
        <v>#N/A</v>
      </c>
      <c r="Y68" s="14" t="e">
        <f t="shared" ca="1" si="17"/>
        <v>#N/A</v>
      </c>
      <c r="Z68" s="14" t="e">
        <f t="shared" ca="1" si="18"/>
        <v>#N/A</v>
      </c>
      <c r="AA68" s="14" t="e">
        <f t="shared" ca="1" si="18"/>
        <v>#N/A</v>
      </c>
      <c r="AB68" s="14" t="e">
        <f t="shared" ca="1" si="18"/>
        <v>#N/A</v>
      </c>
      <c r="AC68" s="14" t="e">
        <f t="shared" ca="1" si="18"/>
        <v>#N/A</v>
      </c>
      <c r="AD68" s="14" t="e">
        <f t="shared" ca="1" si="18"/>
        <v>#N/A</v>
      </c>
      <c r="AE68" s="14" t="e">
        <f t="shared" ca="1" si="18"/>
        <v>#N/A</v>
      </c>
      <c r="AF68" s="14" t="e">
        <f t="shared" ca="1" si="18"/>
        <v>#N/A</v>
      </c>
      <c r="AG68" s="14" t="e">
        <f t="shared" ca="1" si="18"/>
        <v>#N/A</v>
      </c>
      <c r="AH68" s="14" t="e">
        <f t="shared" ca="1" si="18"/>
        <v>#N/A</v>
      </c>
      <c r="AI68" s="14" t="e">
        <f t="shared" ca="1" si="18"/>
        <v>#N/A</v>
      </c>
      <c r="AJ68" s="14" t="e">
        <f t="shared" ca="1" si="18"/>
        <v>#N/A</v>
      </c>
      <c r="AK68" s="14" t="e">
        <f t="shared" ca="1" si="18"/>
        <v>#N/A</v>
      </c>
      <c r="AL68" s="14" t="e">
        <f t="shared" ca="1" si="18"/>
        <v>#N/A</v>
      </c>
    </row>
    <row r="69" spans="1:54" ht="21" customHeight="1" outlineLevel="1" thickBot="1" x14ac:dyDescent="0.4">
      <c r="A69" s="5">
        <f t="shared" si="15"/>
        <v>0</v>
      </c>
      <c r="B69" s="5">
        <f t="shared" si="15"/>
        <v>0</v>
      </c>
      <c r="C69" s="5">
        <f t="shared" si="15"/>
        <v>0</v>
      </c>
      <c r="D69" s="5">
        <f t="shared" si="15"/>
        <v>0</v>
      </c>
      <c r="E69" s="6">
        <f t="shared" si="15"/>
        <v>0</v>
      </c>
      <c r="F69" s="14" t="e">
        <f t="shared" ca="1" si="16"/>
        <v>#N/A</v>
      </c>
      <c r="G69" s="14" t="e">
        <f t="shared" ca="1" si="16"/>
        <v>#N/A</v>
      </c>
      <c r="H69" s="14" t="e">
        <f t="shared" ca="1" si="16"/>
        <v>#N/A</v>
      </c>
      <c r="I69" s="14" t="e">
        <f t="shared" ca="1" si="16"/>
        <v>#N/A</v>
      </c>
      <c r="J69" s="14" t="e">
        <f t="shared" ca="1" si="16"/>
        <v>#N/A</v>
      </c>
      <c r="K69" s="14" t="e">
        <f t="shared" ca="1" si="16"/>
        <v>#N/A</v>
      </c>
      <c r="L69" s="14" t="e">
        <f t="shared" ca="1" si="16"/>
        <v>#N/A</v>
      </c>
      <c r="M69" s="14" t="e">
        <f t="shared" ca="1" si="16"/>
        <v>#N/A</v>
      </c>
      <c r="N69" s="14" t="e">
        <f t="shared" ca="1" si="16"/>
        <v>#N/A</v>
      </c>
      <c r="O69" s="14" t="e">
        <f t="shared" ca="1" si="16"/>
        <v>#N/A</v>
      </c>
      <c r="P69" s="14" t="e">
        <f t="shared" ca="1" si="17"/>
        <v>#N/A</v>
      </c>
      <c r="Q69" s="14" t="e">
        <f t="shared" ca="1" si="17"/>
        <v>#N/A</v>
      </c>
      <c r="R69" s="14" t="e">
        <f t="shared" ca="1" si="17"/>
        <v>#N/A</v>
      </c>
      <c r="S69" s="14" t="e">
        <f t="shared" ca="1" si="17"/>
        <v>#N/A</v>
      </c>
      <c r="T69" s="14" t="e">
        <f t="shared" ca="1" si="17"/>
        <v>#N/A</v>
      </c>
      <c r="U69" s="14" t="e">
        <f t="shared" ca="1" si="17"/>
        <v>#N/A</v>
      </c>
      <c r="V69" s="14" t="e">
        <f t="shared" ca="1" si="17"/>
        <v>#N/A</v>
      </c>
      <c r="W69" s="14" t="e">
        <f t="shared" ca="1" si="17"/>
        <v>#N/A</v>
      </c>
      <c r="X69" s="14" t="e">
        <f t="shared" ca="1" si="17"/>
        <v>#N/A</v>
      </c>
      <c r="Y69" s="14" t="e">
        <f t="shared" ca="1" si="17"/>
        <v>#N/A</v>
      </c>
      <c r="Z69" s="14" t="e">
        <f t="shared" ca="1" si="18"/>
        <v>#N/A</v>
      </c>
      <c r="AA69" s="14" t="e">
        <f t="shared" ca="1" si="18"/>
        <v>#N/A</v>
      </c>
      <c r="AB69" s="14" t="e">
        <f t="shared" ca="1" si="18"/>
        <v>#N/A</v>
      </c>
      <c r="AC69" s="14" t="e">
        <f t="shared" ca="1" si="18"/>
        <v>#N/A</v>
      </c>
      <c r="AD69" s="14" t="e">
        <f t="shared" ca="1" si="18"/>
        <v>#N/A</v>
      </c>
      <c r="AE69" s="14" t="e">
        <f t="shared" ca="1" si="18"/>
        <v>#N/A</v>
      </c>
      <c r="AF69" s="14" t="e">
        <f t="shared" ca="1" si="18"/>
        <v>#N/A</v>
      </c>
      <c r="AG69" s="14" t="e">
        <f t="shared" ca="1" si="18"/>
        <v>#N/A</v>
      </c>
      <c r="AH69" s="14" t="e">
        <f t="shared" ca="1" si="18"/>
        <v>#N/A</v>
      </c>
      <c r="AI69" s="14" t="e">
        <f t="shared" ca="1" si="18"/>
        <v>#N/A</v>
      </c>
      <c r="AJ69" s="14" t="e">
        <f t="shared" ca="1" si="18"/>
        <v>#N/A</v>
      </c>
      <c r="AK69" s="14" t="e">
        <f t="shared" ca="1" si="18"/>
        <v>#N/A</v>
      </c>
      <c r="AL69" s="14" t="e">
        <f t="shared" ca="1" si="18"/>
        <v>#N/A</v>
      </c>
    </row>
    <row r="70" spans="1:54" ht="21" customHeight="1" outlineLevel="1" thickBot="1" x14ac:dyDescent="0.4">
      <c r="A70" s="5">
        <f t="shared" si="15"/>
        <v>0</v>
      </c>
      <c r="B70" s="5">
        <f t="shared" si="15"/>
        <v>0</v>
      </c>
      <c r="C70" s="5">
        <f t="shared" si="15"/>
        <v>0</v>
      </c>
      <c r="D70" s="5">
        <f t="shared" si="15"/>
        <v>0</v>
      </c>
      <c r="E70" s="6">
        <f t="shared" si="15"/>
        <v>0</v>
      </c>
      <c r="F70" s="14" t="e">
        <f t="shared" ca="1" si="16"/>
        <v>#N/A</v>
      </c>
      <c r="G70" s="14" t="e">
        <f t="shared" ca="1" si="16"/>
        <v>#N/A</v>
      </c>
      <c r="H70" s="14" t="e">
        <f t="shared" ca="1" si="16"/>
        <v>#N/A</v>
      </c>
      <c r="I70" s="14" t="e">
        <f t="shared" ca="1" si="16"/>
        <v>#N/A</v>
      </c>
      <c r="J70" s="14" t="e">
        <f t="shared" ca="1" si="16"/>
        <v>#N/A</v>
      </c>
      <c r="K70" s="14" t="e">
        <f t="shared" ca="1" si="16"/>
        <v>#N/A</v>
      </c>
      <c r="L70" s="14" t="e">
        <f t="shared" ca="1" si="16"/>
        <v>#N/A</v>
      </c>
      <c r="M70" s="14" t="e">
        <f t="shared" ca="1" si="16"/>
        <v>#N/A</v>
      </c>
      <c r="N70" s="14" t="e">
        <f t="shared" ca="1" si="16"/>
        <v>#N/A</v>
      </c>
      <c r="O70" s="14" t="e">
        <f t="shared" ca="1" si="16"/>
        <v>#N/A</v>
      </c>
      <c r="P70" s="14" t="e">
        <f t="shared" ca="1" si="17"/>
        <v>#N/A</v>
      </c>
      <c r="Q70" s="14" t="e">
        <f t="shared" ca="1" si="17"/>
        <v>#N/A</v>
      </c>
      <c r="R70" s="14" t="e">
        <f t="shared" ca="1" si="17"/>
        <v>#N/A</v>
      </c>
      <c r="S70" s="14" t="e">
        <f t="shared" ca="1" si="17"/>
        <v>#N/A</v>
      </c>
      <c r="T70" s="14" t="e">
        <f t="shared" ca="1" si="17"/>
        <v>#N/A</v>
      </c>
      <c r="U70" s="14" t="e">
        <f t="shared" ca="1" si="17"/>
        <v>#N/A</v>
      </c>
      <c r="V70" s="14" t="e">
        <f t="shared" ca="1" si="17"/>
        <v>#N/A</v>
      </c>
      <c r="W70" s="14" t="e">
        <f t="shared" ca="1" si="17"/>
        <v>#N/A</v>
      </c>
      <c r="X70" s="14" t="e">
        <f t="shared" ca="1" si="17"/>
        <v>#N/A</v>
      </c>
      <c r="Y70" s="14" t="e">
        <f t="shared" ca="1" si="17"/>
        <v>#N/A</v>
      </c>
      <c r="Z70" s="14" t="e">
        <f t="shared" ca="1" si="18"/>
        <v>#N/A</v>
      </c>
      <c r="AA70" s="14" t="e">
        <f t="shared" ca="1" si="18"/>
        <v>#N/A</v>
      </c>
      <c r="AB70" s="14" t="e">
        <f t="shared" ca="1" si="18"/>
        <v>#N/A</v>
      </c>
      <c r="AC70" s="14" t="e">
        <f t="shared" ca="1" si="18"/>
        <v>#N/A</v>
      </c>
      <c r="AD70" s="14" t="e">
        <f t="shared" ca="1" si="18"/>
        <v>#N/A</v>
      </c>
      <c r="AE70" s="14" t="e">
        <f t="shared" ca="1" si="18"/>
        <v>#N/A</v>
      </c>
      <c r="AF70" s="14" t="e">
        <f t="shared" ca="1" si="18"/>
        <v>#N/A</v>
      </c>
      <c r="AG70" s="14" t="e">
        <f t="shared" ca="1" si="18"/>
        <v>#N/A</v>
      </c>
      <c r="AH70" s="14" t="e">
        <f t="shared" ca="1" si="18"/>
        <v>#N/A</v>
      </c>
      <c r="AI70" s="14" t="e">
        <f t="shared" ca="1" si="18"/>
        <v>#N/A</v>
      </c>
      <c r="AJ70" s="14" t="e">
        <f t="shared" ca="1" si="18"/>
        <v>#N/A</v>
      </c>
      <c r="AK70" s="14" t="e">
        <f t="shared" ca="1" si="18"/>
        <v>#N/A</v>
      </c>
      <c r="AL70" s="14" t="e">
        <f t="shared" ca="1" si="18"/>
        <v>#N/A</v>
      </c>
    </row>
    <row r="71" spans="1:54" ht="21" customHeight="1" outlineLevel="1" thickBot="1" x14ac:dyDescent="0.4">
      <c r="A71" s="5">
        <f t="shared" si="15"/>
        <v>0</v>
      </c>
      <c r="B71" s="5">
        <f t="shared" si="15"/>
        <v>0</v>
      </c>
      <c r="C71" s="5">
        <f t="shared" si="15"/>
        <v>0</v>
      </c>
      <c r="D71" s="5">
        <f t="shared" si="15"/>
        <v>0</v>
      </c>
      <c r="E71" s="6">
        <f t="shared" si="15"/>
        <v>0</v>
      </c>
      <c r="F71" s="14" t="e">
        <f t="shared" ca="1" si="16"/>
        <v>#N/A</v>
      </c>
      <c r="G71" s="14" t="e">
        <f t="shared" ca="1" si="16"/>
        <v>#N/A</v>
      </c>
      <c r="H71" s="14" t="e">
        <f t="shared" ca="1" si="16"/>
        <v>#N/A</v>
      </c>
      <c r="I71" s="14" t="e">
        <f t="shared" ca="1" si="16"/>
        <v>#N/A</v>
      </c>
      <c r="J71" s="14" t="e">
        <f t="shared" ca="1" si="16"/>
        <v>#N/A</v>
      </c>
      <c r="K71" s="14" t="e">
        <f t="shared" ca="1" si="16"/>
        <v>#N/A</v>
      </c>
      <c r="L71" s="14" t="e">
        <f t="shared" ca="1" si="16"/>
        <v>#N/A</v>
      </c>
      <c r="M71" s="14" t="e">
        <f t="shared" ca="1" si="16"/>
        <v>#N/A</v>
      </c>
      <c r="N71" s="14" t="e">
        <f t="shared" ca="1" si="16"/>
        <v>#N/A</v>
      </c>
      <c r="O71" s="14" t="e">
        <f t="shared" ca="1" si="16"/>
        <v>#N/A</v>
      </c>
      <c r="P71" s="14" t="e">
        <f t="shared" ca="1" si="17"/>
        <v>#N/A</v>
      </c>
      <c r="Q71" s="14" t="e">
        <f t="shared" ca="1" si="17"/>
        <v>#N/A</v>
      </c>
      <c r="R71" s="14" t="e">
        <f t="shared" ca="1" si="17"/>
        <v>#N/A</v>
      </c>
      <c r="S71" s="14" t="e">
        <f t="shared" ca="1" si="17"/>
        <v>#N/A</v>
      </c>
      <c r="T71" s="14" t="e">
        <f t="shared" ca="1" si="17"/>
        <v>#N/A</v>
      </c>
      <c r="U71" s="14" t="e">
        <f t="shared" ca="1" si="17"/>
        <v>#N/A</v>
      </c>
      <c r="V71" s="14" t="e">
        <f t="shared" ca="1" si="17"/>
        <v>#N/A</v>
      </c>
      <c r="W71" s="14" t="e">
        <f t="shared" ca="1" si="17"/>
        <v>#N/A</v>
      </c>
      <c r="X71" s="14" t="e">
        <f t="shared" ca="1" si="17"/>
        <v>#N/A</v>
      </c>
      <c r="Y71" s="14" t="e">
        <f t="shared" ca="1" si="17"/>
        <v>#N/A</v>
      </c>
      <c r="Z71" s="14" t="e">
        <f t="shared" ca="1" si="18"/>
        <v>#N/A</v>
      </c>
      <c r="AA71" s="14" t="e">
        <f t="shared" ca="1" si="18"/>
        <v>#N/A</v>
      </c>
      <c r="AB71" s="14" t="e">
        <f t="shared" ca="1" si="18"/>
        <v>#N/A</v>
      </c>
      <c r="AC71" s="14" t="e">
        <f t="shared" ca="1" si="18"/>
        <v>#N/A</v>
      </c>
      <c r="AD71" s="14" t="e">
        <f t="shared" ca="1" si="18"/>
        <v>#N/A</v>
      </c>
      <c r="AE71" s="14" t="e">
        <f t="shared" ca="1" si="18"/>
        <v>#N/A</v>
      </c>
      <c r="AF71" s="14" t="e">
        <f t="shared" ca="1" si="18"/>
        <v>#N/A</v>
      </c>
      <c r="AG71" s="14" t="e">
        <f t="shared" ca="1" si="18"/>
        <v>#N/A</v>
      </c>
      <c r="AH71" s="14" t="e">
        <f t="shared" ca="1" si="18"/>
        <v>#N/A</v>
      </c>
      <c r="AI71" s="14" t="e">
        <f t="shared" ca="1" si="18"/>
        <v>#N/A</v>
      </c>
      <c r="AJ71" s="14" t="e">
        <f t="shared" ca="1" si="18"/>
        <v>#N/A</v>
      </c>
      <c r="AK71" s="14" t="e">
        <f t="shared" ca="1" si="18"/>
        <v>#N/A</v>
      </c>
      <c r="AL71" s="14" t="e">
        <f t="shared" ca="1" si="18"/>
        <v>#N/A</v>
      </c>
    </row>
    <row r="72" spans="1:54" ht="21" customHeight="1" outlineLevel="1" thickBot="1" x14ac:dyDescent="0.4">
      <c r="A72" s="5">
        <f t="shared" si="15"/>
        <v>0</v>
      </c>
      <c r="B72" s="5">
        <f t="shared" si="15"/>
        <v>0</v>
      </c>
      <c r="C72" s="5">
        <f t="shared" si="15"/>
        <v>0</v>
      </c>
      <c r="D72" s="5">
        <f t="shared" si="15"/>
        <v>0</v>
      </c>
      <c r="E72" s="6">
        <f t="shared" si="15"/>
        <v>0</v>
      </c>
      <c r="F72" s="14" t="e">
        <f t="shared" ca="1" si="16"/>
        <v>#N/A</v>
      </c>
      <c r="G72" s="14" t="e">
        <f t="shared" ca="1" si="16"/>
        <v>#N/A</v>
      </c>
      <c r="H72" s="14" t="e">
        <f t="shared" ca="1" si="16"/>
        <v>#N/A</v>
      </c>
      <c r="I72" s="14" t="e">
        <f t="shared" ca="1" si="16"/>
        <v>#N/A</v>
      </c>
      <c r="J72" s="14" t="e">
        <f t="shared" ca="1" si="16"/>
        <v>#N/A</v>
      </c>
      <c r="K72" s="14" t="e">
        <f t="shared" ca="1" si="16"/>
        <v>#N/A</v>
      </c>
      <c r="L72" s="14" t="e">
        <f t="shared" ca="1" si="16"/>
        <v>#N/A</v>
      </c>
      <c r="M72" s="14" t="e">
        <f t="shared" ca="1" si="16"/>
        <v>#N/A</v>
      </c>
      <c r="N72" s="14" t="e">
        <f t="shared" ca="1" si="16"/>
        <v>#N/A</v>
      </c>
      <c r="O72" s="14" t="e">
        <f t="shared" ca="1" si="16"/>
        <v>#N/A</v>
      </c>
      <c r="P72" s="14" t="e">
        <f t="shared" ca="1" si="17"/>
        <v>#N/A</v>
      </c>
      <c r="Q72" s="14" t="e">
        <f t="shared" ca="1" si="17"/>
        <v>#N/A</v>
      </c>
      <c r="R72" s="14" t="e">
        <f t="shared" ca="1" si="17"/>
        <v>#N/A</v>
      </c>
      <c r="S72" s="14" t="e">
        <f t="shared" ca="1" si="17"/>
        <v>#N/A</v>
      </c>
      <c r="T72" s="14" t="e">
        <f t="shared" ca="1" si="17"/>
        <v>#N/A</v>
      </c>
      <c r="U72" s="14" t="e">
        <f t="shared" ca="1" si="17"/>
        <v>#N/A</v>
      </c>
      <c r="V72" s="14" t="e">
        <f t="shared" ca="1" si="17"/>
        <v>#N/A</v>
      </c>
      <c r="W72" s="14" t="e">
        <f t="shared" ca="1" si="17"/>
        <v>#N/A</v>
      </c>
      <c r="X72" s="14" t="e">
        <f t="shared" ca="1" si="17"/>
        <v>#N/A</v>
      </c>
      <c r="Y72" s="14" t="e">
        <f t="shared" ca="1" si="17"/>
        <v>#N/A</v>
      </c>
      <c r="Z72" s="14" t="e">
        <f t="shared" ca="1" si="18"/>
        <v>#N/A</v>
      </c>
      <c r="AA72" s="14" t="e">
        <f t="shared" ca="1" si="18"/>
        <v>#N/A</v>
      </c>
      <c r="AB72" s="14" t="e">
        <f t="shared" ca="1" si="18"/>
        <v>#N/A</v>
      </c>
      <c r="AC72" s="14" t="e">
        <f t="shared" ca="1" si="18"/>
        <v>#N/A</v>
      </c>
      <c r="AD72" s="14" t="e">
        <f t="shared" ca="1" si="18"/>
        <v>#N/A</v>
      </c>
      <c r="AE72" s="14" t="e">
        <f t="shared" ca="1" si="18"/>
        <v>#N/A</v>
      </c>
      <c r="AF72" s="14" t="e">
        <f t="shared" ca="1" si="18"/>
        <v>#N/A</v>
      </c>
      <c r="AG72" s="14" t="e">
        <f t="shared" ca="1" si="18"/>
        <v>#N/A</v>
      </c>
      <c r="AH72" s="14" t="e">
        <f t="shared" ca="1" si="18"/>
        <v>#N/A</v>
      </c>
      <c r="AI72" s="14" t="e">
        <f t="shared" ca="1" si="18"/>
        <v>#N/A</v>
      </c>
      <c r="AJ72" s="14" t="e">
        <f t="shared" ca="1" si="18"/>
        <v>#N/A</v>
      </c>
      <c r="AK72" s="14" t="e">
        <f t="shared" ca="1" si="18"/>
        <v>#N/A</v>
      </c>
      <c r="AL72" s="14" t="e">
        <f t="shared" ca="1" si="18"/>
        <v>#N/A</v>
      </c>
    </row>
    <row r="73" spans="1:54" ht="21" customHeight="1" outlineLevel="1" thickBot="1" x14ac:dyDescent="0.4">
      <c r="A73" s="5">
        <f t="shared" si="15"/>
        <v>0</v>
      </c>
      <c r="B73" s="5">
        <f t="shared" si="15"/>
        <v>0</v>
      </c>
      <c r="C73" s="5">
        <f t="shared" si="15"/>
        <v>0</v>
      </c>
      <c r="D73" s="5">
        <f t="shared" si="15"/>
        <v>0</v>
      </c>
      <c r="E73" s="6">
        <f t="shared" si="15"/>
        <v>0</v>
      </c>
      <c r="F73" s="14" t="e">
        <f t="shared" ca="1" si="16"/>
        <v>#N/A</v>
      </c>
      <c r="G73" s="14" t="e">
        <f t="shared" ca="1" si="16"/>
        <v>#N/A</v>
      </c>
      <c r="H73" s="14" t="e">
        <f t="shared" ca="1" si="16"/>
        <v>#N/A</v>
      </c>
      <c r="I73" s="14" t="e">
        <f t="shared" ca="1" si="16"/>
        <v>#N/A</v>
      </c>
      <c r="J73" s="14" t="e">
        <f t="shared" ca="1" si="16"/>
        <v>#N/A</v>
      </c>
      <c r="K73" s="14" t="e">
        <f t="shared" ca="1" si="16"/>
        <v>#N/A</v>
      </c>
      <c r="L73" s="14" t="e">
        <f t="shared" ca="1" si="16"/>
        <v>#N/A</v>
      </c>
      <c r="M73" s="14" t="e">
        <f t="shared" ca="1" si="16"/>
        <v>#N/A</v>
      </c>
      <c r="N73" s="14" t="e">
        <f t="shared" ca="1" si="16"/>
        <v>#N/A</v>
      </c>
      <c r="O73" s="14" t="e">
        <f t="shared" ca="1" si="16"/>
        <v>#N/A</v>
      </c>
      <c r="P73" s="14" t="e">
        <f t="shared" ca="1" si="17"/>
        <v>#N/A</v>
      </c>
      <c r="Q73" s="14" t="e">
        <f t="shared" ca="1" si="17"/>
        <v>#N/A</v>
      </c>
      <c r="R73" s="14" t="e">
        <f t="shared" ca="1" si="17"/>
        <v>#N/A</v>
      </c>
      <c r="S73" s="14" t="e">
        <f t="shared" ca="1" si="17"/>
        <v>#N/A</v>
      </c>
      <c r="T73" s="14" t="e">
        <f t="shared" ca="1" si="17"/>
        <v>#N/A</v>
      </c>
      <c r="U73" s="14" t="e">
        <f t="shared" ca="1" si="17"/>
        <v>#N/A</v>
      </c>
      <c r="V73" s="14" t="e">
        <f t="shared" ca="1" si="17"/>
        <v>#N/A</v>
      </c>
      <c r="W73" s="14" t="e">
        <f t="shared" ca="1" si="17"/>
        <v>#N/A</v>
      </c>
      <c r="X73" s="14" t="e">
        <f t="shared" ca="1" si="17"/>
        <v>#N/A</v>
      </c>
      <c r="Y73" s="14" t="e">
        <f t="shared" ca="1" si="17"/>
        <v>#N/A</v>
      </c>
      <c r="Z73" s="14" t="e">
        <f t="shared" ca="1" si="18"/>
        <v>#N/A</v>
      </c>
      <c r="AA73" s="14" t="e">
        <f t="shared" ca="1" si="18"/>
        <v>#N/A</v>
      </c>
      <c r="AB73" s="14" t="e">
        <f t="shared" ca="1" si="18"/>
        <v>#N/A</v>
      </c>
      <c r="AC73" s="14" t="e">
        <f t="shared" ca="1" si="18"/>
        <v>#N/A</v>
      </c>
      <c r="AD73" s="14" t="e">
        <f t="shared" ca="1" si="18"/>
        <v>#N/A</v>
      </c>
      <c r="AE73" s="14" t="e">
        <f t="shared" ca="1" si="18"/>
        <v>#N/A</v>
      </c>
      <c r="AF73" s="14" t="e">
        <f t="shared" ca="1" si="18"/>
        <v>#N/A</v>
      </c>
      <c r="AG73" s="14" t="e">
        <f t="shared" ca="1" si="18"/>
        <v>#N/A</v>
      </c>
      <c r="AH73" s="14" t="e">
        <f t="shared" ca="1" si="18"/>
        <v>#N/A</v>
      </c>
      <c r="AI73" s="14" t="e">
        <f t="shared" ca="1" si="18"/>
        <v>#N/A</v>
      </c>
      <c r="AJ73" s="14" t="e">
        <f t="shared" ca="1" si="18"/>
        <v>#N/A</v>
      </c>
      <c r="AK73" s="14" t="e">
        <f t="shared" ca="1" si="18"/>
        <v>#N/A</v>
      </c>
      <c r="AL73" s="14" t="e">
        <f t="shared" ca="1" si="18"/>
        <v>#N/A</v>
      </c>
    </row>
    <row r="74" spans="1:54" ht="21" customHeight="1" outlineLevel="1" thickBot="1" x14ac:dyDescent="0.4">
      <c r="A74" s="5">
        <f t="shared" si="15"/>
        <v>0</v>
      </c>
      <c r="B74" s="5">
        <f t="shared" si="15"/>
        <v>0</v>
      </c>
      <c r="C74" s="5">
        <f t="shared" si="15"/>
        <v>0</v>
      </c>
      <c r="D74" s="5">
        <f t="shared" si="15"/>
        <v>0</v>
      </c>
      <c r="E74" s="6">
        <f t="shared" si="15"/>
        <v>0</v>
      </c>
      <c r="F74" s="14" t="e">
        <f t="shared" ca="1" si="16"/>
        <v>#N/A</v>
      </c>
      <c r="G74" s="14" t="e">
        <f t="shared" ca="1" si="16"/>
        <v>#N/A</v>
      </c>
      <c r="H74" s="14" t="e">
        <f t="shared" ca="1" si="16"/>
        <v>#N/A</v>
      </c>
      <c r="I74" s="14" t="e">
        <f t="shared" ca="1" si="16"/>
        <v>#N/A</v>
      </c>
      <c r="J74" s="14" t="e">
        <f t="shared" ca="1" si="16"/>
        <v>#N/A</v>
      </c>
      <c r="K74" s="14" t="e">
        <f t="shared" ca="1" si="16"/>
        <v>#N/A</v>
      </c>
      <c r="L74" s="14" t="e">
        <f t="shared" ca="1" si="16"/>
        <v>#N/A</v>
      </c>
      <c r="M74" s="14" t="e">
        <f t="shared" ca="1" si="16"/>
        <v>#N/A</v>
      </c>
      <c r="N74" s="14" t="e">
        <f t="shared" ca="1" si="16"/>
        <v>#N/A</v>
      </c>
      <c r="O74" s="14" t="e">
        <f t="shared" ca="1" si="16"/>
        <v>#N/A</v>
      </c>
      <c r="P74" s="14" t="e">
        <f t="shared" ca="1" si="17"/>
        <v>#N/A</v>
      </c>
      <c r="Q74" s="14" t="e">
        <f t="shared" ca="1" si="17"/>
        <v>#N/A</v>
      </c>
      <c r="R74" s="14" t="e">
        <f t="shared" ca="1" si="17"/>
        <v>#N/A</v>
      </c>
      <c r="S74" s="14" t="e">
        <f t="shared" ca="1" si="17"/>
        <v>#N/A</v>
      </c>
      <c r="T74" s="14" t="e">
        <f t="shared" ca="1" si="17"/>
        <v>#N/A</v>
      </c>
      <c r="U74" s="14" t="e">
        <f t="shared" ca="1" si="17"/>
        <v>#N/A</v>
      </c>
      <c r="V74" s="14" t="e">
        <f t="shared" ca="1" si="17"/>
        <v>#N/A</v>
      </c>
      <c r="W74" s="14" t="e">
        <f t="shared" ca="1" si="17"/>
        <v>#N/A</v>
      </c>
      <c r="X74" s="14" t="e">
        <f t="shared" ca="1" si="17"/>
        <v>#N/A</v>
      </c>
      <c r="Y74" s="14" t="e">
        <f t="shared" ca="1" si="17"/>
        <v>#N/A</v>
      </c>
      <c r="Z74" s="14" t="e">
        <f t="shared" ca="1" si="18"/>
        <v>#N/A</v>
      </c>
      <c r="AA74" s="14" t="e">
        <f t="shared" ca="1" si="18"/>
        <v>#N/A</v>
      </c>
      <c r="AB74" s="14" t="e">
        <f t="shared" ca="1" si="18"/>
        <v>#N/A</v>
      </c>
      <c r="AC74" s="14" t="e">
        <f t="shared" ca="1" si="18"/>
        <v>#N/A</v>
      </c>
      <c r="AD74" s="14" t="e">
        <f t="shared" ca="1" si="18"/>
        <v>#N/A</v>
      </c>
      <c r="AE74" s="14" t="e">
        <f t="shared" ca="1" si="18"/>
        <v>#N/A</v>
      </c>
      <c r="AF74" s="14" t="e">
        <f t="shared" ca="1" si="18"/>
        <v>#N/A</v>
      </c>
      <c r="AG74" s="14" t="e">
        <f t="shared" ca="1" si="18"/>
        <v>#N/A</v>
      </c>
      <c r="AH74" s="14" t="e">
        <f t="shared" ca="1" si="18"/>
        <v>#N/A</v>
      </c>
      <c r="AI74" s="14" t="e">
        <f t="shared" ca="1" si="18"/>
        <v>#N/A</v>
      </c>
      <c r="AJ74" s="14" t="e">
        <f t="shared" ca="1" si="18"/>
        <v>#N/A</v>
      </c>
      <c r="AK74" s="14" t="e">
        <f t="shared" ca="1" si="18"/>
        <v>#N/A</v>
      </c>
      <c r="AL74" s="14" t="e">
        <f t="shared" ca="1" si="18"/>
        <v>#N/A</v>
      </c>
    </row>
    <row r="75" spans="1:54" ht="21" customHeight="1" outlineLevel="1" thickBot="1" x14ac:dyDescent="0.4">
      <c r="A75" s="5">
        <f t="shared" si="15"/>
        <v>0</v>
      </c>
      <c r="B75" s="5">
        <f t="shared" si="15"/>
        <v>0</v>
      </c>
      <c r="C75" s="5">
        <f t="shared" si="15"/>
        <v>0</v>
      </c>
      <c r="D75" s="5">
        <f t="shared" si="15"/>
        <v>0</v>
      </c>
      <c r="E75" s="6">
        <f t="shared" si="15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U76" s="55"/>
      <c r="V76" s="55"/>
      <c r="W76" s="55"/>
    </row>
    <row r="77" spans="1:54" ht="21" customHeight="1" x14ac:dyDescent="0.35">
      <c r="U77" s="55"/>
      <c r="V77" s="55"/>
      <c r="W77" s="55"/>
    </row>
    <row r="78" spans="1:54" ht="21" customHeight="1" thickBot="1" x14ac:dyDescent="0.45">
      <c r="A78" s="85"/>
      <c r="B78" s="85"/>
      <c r="C78" s="86">
        <f>E41</f>
        <v>25</v>
      </c>
      <c r="D78" s="72"/>
      <c r="E78" s="71" t="s">
        <v>22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19">E45</f>
        <v>0</v>
      </c>
      <c r="F79" s="3">
        <f t="shared" ref="F79:AL79" si="20">F3</f>
        <v>0</v>
      </c>
      <c r="G79" s="3">
        <f t="shared" si="20"/>
        <v>0</v>
      </c>
      <c r="H79" s="3">
        <f t="shared" si="20"/>
        <v>0</v>
      </c>
      <c r="I79" s="3">
        <f t="shared" si="20"/>
        <v>0</v>
      </c>
      <c r="J79" s="3">
        <f t="shared" si="20"/>
        <v>0</v>
      </c>
      <c r="K79" s="3">
        <f t="shared" si="20"/>
        <v>0</v>
      </c>
      <c r="L79" s="3">
        <f t="shared" si="20"/>
        <v>0</v>
      </c>
      <c r="M79" s="3">
        <f t="shared" si="20"/>
        <v>0</v>
      </c>
      <c r="N79" s="3">
        <f t="shared" si="20"/>
        <v>0</v>
      </c>
      <c r="O79" s="3">
        <f t="shared" si="20"/>
        <v>0</v>
      </c>
      <c r="P79" s="3">
        <f t="shared" si="20"/>
        <v>0</v>
      </c>
      <c r="Q79" s="3">
        <f t="shared" si="20"/>
        <v>0</v>
      </c>
      <c r="R79" s="3">
        <f t="shared" si="20"/>
        <v>0</v>
      </c>
      <c r="S79" s="3">
        <f t="shared" si="20"/>
        <v>0</v>
      </c>
      <c r="T79" s="3">
        <f t="shared" si="20"/>
        <v>0</v>
      </c>
      <c r="U79" s="3">
        <f t="shared" si="20"/>
        <v>0</v>
      </c>
      <c r="V79" s="3">
        <f t="shared" si="20"/>
        <v>0</v>
      </c>
      <c r="W79" s="3">
        <f t="shared" si="20"/>
        <v>0</v>
      </c>
      <c r="X79" s="3">
        <f t="shared" si="20"/>
        <v>0</v>
      </c>
      <c r="Y79" s="3">
        <f t="shared" si="20"/>
        <v>0</v>
      </c>
      <c r="Z79" s="3">
        <f t="shared" si="20"/>
        <v>0</v>
      </c>
      <c r="AA79" s="3">
        <f t="shared" si="20"/>
        <v>0</v>
      </c>
      <c r="AB79" s="3">
        <f t="shared" si="20"/>
        <v>0</v>
      </c>
      <c r="AC79" s="3">
        <f t="shared" si="20"/>
        <v>0</v>
      </c>
      <c r="AD79" s="3">
        <f t="shared" si="20"/>
        <v>0</v>
      </c>
      <c r="AE79" s="3">
        <f t="shared" si="20"/>
        <v>0</v>
      </c>
      <c r="AF79" s="3">
        <f t="shared" si="20"/>
        <v>0</v>
      </c>
      <c r="AG79" s="3">
        <f t="shared" si="20"/>
        <v>0</v>
      </c>
      <c r="AH79" s="3">
        <f t="shared" si="20"/>
        <v>0</v>
      </c>
      <c r="AI79" s="3">
        <f t="shared" si="20"/>
        <v>0</v>
      </c>
      <c r="AJ79" s="3">
        <f t="shared" si="20"/>
        <v>0</v>
      </c>
      <c r="AK79" s="3">
        <f t="shared" si="20"/>
        <v>0</v>
      </c>
      <c r="AL79" s="3">
        <f t="shared" si="20"/>
        <v>0</v>
      </c>
    </row>
    <row r="80" spans="1:54" ht="21" customHeight="1" outlineLevel="1" thickTop="1" thickBot="1" x14ac:dyDescent="0.4">
      <c r="A80" s="5">
        <f>A46</f>
        <v>0</v>
      </c>
      <c r="B80" s="5">
        <f t="shared" ref="B80:D80" si="21">B46</f>
        <v>0</v>
      </c>
      <c r="C80" s="5">
        <f t="shared" si="21"/>
        <v>0</v>
      </c>
      <c r="D80" s="5">
        <f t="shared" si="21"/>
        <v>0</v>
      </c>
      <c r="E80" s="6">
        <f t="shared" si="19"/>
        <v>0</v>
      </c>
      <c r="F80" s="14">
        <f t="shared" ref="F80:AL80" si="22">F4*$C$78</f>
        <v>0</v>
      </c>
      <c r="G80" s="14">
        <f t="shared" si="22"/>
        <v>0</v>
      </c>
      <c r="H80" s="14">
        <f t="shared" si="22"/>
        <v>0</v>
      </c>
      <c r="I80" s="14">
        <f t="shared" si="22"/>
        <v>0</v>
      </c>
      <c r="J80" s="14">
        <f t="shared" si="22"/>
        <v>0</v>
      </c>
      <c r="K80" s="14">
        <f t="shared" si="22"/>
        <v>0</v>
      </c>
      <c r="L80" s="14">
        <f t="shared" si="22"/>
        <v>0</v>
      </c>
      <c r="M80" s="14">
        <f t="shared" si="22"/>
        <v>0</v>
      </c>
      <c r="N80" s="14">
        <f t="shared" si="22"/>
        <v>0</v>
      </c>
      <c r="O80" s="14">
        <f t="shared" si="22"/>
        <v>0</v>
      </c>
      <c r="P80" s="14">
        <f t="shared" si="22"/>
        <v>0</v>
      </c>
      <c r="Q80" s="14">
        <f t="shared" si="22"/>
        <v>0</v>
      </c>
      <c r="R80" s="14">
        <f t="shared" si="22"/>
        <v>0</v>
      </c>
      <c r="S80" s="14">
        <f t="shared" si="22"/>
        <v>0</v>
      </c>
      <c r="T80" s="14">
        <f t="shared" si="22"/>
        <v>0</v>
      </c>
      <c r="U80" s="14">
        <f t="shared" si="22"/>
        <v>0</v>
      </c>
      <c r="V80" s="14">
        <f t="shared" si="22"/>
        <v>0</v>
      </c>
      <c r="W80" s="14">
        <f t="shared" si="22"/>
        <v>0</v>
      </c>
      <c r="X80" s="14">
        <f t="shared" si="22"/>
        <v>0</v>
      </c>
      <c r="Y80" s="14">
        <f t="shared" si="22"/>
        <v>0</v>
      </c>
      <c r="Z80" s="14">
        <f t="shared" si="22"/>
        <v>0</v>
      </c>
      <c r="AA80" s="14">
        <f t="shared" si="22"/>
        <v>0</v>
      </c>
      <c r="AB80" s="14">
        <f t="shared" si="22"/>
        <v>0</v>
      </c>
      <c r="AC80" s="14">
        <f t="shared" si="22"/>
        <v>0</v>
      </c>
      <c r="AD80" s="14">
        <f t="shared" si="22"/>
        <v>0</v>
      </c>
      <c r="AE80" s="14">
        <f t="shared" si="22"/>
        <v>0</v>
      </c>
      <c r="AF80" s="14">
        <f t="shared" si="22"/>
        <v>0</v>
      </c>
      <c r="AG80" s="14">
        <f t="shared" si="22"/>
        <v>0</v>
      </c>
      <c r="AH80" s="14">
        <f t="shared" si="22"/>
        <v>0</v>
      </c>
      <c r="AI80" s="14">
        <f t="shared" si="22"/>
        <v>0</v>
      </c>
      <c r="AJ80" s="14">
        <f t="shared" si="22"/>
        <v>0</v>
      </c>
      <c r="AK80" s="14">
        <f t="shared" si="22"/>
        <v>0</v>
      </c>
      <c r="AL80" s="14">
        <f t="shared" si="22"/>
        <v>0</v>
      </c>
    </row>
    <row r="81" spans="1:38" ht="21" customHeight="1" outlineLevel="1" thickBot="1" x14ac:dyDescent="0.4">
      <c r="A81" s="5">
        <f t="shared" ref="A81:D96" si="23">A47</f>
        <v>0</v>
      </c>
      <c r="B81" s="5">
        <f t="shared" si="23"/>
        <v>0</v>
      </c>
      <c r="C81" s="5">
        <f t="shared" si="23"/>
        <v>0</v>
      </c>
      <c r="D81" s="5">
        <f t="shared" si="23"/>
        <v>0</v>
      </c>
      <c r="E81" s="6">
        <f t="shared" si="19"/>
        <v>0</v>
      </c>
      <c r="F81" s="14">
        <f t="shared" ref="F81:AL81" si="24">F5*$C$78</f>
        <v>0</v>
      </c>
      <c r="G81" s="14">
        <f t="shared" si="24"/>
        <v>0</v>
      </c>
      <c r="H81" s="14">
        <f t="shared" si="24"/>
        <v>0</v>
      </c>
      <c r="I81" s="14">
        <f t="shared" si="24"/>
        <v>0</v>
      </c>
      <c r="J81" s="14">
        <f t="shared" si="24"/>
        <v>0</v>
      </c>
      <c r="K81" s="14">
        <f t="shared" si="24"/>
        <v>0</v>
      </c>
      <c r="L81" s="14">
        <f t="shared" si="24"/>
        <v>0</v>
      </c>
      <c r="M81" s="14">
        <f t="shared" si="24"/>
        <v>0</v>
      </c>
      <c r="N81" s="14">
        <f t="shared" si="24"/>
        <v>0</v>
      </c>
      <c r="O81" s="14">
        <f t="shared" si="24"/>
        <v>0</v>
      </c>
      <c r="P81" s="14">
        <f t="shared" si="24"/>
        <v>0</v>
      </c>
      <c r="Q81" s="14">
        <f t="shared" si="24"/>
        <v>0</v>
      </c>
      <c r="R81" s="14">
        <f t="shared" si="24"/>
        <v>0</v>
      </c>
      <c r="S81" s="14">
        <f t="shared" si="24"/>
        <v>0</v>
      </c>
      <c r="T81" s="14">
        <f t="shared" si="24"/>
        <v>0</v>
      </c>
      <c r="U81" s="14">
        <f t="shared" si="24"/>
        <v>0</v>
      </c>
      <c r="V81" s="14">
        <f t="shared" si="24"/>
        <v>0</v>
      </c>
      <c r="W81" s="14">
        <f t="shared" si="24"/>
        <v>0</v>
      </c>
      <c r="X81" s="14">
        <f t="shared" si="24"/>
        <v>0</v>
      </c>
      <c r="Y81" s="14">
        <f t="shared" si="24"/>
        <v>0</v>
      </c>
      <c r="Z81" s="14">
        <f t="shared" si="24"/>
        <v>0</v>
      </c>
      <c r="AA81" s="14">
        <f t="shared" si="24"/>
        <v>0</v>
      </c>
      <c r="AB81" s="14">
        <f t="shared" si="24"/>
        <v>0</v>
      </c>
      <c r="AC81" s="14">
        <f t="shared" si="24"/>
        <v>0</v>
      </c>
      <c r="AD81" s="14">
        <f t="shared" si="24"/>
        <v>0</v>
      </c>
      <c r="AE81" s="14">
        <f t="shared" si="24"/>
        <v>0</v>
      </c>
      <c r="AF81" s="14">
        <f t="shared" si="24"/>
        <v>0</v>
      </c>
      <c r="AG81" s="14">
        <f t="shared" si="24"/>
        <v>0</v>
      </c>
      <c r="AH81" s="14">
        <f t="shared" si="24"/>
        <v>0</v>
      </c>
      <c r="AI81" s="14">
        <f t="shared" si="24"/>
        <v>0</v>
      </c>
      <c r="AJ81" s="14">
        <f t="shared" si="24"/>
        <v>0</v>
      </c>
      <c r="AK81" s="14">
        <f t="shared" si="24"/>
        <v>0</v>
      </c>
      <c r="AL81" s="14">
        <f t="shared" si="24"/>
        <v>0</v>
      </c>
    </row>
    <row r="82" spans="1:38" ht="21" customHeight="1" outlineLevel="1" thickBot="1" x14ac:dyDescent="0.4">
      <c r="A82" s="5">
        <f t="shared" si="23"/>
        <v>0</v>
      </c>
      <c r="B82" s="5">
        <f t="shared" si="23"/>
        <v>0</v>
      </c>
      <c r="C82" s="5">
        <f t="shared" si="23"/>
        <v>0</v>
      </c>
      <c r="D82" s="5">
        <f t="shared" si="23"/>
        <v>0</v>
      </c>
      <c r="E82" s="6">
        <f t="shared" si="19"/>
        <v>0</v>
      </c>
      <c r="F82" s="14">
        <f t="shared" ref="F82:AL82" si="25">F6*$C$78</f>
        <v>0</v>
      </c>
      <c r="G82" s="14">
        <f t="shared" si="25"/>
        <v>0</v>
      </c>
      <c r="H82" s="14">
        <f t="shared" si="25"/>
        <v>0</v>
      </c>
      <c r="I82" s="14">
        <f t="shared" si="25"/>
        <v>0</v>
      </c>
      <c r="J82" s="14">
        <f t="shared" si="25"/>
        <v>0</v>
      </c>
      <c r="K82" s="14">
        <f t="shared" si="25"/>
        <v>0</v>
      </c>
      <c r="L82" s="14">
        <f t="shared" si="25"/>
        <v>0</v>
      </c>
      <c r="M82" s="14">
        <f t="shared" si="25"/>
        <v>0</v>
      </c>
      <c r="N82" s="14">
        <f t="shared" si="25"/>
        <v>0</v>
      </c>
      <c r="O82" s="14">
        <f t="shared" si="25"/>
        <v>0</v>
      </c>
      <c r="P82" s="14">
        <f t="shared" si="25"/>
        <v>0</v>
      </c>
      <c r="Q82" s="14">
        <f t="shared" si="25"/>
        <v>0</v>
      </c>
      <c r="R82" s="14">
        <f t="shared" si="25"/>
        <v>0</v>
      </c>
      <c r="S82" s="14">
        <f t="shared" si="25"/>
        <v>0</v>
      </c>
      <c r="T82" s="14">
        <f t="shared" si="25"/>
        <v>0</v>
      </c>
      <c r="U82" s="14">
        <f t="shared" si="25"/>
        <v>0</v>
      </c>
      <c r="V82" s="14">
        <f t="shared" si="25"/>
        <v>0</v>
      </c>
      <c r="W82" s="14">
        <f t="shared" si="25"/>
        <v>0</v>
      </c>
      <c r="X82" s="14">
        <f t="shared" si="25"/>
        <v>0</v>
      </c>
      <c r="Y82" s="14">
        <f t="shared" si="25"/>
        <v>0</v>
      </c>
      <c r="Z82" s="14">
        <f t="shared" si="25"/>
        <v>0</v>
      </c>
      <c r="AA82" s="14">
        <f t="shared" si="25"/>
        <v>0</v>
      </c>
      <c r="AB82" s="14">
        <f t="shared" si="25"/>
        <v>0</v>
      </c>
      <c r="AC82" s="14">
        <f t="shared" si="25"/>
        <v>0</v>
      </c>
      <c r="AD82" s="14">
        <f t="shared" si="25"/>
        <v>0</v>
      </c>
      <c r="AE82" s="14">
        <f t="shared" si="25"/>
        <v>0</v>
      </c>
      <c r="AF82" s="14">
        <f t="shared" si="25"/>
        <v>0</v>
      </c>
      <c r="AG82" s="14">
        <f t="shared" si="25"/>
        <v>0</v>
      </c>
      <c r="AH82" s="14">
        <f t="shared" si="25"/>
        <v>0</v>
      </c>
      <c r="AI82" s="14">
        <f t="shared" si="25"/>
        <v>0</v>
      </c>
      <c r="AJ82" s="14">
        <f t="shared" si="25"/>
        <v>0</v>
      </c>
      <c r="AK82" s="14">
        <f t="shared" si="25"/>
        <v>0</v>
      </c>
      <c r="AL82" s="14">
        <f t="shared" si="25"/>
        <v>0</v>
      </c>
    </row>
    <row r="83" spans="1:38" ht="21" customHeight="1" outlineLevel="1" thickBot="1" x14ac:dyDescent="0.4">
      <c r="A83" s="5">
        <f t="shared" si="23"/>
        <v>0</v>
      </c>
      <c r="B83" s="5">
        <f t="shared" si="23"/>
        <v>0</v>
      </c>
      <c r="C83" s="5">
        <f t="shared" si="23"/>
        <v>0</v>
      </c>
      <c r="D83" s="5">
        <f t="shared" si="23"/>
        <v>0</v>
      </c>
      <c r="E83" s="6">
        <f t="shared" si="19"/>
        <v>0</v>
      </c>
      <c r="F83" s="14">
        <f t="shared" ref="F83:AL83" si="26">F7*$C$78</f>
        <v>0</v>
      </c>
      <c r="G83" s="14">
        <f t="shared" si="26"/>
        <v>0</v>
      </c>
      <c r="H83" s="14">
        <f t="shared" si="26"/>
        <v>0</v>
      </c>
      <c r="I83" s="14">
        <f t="shared" si="26"/>
        <v>0</v>
      </c>
      <c r="J83" s="14">
        <f t="shared" si="26"/>
        <v>0</v>
      </c>
      <c r="K83" s="14">
        <f t="shared" si="26"/>
        <v>0</v>
      </c>
      <c r="L83" s="14">
        <f t="shared" si="26"/>
        <v>0</v>
      </c>
      <c r="M83" s="14">
        <f t="shared" si="26"/>
        <v>0</v>
      </c>
      <c r="N83" s="14">
        <f t="shared" si="26"/>
        <v>0</v>
      </c>
      <c r="O83" s="14">
        <f t="shared" si="26"/>
        <v>0</v>
      </c>
      <c r="P83" s="14">
        <f t="shared" si="26"/>
        <v>0</v>
      </c>
      <c r="Q83" s="14">
        <f t="shared" si="26"/>
        <v>0</v>
      </c>
      <c r="R83" s="14">
        <f t="shared" si="26"/>
        <v>0</v>
      </c>
      <c r="S83" s="14">
        <f t="shared" si="26"/>
        <v>0</v>
      </c>
      <c r="T83" s="14">
        <f t="shared" si="26"/>
        <v>0</v>
      </c>
      <c r="U83" s="14">
        <f t="shared" si="26"/>
        <v>0</v>
      </c>
      <c r="V83" s="14">
        <f t="shared" si="26"/>
        <v>0</v>
      </c>
      <c r="W83" s="14">
        <f t="shared" si="26"/>
        <v>0</v>
      </c>
      <c r="X83" s="14">
        <f t="shared" si="26"/>
        <v>0</v>
      </c>
      <c r="Y83" s="14">
        <f t="shared" si="26"/>
        <v>0</v>
      </c>
      <c r="Z83" s="14">
        <f t="shared" si="26"/>
        <v>0</v>
      </c>
      <c r="AA83" s="14">
        <f t="shared" si="26"/>
        <v>0</v>
      </c>
      <c r="AB83" s="14">
        <f t="shared" si="26"/>
        <v>0</v>
      </c>
      <c r="AC83" s="14">
        <f t="shared" si="26"/>
        <v>0</v>
      </c>
      <c r="AD83" s="14">
        <f t="shared" si="26"/>
        <v>0</v>
      </c>
      <c r="AE83" s="14">
        <f t="shared" si="26"/>
        <v>0</v>
      </c>
      <c r="AF83" s="14">
        <f t="shared" si="26"/>
        <v>0</v>
      </c>
      <c r="AG83" s="14">
        <f t="shared" si="26"/>
        <v>0</v>
      </c>
      <c r="AH83" s="14">
        <f t="shared" si="26"/>
        <v>0</v>
      </c>
      <c r="AI83" s="14">
        <f t="shared" si="26"/>
        <v>0</v>
      </c>
      <c r="AJ83" s="14">
        <f t="shared" si="26"/>
        <v>0</v>
      </c>
      <c r="AK83" s="14">
        <f t="shared" si="26"/>
        <v>0</v>
      </c>
      <c r="AL83" s="14">
        <f t="shared" si="26"/>
        <v>0</v>
      </c>
    </row>
    <row r="84" spans="1:38" ht="21" customHeight="1" outlineLevel="1" thickBot="1" x14ac:dyDescent="0.4">
      <c r="A84" s="5">
        <f t="shared" si="23"/>
        <v>0</v>
      </c>
      <c r="B84" s="5">
        <f t="shared" si="23"/>
        <v>0</v>
      </c>
      <c r="C84" s="5">
        <f t="shared" si="23"/>
        <v>0</v>
      </c>
      <c r="D84" s="5">
        <f t="shared" si="23"/>
        <v>0</v>
      </c>
      <c r="E84" s="6">
        <f t="shared" si="19"/>
        <v>0</v>
      </c>
      <c r="F84" s="14">
        <f t="shared" ref="F84:AL84" si="27">F8*$C$78</f>
        <v>0</v>
      </c>
      <c r="G84" s="14">
        <f t="shared" si="27"/>
        <v>0</v>
      </c>
      <c r="H84" s="14">
        <f t="shared" si="27"/>
        <v>0</v>
      </c>
      <c r="I84" s="14">
        <f t="shared" si="27"/>
        <v>0</v>
      </c>
      <c r="J84" s="14">
        <f t="shared" si="27"/>
        <v>0</v>
      </c>
      <c r="K84" s="14">
        <f t="shared" si="27"/>
        <v>0</v>
      </c>
      <c r="L84" s="14">
        <f t="shared" si="27"/>
        <v>0</v>
      </c>
      <c r="M84" s="14">
        <f t="shared" si="27"/>
        <v>0</v>
      </c>
      <c r="N84" s="14">
        <f t="shared" si="27"/>
        <v>0</v>
      </c>
      <c r="O84" s="14">
        <f t="shared" si="27"/>
        <v>0</v>
      </c>
      <c r="P84" s="14">
        <f t="shared" si="27"/>
        <v>0</v>
      </c>
      <c r="Q84" s="14">
        <f t="shared" si="27"/>
        <v>0</v>
      </c>
      <c r="R84" s="14">
        <f t="shared" si="27"/>
        <v>0</v>
      </c>
      <c r="S84" s="14">
        <f t="shared" si="27"/>
        <v>0</v>
      </c>
      <c r="T84" s="14">
        <f t="shared" si="27"/>
        <v>0</v>
      </c>
      <c r="U84" s="14">
        <f t="shared" si="27"/>
        <v>0</v>
      </c>
      <c r="V84" s="14">
        <f t="shared" si="27"/>
        <v>0</v>
      </c>
      <c r="W84" s="14">
        <f t="shared" si="27"/>
        <v>0</v>
      </c>
      <c r="X84" s="14">
        <f t="shared" si="27"/>
        <v>0</v>
      </c>
      <c r="Y84" s="14">
        <f t="shared" si="27"/>
        <v>0</v>
      </c>
      <c r="Z84" s="14">
        <f t="shared" si="27"/>
        <v>0</v>
      </c>
      <c r="AA84" s="14">
        <f t="shared" si="27"/>
        <v>0</v>
      </c>
      <c r="AB84" s="14">
        <f t="shared" si="27"/>
        <v>0</v>
      </c>
      <c r="AC84" s="14">
        <f t="shared" si="27"/>
        <v>0</v>
      </c>
      <c r="AD84" s="14">
        <f t="shared" si="27"/>
        <v>0</v>
      </c>
      <c r="AE84" s="14">
        <f t="shared" si="27"/>
        <v>0</v>
      </c>
      <c r="AF84" s="14">
        <f t="shared" si="27"/>
        <v>0</v>
      </c>
      <c r="AG84" s="14">
        <f t="shared" si="27"/>
        <v>0</v>
      </c>
      <c r="AH84" s="14">
        <f t="shared" si="27"/>
        <v>0</v>
      </c>
      <c r="AI84" s="14">
        <f t="shared" si="27"/>
        <v>0</v>
      </c>
      <c r="AJ84" s="14">
        <f t="shared" si="27"/>
        <v>0</v>
      </c>
      <c r="AK84" s="14">
        <f t="shared" si="27"/>
        <v>0</v>
      </c>
      <c r="AL84" s="14">
        <f t="shared" si="27"/>
        <v>0</v>
      </c>
    </row>
    <row r="85" spans="1:38" ht="21" customHeight="1" outlineLevel="1" thickBot="1" x14ac:dyDescent="0.4">
      <c r="A85" s="5">
        <f t="shared" si="23"/>
        <v>0</v>
      </c>
      <c r="B85" s="5">
        <f t="shared" si="23"/>
        <v>0</v>
      </c>
      <c r="C85" s="5">
        <f t="shared" si="23"/>
        <v>0</v>
      </c>
      <c r="D85" s="5">
        <f t="shared" si="23"/>
        <v>0</v>
      </c>
      <c r="E85" s="6">
        <f t="shared" si="19"/>
        <v>0</v>
      </c>
      <c r="F85" s="14">
        <f t="shared" ref="F85:AL85" si="28">F9*$C$78</f>
        <v>0</v>
      </c>
      <c r="G85" s="14">
        <f t="shared" si="28"/>
        <v>0</v>
      </c>
      <c r="H85" s="14">
        <f t="shared" si="28"/>
        <v>0</v>
      </c>
      <c r="I85" s="14">
        <f t="shared" si="28"/>
        <v>0</v>
      </c>
      <c r="J85" s="14">
        <f t="shared" si="28"/>
        <v>0</v>
      </c>
      <c r="K85" s="14">
        <f t="shared" si="28"/>
        <v>0</v>
      </c>
      <c r="L85" s="14">
        <f t="shared" si="28"/>
        <v>0</v>
      </c>
      <c r="M85" s="14">
        <f t="shared" si="28"/>
        <v>0</v>
      </c>
      <c r="N85" s="14">
        <f t="shared" si="28"/>
        <v>0</v>
      </c>
      <c r="O85" s="14">
        <f t="shared" si="28"/>
        <v>0</v>
      </c>
      <c r="P85" s="14">
        <f t="shared" si="28"/>
        <v>0</v>
      </c>
      <c r="Q85" s="14">
        <f t="shared" si="28"/>
        <v>0</v>
      </c>
      <c r="R85" s="14">
        <f t="shared" si="28"/>
        <v>0</v>
      </c>
      <c r="S85" s="14">
        <f t="shared" si="28"/>
        <v>0</v>
      </c>
      <c r="T85" s="14">
        <f t="shared" si="28"/>
        <v>0</v>
      </c>
      <c r="U85" s="14">
        <f t="shared" si="28"/>
        <v>0</v>
      </c>
      <c r="V85" s="14">
        <f t="shared" si="28"/>
        <v>0</v>
      </c>
      <c r="W85" s="14">
        <f t="shared" si="28"/>
        <v>0</v>
      </c>
      <c r="X85" s="14">
        <f t="shared" si="28"/>
        <v>0</v>
      </c>
      <c r="Y85" s="14">
        <f t="shared" si="28"/>
        <v>0</v>
      </c>
      <c r="Z85" s="14">
        <f t="shared" si="28"/>
        <v>0</v>
      </c>
      <c r="AA85" s="14">
        <f t="shared" si="28"/>
        <v>0</v>
      </c>
      <c r="AB85" s="14">
        <f t="shared" si="28"/>
        <v>0</v>
      </c>
      <c r="AC85" s="14">
        <f t="shared" si="28"/>
        <v>0</v>
      </c>
      <c r="AD85" s="14">
        <f t="shared" si="28"/>
        <v>0</v>
      </c>
      <c r="AE85" s="14">
        <f t="shared" si="28"/>
        <v>0</v>
      </c>
      <c r="AF85" s="14">
        <f t="shared" si="28"/>
        <v>0</v>
      </c>
      <c r="AG85" s="14">
        <f t="shared" si="28"/>
        <v>0</v>
      </c>
      <c r="AH85" s="14">
        <f t="shared" si="28"/>
        <v>0</v>
      </c>
      <c r="AI85" s="14">
        <f t="shared" si="28"/>
        <v>0</v>
      </c>
      <c r="AJ85" s="14">
        <f t="shared" si="28"/>
        <v>0</v>
      </c>
      <c r="AK85" s="14">
        <f t="shared" si="28"/>
        <v>0</v>
      </c>
      <c r="AL85" s="14">
        <f t="shared" si="28"/>
        <v>0</v>
      </c>
    </row>
    <row r="86" spans="1:38" ht="21" customHeight="1" outlineLevel="1" thickBot="1" x14ac:dyDescent="0.4">
      <c r="A86" s="5">
        <f t="shared" si="23"/>
        <v>0</v>
      </c>
      <c r="B86" s="5">
        <f t="shared" si="23"/>
        <v>0</v>
      </c>
      <c r="C86" s="5">
        <f t="shared" si="23"/>
        <v>0</v>
      </c>
      <c r="D86" s="5">
        <f t="shared" si="23"/>
        <v>0</v>
      </c>
      <c r="E86" s="6">
        <f t="shared" si="19"/>
        <v>0</v>
      </c>
      <c r="F86" s="14">
        <f t="shared" ref="F86:AL86" si="29">F10*$C$78</f>
        <v>0</v>
      </c>
      <c r="G86" s="14">
        <f t="shared" si="29"/>
        <v>0</v>
      </c>
      <c r="H86" s="14">
        <f t="shared" si="29"/>
        <v>0</v>
      </c>
      <c r="I86" s="14">
        <f t="shared" si="29"/>
        <v>0</v>
      </c>
      <c r="J86" s="14">
        <f t="shared" si="29"/>
        <v>0</v>
      </c>
      <c r="K86" s="14">
        <f t="shared" si="29"/>
        <v>0</v>
      </c>
      <c r="L86" s="14">
        <f t="shared" si="29"/>
        <v>0</v>
      </c>
      <c r="M86" s="14">
        <f t="shared" si="29"/>
        <v>0</v>
      </c>
      <c r="N86" s="14">
        <f t="shared" si="29"/>
        <v>0</v>
      </c>
      <c r="O86" s="14">
        <f t="shared" si="29"/>
        <v>0</v>
      </c>
      <c r="P86" s="14">
        <f t="shared" si="29"/>
        <v>0</v>
      </c>
      <c r="Q86" s="14">
        <f t="shared" si="29"/>
        <v>0</v>
      </c>
      <c r="R86" s="14">
        <f t="shared" si="29"/>
        <v>0</v>
      </c>
      <c r="S86" s="14">
        <f t="shared" si="29"/>
        <v>0</v>
      </c>
      <c r="T86" s="14">
        <f t="shared" si="29"/>
        <v>0</v>
      </c>
      <c r="U86" s="14">
        <f t="shared" si="29"/>
        <v>0</v>
      </c>
      <c r="V86" s="14">
        <f t="shared" si="29"/>
        <v>0</v>
      </c>
      <c r="W86" s="14">
        <f t="shared" si="29"/>
        <v>0</v>
      </c>
      <c r="X86" s="14">
        <f t="shared" si="29"/>
        <v>0</v>
      </c>
      <c r="Y86" s="14">
        <f t="shared" si="29"/>
        <v>0</v>
      </c>
      <c r="Z86" s="14">
        <f t="shared" si="29"/>
        <v>0</v>
      </c>
      <c r="AA86" s="14">
        <f t="shared" si="29"/>
        <v>0</v>
      </c>
      <c r="AB86" s="14">
        <f t="shared" si="29"/>
        <v>0</v>
      </c>
      <c r="AC86" s="14">
        <f t="shared" si="29"/>
        <v>0</v>
      </c>
      <c r="AD86" s="14">
        <f t="shared" si="29"/>
        <v>0</v>
      </c>
      <c r="AE86" s="14">
        <f t="shared" si="29"/>
        <v>0</v>
      </c>
      <c r="AF86" s="14">
        <f t="shared" si="29"/>
        <v>0</v>
      </c>
      <c r="AG86" s="14">
        <f t="shared" si="29"/>
        <v>0</v>
      </c>
      <c r="AH86" s="14">
        <f t="shared" si="29"/>
        <v>0</v>
      </c>
      <c r="AI86" s="14">
        <f t="shared" si="29"/>
        <v>0</v>
      </c>
      <c r="AJ86" s="14">
        <f t="shared" si="29"/>
        <v>0</v>
      </c>
      <c r="AK86" s="14">
        <f t="shared" si="29"/>
        <v>0</v>
      </c>
      <c r="AL86" s="14">
        <f t="shared" si="29"/>
        <v>0</v>
      </c>
    </row>
    <row r="87" spans="1:38" ht="21" customHeight="1" outlineLevel="1" thickBot="1" x14ac:dyDescent="0.4">
      <c r="A87" s="5">
        <f t="shared" si="23"/>
        <v>0</v>
      </c>
      <c r="B87" s="5">
        <f t="shared" si="23"/>
        <v>0</v>
      </c>
      <c r="C87" s="5">
        <f t="shared" si="23"/>
        <v>0</v>
      </c>
      <c r="D87" s="5">
        <f t="shared" si="23"/>
        <v>0</v>
      </c>
      <c r="E87" s="6">
        <f t="shared" si="19"/>
        <v>0</v>
      </c>
      <c r="F87" s="14">
        <f t="shared" ref="F87:AL87" si="30">F11*$C$78</f>
        <v>0</v>
      </c>
      <c r="G87" s="14">
        <f t="shared" si="30"/>
        <v>0</v>
      </c>
      <c r="H87" s="14">
        <f t="shared" si="30"/>
        <v>0</v>
      </c>
      <c r="I87" s="14">
        <f t="shared" si="30"/>
        <v>0</v>
      </c>
      <c r="J87" s="14">
        <f t="shared" si="30"/>
        <v>0</v>
      </c>
      <c r="K87" s="14">
        <f t="shared" si="30"/>
        <v>0</v>
      </c>
      <c r="L87" s="14">
        <f t="shared" si="30"/>
        <v>0</v>
      </c>
      <c r="M87" s="14">
        <f t="shared" si="30"/>
        <v>0</v>
      </c>
      <c r="N87" s="14">
        <f t="shared" si="30"/>
        <v>0</v>
      </c>
      <c r="O87" s="14">
        <f t="shared" si="30"/>
        <v>0</v>
      </c>
      <c r="P87" s="14">
        <f t="shared" si="30"/>
        <v>0</v>
      </c>
      <c r="Q87" s="14">
        <f t="shared" si="30"/>
        <v>0</v>
      </c>
      <c r="R87" s="14">
        <f t="shared" si="30"/>
        <v>0</v>
      </c>
      <c r="S87" s="14">
        <f t="shared" si="30"/>
        <v>0</v>
      </c>
      <c r="T87" s="14">
        <f t="shared" si="30"/>
        <v>0</v>
      </c>
      <c r="U87" s="14">
        <f t="shared" si="30"/>
        <v>0</v>
      </c>
      <c r="V87" s="14">
        <f t="shared" si="30"/>
        <v>0</v>
      </c>
      <c r="W87" s="14">
        <f t="shared" si="30"/>
        <v>0</v>
      </c>
      <c r="X87" s="14">
        <f t="shared" si="30"/>
        <v>0</v>
      </c>
      <c r="Y87" s="14">
        <f t="shared" si="30"/>
        <v>0</v>
      </c>
      <c r="Z87" s="14">
        <f t="shared" si="30"/>
        <v>0</v>
      </c>
      <c r="AA87" s="14">
        <f t="shared" si="30"/>
        <v>0</v>
      </c>
      <c r="AB87" s="14">
        <f t="shared" si="30"/>
        <v>0</v>
      </c>
      <c r="AC87" s="14">
        <f t="shared" si="30"/>
        <v>0</v>
      </c>
      <c r="AD87" s="14">
        <f t="shared" si="30"/>
        <v>0</v>
      </c>
      <c r="AE87" s="14">
        <f t="shared" si="30"/>
        <v>0</v>
      </c>
      <c r="AF87" s="14">
        <f t="shared" si="30"/>
        <v>0</v>
      </c>
      <c r="AG87" s="14">
        <f t="shared" si="30"/>
        <v>0</v>
      </c>
      <c r="AH87" s="14">
        <f t="shared" si="30"/>
        <v>0</v>
      </c>
      <c r="AI87" s="14">
        <f t="shared" si="30"/>
        <v>0</v>
      </c>
      <c r="AJ87" s="14">
        <f t="shared" si="30"/>
        <v>0</v>
      </c>
      <c r="AK87" s="14">
        <f t="shared" si="30"/>
        <v>0</v>
      </c>
      <c r="AL87" s="14">
        <f t="shared" si="30"/>
        <v>0</v>
      </c>
    </row>
    <row r="88" spans="1:38" ht="21" customHeight="1" outlineLevel="1" thickBot="1" x14ac:dyDescent="0.4">
      <c r="A88" s="5">
        <f t="shared" si="23"/>
        <v>0</v>
      </c>
      <c r="B88" s="5">
        <f t="shared" si="23"/>
        <v>0</v>
      </c>
      <c r="C88" s="5">
        <f t="shared" si="23"/>
        <v>0</v>
      </c>
      <c r="D88" s="5">
        <f t="shared" si="23"/>
        <v>0</v>
      </c>
      <c r="E88" s="6">
        <f t="shared" si="19"/>
        <v>0</v>
      </c>
      <c r="F88" s="14">
        <f t="shared" ref="F88:AL88" si="31">F12*$C$78</f>
        <v>0</v>
      </c>
      <c r="G88" s="14">
        <f t="shared" si="31"/>
        <v>0</v>
      </c>
      <c r="H88" s="14">
        <f t="shared" si="31"/>
        <v>0</v>
      </c>
      <c r="I88" s="14">
        <f t="shared" si="31"/>
        <v>0</v>
      </c>
      <c r="J88" s="14">
        <f t="shared" si="31"/>
        <v>0</v>
      </c>
      <c r="K88" s="14">
        <f t="shared" si="31"/>
        <v>0</v>
      </c>
      <c r="L88" s="14">
        <f t="shared" si="31"/>
        <v>0</v>
      </c>
      <c r="M88" s="14">
        <f t="shared" si="31"/>
        <v>0</v>
      </c>
      <c r="N88" s="14">
        <f t="shared" si="31"/>
        <v>0</v>
      </c>
      <c r="O88" s="14">
        <f t="shared" si="31"/>
        <v>0</v>
      </c>
      <c r="P88" s="14">
        <f t="shared" si="31"/>
        <v>0</v>
      </c>
      <c r="Q88" s="14">
        <f t="shared" si="31"/>
        <v>0</v>
      </c>
      <c r="R88" s="14">
        <f t="shared" si="31"/>
        <v>0</v>
      </c>
      <c r="S88" s="14">
        <f t="shared" si="31"/>
        <v>0</v>
      </c>
      <c r="T88" s="14">
        <f t="shared" si="31"/>
        <v>0</v>
      </c>
      <c r="U88" s="14">
        <f t="shared" si="31"/>
        <v>0</v>
      </c>
      <c r="V88" s="14">
        <f t="shared" si="31"/>
        <v>0</v>
      </c>
      <c r="W88" s="14">
        <f t="shared" si="31"/>
        <v>0</v>
      </c>
      <c r="X88" s="14">
        <f t="shared" si="31"/>
        <v>0</v>
      </c>
      <c r="Y88" s="14">
        <f t="shared" si="31"/>
        <v>0</v>
      </c>
      <c r="Z88" s="14">
        <f t="shared" si="31"/>
        <v>0</v>
      </c>
      <c r="AA88" s="14">
        <f t="shared" si="31"/>
        <v>0</v>
      </c>
      <c r="AB88" s="14">
        <f t="shared" si="31"/>
        <v>0</v>
      </c>
      <c r="AC88" s="14">
        <f t="shared" si="31"/>
        <v>0</v>
      </c>
      <c r="AD88" s="14">
        <f t="shared" si="31"/>
        <v>0</v>
      </c>
      <c r="AE88" s="14">
        <f t="shared" si="31"/>
        <v>0</v>
      </c>
      <c r="AF88" s="14">
        <f t="shared" si="31"/>
        <v>0</v>
      </c>
      <c r="AG88" s="14">
        <f t="shared" si="31"/>
        <v>0</v>
      </c>
      <c r="AH88" s="14">
        <f t="shared" si="31"/>
        <v>0</v>
      </c>
      <c r="AI88" s="14">
        <f t="shared" si="31"/>
        <v>0</v>
      </c>
      <c r="AJ88" s="14">
        <f t="shared" si="31"/>
        <v>0</v>
      </c>
      <c r="AK88" s="14">
        <f t="shared" si="31"/>
        <v>0</v>
      </c>
      <c r="AL88" s="14">
        <f t="shared" si="31"/>
        <v>0</v>
      </c>
    </row>
    <row r="89" spans="1:38" ht="21" customHeight="1" outlineLevel="1" thickBot="1" x14ac:dyDescent="0.4">
      <c r="A89" s="5">
        <f t="shared" si="23"/>
        <v>0</v>
      </c>
      <c r="B89" s="5">
        <f t="shared" si="23"/>
        <v>0</v>
      </c>
      <c r="C89" s="5">
        <f t="shared" si="23"/>
        <v>0</v>
      </c>
      <c r="D89" s="5">
        <f t="shared" si="23"/>
        <v>0</v>
      </c>
      <c r="E89" s="6">
        <f t="shared" si="19"/>
        <v>0</v>
      </c>
      <c r="F89" s="14">
        <f t="shared" ref="F89:AL89" si="32">F13*$C$78</f>
        <v>0</v>
      </c>
      <c r="G89" s="14">
        <f t="shared" si="32"/>
        <v>0</v>
      </c>
      <c r="H89" s="14">
        <f t="shared" si="32"/>
        <v>0</v>
      </c>
      <c r="I89" s="14">
        <f t="shared" si="32"/>
        <v>0</v>
      </c>
      <c r="J89" s="14">
        <f t="shared" si="32"/>
        <v>0</v>
      </c>
      <c r="K89" s="14">
        <f t="shared" si="32"/>
        <v>0</v>
      </c>
      <c r="L89" s="14">
        <f t="shared" si="32"/>
        <v>0</v>
      </c>
      <c r="M89" s="14">
        <f t="shared" si="32"/>
        <v>0</v>
      </c>
      <c r="N89" s="14">
        <f t="shared" si="32"/>
        <v>0</v>
      </c>
      <c r="O89" s="14">
        <f t="shared" si="32"/>
        <v>0</v>
      </c>
      <c r="P89" s="14">
        <f t="shared" si="32"/>
        <v>0</v>
      </c>
      <c r="Q89" s="14">
        <f t="shared" si="32"/>
        <v>0</v>
      </c>
      <c r="R89" s="14">
        <f t="shared" si="32"/>
        <v>0</v>
      </c>
      <c r="S89" s="14">
        <f t="shared" si="32"/>
        <v>0</v>
      </c>
      <c r="T89" s="14">
        <f t="shared" si="32"/>
        <v>0</v>
      </c>
      <c r="U89" s="14">
        <f t="shared" si="32"/>
        <v>0</v>
      </c>
      <c r="V89" s="14">
        <f t="shared" si="32"/>
        <v>0</v>
      </c>
      <c r="W89" s="14">
        <f t="shared" si="32"/>
        <v>0</v>
      </c>
      <c r="X89" s="14">
        <f t="shared" si="32"/>
        <v>0</v>
      </c>
      <c r="Y89" s="14">
        <f t="shared" si="32"/>
        <v>0</v>
      </c>
      <c r="Z89" s="14">
        <f t="shared" si="32"/>
        <v>0</v>
      </c>
      <c r="AA89" s="14">
        <f t="shared" si="32"/>
        <v>0</v>
      </c>
      <c r="AB89" s="14">
        <f t="shared" si="32"/>
        <v>0</v>
      </c>
      <c r="AC89" s="14">
        <f t="shared" si="32"/>
        <v>0</v>
      </c>
      <c r="AD89" s="14">
        <f t="shared" si="32"/>
        <v>0</v>
      </c>
      <c r="AE89" s="14">
        <f t="shared" si="32"/>
        <v>0</v>
      </c>
      <c r="AF89" s="14">
        <f t="shared" si="32"/>
        <v>0</v>
      </c>
      <c r="AG89" s="14">
        <f t="shared" si="32"/>
        <v>0</v>
      </c>
      <c r="AH89" s="14">
        <f t="shared" si="32"/>
        <v>0</v>
      </c>
      <c r="AI89" s="14">
        <f t="shared" si="32"/>
        <v>0</v>
      </c>
      <c r="AJ89" s="14">
        <f t="shared" si="32"/>
        <v>0</v>
      </c>
      <c r="AK89" s="14">
        <f t="shared" si="32"/>
        <v>0</v>
      </c>
      <c r="AL89" s="14">
        <f t="shared" si="32"/>
        <v>0</v>
      </c>
    </row>
    <row r="90" spans="1:38" ht="21" customHeight="1" outlineLevel="1" thickBot="1" x14ac:dyDescent="0.4">
      <c r="A90" s="5">
        <f t="shared" si="23"/>
        <v>0</v>
      </c>
      <c r="B90" s="5">
        <f t="shared" si="23"/>
        <v>0</v>
      </c>
      <c r="C90" s="5">
        <f t="shared" si="23"/>
        <v>0</v>
      </c>
      <c r="D90" s="5">
        <f t="shared" si="23"/>
        <v>0</v>
      </c>
      <c r="E90" s="6">
        <f t="shared" si="19"/>
        <v>0</v>
      </c>
      <c r="F90" s="14">
        <f t="shared" ref="F90:AL90" si="33">F14*$C$78</f>
        <v>0</v>
      </c>
      <c r="G90" s="14">
        <f t="shared" si="33"/>
        <v>0</v>
      </c>
      <c r="H90" s="14">
        <f t="shared" si="33"/>
        <v>0</v>
      </c>
      <c r="I90" s="14">
        <f t="shared" si="33"/>
        <v>0</v>
      </c>
      <c r="J90" s="14">
        <f t="shared" si="33"/>
        <v>0</v>
      </c>
      <c r="K90" s="14">
        <f t="shared" si="33"/>
        <v>0</v>
      </c>
      <c r="L90" s="14">
        <f t="shared" si="33"/>
        <v>0</v>
      </c>
      <c r="M90" s="14">
        <f t="shared" si="33"/>
        <v>0</v>
      </c>
      <c r="N90" s="14">
        <f t="shared" si="33"/>
        <v>0</v>
      </c>
      <c r="O90" s="14">
        <f t="shared" si="33"/>
        <v>0</v>
      </c>
      <c r="P90" s="14">
        <f t="shared" si="33"/>
        <v>0</v>
      </c>
      <c r="Q90" s="14">
        <f t="shared" si="33"/>
        <v>0</v>
      </c>
      <c r="R90" s="14">
        <f t="shared" si="33"/>
        <v>0</v>
      </c>
      <c r="S90" s="14">
        <f t="shared" si="33"/>
        <v>0</v>
      </c>
      <c r="T90" s="14">
        <f t="shared" si="33"/>
        <v>0</v>
      </c>
      <c r="U90" s="14">
        <f t="shared" si="33"/>
        <v>0</v>
      </c>
      <c r="V90" s="14">
        <f t="shared" si="33"/>
        <v>0</v>
      </c>
      <c r="W90" s="14">
        <f t="shared" si="33"/>
        <v>0</v>
      </c>
      <c r="X90" s="14">
        <f t="shared" si="33"/>
        <v>0</v>
      </c>
      <c r="Y90" s="14">
        <f t="shared" si="33"/>
        <v>0</v>
      </c>
      <c r="Z90" s="14">
        <f t="shared" si="33"/>
        <v>0</v>
      </c>
      <c r="AA90" s="14">
        <f t="shared" si="33"/>
        <v>0</v>
      </c>
      <c r="AB90" s="14">
        <f t="shared" si="33"/>
        <v>0</v>
      </c>
      <c r="AC90" s="14">
        <f t="shared" si="33"/>
        <v>0</v>
      </c>
      <c r="AD90" s="14">
        <f t="shared" si="33"/>
        <v>0</v>
      </c>
      <c r="AE90" s="14">
        <f t="shared" si="33"/>
        <v>0</v>
      </c>
      <c r="AF90" s="14">
        <f t="shared" si="33"/>
        <v>0</v>
      </c>
      <c r="AG90" s="14">
        <f t="shared" si="33"/>
        <v>0</v>
      </c>
      <c r="AH90" s="14">
        <f t="shared" si="33"/>
        <v>0</v>
      </c>
      <c r="AI90" s="14">
        <f t="shared" si="33"/>
        <v>0</v>
      </c>
      <c r="AJ90" s="14">
        <f t="shared" si="33"/>
        <v>0</v>
      </c>
      <c r="AK90" s="14">
        <f t="shared" si="33"/>
        <v>0</v>
      </c>
      <c r="AL90" s="14">
        <f t="shared" si="33"/>
        <v>0</v>
      </c>
    </row>
    <row r="91" spans="1:38" ht="21" customHeight="1" outlineLevel="1" thickBot="1" x14ac:dyDescent="0.4">
      <c r="A91" s="5">
        <f t="shared" si="23"/>
        <v>0</v>
      </c>
      <c r="B91" s="5">
        <f t="shared" si="23"/>
        <v>0</v>
      </c>
      <c r="C91" s="5">
        <f t="shared" si="23"/>
        <v>0</v>
      </c>
      <c r="D91" s="5">
        <f t="shared" si="23"/>
        <v>0</v>
      </c>
      <c r="E91" s="6">
        <f t="shared" si="19"/>
        <v>0</v>
      </c>
      <c r="F91" s="14">
        <f t="shared" ref="F91:AL91" si="34">F15*$C$78</f>
        <v>0</v>
      </c>
      <c r="G91" s="14">
        <f t="shared" si="34"/>
        <v>0</v>
      </c>
      <c r="H91" s="14">
        <f t="shared" si="34"/>
        <v>0</v>
      </c>
      <c r="I91" s="14">
        <f t="shared" si="34"/>
        <v>0</v>
      </c>
      <c r="J91" s="14">
        <f t="shared" si="34"/>
        <v>0</v>
      </c>
      <c r="K91" s="14">
        <f t="shared" si="34"/>
        <v>0</v>
      </c>
      <c r="L91" s="14">
        <f t="shared" si="34"/>
        <v>0</v>
      </c>
      <c r="M91" s="14">
        <f t="shared" si="34"/>
        <v>0</v>
      </c>
      <c r="N91" s="14">
        <f t="shared" si="34"/>
        <v>0</v>
      </c>
      <c r="O91" s="14">
        <f t="shared" si="34"/>
        <v>0</v>
      </c>
      <c r="P91" s="14">
        <f t="shared" si="34"/>
        <v>0</v>
      </c>
      <c r="Q91" s="14">
        <f t="shared" si="34"/>
        <v>0</v>
      </c>
      <c r="R91" s="14">
        <f t="shared" si="34"/>
        <v>0</v>
      </c>
      <c r="S91" s="14">
        <f t="shared" si="34"/>
        <v>0</v>
      </c>
      <c r="T91" s="14">
        <f t="shared" si="34"/>
        <v>0</v>
      </c>
      <c r="U91" s="14">
        <f t="shared" si="34"/>
        <v>0</v>
      </c>
      <c r="V91" s="14">
        <f t="shared" si="34"/>
        <v>0</v>
      </c>
      <c r="W91" s="14">
        <f t="shared" si="34"/>
        <v>0</v>
      </c>
      <c r="X91" s="14">
        <f t="shared" si="34"/>
        <v>0</v>
      </c>
      <c r="Y91" s="14">
        <f t="shared" si="34"/>
        <v>0</v>
      </c>
      <c r="Z91" s="14">
        <f t="shared" si="34"/>
        <v>0</v>
      </c>
      <c r="AA91" s="14">
        <f t="shared" si="34"/>
        <v>0</v>
      </c>
      <c r="AB91" s="14">
        <f t="shared" si="34"/>
        <v>0</v>
      </c>
      <c r="AC91" s="14">
        <f t="shared" si="34"/>
        <v>0</v>
      </c>
      <c r="AD91" s="14">
        <f t="shared" si="34"/>
        <v>0</v>
      </c>
      <c r="AE91" s="14">
        <f t="shared" si="34"/>
        <v>0</v>
      </c>
      <c r="AF91" s="14">
        <f t="shared" si="34"/>
        <v>0</v>
      </c>
      <c r="AG91" s="14">
        <f t="shared" si="34"/>
        <v>0</v>
      </c>
      <c r="AH91" s="14">
        <f t="shared" si="34"/>
        <v>0</v>
      </c>
      <c r="AI91" s="14">
        <f t="shared" si="34"/>
        <v>0</v>
      </c>
      <c r="AJ91" s="14">
        <f t="shared" si="34"/>
        <v>0</v>
      </c>
      <c r="AK91" s="14">
        <f t="shared" si="34"/>
        <v>0</v>
      </c>
      <c r="AL91" s="14">
        <f t="shared" si="34"/>
        <v>0</v>
      </c>
    </row>
    <row r="92" spans="1:38" ht="21" customHeight="1" outlineLevel="1" thickBot="1" x14ac:dyDescent="0.4">
      <c r="A92" s="5">
        <f t="shared" si="23"/>
        <v>0</v>
      </c>
      <c r="B92" s="5">
        <f t="shared" si="23"/>
        <v>0</v>
      </c>
      <c r="C92" s="5">
        <f t="shared" si="23"/>
        <v>0</v>
      </c>
      <c r="D92" s="5">
        <f t="shared" si="23"/>
        <v>0</v>
      </c>
      <c r="E92" s="6">
        <f t="shared" si="19"/>
        <v>0</v>
      </c>
      <c r="F92" s="14">
        <f t="shared" ref="F92:AL92" si="35">F16*$C$78</f>
        <v>0</v>
      </c>
      <c r="G92" s="14">
        <f t="shared" si="35"/>
        <v>0</v>
      </c>
      <c r="H92" s="14">
        <f t="shared" si="35"/>
        <v>0</v>
      </c>
      <c r="I92" s="14">
        <f t="shared" si="35"/>
        <v>0</v>
      </c>
      <c r="J92" s="14">
        <f t="shared" si="35"/>
        <v>0</v>
      </c>
      <c r="K92" s="14">
        <f t="shared" si="35"/>
        <v>0</v>
      </c>
      <c r="L92" s="14">
        <f t="shared" si="35"/>
        <v>0</v>
      </c>
      <c r="M92" s="14">
        <f t="shared" si="35"/>
        <v>0</v>
      </c>
      <c r="N92" s="14">
        <f t="shared" si="35"/>
        <v>0</v>
      </c>
      <c r="O92" s="14">
        <f t="shared" si="35"/>
        <v>0</v>
      </c>
      <c r="P92" s="14">
        <f t="shared" si="35"/>
        <v>0</v>
      </c>
      <c r="Q92" s="14">
        <f t="shared" si="35"/>
        <v>0</v>
      </c>
      <c r="R92" s="14">
        <f t="shared" si="35"/>
        <v>0</v>
      </c>
      <c r="S92" s="14">
        <f t="shared" si="35"/>
        <v>0</v>
      </c>
      <c r="T92" s="14">
        <f t="shared" si="35"/>
        <v>0</v>
      </c>
      <c r="U92" s="14">
        <f t="shared" si="35"/>
        <v>0</v>
      </c>
      <c r="V92" s="14">
        <f t="shared" si="35"/>
        <v>0</v>
      </c>
      <c r="W92" s="14">
        <f t="shared" si="35"/>
        <v>0</v>
      </c>
      <c r="X92" s="14">
        <f t="shared" si="35"/>
        <v>0</v>
      </c>
      <c r="Y92" s="14">
        <f t="shared" si="35"/>
        <v>0</v>
      </c>
      <c r="Z92" s="14">
        <f t="shared" si="35"/>
        <v>0</v>
      </c>
      <c r="AA92" s="14">
        <f t="shared" si="35"/>
        <v>0</v>
      </c>
      <c r="AB92" s="14">
        <f t="shared" si="35"/>
        <v>0</v>
      </c>
      <c r="AC92" s="14">
        <f t="shared" si="35"/>
        <v>0</v>
      </c>
      <c r="AD92" s="14">
        <f t="shared" si="35"/>
        <v>0</v>
      </c>
      <c r="AE92" s="14">
        <f t="shared" si="35"/>
        <v>0</v>
      </c>
      <c r="AF92" s="14">
        <f t="shared" si="35"/>
        <v>0</v>
      </c>
      <c r="AG92" s="14">
        <f t="shared" si="35"/>
        <v>0</v>
      </c>
      <c r="AH92" s="14">
        <f t="shared" si="35"/>
        <v>0</v>
      </c>
      <c r="AI92" s="14">
        <f t="shared" si="35"/>
        <v>0</v>
      </c>
      <c r="AJ92" s="14">
        <f t="shared" si="35"/>
        <v>0</v>
      </c>
      <c r="AK92" s="14">
        <f t="shared" si="35"/>
        <v>0</v>
      </c>
      <c r="AL92" s="14">
        <f t="shared" si="35"/>
        <v>0</v>
      </c>
    </row>
    <row r="93" spans="1:38" ht="21" customHeight="1" outlineLevel="1" thickBot="1" x14ac:dyDescent="0.4">
      <c r="A93" s="5">
        <f t="shared" si="23"/>
        <v>0</v>
      </c>
      <c r="B93" s="5">
        <f t="shared" si="23"/>
        <v>0</v>
      </c>
      <c r="C93" s="5">
        <f t="shared" si="23"/>
        <v>0</v>
      </c>
      <c r="D93" s="5">
        <f t="shared" si="23"/>
        <v>0</v>
      </c>
      <c r="E93" s="6">
        <f t="shared" si="19"/>
        <v>0</v>
      </c>
      <c r="F93" s="14">
        <f t="shared" ref="F93:AL93" si="36">F17*$C$78</f>
        <v>0</v>
      </c>
      <c r="G93" s="14">
        <f t="shared" si="36"/>
        <v>0</v>
      </c>
      <c r="H93" s="14">
        <f t="shared" si="36"/>
        <v>0</v>
      </c>
      <c r="I93" s="14">
        <f t="shared" si="36"/>
        <v>0</v>
      </c>
      <c r="J93" s="14">
        <f t="shared" si="36"/>
        <v>0</v>
      </c>
      <c r="K93" s="14">
        <f t="shared" si="36"/>
        <v>0</v>
      </c>
      <c r="L93" s="14">
        <f t="shared" si="36"/>
        <v>0</v>
      </c>
      <c r="M93" s="14">
        <f t="shared" si="36"/>
        <v>0</v>
      </c>
      <c r="N93" s="14">
        <f t="shared" si="36"/>
        <v>0</v>
      </c>
      <c r="O93" s="14">
        <f t="shared" si="36"/>
        <v>0</v>
      </c>
      <c r="P93" s="14">
        <f t="shared" si="36"/>
        <v>0</v>
      </c>
      <c r="Q93" s="14">
        <f t="shared" si="36"/>
        <v>0</v>
      </c>
      <c r="R93" s="14">
        <f t="shared" si="36"/>
        <v>0</v>
      </c>
      <c r="S93" s="14">
        <f t="shared" si="36"/>
        <v>0</v>
      </c>
      <c r="T93" s="14">
        <f t="shared" si="36"/>
        <v>0</v>
      </c>
      <c r="U93" s="14">
        <f t="shared" si="36"/>
        <v>0</v>
      </c>
      <c r="V93" s="14">
        <f t="shared" si="36"/>
        <v>0</v>
      </c>
      <c r="W93" s="14">
        <f t="shared" si="36"/>
        <v>0</v>
      </c>
      <c r="X93" s="14">
        <f t="shared" si="36"/>
        <v>0</v>
      </c>
      <c r="Y93" s="14">
        <f t="shared" si="36"/>
        <v>0</v>
      </c>
      <c r="Z93" s="14">
        <f t="shared" si="36"/>
        <v>0</v>
      </c>
      <c r="AA93" s="14">
        <f t="shared" si="36"/>
        <v>0</v>
      </c>
      <c r="AB93" s="14">
        <f t="shared" si="36"/>
        <v>0</v>
      </c>
      <c r="AC93" s="14">
        <f t="shared" si="36"/>
        <v>0</v>
      </c>
      <c r="AD93" s="14">
        <f t="shared" si="36"/>
        <v>0</v>
      </c>
      <c r="AE93" s="14">
        <f t="shared" si="36"/>
        <v>0</v>
      </c>
      <c r="AF93" s="14">
        <f t="shared" si="36"/>
        <v>0</v>
      </c>
      <c r="AG93" s="14">
        <f t="shared" si="36"/>
        <v>0</v>
      </c>
      <c r="AH93" s="14">
        <f t="shared" si="36"/>
        <v>0</v>
      </c>
      <c r="AI93" s="14">
        <f t="shared" si="36"/>
        <v>0</v>
      </c>
      <c r="AJ93" s="14">
        <f t="shared" si="36"/>
        <v>0</v>
      </c>
      <c r="AK93" s="14">
        <f t="shared" si="36"/>
        <v>0</v>
      </c>
      <c r="AL93" s="14">
        <f t="shared" si="36"/>
        <v>0</v>
      </c>
    </row>
    <row r="94" spans="1:38" ht="21" customHeight="1" outlineLevel="1" thickBot="1" x14ac:dyDescent="0.4">
      <c r="A94" s="5">
        <f t="shared" si="23"/>
        <v>0</v>
      </c>
      <c r="B94" s="5">
        <f t="shared" si="23"/>
        <v>0</v>
      </c>
      <c r="C94" s="5">
        <f t="shared" si="23"/>
        <v>0</v>
      </c>
      <c r="D94" s="5">
        <f t="shared" si="23"/>
        <v>0</v>
      </c>
      <c r="E94" s="6">
        <f t="shared" si="19"/>
        <v>0</v>
      </c>
      <c r="F94" s="14">
        <f t="shared" ref="F94:AL94" si="37">F18*$C$78</f>
        <v>0</v>
      </c>
      <c r="G94" s="14">
        <f t="shared" si="37"/>
        <v>0</v>
      </c>
      <c r="H94" s="14">
        <f t="shared" si="37"/>
        <v>0</v>
      </c>
      <c r="I94" s="14">
        <f t="shared" si="37"/>
        <v>0</v>
      </c>
      <c r="J94" s="14">
        <f t="shared" si="37"/>
        <v>0</v>
      </c>
      <c r="K94" s="14">
        <f t="shared" si="37"/>
        <v>0</v>
      </c>
      <c r="L94" s="14">
        <f t="shared" si="37"/>
        <v>0</v>
      </c>
      <c r="M94" s="14">
        <f t="shared" si="37"/>
        <v>0</v>
      </c>
      <c r="N94" s="14">
        <f t="shared" si="37"/>
        <v>0</v>
      </c>
      <c r="O94" s="14">
        <f t="shared" si="37"/>
        <v>0</v>
      </c>
      <c r="P94" s="14">
        <f t="shared" si="37"/>
        <v>0</v>
      </c>
      <c r="Q94" s="14">
        <f t="shared" si="37"/>
        <v>0</v>
      </c>
      <c r="R94" s="14">
        <f t="shared" si="37"/>
        <v>0</v>
      </c>
      <c r="S94" s="14">
        <f t="shared" si="37"/>
        <v>0</v>
      </c>
      <c r="T94" s="14">
        <f t="shared" si="37"/>
        <v>0</v>
      </c>
      <c r="U94" s="14">
        <f t="shared" si="37"/>
        <v>0</v>
      </c>
      <c r="V94" s="14">
        <f t="shared" si="37"/>
        <v>0</v>
      </c>
      <c r="W94" s="14">
        <f t="shared" si="37"/>
        <v>0</v>
      </c>
      <c r="X94" s="14">
        <f t="shared" si="37"/>
        <v>0</v>
      </c>
      <c r="Y94" s="14">
        <f t="shared" si="37"/>
        <v>0</v>
      </c>
      <c r="Z94" s="14">
        <f t="shared" si="37"/>
        <v>0</v>
      </c>
      <c r="AA94" s="14">
        <f t="shared" si="37"/>
        <v>0</v>
      </c>
      <c r="AB94" s="14">
        <f t="shared" si="37"/>
        <v>0</v>
      </c>
      <c r="AC94" s="14">
        <f t="shared" si="37"/>
        <v>0</v>
      </c>
      <c r="AD94" s="14">
        <f t="shared" si="37"/>
        <v>0</v>
      </c>
      <c r="AE94" s="14">
        <f t="shared" si="37"/>
        <v>0</v>
      </c>
      <c r="AF94" s="14">
        <f t="shared" si="37"/>
        <v>0</v>
      </c>
      <c r="AG94" s="14">
        <f t="shared" si="37"/>
        <v>0</v>
      </c>
      <c r="AH94" s="14">
        <f t="shared" si="37"/>
        <v>0</v>
      </c>
      <c r="AI94" s="14">
        <f t="shared" si="37"/>
        <v>0</v>
      </c>
      <c r="AJ94" s="14">
        <f t="shared" si="37"/>
        <v>0</v>
      </c>
      <c r="AK94" s="14">
        <f t="shared" si="37"/>
        <v>0</v>
      </c>
      <c r="AL94" s="14">
        <f t="shared" si="37"/>
        <v>0</v>
      </c>
    </row>
    <row r="95" spans="1:38" ht="21" customHeight="1" outlineLevel="1" thickBot="1" x14ac:dyDescent="0.4">
      <c r="A95" s="5">
        <f t="shared" si="23"/>
        <v>0</v>
      </c>
      <c r="B95" s="5">
        <f t="shared" si="23"/>
        <v>0</v>
      </c>
      <c r="C95" s="5">
        <f t="shared" si="23"/>
        <v>0</v>
      </c>
      <c r="D95" s="5">
        <f t="shared" si="23"/>
        <v>0</v>
      </c>
      <c r="E95" s="6">
        <f t="shared" si="19"/>
        <v>0</v>
      </c>
      <c r="F95" s="14">
        <f t="shared" ref="F95:AL95" si="38">F19*$C$78</f>
        <v>0</v>
      </c>
      <c r="G95" s="14">
        <f t="shared" si="38"/>
        <v>0</v>
      </c>
      <c r="H95" s="14">
        <f t="shared" si="38"/>
        <v>0</v>
      </c>
      <c r="I95" s="14">
        <f t="shared" si="38"/>
        <v>0</v>
      </c>
      <c r="J95" s="14">
        <f t="shared" si="38"/>
        <v>0</v>
      </c>
      <c r="K95" s="14">
        <f t="shared" si="38"/>
        <v>0</v>
      </c>
      <c r="L95" s="14">
        <f t="shared" si="38"/>
        <v>0</v>
      </c>
      <c r="M95" s="14">
        <f t="shared" si="38"/>
        <v>0</v>
      </c>
      <c r="N95" s="14">
        <f t="shared" si="38"/>
        <v>0</v>
      </c>
      <c r="O95" s="14">
        <f t="shared" si="38"/>
        <v>0</v>
      </c>
      <c r="P95" s="14">
        <f t="shared" si="38"/>
        <v>0</v>
      </c>
      <c r="Q95" s="14">
        <f t="shared" si="38"/>
        <v>0</v>
      </c>
      <c r="R95" s="14">
        <f t="shared" si="38"/>
        <v>0</v>
      </c>
      <c r="S95" s="14">
        <f t="shared" si="38"/>
        <v>0</v>
      </c>
      <c r="T95" s="14">
        <f t="shared" si="38"/>
        <v>0</v>
      </c>
      <c r="U95" s="14">
        <f t="shared" si="38"/>
        <v>0</v>
      </c>
      <c r="V95" s="14">
        <f t="shared" si="38"/>
        <v>0</v>
      </c>
      <c r="W95" s="14">
        <f t="shared" si="38"/>
        <v>0</v>
      </c>
      <c r="X95" s="14">
        <f t="shared" si="38"/>
        <v>0</v>
      </c>
      <c r="Y95" s="14">
        <f t="shared" si="38"/>
        <v>0</v>
      </c>
      <c r="Z95" s="14">
        <f t="shared" si="38"/>
        <v>0</v>
      </c>
      <c r="AA95" s="14">
        <f t="shared" si="38"/>
        <v>0</v>
      </c>
      <c r="AB95" s="14">
        <f t="shared" si="38"/>
        <v>0</v>
      </c>
      <c r="AC95" s="14">
        <f t="shared" si="38"/>
        <v>0</v>
      </c>
      <c r="AD95" s="14">
        <f t="shared" si="38"/>
        <v>0</v>
      </c>
      <c r="AE95" s="14">
        <f t="shared" si="38"/>
        <v>0</v>
      </c>
      <c r="AF95" s="14">
        <f t="shared" si="38"/>
        <v>0</v>
      </c>
      <c r="AG95" s="14">
        <f t="shared" si="38"/>
        <v>0</v>
      </c>
      <c r="AH95" s="14">
        <f t="shared" si="38"/>
        <v>0</v>
      </c>
      <c r="AI95" s="14">
        <f t="shared" si="38"/>
        <v>0</v>
      </c>
      <c r="AJ95" s="14">
        <f t="shared" si="38"/>
        <v>0</v>
      </c>
      <c r="AK95" s="14">
        <f t="shared" si="38"/>
        <v>0</v>
      </c>
      <c r="AL95" s="14">
        <f t="shared" si="38"/>
        <v>0</v>
      </c>
    </row>
    <row r="96" spans="1:38" ht="21" customHeight="1" outlineLevel="1" thickBot="1" x14ac:dyDescent="0.4">
      <c r="A96" s="5">
        <f t="shared" si="23"/>
        <v>0</v>
      </c>
      <c r="B96" s="5">
        <f t="shared" si="23"/>
        <v>0</v>
      </c>
      <c r="C96" s="5">
        <f t="shared" si="23"/>
        <v>0</v>
      </c>
      <c r="D96" s="5">
        <f t="shared" si="23"/>
        <v>0</v>
      </c>
      <c r="E96" s="6">
        <f t="shared" si="19"/>
        <v>0</v>
      </c>
      <c r="F96" s="14">
        <f t="shared" ref="F96:AL96" si="39">F20*$C$78</f>
        <v>0</v>
      </c>
      <c r="G96" s="14">
        <f t="shared" si="39"/>
        <v>0</v>
      </c>
      <c r="H96" s="14">
        <f t="shared" si="39"/>
        <v>0</v>
      </c>
      <c r="I96" s="14">
        <f t="shared" si="39"/>
        <v>0</v>
      </c>
      <c r="J96" s="14">
        <f t="shared" si="39"/>
        <v>0</v>
      </c>
      <c r="K96" s="14">
        <f t="shared" si="39"/>
        <v>0</v>
      </c>
      <c r="L96" s="14">
        <f t="shared" si="39"/>
        <v>0</v>
      </c>
      <c r="M96" s="14">
        <f t="shared" si="39"/>
        <v>0</v>
      </c>
      <c r="N96" s="14">
        <f t="shared" si="39"/>
        <v>0</v>
      </c>
      <c r="O96" s="14">
        <f t="shared" si="39"/>
        <v>0</v>
      </c>
      <c r="P96" s="14">
        <f t="shared" si="39"/>
        <v>0</v>
      </c>
      <c r="Q96" s="14">
        <f t="shared" si="39"/>
        <v>0</v>
      </c>
      <c r="R96" s="14">
        <f t="shared" si="39"/>
        <v>0</v>
      </c>
      <c r="S96" s="14">
        <f t="shared" si="39"/>
        <v>0</v>
      </c>
      <c r="T96" s="14">
        <f t="shared" si="39"/>
        <v>0</v>
      </c>
      <c r="U96" s="14">
        <f t="shared" si="39"/>
        <v>0</v>
      </c>
      <c r="V96" s="14">
        <f t="shared" si="39"/>
        <v>0</v>
      </c>
      <c r="W96" s="14">
        <f t="shared" si="39"/>
        <v>0</v>
      </c>
      <c r="X96" s="14">
        <f t="shared" si="39"/>
        <v>0</v>
      </c>
      <c r="Y96" s="14">
        <f t="shared" si="39"/>
        <v>0</v>
      </c>
      <c r="Z96" s="14">
        <f t="shared" si="39"/>
        <v>0</v>
      </c>
      <c r="AA96" s="14">
        <f t="shared" si="39"/>
        <v>0</v>
      </c>
      <c r="AB96" s="14">
        <f t="shared" si="39"/>
        <v>0</v>
      </c>
      <c r="AC96" s="14">
        <f t="shared" si="39"/>
        <v>0</v>
      </c>
      <c r="AD96" s="14">
        <f t="shared" si="39"/>
        <v>0</v>
      </c>
      <c r="AE96" s="14">
        <f t="shared" si="39"/>
        <v>0</v>
      </c>
      <c r="AF96" s="14">
        <f t="shared" si="39"/>
        <v>0</v>
      </c>
      <c r="AG96" s="14">
        <f t="shared" si="39"/>
        <v>0</v>
      </c>
      <c r="AH96" s="14">
        <f t="shared" si="39"/>
        <v>0</v>
      </c>
      <c r="AI96" s="14">
        <f t="shared" si="39"/>
        <v>0</v>
      </c>
      <c r="AJ96" s="14">
        <f t="shared" si="39"/>
        <v>0</v>
      </c>
      <c r="AK96" s="14">
        <f t="shared" si="39"/>
        <v>0</v>
      </c>
      <c r="AL96" s="14">
        <f t="shared" si="39"/>
        <v>0</v>
      </c>
    </row>
    <row r="97" spans="1:54" ht="21" customHeight="1" outlineLevel="1" thickBot="1" x14ac:dyDescent="0.4">
      <c r="A97" s="5">
        <f t="shared" ref="A97:D109" si="40">A63</f>
        <v>0</v>
      </c>
      <c r="B97" s="5">
        <f t="shared" si="40"/>
        <v>0</v>
      </c>
      <c r="C97" s="5">
        <f t="shared" si="40"/>
        <v>0</v>
      </c>
      <c r="D97" s="5">
        <f t="shared" si="40"/>
        <v>0</v>
      </c>
      <c r="E97" s="6">
        <f t="shared" si="19"/>
        <v>0</v>
      </c>
      <c r="F97" s="14">
        <f t="shared" ref="F97:AL97" si="41">F21*$C$78</f>
        <v>0</v>
      </c>
      <c r="G97" s="14">
        <f t="shared" si="41"/>
        <v>0</v>
      </c>
      <c r="H97" s="14">
        <f t="shared" si="41"/>
        <v>0</v>
      </c>
      <c r="I97" s="14">
        <f t="shared" si="41"/>
        <v>0</v>
      </c>
      <c r="J97" s="14">
        <f t="shared" si="41"/>
        <v>0</v>
      </c>
      <c r="K97" s="14">
        <f t="shared" si="41"/>
        <v>0</v>
      </c>
      <c r="L97" s="14">
        <f t="shared" si="41"/>
        <v>0</v>
      </c>
      <c r="M97" s="14">
        <f t="shared" si="41"/>
        <v>0</v>
      </c>
      <c r="N97" s="14">
        <f t="shared" si="41"/>
        <v>0</v>
      </c>
      <c r="O97" s="14">
        <f t="shared" si="41"/>
        <v>0</v>
      </c>
      <c r="P97" s="14">
        <f t="shared" si="41"/>
        <v>0</v>
      </c>
      <c r="Q97" s="14">
        <f t="shared" si="41"/>
        <v>0</v>
      </c>
      <c r="R97" s="14">
        <f t="shared" si="41"/>
        <v>0</v>
      </c>
      <c r="S97" s="14">
        <f t="shared" si="41"/>
        <v>0</v>
      </c>
      <c r="T97" s="14">
        <f t="shared" si="41"/>
        <v>0</v>
      </c>
      <c r="U97" s="14">
        <f t="shared" si="41"/>
        <v>0</v>
      </c>
      <c r="V97" s="14">
        <f t="shared" si="41"/>
        <v>0</v>
      </c>
      <c r="W97" s="14">
        <f t="shared" si="41"/>
        <v>0</v>
      </c>
      <c r="X97" s="14">
        <f t="shared" si="41"/>
        <v>0</v>
      </c>
      <c r="Y97" s="14">
        <f t="shared" si="41"/>
        <v>0</v>
      </c>
      <c r="Z97" s="14">
        <f t="shared" si="41"/>
        <v>0</v>
      </c>
      <c r="AA97" s="14">
        <f t="shared" si="41"/>
        <v>0</v>
      </c>
      <c r="AB97" s="14">
        <f t="shared" si="41"/>
        <v>0</v>
      </c>
      <c r="AC97" s="14">
        <f t="shared" si="41"/>
        <v>0</v>
      </c>
      <c r="AD97" s="14">
        <f t="shared" si="41"/>
        <v>0</v>
      </c>
      <c r="AE97" s="14">
        <f t="shared" si="41"/>
        <v>0</v>
      </c>
      <c r="AF97" s="14">
        <f t="shared" si="41"/>
        <v>0</v>
      </c>
      <c r="AG97" s="14">
        <f t="shared" si="41"/>
        <v>0</v>
      </c>
      <c r="AH97" s="14">
        <f t="shared" si="41"/>
        <v>0</v>
      </c>
      <c r="AI97" s="14">
        <f t="shared" si="41"/>
        <v>0</v>
      </c>
      <c r="AJ97" s="14">
        <f t="shared" si="41"/>
        <v>0</v>
      </c>
      <c r="AK97" s="14">
        <f t="shared" si="41"/>
        <v>0</v>
      </c>
      <c r="AL97" s="14">
        <f t="shared" si="41"/>
        <v>0</v>
      </c>
    </row>
    <row r="98" spans="1:54" ht="21" customHeight="1" outlineLevel="1" thickBot="1" x14ac:dyDescent="0.4">
      <c r="A98" s="5">
        <f t="shared" si="40"/>
        <v>0</v>
      </c>
      <c r="B98" s="5">
        <f t="shared" si="40"/>
        <v>0</v>
      </c>
      <c r="C98" s="5">
        <f t="shared" si="40"/>
        <v>0</v>
      </c>
      <c r="D98" s="5">
        <f t="shared" si="40"/>
        <v>0</v>
      </c>
      <c r="E98" s="6">
        <f t="shared" si="19"/>
        <v>0</v>
      </c>
      <c r="F98" s="14">
        <f t="shared" ref="F98:AL98" si="42">F22*$C$78</f>
        <v>0</v>
      </c>
      <c r="G98" s="14">
        <f t="shared" si="42"/>
        <v>0</v>
      </c>
      <c r="H98" s="14">
        <f t="shared" si="42"/>
        <v>0</v>
      </c>
      <c r="I98" s="14">
        <f t="shared" si="42"/>
        <v>0</v>
      </c>
      <c r="J98" s="14">
        <f t="shared" si="42"/>
        <v>0</v>
      </c>
      <c r="K98" s="14">
        <f t="shared" si="42"/>
        <v>0</v>
      </c>
      <c r="L98" s="14">
        <f t="shared" si="42"/>
        <v>0</v>
      </c>
      <c r="M98" s="14">
        <f t="shared" si="42"/>
        <v>0</v>
      </c>
      <c r="N98" s="14">
        <f t="shared" si="42"/>
        <v>0</v>
      </c>
      <c r="O98" s="14">
        <f t="shared" si="42"/>
        <v>0</v>
      </c>
      <c r="P98" s="14">
        <f t="shared" si="42"/>
        <v>0</v>
      </c>
      <c r="Q98" s="14">
        <f t="shared" si="42"/>
        <v>0</v>
      </c>
      <c r="R98" s="14">
        <f t="shared" si="42"/>
        <v>0</v>
      </c>
      <c r="S98" s="14">
        <f t="shared" si="42"/>
        <v>0</v>
      </c>
      <c r="T98" s="14">
        <f t="shared" si="42"/>
        <v>0</v>
      </c>
      <c r="U98" s="14">
        <f t="shared" si="42"/>
        <v>0</v>
      </c>
      <c r="V98" s="14">
        <f t="shared" si="42"/>
        <v>0</v>
      </c>
      <c r="W98" s="14">
        <f t="shared" si="42"/>
        <v>0</v>
      </c>
      <c r="X98" s="14">
        <f t="shared" si="42"/>
        <v>0</v>
      </c>
      <c r="Y98" s="14">
        <f t="shared" si="42"/>
        <v>0</v>
      </c>
      <c r="Z98" s="14">
        <f t="shared" si="42"/>
        <v>0</v>
      </c>
      <c r="AA98" s="14">
        <f t="shared" si="42"/>
        <v>0</v>
      </c>
      <c r="AB98" s="14">
        <f t="shared" si="42"/>
        <v>0</v>
      </c>
      <c r="AC98" s="14">
        <f t="shared" si="42"/>
        <v>0</v>
      </c>
      <c r="AD98" s="14">
        <f t="shared" si="42"/>
        <v>0</v>
      </c>
      <c r="AE98" s="14">
        <f t="shared" si="42"/>
        <v>0</v>
      </c>
      <c r="AF98" s="14">
        <f t="shared" si="42"/>
        <v>0</v>
      </c>
      <c r="AG98" s="14">
        <f t="shared" si="42"/>
        <v>0</v>
      </c>
      <c r="AH98" s="14">
        <f t="shared" si="42"/>
        <v>0</v>
      </c>
      <c r="AI98" s="14">
        <f t="shared" si="42"/>
        <v>0</v>
      </c>
      <c r="AJ98" s="14">
        <f t="shared" si="42"/>
        <v>0</v>
      </c>
      <c r="AK98" s="14">
        <f t="shared" si="42"/>
        <v>0</v>
      </c>
      <c r="AL98" s="14">
        <f t="shared" si="42"/>
        <v>0</v>
      </c>
    </row>
    <row r="99" spans="1:54" ht="21" customHeight="1" outlineLevel="1" thickBot="1" x14ac:dyDescent="0.4">
      <c r="A99" s="5">
        <f t="shared" si="40"/>
        <v>0</v>
      </c>
      <c r="B99" s="5">
        <f t="shared" si="40"/>
        <v>0</v>
      </c>
      <c r="C99" s="5">
        <f t="shared" si="40"/>
        <v>0</v>
      </c>
      <c r="D99" s="5">
        <f t="shared" si="40"/>
        <v>0</v>
      </c>
      <c r="E99" s="6">
        <f t="shared" si="19"/>
        <v>0</v>
      </c>
      <c r="F99" s="14">
        <f t="shared" ref="F99:AL99" si="43">F23*$C$78</f>
        <v>0</v>
      </c>
      <c r="G99" s="14">
        <f t="shared" si="43"/>
        <v>0</v>
      </c>
      <c r="H99" s="14">
        <f t="shared" si="43"/>
        <v>0</v>
      </c>
      <c r="I99" s="14">
        <f t="shared" si="43"/>
        <v>0</v>
      </c>
      <c r="J99" s="14">
        <f t="shared" si="43"/>
        <v>0</v>
      </c>
      <c r="K99" s="14">
        <f t="shared" si="43"/>
        <v>0</v>
      </c>
      <c r="L99" s="14">
        <f t="shared" si="43"/>
        <v>0</v>
      </c>
      <c r="M99" s="14">
        <f t="shared" si="43"/>
        <v>0</v>
      </c>
      <c r="N99" s="14">
        <f t="shared" si="43"/>
        <v>0</v>
      </c>
      <c r="O99" s="14">
        <f t="shared" si="43"/>
        <v>0</v>
      </c>
      <c r="P99" s="14">
        <f t="shared" si="43"/>
        <v>0</v>
      </c>
      <c r="Q99" s="14">
        <f t="shared" si="43"/>
        <v>0</v>
      </c>
      <c r="R99" s="14">
        <f t="shared" si="43"/>
        <v>0</v>
      </c>
      <c r="S99" s="14">
        <f t="shared" si="43"/>
        <v>0</v>
      </c>
      <c r="T99" s="14">
        <f t="shared" si="43"/>
        <v>0</v>
      </c>
      <c r="U99" s="14">
        <f t="shared" si="43"/>
        <v>0</v>
      </c>
      <c r="V99" s="14">
        <f t="shared" si="43"/>
        <v>0</v>
      </c>
      <c r="W99" s="14">
        <f t="shared" si="43"/>
        <v>0</v>
      </c>
      <c r="X99" s="14">
        <f t="shared" si="43"/>
        <v>0</v>
      </c>
      <c r="Y99" s="14">
        <f t="shared" si="43"/>
        <v>0</v>
      </c>
      <c r="Z99" s="14">
        <f t="shared" si="43"/>
        <v>0</v>
      </c>
      <c r="AA99" s="14">
        <f t="shared" si="43"/>
        <v>0</v>
      </c>
      <c r="AB99" s="14">
        <f t="shared" si="43"/>
        <v>0</v>
      </c>
      <c r="AC99" s="14">
        <f t="shared" si="43"/>
        <v>0</v>
      </c>
      <c r="AD99" s="14">
        <f t="shared" si="43"/>
        <v>0</v>
      </c>
      <c r="AE99" s="14">
        <f t="shared" si="43"/>
        <v>0</v>
      </c>
      <c r="AF99" s="14">
        <f t="shared" si="43"/>
        <v>0</v>
      </c>
      <c r="AG99" s="14">
        <f t="shared" si="43"/>
        <v>0</v>
      </c>
      <c r="AH99" s="14">
        <f t="shared" si="43"/>
        <v>0</v>
      </c>
      <c r="AI99" s="14">
        <f t="shared" si="43"/>
        <v>0</v>
      </c>
      <c r="AJ99" s="14">
        <f t="shared" si="43"/>
        <v>0</v>
      </c>
      <c r="AK99" s="14">
        <f t="shared" si="43"/>
        <v>0</v>
      </c>
      <c r="AL99" s="14">
        <f t="shared" si="43"/>
        <v>0</v>
      </c>
    </row>
    <row r="100" spans="1:54" ht="21" customHeight="1" outlineLevel="1" thickBot="1" x14ac:dyDescent="0.4">
      <c r="A100" s="5">
        <f t="shared" si="40"/>
        <v>0</v>
      </c>
      <c r="B100" s="5">
        <f t="shared" si="40"/>
        <v>0</v>
      </c>
      <c r="C100" s="5">
        <f t="shared" si="40"/>
        <v>0</v>
      </c>
      <c r="D100" s="5">
        <f t="shared" si="40"/>
        <v>0</v>
      </c>
      <c r="E100" s="6">
        <f t="shared" si="19"/>
        <v>0</v>
      </c>
      <c r="F100" s="14">
        <f t="shared" ref="F100:AL100" si="44">F24*$C$78</f>
        <v>0</v>
      </c>
      <c r="G100" s="14">
        <f t="shared" si="44"/>
        <v>0</v>
      </c>
      <c r="H100" s="14">
        <f t="shared" si="44"/>
        <v>0</v>
      </c>
      <c r="I100" s="14">
        <f t="shared" si="44"/>
        <v>0</v>
      </c>
      <c r="J100" s="14">
        <f t="shared" si="44"/>
        <v>0</v>
      </c>
      <c r="K100" s="14">
        <f t="shared" si="44"/>
        <v>0</v>
      </c>
      <c r="L100" s="14">
        <f t="shared" si="44"/>
        <v>0</v>
      </c>
      <c r="M100" s="14">
        <f t="shared" si="44"/>
        <v>0</v>
      </c>
      <c r="N100" s="14">
        <f t="shared" si="44"/>
        <v>0</v>
      </c>
      <c r="O100" s="14">
        <f t="shared" si="44"/>
        <v>0</v>
      </c>
      <c r="P100" s="14">
        <f t="shared" si="44"/>
        <v>0</v>
      </c>
      <c r="Q100" s="14">
        <f t="shared" si="44"/>
        <v>0</v>
      </c>
      <c r="R100" s="14">
        <f t="shared" si="44"/>
        <v>0</v>
      </c>
      <c r="S100" s="14">
        <f t="shared" si="44"/>
        <v>0</v>
      </c>
      <c r="T100" s="14">
        <f t="shared" si="44"/>
        <v>0</v>
      </c>
      <c r="U100" s="14">
        <f t="shared" si="44"/>
        <v>0</v>
      </c>
      <c r="V100" s="14">
        <f t="shared" si="44"/>
        <v>0</v>
      </c>
      <c r="W100" s="14">
        <f t="shared" si="44"/>
        <v>0</v>
      </c>
      <c r="X100" s="14">
        <f t="shared" si="44"/>
        <v>0</v>
      </c>
      <c r="Y100" s="14">
        <f t="shared" si="44"/>
        <v>0</v>
      </c>
      <c r="Z100" s="14">
        <f t="shared" si="44"/>
        <v>0</v>
      </c>
      <c r="AA100" s="14">
        <f t="shared" si="44"/>
        <v>0</v>
      </c>
      <c r="AB100" s="14">
        <f t="shared" si="44"/>
        <v>0</v>
      </c>
      <c r="AC100" s="14">
        <f t="shared" si="44"/>
        <v>0</v>
      </c>
      <c r="AD100" s="14">
        <f t="shared" si="44"/>
        <v>0</v>
      </c>
      <c r="AE100" s="14">
        <f t="shared" si="44"/>
        <v>0</v>
      </c>
      <c r="AF100" s="14">
        <f t="shared" si="44"/>
        <v>0</v>
      </c>
      <c r="AG100" s="14">
        <f t="shared" si="44"/>
        <v>0</v>
      </c>
      <c r="AH100" s="14">
        <f t="shared" si="44"/>
        <v>0</v>
      </c>
      <c r="AI100" s="14">
        <f t="shared" si="44"/>
        <v>0</v>
      </c>
      <c r="AJ100" s="14">
        <f t="shared" si="44"/>
        <v>0</v>
      </c>
      <c r="AK100" s="14">
        <f t="shared" si="44"/>
        <v>0</v>
      </c>
      <c r="AL100" s="14">
        <f t="shared" si="44"/>
        <v>0</v>
      </c>
    </row>
    <row r="101" spans="1:54" ht="21" customHeight="1" outlineLevel="1" thickBot="1" x14ac:dyDescent="0.4">
      <c r="A101" s="5">
        <f t="shared" si="40"/>
        <v>0</v>
      </c>
      <c r="B101" s="5">
        <f t="shared" si="40"/>
        <v>0</v>
      </c>
      <c r="C101" s="5">
        <f t="shared" si="40"/>
        <v>0</v>
      </c>
      <c r="D101" s="5">
        <f t="shared" si="40"/>
        <v>0</v>
      </c>
      <c r="E101" s="6">
        <f t="shared" si="19"/>
        <v>0</v>
      </c>
      <c r="F101" s="14">
        <f t="shared" ref="F101:AL101" si="45">F25*$C$78</f>
        <v>0</v>
      </c>
      <c r="G101" s="14">
        <f t="shared" si="45"/>
        <v>0</v>
      </c>
      <c r="H101" s="14">
        <f t="shared" si="45"/>
        <v>0</v>
      </c>
      <c r="I101" s="14">
        <f t="shared" si="45"/>
        <v>0</v>
      </c>
      <c r="J101" s="14">
        <f t="shared" si="45"/>
        <v>0</v>
      </c>
      <c r="K101" s="14">
        <f t="shared" si="45"/>
        <v>0</v>
      </c>
      <c r="L101" s="14">
        <f t="shared" si="45"/>
        <v>0</v>
      </c>
      <c r="M101" s="14">
        <f t="shared" si="45"/>
        <v>0</v>
      </c>
      <c r="N101" s="14">
        <f t="shared" si="45"/>
        <v>0</v>
      </c>
      <c r="O101" s="14">
        <f t="shared" si="45"/>
        <v>0</v>
      </c>
      <c r="P101" s="14">
        <f t="shared" si="45"/>
        <v>0</v>
      </c>
      <c r="Q101" s="14">
        <f t="shared" si="45"/>
        <v>0</v>
      </c>
      <c r="R101" s="14">
        <f t="shared" si="45"/>
        <v>0</v>
      </c>
      <c r="S101" s="14">
        <f t="shared" si="45"/>
        <v>0</v>
      </c>
      <c r="T101" s="14">
        <f t="shared" si="45"/>
        <v>0</v>
      </c>
      <c r="U101" s="14">
        <f t="shared" si="45"/>
        <v>0</v>
      </c>
      <c r="V101" s="14">
        <f t="shared" si="45"/>
        <v>0</v>
      </c>
      <c r="W101" s="14">
        <f t="shared" si="45"/>
        <v>0</v>
      </c>
      <c r="X101" s="14">
        <f t="shared" si="45"/>
        <v>0</v>
      </c>
      <c r="Y101" s="14">
        <f t="shared" si="45"/>
        <v>0</v>
      </c>
      <c r="Z101" s="14">
        <f t="shared" si="45"/>
        <v>0</v>
      </c>
      <c r="AA101" s="14">
        <f t="shared" si="45"/>
        <v>0</v>
      </c>
      <c r="AB101" s="14">
        <f t="shared" si="45"/>
        <v>0</v>
      </c>
      <c r="AC101" s="14">
        <f t="shared" si="45"/>
        <v>0</v>
      </c>
      <c r="AD101" s="14">
        <f t="shared" si="45"/>
        <v>0</v>
      </c>
      <c r="AE101" s="14">
        <f t="shared" si="45"/>
        <v>0</v>
      </c>
      <c r="AF101" s="14">
        <f t="shared" si="45"/>
        <v>0</v>
      </c>
      <c r="AG101" s="14">
        <f t="shared" si="45"/>
        <v>0</v>
      </c>
      <c r="AH101" s="14">
        <f t="shared" si="45"/>
        <v>0</v>
      </c>
      <c r="AI101" s="14">
        <f t="shared" si="45"/>
        <v>0</v>
      </c>
      <c r="AJ101" s="14">
        <f t="shared" si="45"/>
        <v>0</v>
      </c>
      <c r="AK101" s="14">
        <f t="shared" si="45"/>
        <v>0</v>
      </c>
      <c r="AL101" s="14">
        <f t="shared" si="45"/>
        <v>0</v>
      </c>
    </row>
    <row r="102" spans="1:54" ht="21" customHeight="1" outlineLevel="1" thickBot="1" x14ac:dyDescent="0.4">
      <c r="A102" s="5">
        <f t="shared" si="40"/>
        <v>0</v>
      </c>
      <c r="B102" s="5">
        <f t="shared" si="40"/>
        <v>0</v>
      </c>
      <c r="C102" s="5">
        <f t="shared" si="40"/>
        <v>0</v>
      </c>
      <c r="D102" s="5">
        <f t="shared" si="40"/>
        <v>0</v>
      </c>
      <c r="E102" s="6">
        <f t="shared" si="19"/>
        <v>0</v>
      </c>
      <c r="F102" s="14">
        <f t="shared" ref="F102:AL102" si="46">F26*$C$78</f>
        <v>0</v>
      </c>
      <c r="G102" s="14">
        <f t="shared" si="46"/>
        <v>0</v>
      </c>
      <c r="H102" s="14">
        <f t="shared" si="46"/>
        <v>0</v>
      </c>
      <c r="I102" s="14">
        <f t="shared" si="46"/>
        <v>0</v>
      </c>
      <c r="J102" s="14">
        <f t="shared" si="46"/>
        <v>0</v>
      </c>
      <c r="K102" s="14">
        <f t="shared" si="46"/>
        <v>0</v>
      </c>
      <c r="L102" s="14">
        <f t="shared" si="46"/>
        <v>0</v>
      </c>
      <c r="M102" s="14">
        <f t="shared" si="46"/>
        <v>0</v>
      </c>
      <c r="N102" s="14">
        <f t="shared" si="46"/>
        <v>0</v>
      </c>
      <c r="O102" s="14">
        <f t="shared" si="46"/>
        <v>0</v>
      </c>
      <c r="P102" s="14">
        <f t="shared" si="46"/>
        <v>0</v>
      </c>
      <c r="Q102" s="14">
        <f t="shared" si="46"/>
        <v>0</v>
      </c>
      <c r="R102" s="14">
        <f t="shared" si="46"/>
        <v>0</v>
      </c>
      <c r="S102" s="14">
        <f t="shared" si="46"/>
        <v>0</v>
      </c>
      <c r="T102" s="14">
        <f t="shared" si="46"/>
        <v>0</v>
      </c>
      <c r="U102" s="14">
        <f t="shared" si="46"/>
        <v>0</v>
      </c>
      <c r="V102" s="14">
        <f t="shared" si="46"/>
        <v>0</v>
      </c>
      <c r="W102" s="14">
        <f t="shared" si="46"/>
        <v>0</v>
      </c>
      <c r="X102" s="14">
        <f t="shared" si="46"/>
        <v>0</v>
      </c>
      <c r="Y102" s="14">
        <f t="shared" si="46"/>
        <v>0</v>
      </c>
      <c r="Z102" s="14">
        <f t="shared" si="46"/>
        <v>0</v>
      </c>
      <c r="AA102" s="14">
        <f t="shared" si="46"/>
        <v>0</v>
      </c>
      <c r="AB102" s="14">
        <f t="shared" si="46"/>
        <v>0</v>
      </c>
      <c r="AC102" s="14">
        <f t="shared" si="46"/>
        <v>0</v>
      </c>
      <c r="AD102" s="14">
        <f t="shared" si="46"/>
        <v>0</v>
      </c>
      <c r="AE102" s="14">
        <f t="shared" si="46"/>
        <v>0</v>
      </c>
      <c r="AF102" s="14">
        <f t="shared" si="46"/>
        <v>0</v>
      </c>
      <c r="AG102" s="14">
        <f t="shared" si="46"/>
        <v>0</v>
      </c>
      <c r="AH102" s="14">
        <f t="shared" si="46"/>
        <v>0</v>
      </c>
      <c r="AI102" s="14">
        <f t="shared" si="46"/>
        <v>0</v>
      </c>
      <c r="AJ102" s="14">
        <f t="shared" si="46"/>
        <v>0</v>
      </c>
      <c r="AK102" s="14">
        <f t="shared" si="46"/>
        <v>0</v>
      </c>
      <c r="AL102" s="14">
        <f t="shared" si="46"/>
        <v>0</v>
      </c>
    </row>
    <row r="103" spans="1:54" ht="21" customHeight="1" outlineLevel="1" thickBot="1" x14ac:dyDescent="0.4">
      <c r="A103" s="5">
        <f t="shared" si="40"/>
        <v>0</v>
      </c>
      <c r="B103" s="5">
        <f t="shared" si="40"/>
        <v>0</v>
      </c>
      <c r="C103" s="5">
        <f t="shared" si="40"/>
        <v>0</v>
      </c>
      <c r="D103" s="5">
        <f t="shared" si="40"/>
        <v>0</v>
      </c>
      <c r="E103" s="6">
        <f t="shared" si="19"/>
        <v>0</v>
      </c>
      <c r="F103" s="14">
        <f t="shared" ref="F103:AL103" si="47">F27*$C$78</f>
        <v>0</v>
      </c>
      <c r="G103" s="14">
        <f t="shared" si="47"/>
        <v>0</v>
      </c>
      <c r="H103" s="14">
        <f t="shared" si="47"/>
        <v>0</v>
      </c>
      <c r="I103" s="14">
        <f t="shared" si="47"/>
        <v>0</v>
      </c>
      <c r="J103" s="14">
        <f t="shared" si="47"/>
        <v>0</v>
      </c>
      <c r="K103" s="14">
        <f t="shared" si="47"/>
        <v>0</v>
      </c>
      <c r="L103" s="14">
        <f t="shared" si="47"/>
        <v>0</v>
      </c>
      <c r="M103" s="14">
        <f t="shared" si="47"/>
        <v>0</v>
      </c>
      <c r="N103" s="14">
        <f t="shared" si="47"/>
        <v>0</v>
      </c>
      <c r="O103" s="14">
        <f t="shared" si="47"/>
        <v>0</v>
      </c>
      <c r="P103" s="14">
        <f t="shared" si="47"/>
        <v>0</v>
      </c>
      <c r="Q103" s="14">
        <f t="shared" si="47"/>
        <v>0</v>
      </c>
      <c r="R103" s="14">
        <f t="shared" si="47"/>
        <v>0</v>
      </c>
      <c r="S103" s="14">
        <f t="shared" si="47"/>
        <v>0</v>
      </c>
      <c r="T103" s="14">
        <f t="shared" si="47"/>
        <v>0</v>
      </c>
      <c r="U103" s="14">
        <f t="shared" si="47"/>
        <v>0</v>
      </c>
      <c r="V103" s="14">
        <f t="shared" si="47"/>
        <v>0</v>
      </c>
      <c r="W103" s="14">
        <f t="shared" si="47"/>
        <v>0</v>
      </c>
      <c r="X103" s="14">
        <f t="shared" si="47"/>
        <v>0</v>
      </c>
      <c r="Y103" s="14">
        <f t="shared" si="47"/>
        <v>0</v>
      </c>
      <c r="Z103" s="14">
        <f t="shared" si="47"/>
        <v>0</v>
      </c>
      <c r="AA103" s="14">
        <f t="shared" si="47"/>
        <v>0</v>
      </c>
      <c r="AB103" s="14">
        <f t="shared" si="47"/>
        <v>0</v>
      </c>
      <c r="AC103" s="14">
        <f t="shared" si="47"/>
        <v>0</v>
      </c>
      <c r="AD103" s="14">
        <f t="shared" si="47"/>
        <v>0</v>
      </c>
      <c r="AE103" s="14">
        <f t="shared" si="47"/>
        <v>0</v>
      </c>
      <c r="AF103" s="14">
        <f t="shared" si="47"/>
        <v>0</v>
      </c>
      <c r="AG103" s="14">
        <f t="shared" si="47"/>
        <v>0</v>
      </c>
      <c r="AH103" s="14">
        <f t="shared" si="47"/>
        <v>0</v>
      </c>
      <c r="AI103" s="14">
        <f t="shared" si="47"/>
        <v>0</v>
      </c>
      <c r="AJ103" s="14">
        <f t="shared" si="47"/>
        <v>0</v>
      </c>
      <c r="AK103" s="14">
        <f t="shared" si="47"/>
        <v>0</v>
      </c>
      <c r="AL103" s="14">
        <f t="shared" si="47"/>
        <v>0</v>
      </c>
    </row>
    <row r="104" spans="1:54" ht="21" customHeight="1" outlineLevel="1" thickBot="1" x14ac:dyDescent="0.4">
      <c r="A104" s="5">
        <f t="shared" si="40"/>
        <v>0</v>
      </c>
      <c r="B104" s="5">
        <f t="shared" si="40"/>
        <v>0</v>
      </c>
      <c r="C104" s="5">
        <f t="shared" si="40"/>
        <v>0</v>
      </c>
      <c r="D104" s="5">
        <f t="shared" si="40"/>
        <v>0</v>
      </c>
      <c r="E104" s="6">
        <f t="shared" si="19"/>
        <v>0</v>
      </c>
      <c r="F104" s="14">
        <f t="shared" ref="F104:AL104" si="48">F28*$C$78</f>
        <v>0</v>
      </c>
      <c r="G104" s="14">
        <f t="shared" si="48"/>
        <v>0</v>
      </c>
      <c r="H104" s="14">
        <f t="shared" si="48"/>
        <v>0</v>
      </c>
      <c r="I104" s="14">
        <f t="shared" si="48"/>
        <v>0</v>
      </c>
      <c r="J104" s="14">
        <f t="shared" si="48"/>
        <v>0</v>
      </c>
      <c r="K104" s="14">
        <f t="shared" si="48"/>
        <v>0</v>
      </c>
      <c r="L104" s="14">
        <f t="shared" si="48"/>
        <v>0</v>
      </c>
      <c r="M104" s="14">
        <f t="shared" si="48"/>
        <v>0</v>
      </c>
      <c r="N104" s="14">
        <f t="shared" si="48"/>
        <v>0</v>
      </c>
      <c r="O104" s="14">
        <f t="shared" si="48"/>
        <v>0</v>
      </c>
      <c r="P104" s="14">
        <f t="shared" si="48"/>
        <v>0</v>
      </c>
      <c r="Q104" s="14">
        <f t="shared" si="48"/>
        <v>0</v>
      </c>
      <c r="R104" s="14">
        <f t="shared" si="48"/>
        <v>0</v>
      </c>
      <c r="S104" s="14">
        <f t="shared" si="48"/>
        <v>0</v>
      </c>
      <c r="T104" s="14">
        <f t="shared" si="48"/>
        <v>0</v>
      </c>
      <c r="U104" s="14">
        <f t="shared" si="48"/>
        <v>0</v>
      </c>
      <c r="V104" s="14">
        <f t="shared" si="48"/>
        <v>0</v>
      </c>
      <c r="W104" s="14">
        <f t="shared" si="48"/>
        <v>0</v>
      </c>
      <c r="X104" s="14">
        <f t="shared" si="48"/>
        <v>0</v>
      </c>
      <c r="Y104" s="14">
        <f t="shared" si="48"/>
        <v>0</v>
      </c>
      <c r="Z104" s="14">
        <f t="shared" si="48"/>
        <v>0</v>
      </c>
      <c r="AA104" s="14">
        <f t="shared" si="48"/>
        <v>0</v>
      </c>
      <c r="AB104" s="14">
        <f t="shared" si="48"/>
        <v>0</v>
      </c>
      <c r="AC104" s="14">
        <f t="shared" si="48"/>
        <v>0</v>
      </c>
      <c r="AD104" s="14">
        <f t="shared" si="48"/>
        <v>0</v>
      </c>
      <c r="AE104" s="14">
        <f t="shared" si="48"/>
        <v>0</v>
      </c>
      <c r="AF104" s="14">
        <f t="shared" si="48"/>
        <v>0</v>
      </c>
      <c r="AG104" s="14">
        <f t="shared" si="48"/>
        <v>0</v>
      </c>
      <c r="AH104" s="14">
        <f t="shared" si="48"/>
        <v>0</v>
      </c>
      <c r="AI104" s="14">
        <f t="shared" si="48"/>
        <v>0</v>
      </c>
      <c r="AJ104" s="14">
        <f t="shared" si="48"/>
        <v>0</v>
      </c>
      <c r="AK104" s="14">
        <f t="shared" si="48"/>
        <v>0</v>
      </c>
      <c r="AL104" s="14">
        <f t="shared" si="48"/>
        <v>0</v>
      </c>
    </row>
    <row r="105" spans="1:54" ht="21" customHeight="1" outlineLevel="1" thickBot="1" x14ac:dyDescent="0.4">
      <c r="A105" s="5">
        <f t="shared" si="40"/>
        <v>0</v>
      </c>
      <c r="B105" s="5">
        <f t="shared" si="40"/>
        <v>0</v>
      </c>
      <c r="C105" s="5">
        <f t="shared" si="40"/>
        <v>0</v>
      </c>
      <c r="D105" s="5">
        <f t="shared" si="40"/>
        <v>0</v>
      </c>
      <c r="E105" s="6">
        <f t="shared" si="19"/>
        <v>0</v>
      </c>
      <c r="F105" s="14">
        <f t="shared" ref="F105:AL105" si="49">F29*$C$78</f>
        <v>0</v>
      </c>
      <c r="G105" s="14">
        <f t="shared" si="49"/>
        <v>0</v>
      </c>
      <c r="H105" s="14">
        <f t="shared" si="49"/>
        <v>0</v>
      </c>
      <c r="I105" s="14">
        <f t="shared" si="49"/>
        <v>0</v>
      </c>
      <c r="J105" s="14">
        <f t="shared" si="49"/>
        <v>0</v>
      </c>
      <c r="K105" s="14">
        <f t="shared" si="49"/>
        <v>0</v>
      </c>
      <c r="L105" s="14">
        <f t="shared" si="49"/>
        <v>0</v>
      </c>
      <c r="M105" s="14">
        <f t="shared" si="49"/>
        <v>0</v>
      </c>
      <c r="N105" s="14">
        <f t="shared" si="49"/>
        <v>0</v>
      </c>
      <c r="O105" s="14">
        <f t="shared" si="49"/>
        <v>0</v>
      </c>
      <c r="P105" s="14">
        <f t="shared" si="49"/>
        <v>0</v>
      </c>
      <c r="Q105" s="14">
        <f t="shared" si="49"/>
        <v>0</v>
      </c>
      <c r="R105" s="14">
        <f t="shared" si="49"/>
        <v>0</v>
      </c>
      <c r="S105" s="14">
        <f t="shared" si="49"/>
        <v>0</v>
      </c>
      <c r="T105" s="14">
        <f t="shared" si="49"/>
        <v>0</v>
      </c>
      <c r="U105" s="14">
        <f t="shared" si="49"/>
        <v>0</v>
      </c>
      <c r="V105" s="14">
        <f t="shared" si="49"/>
        <v>0</v>
      </c>
      <c r="W105" s="14">
        <f t="shared" si="49"/>
        <v>0</v>
      </c>
      <c r="X105" s="14">
        <f t="shared" si="49"/>
        <v>0</v>
      </c>
      <c r="Y105" s="14">
        <f t="shared" si="49"/>
        <v>0</v>
      </c>
      <c r="Z105" s="14">
        <f t="shared" si="49"/>
        <v>0</v>
      </c>
      <c r="AA105" s="14">
        <f t="shared" si="49"/>
        <v>0</v>
      </c>
      <c r="AB105" s="14">
        <f t="shared" si="49"/>
        <v>0</v>
      </c>
      <c r="AC105" s="14">
        <f t="shared" si="49"/>
        <v>0</v>
      </c>
      <c r="AD105" s="14">
        <f t="shared" si="49"/>
        <v>0</v>
      </c>
      <c r="AE105" s="14">
        <f t="shared" si="49"/>
        <v>0</v>
      </c>
      <c r="AF105" s="14">
        <f t="shared" si="49"/>
        <v>0</v>
      </c>
      <c r="AG105" s="14">
        <f t="shared" si="49"/>
        <v>0</v>
      </c>
      <c r="AH105" s="14">
        <f t="shared" si="49"/>
        <v>0</v>
      </c>
      <c r="AI105" s="14">
        <f t="shared" si="49"/>
        <v>0</v>
      </c>
      <c r="AJ105" s="14">
        <f t="shared" si="49"/>
        <v>0</v>
      </c>
      <c r="AK105" s="14">
        <f t="shared" si="49"/>
        <v>0</v>
      </c>
      <c r="AL105" s="14">
        <f t="shared" si="49"/>
        <v>0</v>
      </c>
    </row>
    <row r="106" spans="1:54" ht="21" customHeight="1" outlineLevel="1" thickBot="1" x14ac:dyDescent="0.4">
      <c r="A106" s="5">
        <f t="shared" si="40"/>
        <v>0</v>
      </c>
      <c r="B106" s="5">
        <f t="shared" si="40"/>
        <v>0</v>
      </c>
      <c r="C106" s="5">
        <f t="shared" si="40"/>
        <v>0</v>
      </c>
      <c r="D106" s="5">
        <f t="shared" si="40"/>
        <v>0</v>
      </c>
      <c r="E106" s="6">
        <f t="shared" si="19"/>
        <v>0</v>
      </c>
      <c r="F106" s="14">
        <f t="shared" ref="F106:AL106" si="50">F30*$C$78</f>
        <v>0</v>
      </c>
      <c r="G106" s="14">
        <f t="shared" si="50"/>
        <v>0</v>
      </c>
      <c r="H106" s="14">
        <f t="shared" si="50"/>
        <v>0</v>
      </c>
      <c r="I106" s="14">
        <f t="shared" si="50"/>
        <v>0</v>
      </c>
      <c r="J106" s="14">
        <f t="shared" si="50"/>
        <v>0</v>
      </c>
      <c r="K106" s="14">
        <f t="shared" si="50"/>
        <v>0</v>
      </c>
      <c r="L106" s="14">
        <f t="shared" si="50"/>
        <v>0</v>
      </c>
      <c r="M106" s="14">
        <f t="shared" si="50"/>
        <v>0</v>
      </c>
      <c r="N106" s="14">
        <f t="shared" si="50"/>
        <v>0</v>
      </c>
      <c r="O106" s="14">
        <f t="shared" si="50"/>
        <v>0</v>
      </c>
      <c r="P106" s="14">
        <f t="shared" si="50"/>
        <v>0</v>
      </c>
      <c r="Q106" s="14">
        <f t="shared" si="50"/>
        <v>0</v>
      </c>
      <c r="R106" s="14">
        <f t="shared" si="50"/>
        <v>0</v>
      </c>
      <c r="S106" s="14">
        <f t="shared" si="50"/>
        <v>0</v>
      </c>
      <c r="T106" s="14">
        <f t="shared" si="50"/>
        <v>0</v>
      </c>
      <c r="U106" s="14">
        <f t="shared" si="50"/>
        <v>0</v>
      </c>
      <c r="V106" s="14">
        <f t="shared" si="50"/>
        <v>0</v>
      </c>
      <c r="W106" s="14">
        <f t="shared" si="50"/>
        <v>0</v>
      </c>
      <c r="X106" s="14">
        <f t="shared" si="50"/>
        <v>0</v>
      </c>
      <c r="Y106" s="14">
        <f t="shared" si="50"/>
        <v>0</v>
      </c>
      <c r="Z106" s="14">
        <f t="shared" si="50"/>
        <v>0</v>
      </c>
      <c r="AA106" s="14">
        <f t="shared" si="50"/>
        <v>0</v>
      </c>
      <c r="AB106" s="14">
        <f t="shared" si="50"/>
        <v>0</v>
      </c>
      <c r="AC106" s="14">
        <f t="shared" si="50"/>
        <v>0</v>
      </c>
      <c r="AD106" s="14">
        <f t="shared" si="50"/>
        <v>0</v>
      </c>
      <c r="AE106" s="14">
        <f t="shared" si="50"/>
        <v>0</v>
      </c>
      <c r="AF106" s="14">
        <f t="shared" si="50"/>
        <v>0</v>
      </c>
      <c r="AG106" s="14">
        <f t="shared" si="50"/>
        <v>0</v>
      </c>
      <c r="AH106" s="14">
        <f t="shared" si="50"/>
        <v>0</v>
      </c>
      <c r="AI106" s="14">
        <f t="shared" si="50"/>
        <v>0</v>
      </c>
      <c r="AJ106" s="14">
        <f t="shared" si="50"/>
        <v>0</v>
      </c>
      <c r="AK106" s="14">
        <f t="shared" si="50"/>
        <v>0</v>
      </c>
      <c r="AL106" s="14">
        <f t="shared" si="50"/>
        <v>0</v>
      </c>
    </row>
    <row r="107" spans="1:54" ht="21" customHeight="1" outlineLevel="1" thickBot="1" x14ac:dyDescent="0.4">
      <c r="A107" s="5">
        <f t="shared" si="40"/>
        <v>0</v>
      </c>
      <c r="B107" s="5">
        <f t="shared" si="40"/>
        <v>0</v>
      </c>
      <c r="C107" s="5">
        <f t="shared" si="40"/>
        <v>0</v>
      </c>
      <c r="D107" s="5">
        <f t="shared" si="40"/>
        <v>0</v>
      </c>
      <c r="E107" s="6">
        <f t="shared" si="19"/>
        <v>0</v>
      </c>
      <c r="F107" s="14">
        <f t="shared" ref="F107:AL107" si="51">F31*$C$78</f>
        <v>0</v>
      </c>
      <c r="G107" s="14">
        <f t="shared" si="51"/>
        <v>0</v>
      </c>
      <c r="H107" s="14">
        <f t="shared" si="51"/>
        <v>0</v>
      </c>
      <c r="I107" s="14">
        <f t="shared" si="51"/>
        <v>0</v>
      </c>
      <c r="J107" s="14">
        <f t="shared" si="51"/>
        <v>0</v>
      </c>
      <c r="K107" s="14">
        <f t="shared" si="51"/>
        <v>0</v>
      </c>
      <c r="L107" s="14">
        <f t="shared" si="51"/>
        <v>0</v>
      </c>
      <c r="M107" s="14">
        <f t="shared" si="51"/>
        <v>0</v>
      </c>
      <c r="N107" s="14">
        <f t="shared" si="51"/>
        <v>0</v>
      </c>
      <c r="O107" s="14">
        <f t="shared" si="51"/>
        <v>0</v>
      </c>
      <c r="P107" s="14">
        <f t="shared" si="51"/>
        <v>0</v>
      </c>
      <c r="Q107" s="14">
        <f t="shared" si="51"/>
        <v>0</v>
      </c>
      <c r="R107" s="14">
        <f t="shared" si="51"/>
        <v>0</v>
      </c>
      <c r="S107" s="14">
        <f t="shared" si="51"/>
        <v>0</v>
      </c>
      <c r="T107" s="14">
        <f t="shared" si="51"/>
        <v>0</v>
      </c>
      <c r="U107" s="14">
        <f t="shared" si="51"/>
        <v>0</v>
      </c>
      <c r="V107" s="14">
        <f t="shared" si="51"/>
        <v>0</v>
      </c>
      <c r="W107" s="14">
        <f t="shared" si="51"/>
        <v>0</v>
      </c>
      <c r="X107" s="14">
        <f t="shared" si="51"/>
        <v>0</v>
      </c>
      <c r="Y107" s="14">
        <f t="shared" si="51"/>
        <v>0</v>
      </c>
      <c r="Z107" s="14">
        <f t="shared" si="51"/>
        <v>0</v>
      </c>
      <c r="AA107" s="14">
        <f t="shared" si="51"/>
        <v>0</v>
      </c>
      <c r="AB107" s="14">
        <f t="shared" si="51"/>
        <v>0</v>
      </c>
      <c r="AC107" s="14">
        <f t="shared" si="51"/>
        <v>0</v>
      </c>
      <c r="AD107" s="14">
        <f t="shared" si="51"/>
        <v>0</v>
      </c>
      <c r="AE107" s="14">
        <f t="shared" si="51"/>
        <v>0</v>
      </c>
      <c r="AF107" s="14">
        <f t="shared" si="51"/>
        <v>0</v>
      </c>
      <c r="AG107" s="14">
        <f t="shared" si="51"/>
        <v>0</v>
      </c>
      <c r="AH107" s="14">
        <f t="shared" si="51"/>
        <v>0</v>
      </c>
      <c r="AI107" s="14">
        <f t="shared" si="51"/>
        <v>0</v>
      </c>
      <c r="AJ107" s="14">
        <f t="shared" si="51"/>
        <v>0</v>
      </c>
      <c r="AK107" s="14">
        <f t="shared" si="51"/>
        <v>0</v>
      </c>
      <c r="AL107" s="14">
        <f t="shared" si="51"/>
        <v>0</v>
      </c>
    </row>
    <row r="108" spans="1:54" ht="21" customHeight="1" outlineLevel="1" thickBot="1" x14ac:dyDescent="0.4">
      <c r="A108" s="5">
        <f t="shared" si="40"/>
        <v>0</v>
      </c>
      <c r="B108" s="5">
        <f t="shared" si="40"/>
        <v>0</v>
      </c>
      <c r="C108" s="5">
        <f t="shared" si="40"/>
        <v>0</v>
      </c>
      <c r="D108" s="5">
        <f t="shared" si="40"/>
        <v>0</v>
      </c>
      <c r="E108" s="6">
        <f t="shared" si="19"/>
        <v>0</v>
      </c>
      <c r="F108" s="14">
        <f t="shared" ref="F108:AL108" si="52">F32*$C$78</f>
        <v>0</v>
      </c>
      <c r="G108" s="14">
        <f t="shared" si="52"/>
        <v>0</v>
      </c>
      <c r="H108" s="14">
        <f t="shared" si="52"/>
        <v>0</v>
      </c>
      <c r="I108" s="14">
        <f t="shared" si="52"/>
        <v>0</v>
      </c>
      <c r="J108" s="14">
        <f t="shared" si="52"/>
        <v>0</v>
      </c>
      <c r="K108" s="14">
        <f t="shared" si="52"/>
        <v>0</v>
      </c>
      <c r="L108" s="14">
        <f t="shared" si="52"/>
        <v>0</v>
      </c>
      <c r="M108" s="14">
        <f t="shared" si="52"/>
        <v>0</v>
      </c>
      <c r="N108" s="14">
        <f t="shared" si="52"/>
        <v>0</v>
      </c>
      <c r="O108" s="14">
        <f t="shared" si="52"/>
        <v>0</v>
      </c>
      <c r="P108" s="14">
        <f t="shared" si="52"/>
        <v>0</v>
      </c>
      <c r="Q108" s="14">
        <f t="shared" si="52"/>
        <v>0</v>
      </c>
      <c r="R108" s="14">
        <f t="shared" si="52"/>
        <v>0</v>
      </c>
      <c r="S108" s="14">
        <f t="shared" si="52"/>
        <v>0</v>
      </c>
      <c r="T108" s="14">
        <f t="shared" si="52"/>
        <v>0</v>
      </c>
      <c r="U108" s="14">
        <f t="shared" si="52"/>
        <v>0</v>
      </c>
      <c r="V108" s="14">
        <f t="shared" si="52"/>
        <v>0</v>
      </c>
      <c r="W108" s="14">
        <f t="shared" si="52"/>
        <v>0</v>
      </c>
      <c r="X108" s="14">
        <f t="shared" si="52"/>
        <v>0</v>
      </c>
      <c r="Y108" s="14">
        <f t="shared" si="52"/>
        <v>0</v>
      </c>
      <c r="Z108" s="14">
        <f t="shared" si="52"/>
        <v>0</v>
      </c>
      <c r="AA108" s="14">
        <f t="shared" si="52"/>
        <v>0</v>
      </c>
      <c r="AB108" s="14">
        <f t="shared" si="52"/>
        <v>0</v>
      </c>
      <c r="AC108" s="14">
        <f t="shared" si="52"/>
        <v>0</v>
      </c>
      <c r="AD108" s="14">
        <f t="shared" si="52"/>
        <v>0</v>
      </c>
      <c r="AE108" s="14">
        <f t="shared" si="52"/>
        <v>0</v>
      </c>
      <c r="AF108" s="14">
        <f t="shared" si="52"/>
        <v>0</v>
      </c>
      <c r="AG108" s="14">
        <f t="shared" si="52"/>
        <v>0</v>
      </c>
      <c r="AH108" s="14">
        <f t="shared" si="52"/>
        <v>0</v>
      </c>
      <c r="AI108" s="14">
        <f t="shared" si="52"/>
        <v>0</v>
      </c>
      <c r="AJ108" s="14">
        <f t="shared" si="52"/>
        <v>0</v>
      </c>
      <c r="AK108" s="14">
        <f t="shared" si="52"/>
        <v>0</v>
      </c>
      <c r="AL108" s="14">
        <f t="shared" si="52"/>
        <v>0</v>
      </c>
    </row>
    <row r="109" spans="1:54" ht="21" customHeight="1" outlineLevel="1" thickBot="1" x14ac:dyDescent="0.4">
      <c r="A109" s="5">
        <f t="shared" si="40"/>
        <v>0</v>
      </c>
      <c r="B109" s="5">
        <f t="shared" si="40"/>
        <v>0</v>
      </c>
      <c r="C109" s="5">
        <f t="shared" si="40"/>
        <v>0</v>
      </c>
      <c r="D109" s="5">
        <f t="shared" si="40"/>
        <v>0</v>
      </c>
      <c r="E109" s="6">
        <f t="shared" si="19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customHeight="1" outlineLevel="1" x14ac:dyDescent="0.35">
      <c r="U110" s="55"/>
      <c r="V110" s="55"/>
      <c r="W110" s="55"/>
    </row>
    <row r="111" spans="1:54" ht="21" customHeight="1" x14ac:dyDescent="0.35">
      <c r="U111" s="55"/>
      <c r="V111" s="55"/>
      <c r="W111" s="55"/>
    </row>
    <row r="112" spans="1:54" ht="21" customHeight="1" thickBot="1" x14ac:dyDescent="0.45">
      <c r="A112" s="72"/>
      <c r="B112" s="72"/>
      <c r="C112" s="72"/>
      <c r="D112" s="72"/>
      <c r="E112" s="71" t="s">
        <v>23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8" t="s">
        <v>10</v>
      </c>
      <c r="B113" s="189"/>
      <c r="C113" s="23" t="s">
        <v>11</v>
      </c>
      <c r="D113" s="15" t="s">
        <v>12</v>
      </c>
      <c r="E113" s="15"/>
      <c r="F113" s="4">
        <f t="shared" ref="F113:AL113" si="53">F3</f>
        <v>0</v>
      </c>
      <c r="G113" s="4">
        <f t="shared" si="53"/>
        <v>0</v>
      </c>
      <c r="H113" s="4">
        <f t="shared" si="53"/>
        <v>0</v>
      </c>
      <c r="I113" s="4">
        <f t="shared" si="53"/>
        <v>0</v>
      </c>
      <c r="J113" s="4">
        <f t="shared" si="53"/>
        <v>0</v>
      </c>
      <c r="K113" s="4">
        <f t="shared" si="53"/>
        <v>0</v>
      </c>
      <c r="L113" s="4">
        <f t="shared" si="53"/>
        <v>0</v>
      </c>
      <c r="M113" s="4">
        <f t="shared" si="53"/>
        <v>0</v>
      </c>
      <c r="N113" s="4">
        <f t="shared" si="53"/>
        <v>0</v>
      </c>
      <c r="O113" s="4">
        <f t="shared" si="53"/>
        <v>0</v>
      </c>
      <c r="P113" s="4">
        <f t="shared" si="53"/>
        <v>0</v>
      </c>
      <c r="Q113" s="4">
        <f t="shared" si="53"/>
        <v>0</v>
      </c>
      <c r="R113" s="4">
        <f t="shared" si="53"/>
        <v>0</v>
      </c>
      <c r="S113" s="4">
        <f t="shared" si="53"/>
        <v>0</v>
      </c>
      <c r="T113" s="4">
        <f t="shared" si="53"/>
        <v>0</v>
      </c>
      <c r="U113" s="4">
        <f t="shared" si="53"/>
        <v>0</v>
      </c>
      <c r="V113" s="4">
        <f t="shared" si="53"/>
        <v>0</v>
      </c>
      <c r="W113" s="4">
        <f t="shared" si="53"/>
        <v>0</v>
      </c>
      <c r="X113" s="4">
        <f t="shared" si="53"/>
        <v>0</v>
      </c>
      <c r="Y113" s="4">
        <f t="shared" si="53"/>
        <v>0</v>
      </c>
      <c r="Z113" s="4">
        <f t="shared" si="53"/>
        <v>0</v>
      </c>
      <c r="AA113" s="4">
        <f t="shared" si="53"/>
        <v>0</v>
      </c>
      <c r="AB113" s="4">
        <f t="shared" si="53"/>
        <v>0</v>
      </c>
      <c r="AC113" s="4">
        <f t="shared" si="53"/>
        <v>0</v>
      </c>
      <c r="AD113" s="4">
        <f t="shared" si="53"/>
        <v>0</v>
      </c>
      <c r="AE113" s="4">
        <f t="shared" si="53"/>
        <v>0</v>
      </c>
      <c r="AF113" s="4">
        <f t="shared" si="53"/>
        <v>0</v>
      </c>
      <c r="AG113" s="4">
        <f t="shared" si="53"/>
        <v>0</v>
      </c>
      <c r="AH113" s="4">
        <f t="shared" si="53"/>
        <v>0</v>
      </c>
      <c r="AI113" s="4">
        <f t="shared" si="53"/>
        <v>0</v>
      </c>
      <c r="AJ113" s="4">
        <f t="shared" si="53"/>
        <v>0</v>
      </c>
      <c r="AK113" s="4">
        <f t="shared" si="53"/>
        <v>0</v>
      </c>
      <c r="AL113" s="4">
        <f t="shared" si="53"/>
        <v>0</v>
      </c>
    </row>
    <row r="114" spans="1:38" ht="21" customHeight="1" outlineLevel="1" thickTop="1" thickBot="1" x14ac:dyDescent="0.4">
      <c r="A114" s="21">
        <f>$A$2</f>
        <v>700</v>
      </c>
      <c r="B114" s="50" t="e">
        <f ca="1">MIN(MIN(F114:AL117),MIN(F41:AL41))</f>
        <v>#N/A</v>
      </c>
      <c r="C114" s="24">
        <f>COUNTA(E114:E121)+1</f>
        <v>5</v>
      </c>
      <c r="E114" s="17" t="s">
        <v>32</v>
      </c>
      <c r="F114" s="164" t="e">
        <f ca="1">F$113*$B$2*SUMPRODUCT(F$90:F$91,F$57:F$59)/1000</f>
        <v>#N/A</v>
      </c>
      <c r="G114" s="52" t="e">
        <f t="shared" ref="G114:AL114" ca="1" si="54">G$113*$B$2*SUMPRODUCT(G$90:G$91,G$56:G$57)/1000</f>
        <v>#N/A</v>
      </c>
      <c r="H114" s="52" t="e">
        <f t="shared" ca="1" si="54"/>
        <v>#N/A</v>
      </c>
      <c r="I114" s="52" t="e">
        <f t="shared" ca="1" si="54"/>
        <v>#N/A</v>
      </c>
      <c r="J114" s="52" t="e">
        <f t="shared" ca="1" si="54"/>
        <v>#N/A</v>
      </c>
      <c r="K114" s="52" t="e">
        <f t="shared" ca="1" si="54"/>
        <v>#N/A</v>
      </c>
      <c r="L114" s="52" t="e">
        <f t="shared" ca="1" si="54"/>
        <v>#N/A</v>
      </c>
      <c r="M114" s="52" t="e">
        <f t="shared" ca="1" si="54"/>
        <v>#N/A</v>
      </c>
      <c r="N114" s="52" t="e">
        <f t="shared" ca="1" si="54"/>
        <v>#N/A</v>
      </c>
      <c r="O114" s="52" t="e">
        <f t="shared" ca="1" si="54"/>
        <v>#N/A</v>
      </c>
      <c r="P114" s="52" t="e">
        <f t="shared" ca="1" si="54"/>
        <v>#N/A</v>
      </c>
      <c r="Q114" s="52" t="e">
        <f t="shared" ca="1" si="54"/>
        <v>#N/A</v>
      </c>
      <c r="R114" s="52" t="e">
        <f t="shared" ca="1" si="54"/>
        <v>#N/A</v>
      </c>
      <c r="S114" s="52" t="e">
        <f t="shared" ca="1" si="54"/>
        <v>#N/A</v>
      </c>
      <c r="T114" s="52" t="e">
        <f t="shared" ca="1" si="54"/>
        <v>#N/A</v>
      </c>
      <c r="U114" s="52" t="e">
        <f t="shared" ca="1" si="54"/>
        <v>#N/A</v>
      </c>
      <c r="V114" s="52" t="e">
        <f t="shared" ca="1" si="54"/>
        <v>#N/A</v>
      </c>
      <c r="W114" s="52" t="e">
        <f t="shared" ca="1" si="54"/>
        <v>#N/A</v>
      </c>
      <c r="X114" s="52" t="e">
        <f t="shared" ca="1" si="54"/>
        <v>#N/A</v>
      </c>
      <c r="Y114" s="52" t="e">
        <f t="shared" ca="1" si="54"/>
        <v>#N/A</v>
      </c>
      <c r="Z114" s="52" t="e">
        <f t="shared" ca="1" si="54"/>
        <v>#N/A</v>
      </c>
      <c r="AA114" s="52" t="e">
        <f t="shared" ca="1" si="54"/>
        <v>#N/A</v>
      </c>
      <c r="AB114" s="52" t="e">
        <f t="shared" ca="1" si="54"/>
        <v>#N/A</v>
      </c>
      <c r="AC114" s="52" t="e">
        <f t="shared" ca="1" si="54"/>
        <v>#N/A</v>
      </c>
      <c r="AD114" s="52" t="e">
        <f t="shared" ca="1" si="54"/>
        <v>#N/A</v>
      </c>
      <c r="AE114" s="52" t="e">
        <f t="shared" ca="1" si="54"/>
        <v>#N/A</v>
      </c>
      <c r="AF114" s="52" t="e">
        <f t="shared" ca="1" si="54"/>
        <v>#N/A</v>
      </c>
      <c r="AG114" s="52" t="e">
        <f t="shared" ca="1" si="54"/>
        <v>#N/A</v>
      </c>
      <c r="AH114" s="52" t="e">
        <f t="shared" ca="1" si="54"/>
        <v>#N/A</v>
      </c>
      <c r="AI114" s="52" t="e">
        <f t="shared" ca="1" si="54"/>
        <v>#N/A</v>
      </c>
      <c r="AJ114" s="52" t="e">
        <f t="shared" ca="1" si="54"/>
        <v>#N/A</v>
      </c>
      <c r="AK114" s="52" t="e">
        <f t="shared" ca="1" si="54"/>
        <v>#N/A</v>
      </c>
      <c r="AL114" s="52" t="e">
        <f t="shared" ca="1" si="54"/>
        <v>#N/A</v>
      </c>
    </row>
    <row r="115" spans="1:38" ht="21" customHeight="1" outlineLevel="1" thickBot="1" x14ac:dyDescent="0.4">
      <c r="A115" s="22">
        <f>$A$114</f>
        <v>700</v>
      </c>
      <c r="B115" s="51" t="e">
        <f ca="1">MAX(MAX(F114:AL117),MAX(F41:AL41))</f>
        <v>#N/A</v>
      </c>
      <c r="C115" s="25">
        <f xml:space="preserve"> COUNTIF(F113:AL113,"&lt;&gt;"&amp;0)</f>
        <v>0</v>
      </c>
      <c r="E115" s="17" t="s">
        <v>14</v>
      </c>
      <c r="F115" s="14" t="e">
        <f t="shared" ref="F115:AL115" ca="1" si="55">F$113*$B$2*SUMPRODUCT(F$87:F$88,F$53:F$54)/1000</f>
        <v>#N/A</v>
      </c>
      <c r="G115" s="14" t="e">
        <f t="shared" ca="1" si="55"/>
        <v>#N/A</v>
      </c>
      <c r="H115" s="14" t="e">
        <f t="shared" ca="1" si="55"/>
        <v>#N/A</v>
      </c>
      <c r="I115" s="14" t="e">
        <f t="shared" ca="1" si="55"/>
        <v>#N/A</v>
      </c>
      <c r="J115" s="14" t="e">
        <f t="shared" ca="1" si="55"/>
        <v>#N/A</v>
      </c>
      <c r="K115" s="14" t="e">
        <f t="shared" ca="1" si="55"/>
        <v>#N/A</v>
      </c>
      <c r="L115" s="14" t="e">
        <f t="shared" ca="1" si="55"/>
        <v>#N/A</v>
      </c>
      <c r="M115" s="14" t="e">
        <f t="shared" ca="1" si="55"/>
        <v>#N/A</v>
      </c>
      <c r="N115" s="14" t="e">
        <f t="shared" ca="1" si="55"/>
        <v>#N/A</v>
      </c>
      <c r="O115" s="14" t="e">
        <f t="shared" ca="1" si="55"/>
        <v>#N/A</v>
      </c>
      <c r="P115" s="14" t="e">
        <f t="shared" ca="1" si="55"/>
        <v>#N/A</v>
      </c>
      <c r="Q115" s="14" t="e">
        <f t="shared" ca="1" si="55"/>
        <v>#N/A</v>
      </c>
      <c r="R115" s="14" t="e">
        <f t="shared" ca="1" si="55"/>
        <v>#N/A</v>
      </c>
      <c r="S115" s="14" t="e">
        <f t="shared" ca="1" si="55"/>
        <v>#N/A</v>
      </c>
      <c r="T115" s="14" t="e">
        <f t="shared" ca="1" si="55"/>
        <v>#N/A</v>
      </c>
      <c r="U115" s="14" t="e">
        <f t="shared" ca="1" si="55"/>
        <v>#N/A</v>
      </c>
      <c r="V115" s="14" t="e">
        <f t="shared" ca="1" si="55"/>
        <v>#N/A</v>
      </c>
      <c r="W115" s="14" t="e">
        <f t="shared" ca="1" si="55"/>
        <v>#N/A</v>
      </c>
      <c r="X115" s="14" t="e">
        <f t="shared" ca="1" si="55"/>
        <v>#N/A</v>
      </c>
      <c r="Y115" s="14" t="e">
        <f t="shared" ca="1" si="55"/>
        <v>#N/A</v>
      </c>
      <c r="Z115" s="14" t="e">
        <f t="shared" ca="1" si="55"/>
        <v>#N/A</v>
      </c>
      <c r="AA115" s="14" t="e">
        <f t="shared" ca="1" si="55"/>
        <v>#N/A</v>
      </c>
      <c r="AB115" s="14" t="e">
        <f t="shared" ca="1" si="55"/>
        <v>#N/A</v>
      </c>
      <c r="AC115" s="14" t="e">
        <f t="shared" ca="1" si="55"/>
        <v>#N/A</v>
      </c>
      <c r="AD115" s="14" t="e">
        <f t="shared" ca="1" si="55"/>
        <v>#N/A</v>
      </c>
      <c r="AE115" s="14" t="e">
        <f t="shared" ca="1" si="55"/>
        <v>#N/A</v>
      </c>
      <c r="AF115" s="14" t="e">
        <f t="shared" ca="1" si="55"/>
        <v>#N/A</v>
      </c>
      <c r="AG115" s="14" t="e">
        <f t="shared" ca="1" si="55"/>
        <v>#N/A</v>
      </c>
      <c r="AH115" s="14" t="e">
        <f t="shared" ca="1" si="55"/>
        <v>#N/A</v>
      </c>
      <c r="AI115" s="14" t="e">
        <f t="shared" ca="1" si="55"/>
        <v>#N/A</v>
      </c>
      <c r="AJ115" s="14" t="e">
        <f t="shared" ca="1" si="55"/>
        <v>#N/A</v>
      </c>
      <c r="AK115" s="14" t="e">
        <f t="shared" ca="1" si="55"/>
        <v>#N/A</v>
      </c>
      <c r="AL115" s="14" t="e">
        <f t="shared" ca="1" si="55"/>
        <v>#N/A</v>
      </c>
    </row>
    <row r="116" spans="1:38" ht="21" customHeight="1" outlineLevel="1" thickBot="1" x14ac:dyDescent="0.4">
      <c r="E116" s="17" t="s">
        <v>15</v>
      </c>
      <c r="F116" s="14" t="e">
        <f t="shared" ref="F116:AL116" ca="1" si="56">F$113*$B$2*SUMPRODUCT(F$87:F$89,F$53:F$55)/1000</f>
        <v>#N/A</v>
      </c>
      <c r="G116" s="14" t="e">
        <f t="shared" ca="1" si="56"/>
        <v>#N/A</v>
      </c>
      <c r="H116" s="14" t="e">
        <f t="shared" ca="1" si="56"/>
        <v>#N/A</v>
      </c>
      <c r="I116" s="14" t="e">
        <f t="shared" ca="1" si="56"/>
        <v>#N/A</v>
      </c>
      <c r="J116" s="14" t="e">
        <f t="shared" ca="1" si="56"/>
        <v>#N/A</v>
      </c>
      <c r="K116" s="14" t="e">
        <f t="shared" ca="1" si="56"/>
        <v>#N/A</v>
      </c>
      <c r="L116" s="14" t="e">
        <f t="shared" ca="1" si="56"/>
        <v>#N/A</v>
      </c>
      <c r="M116" s="14" t="e">
        <f t="shared" ca="1" si="56"/>
        <v>#N/A</v>
      </c>
      <c r="N116" s="14" t="e">
        <f t="shared" ca="1" si="56"/>
        <v>#N/A</v>
      </c>
      <c r="O116" s="14" t="e">
        <f t="shared" ca="1" si="56"/>
        <v>#N/A</v>
      </c>
      <c r="P116" s="14" t="e">
        <f t="shared" ca="1" si="56"/>
        <v>#N/A</v>
      </c>
      <c r="Q116" s="14" t="e">
        <f t="shared" ca="1" si="56"/>
        <v>#N/A</v>
      </c>
      <c r="R116" s="14" t="e">
        <f t="shared" ca="1" si="56"/>
        <v>#N/A</v>
      </c>
      <c r="S116" s="14" t="e">
        <f t="shared" ca="1" si="56"/>
        <v>#N/A</v>
      </c>
      <c r="T116" s="14" t="e">
        <f t="shared" ca="1" si="56"/>
        <v>#N/A</v>
      </c>
      <c r="U116" s="14" t="e">
        <f t="shared" ca="1" si="56"/>
        <v>#N/A</v>
      </c>
      <c r="V116" s="14" t="e">
        <f t="shared" ca="1" si="56"/>
        <v>#N/A</v>
      </c>
      <c r="W116" s="14" t="e">
        <f t="shared" ca="1" si="56"/>
        <v>#N/A</v>
      </c>
      <c r="X116" s="14" t="e">
        <f t="shared" ca="1" si="56"/>
        <v>#N/A</v>
      </c>
      <c r="Y116" s="14" t="e">
        <f t="shared" ca="1" si="56"/>
        <v>#N/A</v>
      </c>
      <c r="Z116" s="14" t="e">
        <f t="shared" ca="1" si="56"/>
        <v>#N/A</v>
      </c>
      <c r="AA116" s="14" t="e">
        <f t="shared" ca="1" si="56"/>
        <v>#N/A</v>
      </c>
      <c r="AB116" s="14" t="e">
        <f t="shared" ca="1" si="56"/>
        <v>#N/A</v>
      </c>
      <c r="AC116" s="14" t="e">
        <f t="shared" ca="1" si="56"/>
        <v>#N/A</v>
      </c>
      <c r="AD116" s="14" t="e">
        <f t="shared" ca="1" si="56"/>
        <v>#N/A</v>
      </c>
      <c r="AE116" s="14" t="e">
        <f t="shared" ca="1" si="56"/>
        <v>#N/A</v>
      </c>
      <c r="AF116" s="14" t="e">
        <f t="shared" ca="1" si="56"/>
        <v>#N/A</v>
      </c>
      <c r="AG116" s="14" t="e">
        <f t="shared" ca="1" si="56"/>
        <v>#N/A</v>
      </c>
      <c r="AH116" s="14" t="e">
        <f t="shared" ca="1" si="56"/>
        <v>#N/A</v>
      </c>
      <c r="AI116" s="14" t="e">
        <f t="shared" ca="1" si="56"/>
        <v>#N/A</v>
      </c>
      <c r="AJ116" s="14" t="e">
        <f t="shared" ca="1" si="56"/>
        <v>#N/A</v>
      </c>
      <c r="AK116" s="14" t="e">
        <f t="shared" ca="1" si="56"/>
        <v>#N/A</v>
      </c>
      <c r="AL116" s="14" t="e">
        <f t="shared" ca="1" si="56"/>
        <v>#N/A</v>
      </c>
    </row>
    <row r="117" spans="1:38" ht="21" customHeight="1" outlineLevel="1" thickBot="1" x14ac:dyDescent="0.4">
      <c r="E117" s="17" t="s">
        <v>33</v>
      </c>
      <c r="F117" s="14" t="e">
        <f t="shared" ref="F117:AL117" ca="1" si="57">F115+F114</f>
        <v>#N/A</v>
      </c>
      <c r="G117" s="14" t="e">
        <f t="shared" ca="1" si="57"/>
        <v>#N/A</v>
      </c>
      <c r="H117" s="14" t="e">
        <f t="shared" ca="1" si="57"/>
        <v>#N/A</v>
      </c>
      <c r="I117" s="14" t="e">
        <f t="shared" ca="1" si="57"/>
        <v>#N/A</v>
      </c>
      <c r="J117" s="14" t="e">
        <f t="shared" ca="1" si="57"/>
        <v>#N/A</v>
      </c>
      <c r="K117" s="14" t="e">
        <f t="shared" ca="1" si="57"/>
        <v>#N/A</v>
      </c>
      <c r="L117" s="14" t="e">
        <f t="shared" ca="1" si="57"/>
        <v>#N/A</v>
      </c>
      <c r="M117" s="14" t="e">
        <f t="shared" ca="1" si="57"/>
        <v>#N/A</v>
      </c>
      <c r="N117" s="14" t="e">
        <f t="shared" ca="1" si="57"/>
        <v>#N/A</v>
      </c>
      <c r="O117" s="14" t="e">
        <f t="shared" ca="1" si="57"/>
        <v>#N/A</v>
      </c>
      <c r="P117" s="14" t="e">
        <f t="shared" ca="1" si="57"/>
        <v>#N/A</v>
      </c>
      <c r="Q117" s="14" t="e">
        <f t="shared" ca="1" si="57"/>
        <v>#N/A</v>
      </c>
      <c r="R117" s="14" t="e">
        <f t="shared" ca="1" si="57"/>
        <v>#N/A</v>
      </c>
      <c r="S117" s="14" t="e">
        <f t="shared" ca="1" si="57"/>
        <v>#N/A</v>
      </c>
      <c r="T117" s="14" t="e">
        <f t="shared" ca="1" si="57"/>
        <v>#N/A</v>
      </c>
      <c r="U117" s="14" t="e">
        <f t="shared" ca="1" si="57"/>
        <v>#N/A</v>
      </c>
      <c r="V117" s="14" t="e">
        <f t="shared" ca="1" si="57"/>
        <v>#N/A</v>
      </c>
      <c r="W117" s="14" t="e">
        <f t="shared" ca="1" si="57"/>
        <v>#N/A</v>
      </c>
      <c r="X117" s="14" t="e">
        <f t="shared" ca="1" si="57"/>
        <v>#N/A</v>
      </c>
      <c r="Y117" s="14" t="e">
        <f t="shared" ca="1" si="57"/>
        <v>#N/A</v>
      </c>
      <c r="Z117" s="14" t="e">
        <f t="shared" ca="1" si="57"/>
        <v>#N/A</v>
      </c>
      <c r="AA117" s="14" t="e">
        <f t="shared" ca="1" si="57"/>
        <v>#N/A</v>
      </c>
      <c r="AB117" s="14" t="e">
        <f t="shared" ca="1" si="57"/>
        <v>#N/A</v>
      </c>
      <c r="AC117" s="14" t="e">
        <f t="shared" ca="1" si="57"/>
        <v>#N/A</v>
      </c>
      <c r="AD117" s="14" t="e">
        <f t="shared" ca="1" si="57"/>
        <v>#N/A</v>
      </c>
      <c r="AE117" s="14" t="e">
        <f t="shared" ca="1" si="57"/>
        <v>#N/A</v>
      </c>
      <c r="AF117" s="14" t="e">
        <f t="shared" ca="1" si="57"/>
        <v>#N/A</v>
      </c>
      <c r="AG117" s="14" t="e">
        <f t="shared" ca="1" si="57"/>
        <v>#N/A</v>
      </c>
      <c r="AH117" s="14" t="e">
        <f t="shared" ca="1" si="57"/>
        <v>#N/A</v>
      </c>
      <c r="AI117" s="14" t="e">
        <f t="shared" ca="1" si="57"/>
        <v>#N/A</v>
      </c>
      <c r="AJ117" s="14" t="e">
        <f t="shared" ca="1" si="57"/>
        <v>#N/A</v>
      </c>
      <c r="AK117" s="14" t="e">
        <f t="shared" ca="1" si="57"/>
        <v>#N/A</v>
      </c>
      <c r="AL117" s="14" t="e">
        <f t="shared" ca="1" si="57"/>
        <v>#N/A</v>
      </c>
    </row>
    <row r="118" spans="1:38" ht="21" customHeight="1" outlineLevel="1" thickBot="1" x14ac:dyDescent="0.4">
      <c r="E118" s="17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62">
        <f ca="1"/>
        <v>0</v>
      </c>
      <c r="V122" s="63">
        <f ca="1"/>
        <v>0</v>
      </c>
      <c r="W122" s="65">
        <f ca="1"/>
        <v>0</v>
      </c>
      <c r="X122" s="59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</row>
    <row r="123" spans="1:38" ht="21" customHeight="1" outlineLevel="1" thickTop="1" thickBot="1" x14ac:dyDescent="0.4">
      <c r="E123" s="17" t="str">
        <f ca="1"/>
        <v xml:space="preserve">Расвор: </v>
      </c>
      <c r="F123" s="55" t="str">
        <f ca="1"/>
        <v xml:space="preserve">Расвор: </v>
      </c>
      <c r="G123" s="55" t="str">
        <f ca="1"/>
        <v xml:space="preserve">Расвор: </v>
      </c>
      <c r="H123" s="55" t="str">
        <f ca="1"/>
        <v xml:space="preserve">Расвор: </v>
      </c>
      <c r="I123" s="55" t="str">
        <f ca="1"/>
        <v xml:space="preserve">Расвор: </v>
      </c>
      <c r="J123" s="55" t="str">
        <f ca="1"/>
        <v xml:space="preserve">Расвор: </v>
      </c>
      <c r="K123" s="55" t="str">
        <f ca="1"/>
        <v xml:space="preserve">Расвор: </v>
      </c>
      <c r="L123" s="55" t="str">
        <f ca="1"/>
        <v xml:space="preserve">Расвор: </v>
      </c>
      <c r="M123" s="55" t="str">
        <f ca="1"/>
        <v xml:space="preserve">Расвор: </v>
      </c>
      <c r="N123" s="55" t="str">
        <f ca="1"/>
        <v xml:space="preserve">Расвор: </v>
      </c>
      <c r="O123" s="55" t="str">
        <f ca="1"/>
        <v xml:space="preserve">Расвор: </v>
      </c>
      <c r="P123" s="55" t="str">
        <f ca="1"/>
        <v xml:space="preserve">Расвор: </v>
      </c>
      <c r="Q123" s="55" t="str">
        <f ca="1"/>
        <v xml:space="preserve">Расвор: </v>
      </c>
      <c r="R123" s="55" t="str">
        <f ca="1"/>
        <v xml:space="preserve">Расвор: </v>
      </c>
      <c r="S123" s="55" t="str">
        <f ca="1"/>
        <v xml:space="preserve">Расвор: </v>
      </c>
      <c r="T123" s="55" t="str">
        <f ca="1"/>
        <v xml:space="preserve">Расвор: </v>
      </c>
      <c r="U123" s="55" t="str">
        <f ca="1"/>
        <v xml:space="preserve">Расвор: </v>
      </c>
      <c r="V123" s="55" t="str">
        <f ca="1"/>
        <v xml:space="preserve">Расвор: </v>
      </c>
      <c r="W123" s="55" t="str">
        <f ca="1"/>
        <v xml:space="preserve">Расвор: </v>
      </c>
      <c r="X123" s="55" t="str">
        <f ca="1"/>
        <v xml:space="preserve">Расвор: </v>
      </c>
      <c r="Y123" s="55" t="str">
        <f ca="1"/>
        <v xml:space="preserve">Расвор: </v>
      </c>
      <c r="Z123" s="55" t="str">
        <f ca="1"/>
        <v xml:space="preserve">Расвор: </v>
      </c>
      <c r="AA123" s="55" t="str">
        <f ca="1"/>
        <v xml:space="preserve">Расвор: </v>
      </c>
      <c r="AB123" s="55" t="str">
        <f ca="1"/>
        <v xml:space="preserve">Расвор: </v>
      </c>
      <c r="AC123" s="55" t="str">
        <f ca="1"/>
        <v xml:space="preserve">Расвор: </v>
      </c>
      <c r="AD123" s="55" t="str">
        <f ca="1"/>
        <v xml:space="preserve">Расвор: </v>
      </c>
      <c r="AE123" s="55" t="str">
        <f ca="1"/>
        <v xml:space="preserve">Расвор: </v>
      </c>
      <c r="AF123" s="55" t="str">
        <f ca="1"/>
        <v xml:space="preserve">Расвор: </v>
      </c>
      <c r="AG123" s="55" t="str">
        <f ca="1"/>
        <v xml:space="preserve">Расвор: </v>
      </c>
      <c r="AH123" s="55" t="str">
        <f ca="1"/>
        <v xml:space="preserve">Расвор: </v>
      </c>
      <c r="AI123" s="55" t="str">
        <f ca="1"/>
        <v xml:space="preserve">Расвор: </v>
      </c>
      <c r="AJ123" s="55" t="str">
        <f ca="1"/>
        <v xml:space="preserve">Расвор: </v>
      </c>
      <c r="AK123" s="55" t="str">
        <f ca="1"/>
        <v xml:space="preserve">Расвор: </v>
      </c>
      <c r="AL123" s="55" t="str">
        <f ca="1"/>
        <v xml:space="preserve">Расвор: 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 t="str">
        <f ca="1"/>
        <v xml:space="preserve">Газовая без Ar: </v>
      </c>
      <c r="G124" s="55" t="str">
        <f ca="1"/>
        <v xml:space="preserve">Газовая без Ar: </v>
      </c>
      <c r="H124" s="55" t="str">
        <f ca="1"/>
        <v xml:space="preserve">Газовая без Ar: </v>
      </c>
      <c r="I124" s="55" t="str">
        <f ca="1"/>
        <v xml:space="preserve">Газовая без Ar: </v>
      </c>
      <c r="J124" s="55" t="str">
        <f ca="1"/>
        <v xml:space="preserve">Газовая без Ar: </v>
      </c>
      <c r="K124" s="55" t="str">
        <f ca="1"/>
        <v xml:space="preserve">Газовая без Ar: </v>
      </c>
      <c r="L124" s="55" t="str">
        <f ca="1"/>
        <v xml:space="preserve">Газовая без Ar: </v>
      </c>
      <c r="M124" s="55" t="str">
        <f ca="1"/>
        <v xml:space="preserve">Газовая без Ar: </v>
      </c>
      <c r="N124" s="55" t="str">
        <f ca="1"/>
        <v xml:space="preserve">Газовая без Ar: </v>
      </c>
      <c r="O124" s="55" t="str">
        <f ca="1"/>
        <v xml:space="preserve">Газовая без Ar: </v>
      </c>
      <c r="P124" s="55" t="str">
        <f ca="1"/>
        <v xml:space="preserve">Газовая без Ar: </v>
      </c>
      <c r="Q124" s="55" t="str">
        <f ca="1"/>
        <v xml:space="preserve">Газовая без Ar: </v>
      </c>
      <c r="R124" s="55" t="str">
        <f ca="1"/>
        <v xml:space="preserve">Газовая без Ar: </v>
      </c>
      <c r="S124" s="55" t="str">
        <f ca="1"/>
        <v xml:space="preserve">Газовая без Ar: </v>
      </c>
      <c r="T124" s="55" t="str">
        <f ca="1"/>
        <v xml:space="preserve">Газовая без Ar: </v>
      </c>
      <c r="U124" s="55" t="str">
        <f ca="1"/>
        <v xml:space="preserve">Газовая без Ar: </v>
      </c>
      <c r="V124" s="55" t="str">
        <f ca="1"/>
        <v xml:space="preserve">Газовая без Ar: </v>
      </c>
      <c r="W124" s="55" t="str">
        <f ca="1"/>
        <v xml:space="preserve">Газовая без Ar: </v>
      </c>
      <c r="X124" s="55" t="str">
        <f ca="1"/>
        <v xml:space="preserve">Газовая без Ar: </v>
      </c>
      <c r="Y124" s="55" t="str">
        <f ca="1"/>
        <v xml:space="preserve">Газовая без Ar: </v>
      </c>
      <c r="Z124" s="55" t="str">
        <f ca="1"/>
        <v xml:space="preserve">Газовая без Ar: </v>
      </c>
      <c r="AA124" s="55" t="str">
        <f ca="1"/>
        <v xml:space="preserve">Газовая без Ar: </v>
      </c>
      <c r="AB124" s="55" t="str">
        <f ca="1"/>
        <v xml:space="preserve">Газовая без Ar: </v>
      </c>
      <c r="AC124" s="55" t="str">
        <f ca="1"/>
        <v xml:space="preserve">Газовая без Ar: </v>
      </c>
      <c r="AD124" s="55" t="str">
        <f ca="1"/>
        <v xml:space="preserve">Газовая без Ar: </v>
      </c>
      <c r="AE124" s="55" t="str">
        <f ca="1"/>
        <v xml:space="preserve">Газовая без Ar: </v>
      </c>
      <c r="AF124" s="55" t="str">
        <f ca="1"/>
        <v xml:space="preserve">Газовая без Ar: </v>
      </c>
      <c r="AG124" s="55" t="str">
        <f ca="1"/>
        <v xml:space="preserve">Газовая без Ar: </v>
      </c>
      <c r="AH124" s="55" t="str">
        <f ca="1"/>
        <v xml:space="preserve">Газовая без Ar: </v>
      </c>
      <c r="AI124" s="55" t="str">
        <f ca="1"/>
        <v xml:space="preserve">Газовая без Ar: </v>
      </c>
      <c r="AJ124" s="55" t="str">
        <f ca="1"/>
        <v xml:space="preserve">Газовая без Ar: </v>
      </c>
      <c r="AK124" s="55" t="str">
        <f ca="1"/>
        <v xml:space="preserve">Газовая без Ar: </v>
      </c>
      <c r="AL124" s="55" t="str">
        <f ca="1"/>
        <v xml:space="preserve">Газовая без Ar: </v>
      </c>
    </row>
    <row r="125" spans="1:38" ht="21" customHeight="1" outlineLevel="1" thickBot="1" x14ac:dyDescent="0.4">
      <c r="E125" s="17" t="str">
        <f ca="1"/>
        <v xml:space="preserve">Газовая: </v>
      </c>
      <c r="F125" s="55" t="str">
        <f ca="1"/>
        <v xml:space="preserve">Газовая: </v>
      </c>
      <c r="G125" s="55" t="str">
        <f ca="1"/>
        <v xml:space="preserve">Газовая: </v>
      </c>
      <c r="H125" s="55" t="str">
        <f ca="1"/>
        <v xml:space="preserve">Газовая: </v>
      </c>
      <c r="I125" s="55" t="str">
        <f ca="1"/>
        <v xml:space="preserve">Газовая: </v>
      </c>
      <c r="J125" s="55" t="str">
        <f ca="1"/>
        <v xml:space="preserve">Газовая: </v>
      </c>
      <c r="K125" s="55" t="str">
        <f ca="1"/>
        <v xml:space="preserve">Газовая: </v>
      </c>
      <c r="L125" s="55" t="str">
        <f ca="1"/>
        <v xml:space="preserve">Газовая: </v>
      </c>
      <c r="M125" s="55" t="str">
        <f ca="1"/>
        <v xml:space="preserve">Газовая: </v>
      </c>
      <c r="N125" s="55" t="str">
        <f ca="1"/>
        <v xml:space="preserve">Газовая: </v>
      </c>
      <c r="O125" s="55" t="str">
        <f ca="1"/>
        <v xml:space="preserve">Газовая: </v>
      </c>
      <c r="P125" s="55" t="str">
        <f ca="1"/>
        <v xml:space="preserve">Газовая: </v>
      </c>
      <c r="Q125" s="55" t="str">
        <f ca="1"/>
        <v xml:space="preserve">Газовая: </v>
      </c>
      <c r="R125" s="55" t="str">
        <f ca="1"/>
        <v xml:space="preserve">Газовая: </v>
      </c>
      <c r="S125" s="55" t="str">
        <f ca="1"/>
        <v xml:space="preserve">Газовая: </v>
      </c>
      <c r="T125" s="55" t="str">
        <f ca="1"/>
        <v xml:space="preserve">Газовая: </v>
      </c>
      <c r="U125" s="55" t="str">
        <f ca="1"/>
        <v xml:space="preserve">Газовая: </v>
      </c>
      <c r="V125" s="55" t="str">
        <f ca="1"/>
        <v xml:space="preserve">Газовая: </v>
      </c>
      <c r="W125" s="55" t="str">
        <f ca="1"/>
        <v xml:space="preserve">Газовая: </v>
      </c>
      <c r="X125" s="55" t="str">
        <f ca="1"/>
        <v xml:space="preserve">Газовая: </v>
      </c>
      <c r="Y125" s="55" t="str">
        <f ca="1"/>
        <v xml:space="preserve">Газовая: </v>
      </c>
      <c r="Z125" s="55" t="str">
        <f ca="1"/>
        <v xml:space="preserve">Газовая: </v>
      </c>
      <c r="AA125" s="55" t="str">
        <f ca="1"/>
        <v xml:space="preserve">Газовая: </v>
      </c>
      <c r="AB125" s="55" t="str">
        <f ca="1"/>
        <v xml:space="preserve">Газовая: </v>
      </c>
      <c r="AC125" s="55" t="str">
        <f ca="1"/>
        <v xml:space="preserve">Газовая: </v>
      </c>
      <c r="AD125" s="55" t="str">
        <f ca="1"/>
        <v xml:space="preserve">Газовая: </v>
      </c>
      <c r="AE125" s="55" t="str">
        <f ca="1"/>
        <v xml:space="preserve">Газовая: </v>
      </c>
      <c r="AF125" s="55" t="str">
        <f ca="1"/>
        <v xml:space="preserve">Газовая: </v>
      </c>
      <c r="AG125" s="55" t="str">
        <f ca="1"/>
        <v xml:space="preserve">Газовая: </v>
      </c>
      <c r="AH125" s="55" t="str">
        <f ca="1"/>
        <v xml:space="preserve">Газовая: </v>
      </c>
      <c r="AI125" s="55" t="str">
        <f ca="1"/>
        <v xml:space="preserve">Газовая: </v>
      </c>
      <c r="AJ125" s="55" t="str">
        <f ca="1"/>
        <v xml:space="preserve">Газовая: </v>
      </c>
      <c r="AK125" s="55" t="str">
        <f ca="1"/>
        <v xml:space="preserve">Газовая: </v>
      </c>
      <c r="AL125" s="55" t="str">
        <f ca="1"/>
        <v xml:space="preserve">Газовая: </v>
      </c>
    </row>
    <row r="126" spans="1:38" ht="21" customHeight="1" outlineLevel="1" thickBot="1" x14ac:dyDescent="0.4">
      <c r="E126" s="17" t="str">
        <f ca="1"/>
        <v>Раствор + газовая без Ar</v>
      </c>
      <c r="F126" s="55" t="str">
        <f ca="1"/>
        <v>Раствор + газовая без Ar</v>
      </c>
      <c r="G126" s="55" t="str">
        <f ca="1"/>
        <v>Раствор + газовая без Ar</v>
      </c>
      <c r="H126" s="55" t="str">
        <f ca="1"/>
        <v>Раствор + газовая без Ar</v>
      </c>
      <c r="I126" s="55" t="str">
        <f ca="1"/>
        <v>Раствор + газовая без Ar</v>
      </c>
      <c r="J126" s="55" t="str">
        <f ca="1"/>
        <v>Раствор + газовая без Ar</v>
      </c>
      <c r="K126" s="55" t="str">
        <f ca="1"/>
        <v>Раствор + газовая без Ar</v>
      </c>
      <c r="L126" s="55" t="str">
        <f ca="1"/>
        <v>Раствор + газовая без Ar</v>
      </c>
      <c r="M126" s="55" t="str">
        <f ca="1"/>
        <v>Раствор + газовая без Ar</v>
      </c>
      <c r="N126" s="55" t="str">
        <f ca="1"/>
        <v>Раствор + газовая без Ar</v>
      </c>
      <c r="O126" s="55" t="str">
        <f ca="1"/>
        <v>Раствор + газовая без Ar</v>
      </c>
      <c r="P126" s="55" t="str">
        <f ca="1"/>
        <v>Раствор + газовая без Ar</v>
      </c>
      <c r="Q126" s="55" t="str">
        <f ca="1"/>
        <v>Раствор + газовая без Ar</v>
      </c>
      <c r="R126" s="55" t="str">
        <f ca="1"/>
        <v>Раствор + газовая без Ar</v>
      </c>
      <c r="S126" s="55" t="str">
        <f ca="1"/>
        <v>Раствор + газовая без Ar</v>
      </c>
      <c r="T126" s="55" t="str">
        <f ca="1"/>
        <v>Раствор + газовая без Ar</v>
      </c>
      <c r="U126" s="55" t="str">
        <f ca="1"/>
        <v>Раствор + газовая без Ar</v>
      </c>
      <c r="V126" s="55" t="str">
        <f ca="1"/>
        <v>Раствор + газовая без Ar</v>
      </c>
      <c r="W126" s="55" t="str">
        <f ca="1"/>
        <v>Раствор + газовая без Ar</v>
      </c>
      <c r="X126" s="55" t="str">
        <f ca="1"/>
        <v>Раствор + газовая без Ar</v>
      </c>
      <c r="Y126" s="55" t="str">
        <f ca="1"/>
        <v>Раствор + газовая без Ar</v>
      </c>
      <c r="Z126" s="55" t="str">
        <f ca="1"/>
        <v>Раствор + газовая без Ar</v>
      </c>
      <c r="AA126" s="55" t="str">
        <f ca="1"/>
        <v>Раствор + газовая без Ar</v>
      </c>
      <c r="AB126" s="55" t="str">
        <f ca="1"/>
        <v>Раствор + газовая без Ar</v>
      </c>
      <c r="AC126" s="55" t="str">
        <f ca="1"/>
        <v>Раствор + газовая без Ar</v>
      </c>
      <c r="AD126" s="55" t="str">
        <f ca="1"/>
        <v>Раствор + газовая без Ar</v>
      </c>
      <c r="AE126" s="55" t="str">
        <f ca="1"/>
        <v>Раствор + газовая без Ar</v>
      </c>
      <c r="AF126" s="55" t="str">
        <f ca="1"/>
        <v>Раствор + газовая без Ar</v>
      </c>
      <c r="AG126" s="55" t="str">
        <f ca="1"/>
        <v>Раствор + газовая без Ar</v>
      </c>
      <c r="AH126" s="55" t="str">
        <f ca="1"/>
        <v>Раствор + газовая без Ar</v>
      </c>
      <c r="AI126" s="55" t="str">
        <f ca="1"/>
        <v>Раствор + газовая без Ar</v>
      </c>
      <c r="AJ126" s="55" t="str">
        <f ca="1"/>
        <v>Раствор + газовая без Ar</v>
      </c>
      <c r="AK126" s="55" t="str">
        <f ca="1"/>
        <v>Раствор + газовая без Ar</v>
      </c>
      <c r="AL126" s="55" t="str">
        <f ca="1"/>
        <v>Раствор + газовая без Ar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6" priority="49" operator="equal">
      <formula>0</formula>
    </cfRule>
  </conditionalFormatting>
  <conditionalFormatting sqref="A80:D109">
    <cfRule type="cellIs" dxfId="5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C6C071D-4003-4C5C-9A78-C18F168C0DA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SOLID!F29:AK29</xm:f>
              <xm:sqref>AL29</xm:sqref>
            </x14:sparkline>
            <x14:sparkline>
              <xm:f>SOLID!F30:AK30</xm:f>
              <xm:sqref>AL30</xm:sqref>
            </x14:sparkline>
            <x14:sparkline>
              <xm:f>SOLID!F31:AK31</xm:f>
              <xm:sqref>AL31</xm:sqref>
            </x14:sparkline>
            <x14:sparkline>
              <xm:f>SOLID!F32:AK32</xm:f>
              <xm:sqref>AL32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Q156"/>
  <sheetViews>
    <sheetView zoomScale="85" zoomScaleNormal="85" workbookViewId="0">
      <pane ySplit="1" topLeftCell="A2" activePane="bottomLeft" state="frozen"/>
      <selection pane="bottomLeft" activeCell="CW150" sqref="CW150"/>
    </sheetView>
  </sheetViews>
  <sheetFormatPr defaultRowHeight="21" outlineLevelRow="1" x14ac:dyDescent="0.35"/>
  <cols>
    <col min="1" max="1" width="13.81640625" bestFit="1" customWidth="1"/>
    <col min="2" max="5" width="4.26953125" style="38" customWidth="1"/>
    <col min="6" max="33" width="4.26953125" hidden="1" customWidth="1"/>
    <col min="34" max="34" width="4.26953125" customWidth="1"/>
    <col min="35" max="94" width="4.26953125" hidden="1" customWidth="1"/>
    <col min="95" max="95" width="3.453125" style="55" customWidth="1"/>
    <col min="96" max="16384" width="8.7265625" style="37"/>
  </cols>
  <sheetData>
    <row r="1" spans="1:94" ht="18.75" customHeight="1" thickBot="1" x14ac:dyDescent="0.4">
      <c r="A1" s="34" t="s">
        <v>17</v>
      </c>
      <c r="B1" s="39">
        <v>290</v>
      </c>
      <c r="C1" s="66">
        <v>1000</v>
      </c>
      <c r="D1" s="67" t="s">
        <v>18</v>
      </c>
      <c r="E1" s="68">
        <v>80</v>
      </c>
      <c r="F1" s="37"/>
      <c r="G1" s="37"/>
      <c r="H1" s="37"/>
      <c r="I1" s="37"/>
      <c r="J1" s="37"/>
    </row>
    <row r="2" spans="1:94" ht="23.25" customHeight="1" thickTop="1" thickBot="1" x14ac:dyDescent="0.4">
      <c r="A2" s="4" t="s">
        <v>28</v>
      </c>
      <c r="B2" s="69">
        <f>FLUID!F45</f>
        <v>273.10000000000002</v>
      </c>
      <c r="C2" s="69">
        <f>FLUID!G45</f>
        <v>339.2</v>
      </c>
      <c r="D2" s="69">
        <f>FLUID!H45</f>
        <v>405.3</v>
      </c>
      <c r="E2" s="69">
        <f>FLUID!I45</f>
        <v>471.4</v>
      </c>
      <c r="F2" s="69">
        <f>FLUID!J45</f>
        <v>537.5</v>
      </c>
      <c r="G2" s="69">
        <f>FLUID!K45</f>
        <v>603.5</v>
      </c>
      <c r="H2" s="69">
        <f>FLUID!L45</f>
        <v>669.6</v>
      </c>
      <c r="I2" s="69">
        <f>FLUID!M45</f>
        <v>735.7</v>
      </c>
      <c r="J2" s="69">
        <f>FLUID!N45</f>
        <v>801.8</v>
      </c>
      <c r="K2" s="69">
        <f>FLUID!O45</f>
        <v>867.8</v>
      </c>
      <c r="L2" s="69">
        <f>FLUID!P45</f>
        <v>933.9</v>
      </c>
      <c r="M2" s="69">
        <f>FLUID!Q45</f>
        <v>1000</v>
      </c>
      <c r="N2" s="69">
        <f>FLUID!R45</f>
        <v>0</v>
      </c>
      <c r="O2" s="69">
        <f>FLUID!S45</f>
        <v>0</v>
      </c>
      <c r="P2" s="69">
        <f>FLUID!T45</f>
        <v>0</v>
      </c>
      <c r="Q2" s="69">
        <f>FLUID!U45</f>
        <v>0</v>
      </c>
      <c r="R2" s="69">
        <f>FLUID!V45</f>
        <v>0</v>
      </c>
      <c r="S2" s="69">
        <f>FLUID!W45</f>
        <v>0</v>
      </c>
      <c r="T2" s="69">
        <f>FLUID!X45</f>
        <v>0</v>
      </c>
      <c r="U2" s="69">
        <f>FLUID!Y45</f>
        <v>0</v>
      </c>
      <c r="V2" s="69">
        <f>FLUID!Z45</f>
        <v>0</v>
      </c>
      <c r="W2" s="69">
        <f>FLUID!AA45</f>
        <v>0</v>
      </c>
      <c r="X2" s="69">
        <f>FLUID!AB45</f>
        <v>0</v>
      </c>
      <c r="Y2" s="69">
        <f>FLUID!AC45</f>
        <v>0</v>
      </c>
      <c r="Z2" s="69">
        <f>FLUID!AD45</f>
        <v>0</v>
      </c>
      <c r="AA2" s="69">
        <f>FLUID!AE45</f>
        <v>0</v>
      </c>
      <c r="AB2" s="69">
        <f>FLUID!AF45</f>
        <v>0</v>
      </c>
      <c r="AC2" s="69">
        <f>FLUID!AG45</f>
        <v>0</v>
      </c>
      <c r="AD2" s="69">
        <f>FLUID!AH45</f>
        <v>0</v>
      </c>
      <c r="AE2" s="69">
        <f>FLUID!AI45</f>
        <v>0</v>
      </c>
      <c r="AF2" s="69">
        <f>FLUID!AJ45</f>
        <v>0</v>
      </c>
      <c r="AG2" s="69">
        <f>FLUID!AK45</f>
        <v>0</v>
      </c>
      <c r="AH2" s="69">
        <f>FLUID!AL45</f>
        <v>0</v>
      </c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</row>
    <row r="3" spans="1:94" ht="22.5" hidden="1" outlineLevel="1" thickTop="1" thickBot="1" x14ac:dyDescent="0.4">
      <c r="A3" s="48" t="str">
        <f>FLUID!E46</f>
        <v>*Se[l]</v>
      </c>
      <c r="B3" s="16">
        <f ca="1">FLUID!F46</f>
        <v>-4.7</v>
      </c>
      <c r="C3" s="16">
        <f ca="1">FLUID!G46</f>
        <v>-5.0519999999999996</v>
      </c>
      <c r="D3" s="16">
        <f ca="1">FLUID!H46</f>
        <v>-5.44</v>
      </c>
      <c r="E3" s="16">
        <f ca="1">FLUID!I46</f>
        <v>-5.8230000000000004</v>
      </c>
      <c r="F3" s="14">
        <f ca="1">FLUID!J46</f>
        <v>-6.18</v>
      </c>
      <c r="G3" s="14">
        <f ca="1">FLUID!K46</f>
        <v>-6.476</v>
      </c>
      <c r="H3" s="14">
        <f ca="1">FLUID!L46</f>
        <v>-6.6790000000000003</v>
      </c>
      <c r="I3" s="14">
        <f ca="1">FLUID!M46</f>
        <v>-6.8860000000000001</v>
      </c>
      <c r="J3" s="14">
        <f ca="1">FLUID!N46</f>
        <v>-7.1260000000000003</v>
      </c>
      <c r="K3" s="14">
        <f ca="1">FLUID!O46</f>
        <v>-7.4080000000000004</v>
      </c>
      <c r="L3" s="14">
        <f ca="1">FLUID!P46</f>
        <v>-7.7750000000000004</v>
      </c>
      <c r="M3" s="14">
        <f ca="1">FLUID!Q46</f>
        <v>-8.2319999999999993</v>
      </c>
      <c r="N3" s="14">
        <f ca="1">FLUID!R46</f>
        <v>0</v>
      </c>
      <c r="O3" s="14">
        <f ca="1">FLUID!S46</f>
        <v>0</v>
      </c>
      <c r="P3" s="14">
        <f ca="1">FLUID!T46</f>
        <v>0</v>
      </c>
      <c r="Q3" s="14">
        <f ca="1">FLUID!U46</f>
        <v>0</v>
      </c>
      <c r="R3" s="14">
        <f ca="1">FLUID!V46</f>
        <v>0</v>
      </c>
      <c r="S3" s="14">
        <f ca="1">FLUID!W46</f>
        <v>0</v>
      </c>
      <c r="T3" s="14">
        <f ca="1">FLUID!X46</f>
        <v>0</v>
      </c>
      <c r="U3" s="14">
        <f ca="1">FLUID!Y46</f>
        <v>0</v>
      </c>
      <c r="V3" s="14">
        <f ca="1">FLUID!Z46</f>
        <v>0</v>
      </c>
      <c r="W3" s="14">
        <f ca="1">FLUID!AA46</f>
        <v>0</v>
      </c>
      <c r="X3" s="14">
        <f ca="1">FLUID!AB46</f>
        <v>0</v>
      </c>
      <c r="Y3" s="14">
        <f ca="1">FLUID!AC46</f>
        <v>0</v>
      </c>
      <c r="Z3" s="14">
        <f ca="1">FLUID!AD46</f>
        <v>0</v>
      </c>
      <c r="AA3" s="14">
        <f ca="1">FLUID!AE46</f>
        <v>0</v>
      </c>
      <c r="AB3" s="14">
        <f ca="1">FLUID!AF46</f>
        <v>0</v>
      </c>
      <c r="AC3" s="14">
        <f ca="1">FLUID!AG46</f>
        <v>0</v>
      </c>
      <c r="AD3" s="14">
        <f ca="1">FLUID!AH46</f>
        <v>0</v>
      </c>
      <c r="AE3" s="14">
        <f ca="1">FLUID!AI46</f>
        <v>0</v>
      </c>
      <c r="AF3" s="14">
        <f ca="1">FLUID!AJ46</f>
        <v>0</v>
      </c>
      <c r="AG3" s="14">
        <f ca="1">FLUID!AK46</f>
        <v>0</v>
      </c>
      <c r="AH3" s="14">
        <f ca="1">FLUID!AL46</f>
        <v>0</v>
      </c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</row>
    <row r="4" spans="1:94" ht="22.5" hidden="1" outlineLevel="1" thickTop="1" thickBot="1" x14ac:dyDescent="0.4">
      <c r="A4" s="36" t="str">
        <f>FLUID!E47</f>
        <v>Se3</v>
      </c>
      <c r="B4" s="16">
        <f ca="1">FLUID!F47</f>
        <v>-14.100000000000001</v>
      </c>
      <c r="C4" s="16">
        <f ca="1">FLUID!G47</f>
        <v>-15.155999999999999</v>
      </c>
      <c r="D4" s="16">
        <f ca="1">FLUID!H47</f>
        <v>-16.32</v>
      </c>
      <c r="E4" s="16">
        <f ca="1">FLUID!I47</f>
        <v>-17.469000000000001</v>
      </c>
      <c r="F4" s="14">
        <f ca="1">FLUID!J47</f>
        <v>-18.54</v>
      </c>
      <c r="G4" s="14">
        <f ca="1">FLUID!K47</f>
        <v>-19.428000000000001</v>
      </c>
      <c r="H4" s="14">
        <f ca="1">FLUID!L47</f>
        <v>-20.036999999999999</v>
      </c>
      <c r="I4" s="14">
        <f ca="1">FLUID!M47</f>
        <v>-20.658000000000001</v>
      </c>
      <c r="J4" s="14">
        <f ca="1">FLUID!N47</f>
        <v>-21.378</v>
      </c>
      <c r="K4" s="14">
        <f ca="1">FLUID!O47</f>
        <v>-22.224</v>
      </c>
      <c r="L4" s="14">
        <f ca="1">FLUID!P47</f>
        <v>-23.325000000000003</v>
      </c>
      <c r="M4" s="14">
        <f ca="1">FLUID!Q47</f>
        <v>-24.695999999999998</v>
      </c>
      <c r="N4" s="14">
        <f ca="1">FLUID!R47</f>
        <v>0</v>
      </c>
      <c r="O4" s="14">
        <f ca="1">FLUID!S47</f>
        <v>0</v>
      </c>
      <c r="P4" s="14">
        <f ca="1">FLUID!T47</f>
        <v>0</v>
      </c>
      <c r="Q4" s="14">
        <f ca="1">FLUID!U47</f>
        <v>0</v>
      </c>
      <c r="R4" s="14">
        <f ca="1">FLUID!V47</f>
        <v>0</v>
      </c>
      <c r="S4" s="14">
        <f ca="1">FLUID!W47</f>
        <v>0</v>
      </c>
      <c r="T4" s="14">
        <f ca="1">FLUID!X47</f>
        <v>0</v>
      </c>
      <c r="U4" s="14">
        <f ca="1">FLUID!Y47</f>
        <v>0</v>
      </c>
      <c r="V4" s="14">
        <f ca="1">FLUID!Z47</f>
        <v>0</v>
      </c>
      <c r="W4" s="14">
        <f ca="1">FLUID!AA47</f>
        <v>0</v>
      </c>
      <c r="X4" s="14">
        <f ca="1">FLUID!AB47</f>
        <v>0</v>
      </c>
      <c r="Y4" s="14">
        <f ca="1">FLUID!AC47</f>
        <v>0</v>
      </c>
      <c r="Z4" s="14">
        <f ca="1">FLUID!AD47</f>
        <v>0</v>
      </c>
      <c r="AA4" s="14">
        <f ca="1">FLUID!AE47</f>
        <v>0</v>
      </c>
      <c r="AB4" s="14">
        <f ca="1">FLUID!AF47</f>
        <v>0</v>
      </c>
      <c r="AC4" s="14">
        <f ca="1">FLUID!AG47</f>
        <v>0</v>
      </c>
      <c r="AD4" s="14">
        <f ca="1">FLUID!AH47</f>
        <v>0</v>
      </c>
      <c r="AE4" s="14">
        <f ca="1">FLUID!AI47</f>
        <v>0</v>
      </c>
      <c r="AF4" s="14">
        <f ca="1">FLUID!AJ47</f>
        <v>0</v>
      </c>
      <c r="AG4" s="14">
        <f ca="1">FLUID!AK47</f>
        <v>0</v>
      </c>
      <c r="AH4" s="14">
        <f ca="1">FLUID!AL47</f>
        <v>0</v>
      </c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</row>
    <row r="5" spans="1:94" ht="22.5" hidden="1" outlineLevel="1" thickTop="1" thickBot="1" x14ac:dyDescent="0.4">
      <c r="A5" s="36" t="str">
        <f>FLUID!E48</f>
        <v>Se4</v>
      </c>
      <c r="B5" s="16">
        <f ca="1">FLUID!F48</f>
        <v>-18.8</v>
      </c>
      <c r="C5" s="16">
        <f ca="1">FLUID!G48</f>
        <v>-20.207999999999998</v>
      </c>
      <c r="D5" s="16">
        <f ca="1">FLUID!H48</f>
        <v>-21.76</v>
      </c>
      <c r="E5" s="16">
        <f ca="1">FLUID!I48</f>
        <v>-23.292000000000002</v>
      </c>
      <c r="F5" s="14">
        <f ca="1">FLUID!J48</f>
        <v>-24.72</v>
      </c>
      <c r="G5" s="14">
        <f ca="1">FLUID!K48</f>
        <v>-25.904</v>
      </c>
      <c r="H5" s="14">
        <f ca="1">FLUID!L48</f>
        <v>-26.716000000000001</v>
      </c>
      <c r="I5" s="14">
        <f ca="1">FLUID!M48</f>
        <v>-27.544</v>
      </c>
      <c r="J5" s="14">
        <f ca="1">FLUID!N48</f>
        <v>-28.504000000000001</v>
      </c>
      <c r="K5" s="14">
        <f ca="1">FLUID!O48</f>
        <v>-29.632000000000001</v>
      </c>
      <c r="L5" s="14">
        <f ca="1">FLUID!P48</f>
        <v>-31.1</v>
      </c>
      <c r="M5" s="14">
        <f ca="1">FLUID!Q48</f>
        <v>-32.927999999999997</v>
      </c>
      <c r="N5" s="14">
        <f ca="1">FLUID!R48</f>
        <v>0</v>
      </c>
      <c r="O5" s="14">
        <f ca="1">FLUID!S48</f>
        <v>0</v>
      </c>
      <c r="P5" s="14">
        <f ca="1">FLUID!T48</f>
        <v>0</v>
      </c>
      <c r="Q5" s="14">
        <f ca="1">FLUID!U48</f>
        <v>0</v>
      </c>
      <c r="R5" s="14">
        <f ca="1">FLUID!V48</f>
        <v>0</v>
      </c>
      <c r="S5" s="14">
        <f ca="1">FLUID!W48</f>
        <v>0</v>
      </c>
      <c r="T5" s="14">
        <f ca="1">FLUID!X48</f>
        <v>0</v>
      </c>
      <c r="U5" s="14">
        <f ca="1">FLUID!Y48</f>
        <v>0</v>
      </c>
      <c r="V5" s="14">
        <f ca="1">FLUID!Z48</f>
        <v>0</v>
      </c>
      <c r="W5" s="14">
        <f ca="1">FLUID!AA48</f>
        <v>0</v>
      </c>
      <c r="X5" s="14">
        <f ca="1">FLUID!AB48</f>
        <v>0</v>
      </c>
      <c r="Y5" s="14">
        <f ca="1">FLUID!AC48</f>
        <v>0</v>
      </c>
      <c r="Z5" s="14">
        <f ca="1">FLUID!AD48</f>
        <v>0</v>
      </c>
      <c r="AA5" s="14">
        <f ca="1">FLUID!AE48</f>
        <v>0</v>
      </c>
      <c r="AB5" s="14">
        <f ca="1">FLUID!AF48</f>
        <v>0</v>
      </c>
      <c r="AC5" s="14">
        <f ca="1">FLUID!AG48</f>
        <v>0</v>
      </c>
      <c r="AD5" s="14">
        <f ca="1">FLUID!AH48</f>
        <v>0</v>
      </c>
      <c r="AE5" s="14">
        <f ca="1">FLUID!AI48</f>
        <v>0</v>
      </c>
      <c r="AF5" s="14">
        <f ca="1">FLUID!AJ48</f>
        <v>0</v>
      </c>
      <c r="AG5" s="14">
        <f ca="1">FLUID!AK48</f>
        <v>0</v>
      </c>
      <c r="AH5" s="14">
        <f ca="1">FLUID!AL48</f>
        <v>0</v>
      </c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</row>
    <row r="6" spans="1:94" ht="22.5" hidden="1" outlineLevel="1" thickTop="1" thickBot="1" x14ac:dyDescent="0.4">
      <c r="A6" s="36" t="str">
        <f>FLUID!E49</f>
        <v>Se5</v>
      </c>
      <c r="B6" s="16">
        <f ca="1">FLUID!F49</f>
        <v>-23.5</v>
      </c>
      <c r="C6" s="16">
        <f ca="1">FLUID!G49</f>
        <v>-25.259999999999998</v>
      </c>
      <c r="D6" s="16">
        <f ca="1">FLUID!H49</f>
        <v>-27.200000000000003</v>
      </c>
      <c r="E6" s="16">
        <f ca="1">FLUID!I49</f>
        <v>-29.115000000000002</v>
      </c>
      <c r="F6" s="14">
        <f ca="1">FLUID!J49</f>
        <v>-30.9</v>
      </c>
      <c r="G6" s="14">
        <f ca="1">FLUID!K49</f>
        <v>-32.380000000000003</v>
      </c>
      <c r="H6" s="14">
        <f ca="1">FLUID!L49</f>
        <v>-33.395000000000003</v>
      </c>
      <c r="I6" s="14">
        <f ca="1">FLUID!M49</f>
        <v>-34.43</v>
      </c>
      <c r="J6" s="14">
        <f ca="1">FLUID!N49</f>
        <v>-35.630000000000003</v>
      </c>
      <c r="K6" s="14">
        <f ca="1">FLUID!O49</f>
        <v>-37.04</v>
      </c>
      <c r="L6" s="14">
        <f ca="1">FLUID!P49</f>
        <v>-38.875</v>
      </c>
      <c r="M6" s="14">
        <f ca="1">FLUID!Q49</f>
        <v>-41.16</v>
      </c>
      <c r="N6" s="14">
        <f ca="1">FLUID!R49</f>
        <v>0</v>
      </c>
      <c r="O6" s="14">
        <f ca="1">FLUID!S49</f>
        <v>0</v>
      </c>
      <c r="P6" s="14">
        <f ca="1">FLUID!T49</f>
        <v>0</v>
      </c>
      <c r="Q6" s="14">
        <f ca="1">FLUID!U49</f>
        <v>0</v>
      </c>
      <c r="R6" s="14">
        <f ca="1">FLUID!V49</f>
        <v>0</v>
      </c>
      <c r="S6" s="14">
        <f ca="1">FLUID!W49</f>
        <v>0</v>
      </c>
      <c r="T6" s="14">
        <f ca="1">FLUID!X49</f>
        <v>0</v>
      </c>
      <c r="U6" s="14">
        <f ca="1">FLUID!Y49</f>
        <v>0</v>
      </c>
      <c r="V6" s="14">
        <f ca="1">FLUID!Z49</f>
        <v>0</v>
      </c>
      <c r="W6" s="14">
        <f ca="1">FLUID!AA49</f>
        <v>0</v>
      </c>
      <c r="X6" s="14">
        <f ca="1">FLUID!AB49</f>
        <v>0</v>
      </c>
      <c r="Y6" s="14">
        <f ca="1">FLUID!AC49</f>
        <v>0</v>
      </c>
      <c r="Z6" s="14">
        <f ca="1">FLUID!AD49</f>
        <v>0</v>
      </c>
      <c r="AA6" s="14">
        <f ca="1">FLUID!AE49</f>
        <v>0</v>
      </c>
      <c r="AB6" s="14">
        <f ca="1">FLUID!AF49</f>
        <v>0</v>
      </c>
      <c r="AC6" s="14">
        <f ca="1">FLUID!AG49</f>
        <v>0</v>
      </c>
      <c r="AD6" s="14">
        <f ca="1">FLUID!AH49</f>
        <v>0</v>
      </c>
      <c r="AE6" s="14">
        <f ca="1">FLUID!AI49</f>
        <v>0</v>
      </c>
      <c r="AF6" s="14">
        <f ca="1">FLUID!AJ49</f>
        <v>0</v>
      </c>
      <c r="AG6" s="14">
        <f ca="1">FLUID!AK49</f>
        <v>0</v>
      </c>
      <c r="AH6" s="14">
        <f ca="1">FLUID!AL49</f>
        <v>0</v>
      </c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</row>
    <row r="7" spans="1:94" ht="22.5" hidden="1" outlineLevel="1" thickTop="1" thickBot="1" x14ac:dyDescent="0.4">
      <c r="A7" s="36" t="str">
        <f>FLUID!E50</f>
        <v>Se6</v>
      </c>
      <c r="B7" s="16">
        <f ca="1">FLUID!F50</f>
        <v>-28.200000000000003</v>
      </c>
      <c r="C7" s="16">
        <f ca="1">FLUID!G50</f>
        <v>-30.311999999999998</v>
      </c>
      <c r="D7" s="16">
        <f ca="1">FLUID!H50</f>
        <v>-32.64</v>
      </c>
      <c r="E7" s="16">
        <f ca="1">FLUID!I50</f>
        <v>-34.938000000000002</v>
      </c>
      <c r="F7" s="14">
        <f ca="1">FLUID!J50</f>
        <v>-37.08</v>
      </c>
      <c r="G7" s="14">
        <f ca="1">FLUID!K50</f>
        <v>-38.856000000000002</v>
      </c>
      <c r="H7" s="14">
        <f ca="1">FLUID!L50</f>
        <v>-40.073999999999998</v>
      </c>
      <c r="I7" s="14">
        <f ca="1">FLUID!M50</f>
        <v>-41.316000000000003</v>
      </c>
      <c r="J7" s="14">
        <f ca="1">FLUID!N50</f>
        <v>-42.756</v>
      </c>
      <c r="K7" s="14">
        <f ca="1">FLUID!O50</f>
        <v>-44.448</v>
      </c>
      <c r="L7" s="14">
        <f ca="1">FLUID!P50</f>
        <v>-46.650000000000006</v>
      </c>
      <c r="M7" s="14">
        <f ca="1">FLUID!Q50</f>
        <v>-49.391999999999996</v>
      </c>
      <c r="N7" s="14">
        <f ca="1">FLUID!R50</f>
        <v>0</v>
      </c>
      <c r="O7" s="14">
        <f ca="1">FLUID!S50</f>
        <v>0</v>
      </c>
      <c r="P7" s="14">
        <f ca="1">FLUID!T50</f>
        <v>0</v>
      </c>
      <c r="Q7" s="14">
        <f ca="1">FLUID!U50</f>
        <v>0</v>
      </c>
      <c r="R7" s="14">
        <f ca="1">FLUID!V50</f>
        <v>0</v>
      </c>
      <c r="S7" s="14">
        <f ca="1">FLUID!W50</f>
        <v>0</v>
      </c>
      <c r="T7" s="14">
        <f ca="1">FLUID!X50</f>
        <v>0</v>
      </c>
      <c r="U7" s="14">
        <f ca="1">FLUID!Y50</f>
        <v>0</v>
      </c>
      <c r="V7" s="14">
        <f ca="1">FLUID!Z50</f>
        <v>0</v>
      </c>
      <c r="W7" s="14">
        <f ca="1">FLUID!AA50</f>
        <v>0</v>
      </c>
      <c r="X7" s="14">
        <f ca="1">FLUID!AB50</f>
        <v>0</v>
      </c>
      <c r="Y7" s="14">
        <f ca="1">FLUID!AC50</f>
        <v>0</v>
      </c>
      <c r="Z7" s="14">
        <f ca="1">FLUID!AD50</f>
        <v>0</v>
      </c>
      <c r="AA7" s="14">
        <f ca="1">FLUID!AE50</f>
        <v>0</v>
      </c>
      <c r="AB7" s="14">
        <f ca="1">FLUID!AF50</f>
        <v>0</v>
      </c>
      <c r="AC7" s="14">
        <f ca="1">FLUID!AG50</f>
        <v>0</v>
      </c>
      <c r="AD7" s="14">
        <f ca="1">FLUID!AH50</f>
        <v>0</v>
      </c>
      <c r="AE7" s="14">
        <f ca="1">FLUID!AI50</f>
        <v>0</v>
      </c>
      <c r="AF7" s="14">
        <f ca="1">FLUID!AJ50</f>
        <v>0</v>
      </c>
      <c r="AG7" s="14">
        <f ca="1">FLUID!AK50</f>
        <v>0</v>
      </c>
      <c r="AH7" s="14">
        <f ca="1">FLUID!AL50</f>
        <v>0</v>
      </c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</row>
    <row r="8" spans="1:94" ht="22.5" hidden="1" outlineLevel="1" thickTop="1" thickBot="1" x14ac:dyDescent="0.4">
      <c r="A8" s="36" t="str">
        <f>FLUID!E51</f>
        <v>Se7</v>
      </c>
      <c r="B8" s="16">
        <f ca="1">FLUID!F51</f>
        <v>-32.9</v>
      </c>
      <c r="C8" s="16">
        <f ca="1">FLUID!G51</f>
        <v>-35.363999999999997</v>
      </c>
      <c r="D8" s="16">
        <f ca="1">FLUID!H51</f>
        <v>-38.080000000000005</v>
      </c>
      <c r="E8" s="16">
        <f ca="1">FLUID!I51</f>
        <v>-40.761000000000003</v>
      </c>
      <c r="F8" s="14">
        <f ca="1">FLUID!J51</f>
        <v>-43.26</v>
      </c>
      <c r="G8" s="14">
        <f ca="1">FLUID!K51</f>
        <v>-45.332000000000001</v>
      </c>
      <c r="H8" s="14">
        <f ca="1">FLUID!L51</f>
        <v>-46.753</v>
      </c>
      <c r="I8" s="14">
        <f ca="1">FLUID!M51</f>
        <v>-48.201999999999998</v>
      </c>
      <c r="J8" s="14">
        <f ca="1">FLUID!N51</f>
        <v>-49.882000000000005</v>
      </c>
      <c r="K8" s="14">
        <f ca="1">FLUID!O51</f>
        <v>-51.856000000000002</v>
      </c>
      <c r="L8" s="14">
        <f ca="1">FLUID!P51</f>
        <v>-54.425000000000004</v>
      </c>
      <c r="M8" s="14">
        <f ca="1">FLUID!Q51</f>
        <v>-57.623999999999995</v>
      </c>
      <c r="N8" s="14">
        <f ca="1">FLUID!R51</f>
        <v>0</v>
      </c>
      <c r="O8" s="14">
        <f ca="1">FLUID!S51</f>
        <v>0</v>
      </c>
      <c r="P8" s="14">
        <f ca="1">FLUID!T51</f>
        <v>0</v>
      </c>
      <c r="Q8" s="14">
        <f ca="1">FLUID!U51</f>
        <v>0</v>
      </c>
      <c r="R8" s="14">
        <f ca="1">FLUID!V51</f>
        <v>0</v>
      </c>
      <c r="S8" s="14">
        <f ca="1">FLUID!W51</f>
        <v>0</v>
      </c>
      <c r="T8" s="14">
        <f ca="1">FLUID!X51</f>
        <v>0</v>
      </c>
      <c r="U8" s="14">
        <f ca="1">FLUID!Y51</f>
        <v>0</v>
      </c>
      <c r="V8" s="14">
        <f ca="1">FLUID!Z51</f>
        <v>0</v>
      </c>
      <c r="W8" s="14">
        <f ca="1">FLUID!AA51</f>
        <v>0</v>
      </c>
      <c r="X8" s="14">
        <f ca="1">FLUID!AB51</f>
        <v>0</v>
      </c>
      <c r="Y8" s="14">
        <f ca="1">FLUID!AC51</f>
        <v>0</v>
      </c>
      <c r="Z8" s="14">
        <f ca="1">FLUID!AD51</f>
        <v>0</v>
      </c>
      <c r="AA8" s="14">
        <f ca="1">FLUID!AE51</f>
        <v>0</v>
      </c>
      <c r="AB8" s="14">
        <f ca="1">FLUID!AF51</f>
        <v>0</v>
      </c>
      <c r="AC8" s="14">
        <f ca="1">FLUID!AG51</f>
        <v>0</v>
      </c>
      <c r="AD8" s="14">
        <f ca="1">FLUID!AH51</f>
        <v>0</v>
      </c>
      <c r="AE8" s="14">
        <f ca="1">FLUID!AI51</f>
        <v>0</v>
      </c>
      <c r="AF8" s="14">
        <f ca="1">FLUID!AJ51</f>
        <v>0</v>
      </c>
      <c r="AG8" s="14">
        <f ca="1">FLUID!AK51</f>
        <v>0</v>
      </c>
      <c r="AH8" s="14">
        <f ca="1">FLUID!AL51</f>
        <v>0</v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</row>
    <row r="9" spans="1:94" ht="22.5" hidden="1" outlineLevel="1" thickTop="1" thickBot="1" x14ac:dyDescent="0.4">
      <c r="A9" s="36" t="str">
        <f>FLUID!E52</f>
        <v>Se8</v>
      </c>
      <c r="B9" s="16">
        <f ca="1">FLUID!F52</f>
        <v>-37.6</v>
      </c>
      <c r="C9" s="16">
        <f ca="1">FLUID!G52</f>
        <v>-40.415999999999997</v>
      </c>
      <c r="D9" s="16">
        <f ca="1">FLUID!H52</f>
        <v>-43.52</v>
      </c>
      <c r="E9" s="16">
        <f ca="1">FLUID!I52</f>
        <v>-46.584000000000003</v>
      </c>
      <c r="F9" s="14">
        <f ca="1">FLUID!J52</f>
        <v>-49.44</v>
      </c>
      <c r="G9" s="14">
        <f ca="1">FLUID!K52</f>
        <v>-51.808</v>
      </c>
      <c r="H9" s="14">
        <f ca="1">FLUID!L52</f>
        <v>-53.432000000000002</v>
      </c>
      <c r="I9" s="14">
        <f ca="1">FLUID!M52</f>
        <v>-55.088000000000001</v>
      </c>
      <c r="J9" s="14">
        <f ca="1">FLUID!N52</f>
        <v>-57.008000000000003</v>
      </c>
      <c r="K9" s="14">
        <f ca="1">FLUID!O52</f>
        <v>-59.264000000000003</v>
      </c>
      <c r="L9" s="14">
        <f ca="1">FLUID!P52</f>
        <v>-62.2</v>
      </c>
      <c r="M9" s="14">
        <f ca="1">FLUID!Q52</f>
        <v>-65.855999999999995</v>
      </c>
      <c r="N9" s="14">
        <f ca="1">FLUID!R52</f>
        <v>0</v>
      </c>
      <c r="O9" s="14">
        <f ca="1">FLUID!S52</f>
        <v>0</v>
      </c>
      <c r="P9" s="14">
        <f ca="1">FLUID!T52</f>
        <v>0</v>
      </c>
      <c r="Q9" s="14">
        <f ca="1">FLUID!U52</f>
        <v>0</v>
      </c>
      <c r="R9" s="14">
        <f ca="1">FLUID!V52</f>
        <v>0</v>
      </c>
      <c r="S9" s="14">
        <f ca="1">FLUID!W52</f>
        <v>0</v>
      </c>
      <c r="T9" s="14">
        <f ca="1">FLUID!X52</f>
        <v>0</v>
      </c>
      <c r="U9" s="14">
        <f ca="1">FLUID!Y52</f>
        <v>0</v>
      </c>
      <c r="V9" s="14">
        <f ca="1">FLUID!Z52</f>
        <v>0</v>
      </c>
      <c r="W9" s="14">
        <f ca="1">FLUID!AA52</f>
        <v>0</v>
      </c>
      <c r="X9" s="14">
        <f ca="1">FLUID!AB52</f>
        <v>0</v>
      </c>
      <c r="Y9" s="14">
        <f ca="1">FLUID!AC52</f>
        <v>0</v>
      </c>
      <c r="Z9" s="14">
        <f ca="1">FLUID!AD52</f>
        <v>0</v>
      </c>
      <c r="AA9" s="14">
        <f ca="1">FLUID!AE52</f>
        <v>0</v>
      </c>
      <c r="AB9" s="14">
        <f ca="1">FLUID!AF52</f>
        <v>0</v>
      </c>
      <c r="AC9" s="14">
        <f ca="1">FLUID!AG52</f>
        <v>0</v>
      </c>
      <c r="AD9" s="14">
        <f ca="1">FLUID!AH52</f>
        <v>0</v>
      </c>
      <c r="AE9" s="14">
        <f ca="1">FLUID!AI52</f>
        <v>0</v>
      </c>
      <c r="AF9" s="14">
        <f ca="1">FLUID!AJ52</f>
        <v>0</v>
      </c>
      <c r="AG9" s="14">
        <f ca="1">FLUID!AK52</f>
        <v>0</v>
      </c>
      <c r="AH9" s="14">
        <f ca="1">FLUID!AL52</f>
        <v>0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</row>
    <row r="10" spans="1:94" ht="22.5" hidden="1" outlineLevel="1" thickTop="1" thickBot="1" x14ac:dyDescent="0.4">
      <c r="A10" s="36" t="str">
        <f>FLUID!E53</f>
        <v>Se2</v>
      </c>
      <c r="B10" s="16">
        <f ca="1">FLUID!F53</f>
        <v>-9.4</v>
      </c>
      <c r="C10" s="16">
        <f ca="1">FLUID!G53</f>
        <v>-10.103999999999999</v>
      </c>
      <c r="D10" s="16">
        <f ca="1">FLUID!H53</f>
        <v>-10.88</v>
      </c>
      <c r="E10" s="16">
        <f ca="1">FLUID!I53</f>
        <v>-11.646000000000001</v>
      </c>
      <c r="F10" s="14">
        <f ca="1">FLUID!J53</f>
        <v>-12.36</v>
      </c>
      <c r="G10" s="14">
        <f ca="1">FLUID!K53</f>
        <v>-12.952</v>
      </c>
      <c r="H10" s="14">
        <f ca="1">FLUID!L53</f>
        <v>-13.358000000000001</v>
      </c>
      <c r="I10" s="14">
        <f ca="1">FLUID!M53</f>
        <v>-13.772</v>
      </c>
      <c r="J10" s="14">
        <f ca="1">FLUID!N53</f>
        <v>-14.252000000000001</v>
      </c>
      <c r="K10" s="14">
        <f ca="1">FLUID!O53</f>
        <v>-14.816000000000001</v>
      </c>
      <c r="L10" s="14">
        <f ca="1">FLUID!P53</f>
        <v>-15.55</v>
      </c>
      <c r="M10" s="14">
        <f ca="1">FLUID!Q53</f>
        <v>-16.463999999999999</v>
      </c>
      <c r="N10" s="14">
        <f ca="1">FLUID!R53</f>
        <v>0</v>
      </c>
      <c r="O10" s="14">
        <f ca="1">FLUID!S53</f>
        <v>0</v>
      </c>
      <c r="P10" s="14">
        <f ca="1">FLUID!T53</f>
        <v>0</v>
      </c>
      <c r="Q10" s="14">
        <f ca="1">FLUID!U53</f>
        <v>0</v>
      </c>
      <c r="R10" s="14">
        <f ca="1">FLUID!V53</f>
        <v>0</v>
      </c>
      <c r="S10" s="14">
        <f ca="1">FLUID!W53</f>
        <v>0</v>
      </c>
      <c r="T10" s="14">
        <f ca="1">FLUID!X53</f>
        <v>0</v>
      </c>
      <c r="U10" s="14">
        <f ca="1">FLUID!Y53</f>
        <v>0</v>
      </c>
      <c r="V10" s="14">
        <f ca="1">FLUID!Z53</f>
        <v>0</v>
      </c>
      <c r="W10" s="14">
        <f ca="1">FLUID!AA53</f>
        <v>0</v>
      </c>
      <c r="X10" s="14">
        <f ca="1">FLUID!AB53</f>
        <v>0</v>
      </c>
      <c r="Y10" s="14">
        <f ca="1">FLUID!AC53</f>
        <v>0</v>
      </c>
      <c r="Z10" s="14">
        <f ca="1">FLUID!AD53</f>
        <v>0</v>
      </c>
      <c r="AA10" s="14">
        <f ca="1">FLUID!AE53</f>
        <v>0</v>
      </c>
      <c r="AB10" s="14">
        <f ca="1">FLUID!AF53</f>
        <v>0</v>
      </c>
      <c r="AC10" s="14">
        <f ca="1">FLUID!AG53</f>
        <v>0</v>
      </c>
      <c r="AD10" s="14">
        <f ca="1">FLUID!AH53</f>
        <v>0</v>
      </c>
      <c r="AE10" s="14">
        <f ca="1">FLUID!AI53</f>
        <v>0</v>
      </c>
      <c r="AF10" s="14">
        <f ca="1">FLUID!AJ53</f>
        <v>0</v>
      </c>
      <c r="AG10" s="14">
        <f ca="1">FLUID!AK53</f>
        <v>0</v>
      </c>
      <c r="AH10" s="14">
        <f ca="1">FLUID!AL53</f>
        <v>0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</row>
    <row r="11" spans="1:94" ht="22.5" hidden="1" outlineLevel="1" thickTop="1" thickBot="1" x14ac:dyDescent="0.4">
      <c r="A11" s="36" t="str">
        <f>FLUID!E54</f>
        <v>Se</v>
      </c>
      <c r="B11" s="16">
        <f ca="1">FLUID!F54</f>
        <v>-4.7</v>
      </c>
      <c r="C11" s="16">
        <f ca="1">FLUID!G54</f>
        <v>-5.0519999999999996</v>
      </c>
      <c r="D11" s="16">
        <f ca="1">FLUID!H54</f>
        <v>-5.44</v>
      </c>
      <c r="E11" s="16">
        <f ca="1">FLUID!I54</f>
        <v>-5.8230000000000004</v>
      </c>
      <c r="F11" s="14">
        <f ca="1">FLUID!J54</f>
        <v>-6.18</v>
      </c>
      <c r="G11" s="14">
        <f ca="1">FLUID!K54</f>
        <v>-6.476</v>
      </c>
      <c r="H11" s="14">
        <f ca="1">FLUID!L54</f>
        <v>-6.6790000000000003</v>
      </c>
      <c r="I11" s="14">
        <f ca="1">FLUID!M54</f>
        <v>-6.8860000000000001</v>
      </c>
      <c r="J11" s="14">
        <f ca="1">FLUID!N54</f>
        <v>-7.1260000000000003</v>
      </c>
      <c r="K11" s="14">
        <f ca="1">FLUID!O54</f>
        <v>-7.4080000000000004</v>
      </c>
      <c r="L11" s="14">
        <f ca="1">FLUID!P54</f>
        <v>-7.7750000000000004</v>
      </c>
      <c r="M11" s="14">
        <f ca="1">FLUID!Q54</f>
        <v>-8.2319999999999993</v>
      </c>
      <c r="N11" s="14">
        <f ca="1">FLUID!R54</f>
        <v>0</v>
      </c>
      <c r="O11" s="14">
        <f ca="1">FLUID!S54</f>
        <v>0</v>
      </c>
      <c r="P11" s="14">
        <f ca="1">FLUID!T54</f>
        <v>0</v>
      </c>
      <c r="Q11" s="14">
        <f ca="1">FLUID!U54</f>
        <v>0</v>
      </c>
      <c r="R11" s="14">
        <f ca="1">FLUID!V54</f>
        <v>0</v>
      </c>
      <c r="S11" s="14">
        <f ca="1">FLUID!W54</f>
        <v>0</v>
      </c>
      <c r="T11" s="14">
        <f ca="1">FLUID!X54</f>
        <v>0</v>
      </c>
      <c r="U11" s="14">
        <f ca="1">FLUID!Y54</f>
        <v>0</v>
      </c>
      <c r="V11" s="14">
        <f ca="1">FLUID!Z54</f>
        <v>0</v>
      </c>
      <c r="W11" s="14">
        <f ca="1">FLUID!AA54</f>
        <v>0</v>
      </c>
      <c r="X11" s="14">
        <f ca="1">FLUID!AB54</f>
        <v>0</v>
      </c>
      <c r="Y11" s="14">
        <f ca="1">FLUID!AC54</f>
        <v>0</v>
      </c>
      <c r="Z11" s="14">
        <f ca="1">FLUID!AD54</f>
        <v>0</v>
      </c>
      <c r="AA11" s="14">
        <f ca="1">FLUID!AE54</f>
        <v>0</v>
      </c>
      <c r="AB11" s="14">
        <f ca="1">FLUID!AF54</f>
        <v>0</v>
      </c>
      <c r="AC11" s="14">
        <f ca="1">FLUID!AG54</f>
        <v>0</v>
      </c>
      <c r="AD11" s="14">
        <f ca="1">FLUID!AH54</f>
        <v>0</v>
      </c>
      <c r="AE11" s="14">
        <f ca="1">FLUID!AI54</f>
        <v>0</v>
      </c>
      <c r="AF11" s="14">
        <f ca="1">FLUID!AJ54</f>
        <v>0</v>
      </c>
      <c r="AG11" s="14">
        <f ca="1">FLUID!AK54</f>
        <v>0</v>
      </c>
      <c r="AH11" s="14">
        <f ca="1">FLUID!AL54</f>
        <v>0</v>
      </c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</row>
    <row r="12" spans="1:94" ht="22.5" hidden="1" outlineLevel="1" thickTop="1" thickBot="1" x14ac:dyDescent="0.4">
      <c r="A12" s="36" t="str">
        <f>FLUID!E55</f>
        <v>Ga2Se</v>
      </c>
      <c r="B12" s="16">
        <f ca="1">FLUID!F55</f>
        <v>-16.134</v>
      </c>
      <c r="C12" s="16">
        <f ca="1">FLUID!G55</f>
        <v>-17.47</v>
      </c>
      <c r="D12" s="16">
        <f ca="1">FLUID!H55</f>
        <v>-18.738</v>
      </c>
      <c r="E12" s="16">
        <f ca="1">FLUID!I55</f>
        <v>-19.908999999999999</v>
      </c>
      <c r="F12" s="14">
        <f ca="1">FLUID!J55</f>
        <v>-21.006</v>
      </c>
      <c r="G12" s="14">
        <f ca="1">FLUID!K55</f>
        <v>-22.146000000000001</v>
      </c>
      <c r="H12" s="14">
        <f ca="1">FLUID!L55</f>
        <v>-23.645000000000003</v>
      </c>
      <c r="I12" s="14">
        <f ca="1">FLUID!M55</f>
        <v>-25.353999999999999</v>
      </c>
      <c r="J12" s="14">
        <f ca="1">FLUID!N55</f>
        <v>-26.958000000000002</v>
      </c>
      <c r="K12" s="14">
        <f ca="1">FLUID!O55</f>
        <v>-28.428000000000001</v>
      </c>
      <c r="L12" s="14">
        <f ca="1">FLUID!P55</f>
        <v>-29.795000000000002</v>
      </c>
      <c r="M12" s="14">
        <f ca="1">FLUID!Q55</f>
        <v>-31.012</v>
      </c>
      <c r="N12" s="14">
        <f ca="1">FLUID!R55</f>
        <v>0</v>
      </c>
      <c r="O12" s="14">
        <f ca="1">FLUID!S55</f>
        <v>0</v>
      </c>
      <c r="P12" s="14">
        <f ca="1">FLUID!T55</f>
        <v>0</v>
      </c>
      <c r="Q12" s="14">
        <f ca="1">FLUID!U55</f>
        <v>0</v>
      </c>
      <c r="R12" s="14">
        <f ca="1">FLUID!V55</f>
        <v>0</v>
      </c>
      <c r="S12" s="14">
        <f ca="1">FLUID!W55</f>
        <v>0</v>
      </c>
      <c r="T12" s="14">
        <f ca="1">FLUID!X55</f>
        <v>0</v>
      </c>
      <c r="U12" s="14">
        <f ca="1">FLUID!Y55</f>
        <v>0</v>
      </c>
      <c r="V12" s="14">
        <f ca="1">FLUID!Z55</f>
        <v>0</v>
      </c>
      <c r="W12" s="14">
        <f ca="1">FLUID!AA55</f>
        <v>0</v>
      </c>
      <c r="X12" s="14">
        <f ca="1">FLUID!AB55</f>
        <v>0</v>
      </c>
      <c r="Y12" s="14">
        <f ca="1">FLUID!AC55</f>
        <v>0</v>
      </c>
      <c r="Z12" s="14">
        <f ca="1">FLUID!AD55</f>
        <v>0</v>
      </c>
      <c r="AA12" s="14">
        <f ca="1">FLUID!AE55</f>
        <v>0</v>
      </c>
      <c r="AB12" s="14">
        <f ca="1">FLUID!AF55</f>
        <v>0</v>
      </c>
      <c r="AC12" s="14">
        <f ca="1">FLUID!AG55</f>
        <v>0</v>
      </c>
      <c r="AD12" s="14">
        <f ca="1">FLUID!AH55</f>
        <v>0</v>
      </c>
      <c r="AE12" s="14">
        <f ca="1">FLUID!AI55</f>
        <v>0</v>
      </c>
      <c r="AF12" s="14">
        <f ca="1">FLUID!AJ55</f>
        <v>0</v>
      </c>
      <c r="AG12" s="14">
        <f ca="1">FLUID!AK55</f>
        <v>0</v>
      </c>
      <c r="AH12" s="14">
        <f ca="1">FLUID!AL55</f>
        <v>0</v>
      </c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</row>
    <row r="13" spans="1:94" ht="22.5" hidden="1" outlineLevel="1" thickTop="1" thickBot="1" x14ac:dyDescent="0.4">
      <c r="A13" s="36" t="str">
        <f>FLUID!E56</f>
        <v>Ar</v>
      </c>
      <c r="B13" s="16">
        <f ca="1">FLUID!F56</f>
        <v>-18.62</v>
      </c>
      <c r="C13" s="16">
        <f ca="1">FLUID!G56</f>
        <v>-18.63</v>
      </c>
      <c r="D13" s="16">
        <f ca="1">FLUID!H56</f>
        <v>-18.72</v>
      </c>
      <c r="E13" s="16">
        <f ca="1">FLUID!I56</f>
        <v>-18.84</v>
      </c>
      <c r="F13" s="14">
        <f ca="1">FLUID!J56</f>
        <v>-19</v>
      </c>
      <c r="G13" s="14">
        <f ca="1">FLUID!K56</f>
        <v>-19.25</v>
      </c>
      <c r="H13" s="14">
        <f ca="1">FLUID!L56</f>
        <v>-19.579999999999998</v>
      </c>
      <c r="I13" s="14">
        <f ca="1">FLUID!M56</f>
        <v>-19.82</v>
      </c>
      <c r="J13" s="14">
        <f ca="1">FLUID!N56</f>
        <v>-20.03</v>
      </c>
      <c r="K13" s="14">
        <f ca="1">FLUID!O56</f>
        <v>-20.25</v>
      </c>
      <c r="L13" s="14">
        <f ca="1">FLUID!P56</f>
        <v>-20.49</v>
      </c>
      <c r="M13" s="14">
        <f ca="1">FLUID!Q56</f>
        <v>-20.7</v>
      </c>
      <c r="N13" s="14">
        <f ca="1">FLUID!R56</f>
        <v>0</v>
      </c>
      <c r="O13" s="14">
        <f ca="1">FLUID!S56</f>
        <v>0</v>
      </c>
      <c r="P13" s="14">
        <f ca="1">FLUID!T56</f>
        <v>0</v>
      </c>
      <c r="Q13" s="14">
        <f ca="1">FLUID!U56</f>
        <v>0</v>
      </c>
      <c r="R13" s="14">
        <f ca="1">FLUID!V56</f>
        <v>0</v>
      </c>
      <c r="S13" s="14">
        <f ca="1">FLUID!W56</f>
        <v>0</v>
      </c>
      <c r="T13" s="14">
        <f ca="1">FLUID!X56</f>
        <v>0</v>
      </c>
      <c r="U13" s="14">
        <f ca="1">FLUID!Y56</f>
        <v>0</v>
      </c>
      <c r="V13" s="14">
        <f ca="1">FLUID!Z56</f>
        <v>0</v>
      </c>
      <c r="W13" s="14">
        <f ca="1">FLUID!AA56</f>
        <v>0</v>
      </c>
      <c r="X13" s="14">
        <f ca="1">FLUID!AB56</f>
        <v>0</v>
      </c>
      <c r="Y13" s="14">
        <f ca="1">FLUID!AC56</f>
        <v>0</v>
      </c>
      <c r="Z13" s="14">
        <f ca="1">FLUID!AD56</f>
        <v>0</v>
      </c>
      <c r="AA13" s="14">
        <f ca="1">FLUID!AE56</f>
        <v>0</v>
      </c>
      <c r="AB13" s="14">
        <f ca="1">FLUID!AF56</f>
        <v>0</v>
      </c>
      <c r="AC13" s="14">
        <f ca="1">FLUID!AG56</f>
        <v>0</v>
      </c>
      <c r="AD13" s="14">
        <f ca="1">FLUID!AH56</f>
        <v>0</v>
      </c>
      <c r="AE13" s="14">
        <f ca="1">FLUID!AI56</f>
        <v>0</v>
      </c>
      <c r="AF13" s="14">
        <f ca="1">FLUID!AJ56</f>
        <v>0</v>
      </c>
      <c r="AG13" s="14">
        <f ca="1">FLUID!AK56</f>
        <v>0</v>
      </c>
      <c r="AH13" s="14">
        <f ca="1">FLUID!AL56</f>
        <v>0</v>
      </c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</row>
    <row r="14" spans="1:94" ht="22.5" hidden="1" outlineLevel="1" thickTop="1" thickBot="1" x14ac:dyDescent="0.4">
      <c r="A14" s="36" t="str">
        <f>FLUID!E57</f>
        <v>(l)Ga[l]</v>
      </c>
      <c r="B14" s="16">
        <f ca="1">FLUID!F57</f>
        <v>-5.7169999999999996</v>
      </c>
      <c r="C14" s="16">
        <f ca="1">FLUID!G57</f>
        <v>-6.2089999999999996</v>
      </c>
      <c r="D14" s="16">
        <f ca="1">FLUID!H57</f>
        <v>-6.649</v>
      </c>
      <c r="E14" s="16">
        <f ca="1">FLUID!I57</f>
        <v>-7.0430000000000001</v>
      </c>
      <c r="F14" s="14">
        <f ca="1">FLUID!J57</f>
        <v>-7.4130000000000003</v>
      </c>
      <c r="G14" s="14">
        <f ca="1">FLUID!K57</f>
        <v>-7.835</v>
      </c>
      <c r="H14" s="14">
        <f ca="1">FLUID!L57</f>
        <v>-8.4830000000000005</v>
      </c>
      <c r="I14" s="14">
        <f ca="1">FLUID!M57</f>
        <v>-9.234</v>
      </c>
      <c r="J14" s="14">
        <f ca="1">FLUID!N57</f>
        <v>-9.9160000000000004</v>
      </c>
      <c r="K14" s="14">
        <f ca="1">FLUID!O57</f>
        <v>-10.51</v>
      </c>
      <c r="L14" s="14">
        <f ca="1">FLUID!P57</f>
        <v>-11.01</v>
      </c>
      <c r="M14" s="14">
        <f ca="1">FLUID!Q57</f>
        <v>-11.39</v>
      </c>
      <c r="N14" s="14">
        <f ca="1">FLUID!R57</f>
        <v>0</v>
      </c>
      <c r="O14" s="14">
        <f ca="1">FLUID!S57</f>
        <v>0</v>
      </c>
      <c r="P14" s="14">
        <f ca="1">FLUID!T57</f>
        <v>0</v>
      </c>
      <c r="Q14" s="14">
        <f ca="1">FLUID!U57</f>
        <v>0</v>
      </c>
      <c r="R14" s="14">
        <f ca="1">FLUID!V57</f>
        <v>0</v>
      </c>
      <c r="S14" s="14">
        <f ca="1">FLUID!W57</f>
        <v>0</v>
      </c>
      <c r="T14" s="14">
        <f ca="1">FLUID!X57</f>
        <v>0</v>
      </c>
      <c r="U14" s="14">
        <f ca="1">FLUID!Y57</f>
        <v>0</v>
      </c>
      <c r="V14" s="14">
        <f ca="1">FLUID!Z57</f>
        <v>0</v>
      </c>
      <c r="W14" s="14">
        <f ca="1">FLUID!AA57</f>
        <v>0</v>
      </c>
      <c r="X14" s="14">
        <f ca="1">FLUID!AB57</f>
        <v>0</v>
      </c>
      <c r="Y14" s="14">
        <f ca="1">FLUID!AC57</f>
        <v>0</v>
      </c>
      <c r="Z14" s="14">
        <f ca="1">FLUID!AD57</f>
        <v>0</v>
      </c>
      <c r="AA14" s="14">
        <f ca="1">FLUID!AE57</f>
        <v>0</v>
      </c>
      <c r="AB14" s="14">
        <f ca="1">FLUID!AF57</f>
        <v>0</v>
      </c>
      <c r="AC14" s="14">
        <f ca="1">FLUID!AG57</f>
        <v>0</v>
      </c>
      <c r="AD14" s="14">
        <f ca="1">FLUID!AH57</f>
        <v>0</v>
      </c>
      <c r="AE14" s="14">
        <f ca="1">FLUID!AI57</f>
        <v>0</v>
      </c>
      <c r="AF14" s="14">
        <f ca="1">FLUID!AJ57</f>
        <v>0</v>
      </c>
      <c r="AG14" s="14">
        <f ca="1">FLUID!AK57</f>
        <v>0</v>
      </c>
      <c r="AH14" s="14">
        <f ca="1">FLUID!AL57</f>
        <v>0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</row>
    <row r="15" spans="1:94" ht="22.5" hidden="1" outlineLevel="1" thickTop="1" thickBot="1" x14ac:dyDescent="0.4">
      <c r="A15" s="36" t="str">
        <f>FLUID!E58</f>
        <v>(l)Ge[lJ</v>
      </c>
      <c r="B15" s="16">
        <f ca="1">FLUID!F58</f>
        <v>5.5659999999999998</v>
      </c>
      <c r="C15" s="16">
        <f ca="1">FLUID!G58</f>
        <v>2.508</v>
      </c>
      <c r="D15" s="16">
        <f ca="1">FLUID!H58</f>
        <v>0.3417</v>
      </c>
      <c r="E15" s="16">
        <f ca="1">FLUID!I58</f>
        <v>-1.292</v>
      </c>
      <c r="F15" s="14">
        <f ca="1">FLUID!J58</f>
        <v>-2.5640000000000001</v>
      </c>
      <c r="G15" s="14">
        <f ca="1">FLUID!K58</f>
        <v>-3.5169999999999999</v>
      </c>
      <c r="H15" s="14">
        <f ca="1">FLUID!L58</f>
        <v>-4.1639999999999997</v>
      </c>
      <c r="I15" s="14">
        <f ca="1">FLUID!M58</f>
        <v>-4.726</v>
      </c>
      <c r="J15" s="14">
        <f ca="1">FLUID!N58</f>
        <v>-5.1970000000000001</v>
      </c>
      <c r="K15" s="14">
        <f ca="1">FLUID!O58</f>
        <v>-5.4269999999999996</v>
      </c>
      <c r="L15" s="14">
        <f ca="1">FLUID!P58</f>
        <v>-5.3949999999999996</v>
      </c>
      <c r="M15" s="14">
        <f ca="1">FLUID!Q58</f>
        <v>-5.3879999999999999</v>
      </c>
      <c r="N15" s="14">
        <f ca="1">FLUID!R58</f>
        <v>0</v>
      </c>
      <c r="O15" s="14">
        <f ca="1">FLUID!S58</f>
        <v>0</v>
      </c>
      <c r="P15" s="14">
        <f ca="1">FLUID!T58</f>
        <v>0</v>
      </c>
      <c r="Q15" s="14">
        <f ca="1">FLUID!U58</f>
        <v>0</v>
      </c>
      <c r="R15" s="14">
        <f ca="1">FLUID!V58</f>
        <v>0</v>
      </c>
      <c r="S15" s="14">
        <f ca="1">FLUID!W58</f>
        <v>0</v>
      </c>
      <c r="T15" s="14">
        <f ca="1">FLUID!X58</f>
        <v>0</v>
      </c>
      <c r="U15" s="14">
        <f ca="1">FLUID!Y58</f>
        <v>0</v>
      </c>
      <c r="V15" s="14">
        <f ca="1">FLUID!Z58</f>
        <v>0</v>
      </c>
      <c r="W15" s="14">
        <f ca="1">FLUID!AA58</f>
        <v>0</v>
      </c>
      <c r="X15" s="14">
        <f ca="1">FLUID!AB58</f>
        <v>0</v>
      </c>
      <c r="Y15" s="14">
        <f ca="1">FLUID!AC58</f>
        <v>0</v>
      </c>
      <c r="Z15" s="14">
        <f ca="1">FLUID!AD58</f>
        <v>0</v>
      </c>
      <c r="AA15" s="14">
        <f ca="1">FLUID!AE58</f>
        <v>0</v>
      </c>
      <c r="AB15" s="14">
        <f ca="1">FLUID!AF58</f>
        <v>0</v>
      </c>
      <c r="AC15" s="14">
        <f ca="1">FLUID!AG58</f>
        <v>0</v>
      </c>
      <c r="AD15" s="14">
        <f ca="1">FLUID!AH58</f>
        <v>0</v>
      </c>
      <c r="AE15" s="14">
        <f ca="1">FLUID!AI58</f>
        <v>0</v>
      </c>
      <c r="AF15" s="14">
        <f ca="1">FLUID!AJ58</f>
        <v>0</v>
      </c>
      <c r="AG15" s="14">
        <f ca="1">FLUID!AK58</f>
        <v>0</v>
      </c>
      <c r="AH15" s="14">
        <f ca="1">FLUID!AL58</f>
        <v>0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</row>
    <row r="16" spans="1:94" ht="22.5" hidden="1" outlineLevel="1" thickTop="1" thickBot="1" x14ac:dyDescent="0.4">
      <c r="A16" s="36" t="str">
        <f>FLUID!E59</f>
        <v>(l)SeCl]</v>
      </c>
      <c r="B16" s="16">
        <f ca="1">FLUID!F59</f>
        <v>-4.7</v>
      </c>
      <c r="C16" s="16">
        <f ca="1">FLUID!G59</f>
        <v>-5.0519999999999996</v>
      </c>
      <c r="D16" s="16">
        <f ca="1">FLUID!H59</f>
        <v>-5.44</v>
      </c>
      <c r="E16" s="16">
        <f ca="1">FLUID!I59</f>
        <v>-5.8230000000000004</v>
      </c>
      <c r="F16" s="14">
        <f ca="1">FLUID!J59</f>
        <v>-6.18</v>
      </c>
      <c r="G16" s="14">
        <f ca="1">FLUID!K59</f>
        <v>-6.476</v>
      </c>
      <c r="H16" s="14">
        <f ca="1">FLUID!L59</f>
        <v>-6.6790000000000003</v>
      </c>
      <c r="I16" s="14">
        <f ca="1">FLUID!M59</f>
        <v>-6.8860000000000001</v>
      </c>
      <c r="J16" s="14">
        <f ca="1">FLUID!N59</f>
        <v>-7.1260000000000003</v>
      </c>
      <c r="K16" s="14">
        <f ca="1">FLUID!O59</f>
        <v>-7.4080000000000004</v>
      </c>
      <c r="L16" s="14">
        <f ca="1">FLUID!P59</f>
        <v>-7.7750000000000004</v>
      </c>
      <c r="M16" s="14">
        <f ca="1">FLUID!Q59</f>
        <v>-8.2319999999999993</v>
      </c>
      <c r="N16" s="14">
        <f ca="1">FLUID!R59</f>
        <v>0</v>
      </c>
      <c r="O16" s="14">
        <f ca="1">FLUID!S59</f>
        <v>0</v>
      </c>
      <c r="P16" s="14">
        <f ca="1">FLUID!T59</f>
        <v>0</v>
      </c>
      <c r="Q16" s="14">
        <f ca="1">FLUID!U59</f>
        <v>0</v>
      </c>
      <c r="R16" s="14">
        <f ca="1">FLUID!V59</f>
        <v>0</v>
      </c>
      <c r="S16" s="14">
        <f ca="1">FLUID!W59</f>
        <v>0</v>
      </c>
      <c r="T16" s="14">
        <f ca="1">FLUID!X59</f>
        <v>0</v>
      </c>
      <c r="U16" s="14">
        <f ca="1">FLUID!Y59</f>
        <v>0</v>
      </c>
      <c r="V16" s="14">
        <f ca="1">FLUID!Z59</f>
        <v>0</v>
      </c>
      <c r="W16" s="14">
        <f ca="1">FLUID!AA59</f>
        <v>0</v>
      </c>
      <c r="X16" s="14">
        <f ca="1">FLUID!AB59</f>
        <v>0</v>
      </c>
      <c r="Y16" s="14">
        <f ca="1">FLUID!AC59</f>
        <v>0</v>
      </c>
      <c r="Z16" s="14">
        <f ca="1">FLUID!AD59</f>
        <v>0</v>
      </c>
      <c r="AA16" s="14">
        <f ca="1">FLUID!AE59</f>
        <v>0</v>
      </c>
      <c r="AB16" s="14">
        <f ca="1">FLUID!AF59</f>
        <v>0</v>
      </c>
      <c r="AC16" s="14">
        <f ca="1">FLUID!AG59</f>
        <v>0</v>
      </c>
      <c r="AD16" s="14">
        <f ca="1">FLUID!AH59</f>
        <v>0</v>
      </c>
      <c r="AE16" s="14">
        <f ca="1">FLUID!AI59</f>
        <v>0</v>
      </c>
      <c r="AF16" s="14">
        <f ca="1">FLUID!AJ59</f>
        <v>0</v>
      </c>
      <c r="AG16" s="14">
        <f ca="1">FLUID!AK59</f>
        <v>0</v>
      </c>
      <c r="AH16" s="14">
        <f ca="1">FLUID!AL59</f>
        <v>0</v>
      </c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</row>
    <row r="17" spans="1:94" ht="22.5" hidden="1" outlineLevel="1" thickTop="1" thickBot="1" x14ac:dyDescent="0.4">
      <c r="A17" s="36" t="str">
        <f>FLUID!E60</f>
        <v>H (Ar)</v>
      </c>
      <c r="B17" s="16">
        <f ca="1">FLUID!F60</f>
        <v>-18.62</v>
      </c>
      <c r="C17" s="16">
        <f ca="1">FLUID!G60</f>
        <v>-18.63</v>
      </c>
      <c r="D17" s="16">
        <f ca="1">FLUID!H60</f>
        <v>-18.72</v>
      </c>
      <c r="E17" s="16">
        <f ca="1">FLUID!I60</f>
        <v>-18.84</v>
      </c>
      <c r="F17" s="14">
        <f ca="1">FLUID!J60</f>
        <v>-19</v>
      </c>
      <c r="G17" s="14">
        <f ca="1">FLUID!K60</f>
        <v>-19.25</v>
      </c>
      <c r="H17" s="14">
        <f ca="1">FLUID!L60</f>
        <v>-19.579999999999998</v>
      </c>
      <c r="I17" s="14">
        <f ca="1">FLUID!M60</f>
        <v>-19.82</v>
      </c>
      <c r="J17" s="14">
        <f ca="1">FLUID!N60</f>
        <v>-20.03</v>
      </c>
      <c r="K17" s="14">
        <f ca="1">FLUID!O60</f>
        <v>-20.25</v>
      </c>
      <c r="L17" s="14">
        <f ca="1">FLUID!P60</f>
        <v>-20.49</v>
      </c>
      <c r="M17" s="14">
        <f ca="1">FLUID!Q60</f>
        <v>-20.7</v>
      </c>
      <c r="N17" s="14">
        <f ca="1">FLUID!R60</f>
        <v>0</v>
      </c>
      <c r="O17" s="14">
        <f ca="1">FLUID!S60</f>
        <v>0</v>
      </c>
      <c r="P17" s="14">
        <f ca="1">FLUID!T60</f>
        <v>0</v>
      </c>
      <c r="Q17" s="14">
        <f ca="1">FLUID!U60</f>
        <v>0</v>
      </c>
      <c r="R17" s="14">
        <f ca="1">FLUID!V60</f>
        <v>0</v>
      </c>
      <c r="S17" s="14">
        <f ca="1">FLUID!W60</f>
        <v>0</v>
      </c>
      <c r="T17" s="14">
        <f ca="1">FLUID!X60</f>
        <v>0</v>
      </c>
      <c r="U17" s="14">
        <f ca="1">FLUID!Y60</f>
        <v>0</v>
      </c>
      <c r="V17" s="14">
        <f ca="1">FLUID!Z60</f>
        <v>0</v>
      </c>
      <c r="W17" s="14">
        <f ca="1">FLUID!AA60</f>
        <v>0</v>
      </c>
      <c r="X17" s="14">
        <f ca="1">FLUID!AB60</f>
        <v>0</v>
      </c>
      <c r="Y17" s="14">
        <f ca="1">FLUID!AC60</f>
        <v>0</v>
      </c>
      <c r="Z17" s="14">
        <f ca="1">FLUID!AD60</f>
        <v>0</v>
      </c>
      <c r="AA17" s="14">
        <f ca="1">FLUID!AE60</f>
        <v>0</v>
      </c>
      <c r="AB17" s="14">
        <f ca="1">FLUID!AF60</f>
        <v>0</v>
      </c>
      <c r="AC17" s="14">
        <f ca="1">FLUID!AG60</f>
        <v>0</v>
      </c>
      <c r="AD17" s="14">
        <f ca="1">FLUID!AH60</f>
        <v>0</v>
      </c>
      <c r="AE17" s="14">
        <f ca="1">FLUID!AI60</f>
        <v>0</v>
      </c>
      <c r="AF17" s="14">
        <f ca="1">FLUID!AJ60</f>
        <v>0</v>
      </c>
      <c r="AG17" s="14">
        <f ca="1">FLUID!AK60</f>
        <v>0</v>
      </c>
      <c r="AH17" s="14">
        <f ca="1">FLUID!AL60</f>
        <v>0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</row>
    <row r="18" spans="1:94" ht="22.5" hidden="1" outlineLevel="1" thickTop="1" thickBot="1" x14ac:dyDescent="0.4">
      <c r="A18" s="36" t="str">
        <f>FLUID!E61</f>
        <v>H (Ga)</v>
      </c>
      <c r="B18" s="16">
        <f ca="1">FLUID!F61</f>
        <v>-5.7169999999999996</v>
      </c>
      <c r="C18" s="16">
        <f ca="1">FLUID!G61</f>
        <v>-6.2089999999999996</v>
      </c>
      <c r="D18" s="16">
        <f ca="1">FLUID!H61</f>
        <v>-6.649</v>
      </c>
      <c r="E18" s="16">
        <f ca="1">FLUID!I61</f>
        <v>-7.0430000000000001</v>
      </c>
      <c r="F18" s="14">
        <f ca="1">FLUID!J61</f>
        <v>-7.4130000000000003</v>
      </c>
      <c r="G18" s="14">
        <f ca="1">FLUID!K61</f>
        <v>-7.835</v>
      </c>
      <c r="H18" s="14">
        <f ca="1">FLUID!L61</f>
        <v>-8.4830000000000005</v>
      </c>
      <c r="I18" s="14">
        <f ca="1">FLUID!M61</f>
        <v>-9.234</v>
      </c>
      <c r="J18" s="14">
        <f ca="1">FLUID!N61</f>
        <v>-9.9160000000000004</v>
      </c>
      <c r="K18" s="14">
        <f ca="1">FLUID!O61</f>
        <v>-10.51</v>
      </c>
      <c r="L18" s="14">
        <f ca="1">FLUID!P61</f>
        <v>-11.01</v>
      </c>
      <c r="M18" s="14">
        <f ca="1">FLUID!Q61</f>
        <v>-11.39</v>
      </c>
      <c r="N18" s="14">
        <f ca="1">FLUID!R61</f>
        <v>0</v>
      </c>
      <c r="O18" s="14">
        <f ca="1">FLUID!S61</f>
        <v>0</v>
      </c>
      <c r="P18" s="14">
        <f ca="1">FLUID!T61</f>
        <v>0</v>
      </c>
      <c r="Q18" s="14">
        <f ca="1">FLUID!U61</f>
        <v>0</v>
      </c>
      <c r="R18" s="14">
        <f ca="1">FLUID!V61</f>
        <v>0</v>
      </c>
      <c r="S18" s="14">
        <f ca="1">FLUID!W61</f>
        <v>0</v>
      </c>
      <c r="T18" s="14">
        <f ca="1">FLUID!X61</f>
        <v>0</v>
      </c>
      <c r="U18" s="14">
        <f ca="1">FLUID!Y61</f>
        <v>0</v>
      </c>
      <c r="V18" s="14">
        <f ca="1">FLUID!Z61</f>
        <v>0</v>
      </c>
      <c r="W18" s="14">
        <f ca="1">FLUID!AA61</f>
        <v>0</v>
      </c>
      <c r="X18" s="14">
        <f ca="1">FLUID!AB61</f>
        <v>0</v>
      </c>
      <c r="Y18" s="14">
        <f ca="1">FLUID!AC61</f>
        <v>0</v>
      </c>
      <c r="Z18" s="14">
        <f ca="1">FLUID!AD61</f>
        <v>0</v>
      </c>
      <c r="AA18" s="14">
        <f ca="1">FLUID!AE61</f>
        <v>0</v>
      </c>
      <c r="AB18" s="14">
        <f ca="1">FLUID!AF61</f>
        <v>0</v>
      </c>
      <c r="AC18" s="14">
        <f ca="1">FLUID!AG61</f>
        <v>0</v>
      </c>
      <c r="AD18" s="14">
        <f ca="1">FLUID!AH61</f>
        <v>0</v>
      </c>
      <c r="AE18" s="14">
        <f ca="1">FLUID!AI61</f>
        <v>0</v>
      </c>
      <c r="AF18" s="14">
        <f ca="1">FLUID!AJ61</f>
        <v>0</v>
      </c>
      <c r="AG18" s="14">
        <f ca="1">FLUID!AK61</f>
        <v>0</v>
      </c>
      <c r="AH18" s="14">
        <f ca="1">FLUID!AL61</f>
        <v>0</v>
      </c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</row>
    <row r="19" spans="1:94" ht="22.5" hidden="1" customHeight="1" outlineLevel="1" thickBot="1" x14ac:dyDescent="0.4">
      <c r="A19" s="36" t="str">
        <f>FLUID!E62</f>
        <v>H (Ge)</v>
      </c>
      <c r="B19" s="16">
        <f ca="1">FLUID!F62</f>
        <v>5.5659999999999998</v>
      </c>
      <c r="C19" s="16">
        <f ca="1">FLUID!G62</f>
        <v>2.508</v>
      </c>
      <c r="D19" s="16">
        <f ca="1">FLUID!H62</f>
        <v>0.3417</v>
      </c>
      <c r="E19" s="16">
        <f ca="1">FLUID!I62</f>
        <v>-1.292</v>
      </c>
      <c r="F19" s="14">
        <f ca="1">FLUID!J62</f>
        <v>-2.5640000000000001</v>
      </c>
      <c r="G19" s="14">
        <f ca="1">FLUID!K62</f>
        <v>-3.5169999999999999</v>
      </c>
      <c r="H19" s="14">
        <f ca="1">FLUID!L62</f>
        <v>-4.1639999999999997</v>
      </c>
      <c r="I19" s="14">
        <f ca="1">FLUID!M62</f>
        <v>-4.726</v>
      </c>
      <c r="J19" s="14">
        <f ca="1">FLUID!N62</f>
        <v>-5.1970000000000001</v>
      </c>
      <c r="K19" s="14">
        <f ca="1">FLUID!O62</f>
        <v>-5.4269999999999996</v>
      </c>
      <c r="L19" s="14">
        <f ca="1">FLUID!P62</f>
        <v>-5.3949999999999996</v>
      </c>
      <c r="M19" s="14">
        <f ca="1">FLUID!Q62</f>
        <v>-5.3879999999999999</v>
      </c>
      <c r="N19" s="14">
        <f ca="1">FLUID!R62</f>
        <v>0</v>
      </c>
      <c r="O19" s="14">
        <f ca="1">FLUID!S62</f>
        <v>0</v>
      </c>
      <c r="P19" s="14">
        <f ca="1">FLUID!T62</f>
        <v>0</v>
      </c>
      <c r="Q19" s="14">
        <f ca="1">FLUID!U62</f>
        <v>0</v>
      </c>
      <c r="R19" s="14">
        <f ca="1">FLUID!V62</f>
        <v>0</v>
      </c>
      <c r="S19" s="14">
        <f ca="1">FLUID!W62</f>
        <v>0</v>
      </c>
      <c r="T19" s="14">
        <f ca="1">FLUID!X62</f>
        <v>0</v>
      </c>
      <c r="U19" s="14">
        <f ca="1">FLUID!Y62</f>
        <v>0</v>
      </c>
      <c r="V19" s="14">
        <f ca="1">FLUID!Z62</f>
        <v>0</v>
      </c>
      <c r="W19" s="14">
        <f ca="1">FLUID!AA62</f>
        <v>0</v>
      </c>
      <c r="X19" s="14">
        <f ca="1">FLUID!AB62</f>
        <v>0</v>
      </c>
      <c r="Y19" s="14">
        <f ca="1">FLUID!AC62</f>
        <v>0</v>
      </c>
      <c r="Z19" s="14">
        <f ca="1">FLUID!AD62</f>
        <v>0</v>
      </c>
      <c r="AA19" s="14">
        <f ca="1">FLUID!AE62</f>
        <v>0</v>
      </c>
      <c r="AB19" s="14">
        <f ca="1">FLUID!AF62</f>
        <v>0</v>
      </c>
      <c r="AC19" s="14">
        <f ca="1">FLUID!AG62</f>
        <v>0</v>
      </c>
      <c r="AD19" s="14">
        <f ca="1">FLUID!AH62</f>
        <v>0</v>
      </c>
      <c r="AE19" s="14">
        <f ca="1">FLUID!AI62</f>
        <v>0</v>
      </c>
      <c r="AF19" s="14">
        <f ca="1">FLUID!AJ62</f>
        <v>0</v>
      </c>
      <c r="AG19" s="14">
        <f ca="1">FLUID!AK62</f>
        <v>0</v>
      </c>
      <c r="AH19" s="14">
        <f ca="1">FLUID!AL62</f>
        <v>0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</row>
    <row r="20" spans="1:94" ht="22.5" hidden="1" customHeight="1" outlineLevel="1" thickBot="1" x14ac:dyDescent="0.4">
      <c r="A20" s="36" t="str">
        <f>FLUID!E63</f>
        <v>H (Se)</v>
      </c>
      <c r="B20" s="16">
        <f ca="1">FLUID!F63</f>
        <v>-4.7</v>
      </c>
      <c r="C20" s="16">
        <f ca="1">FLUID!G63</f>
        <v>-5.0519999999999996</v>
      </c>
      <c r="D20" s="16">
        <f ca="1">FLUID!H63</f>
        <v>-5.44</v>
      </c>
      <c r="E20" s="16">
        <f ca="1">FLUID!I63</f>
        <v>-5.8230000000000004</v>
      </c>
      <c r="F20" s="14">
        <f ca="1">FLUID!J63</f>
        <v>-6.18</v>
      </c>
      <c r="G20" s="14">
        <f ca="1">FLUID!K63</f>
        <v>-6.476</v>
      </c>
      <c r="H20" s="14">
        <f ca="1">FLUID!L63</f>
        <v>-6.6790000000000003</v>
      </c>
      <c r="I20" s="14">
        <f ca="1">FLUID!M63</f>
        <v>-6.8860000000000001</v>
      </c>
      <c r="J20" s="14">
        <f ca="1">FLUID!N63</f>
        <v>-7.1260000000000003</v>
      </c>
      <c r="K20" s="14">
        <f ca="1">FLUID!O63</f>
        <v>-7.4080000000000004</v>
      </c>
      <c r="L20" s="14">
        <f ca="1">FLUID!P63</f>
        <v>-7.7750000000000004</v>
      </c>
      <c r="M20" s="14">
        <f ca="1">FLUID!Q63</f>
        <v>-8.2319999999999993</v>
      </c>
      <c r="N20" s="14">
        <f ca="1">FLUID!R63</f>
        <v>0</v>
      </c>
      <c r="O20" s="14">
        <f ca="1">FLUID!S63</f>
        <v>0</v>
      </c>
      <c r="P20" s="14">
        <f ca="1">FLUID!T63</f>
        <v>0</v>
      </c>
      <c r="Q20" s="14">
        <f ca="1">FLUID!U63</f>
        <v>0</v>
      </c>
      <c r="R20" s="14">
        <f ca="1">FLUID!V63</f>
        <v>0</v>
      </c>
      <c r="S20" s="14">
        <f ca="1">FLUID!W63</f>
        <v>0</v>
      </c>
      <c r="T20" s="14">
        <f ca="1">FLUID!X63</f>
        <v>0</v>
      </c>
      <c r="U20" s="14">
        <f ca="1">FLUID!Y63</f>
        <v>0</v>
      </c>
      <c r="V20" s="14">
        <f ca="1">FLUID!Z63</f>
        <v>0</v>
      </c>
      <c r="W20" s="14">
        <f ca="1">FLUID!AA63</f>
        <v>0</v>
      </c>
      <c r="X20" s="14">
        <f ca="1">FLUID!AB63</f>
        <v>0</v>
      </c>
      <c r="Y20" s="14">
        <f ca="1">FLUID!AC63</f>
        <v>0</v>
      </c>
      <c r="Z20" s="14">
        <f ca="1">FLUID!AD63</f>
        <v>0</v>
      </c>
      <c r="AA20" s="14">
        <f ca="1">FLUID!AE63</f>
        <v>0</v>
      </c>
      <c r="AB20" s="14">
        <f ca="1">FLUID!AF63</f>
        <v>0</v>
      </c>
      <c r="AC20" s="14">
        <f ca="1">FLUID!AG63</f>
        <v>0</v>
      </c>
      <c r="AD20" s="14">
        <f ca="1">FLUID!AH63</f>
        <v>0</v>
      </c>
      <c r="AE20" s="14">
        <f ca="1">FLUID!AI63</f>
        <v>0</v>
      </c>
      <c r="AF20" s="14">
        <f ca="1">FLUID!AJ63</f>
        <v>0</v>
      </c>
      <c r="AG20" s="14">
        <f ca="1">FLUID!AK63</f>
        <v>0</v>
      </c>
      <c r="AH20" s="14">
        <f ca="1">FLUID!AL63</f>
        <v>0</v>
      </c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</row>
    <row r="21" spans="1:94" ht="22.5" hidden="1" customHeight="1" outlineLevel="1" thickBot="1" x14ac:dyDescent="0.4">
      <c r="A21" s="36" t="str">
        <f>FLUID!E64</f>
        <v>Vapor</v>
      </c>
      <c r="B21" s="16">
        <f ca="1">FLUID!F64</f>
        <v>0</v>
      </c>
      <c r="C21" s="16">
        <f ca="1">FLUID!G64</f>
        <v>0</v>
      </c>
      <c r="D21" s="16">
        <f ca="1">FLUID!H64</f>
        <v>0</v>
      </c>
      <c r="E21" s="16">
        <f ca="1">FLUID!I64</f>
        <v>0</v>
      </c>
      <c r="F21" s="14">
        <f ca="1">FLUID!J64</f>
        <v>0</v>
      </c>
      <c r="G21" s="14">
        <f ca="1">FLUID!K64</f>
        <v>0</v>
      </c>
      <c r="H21" s="14">
        <f ca="1">FLUID!L64</f>
        <v>0</v>
      </c>
      <c r="I21" s="14">
        <f ca="1">FLUID!M64</f>
        <v>0</v>
      </c>
      <c r="J21" s="14">
        <f ca="1">FLUID!N64</f>
        <v>0</v>
      </c>
      <c r="K21" s="14">
        <f ca="1">FLUID!O64</f>
        <v>0</v>
      </c>
      <c r="L21" s="14">
        <f ca="1">FLUID!P64</f>
        <v>0</v>
      </c>
      <c r="M21" s="14">
        <f ca="1">FLUID!Q64</f>
        <v>0</v>
      </c>
      <c r="N21" s="14">
        <f ca="1">FLUID!R64</f>
        <v>0</v>
      </c>
      <c r="O21" s="14">
        <f ca="1">FLUID!S64</f>
        <v>0</v>
      </c>
      <c r="P21" s="14">
        <f ca="1">FLUID!T64</f>
        <v>0</v>
      </c>
      <c r="Q21" s="14">
        <f ca="1">FLUID!U64</f>
        <v>0</v>
      </c>
      <c r="R21" s="14">
        <f ca="1">FLUID!V64</f>
        <v>0</v>
      </c>
      <c r="S21" s="14">
        <f ca="1">FLUID!W64</f>
        <v>0</v>
      </c>
      <c r="T21" s="14">
        <f ca="1">FLUID!X64</f>
        <v>0</v>
      </c>
      <c r="U21" s="14">
        <f ca="1">FLUID!Y64</f>
        <v>0</v>
      </c>
      <c r="V21" s="14">
        <f ca="1">FLUID!Z64</f>
        <v>0</v>
      </c>
      <c r="W21" s="14">
        <f ca="1">FLUID!AA64</f>
        <v>0</v>
      </c>
      <c r="X21" s="14">
        <f ca="1">FLUID!AB64</f>
        <v>0</v>
      </c>
      <c r="Y21" s="14">
        <f ca="1">FLUID!AC64</f>
        <v>0</v>
      </c>
      <c r="Z21" s="14">
        <f ca="1">FLUID!AD64</f>
        <v>0</v>
      </c>
      <c r="AA21" s="14">
        <f ca="1">FLUID!AE64</f>
        <v>0</v>
      </c>
      <c r="AB21" s="14">
        <f ca="1">FLUID!AF64</f>
        <v>0</v>
      </c>
      <c r="AC21" s="14">
        <f ca="1">FLUID!AG64</f>
        <v>0</v>
      </c>
      <c r="AD21" s="14">
        <f ca="1">FLUID!AH64</f>
        <v>0</v>
      </c>
      <c r="AE21" s="14">
        <f ca="1">FLUID!AI64</f>
        <v>0</v>
      </c>
      <c r="AF21" s="14">
        <f ca="1">FLUID!AJ64</f>
        <v>0</v>
      </c>
      <c r="AG21" s="14">
        <f ca="1">FLUID!AK64</f>
        <v>0</v>
      </c>
      <c r="AH21" s="14">
        <f ca="1">FLUID!AL64</f>
        <v>0</v>
      </c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</row>
    <row r="22" spans="1:94" ht="22.5" hidden="1" customHeight="1" outlineLevel="1" thickBot="1" x14ac:dyDescent="0.4">
      <c r="A22" s="36">
        <f>FLUID!E65</f>
        <v>0</v>
      </c>
      <c r="B22" s="16">
        <f ca="1">FLUID!F65</f>
        <v>0</v>
      </c>
      <c r="C22" s="16">
        <f ca="1">FLUID!G65</f>
        <v>0</v>
      </c>
      <c r="D22" s="16">
        <f ca="1">FLUID!H65</f>
        <v>0</v>
      </c>
      <c r="E22" s="16">
        <f ca="1">FLUID!I65</f>
        <v>0</v>
      </c>
      <c r="F22" s="14">
        <f ca="1">FLUID!J65</f>
        <v>0</v>
      </c>
      <c r="G22" s="14">
        <f ca="1">FLUID!K65</f>
        <v>0</v>
      </c>
      <c r="H22" s="14">
        <f ca="1">FLUID!L65</f>
        <v>0</v>
      </c>
      <c r="I22" s="14">
        <f ca="1">FLUID!M65</f>
        <v>0</v>
      </c>
      <c r="J22" s="14">
        <f ca="1">FLUID!N65</f>
        <v>0</v>
      </c>
      <c r="K22" s="14">
        <f ca="1">FLUID!O65</f>
        <v>0</v>
      </c>
      <c r="L22" s="14">
        <f ca="1">FLUID!P65</f>
        <v>0</v>
      </c>
      <c r="M22" s="14">
        <f ca="1">FLUID!Q65</f>
        <v>0</v>
      </c>
      <c r="N22" s="14">
        <f ca="1">FLUID!R65</f>
        <v>0</v>
      </c>
      <c r="O22" s="14">
        <f ca="1">FLUID!S65</f>
        <v>0</v>
      </c>
      <c r="P22" s="14">
        <f ca="1">FLUID!T65</f>
        <v>0</v>
      </c>
      <c r="Q22" s="14">
        <f ca="1">FLUID!U65</f>
        <v>0</v>
      </c>
      <c r="R22" s="14">
        <f ca="1">FLUID!V65</f>
        <v>0</v>
      </c>
      <c r="S22" s="14">
        <f ca="1">FLUID!W65</f>
        <v>0</v>
      </c>
      <c r="T22" s="14">
        <f ca="1">FLUID!X65</f>
        <v>0</v>
      </c>
      <c r="U22" s="14">
        <f ca="1">FLUID!Y65</f>
        <v>0</v>
      </c>
      <c r="V22" s="14">
        <f ca="1">FLUID!Z65</f>
        <v>0</v>
      </c>
      <c r="W22" s="14">
        <f ca="1">FLUID!AA65</f>
        <v>0</v>
      </c>
      <c r="X22" s="14">
        <f ca="1">FLUID!AB65</f>
        <v>0</v>
      </c>
      <c r="Y22" s="14">
        <f ca="1">FLUID!AC65</f>
        <v>0</v>
      </c>
      <c r="Z22" s="14">
        <f ca="1">FLUID!AD65</f>
        <v>0</v>
      </c>
      <c r="AA22" s="14">
        <f ca="1">FLUID!AE65</f>
        <v>0</v>
      </c>
      <c r="AB22" s="14">
        <f ca="1">FLUID!AF65</f>
        <v>0</v>
      </c>
      <c r="AC22" s="14">
        <f ca="1">FLUID!AG65</f>
        <v>0</v>
      </c>
      <c r="AD22" s="14">
        <f ca="1">FLUID!AH65</f>
        <v>0</v>
      </c>
      <c r="AE22" s="14">
        <f ca="1">FLUID!AI65</f>
        <v>0</v>
      </c>
      <c r="AF22" s="14">
        <f ca="1">FLUID!AJ65</f>
        <v>0</v>
      </c>
      <c r="AG22" s="14">
        <f ca="1">FLUID!AK65</f>
        <v>0</v>
      </c>
      <c r="AH22" s="14">
        <f ca="1">FLUID!AL65</f>
        <v>0</v>
      </c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</row>
    <row r="23" spans="1:94" ht="22.5" hidden="1" customHeight="1" outlineLevel="1" thickBot="1" x14ac:dyDescent="0.4">
      <c r="A23" s="36">
        <f>FLUID!E66</f>
        <v>0</v>
      </c>
      <c r="B23" s="16">
        <f ca="1">FLUID!F66</f>
        <v>0</v>
      </c>
      <c r="C23" s="16">
        <f ca="1">FLUID!G66</f>
        <v>0</v>
      </c>
      <c r="D23" s="16">
        <f ca="1">FLUID!H66</f>
        <v>0</v>
      </c>
      <c r="E23" s="16">
        <f ca="1">FLUID!I66</f>
        <v>0</v>
      </c>
      <c r="F23" s="14">
        <f ca="1">FLUID!J66</f>
        <v>0</v>
      </c>
      <c r="G23" s="14">
        <f ca="1">FLUID!K66</f>
        <v>0</v>
      </c>
      <c r="H23" s="14">
        <f ca="1">FLUID!L66</f>
        <v>0</v>
      </c>
      <c r="I23" s="14">
        <f ca="1">FLUID!M66</f>
        <v>0</v>
      </c>
      <c r="J23" s="14">
        <f ca="1">FLUID!N66</f>
        <v>0</v>
      </c>
      <c r="K23" s="14">
        <f ca="1">FLUID!O66</f>
        <v>0</v>
      </c>
      <c r="L23" s="14">
        <f ca="1">FLUID!P66</f>
        <v>0</v>
      </c>
      <c r="M23" s="14">
        <f ca="1">FLUID!Q66</f>
        <v>0</v>
      </c>
      <c r="N23" s="14">
        <f ca="1">FLUID!R66</f>
        <v>0</v>
      </c>
      <c r="O23" s="14">
        <f ca="1">FLUID!S66</f>
        <v>0</v>
      </c>
      <c r="P23" s="14">
        <f ca="1">FLUID!T66</f>
        <v>0</v>
      </c>
      <c r="Q23" s="14">
        <f ca="1">FLUID!U66</f>
        <v>0</v>
      </c>
      <c r="R23" s="14">
        <f ca="1">FLUID!V66</f>
        <v>0</v>
      </c>
      <c r="S23" s="14">
        <f ca="1">FLUID!W66</f>
        <v>0</v>
      </c>
      <c r="T23" s="14">
        <f ca="1">FLUID!X66</f>
        <v>0</v>
      </c>
      <c r="U23" s="14">
        <f ca="1">FLUID!Y66</f>
        <v>0</v>
      </c>
      <c r="V23" s="14">
        <f ca="1">FLUID!Z66</f>
        <v>0</v>
      </c>
      <c r="W23" s="14">
        <f ca="1">FLUID!AA66</f>
        <v>0</v>
      </c>
      <c r="X23" s="14">
        <f ca="1">FLUID!AB66</f>
        <v>0</v>
      </c>
      <c r="Y23" s="14">
        <f ca="1">FLUID!AC66</f>
        <v>0</v>
      </c>
      <c r="Z23" s="14">
        <f ca="1">FLUID!AD66</f>
        <v>0</v>
      </c>
      <c r="AA23" s="14">
        <f ca="1">FLUID!AE66</f>
        <v>0</v>
      </c>
      <c r="AB23" s="14">
        <f ca="1">FLUID!AF66</f>
        <v>0</v>
      </c>
      <c r="AC23" s="14">
        <f ca="1">FLUID!AG66</f>
        <v>0</v>
      </c>
      <c r="AD23" s="14">
        <f ca="1">FLUID!AH66</f>
        <v>0</v>
      </c>
      <c r="AE23" s="14">
        <f ca="1">FLUID!AI66</f>
        <v>0</v>
      </c>
      <c r="AF23" s="14">
        <f ca="1">FLUID!AJ66</f>
        <v>0</v>
      </c>
      <c r="AG23" s="14">
        <f ca="1">FLUID!AK66</f>
        <v>0</v>
      </c>
      <c r="AH23" s="14">
        <f ca="1">FLUID!AL66</f>
        <v>0</v>
      </c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</row>
    <row r="24" spans="1:94" ht="22.5" hidden="1" customHeight="1" outlineLevel="1" thickBot="1" x14ac:dyDescent="0.4">
      <c r="A24" s="36">
        <f>FLUID!E67</f>
        <v>0</v>
      </c>
      <c r="B24" s="16">
        <f ca="1">FLUID!F67</f>
        <v>0</v>
      </c>
      <c r="C24" s="16">
        <f ca="1">FLUID!G67</f>
        <v>0</v>
      </c>
      <c r="D24" s="16">
        <f ca="1">FLUID!H67</f>
        <v>0</v>
      </c>
      <c r="E24" s="16">
        <f ca="1">FLUID!I67</f>
        <v>0</v>
      </c>
      <c r="F24" s="14">
        <f ca="1">FLUID!J67</f>
        <v>0</v>
      </c>
      <c r="G24" s="14">
        <f ca="1">FLUID!K67</f>
        <v>0</v>
      </c>
      <c r="H24" s="14">
        <f ca="1">FLUID!L67</f>
        <v>0</v>
      </c>
      <c r="I24" s="14">
        <f ca="1">FLUID!M67</f>
        <v>0</v>
      </c>
      <c r="J24" s="14">
        <f ca="1">FLUID!N67</f>
        <v>0</v>
      </c>
      <c r="K24" s="14">
        <f ca="1">FLUID!O67</f>
        <v>0</v>
      </c>
      <c r="L24" s="14">
        <f ca="1">FLUID!P67</f>
        <v>0</v>
      </c>
      <c r="M24" s="14">
        <f ca="1">FLUID!Q67</f>
        <v>0</v>
      </c>
      <c r="N24" s="14">
        <f ca="1">FLUID!R67</f>
        <v>0</v>
      </c>
      <c r="O24" s="14">
        <f ca="1">FLUID!S67</f>
        <v>0</v>
      </c>
      <c r="P24" s="14">
        <f ca="1">FLUID!T67</f>
        <v>0</v>
      </c>
      <c r="Q24" s="14">
        <f ca="1">FLUID!U67</f>
        <v>0</v>
      </c>
      <c r="R24" s="14">
        <f ca="1">FLUID!V67</f>
        <v>0</v>
      </c>
      <c r="S24" s="14">
        <f ca="1">FLUID!W67</f>
        <v>0</v>
      </c>
      <c r="T24" s="14">
        <f ca="1">FLUID!X67</f>
        <v>0</v>
      </c>
      <c r="U24" s="14">
        <f ca="1">FLUID!Y67</f>
        <v>0</v>
      </c>
      <c r="V24" s="14">
        <f ca="1">FLUID!Z67</f>
        <v>0</v>
      </c>
      <c r="W24" s="14">
        <f ca="1">FLUID!AA67</f>
        <v>0</v>
      </c>
      <c r="X24" s="14">
        <f ca="1">FLUID!AB67</f>
        <v>0</v>
      </c>
      <c r="Y24" s="14">
        <f ca="1">FLUID!AC67</f>
        <v>0</v>
      </c>
      <c r="Z24" s="14">
        <f ca="1">FLUID!AD67</f>
        <v>0</v>
      </c>
      <c r="AA24" s="14">
        <f ca="1">FLUID!AE67</f>
        <v>0</v>
      </c>
      <c r="AB24" s="14">
        <f ca="1">FLUID!AF67</f>
        <v>0</v>
      </c>
      <c r="AC24" s="14">
        <f ca="1">FLUID!AG67</f>
        <v>0</v>
      </c>
      <c r="AD24" s="14">
        <f ca="1">FLUID!AH67</f>
        <v>0</v>
      </c>
      <c r="AE24" s="14">
        <f ca="1">FLUID!AI67</f>
        <v>0</v>
      </c>
      <c r="AF24" s="14">
        <f ca="1">FLUID!AJ67</f>
        <v>0</v>
      </c>
      <c r="AG24" s="14">
        <f ca="1">FLUID!AK67</f>
        <v>0</v>
      </c>
      <c r="AH24" s="14">
        <f ca="1">FLUID!AL67</f>
        <v>0</v>
      </c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</row>
    <row r="25" spans="1:94" ht="22.5" hidden="1" customHeight="1" outlineLevel="1" thickBot="1" x14ac:dyDescent="0.4">
      <c r="A25" s="36">
        <f>FLUID!E68</f>
        <v>0</v>
      </c>
      <c r="B25" s="16">
        <f ca="1">FLUID!F68</f>
        <v>0</v>
      </c>
      <c r="C25" s="16">
        <f ca="1">FLUID!G68</f>
        <v>0</v>
      </c>
      <c r="D25" s="16">
        <f ca="1">FLUID!H68</f>
        <v>0</v>
      </c>
      <c r="E25" s="16">
        <f ca="1">FLUID!I68</f>
        <v>0</v>
      </c>
      <c r="F25" s="14">
        <f ca="1">FLUID!J68</f>
        <v>0</v>
      </c>
      <c r="G25" s="14">
        <f ca="1">FLUID!K68</f>
        <v>0</v>
      </c>
      <c r="H25" s="14">
        <f ca="1">FLUID!L68</f>
        <v>0</v>
      </c>
      <c r="I25" s="14">
        <f ca="1">FLUID!M68</f>
        <v>0</v>
      </c>
      <c r="J25" s="14">
        <f ca="1">FLUID!N68</f>
        <v>0</v>
      </c>
      <c r="K25" s="14">
        <f ca="1">FLUID!O68</f>
        <v>0</v>
      </c>
      <c r="L25" s="14">
        <f ca="1">FLUID!P68</f>
        <v>0</v>
      </c>
      <c r="M25" s="14">
        <f ca="1">FLUID!Q68</f>
        <v>0</v>
      </c>
      <c r="N25" s="14">
        <f ca="1">FLUID!R68</f>
        <v>0</v>
      </c>
      <c r="O25" s="14">
        <f ca="1">FLUID!S68</f>
        <v>0</v>
      </c>
      <c r="P25" s="14">
        <f ca="1">FLUID!T68</f>
        <v>0</v>
      </c>
      <c r="Q25" s="14">
        <f ca="1">FLUID!U68</f>
        <v>0</v>
      </c>
      <c r="R25" s="14">
        <f ca="1">FLUID!V68</f>
        <v>0</v>
      </c>
      <c r="S25" s="14">
        <f ca="1">FLUID!W68</f>
        <v>0</v>
      </c>
      <c r="T25" s="14">
        <f ca="1">FLUID!X68</f>
        <v>0</v>
      </c>
      <c r="U25" s="14">
        <f ca="1">FLUID!Y68</f>
        <v>0</v>
      </c>
      <c r="V25" s="14">
        <f ca="1">FLUID!Z68</f>
        <v>0</v>
      </c>
      <c r="W25" s="14">
        <f ca="1">FLUID!AA68</f>
        <v>0</v>
      </c>
      <c r="X25" s="14">
        <f ca="1">FLUID!AB68</f>
        <v>0</v>
      </c>
      <c r="Y25" s="14">
        <f ca="1">FLUID!AC68</f>
        <v>0</v>
      </c>
      <c r="Z25" s="14">
        <f ca="1">FLUID!AD68</f>
        <v>0</v>
      </c>
      <c r="AA25" s="14">
        <f ca="1">FLUID!AE68</f>
        <v>0</v>
      </c>
      <c r="AB25" s="14">
        <f ca="1">FLUID!AF68</f>
        <v>0</v>
      </c>
      <c r="AC25" s="14">
        <f ca="1">FLUID!AG68</f>
        <v>0</v>
      </c>
      <c r="AD25" s="14">
        <f ca="1">FLUID!AH68</f>
        <v>0</v>
      </c>
      <c r="AE25" s="14">
        <f ca="1">FLUID!AI68</f>
        <v>0</v>
      </c>
      <c r="AF25" s="14">
        <f ca="1">FLUID!AJ68</f>
        <v>0</v>
      </c>
      <c r="AG25" s="14">
        <f ca="1">FLUID!AK68</f>
        <v>0</v>
      </c>
      <c r="AH25" s="14">
        <f ca="1">FLUID!AL68</f>
        <v>0</v>
      </c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</row>
    <row r="26" spans="1:94" ht="22.5" hidden="1" customHeight="1" outlineLevel="1" thickBot="1" x14ac:dyDescent="0.4">
      <c r="A26" s="36">
        <f>FLUID!E69</f>
        <v>0</v>
      </c>
      <c r="B26" s="16">
        <f ca="1">FLUID!F69</f>
        <v>0</v>
      </c>
      <c r="C26" s="16">
        <f ca="1">FLUID!G69</f>
        <v>0</v>
      </c>
      <c r="D26" s="16">
        <f ca="1">FLUID!H69</f>
        <v>0</v>
      </c>
      <c r="E26" s="16">
        <f ca="1">FLUID!I69</f>
        <v>0</v>
      </c>
      <c r="F26" s="14">
        <f ca="1">FLUID!J69</f>
        <v>0</v>
      </c>
      <c r="G26" s="14">
        <f ca="1">FLUID!K69</f>
        <v>0</v>
      </c>
      <c r="H26" s="14">
        <f ca="1">FLUID!L69</f>
        <v>0</v>
      </c>
      <c r="I26" s="14">
        <f ca="1">FLUID!M69</f>
        <v>0</v>
      </c>
      <c r="J26" s="14">
        <f ca="1">FLUID!N69</f>
        <v>0</v>
      </c>
      <c r="K26" s="14">
        <f ca="1">FLUID!O69</f>
        <v>0</v>
      </c>
      <c r="L26" s="14">
        <f ca="1">FLUID!P69</f>
        <v>0</v>
      </c>
      <c r="M26" s="14">
        <f ca="1">FLUID!Q69</f>
        <v>0</v>
      </c>
      <c r="N26" s="14">
        <f ca="1">FLUID!R69</f>
        <v>0</v>
      </c>
      <c r="O26" s="14">
        <f ca="1">FLUID!S69</f>
        <v>0</v>
      </c>
      <c r="P26" s="14">
        <f ca="1">FLUID!T69</f>
        <v>0</v>
      </c>
      <c r="Q26" s="14">
        <f ca="1">FLUID!U69</f>
        <v>0</v>
      </c>
      <c r="R26" s="14">
        <f ca="1">FLUID!V69</f>
        <v>0</v>
      </c>
      <c r="S26" s="14">
        <f ca="1">FLUID!W69</f>
        <v>0</v>
      </c>
      <c r="T26" s="14">
        <f ca="1">FLUID!X69</f>
        <v>0</v>
      </c>
      <c r="U26" s="14">
        <f ca="1">FLUID!Y69</f>
        <v>0</v>
      </c>
      <c r="V26" s="14">
        <f ca="1">FLUID!Z69</f>
        <v>0</v>
      </c>
      <c r="W26" s="14">
        <f ca="1">FLUID!AA69</f>
        <v>0</v>
      </c>
      <c r="X26" s="14">
        <f ca="1">FLUID!AB69</f>
        <v>0</v>
      </c>
      <c r="Y26" s="14">
        <f ca="1">FLUID!AC69</f>
        <v>0</v>
      </c>
      <c r="Z26" s="14">
        <f ca="1">FLUID!AD69</f>
        <v>0</v>
      </c>
      <c r="AA26" s="14">
        <f ca="1">FLUID!AE69</f>
        <v>0</v>
      </c>
      <c r="AB26" s="14">
        <f ca="1">FLUID!AF69</f>
        <v>0</v>
      </c>
      <c r="AC26" s="14">
        <f ca="1">FLUID!AG69</f>
        <v>0</v>
      </c>
      <c r="AD26" s="14">
        <f ca="1">FLUID!AH69</f>
        <v>0</v>
      </c>
      <c r="AE26" s="14">
        <f ca="1">FLUID!AI69</f>
        <v>0</v>
      </c>
      <c r="AF26" s="14">
        <f ca="1">FLUID!AJ69</f>
        <v>0</v>
      </c>
      <c r="AG26" s="14">
        <f ca="1">FLUID!AK69</f>
        <v>0</v>
      </c>
      <c r="AH26" s="14">
        <f ca="1">FLUID!AL69</f>
        <v>0</v>
      </c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</row>
    <row r="27" spans="1:94" ht="22.5" hidden="1" customHeight="1" outlineLevel="1" thickBot="1" x14ac:dyDescent="0.4">
      <c r="A27" s="36">
        <f>FLUID!E70</f>
        <v>0</v>
      </c>
      <c r="B27" s="16">
        <f ca="1">FLUID!F70</f>
        <v>0</v>
      </c>
      <c r="C27" s="16">
        <f ca="1">FLUID!G70</f>
        <v>0</v>
      </c>
      <c r="D27" s="16">
        <f ca="1">FLUID!H70</f>
        <v>0</v>
      </c>
      <c r="E27" s="16">
        <f ca="1">FLUID!I70</f>
        <v>0</v>
      </c>
      <c r="F27" s="14">
        <f ca="1">FLUID!J70</f>
        <v>0</v>
      </c>
      <c r="G27" s="14">
        <f ca="1">FLUID!K70</f>
        <v>0</v>
      </c>
      <c r="H27" s="14">
        <f ca="1">FLUID!L70</f>
        <v>0</v>
      </c>
      <c r="I27" s="14">
        <f ca="1">FLUID!M70</f>
        <v>0</v>
      </c>
      <c r="J27" s="14">
        <f ca="1">FLUID!N70</f>
        <v>0</v>
      </c>
      <c r="K27" s="14">
        <f ca="1">FLUID!O70</f>
        <v>0</v>
      </c>
      <c r="L27" s="14">
        <f ca="1">FLUID!P70</f>
        <v>0</v>
      </c>
      <c r="M27" s="14">
        <f ca="1">FLUID!Q70</f>
        <v>0</v>
      </c>
      <c r="N27" s="14">
        <f ca="1">FLUID!R70</f>
        <v>0</v>
      </c>
      <c r="O27" s="14">
        <f ca="1">FLUID!S70</f>
        <v>0</v>
      </c>
      <c r="P27" s="14">
        <f ca="1">FLUID!T70</f>
        <v>0</v>
      </c>
      <c r="Q27" s="14">
        <f ca="1">FLUID!U70</f>
        <v>0</v>
      </c>
      <c r="R27" s="14">
        <f ca="1">FLUID!V70</f>
        <v>0</v>
      </c>
      <c r="S27" s="14">
        <f ca="1">FLUID!W70</f>
        <v>0</v>
      </c>
      <c r="T27" s="14">
        <f ca="1">FLUID!X70</f>
        <v>0</v>
      </c>
      <c r="U27" s="14">
        <f ca="1">FLUID!Y70</f>
        <v>0</v>
      </c>
      <c r="V27" s="14">
        <f ca="1">FLUID!Z70</f>
        <v>0</v>
      </c>
      <c r="W27" s="14">
        <f ca="1">FLUID!AA70</f>
        <v>0</v>
      </c>
      <c r="X27" s="14">
        <f ca="1">FLUID!AB70</f>
        <v>0</v>
      </c>
      <c r="Y27" s="14">
        <f ca="1">FLUID!AC70</f>
        <v>0</v>
      </c>
      <c r="Z27" s="14">
        <f ca="1">FLUID!AD70</f>
        <v>0</v>
      </c>
      <c r="AA27" s="14">
        <f ca="1">FLUID!AE70</f>
        <v>0</v>
      </c>
      <c r="AB27" s="14">
        <f ca="1">FLUID!AF70</f>
        <v>0</v>
      </c>
      <c r="AC27" s="14">
        <f ca="1">FLUID!AG70</f>
        <v>0</v>
      </c>
      <c r="AD27" s="14">
        <f ca="1">FLUID!AH70</f>
        <v>0</v>
      </c>
      <c r="AE27" s="14">
        <f ca="1">FLUID!AI70</f>
        <v>0</v>
      </c>
      <c r="AF27" s="14">
        <f ca="1">FLUID!AJ70</f>
        <v>0</v>
      </c>
      <c r="AG27" s="14">
        <f ca="1">FLUID!AK70</f>
        <v>0</v>
      </c>
      <c r="AH27" s="14">
        <f ca="1">FLUID!AL70</f>
        <v>0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</row>
    <row r="28" spans="1:94" ht="22.5" hidden="1" customHeight="1" outlineLevel="1" thickBot="1" x14ac:dyDescent="0.4">
      <c r="A28" s="36">
        <f>FLUID!E71</f>
        <v>0</v>
      </c>
      <c r="B28" s="16">
        <f ca="1">FLUID!F71</f>
        <v>0</v>
      </c>
      <c r="C28" s="16">
        <f ca="1">FLUID!G71</f>
        <v>0</v>
      </c>
      <c r="D28" s="16">
        <f ca="1">FLUID!H71</f>
        <v>0</v>
      </c>
      <c r="E28" s="16">
        <f ca="1">FLUID!I71</f>
        <v>0</v>
      </c>
      <c r="F28" s="14">
        <f ca="1">FLUID!J71</f>
        <v>0</v>
      </c>
      <c r="G28" s="14">
        <f ca="1">FLUID!K71</f>
        <v>0</v>
      </c>
      <c r="H28" s="14">
        <f ca="1">FLUID!L71</f>
        <v>0</v>
      </c>
      <c r="I28" s="14">
        <f ca="1">FLUID!M71</f>
        <v>0</v>
      </c>
      <c r="J28" s="14">
        <f ca="1">FLUID!N71</f>
        <v>0</v>
      </c>
      <c r="K28" s="14">
        <f ca="1">FLUID!O71</f>
        <v>0</v>
      </c>
      <c r="L28" s="14">
        <f ca="1">FLUID!P71</f>
        <v>0</v>
      </c>
      <c r="M28" s="14">
        <f ca="1">FLUID!Q71</f>
        <v>0</v>
      </c>
      <c r="N28" s="14">
        <f ca="1">FLUID!R71</f>
        <v>0</v>
      </c>
      <c r="O28" s="14">
        <f ca="1">FLUID!S71</f>
        <v>0</v>
      </c>
      <c r="P28" s="14">
        <f ca="1">FLUID!T71</f>
        <v>0</v>
      </c>
      <c r="Q28" s="14">
        <f ca="1">FLUID!U71</f>
        <v>0</v>
      </c>
      <c r="R28" s="14">
        <f ca="1">FLUID!V71</f>
        <v>0</v>
      </c>
      <c r="S28" s="14">
        <f ca="1">FLUID!W71</f>
        <v>0</v>
      </c>
      <c r="T28" s="14">
        <f ca="1">FLUID!X71</f>
        <v>0</v>
      </c>
      <c r="U28" s="14">
        <f ca="1">FLUID!Y71</f>
        <v>0</v>
      </c>
      <c r="V28" s="14">
        <f ca="1">FLUID!Z71</f>
        <v>0</v>
      </c>
      <c r="W28" s="14">
        <f ca="1">FLUID!AA71</f>
        <v>0</v>
      </c>
      <c r="X28" s="14">
        <f ca="1">FLUID!AB71</f>
        <v>0</v>
      </c>
      <c r="Y28" s="14">
        <f ca="1">FLUID!AC71</f>
        <v>0</v>
      </c>
      <c r="Z28" s="14">
        <f ca="1">FLUID!AD71</f>
        <v>0</v>
      </c>
      <c r="AA28" s="14">
        <f ca="1">FLUID!AE71</f>
        <v>0</v>
      </c>
      <c r="AB28" s="14">
        <f ca="1">FLUID!AF71</f>
        <v>0</v>
      </c>
      <c r="AC28" s="14">
        <f ca="1">FLUID!AG71</f>
        <v>0</v>
      </c>
      <c r="AD28" s="14">
        <f ca="1">FLUID!AH71</f>
        <v>0</v>
      </c>
      <c r="AE28" s="14">
        <f ca="1">FLUID!AI71</f>
        <v>0</v>
      </c>
      <c r="AF28" s="14">
        <f ca="1">FLUID!AJ71</f>
        <v>0</v>
      </c>
      <c r="AG28" s="14">
        <f ca="1">FLUID!AK71</f>
        <v>0</v>
      </c>
      <c r="AH28" s="14">
        <f ca="1">FLUID!AL71</f>
        <v>0</v>
      </c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</row>
    <row r="29" spans="1:94" ht="22.5" hidden="1" customHeight="1" outlineLevel="1" thickBot="1" x14ac:dyDescent="0.4">
      <c r="A29" s="36">
        <f>FLUID!E72</f>
        <v>0</v>
      </c>
      <c r="B29" s="16">
        <f ca="1">FLUID!F72</f>
        <v>0</v>
      </c>
      <c r="C29" s="16">
        <f>FLUID!G76</f>
        <v>0</v>
      </c>
      <c r="D29" s="16">
        <f>FLUID!H76</f>
        <v>0</v>
      </c>
      <c r="E29" s="16">
        <f>FLUID!I76</f>
        <v>0</v>
      </c>
      <c r="F29" s="14" t="e">
        <f>#REF!</f>
        <v>#REF!</v>
      </c>
      <c r="G29" s="14" t="e">
        <f>#REF!</f>
        <v>#REF!</v>
      </c>
      <c r="H29" s="14" t="e">
        <f>#REF!</f>
        <v>#REF!</v>
      </c>
      <c r="I29" s="14" t="e">
        <f>#REF!</f>
        <v>#REF!</v>
      </c>
      <c r="J29" s="14" t="e">
        <f>#REF!</f>
        <v>#REF!</v>
      </c>
      <c r="K29" s="14" t="e">
        <f>#REF!</f>
        <v>#REF!</v>
      </c>
      <c r="L29" s="14" t="e">
        <f>#REF!</f>
        <v>#REF!</v>
      </c>
      <c r="M29" s="14" t="e">
        <f>#REF!</f>
        <v>#REF!</v>
      </c>
      <c r="N29" s="14" t="e">
        <f>#REF!</f>
        <v>#REF!</v>
      </c>
      <c r="O29" s="14" t="e">
        <f>#REF!</f>
        <v>#REF!</v>
      </c>
      <c r="P29" s="14" t="e">
        <f>#REF!</f>
        <v>#REF!</v>
      </c>
      <c r="Q29" s="14" t="e">
        <f>#REF!</f>
        <v>#REF!</v>
      </c>
      <c r="R29" s="14" t="e">
        <f>#REF!</f>
        <v>#REF!</v>
      </c>
      <c r="S29" s="14" t="e">
        <f>#REF!</f>
        <v>#REF!</v>
      </c>
      <c r="T29" s="14" t="e">
        <f>#REF!</f>
        <v>#REF!</v>
      </c>
      <c r="U29" s="14" t="e">
        <f>#REF!</f>
        <v>#REF!</v>
      </c>
      <c r="V29" s="14" t="e">
        <f>#REF!</f>
        <v>#REF!</v>
      </c>
      <c r="W29" s="14" t="e">
        <f>#REF!</f>
        <v>#REF!</v>
      </c>
      <c r="X29" s="14" t="e">
        <f>#REF!</f>
        <v>#REF!</v>
      </c>
      <c r="Y29" s="14" t="e">
        <f>#REF!</f>
        <v>#REF!</v>
      </c>
      <c r="Z29" s="14" t="e">
        <f>#REF!</f>
        <v>#REF!</v>
      </c>
      <c r="AA29" s="14" t="e">
        <f>#REF!</f>
        <v>#REF!</v>
      </c>
      <c r="AB29" s="14" t="e">
        <f>#REF!</f>
        <v>#REF!</v>
      </c>
      <c r="AC29" s="14" t="e">
        <f>#REF!</f>
        <v>#REF!</v>
      </c>
      <c r="AD29" s="14" t="e">
        <f>#REF!</f>
        <v>#REF!</v>
      </c>
      <c r="AE29" s="14" t="e">
        <f>#REF!</f>
        <v>#REF!</v>
      </c>
      <c r="AF29" s="14" t="e">
        <f>#REF!</f>
        <v>#REF!</v>
      </c>
      <c r="AG29" s="14" t="e">
        <f>#REF!</f>
        <v>#REF!</v>
      </c>
      <c r="AH29" s="14" t="e">
        <f>#REF!</f>
        <v>#REF!</v>
      </c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</row>
    <row r="30" spans="1:94" ht="22.5" hidden="1" customHeight="1" outlineLevel="1" thickBot="1" x14ac:dyDescent="0.4">
      <c r="A30" s="36">
        <f>FLUID!E73</f>
        <v>0</v>
      </c>
      <c r="B30" s="16">
        <f ca="1">FLUID!F73</f>
        <v>0</v>
      </c>
      <c r="C30" s="16">
        <f>FLUID!G77</f>
        <v>0</v>
      </c>
      <c r="D30" s="16">
        <f>FLUID!H77</f>
        <v>0</v>
      </c>
      <c r="E30" s="16">
        <f>FLUID!I77</f>
        <v>0</v>
      </c>
      <c r="F30" s="14" t="e">
        <f>#REF!</f>
        <v>#REF!</v>
      </c>
      <c r="G30" s="14" t="e">
        <f>#REF!</f>
        <v>#REF!</v>
      </c>
      <c r="H30" s="14" t="e">
        <f>#REF!</f>
        <v>#REF!</v>
      </c>
      <c r="I30" s="14" t="e">
        <f>#REF!</f>
        <v>#REF!</v>
      </c>
      <c r="J30" s="14" t="e">
        <f>#REF!</f>
        <v>#REF!</v>
      </c>
      <c r="K30" s="14" t="e">
        <f>#REF!</f>
        <v>#REF!</v>
      </c>
      <c r="L30" s="14" t="e">
        <f>#REF!</f>
        <v>#REF!</v>
      </c>
      <c r="M30" s="14" t="e">
        <f>#REF!</f>
        <v>#REF!</v>
      </c>
      <c r="N30" s="14" t="e">
        <f>#REF!</f>
        <v>#REF!</v>
      </c>
      <c r="O30" s="14" t="e">
        <f>#REF!</f>
        <v>#REF!</v>
      </c>
      <c r="P30" s="14" t="e">
        <f>#REF!</f>
        <v>#REF!</v>
      </c>
      <c r="Q30" s="14" t="e">
        <f>#REF!</f>
        <v>#REF!</v>
      </c>
      <c r="R30" s="14" t="e">
        <f>#REF!</f>
        <v>#REF!</v>
      </c>
      <c r="S30" s="14" t="e">
        <f>#REF!</f>
        <v>#REF!</v>
      </c>
      <c r="T30" s="14" t="e">
        <f>#REF!</f>
        <v>#REF!</v>
      </c>
      <c r="U30" s="14" t="e">
        <f>#REF!</f>
        <v>#REF!</v>
      </c>
      <c r="V30" s="14" t="e">
        <f>#REF!</f>
        <v>#REF!</v>
      </c>
      <c r="W30" s="14" t="e">
        <f>#REF!</f>
        <v>#REF!</v>
      </c>
      <c r="X30" s="14" t="e">
        <f>#REF!</f>
        <v>#REF!</v>
      </c>
      <c r="Y30" s="14" t="e">
        <f>#REF!</f>
        <v>#REF!</v>
      </c>
      <c r="Z30" s="14" t="e">
        <f>#REF!</f>
        <v>#REF!</v>
      </c>
      <c r="AA30" s="14" t="e">
        <f>#REF!</f>
        <v>#REF!</v>
      </c>
      <c r="AB30" s="14" t="e">
        <f>#REF!</f>
        <v>#REF!</v>
      </c>
      <c r="AC30" s="14" t="e">
        <f>#REF!</f>
        <v>#REF!</v>
      </c>
      <c r="AD30" s="14" t="e">
        <f>#REF!</f>
        <v>#REF!</v>
      </c>
      <c r="AE30" s="14" t="e">
        <f>#REF!</f>
        <v>#REF!</v>
      </c>
      <c r="AF30" s="14" t="e">
        <f>#REF!</f>
        <v>#REF!</v>
      </c>
      <c r="AG30" s="14" t="e">
        <f>#REF!</f>
        <v>#REF!</v>
      </c>
      <c r="AH30" s="14" t="e">
        <f>#REF!</f>
        <v>#REF!</v>
      </c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</row>
    <row r="31" spans="1:94" ht="22.5" hidden="1" customHeight="1" outlineLevel="1" thickBot="1" x14ac:dyDescent="0.4">
      <c r="A31" s="36">
        <f>FLUID!E74</f>
        <v>0</v>
      </c>
      <c r="B31" s="16">
        <f ca="1">FLUID!F74</f>
        <v>0</v>
      </c>
      <c r="C31" s="16">
        <f>FLUID!G78</f>
        <v>0</v>
      </c>
      <c r="D31" s="16">
        <f>FLUID!H78</f>
        <v>0</v>
      </c>
      <c r="E31" s="16">
        <f>FLUID!I78</f>
        <v>0</v>
      </c>
      <c r="F31" s="14" t="e">
        <f>#REF!</f>
        <v>#REF!</v>
      </c>
      <c r="G31" s="14" t="e">
        <f>#REF!</f>
        <v>#REF!</v>
      </c>
      <c r="H31" s="14" t="e">
        <f>#REF!</f>
        <v>#REF!</v>
      </c>
      <c r="I31" s="14" t="e">
        <f>#REF!</f>
        <v>#REF!</v>
      </c>
      <c r="J31" s="14" t="e">
        <f>#REF!</f>
        <v>#REF!</v>
      </c>
      <c r="K31" s="14" t="e">
        <f>#REF!</f>
        <v>#REF!</v>
      </c>
      <c r="L31" s="14" t="e">
        <f>#REF!</f>
        <v>#REF!</v>
      </c>
      <c r="M31" s="14" t="e">
        <f>#REF!</f>
        <v>#REF!</v>
      </c>
      <c r="N31" s="14" t="e">
        <f>#REF!</f>
        <v>#REF!</v>
      </c>
      <c r="O31" s="14" t="e">
        <f>#REF!</f>
        <v>#REF!</v>
      </c>
      <c r="P31" s="14" t="e">
        <f>#REF!</f>
        <v>#REF!</v>
      </c>
      <c r="Q31" s="14" t="e">
        <f>#REF!</f>
        <v>#REF!</v>
      </c>
      <c r="R31" s="14" t="e">
        <f>#REF!</f>
        <v>#REF!</v>
      </c>
      <c r="S31" s="14" t="e">
        <f>#REF!</f>
        <v>#REF!</v>
      </c>
      <c r="T31" s="14" t="e">
        <f>#REF!</f>
        <v>#REF!</v>
      </c>
      <c r="U31" s="14" t="e">
        <f>#REF!</f>
        <v>#REF!</v>
      </c>
      <c r="V31" s="14" t="e">
        <f>#REF!</f>
        <v>#REF!</v>
      </c>
      <c r="W31" s="14" t="e">
        <f>#REF!</f>
        <v>#REF!</v>
      </c>
      <c r="X31" s="14" t="e">
        <f>#REF!</f>
        <v>#REF!</v>
      </c>
      <c r="Y31" s="14" t="e">
        <f>#REF!</f>
        <v>#REF!</v>
      </c>
      <c r="Z31" s="14" t="e">
        <f>#REF!</f>
        <v>#REF!</v>
      </c>
      <c r="AA31" s="14" t="e">
        <f>#REF!</f>
        <v>#REF!</v>
      </c>
      <c r="AB31" s="14" t="e">
        <f>#REF!</f>
        <v>#REF!</v>
      </c>
      <c r="AC31" s="14" t="e">
        <f>#REF!</f>
        <v>#REF!</v>
      </c>
      <c r="AD31" s="14" t="e">
        <f>#REF!</f>
        <v>#REF!</v>
      </c>
      <c r="AE31" s="14" t="e">
        <f>#REF!</f>
        <v>#REF!</v>
      </c>
      <c r="AF31" s="14" t="e">
        <f>#REF!</f>
        <v>#REF!</v>
      </c>
      <c r="AG31" s="14" t="e">
        <f>#REF!</f>
        <v>#REF!</v>
      </c>
      <c r="AH31" s="14" t="e">
        <f>#REF!</f>
        <v>#REF!</v>
      </c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</row>
    <row r="32" spans="1:94" ht="22.5" hidden="1" customHeight="1" outlineLevel="1" thickBot="1" x14ac:dyDescent="0.4">
      <c r="A32" s="36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4">
        <f>FLUID!J75</f>
        <v>0</v>
      </c>
      <c r="G32" s="14">
        <f>FLUID!K75</f>
        <v>0</v>
      </c>
      <c r="H32" s="14">
        <f>FLUID!L75</f>
        <v>0</v>
      </c>
      <c r="I32" s="14">
        <f>FLUID!M75</f>
        <v>0</v>
      </c>
      <c r="J32" s="14">
        <f>FLUID!N75</f>
        <v>0</v>
      </c>
      <c r="K32" s="14">
        <f>FLUID!O75</f>
        <v>0</v>
      </c>
      <c r="L32" s="14">
        <f>FLUID!P75</f>
        <v>0</v>
      </c>
      <c r="M32" s="14">
        <f>FLUID!Q75</f>
        <v>0</v>
      </c>
      <c r="N32" s="14">
        <f>FLUID!R75</f>
        <v>0</v>
      </c>
      <c r="O32" s="14">
        <f>FLUID!S75</f>
        <v>0</v>
      </c>
      <c r="P32" s="14">
        <f>FLUID!T75</f>
        <v>0</v>
      </c>
      <c r="Q32" s="14">
        <f>FLUID!U75</f>
        <v>0</v>
      </c>
      <c r="R32" s="14">
        <f>FLUID!V75</f>
        <v>0</v>
      </c>
      <c r="S32" s="14">
        <f>FLUID!W75</f>
        <v>0</v>
      </c>
      <c r="T32" s="14">
        <f>FLUID!X75</f>
        <v>0</v>
      </c>
      <c r="U32" s="14">
        <f>FLUID!Y75</f>
        <v>0</v>
      </c>
      <c r="V32" s="14">
        <f>FLUID!Z75</f>
        <v>0</v>
      </c>
      <c r="W32" s="14">
        <f>FLUID!AA75</f>
        <v>0</v>
      </c>
      <c r="X32" s="14">
        <f>FLUID!AB75</f>
        <v>0</v>
      </c>
      <c r="Y32" s="14">
        <f>FLUID!AC75</f>
        <v>0</v>
      </c>
      <c r="Z32" s="14">
        <f>FLUID!AD75</f>
        <v>0</v>
      </c>
      <c r="AA32" s="14">
        <f>FLUID!AE75</f>
        <v>0</v>
      </c>
      <c r="AB32" s="14">
        <f>FLUID!AF75</f>
        <v>0</v>
      </c>
      <c r="AC32" s="14">
        <f>FLUID!AG75</f>
        <v>0</v>
      </c>
      <c r="AD32" s="14">
        <f>FLUID!AH75</f>
        <v>0</v>
      </c>
      <c r="AE32" s="14">
        <f>FLUID!AI75</f>
        <v>0</v>
      </c>
      <c r="AF32" s="14">
        <f>FLUID!AJ75</f>
        <v>0</v>
      </c>
      <c r="AG32" s="14">
        <f>FLUID!AK75</f>
        <v>0</v>
      </c>
      <c r="AH32" s="14">
        <f>FLUID!AL75</f>
        <v>0</v>
      </c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</row>
    <row r="33" spans="1:94" ht="22.5" collapsed="1" thickTop="1" thickBot="1" x14ac:dyDescent="0.4">
      <c r="A33" s="38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</row>
    <row r="34" spans="1:94" ht="22.5" thickTop="1" thickBot="1" x14ac:dyDescent="0.4">
      <c r="A34" s="4" t="s">
        <v>29</v>
      </c>
      <c r="B34" s="69">
        <f>SOLID!F45</f>
        <v>0</v>
      </c>
      <c r="C34" s="69">
        <f>SOLID!G45</f>
        <v>0</v>
      </c>
      <c r="D34" s="69">
        <f>SOLID!H45</f>
        <v>0</v>
      </c>
      <c r="E34" s="69">
        <f>SOLID!I45</f>
        <v>0</v>
      </c>
      <c r="F34" s="69">
        <f>SOLID!J45</f>
        <v>0</v>
      </c>
      <c r="G34" s="69">
        <f>SOLID!K45</f>
        <v>0</v>
      </c>
      <c r="H34" s="69">
        <f>SOLID!L45</f>
        <v>0</v>
      </c>
      <c r="I34" s="69">
        <f>SOLID!M45</f>
        <v>0</v>
      </c>
      <c r="J34" s="69">
        <f>SOLID!N45</f>
        <v>0</v>
      </c>
      <c r="K34" s="69">
        <f>SOLID!O45</f>
        <v>0</v>
      </c>
      <c r="L34" s="69">
        <f>SOLID!P45</f>
        <v>0</v>
      </c>
      <c r="M34" s="69">
        <f>SOLID!Q45</f>
        <v>0</v>
      </c>
      <c r="N34" s="69">
        <f>SOLID!R45</f>
        <v>0</v>
      </c>
      <c r="O34" s="69">
        <f>SOLID!S45</f>
        <v>0</v>
      </c>
      <c r="P34" s="69">
        <f>SOLID!T45</f>
        <v>0</v>
      </c>
      <c r="Q34" s="69">
        <f>SOLID!U45</f>
        <v>0</v>
      </c>
      <c r="R34" s="69">
        <f>SOLID!V45</f>
        <v>0</v>
      </c>
      <c r="S34" s="69">
        <f>SOLID!W45</f>
        <v>0</v>
      </c>
      <c r="T34" s="69">
        <f>SOLID!X45</f>
        <v>0</v>
      </c>
      <c r="U34" s="69">
        <f>SOLID!Y45</f>
        <v>0</v>
      </c>
      <c r="V34" s="69">
        <f>SOLID!Z45</f>
        <v>0</v>
      </c>
      <c r="W34" s="69">
        <f>SOLID!AA45</f>
        <v>0</v>
      </c>
      <c r="X34" s="69">
        <f>SOLID!AB45</f>
        <v>0</v>
      </c>
      <c r="Y34" s="69">
        <f>SOLID!AC45</f>
        <v>0</v>
      </c>
      <c r="Z34" s="69">
        <f>SOLID!AD45</f>
        <v>0</v>
      </c>
      <c r="AA34" s="69">
        <f>SOLID!AE45</f>
        <v>0</v>
      </c>
      <c r="AB34" s="69">
        <f>SOLID!AF45</f>
        <v>0</v>
      </c>
      <c r="AC34" s="69">
        <f>SOLID!AG45</f>
        <v>0</v>
      </c>
      <c r="AD34" s="69">
        <f>SOLID!AH45</f>
        <v>0</v>
      </c>
      <c r="AE34" s="69">
        <f>SOLID!AI45</f>
        <v>0</v>
      </c>
      <c r="AF34" s="69">
        <f>SOLID!AJ45</f>
        <v>0</v>
      </c>
      <c r="AG34" s="69">
        <f>SOLID!AK45</f>
        <v>0</v>
      </c>
      <c r="AH34" s="69">
        <f>SOLID!AL45</f>
        <v>0</v>
      </c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</row>
    <row r="35" spans="1:94" ht="22.5" hidden="1" outlineLevel="1" thickTop="1" thickBot="1" x14ac:dyDescent="0.4">
      <c r="A35" s="35">
        <f>SOLID!E46</f>
        <v>0</v>
      </c>
      <c r="B35" s="16" t="e">
        <f ca="1">SOLID!F46</f>
        <v>#N/A</v>
      </c>
      <c r="C35" s="16" t="e">
        <f ca="1">SOLID!G46</f>
        <v>#N/A</v>
      </c>
      <c r="D35" s="16" t="e">
        <f ca="1">SOLID!H46</f>
        <v>#N/A</v>
      </c>
      <c r="E35" s="16" t="e">
        <f ca="1">SOLID!I46</f>
        <v>#N/A</v>
      </c>
      <c r="F35" s="14" t="e">
        <f ca="1">SOLID!J46</f>
        <v>#N/A</v>
      </c>
      <c r="G35" s="14" t="e">
        <f ca="1">SOLID!K46</f>
        <v>#N/A</v>
      </c>
      <c r="H35" s="14" t="e">
        <f ca="1">SOLID!L46</f>
        <v>#N/A</v>
      </c>
      <c r="I35" s="14" t="e">
        <f ca="1">SOLID!M46</f>
        <v>#N/A</v>
      </c>
      <c r="J35" s="14" t="e">
        <f ca="1">SOLID!N46</f>
        <v>#N/A</v>
      </c>
      <c r="K35" s="14" t="e">
        <f ca="1">SOLID!O46</f>
        <v>#N/A</v>
      </c>
      <c r="L35" s="14" t="e">
        <f ca="1">SOLID!P46</f>
        <v>#N/A</v>
      </c>
      <c r="M35" s="14" t="e">
        <f ca="1">SOLID!Q46</f>
        <v>#N/A</v>
      </c>
      <c r="N35" s="14" t="e">
        <f ca="1">SOLID!R46</f>
        <v>#N/A</v>
      </c>
      <c r="O35" s="14" t="e">
        <f ca="1">SOLID!S46</f>
        <v>#N/A</v>
      </c>
      <c r="P35" s="14" t="e">
        <f ca="1">SOLID!T46</f>
        <v>#N/A</v>
      </c>
      <c r="Q35" s="14" t="e">
        <f ca="1">SOLID!U46</f>
        <v>#N/A</v>
      </c>
      <c r="R35" s="14" t="e">
        <f ca="1">SOLID!V46</f>
        <v>#N/A</v>
      </c>
      <c r="S35" s="14" t="e">
        <f ca="1">SOLID!W46</f>
        <v>#N/A</v>
      </c>
      <c r="T35" s="14" t="e">
        <f ca="1">SOLID!X46</f>
        <v>#N/A</v>
      </c>
      <c r="U35" s="14" t="e">
        <f ca="1">SOLID!Y46</f>
        <v>#N/A</v>
      </c>
      <c r="V35" s="14" t="e">
        <f ca="1">SOLID!Z46</f>
        <v>#N/A</v>
      </c>
      <c r="W35" s="14" t="e">
        <f ca="1">SOLID!AA46</f>
        <v>#N/A</v>
      </c>
      <c r="X35" s="14" t="e">
        <f ca="1">SOLID!AB46</f>
        <v>#N/A</v>
      </c>
      <c r="Y35" s="14" t="e">
        <f ca="1">SOLID!AC46</f>
        <v>#N/A</v>
      </c>
      <c r="Z35" s="14" t="e">
        <f ca="1">SOLID!AD46</f>
        <v>#N/A</v>
      </c>
      <c r="AA35" s="14" t="e">
        <f ca="1">SOLID!AE46</f>
        <v>#N/A</v>
      </c>
      <c r="AB35" s="14" t="e">
        <f ca="1">SOLID!AF46</f>
        <v>#N/A</v>
      </c>
      <c r="AC35" s="14" t="e">
        <f ca="1">SOLID!AG46</f>
        <v>#N/A</v>
      </c>
      <c r="AD35" s="14" t="e">
        <f ca="1">SOLID!AH46</f>
        <v>#N/A</v>
      </c>
      <c r="AE35" s="14" t="e">
        <f ca="1">SOLID!AI46</f>
        <v>#N/A</v>
      </c>
      <c r="AF35" s="14" t="e">
        <f ca="1">SOLID!AJ46</f>
        <v>#N/A</v>
      </c>
      <c r="AG35" s="14" t="e">
        <f ca="1">SOLID!AK46</f>
        <v>#N/A</v>
      </c>
      <c r="AH35" s="14" t="e">
        <f ca="1">SOLID!AL46</f>
        <v>#N/A</v>
      </c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</row>
    <row r="36" spans="1:94" ht="21.75" hidden="1" outlineLevel="1" thickBot="1" x14ac:dyDescent="0.4">
      <c r="A36" s="35">
        <f>SOLID!E47</f>
        <v>0</v>
      </c>
      <c r="B36" s="16" t="e">
        <f ca="1">SOLID!F47</f>
        <v>#N/A</v>
      </c>
      <c r="C36" s="16" t="e">
        <f ca="1">SOLID!G47</f>
        <v>#N/A</v>
      </c>
      <c r="D36" s="16" t="e">
        <f ca="1">SOLID!H47</f>
        <v>#N/A</v>
      </c>
      <c r="E36" s="16" t="e">
        <f ca="1">SOLID!I47</f>
        <v>#N/A</v>
      </c>
      <c r="F36" s="14" t="e">
        <f ca="1">SOLID!J47</f>
        <v>#N/A</v>
      </c>
      <c r="G36" s="14" t="e">
        <f ca="1">SOLID!K47</f>
        <v>#N/A</v>
      </c>
      <c r="H36" s="14" t="e">
        <f ca="1">SOLID!L47</f>
        <v>#N/A</v>
      </c>
      <c r="I36" s="14" t="e">
        <f ca="1">SOLID!M47</f>
        <v>#N/A</v>
      </c>
      <c r="J36" s="14" t="e">
        <f ca="1">SOLID!N47</f>
        <v>#N/A</v>
      </c>
      <c r="K36" s="14" t="e">
        <f ca="1">SOLID!O47</f>
        <v>#N/A</v>
      </c>
      <c r="L36" s="14" t="e">
        <f ca="1">SOLID!P47</f>
        <v>#N/A</v>
      </c>
      <c r="M36" s="14" t="e">
        <f ca="1">SOLID!Q47</f>
        <v>#N/A</v>
      </c>
      <c r="N36" s="14" t="e">
        <f ca="1">SOLID!R47</f>
        <v>#N/A</v>
      </c>
      <c r="O36" s="14" t="e">
        <f ca="1">SOLID!S47</f>
        <v>#N/A</v>
      </c>
      <c r="P36" s="14" t="e">
        <f ca="1">SOLID!T47</f>
        <v>#N/A</v>
      </c>
      <c r="Q36" s="14" t="e">
        <f ca="1">SOLID!U47</f>
        <v>#N/A</v>
      </c>
      <c r="R36" s="14" t="e">
        <f ca="1">SOLID!V47</f>
        <v>#N/A</v>
      </c>
      <c r="S36" s="14" t="e">
        <f ca="1">SOLID!W47</f>
        <v>#N/A</v>
      </c>
      <c r="T36" s="14" t="e">
        <f ca="1">SOLID!X47</f>
        <v>#N/A</v>
      </c>
      <c r="U36" s="14" t="e">
        <f ca="1">SOLID!Y47</f>
        <v>#N/A</v>
      </c>
      <c r="V36" s="14" t="e">
        <f ca="1">SOLID!Z47</f>
        <v>#N/A</v>
      </c>
      <c r="W36" s="14" t="e">
        <f ca="1">SOLID!AA47</f>
        <v>#N/A</v>
      </c>
      <c r="X36" s="14" t="e">
        <f ca="1">SOLID!AB47</f>
        <v>#N/A</v>
      </c>
      <c r="Y36" s="14" t="e">
        <f ca="1">SOLID!AC47</f>
        <v>#N/A</v>
      </c>
      <c r="Z36" s="14" t="e">
        <f ca="1">SOLID!AD47</f>
        <v>#N/A</v>
      </c>
      <c r="AA36" s="14" t="e">
        <f ca="1">SOLID!AE47</f>
        <v>#N/A</v>
      </c>
      <c r="AB36" s="14" t="e">
        <f ca="1">SOLID!AF47</f>
        <v>#N/A</v>
      </c>
      <c r="AC36" s="14" t="e">
        <f ca="1">SOLID!AG47</f>
        <v>#N/A</v>
      </c>
      <c r="AD36" s="14" t="e">
        <f ca="1">SOLID!AH47</f>
        <v>#N/A</v>
      </c>
      <c r="AE36" s="14" t="e">
        <f ca="1">SOLID!AI47</f>
        <v>#N/A</v>
      </c>
      <c r="AF36" s="14" t="e">
        <f ca="1">SOLID!AJ47</f>
        <v>#N/A</v>
      </c>
      <c r="AG36" s="14" t="e">
        <f ca="1">SOLID!AK47</f>
        <v>#N/A</v>
      </c>
      <c r="AH36" s="14" t="e">
        <f ca="1">SOLID!AL47</f>
        <v>#N/A</v>
      </c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</row>
    <row r="37" spans="1:94" ht="21.75" hidden="1" outlineLevel="1" thickBot="1" x14ac:dyDescent="0.4">
      <c r="A37" s="35">
        <f>SOLID!E48</f>
        <v>0</v>
      </c>
      <c r="B37" s="16" t="e">
        <f ca="1">SOLID!F48</f>
        <v>#N/A</v>
      </c>
      <c r="C37" s="16" t="e">
        <f ca="1">SOLID!G48</f>
        <v>#N/A</v>
      </c>
      <c r="D37" s="16" t="e">
        <f ca="1">SOLID!H48</f>
        <v>#N/A</v>
      </c>
      <c r="E37" s="16" t="e">
        <f ca="1">SOLID!I48</f>
        <v>#N/A</v>
      </c>
      <c r="F37" s="14" t="e">
        <f ca="1">SOLID!J48</f>
        <v>#N/A</v>
      </c>
      <c r="G37" s="14" t="e">
        <f ca="1">SOLID!K48</f>
        <v>#N/A</v>
      </c>
      <c r="H37" s="14" t="e">
        <f ca="1">SOLID!L48</f>
        <v>#N/A</v>
      </c>
      <c r="I37" s="14" t="e">
        <f ca="1">SOLID!M48</f>
        <v>#N/A</v>
      </c>
      <c r="J37" s="14" t="e">
        <f ca="1">SOLID!N48</f>
        <v>#N/A</v>
      </c>
      <c r="K37" s="14" t="e">
        <f ca="1">SOLID!O48</f>
        <v>#N/A</v>
      </c>
      <c r="L37" s="14" t="e">
        <f ca="1">SOLID!P48</f>
        <v>#N/A</v>
      </c>
      <c r="M37" s="14" t="e">
        <f ca="1">SOLID!Q48</f>
        <v>#N/A</v>
      </c>
      <c r="N37" s="14" t="e">
        <f ca="1">SOLID!R48</f>
        <v>#N/A</v>
      </c>
      <c r="O37" s="14" t="e">
        <f ca="1">SOLID!S48</f>
        <v>#N/A</v>
      </c>
      <c r="P37" s="14" t="e">
        <f ca="1">SOLID!T48</f>
        <v>#N/A</v>
      </c>
      <c r="Q37" s="14" t="e">
        <f ca="1">SOLID!U48</f>
        <v>#N/A</v>
      </c>
      <c r="R37" s="14" t="e">
        <f ca="1">SOLID!V48</f>
        <v>#N/A</v>
      </c>
      <c r="S37" s="14" t="e">
        <f ca="1">SOLID!W48</f>
        <v>#N/A</v>
      </c>
      <c r="T37" s="14" t="e">
        <f ca="1">SOLID!X48</f>
        <v>#N/A</v>
      </c>
      <c r="U37" s="14" t="e">
        <f ca="1">SOLID!Y48</f>
        <v>#N/A</v>
      </c>
      <c r="V37" s="14" t="e">
        <f ca="1">SOLID!Z48</f>
        <v>#N/A</v>
      </c>
      <c r="W37" s="14" t="e">
        <f ca="1">SOLID!AA48</f>
        <v>#N/A</v>
      </c>
      <c r="X37" s="14" t="e">
        <f ca="1">SOLID!AB48</f>
        <v>#N/A</v>
      </c>
      <c r="Y37" s="14" t="e">
        <f ca="1">SOLID!AC48</f>
        <v>#N/A</v>
      </c>
      <c r="Z37" s="14" t="e">
        <f ca="1">SOLID!AD48</f>
        <v>#N/A</v>
      </c>
      <c r="AA37" s="14" t="e">
        <f ca="1">SOLID!AE48</f>
        <v>#N/A</v>
      </c>
      <c r="AB37" s="14" t="e">
        <f ca="1">SOLID!AF48</f>
        <v>#N/A</v>
      </c>
      <c r="AC37" s="14" t="e">
        <f ca="1">SOLID!AG48</f>
        <v>#N/A</v>
      </c>
      <c r="AD37" s="14" t="e">
        <f ca="1">SOLID!AH48</f>
        <v>#N/A</v>
      </c>
      <c r="AE37" s="14" t="e">
        <f ca="1">SOLID!AI48</f>
        <v>#N/A</v>
      </c>
      <c r="AF37" s="14" t="e">
        <f ca="1">SOLID!AJ48</f>
        <v>#N/A</v>
      </c>
      <c r="AG37" s="14" t="e">
        <f ca="1">SOLID!AK48</f>
        <v>#N/A</v>
      </c>
      <c r="AH37" s="14" t="e">
        <f ca="1">SOLID!AL48</f>
        <v>#N/A</v>
      </c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</row>
    <row r="38" spans="1:94" ht="21.75" hidden="1" outlineLevel="1" thickBot="1" x14ac:dyDescent="0.4">
      <c r="A38" s="35">
        <f>SOLID!E49</f>
        <v>0</v>
      </c>
      <c r="B38" s="16" t="e">
        <f ca="1">SOLID!F49</f>
        <v>#N/A</v>
      </c>
      <c r="C38" s="16" t="e">
        <f ca="1">SOLID!G49</f>
        <v>#N/A</v>
      </c>
      <c r="D38" s="16" t="e">
        <f ca="1">SOLID!H49</f>
        <v>#N/A</v>
      </c>
      <c r="E38" s="16" t="e">
        <f ca="1">SOLID!I49</f>
        <v>#N/A</v>
      </c>
      <c r="F38" s="14" t="e">
        <f ca="1">SOLID!J49</f>
        <v>#N/A</v>
      </c>
      <c r="G38" s="14" t="e">
        <f ca="1">SOLID!K49</f>
        <v>#N/A</v>
      </c>
      <c r="H38" s="14" t="e">
        <f ca="1">SOLID!L49</f>
        <v>#N/A</v>
      </c>
      <c r="I38" s="14" t="e">
        <f ca="1">SOLID!M49</f>
        <v>#N/A</v>
      </c>
      <c r="J38" s="14" t="e">
        <f ca="1">SOLID!N49</f>
        <v>#N/A</v>
      </c>
      <c r="K38" s="14" t="e">
        <f ca="1">SOLID!O49</f>
        <v>#N/A</v>
      </c>
      <c r="L38" s="14" t="e">
        <f ca="1">SOLID!P49</f>
        <v>#N/A</v>
      </c>
      <c r="M38" s="14" t="e">
        <f ca="1">SOLID!Q49</f>
        <v>#N/A</v>
      </c>
      <c r="N38" s="14" t="e">
        <f ca="1">SOLID!R49</f>
        <v>#N/A</v>
      </c>
      <c r="O38" s="14" t="e">
        <f ca="1">SOLID!S49</f>
        <v>#N/A</v>
      </c>
      <c r="P38" s="14" t="e">
        <f ca="1">SOLID!T49</f>
        <v>#N/A</v>
      </c>
      <c r="Q38" s="14" t="e">
        <f ca="1">SOLID!U49</f>
        <v>#N/A</v>
      </c>
      <c r="R38" s="14" t="e">
        <f ca="1">SOLID!V49</f>
        <v>#N/A</v>
      </c>
      <c r="S38" s="14" t="e">
        <f ca="1">SOLID!W49</f>
        <v>#N/A</v>
      </c>
      <c r="T38" s="14" t="e">
        <f ca="1">SOLID!X49</f>
        <v>#N/A</v>
      </c>
      <c r="U38" s="14" t="e">
        <f ca="1">SOLID!Y49</f>
        <v>#N/A</v>
      </c>
      <c r="V38" s="14" t="e">
        <f ca="1">SOLID!Z49</f>
        <v>#N/A</v>
      </c>
      <c r="W38" s="14" t="e">
        <f ca="1">SOLID!AA49</f>
        <v>#N/A</v>
      </c>
      <c r="X38" s="14" t="e">
        <f ca="1">SOLID!AB49</f>
        <v>#N/A</v>
      </c>
      <c r="Y38" s="14" t="e">
        <f ca="1">SOLID!AC49</f>
        <v>#N/A</v>
      </c>
      <c r="Z38" s="14" t="e">
        <f ca="1">SOLID!AD49</f>
        <v>#N/A</v>
      </c>
      <c r="AA38" s="14" t="e">
        <f ca="1">SOLID!AE49</f>
        <v>#N/A</v>
      </c>
      <c r="AB38" s="14" t="e">
        <f ca="1">SOLID!AF49</f>
        <v>#N/A</v>
      </c>
      <c r="AC38" s="14" t="e">
        <f ca="1">SOLID!AG49</f>
        <v>#N/A</v>
      </c>
      <c r="AD38" s="14" t="e">
        <f ca="1">SOLID!AH49</f>
        <v>#N/A</v>
      </c>
      <c r="AE38" s="14" t="e">
        <f ca="1">SOLID!AI49</f>
        <v>#N/A</v>
      </c>
      <c r="AF38" s="14" t="e">
        <f ca="1">SOLID!AJ49</f>
        <v>#N/A</v>
      </c>
      <c r="AG38" s="14" t="e">
        <f ca="1">SOLID!AK49</f>
        <v>#N/A</v>
      </c>
      <c r="AH38" s="14" t="e">
        <f ca="1">SOLID!AL49</f>
        <v>#N/A</v>
      </c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</row>
    <row r="39" spans="1:94" ht="21.75" hidden="1" outlineLevel="1" thickBot="1" x14ac:dyDescent="0.4">
      <c r="A39" s="35">
        <f>SOLID!E50</f>
        <v>0</v>
      </c>
      <c r="B39" s="16" t="e">
        <f ca="1">SOLID!F50</f>
        <v>#N/A</v>
      </c>
      <c r="C39" s="16" t="e">
        <f ca="1">SOLID!G50</f>
        <v>#N/A</v>
      </c>
      <c r="D39" s="16" t="e">
        <f ca="1">SOLID!H50</f>
        <v>#N/A</v>
      </c>
      <c r="E39" s="16" t="e">
        <f ca="1">SOLID!I50</f>
        <v>#N/A</v>
      </c>
      <c r="F39" s="14" t="e">
        <f ca="1">SOLID!J50</f>
        <v>#N/A</v>
      </c>
      <c r="G39" s="14" t="e">
        <f ca="1">SOLID!K50</f>
        <v>#N/A</v>
      </c>
      <c r="H39" s="14" t="e">
        <f ca="1">SOLID!L50</f>
        <v>#N/A</v>
      </c>
      <c r="I39" s="14" t="e">
        <f ca="1">SOLID!M50</f>
        <v>#N/A</v>
      </c>
      <c r="J39" s="14" t="e">
        <f ca="1">SOLID!N50</f>
        <v>#N/A</v>
      </c>
      <c r="K39" s="14" t="e">
        <f ca="1">SOLID!O50</f>
        <v>#N/A</v>
      </c>
      <c r="L39" s="14" t="e">
        <f ca="1">SOLID!P50</f>
        <v>#N/A</v>
      </c>
      <c r="M39" s="14" t="e">
        <f ca="1">SOLID!Q50</f>
        <v>#N/A</v>
      </c>
      <c r="N39" s="14" t="e">
        <f ca="1">SOLID!R50</f>
        <v>#N/A</v>
      </c>
      <c r="O39" s="14" t="e">
        <f ca="1">SOLID!S50</f>
        <v>#N/A</v>
      </c>
      <c r="P39" s="14" t="e">
        <f ca="1">SOLID!T50</f>
        <v>#N/A</v>
      </c>
      <c r="Q39" s="14" t="e">
        <f ca="1">SOLID!U50</f>
        <v>#N/A</v>
      </c>
      <c r="R39" s="14" t="e">
        <f ca="1">SOLID!V50</f>
        <v>#N/A</v>
      </c>
      <c r="S39" s="14" t="e">
        <f ca="1">SOLID!W50</f>
        <v>#N/A</v>
      </c>
      <c r="T39" s="14" t="e">
        <f ca="1">SOLID!X50</f>
        <v>#N/A</v>
      </c>
      <c r="U39" s="14" t="e">
        <f ca="1">SOLID!Y50</f>
        <v>#N/A</v>
      </c>
      <c r="V39" s="14" t="e">
        <f ca="1">SOLID!Z50</f>
        <v>#N/A</v>
      </c>
      <c r="W39" s="14" t="e">
        <f ca="1">SOLID!AA50</f>
        <v>#N/A</v>
      </c>
      <c r="X39" s="14" t="e">
        <f ca="1">SOLID!AB50</f>
        <v>#N/A</v>
      </c>
      <c r="Y39" s="14" t="e">
        <f ca="1">SOLID!AC50</f>
        <v>#N/A</v>
      </c>
      <c r="Z39" s="14" t="e">
        <f ca="1">SOLID!AD50</f>
        <v>#N/A</v>
      </c>
      <c r="AA39" s="14" t="e">
        <f ca="1">SOLID!AE50</f>
        <v>#N/A</v>
      </c>
      <c r="AB39" s="14" t="e">
        <f ca="1">SOLID!AF50</f>
        <v>#N/A</v>
      </c>
      <c r="AC39" s="14" t="e">
        <f ca="1">SOLID!AG50</f>
        <v>#N/A</v>
      </c>
      <c r="AD39" s="14" t="e">
        <f ca="1">SOLID!AH50</f>
        <v>#N/A</v>
      </c>
      <c r="AE39" s="14" t="e">
        <f ca="1">SOLID!AI50</f>
        <v>#N/A</v>
      </c>
      <c r="AF39" s="14" t="e">
        <f ca="1">SOLID!AJ50</f>
        <v>#N/A</v>
      </c>
      <c r="AG39" s="14" t="e">
        <f ca="1">SOLID!AK50</f>
        <v>#N/A</v>
      </c>
      <c r="AH39" s="14" t="e">
        <f ca="1">SOLID!AL50</f>
        <v>#N/A</v>
      </c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</row>
    <row r="40" spans="1:94" ht="21.75" hidden="1" outlineLevel="1" thickBot="1" x14ac:dyDescent="0.4">
      <c r="A40" s="35">
        <f>SOLID!E51</f>
        <v>0</v>
      </c>
      <c r="B40" s="16" t="e">
        <f ca="1">SOLID!F51</f>
        <v>#N/A</v>
      </c>
      <c r="C40" s="16" t="e">
        <f ca="1">SOLID!G51</f>
        <v>#N/A</v>
      </c>
      <c r="D40" s="16" t="e">
        <f ca="1">SOLID!H51</f>
        <v>#N/A</v>
      </c>
      <c r="E40" s="16" t="e">
        <f ca="1">SOLID!I51</f>
        <v>#N/A</v>
      </c>
      <c r="F40" s="14" t="e">
        <f ca="1">SOLID!J51</f>
        <v>#N/A</v>
      </c>
      <c r="G40" s="14" t="e">
        <f ca="1">SOLID!K51</f>
        <v>#N/A</v>
      </c>
      <c r="H40" s="14" t="e">
        <f ca="1">SOLID!L51</f>
        <v>#N/A</v>
      </c>
      <c r="I40" s="14" t="e">
        <f ca="1">SOLID!M51</f>
        <v>#N/A</v>
      </c>
      <c r="J40" s="14" t="e">
        <f ca="1">SOLID!N51</f>
        <v>#N/A</v>
      </c>
      <c r="K40" s="14" t="e">
        <f ca="1">SOLID!O51</f>
        <v>#N/A</v>
      </c>
      <c r="L40" s="14" t="e">
        <f ca="1">SOLID!P51</f>
        <v>#N/A</v>
      </c>
      <c r="M40" s="14" t="e">
        <f ca="1">SOLID!Q51</f>
        <v>#N/A</v>
      </c>
      <c r="N40" s="14" t="e">
        <f ca="1">SOLID!R51</f>
        <v>#N/A</v>
      </c>
      <c r="O40" s="14" t="e">
        <f ca="1">SOLID!S51</f>
        <v>#N/A</v>
      </c>
      <c r="P40" s="14" t="e">
        <f ca="1">SOLID!T51</f>
        <v>#N/A</v>
      </c>
      <c r="Q40" s="14" t="e">
        <f ca="1">SOLID!U51</f>
        <v>#N/A</v>
      </c>
      <c r="R40" s="14" t="e">
        <f ca="1">SOLID!V51</f>
        <v>#N/A</v>
      </c>
      <c r="S40" s="14" t="e">
        <f ca="1">SOLID!W51</f>
        <v>#N/A</v>
      </c>
      <c r="T40" s="14" t="e">
        <f ca="1">SOLID!X51</f>
        <v>#N/A</v>
      </c>
      <c r="U40" s="14" t="e">
        <f ca="1">SOLID!Y51</f>
        <v>#N/A</v>
      </c>
      <c r="V40" s="14" t="e">
        <f ca="1">SOLID!Z51</f>
        <v>#N/A</v>
      </c>
      <c r="W40" s="14" t="e">
        <f ca="1">SOLID!AA51</f>
        <v>#N/A</v>
      </c>
      <c r="X40" s="14" t="e">
        <f ca="1">SOLID!AB51</f>
        <v>#N/A</v>
      </c>
      <c r="Y40" s="14" t="e">
        <f ca="1">SOLID!AC51</f>
        <v>#N/A</v>
      </c>
      <c r="Z40" s="14" t="e">
        <f ca="1">SOLID!AD51</f>
        <v>#N/A</v>
      </c>
      <c r="AA40" s="14" t="e">
        <f ca="1">SOLID!AE51</f>
        <v>#N/A</v>
      </c>
      <c r="AB40" s="14" t="e">
        <f ca="1">SOLID!AF51</f>
        <v>#N/A</v>
      </c>
      <c r="AC40" s="14" t="e">
        <f ca="1">SOLID!AG51</f>
        <v>#N/A</v>
      </c>
      <c r="AD40" s="14" t="e">
        <f ca="1">SOLID!AH51</f>
        <v>#N/A</v>
      </c>
      <c r="AE40" s="14" t="e">
        <f ca="1">SOLID!AI51</f>
        <v>#N/A</v>
      </c>
      <c r="AF40" s="14" t="e">
        <f ca="1">SOLID!AJ51</f>
        <v>#N/A</v>
      </c>
      <c r="AG40" s="14" t="e">
        <f ca="1">SOLID!AK51</f>
        <v>#N/A</v>
      </c>
      <c r="AH40" s="14" t="e">
        <f ca="1">SOLID!AL51</f>
        <v>#N/A</v>
      </c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</row>
    <row r="41" spans="1:94" ht="21.75" hidden="1" outlineLevel="1" thickBot="1" x14ac:dyDescent="0.4">
      <c r="A41" s="35">
        <f>SOLID!E52</f>
        <v>0</v>
      </c>
      <c r="B41" s="16" t="e">
        <f ca="1">SOLID!F52</f>
        <v>#N/A</v>
      </c>
      <c r="C41" s="16" t="e">
        <f ca="1">SOLID!G52</f>
        <v>#N/A</v>
      </c>
      <c r="D41" s="16" t="e">
        <f ca="1">SOLID!H52</f>
        <v>#N/A</v>
      </c>
      <c r="E41" s="16" t="e">
        <f ca="1">SOLID!I52</f>
        <v>#N/A</v>
      </c>
      <c r="F41" s="14" t="e">
        <f ca="1">SOLID!J52</f>
        <v>#N/A</v>
      </c>
      <c r="G41" s="14" t="e">
        <f ca="1">SOLID!K52</f>
        <v>#N/A</v>
      </c>
      <c r="H41" s="14" t="e">
        <f ca="1">SOLID!L52</f>
        <v>#N/A</v>
      </c>
      <c r="I41" s="14" t="e">
        <f ca="1">SOLID!M52</f>
        <v>#N/A</v>
      </c>
      <c r="J41" s="14" t="e">
        <f ca="1">SOLID!N52</f>
        <v>#N/A</v>
      </c>
      <c r="K41" s="14" t="e">
        <f ca="1">SOLID!O52</f>
        <v>#N/A</v>
      </c>
      <c r="L41" s="14" t="e">
        <f ca="1">SOLID!P52</f>
        <v>#N/A</v>
      </c>
      <c r="M41" s="14" t="e">
        <f ca="1">SOLID!Q52</f>
        <v>#N/A</v>
      </c>
      <c r="N41" s="14" t="e">
        <f ca="1">SOLID!R52</f>
        <v>#N/A</v>
      </c>
      <c r="O41" s="14" t="e">
        <f ca="1">SOLID!S52</f>
        <v>#N/A</v>
      </c>
      <c r="P41" s="14" t="e">
        <f ca="1">SOLID!T52</f>
        <v>#N/A</v>
      </c>
      <c r="Q41" s="14" t="e">
        <f ca="1">SOLID!U52</f>
        <v>#N/A</v>
      </c>
      <c r="R41" s="14" t="e">
        <f ca="1">SOLID!V52</f>
        <v>#N/A</v>
      </c>
      <c r="S41" s="14" t="e">
        <f ca="1">SOLID!W52</f>
        <v>#N/A</v>
      </c>
      <c r="T41" s="14" t="e">
        <f ca="1">SOLID!X52</f>
        <v>#N/A</v>
      </c>
      <c r="U41" s="14" t="e">
        <f ca="1">SOLID!Y52</f>
        <v>#N/A</v>
      </c>
      <c r="V41" s="14" t="e">
        <f ca="1">SOLID!Z52</f>
        <v>#N/A</v>
      </c>
      <c r="W41" s="14" t="e">
        <f ca="1">SOLID!AA52</f>
        <v>#N/A</v>
      </c>
      <c r="X41" s="14" t="e">
        <f ca="1">SOLID!AB52</f>
        <v>#N/A</v>
      </c>
      <c r="Y41" s="14" t="e">
        <f ca="1">SOLID!AC52</f>
        <v>#N/A</v>
      </c>
      <c r="Z41" s="14" t="e">
        <f ca="1">SOLID!AD52</f>
        <v>#N/A</v>
      </c>
      <c r="AA41" s="14" t="e">
        <f ca="1">SOLID!AE52</f>
        <v>#N/A</v>
      </c>
      <c r="AB41" s="14" t="e">
        <f ca="1">SOLID!AF52</f>
        <v>#N/A</v>
      </c>
      <c r="AC41" s="14" t="e">
        <f ca="1">SOLID!AG52</f>
        <v>#N/A</v>
      </c>
      <c r="AD41" s="14" t="e">
        <f ca="1">SOLID!AH52</f>
        <v>#N/A</v>
      </c>
      <c r="AE41" s="14" t="e">
        <f ca="1">SOLID!AI52</f>
        <v>#N/A</v>
      </c>
      <c r="AF41" s="14" t="e">
        <f ca="1">SOLID!AJ52</f>
        <v>#N/A</v>
      </c>
      <c r="AG41" s="14" t="e">
        <f ca="1">SOLID!AK52</f>
        <v>#N/A</v>
      </c>
      <c r="AH41" s="14" t="e">
        <f ca="1">SOLID!AL52</f>
        <v>#N/A</v>
      </c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</row>
    <row r="42" spans="1:94" ht="21.75" hidden="1" outlineLevel="1" thickBot="1" x14ac:dyDescent="0.4">
      <c r="A42" s="35">
        <f>SOLID!E53</f>
        <v>0</v>
      </c>
      <c r="B42" s="16" t="e">
        <f ca="1">SOLID!F53</f>
        <v>#N/A</v>
      </c>
      <c r="C42" s="16" t="e">
        <f ca="1">SOLID!G53</f>
        <v>#N/A</v>
      </c>
      <c r="D42" s="16" t="e">
        <f ca="1">SOLID!H53</f>
        <v>#N/A</v>
      </c>
      <c r="E42" s="16" t="e">
        <f ca="1">SOLID!I53</f>
        <v>#N/A</v>
      </c>
      <c r="F42" s="14" t="e">
        <f ca="1">SOLID!J53</f>
        <v>#N/A</v>
      </c>
      <c r="G42" s="14" t="e">
        <f ca="1">SOLID!K53</f>
        <v>#N/A</v>
      </c>
      <c r="H42" s="14" t="e">
        <f ca="1">SOLID!L53</f>
        <v>#N/A</v>
      </c>
      <c r="I42" s="14" t="e">
        <f ca="1">SOLID!M53</f>
        <v>#N/A</v>
      </c>
      <c r="J42" s="14" t="e">
        <f ca="1">SOLID!N53</f>
        <v>#N/A</v>
      </c>
      <c r="K42" s="14" t="e">
        <f ca="1">SOLID!O53</f>
        <v>#N/A</v>
      </c>
      <c r="L42" s="14" t="e">
        <f ca="1">SOLID!P53</f>
        <v>#N/A</v>
      </c>
      <c r="M42" s="14" t="e">
        <f ca="1">SOLID!Q53</f>
        <v>#N/A</v>
      </c>
      <c r="N42" s="14" t="e">
        <f ca="1">SOLID!R53</f>
        <v>#N/A</v>
      </c>
      <c r="O42" s="14" t="e">
        <f ca="1">SOLID!S53</f>
        <v>#N/A</v>
      </c>
      <c r="P42" s="14" t="e">
        <f ca="1">SOLID!T53</f>
        <v>#N/A</v>
      </c>
      <c r="Q42" s="14" t="e">
        <f ca="1">SOLID!U53</f>
        <v>#N/A</v>
      </c>
      <c r="R42" s="14" t="e">
        <f ca="1">SOLID!V53</f>
        <v>#N/A</v>
      </c>
      <c r="S42" s="14" t="e">
        <f ca="1">SOLID!W53</f>
        <v>#N/A</v>
      </c>
      <c r="T42" s="14" t="e">
        <f ca="1">SOLID!X53</f>
        <v>#N/A</v>
      </c>
      <c r="U42" s="14" t="e">
        <f ca="1">SOLID!Y53</f>
        <v>#N/A</v>
      </c>
      <c r="V42" s="14" t="e">
        <f ca="1">SOLID!Z53</f>
        <v>#N/A</v>
      </c>
      <c r="W42" s="14" t="e">
        <f ca="1">SOLID!AA53</f>
        <v>#N/A</v>
      </c>
      <c r="X42" s="14" t="e">
        <f ca="1">SOLID!AB53</f>
        <v>#N/A</v>
      </c>
      <c r="Y42" s="14" t="e">
        <f ca="1">SOLID!AC53</f>
        <v>#N/A</v>
      </c>
      <c r="Z42" s="14" t="e">
        <f ca="1">SOLID!AD53</f>
        <v>#N/A</v>
      </c>
      <c r="AA42" s="14" t="e">
        <f ca="1">SOLID!AE53</f>
        <v>#N/A</v>
      </c>
      <c r="AB42" s="14" t="e">
        <f ca="1">SOLID!AF53</f>
        <v>#N/A</v>
      </c>
      <c r="AC42" s="14" t="e">
        <f ca="1">SOLID!AG53</f>
        <v>#N/A</v>
      </c>
      <c r="AD42" s="14" t="e">
        <f ca="1">SOLID!AH53</f>
        <v>#N/A</v>
      </c>
      <c r="AE42" s="14" t="e">
        <f ca="1">SOLID!AI53</f>
        <v>#N/A</v>
      </c>
      <c r="AF42" s="14" t="e">
        <f ca="1">SOLID!AJ53</f>
        <v>#N/A</v>
      </c>
      <c r="AG42" s="14" t="e">
        <f ca="1">SOLID!AK53</f>
        <v>#N/A</v>
      </c>
      <c r="AH42" s="14" t="e">
        <f ca="1">SOLID!AL53</f>
        <v>#N/A</v>
      </c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</row>
    <row r="43" spans="1:94" ht="21.75" hidden="1" outlineLevel="1" thickBot="1" x14ac:dyDescent="0.4">
      <c r="A43" s="35">
        <f>SOLID!E54</f>
        <v>0</v>
      </c>
      <c r="B43" s="16" t="e">
        <f ca="1">SOLID!F54</f>
        <v>#N/A</v>
      </c>
      <c r="C43" s="16" t="e">
        <f ca="1">SOLID!G54</f>
        <v>#N/A</v>
      </c>
      <c r="D43" s="16" t="e">
        <f ca="1">SOLID!H54</f>
        <v>#N/A</v>
      </c>
      <c r="E43" s="16" t="e">
        <f ca="1">SOLID!I54</f>
        <v>#N/A</v>
      </c>
      <c r="F43" s="14" t="e">
        <f ca="1">SOLID!J54</f>
        <v>#N/A</v>
      </c>
      <c r="G43" s="14" t="e">
        <f ca="1">SOLID!K54</f>
        <v>#N/A</v>
      </c>
      <c r="H43" s="14" t="e">
        <f ca="1">SOLID!L54</f>
        <v>#N/A</v>
      </c>
      <c r="I43" s="14" t="e">
        <f ca="1">SOLID!M54</f>
        <v>#N/A</v>
      </c>
      <c r="J43" s="14" t="e">
        <f ca="1">SOLID!N54</f>
        <v>#N/A</v>
      </c>
      <c r="K43" s="14" t="e">
        <f ca="1">SOLID!O54</f>
        <v>#N/A</v>
      </c>
      <c r="L43" s="14" t="e">
        <f ca="1">SOLID!P54</f>
        <v>#N/A</v>
      </c>
      <c r="M43" s="14" t="e">
        <f ca="1">SOLID!Q54</f>
        <v>#N/A</v>
      </c>
      <c r="N43" s="14" t="e">
        <f ca="1">SOLID!R54</f>
        <v>#N/A</v>
      </c>
      <c r="O43" s="14" t="e">
        <f ca="1">SOLID!S54</f>
        <v>#N/A</v>
      </c>
      <c r="P43" s="14" t="e">
        <f ca="1">SOLID!T54</f>
        <v>#N/A</v>
      </c>
      <c r="Q43" s="14" t="e">
        <f ca="1">SOLID!U54</f>
        <v>#N/A</v>
      </c>
      <c r="R43" s="14" t="e">
        <f ca="1">SOLID!V54</f>
        <v>#N/A</v>
      </c>
      <c r="S43" s="14" t="e">
        <f ca="1">SOLID!W54</f>
        <v>#N/A</v>
      </c>
      <c r="T43" s="14" t="e">
        <f ca="1">SOLID!X54</f>
        <v>#N/A</v>
      </c>
      <c r="U43" s="14" t="e">
        <f ca="1">SOLID!Y54</f>
        <v>#N/A</v>
      </c>
      <c r="V43" s="14" t="e">
        <f ca="1">SOLID!Z54</f>
        <v>#N/A</v>
      </c>
      <c r="W43" s="14" t="e">
        <f ca="1">SOLID!AA54</f>
        <v>#N/A</v>
      </c>
      <c r="X43" s="14" t="e">
        <f ca="1">SOLID!AB54</f>
        <v>#N/A</v>
      </c>
      <c r="Y43" s="14" t="e">
        <f ca="1">SOLID!AC54</f>
        <v>#N/A</v>
      </c>
      <c r="Z43" s="14" t="e">
        <f ca="1">SOLID!AD54</f>
        <v>#N/A</v>
      </c>
      <c r="AA43" s="14" t="e">
        <f ca="1">SOLID!AE54</f>
        <v>#N/A</v>
      </c>
      <c r="AB43" s="14" t="e">
        <f ca="1">SOLID!AF54</f>
        <v>#N/A</v>
      </c>
      <c r="AC43" s="14" t="e">
        <f ca="1">SOLID!AG54</f>
        <v>#N/A</v>
      </c>
      <c r="AD43" s="14" t="e">
        <f ca="1">SOLID!AH54</f>
        <v>#N/A</v>
      </c>
      <c r="AE43" s="14" t="e">
        <f ca="1">SOLID!AI54</f>
        <v>#N/A</v>
      </c>
      <c r="AF43" s="14" t="e">
        <f ca="1">SOLID!AJ54</f>
        <v>#N/A</v>
      </c>
      <c r="AG43" s="14" t="e">
        <f ca="1">SOLID!AK54</f>
        <v>#N/A</v>
      </c>
      <c r="AH43" s="14" t="e">
        <f ca="1">SOLID!AL54</f>
        <v>#N/A</v>
      </c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</row>
    <row r="44" spans="1:94" ht="21.75" hidden="1" outlineLevel="1" thickBot="1" x14ac:dyDescent="0.4">
      <c r="A44" s="35">
        <f>SOLID!E55</f>
        <v>0</v>
      </c>
      <c r="B44" s="16" t="e">
        <f ca="1">SOLID!F55</f>
        <v>#N/A</v>
      </c>
      <c r="C44" s="16" t="e">
        <f ca="1">SOLID!G55</f>
        <v>#N/A</v>
      </c>
      <c r="D44" s="16" t="e">
        <f ca="1">SOLID!H55</f>
        <v>#N/A</v>
      </c>
      <c r="E44" s="16" t="e">
        <f ca="1">SOLID!I55</f>
        <v>#N/A</v>
      </c>
      <c r="F44" s="14" t="e">
        <f ca="1">SOLID!J55</f>
        <v>#N/A</v>
      </c>
      <c r="G44" s="14" t="e">
        <f ca="1">SOLID!K55</f>
        <v>#N/A</v>
      </c>
      <c r="H44" s="14" t="e">
        <f ca="1">SOLID!L55</f>
        <v>#N/A</v>
      </c>
      <c r="I44" s="14" t="e">
        <f ca="1">SOLID!M55</f>
        <v>#N/A</v>
      </c>
      <c r="J44" s="14" t="e">
        <f ca="1">SOLID!N55</f>
        <v>#N/A</v>
      </c>
      <c r="K44" s="14" t="e">
        <f ca="1">SOLID!O55</f>
        <v>#N/A</v>
      </c>
      <c r="L44" s="14" t="e">
        <f ca="1">SOLID!P55</f>
        <v>#N/A</v>
      </c>
      <c r="M44" s="14" t="e">
        <f ca="1">SOLID!Q55</f>
        <v>#N/A</v>
      </c>
      <c r="N44" s="14" t="e">
        <f ca="1">SOLID!R55</f>
        <v>#N/A</v>
      </c>
      <c r="O44" s="14" t="e">
        <f ca="1">SOLID!S55</f>
        <v>#N/A</v>
      </c>
      <c r="P44" s="14" t="e">
        <f ca="1">SOLID!T55</f>
        <v>#N/A</v>
      </c>
      <c r="Q44" s="14" t="e">
        <f ca="1">SOLID!U55</f>
        <v>#N/A</v>
      </c>
      <c r="R44" s="14" t="e">
        <f ca="1">SOLID!V55</f>
        <v>#N/A</v>
      </c>
      <c r="S44" s="14" t="e">
        <f ca="1">SOLID!W55</f>
        <v>#N/A</v>
      </c>
      <c r="T44" s="14" t="e">
        <f ca="1">SOLID!X55</f>
        <v>#N/A</v>
      </c>
      <c r="U44" s="14" t="e">
        <f ca="1">SOLID!Y55</f>
        <v>#N/A</v>
      </c>
      <c r="V44" s="14" t="e">
        <f ca="1">SOLID!Z55</f>
        <v>#N/A</v>
      </c>
      <c r="W44" s="14" t="e">
        <f ca="1">SOLID!AA55</f>
        <v>#N/A</v>
      </c>
      <c r="X44" s="14" t="e">
        <f ca="1">SOLID!AB55</f>
        <v>#N/A</v>
      </c>
      <c r="Y44" s="14" t="e">
        <f ca="1">SOLID!AC55</f>
        <v>#N/A</v>
      </c>
      <c r="Z44" s="14" t="e">
        <f ca="1">SOLID!AD55</f>
        <v>#N/A</v>
      </c>
      <c r="AA44" s="14" t="e">
        <f ca="1">SOLID!AE55</f>
        <v>#N/A</v>
      </c>
      <c r="AB44" s="14" t="e">
        <f ca="1">SOLID!AF55</f>
        <v>#N/A</v>
      </c>
      <c r="AC44" s="14" t="e">
        <f ca="1">SOLID!AG55</f>
        <v>#N/A</v>
      </c>
      <c r="AD44" s="14" t="e">
        <f ca="1">SOLID!AH55</f>
        <v>#N/A</v>
      </c>
      <c r="AE44" s="14" t="e">
        <f ca="1">SOLID!AI55</f>
        <v>#N/A</v>
      </c>
      <c r="AF44" s="14" t="e">
        <f ca="1">SOLID!AJ55</f>
        <v>#N/A</v>
      </c>
      <c r="AG44" s="14" t="e">
        <f ca="1">SOLID!AK55</f>
        <v>#N/A</v>
      </c>
      <c r="AH44" s="14" t="e">
        <f ca="1">SOLID!AL55</f>
        <v>#N/A</v>
      </c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</row>
    <row r="45" spans="1:94" ht="21.75" hidden="1" outlineLevel="1" thickBot="1" x14ac:dyDescent="0.4">
      <c r="A45" s="35">
        <f>SOLID!E56</f>
        <v>0</v>
      </c>
      <c r="B45" s="16" t="e">
        <f ca="1">SOLID!F56</f>
        <v>#N/A</v>
      </c>
      <c r="C45" s="16" t="e">
        <f ca="1">SOLID!G56</f>
        <v>#N/A</v>
      </c>
      <c r="D45" s="16" t="e">
        <f ca="1">SOLID!H56</f>
        <v>#N/A</v>
      </c>
      <c r="E45" s="16" t="e">
        <f ca="1">SOLID!I56</f>
        <v>#N/A</v>
      </c>
      <c r="F45" s="14" t="e">
        <f ca="1">SOLID!J56</f>
        <v>#N/A</v>
      </c>
      <c r="G45" s="14" t="e">
        <f ca="1">SOLID!K56</f>
        <v>#N/A</v>
      </c>
      <c r="H45" s="14" t="e">
        <f ca="1">SOLID!L56</f>
        <v>#N/A</v>
      </c>
      <c r="I45" s="14" t="e">
        <f ca="1">SOLID!M56</f>
        <v>#N/A</v>
      </c>
      <c r="J45" s="14" t="e">
        <f ca="1">SOLID!N56</f>
        <v>#N/A</v>
      </c>
      <c r="K45" s="14" t="e">
        <f ca="1">SOLID!O56</f>
        <v>#N/A</v>
      </c>
      <c r="L45" s="14" t="e">
        <f ca="1">SOLID!P56</f>
        <v>#N/A</v>
      </c>
      <c r="M45" s="14" t="e">
        <f ca="1">SOLID!Q56</f>
        <v>#N/A</v>
      </c>
      <c r="N45" s="14" t="e">
        <f ca="1">SOLID!R56</f>
        <v>#N/A</v>
      </c>
      <c r="O45" s="14" t="e">
        <f ca="1">SOLID!S56</f>
        <v>#N/A</v>
      </c>
      <c r="P45" s="14" t="e">
        <f ca="1">SOLID!T56</f>
        <v>#N/A</v>
      </c>
      <c r="Q45" s="14" t="e">
        <f ca="1">SOLID!U56</f>
        <v>#N/A</v>
      </c>
      <c r="R45" s="14" t="e">
        <f ca="1">SOLID!V56</f>
        <v>#N/A</v>
      </c>
      <c r="S45" s="14" t="e">
        <f ca="1">SOLID!W56</f>
        <v>#N/A</v>
      </c>
      <c r="T45" s="14" t="e">
        <f ca="1">SOLID!X56</f>
        <v>#N/A</v>
      </c>
      <c r="U45" s="14" t="e">
        <f ca="1">SOLID!Y56</f>
        <v>#N/A</v>
      </c>
      <c r="V45" s="14" t="e">
        <f ca="1">SOLID!Z56</f>
        <v>#N/A</v>
      </c>
      <c r="W45" s="14" t="e">
        <f ca="1">SOLID!AA56</f>
        <v>#N/A</v>
      </c>
      <c r="X45" s="14" t="e">
        <f ca="1">SOLID!AB56</f>
        <v>#N/A</v>
      </c>
      <c r="Y45" s="14" t="e">
        <f ca="1">SOLID!AC56</f>
        <v>#N/A</v>
      </c>
      <c r="Z45" s="14" t="e">
        <f ca="1">SOLID!AD56</f>
        <v>#N/A</v>
      </c>
      <c r="AA45" s="14" t="e">
        <f ca="1">SOLID!AE56</f>
        <v>#N/A</v>
      </c>
      <c r="AB45" s="14" t="e">
        <f ca="1">SOLID!AF56</f>
        <v>#N/A</v>
      </c>
      <c r="AC45" s="14" t="e">
        <f ca="1">SOLID!AG56</f>
        <v>#N/A</v>
      </c>
      <c r="AD45" s="14" t="e">
        <f ca="1">SOLID!AH56</f>
        <v>#N/A</v>
      </c>
      <c r="AE45" s="14" t="e">
        <f ca="1">SOLID!AI56</f>
        <v>#N/A</v>
      </c>
      <c r="AF45" s="14" t="e">
        <f ca="1">SOLID!AJ56</f>
        <v>#N/A</v>
      </c>
      <c r="AG45" s="14" t="e">
        <f ca="1">SOLID!AK56</f>
        <v>#N/A</v>
      </c>
      <c r="AH45" s="14" t="e">
        <f ca="1">SOLID!AL56</f>
        <v>#N/A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</row>
    <row r="46" spans="1:94" ht="21.75" hidden="1" outlineLevel="1" thickBot="1" x14ac:dyDescent="0.4">
      <c r="A46" s="35">
        <f>SOLID!E57</f>
        <v>0</v>
      </c>
      <c r="B46" s="16" t="e">
        <f ca="1">SOLID!F57</f>
        <v>#N/A</v>
      </c>
      <c r="C46" s="16" t="e">
        <f ca="1">SOLID!G57</f>
        <v>#N/A</v>
      </c>
      <c r="D46" s="16" t="e">
        <f ca="1">SOLID!H57</f>
        <v>#N/A</v>
      </c>
      <c r="E46" s="16" t="e">
        <f ca="1">SOLID!I57</f>
        <v>#N/A</v>
      </c>
      <c r="F46" s="14" t="e">
        <f ca="1">SOLID!J57</f>
        <v>#N/A</v>
      </c>
      <c r="G46" s="14" t="e">
        <f ca="1">SOLID!K57</f>
        <v>#N/A</v>
      </c>
      <c r="H46" s="14" t="e">
        <f ca="1">SOLID!L57</f>
        <v>#N/A</v>
      </c>
      <c r="I46" s="14" t="e">
        <f ca="1">SOLID!M57</f>
        <v>#N/A</v>
      </c>
      <c r="J46" s="14" t="e">
        <f ca="1">SOLID!N57</f>
        <v>#N/A</v>
      </c>
      <c r="K46" s="14" t="e">
        <f ca="1">SOLID!O57</f>
        <v>#N/A</v>
      </c>
      <c r="L46" s="14" t="e">
        <f ca="1">SOLID!P57</f>
        <v>#N/A</v>
      </c>
      <c r="M46" s="14" t="e">
        <f ca="1">SOLID!Q57</f>
        <v>#N/A</v>
      </c>
      <c r="N46" s="14" t="e">
        <f ca="1">SOLID!R57</f>
        <v>#N/A</v>
      </c>
      <c r="O46" s="14" t="e">
        <f ca="1">SOLID!S57</f>
        <v>#N/A</v>
      </c>
      <c r="P46" s="14" t="e">
        <f ca="1">SOLID!T57</f>
        <v>#N/A</v>
      </c>
      <c r="Q46" s="14" t="e">
        <f ca="1">SOLID!U57</f>
        <v>#N/A</v>
      </c>
      <c r="R46" s="14" t="e">
        <f ca="1">SOLID!V57</f>
        <v>#N/A</v>
      </c>
      <c r="S46" s="14" t="e">
        <f ca="1">SOLID!W57</f>
        <v>#N/A</v>
      </c>
      <c r="T46" s="14" t="e">
        <f ca="1">SOLID!X57</f>
        <v>#N/A</v>
      </c>
      <c r="U46" s="14" t="e">
        <f ca="1">SOLID!Y57</f>
        <v>#N/A</v>
      </c>
      <c r="V46" s="14" t="e">
        <f ca="1">SOLID!Z57</f>
        <v>#N/A</v>
      </c>
      <c r="W46" s="14" t="e">
        <f ca="1">SOLID!AA57</f>
        <v>#N/A</v>
      </c>
      <c r="X46" s="14" t="e">
        <f ca="1">SOLID!AB57</f>
        <v>#N/A</v>
      </c>
      <c r="Y46" s="14" t="e">
        <f ca="1">SOLID!AC57</f>
        <v>#N/A</v>
      </c>
      <c r="Z46" s="14" t="e">
        <f ca="1">SOLID!AD57</f>
        <v>#N/A</v>
      </c>
      <c r="AA46" s="14" t="e">
        <f ca="1">SOLID!AE57</f>
        <v>#N/A</v>
      </c>
      <c r="AB46" s="14" t="e">
        <f ca="1">SOLID!AF57</f>
        <v>#N/A</v>
      </c>
      <c r="AC46" s="14" t="e">
        <f ca="1">SOLID!AG57</f>
        <v>#N/A</v>
      </c>
      <c r="AD46" s="14" t="e">
        <f ca="1">SOLID!AH57</f>
        <v>#N/A</v>
      </c>
      <c r="AE46" s="14" t="e">
        <f ca="1">SOLID!AI57</f>
        <v>#N/A</v>
      </c>
      <c r="AF46" s="14" t="e">
        <f ca="1">SOLID!AJ57</f>
        <v>#N/A</v>
      </c>
      <c r="AG46" s="14" t="e">
        <f ca="1">SOLID!AK57</f>
        <v>#N/A</v>
      </c>
      <c r="AH46" s="14" t="e">
        <f ca="1">SOLID!AL57</f>
        <v>#N/A</v>
      </c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</row>
    <row r="47" spans="1:94" ht="21.75" hidden="1" outlineLevel="1" thickBot="1" x14ac:dyDescent="0.4">
      <c r="A47" s="35">
        <f>SOLID!E58</f>
        <v>0</v>
      </c>
      <c r="B47" s="16" t="e">
        <f ca="1">SOLID!F58</f>
        <v>#N/A</v>
      </c>
      <c r="C47" s="16" t="e">
        <f ca="1">SOLID!G58</f>
        <v>#N/A</v>
      </c>
      <c r="D47" s="16" t="e">
        <f ca="1">SOLID!H58</f>
        <v>#N/A</v>
      </c>
      <c r="E47" s="16" t="e">
        <f ca="1">SOLID!I58</f>
        <v>#N/A</v>
      </c>
      <c r="F47" s="14" t="e">
        <f ca="1">SOLID!J58</f>
        <v>#N/A</v>
      </c>
      <c r="G47" s="14" t="e">
        <f ca="1">SOLID!K58</f>
        <v>#N/A</v>
      </c>
      <c r="H47" s="14" t="e">
        <f ca="1">SOLID!L58</f>
        <v>#N/A</v>
      </c>
      <c r="I47" s="14" t="e">
        <f ca="1">SOLID!M58</f>
        <v>#N/A</v>
      </c>
      <c r="J47" s="14" t="e">
        <f ca="1">SOLID!N58</f>
        <v>#N/A</v>
      </c>
      <c r="K47" s="14" t="e">
        <f ca="1">SOLID!O58</f>
        <v>#N/A</v>
      </c>
      <c r="L47" s="14" t="e">
        <f ca="1">SOLID!P58</f>
        <v>#N/A</v>
      </c>
      <c r="M47" s="14" t="e">
        <f ca="1">SOLID!Q58</f>
        <v>#N/A</v>
      </c>
      <c r="N47" s="14" t="e">
        <f ca="1">SOLID!R58</f>
        <v>#N/A</v>
      </c>
      <c r="O47" s="14" t="e">
        <f ca="1">SOLID!S58</f>
        <v>#N/A</v>
      </c>
      <c r="P47" s="14" t="e">
        <f ca="1">SOLID!T58</f>
        <v>#N/A</v>
      </c>
      <c r="Q47" s="14" t="e">
        <f ca="1">SOLID!U58</f>
        <v>#N/A</v>
      </c>
      <c r="R47" s="14" t="e">
        <f ca="1">SOLID!V58</f>
        <v>#N/A</v>
      </c>
      <c r="S47" s="14" t="e">
        <f ca="1">SOLID!W58</f>
        <v>#N/A</v>
      </c>
      <c r="T47" s="14" t="e">
        <f ca="1">SOLID!X58</f>
        <v>#N/A</v>
      </c>
      <c r="U47" s="14" t="e">
        <f ca="1">SOLID!Y58</f>
        <v>#N/A</v>
      </c>
      <c r="V47" s="14" t="e">
        <f ca="1">SOLID!Z58</f>
        <v>#N/A</v>
      </c>
      <c r="W47" s="14" t="e">
        <f ca="1">SOLID!AA58</f>
        <v>#N/A</v>
      </c>
      <c r="X47" s="14" t="e">
        <f ca="1">SOLID!AB58</f>
        <v>#N/A</v>
      </c>
      <c r="Y47" s="14" t="e">
        <f ca="1">SOLID!AC58</f>
        <v>#N/A</v>
      </c>
      <c r="Z47" s="14" t="e">
        <f ca="1">SOLID!AD58</f>
        <v>#N/A</v>
      </c>
      <c r="AA47" s="14" t="e">
        <f ca="1">SOLID!AE58</f>
        <v>#N/A</v>
      </c>
      <c r="AB47" s="14" t="e">
        <f ca="1">SOLID!AF58</f>
        <v>#N/A</v>
      </c>
      <c r="AC47" s="14" t="e">
        <f ca="1">SOLID!AG58</f>
        <v>#N/A</v>
      </c>
      <c r="AD47" s="14" t="e">
        <f ca="1">SOLID!AH58</f>
        <v>#N/A</v>
      </c>
      <c r="AE47" s="14" t="e">
        <f ca="1">SOLID!AI58</f>
        <v>#N/A</v>
      </c>
      <c r="AF47" s="14" t="e">
        <f ca="1">SOLID!AJ58</f>
        <v>#N/A</v>
      </c>
      <c r="AG47" s="14" t="e">
        <f ca="1">SOLID!AK58</f>
        <v>#N/A</v>
      </c>
      <c r="AH47" s="14" t="e">
        <f ca="1">SOLID!AL58</f>
        <v>#N/A</v>
      </c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</row>
    <row r="48" spans="1:94" ht="21.75" hidden="1" outlineLevel="1" thickBot="1" x14ac:dyDescent="0.4">
      <c r="A48" s="35">
        <f>SOLID!E59</f>
        <v>0</v>
      </c>
      <c r="B48" s="16" t="e">
        <f ca="1">SOLID!F59</f>
        <v>#N/A</v>
      </c>
      <c r="C48" s="16" t="e">
        <f ca="1">SOLID!G59</f>
        <v>#N/A</v>
      </c>
      <c r="D48" s="16" t="e">
        <f ca="1">SOLID!H59</f>
        <v>#N/A</v>
      </c>
      <c r="E48" s="16" t="e">
        <f ca="1">SOLID!I59</f>
        <v>#N/A</v>
      </c>
      <c r="F48" s="14" t="e">
        <f ca="1">SOLID!J59</f>
        <v>#N/A</v>
      </c>
      <c r="G48" s="14" t="e">
        <f ca="1">SOLID!K59</f>
        <v>#N/A</v>
      </c>
      <c r="H48" s="14" t="e">
        <f ca="1">SOLID!L59</f>
        <v>#N/A</v>
      </c>
      <c r="I48" s="14" t="e">
        <f ca="1">SOLID!M59</f>
        <v>#N/A</v>
      </c>
      <c r="J48" s="14" t="e">
        <f ca="1">SOLID!N59</f>
        <v>#N/A</v>
      </c>
      <c r="K48" s="14" t="e">
        <f ca="1">SOLID!O59</f>
        <v>#N/A</v>
      </c>
      <c r="L48" s="14" t="e">
        <f ca="1">SOLID!P59</f>
        <v>#N/A</v>
      </c>
      <c r="M48" s="14" t="e">
        <f ca="1">SOLID!Q59</f>
        <v>#N/A</v>
      </c>
      <c r="N48" s="14" t="e">
        <f ca="1">SOLID!R59</f>
        <v>#N/A</v>
      </c>
      <c r="O48" s="14" t="e">
        <f ca="1">SOLID!S59</f>
        <v>#N/A</v>
      </c>
      <c r="P48" s="14" t="e">
        <f ca="1">SOLID!T59</f>
        <v>#N/A</v>
      </c>
      <c r="Q48" s="14" t="e">
        <f ca="1">SOLID!U59</f>
        <v>#N/A</v>
      </c>
      <c r="R48" s="14" t="e">
        <f ca="1">SOLID!V59</f>
        <v>#N/A</v>
      </c>
      <c r="S48" s="14" t="e">
        <f ca="1">SOLID!W59</f>
        <v>#N/A</v>
      </c>
      <c r="T48" s="14" t="e">
        <f ca="1">SOLID!X59</f>
        <v>#N/A</v>
      </c>
      <c r="U48" s="14" t="e">
        <f ca="1">SOLID!Y59</f>
        <v>#N/A</v>
      </c>
      <c r="V48" s="14" t="e">
        <f ca="1">SOLID!Z59</f>
        <v>#N/A</v>
      </c>
      <c r="W48" s="14" t="e">
        <f ca="1">SOLID!AA59</f>
        <v>#N/A</v>
      </c>
      <c r="X48" s="14" t="e">
        <f ca="1">SOLID!AB59</f>
        <v>#N/A</v>
      </c>
      <c r="Y48" s="14" t="e">
        <f ca="1">SOLID!AC59</f>
        <v>#N/A</v>
      </c>
      <c r="Z48" s="14" t="e">
        <f ca="1">SOLID!AD59</f>
        <v>#N/A</v>
      </c>
      <c r="AA48" s="14" t="e">
        <f ca="1">SOLID!AE59</f>
        <v>#N/A</v>
      </c>
      <c r="AB48" s="14" t="e">
        <f ca="1">SOLID!AF59</f>
        <v>#N/A</v>
      </c>
      <c r="AC48" s="14" t="e">
        <f ca="1">SOLID!AG59</f>
        <v>#N/A</v>
      </c>
      <c r="AD48" s="14" t="e">
        <f ca="1">SOLID!AH59</f>
        <v>#N/A</v>
      </c>
      <c r="AE48" s="14" t="e">
        <f ca="1">SOLID!AI59</f>
        <v>#N/A</v>
      </c>
      <c r="AF48" s="14" t="e">
        <f ca="1">SOLID!AJ59</f>
        <v>#N/A</v>
      </c>
      <c r="AG48" s="14" t="e">
        <f ca="1">SOLID!AK59</f>
        <v>#N/A</v>
      </c>
      <c r="AH48" s="14" t="e">
        <f ca="1">SOLID!AL59</f>
        <v>#N/A</v>
      </c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</row>
    <row r="49" spans="1:94" ht="21.75" hidden="1" outlineLevel="1" thickBot="1" x14ac:dyDescent="0.4">
      <c r="A49" s="35">
        <f>SOLID!E60</f>
        <v>0</v>
      </c>
      <c r="B49" s="16" t="e">
        <f ca="1">SOLID!F60</f>
        <v>#N/A</v>
      </c>
      <c r="C49" s="16" t="e">
        <f ca="1">SOLID!G60</f>
        <v>#N/A</v>
      </c>
      <c r="D49" s="16" t="e">
        <f ca="1">SOLID!H60</f>
        <v>#N/A</v>
      </c>
      <c r="E49" s="16" t="e">
        <f ca="1">SOLID!I60</f>
        <v>#N/A</v>
      </c>
      <c r="F49" s="14" t="e">
        <f ca="1">SOLID!J60</f>
        <v>#N/A</v>
      </c>
      <c r="G49" s="14" t="e">
        <f ca="1">SOLID!K60</f>
        <v>#N/A</v>
      </c>
      <c r="H49" s="14" t="e">
        <f ca="1">SOLID!L60</f>
        <v>#N/A</v>
      </c>
      <c r="I49" s="14" t="e">
        <f ca="1">SOLID!M60</f>
        <v>#N/A</v>
      </c>
      <c r="J49" s="14" t="e">
        <f ca="1">SOLID!N60</f>
        <v>#N/A</v>
      </c>
      <c r="K49" s="14" t="e">
        <f ca="1">SOLID!O60</f>
        <v>#N/A</v>
      </c>
      <c r="L49" s="14" t="e">
        <f ca="1">SOLID!P60</f>
        <v>#N/A</v>
      </c>
      <c r="M49" s="14" t="e">
        <f ca="1">SOLID!Q60</f>
        <v>#N/A</v>
      </c>
      <c r="N49" s="14" t="e">
        <f ca="1">SOLID!R60</f>
        <v>#N/A</v>
      </c>
      <c r="O49" s="14" t="e">
        <f ca="1">SOLID!S60</f>
        <v>#N/A</v>
      </c>
      <c r="P49" s="14" t="e">
        <f ca="1">SOLID!T60</f>
        <v>#N/A</v>
      </c>
      <c r="Q49" s="14" t="e">
        <f ca="1">SOLID!U60</f>
        <v>#N/A</v>
      </c>
      <c r="R49" s="14" t="e">
        <f ca="1">SOLID!V60</f>
        <v>#N/A</v>
      </c>
      <c r="S49" s="14" t="e">
        <f ca="1">SOLID!W60</f>
        <v>#N/A</v>
      </c>
      <c r="T49" s="14" t="e">
        <f ca="1">SOLID!X60</f>
        <v>#N/A</v>
      </c>
      <c r="U49" s="14" t="e">
        <f ca="1">SOLID!Y60</f>
        <v>#N/A</v>
      </c>
      <c r="V49" s="14" t="e">
        <f ca="1">SOLID!Z60</f>
        <v>#N/A</v>
      </c>
      <c r="W49" s="14" t="e">
        <f ca="1">SOLID!AA60</f>
        <v>#N/A</v>
      </c>
      <c r="X49" s="14" t="e">
        <f ca="1">SOLID!AB60</f>
        <v>#N/A</v>
      </c>
      <c r="Y49" s="14" t="e">
        <f ca="1">SOLID!AC60</f>
        <v>#N/A</v>
      </c>
      <c r="Z49" s="14" t="e">
        <f ca="1">SOLID!AD60</f>
        <v>#N/A</v>
      </c>
      <c r="AA49" s="14" t="e">
        <f ca="1">SOLID!AE60</f>
        <v>#N/A</v>
      </c>
      <c r="AB49" s="14" t="e">
        <f ca="1">SOLID!AF60</f>
        <v>#N/A</v>
      </c>
      <c r="AC49" s="14" t="e">
        <f ca="1">SOLID!AG60</f>
        <v>#N/A</v>
      </c>
      <c r="AD49" s="14" t="e">
        <f ca="1">SOLID!AH60</f>
        <v>#N/A</v>
      </c>
      <c r="AE49" s="14" t="e">
        <f ca="1">SOLID!AI60</f>
        <v>#N/A</v>
      </c>
      <c r="AF49" s="14" t="e">
        <f ca="1">SOLID!AJ60</f>
        <v>#N/A</v>
      </c>
      <c r="AG49" s="14" t="e">
        <f ca="1">SOLID!AK60</f>
        <v>#N/A</v>
      </c>
      <c r="AH49" s="14" t="e">
        <f ca="1">SOLID!AL60</f>
        <v>#N/A</v>
      </c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</row>
    <row r="50" spans="1:94" ht="21.75" hidden="1" outlineLevel="1" thickBot="1" x14ac:dyDescent="0.4">
      <c r="A50" s="35">
        <f>SOLID!E61</f>
        <v>0</v>
      </c>
      <c r="B50" s="16" t="e">
        <f ca="1">SOLID!F61</f>
        <v>#N/A</v>
      </c>
      <c r="C50" s="16" t="e">
        <f ca="1">SOLID!G61</f>
        <v>#N/A</v>
      </c>
      <c r="D50" s="16" t="e">
        <f ca="1">SOLID!H61</f>
        <v>#N/A</v>
      </c>
      <c r="E50" s="16" t="e">
        <f ca="1">SOLID!I61</f>
        <v>#N/A</v>
      </c>
      <c r="F50" s="14" t="e">
        <f ca="1">SOLID!J61</f>
        <v>#N/A</v>
      </c>
      <c r="G50" s="14" t="e">
        <f ca="1">SOLID!K61</f>
        <v>#N/A</v>
      </c>
      <c r="H50" s="14" t="e">
        <f ca="1">SOLID!L61</f>
        <v>#N/A</v>
      </c>
      <c r="I50" s="14" t="e">
        <f ca="1">SOLID!M61</f>
        <v>#N/A</v>
      </c>
      <c r="J50" s="14" t="e">
        <f ca="1">SOLID!N61</f>
        <v>#N/A</v>
      </c>
      <c r="K50" s="14" t="e">
        <f ca="1">SOLID!O61</f>
        <v>#N/A</v>
      </c>
      <c r="L50" s="14" t="e">
        <f ca="1">SOLID!P61</f>
        <v>#N/A</v>
      </c>
      <c r="M50" s="14" t="e">
        <f ca="1">SOLID!Q61</f>
        <v>#N/A</v>
      </c>
      <c r="N50" s="14" t="e">
        <f ca="1">SOLID!R61</f>
        <v>#N/A</v>
      </c>
      <c r="O50" s="14" t="e">
        <f ca="1">SOLID!S61</f>
        <v>#N/A</v>
      </c>
      <c r="P50" s="14" t="e">
        <f ca="1">SOLID!T61</f>
        <v>#N/A</v>
      </c>
      <c r="Q50" s="14" t="e">
        <f ca="1">SOLID!U61</f>
        <v>#N/A</v>
      </c>
      <c r="R50" s="14" t="e">
        <f ca="1">SOLID!V61</f>
        <v>#N/A</v>
      </c>
      <c r="S50" s="14" t="e">
        <f ca="1">SOLID!W61</f>
        <v>#N/A</v>
      </c>
      <c r="T50" s="14" t="e">
        <f ca="1">SOLID!X61</f>
        <v>#N/A</v>
      </c>
      <c r="U50" s="14" t="e">
        <f ca="1">SOLID!Y61</f>
        <v>#N/A</v>
      </c>
      <c r="V50" s="14" t="e">
        <f ca="1">SOLID!Z61</f>
        <v>#N/A</v>
      </c>
      <c r="W50" s="14" t="e">
        <f ca="1">SOLID!AA61</f>
        <v>#N/A</v>
      </c>
      <c r="X50" s="14" t="e">
        <f ca="1">SOLID!AB61</f>
        <v>#N/A</v>
      </c>
      <c r="Y50" s="14" t="e">
        <f ca="1">SOLID!AC61</f>
        <v>#N/A</v>
      </c>
      <c r="Z50" s="14" t="e">
        <f ca="1">SOLID!AD61</f>
        <v>#N/A</v>
      </c>
      <c r="AA50" s="14" t="e">
        <f ca="1">SOLID!AE61</f>
        <v>#N/A</v>
      </c>
      <c r="AB50" s="14" t="e">
        <f ca="1">SOLID!AF61</f>
        <v>#N/A</v>
      </c>
      <c r="AC50" s="14" t="e">
        <f ca="1">SOLID!AG61</f>
        <v>#N/A</v>
      </c>
      <c r="AD50" s="14" t="e">
        <f ca="1">SOLID!AH61</f>
        <v>#N/A</v>
      </c>
      <c r="AE50" s="14" t="e">
        <f ca="1">SOLID!AI61</f>
        <v>#N/A</v>
      </c>
      <c r="AF50" s="14" t="e">
        <f ca="1">SOLID!AJ61</f>
        <v>#N/A</v>
      </c>
      <c r="AG50" s="14" t="e">
        <f ca="1">SOLID!AK61</f>
        <v>#N/A</v>
      </c>
      <c r="AH50" s="14" t="e">
        <f ca="1">SOLID!AL61</f>
        <v>#N/A</v>
      </c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</row>
    <row r="51" spans="1:94" ht="21.75" hidden="1" outlineLevel="1" thickBot="1" x14ac:dyDescent="0.4">
      <c r="A51" s="35">
        <f>SOLID!E62</f>
        <v>0</v>
      </c>
      <c r="B51" s="16" t="e">
        <f ca="1">SOLID!F62</f>
        <v>#N/A</v>
      </c>
      <c r="C51" s="16" t="e">
        <f ca="1">SOLID!G62</f>
        <v>#N/A</v>
      </c>
      <c r="D51" s="16" t="e">
        <f ca="1">SOLID!H62</f>
        <v>#N/A</v>
      </c>
      <c r="E51" s="16" t="e">
        <f ca="1">SOLID!I62</f>
        <v>#N/A</v>
      </c>
      <c r="F51" s="14" t="e">
        <f ca="1">SOLID!J62</f>
        <v>#N/A</v>
      </c>
      <c r="G51" s="14" t="e">
        <f ca="1">SOLID!K62</f>
        <v>#N/A</v>
      </c>
      <c r="H51" s="14" t="e">
        <f ca="1">SOLID!L62</f>
        <v>#N/A</v>
      </c>
      <c r="I51" s="14" t="e">
        <f ca="1">SOLID!M62</f>
        <v>#N/A</v>
      </c>
      <c r="J51" s="14" t="e">
        <f ca="1">SOLID!N62</f>
        <v>#N/A</v>
      </c>
      <c r="K51" s="14" t="e">
        <f ca="1">SOLID!O62</f>
        <v>#N/A</v>
      </c>
      <c r="L51" s="14" t="e">
        <f ca="1">SOLID!P62</f>
        <v>#N/A</v>
      </c>
      <c r="M51" s="14" t="e">
        <f ca="1">SOLID!Q62</f>
        <v>#N/A</v>
      </c>
      <c r="N51" s="14" t="e">
        <f ca="1">SOLID!R62</f>
        <v>#N/A</v>
      </c>
      <c r="O51" s="14" t="e">
        <f ca="1">SOLID!S62</f>
        <v>#N/A</v>
      </c>
      <c r="P51" s="14" t="e">
        <f ca="1">SOLID!T62</f>
        <v>#N/A</v>
      </c>
      <c r="Q51" s="14" t="e">
        <f ca="1">SOLID!U62</f>
        <v>#N/A</v>
      </c>
      <c r="R51" s="14" t="e">
        <f ca="1">SOLID!V62</f>
        <v>#N/A</v>
      </c>
      <c r="S51" s="14" t="e">
        <f ca="1">SOLID!W62</f>
        <v>#N/A</v>
      </c>
      <c r="T51" s="14" t="e">
        <f ca="1">SOLID!X62</f>
        <v>#N/A</v>
      </c>
      <c r="U51" s="14" t="e">
        <f ca="1">SOLID!Y62</f>
        <v>#N/A</v>
      </c>
      <c r="V51" s="14" t="e">
        <f ca="1">SOLID!Z62</f>
        <v>#N/A</v>
      </c>
      <c r="W51" s="14" t="e">
        <f ca="1">SOLID!AA62</f>
        <v>#N/A</v>
      </c>
      <c r="X51" s="14" t="e">
        <f ca="1">SOLID!AB62</f>
        <v>#N/A</v>
      </c>
      <c r="Y51" s="14" t="e">
        <f ca="1">SOLID!AC62</f>
        <v>#N/A</v>
      </c>
      <c r="Z51" s="14" t="e">
        <f ca="1">SOLID!AD62</f>
        <v>#N/A</v>
      </c>
      <c r="AA51" s="14" t="e">
        <f ca="1">SOLID!AE62</f>
        <v>#N/A</v>
      </c>
      <c r="AB51" s="14" t="e">
        <f ca="1">SOLID!AF62</f>
        <v>#N/A</v>
      </c>
      <c r="AC51" s="14" t="e">
        <f ca="1">SOLID!AG62</f>
        <v>#N/A</v>
      </c>
      <c r="AD51" s="14" t="e">
        <f ca="1">SOLID!AH62</f>
        <v>#N/A</v>
      </c>
      <c r="AE51" s="14" t="e">
        <f ca="1">SOLID!AI62</f>
        <v>#N/A</v>
      </c>
      <c r="AF51" s="14" t="e">
        <f ca="1">SOLID!AJ62</f>
        <v>#N/A</v>
      </c>
      <c r="AG51" s="14" t="e">
        <f ca="1">SOLID!AK62</f>
        <v>#N/A</v>
      </c>
      <c r="AH51" s="14" t="e">
        <f ca="1">SOLID!AL62</f>
        <v>#N/A</v>
      </c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</row>
    <row r="52" spans="1:94" ht="21.75" hidden="1" outlineLevel="1" thickBot="1" x14ac:dyDescent="0.4">
      <c r="A52" s="35">
        <f>SOLID!E63</f>
        <v>0</v>
      </c>
      <c r="B52" s="16" t="e">
        <f ca="1">SOLID!F63</f>
        <v>#N/A</v>
      </c>
      <c r="C52" s="16" t="e">
        <f ca="1">SOLID!G63</f>
        <v>#N/A</v>
      </c>
      <c r="D52" s="16" t="e">
        <f ca="1">SOLID!H63</f>
        <v>#N/A</v>
      </c>
      <c r="E52" s="16" t="e">
        <f ca="1">SOLID!I63</f>
        <v>#N/A</v>
      </c>
      <c r="F52" s="14" t="e">
        <f ca="1">SOLID!J63</f>
        <v>#N/A</v>
      </c>
      <c r="G52" s="14" t="e">
        <f ca="1">SOLID!K63</f>
        <v>#N/A</v>
      </c>
      <c r="H52" s="14" t="e">
        <f ca="1">SOLID!L63</f>
        <v>#N/A</v>
      </c>
      <c r="I52" s="14" t="e">
        <f ca="1">SOLID!M63</f>
        <v>#N/A</v>
      </c>
      <c r="J52" s="14" t="e">
        <f ca="1">SOLID!N63</f>
        <v>#N/A</v>
      </c>
      <c r="K52" s="14" t="e">
        <f ca="1">SOLID!O63</f>
        <v>#N/A</v>
      </c>
      <c r="L52" s="14" t="e">
        <f ca="1">SOLID!P63</f>
        <v>#N/A</v>
      </c>
      <c r="M52" s="14" t="e">
        <f ca="1">SOLID!Q63</f>
        <v>#N/A</v>
      </c>
      <c r="N52" s="14" t="e">
        <f ca="1">SOLID!R63</f>
        <v>#N/A</v>
      </c>
      <c r="O52" s="14" t="e">
        <f ca="1">SOLID!S63</f>
        <v>#N/A</v>
      </c>
      <c r="P52" s="14" t="e">
        <f ca="1">SOLID!T63</f>
        <v>#N/A</v>
      </c>
      <c r="Q52" s="14" t="e">
        <f ca="1">SOLID!U63</f>
        <v>#N/A</v>
      </c>
      <c r="R52" s="14" t="e">
        <f ca="1">SOLID!V63</f>
        <v>#N/A</v>
      </c>
      <c r="S52" s="14" t="e">
        <f ca="1">SOLID!W63</f>
        <v>#N/A</v>
      </c>
      <c r="T52" s="14" t="e">
        <f ca="1">SOLID!X63</f>
        <v>#N/A</v>
      </c>
      <c r="U52" s="14" t="e">
        <f ca="1">SOLID!Y63</f>
        <v>#N/A</v>
      </c>
      <c r="V52" s="14" t="e">
        <f ca="1">SOLID!Z63</f>
        <v>#N/A</v>
      </c>
      <c r="W52" s="14" t="e">
        <f ca="1">SOLID!AA63</f>
        <v>#N/A</v>
      </c>
      <c r="X52" s="14" t="e">
        <f ca="1">SOLID!AB63</f>
        <v>#N/A</v>
      </c>
      <c r="Y52" s="14" t="e">
        <f ca="1">SOLID!AC63</f>
        <v>#N/A</v>
      </c>
      <c r="Z52" s="14" t="e">
        <f ca="1">SOLID!AD63</f>
        <v>#N/A</v>
      </c>
      <c r="AA52" s="14" t="e">
        <f ca="1">SOLID!AE63</f>
        <v>#N/A</v>
      </c>
      <c r="AB52" s="14" t="e">
        <f ca="1">SOLID!AF63</f>
        <v>#N/A</v>
      </c>
      <c r="AC52" s="14" t="e">
        <f ca="1">SOLID!AG63</f>
        <v>#N/A</v>
      </c>
      <c r="AD52" s="14" t="e">
        <f ca="1">SOLID!AH63</f>
        <v>#N/A</v>
      </c>
      <c r="AE52" s="14" t="e">
        <f ca="1">SOLID!AI63</f>
        <v>#N/A</v>
      </c>
      <c r="AF52" s="14" t="e">
        <f ca="1">SOLID!AJ63</f>
        <v>#N/A</v>
      </c>
      <c r="AG52" s="14" t="e">
        <f ca="1">SOLID!AK63</f>
        <v>#N/A</v>
      </c>
      <c r="AH52" s="14" t="e">
        <f ca="1">SOLID!AL63</f>
        <v>#N/A</v>
      </c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</row>
    <row r="53" spans="1:94" ht="21.75" hidden="1" outlineLevel="1" thickBot="1" x14ac:dyDescent="0.4">
      <c r="A53" s="35">
        <f>SOLID!E64</f>
        <v>0</v>
      </c>
      <c r="B53" s="16" t="e">
        <f ca="1">SOLID!F64</f>
        <v>#N/A</v>
      </c>
      <c r="C53" s="16" t="e">
        <f ca="1">SOLID!G64</f>
        <v>#N/A</v>
      </c>
      <c r="D53" s="16" t="e">
        <f ca="1">SOLID!H64</f>
        <v>#N/A</v>
      </c>
      <c r="E53" s="16" t="e">
        <f ca="1">SOLID!I64</f>
        <v>#N/A</v>
      </c>
      <c r="F53" s="14" t="e">
        <f ca="1">SOLID!J64</f>
        <v>#N/A</v>
      </c>
      <c r="G53" s="14" t="e">
        <f ca="1">SOLID!K64</f>
        <v>#N/A</v>
      </c>
      <c r="H53" s="14" t="e">
        <f ca="1">SOLID!L64</f>
        <v>#N/A</v>
      </c>
      <c r="I53" s="14" t="e">
        <f ca="1">SOLID!M64</f>
        <v>#N/A</v>
      </c>
      <c r="J53" s="14" t="e">
        <f ca="1">SOLID!N64</f>
        <v>#N/A</v>
      </c>
      <c r="K53" s="14" t="e">
        <f ca="1">SOLID!O64</f>
        <v>#N/A</v>
      </c>
      <c r="L53" s="14" t="e">
        <f ca="1">SOLID!P64</f>
        <v>#N/A</v>
      </c>
      <c r="M53" s="14" t="e">
        <f ca="1">SOLID!Q64</f>
        <v>#N/A</v>
      </c>
      <c r="N53" s="14" t="e">
        <f ca="1">SOLID!R64</f>
        <v>#N/A</v>
      </c>
      <c r="O53" s="14" t="e">
        <f ca="1">SOLID!S64</f>
        <v>#N/A</v>
      </c>
      <c r="P53" s="14" t="e">
        <f ca="1">SOLID!T64</f>
        <v>#N/A</v>
      </c>
      <c r="Q53" s="14" t="e">
        <f ca="1">SOLID!U64</f>
        <v>#N/A</v>
      </c>
      <c r="R53" s="14" t="e">
        <f ca="1">SOLID!V64</f>
        <v>#N/A</v>
      </c>
      <c r="S53" s="14" t="e">
        <f ca="1">SOLID!W64</f>
        <v>#N/A</v>
      </c>
      <c r="T53" s="14" t="e">
        <f ca="1">SOLID!X64</f>
        <v>#N/A</v>
      </c>
      <c r="U53" s="14" t="e">
        <f ca="1">SOLID!Y64</f>
        <v>#N/A</v>
      </c>
      <c r="V53" s="14" t="e">
        <f ca="1">SOLID!Z64</f>
        <v>#N/A</v>
      </c>
      <c r="W53" s="14" t="e">
        <f ca="1">SOLID!AA64</f>
        <v>#N/A</v>
      </c>
      <c r="X53" s="14" t="e">
        <f ca="1">SOLID!AB64</f>
        <v>#N/A</v>
      </c>
      <c r="Y53" s="14" t="e">
        <f ca="1">SOLID!AC64</f>
        <v>#N/A</v>
      </c>
      <c r="Z53" s="14" t="e">
        <f ca="1">SOLID!AD64</f>
        <v>#N/A</v>
      </c>
      <c r="AA53" s="14" t="e">
        <f ca="1">SOLID!AE64</f>
        <v>#N/A</v>
      </c>
      <c r="AB53" s="14" t="e">
        <f ca="1">SOLID!AF64</f>
        <v>#N/A</v>
      </c>
      <c r="AC53" s="14" t="e">
        <f ca="1">SOLID!AG64</f>
        <v>#N/A</v>
      </c>
      <c r="AD53" s="14" t="e">
        <f ca="1">SOLID!AH64</f>
        <v>#N/A</v>
      </c>
      <c r="AE53" s="14" t="e">
        <f ca="1">SOLID!AI64</f>
        <v>#N/A</v>
      </c>
      <c r="AF53" s="14" t="e">
        <f ca="1">SOLID!AJ64</f>
        <v>#N/A</v>
      </c>
      <c r="AG53" s="14" t="e">
        <f ca="1">SOLID!AK64</f>
        <v>#N/A</v>
      </c>
      <c r="AH53" s="14" t="e">
        <f ca="1">SOLID!AL64</f>
        <v>#N/A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</row>
    <row r="54" spans="1:94" ht="21.75" hidden="1" outlineLevel="1" thickBot="1" x14ac:dyDescent="0.4">
      <c r="A54" s="35">
        <f>SOLID!E65</f>
        <v>0</v>
      </c>
      <c r="B54" s="16" t="e">
        <f ca="1">SOLID!F65</f>
        <v>#N/A</v>
      </c>
      <c r="C54" s="16" t="e">
        <f ca="1">SOLID!G65</f>
        <v>#N/A</v>
      </c>
      <c r="D54" s="16" t="e">
        <f ca="1">SOLID!H65</f>
        <v>#N/A</v>
      </c>
      <c r="E54" s="16" t="e">
        <f ca="1">SOLID!I65</f>
        <v>#N/A</v>
      </c>
      <c r="F54" s="14" t="e">
        <f ca="1">SOLID!J65</f>
        <v>#N/A</v>
      </c>
      <c r="G54" s="14" t="e">
        <f ca="1">SOLID!K65</f>
        <v>#N/A</v>
      </c>
      <c r="H54" s="14" t="e">
        <f ca="1">SOLID!L65</f>
        <v>#N/A</v>
      </c>
      <c r="I54" s="14" t="e">
        <f ca="1">SOLID!M65</f>
        <v>#N/A</v>
      </c>
      <c r="J54" s="14" t="e">
        <f ca="1">SOLID!N65</f>
        <v>#N/A</v>
      </c>
      <c r="K54" s="14" t="e">
        <f ca="1">SOLID!O65</f>
        <v>#N/A</v>
      </c>
      <c r="L54" s="14" t="e">
        <f ca="1">SOLID!P65</f>
        <v>#N/A</v>
      </c>
      <c r="M54" s="14" t="e">
        <f ca="1">SOLID!Q65</f>
        <v>#N/A</v>
      </c>
      <c r="N54" s="14" t="e">
        <f ca="1">SOLID!R65</f>
        <v>#N/A</v>
      </c>
      <c r="O54" s="14" t="e">
        <f ca="1">SOLID!S65</f>
        <v>#N/A</v>
      </c>
      <c r="P54" s="14" t="e">
        <f ca="1">SOLID!T65</f>
        <v>#N/A</v>
      </c>
      <c r="Q54" s="14" t="e">
        <f ca="1">SOLID!U65</f>
        <v>#N/A</v>
      </c>
      <c r="R54" s="14" t="e">
        <f ca="1">SOLID!V65</f>
        <v>#N/A</v>
      </c>
      <c r="S54" s="14" t="e">
        <f ca="1">SOLID!W65</f>
        <v>#N/A</v>
      </c>
      <c r="T54" s="14" t="e">
        <f ca="1">SOLID!X65</f>
        <v>#N/A</v>
      </c>
      <c r="U54" s="14" t="e">
        <f ca="1">SOLID!Y65</f>
        <v>#N/A</v>
      </c>
      <c r="V54" s="14" t="e">
        <f ca="1">SOLID!Z65</f>
        <v>#N/A</v>
      </c>
      <c r="W54" s="14" t="e">
        <f ca="1">SOLID!AA65</f>
        <v>#N/A</v>
      </c>
      <c r="X54" s="14" t="e">
        <f ca="1">SOLID!AB65</f>
        <v>#N/A</v>
      </c>
      <c r="Y54" s="14" t="e">
        <f ca="1">SOLID!AC65</f>
        <v>#N/A</v>
      </c>
      <c r="Z54" s="14" t="e">
        <f ca="1">SOLID!AD65</f>
        <v>#N/A</v>
      </c>
      <c r="AA54" s="14" t="e">
        <f ca="1">SOLID!AE65</f>
        <v>#N/A</v>
      </c>
      <c r="AB54" s="14" t="e">
        <f ca="1">SOLID!AF65</f>
        <v>#N/A</v>
      </c>
      <c r="AC54" s="14" t="e">
        <f ca="1">SOLID!AG65</f>
        <v>#N/A</v>
      </c>
      <c r="AD54" s="14" t="e">
        <f ca="1">SOLID!AH65</f>
        <v>#N/A</v>
      </c>
      <c r="AE54" s="14" t="e">
        <f ca="1">SOLID!AI65</f>
        <v>#N/A</v>
      </c>
      <c r="AF54" s="14" t="e">
        <f ca="1">SOLID!AJ65</f>
        <v>#N/A</v>
      </c>
      <c r="AG54" s="14" t="e">
        <f ca="1">SOLID!AK65</f>
        <v>#N/A</v>
      </c>
      <c r="AH54" s="14" t="e">
        <f ca="1">SOLID!AL65</f>
        <v>#N/A</v>
      </c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</row>
    <row r="55" spans="1:94" ht="21.75" hidden="1" outlineLevel="1" thickBot="1" x14ac:dyDescent="0.4">
      <c r="A55" s="35">
        <f>SOLID!E66</f>
        <v>0</v>
      </c>
      <c r="B55" s="16" t="e">
        <f ca="1">SOLID!F66</f>
        <v>#N/A</v>
      </c>
      <c r="C55" s="16" t="e">
        <f ca="1">SOLID!G66</f>
        <v>#N/A</v>
      </c>
      <c r="D55" s="16" t="e">
        <f ca="1">SOLID!H66</f>
        <v>#N/A</v>
      </c>
      <c r="E55" s="16" t="e">
        <f ca="1">SOLID!I66</f>
        <v>#N/A</v>
      </c>
      <c r="F55" s="14" t="e">
        <f ca="1">SOLID!J66</f>
        <v>#N/A</v>
      </c>
      <c r="G55" s="14" t="e">
        <f ca="1">SOLID!K66</f>
        <v>#N/A</v>
      </c>
      <c r="H55" s="14" t="e">
        <f ca="1">SOLID!L66</f>
        <v>#N/A</v>
      </c>
      <c r="I55" s="14" t="e">
        <f ca="1">SOLID!M66</f>
        <v>#N/A</v>
      </c>
      <c r="J55" s="14" t="e">
        <f ca="1">SOLID!N66</f>
        <v>#N/A</v>
      </c>
      <c r="K55" s="14" t="e">
        <f ca="1">SOLID!O66</f>
        <v>#N/A</v>
      </c>
      <c r="L55" s="14" t="e">
        <f ca="1">SOLID!P66</f>
        <v>#N/A</v>
      </c>
      <c r="M55" s="14" t="e">
        <f ca="1">SOLID!Q66</f>
        <v>#N/A</v>
      </c>
      <c r="N55" s="14" t="e">
        <f ca="1">SOLID!R66</f>
        <v>#N/A</v>
      </c>
      <c r="O55" s="14" t="e">
        <f ca="1">SOLID!S66</f>
        <v>#N/A</v>
      </c>
      <c r="P55" s="14" t="e">
        <f ca="1">SOLID!T66</f>
        <v>#N/A</v>
      </c>
      <c r="Q55" s="14" t="e">
        <f ca="1">SOLID!U66</f>
        <v>#N/A</v>
      </c>
      <c r="R55" s="14" t="e">
        <f ca="1">SOLID!V66</f>
        <v>#N/A</v>
      </c>
      <c r="S55" s="14" t="e">
        <f ca="1">SOLID!W66</f>
        <v>#N/A</v>
      </c>
      <c r="T55" s="14" t="e">
        <f ca="1">SOLID!X66</f>
        <v>#N/A</v>
      </c>
      <c r="U55" s="14" t="e">
        <f ca="1">SOLID!Y66</f>
        <v>#N/A</v>
      </c>
      <c r="V55" s="14" t="e">
        <f ca="1">SOLID!Z66</f>
        <v>#N/A</v>
      </c>
      <c r="W55" s="14" t="e">
        <f ca="1">SOLID!AA66</f>
        <v>#N/A</v>
      </c>
      <c r="X55" s="14" t="e">
        <f ca="1">SOLID!AB66</f>
        <v>#N/A</v>
      </c>
      <c r="Y55" s="14" t="e">
        <f ca="1">SOLID!AC66</f>
        <v>#N/A</v>
      </c>
      <c r="Z55" s="14" t="e">
        <f ca="1">SOLID!AD66</f>
        <v>#N/A</v>
      </c>
      <c r="AA55" s="14" t="e">
        <f ca="1">SOLID!AE66</f>
        <v>#N/A</v>
      </c>
      <c r="AB55" s="14" t="e">
        <f ca="1">SOLID!AF66</f>
        <v>#N/A</v>
      </c>
      <c r="AC55" s="14" t="e">
        <f ca="1">SOLID!AG66</f>
        <v>#N/A</v>
      </c>
      <c r="AD55" s="14" t="e">
        <f ca="1">SOLID!AH66</f>
        <v>#N/A</v>
      </c>
      <c r="AE55" s="14" t="e">
        <f ca="1">SOLID!AI66</f>
        <v>#N/A</v>
      </c>
      <c r="AF55" s="14" t="e">
        <f ca="1">SOLID!AJ66</f>
        <v>#N/A</v>
      </c>
      <c r="AG55" s="14" t="e">
        <f ca="1">SOLID!AK66</f>
        <v>#N/A</v>
      </c>
      <c r="AH55" s="14" t="e">
        <f ca="1">SOLID!AL66</f>
        <v>#N/A</v>
      </c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55"/>
      <c r="BK55" s="55"/>
      <c r="BL55" s="55"/>
      <c r="BM55" s="55"/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55"/>
      <c r="CO55" s="55"/>
      <c r="CP55" s="55"/>
    </row>
    <row r="56" spans="1:94" ht="21.75" hidden="1" outlineLevel="1" thickBot="1" x14ac:dyDescent="0.4">
      <c r="A56" s="35">
        <f>SOLID!E67</f>
        <v>0</v>
      </c>
      <c r="B56" s="16" t="e">
        <f ca="1">SOLID!F67</f>
        <v>#N/A</v>
      </c>
      <c r="C56" s="16" t="e">
        <f ca="1">SOLID!G67</f>
        <v>#N/A</v>
      </c>
      <c r="D56" s="16" t="e">
        <f ca="1">SOLID!H67</f>
        <v>#N/A</v>
      </c>
      <c r="E56" s="16" t="e">
        <f ca="1">SOLID!I67</f>
        <v>#N/A</v>
      </c>
      <c r="F56" s="14" t="e">
        <f ca="1">SOLID!J67</f>
        <v>#N/A</v>
      </c>
      <c r="G56" s="14" t="e">
        <f ca="1">SOLID!K67</f>
        <v>#N/A</v>
      </c>
      <c r="H56" s="14" t="e">
        <f ca="1">SOLID!L67</f>
        <v>#N/A</v>
      </c>
      <c r="I56" s="14" t="e">
        <f ca="1">SOLID!M67</f>
        <v>#N/A</v>
      </c>
      <c r="J56" s="14" t="e">
        <f ca="1">SOLID!N67</f>
        <v>#N/A</v>
      </c>
      <c r="K56" s="14" t="e">
        <f ca="1">SOLID!O67</f>
        <v>#N/A</v>
      </c>
      <c r="L56" s="14" t="e">
        <f ca="1">SOLID!P67</f>
        <v>#N/A</v>
      </c>
      <c r="M56" s="14" t="e">
        <f ca="1">SOLID!Q67</f>
        <v>#N/A</v>
      </c>
      <c r="N56" s="14" t="e">
        <f ca="1">SOLID!R67</f>
        <v>#N/A</v>
      </c>
      <c r="O56" s="14" t="e">
        <f ca="1">SOLID!S67</f>
        <v>#N/A</v>
      </c>
      <c r="P56" s="14" t="e">
        <f ca="1">SOLID!T67</f>
        <v>#N/A</v>
      </c>
      <c r="Q56" s="14" t="e">
        <f ca="1">SOLID!U67</f>
        <v>#N/A</v>
      </c>
      <c r="R56" s="14" t="e">
        <f ca="1">SOLID!V67</f>
        <v>#N/A</v>
      </c>
      <c r="S56" s="14" t="e">
        <f ca="1">SOLID!W67</f>
        <v>#N/A</v>
      </c>
      <c r="T56" s="14" t="e">
        <f ca="1">SOLID!X67</f>
        <v>#N/A</v>
      </c>
      <c r="U56" s="14" t="e">
        <f ca="1">SOLID!Y67</f>
        <v>#N/A</v>
      </c>
      <c r="V56" s="14" t="e">
        <f ca="1">SOLID!Z67</f>
        <v>#N/A</v>
      </c>
      <c r="W56" s="14" t="e">
        <f ca="1">SOLID!AA67</f>
        <v>#N/A</v>
      </c>
      <c r="X56" s="14" t="e">
        <f ca="1">SOLID!AB67</f>
        <v>#N/A</v>
      </c>
      <c r="Y56" s="14" t="e">
        <f ca="1">SOLID!AC67</f>
        <v>#N/A</v>
      </c>
      <c r="Z56" s="14" t="e">
        <f ca="1">SOLID!AD67</f>
        <v>#N/A</v>
      </c>
      <c r="AA56" s="14" t="e">
        <f ca="1">SOLID!AE67</f>
        <v>#N/A</v>
      </c>
      <c r="AB56" s="14" t="e">
        <f ca="1">SOLID!AF67</f>
        <v>#N/A</v>
      </c>
      <c r="AC56" s="14" t="e">
        <f ca="1">SOLID!AG67</f>
        <v>#N/A</v>
      </c>
      <c r="AD56" s="14" t="e">
        <f ca="1">SOLID!AH67</f>
        <v>#N/A</v>
      </c>
      <c r="AE56" s="14" t="e">
        <f ca="1">SOLID!AI67</f>
        <v>#N/A</v>
      </c>
      <c r="AF56" s="14" t="e">
        <f ca="1">SOLID!AJ67</f>
        <v>#N/A</v>
      </c>
      <c r="AG56" s="14" t="e">
        <f ca="1">SOLID!AK67</f>
        <v>#N/A</v>
      </c>
      <c r="AH56" s="14" t="e">
        <f ca="1">SOLID!AL67</f>
        <v>#N/A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55"/>
      <c r="CO56" s="55"/>
      <c r="CP56" s="55"/>
    </row>
    <row r="57" spans="1:94" ht="21.75" hidden="1" outlineLevel="1" thickBot="1" x14ac:dyDescent="0.4">
      <c r="A57" s="35">
        <f>SOLID!E68</f>
        <v>0</v>
      </c>
      <c r="B57" s="16" t="e">
        <f ca="1">SOLID!F68</f>
        <v>#N/A</v>
      </c>
      <c r="C57" s="16" t="e">
        <f ca="1">SOLID!G68</f>
        <v>#N/A</v>
      </c>
      <c r="D57" s="16" t="e">
        <f ca="1">SOLID!H68</f>
        <v>#N/A</v>
      </c>
      <c r="E57" s="16" t="e">
        <f ca="1">SOLID!I68</f>
        <v>#N/A</v>
      </c>
      <c r="F57" s="14" t="e">
        <f ca="1">SOLID!J68</f>
        <v>#N/A</v>
      </c>
      <c r="G57" s="14" t="e">
        <f ca="1">SOLID!K68</f>
        <v>#N/A</v>
      </c>
      <c r="H57" s="14" t="e">
        <f ca="1">SOLID!L68</f>
        <v>#N/A</v>
      </c>
      <c r="I57" s="14" t="e">
        <f ca="1">SOLID!M68</f>
        <v>#N/A</v>
      </c>
      <c r="J57" s="14" t="e">
        <f ca="1">SOLID!N68</f>
        <v>#N/A</v>
      </c>
      <c r="K57" s="14" t="e">
        <f ca="1">SOLID!O68</f>
        <v>#N/A</v>
      </c>
      <c r="L57" s="14" t="e">
        <f ca="1">SOLID!P68</f>
        <v>#N/A</v>
      </c>
      <c r="M57" s="14" t="e">
        <f ca="1">SOLID!Q68</f>
        <v>#N/A</v>
      </c>
      <c r="N57" s="14" t="e">
        <f ca="1">SOLID!R68</f>
        <v>#N/A</v>
      </c>
      <c r="O57" s="14" t="e">
        <f ca="1">SOLID!S68</f>
        <v>#N/A</v>
      </c>
      <c r="P57" s="14" t="e">
        <f ca="1">SOLID!T68</f>
        <v>#N/A</v>
      </c>
      <c r="Q57" s="14" t="e">
        <f ca="1">SOLID!U68</f>
        <v>#N/A</v>
      </c>
      <c r="R57" s="14" t="e">
        <f ca="1">SOLID!V68</f>
        <v>#N/A</v>
      </c>
      <c r="S57" s="14" t="e">
        <f ca="1">SOLID!W68</f>
        <v>#N/A</v>
      </c>
      <c r="T57" s="14" t="e">
        <f ca="1">SOLID!X68</f>
        <v>#N/A</v>
      </c>
      <c r="U57" s="14" t="e">
        <f ca="1">SOLID!Y68</f>
        <v>#N/A</v>
      </c>
      <c r="V57" s="14" t="e">
        <f ca="1">SOLID!Z68</f>
        <v>#N/A</v>
      </c>
      <c r="W57" s="14" t="e">
        <f ca="1">SOLID!AA68</f>
        <v>#N/A</v>
      </c>
      <c r="X57" s="14" t="e">
        <f ca="1">SOLID!AB68</f>
        <v>#N/A</v>
      </c>
      <c r="Y57" s="14" t="e">
        <f ca="1">SOLID!AC68</f>
        <v>#N/A</v>
      </c>
      <c r="Z57" s="14" t="e">
        <f ca="1">SOLID!AD68</f>
        <v>#N/A</v>
      </c>
      <c r="AA57" s="14" t="e">
        <f ca="1">SOLID!AE68</f>
        <v>#N/A</v>
      </c>
      <c r="AB57" s="14" t="e">
        <f ca="1">SOLID!AF68</f>
        <v>#N/A</v>
      </c>
      <c r="AC57" s="14" t="e">
        <f ca="1">SOLID!AG68</f>
        <v>#N/A</v>
      </c>
      <c r="AD57" s="14" t="e">
        <f ca="1">SOLID!AH68</f>
        <v>#N/A</v>
      </c>
      <c r="AE57" s="14" t="e">
        <f ca="1">SOLID!AI68</f>
        <v>#N/A</v>
      </c>
      <c r="AF57" s="14" t="e">
        <f ca="1">SOLID!AJ68</f>
        <v>#N/A</v>
      </c>
      <c r="AG57" s="14" t="e">
        <f ca="1">SOLID!AK68</f>
        <v>#N/A</v>
      </c>
      <c r="AH57" s="14" t="e">
        <f ca="1">SOLID!AL68</f>
        <v>#N/A</v>
      </c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55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55"/>
      <c r="CO57" s="55"/>
      <c r="CP57" s="55"/>
    </row>
    <row r="58" spans="1:94" ht="21.75" hidden="1" outlineLevel="1" thickBot="1" x14ac:dyDescent="0.4">
      <c r="A58" s="35">
        <f>SOLID!E69</f>
        <v>0</v>
      </c>
      <c r="B58" s="16" t="e">
        <f ca="1">SOLID!F69</f>
        <v>#N/A</v>
      </c>
      <c r="C58" s="16" t="e">
        <f ca="1">SOLID!G69</f>
        <v>#N/A</v>
      </c>
      <c r="D58" s="16" t="e">
        <f ca="1">SOLID!H69</f>
        <v>#N/A</v>
      </c>
      <c r="E58" s="16" t="e">
        <f ca="1">SOLID!I69</f>
        <v>#N/A</v>
      </c>
      <c r="F58" s="14" t="e">
        <f ca="1">SOLID!J69</f>
        <v>#N/A</v>
      </c>
      <c r="G58" s="14" t="e">
        <f ca="1">SOLID!K69</f>
        <v>#N/A</v>
      </c>
      <c r="H58" s="14" t="e">
        <f ca="1">SOLID!L69</f>
        <v>#N/A</v>
      </c>
      <c r="I58" s="14" t="e">
        <f ca="1">SOLID!M69</f>
        <v>#N/A</v>
      </c>
      <c r="J58" s="14" t="e">
        <f ca="1">SOLID!N69</f>
        <v>#N/A</v>
      </c>
      <c r="K58" s="14" t="e">
        <f ca="1">SOLID!O69</f>
        <v>#N/A</v>
      </c>
      <c r="L58" s="14" t="e">
        <f ca="1">SOLID!P69</f>
        <v>#N/A</v>
      </c>
      <c r="M58" s="14" t="e">
        <f ca="1">SOLID!Q69</f>
        <v>#N/A</v>
      </c>
      <c r="N58" s="14" t="e">
        <f ca="1">SOLID!R69</f>
        <v>#N/A</v>
      </c>
      <c r="O58" s="14" t="e">
        <f ca="1">SOLID!S69</f>
        <v>#N/A</v>
      </c>
      <c r="P58" s="14" t="e">
        <f ca="1">SOLID!T69</f>
        <v>#N/A</v>
      </c>
      <c r="Q58" s="14" t="e">
        <f ca="1">SOLID!U69</f>
        <v>#N/A</v>
      </c>
      <c r="R58" s="14" t="e">
        <f ca="1">SOLID!V69</f>
        <v>#N/A</v>
      </c>
      <c r="S58" s="14" t="e">
        <f ca="1">SOLID!W69</f>
        <v>#N/A</v>
      </c>
      <c r="T58" s="14" t="e">
        <f ca="1">SOLID!X69</f>
        <v>#N/A</v>
      </c>
      <c r="U58" s="14" t="e">
        <f ca="1">SOLID!Y69</f>
        <v>#N/A</v>
      </c>
      <c r="V58" s="14" t="e">
        <f ca="1">SOLID!Z69</f>
        <v>#N/A</v>
      </c>
      <c r="W58" s="14" t="e">
        <f ca="1">SOLID!AA69</f>
        <v>#N/A</v>
      </c>
      <c r="X58" s="14" t="e">
        <f ca="1">SOLID!AB69</f>
        <v>#N/A</v>
      </c>
      <c r="Y58" s="14" t="e">
        <f ca="1">SOLID!AC69</f>
        <v>#N/A</v>
      </c>
      <c r="Z58" s="14" t="e">
        <f ca="1">SOLID!AD69</f>
        <v>#N/A</v>
      </c>
      <c r="AA58" s="14" t="e">
        <f ca="1">SOLID!AE69</f>
        <v>#N/A</v>
      </c>
      <c r="AB58" s="14" t="e">
        <f ca="1">SOLID!AF69</f>
        <v>#N/A</v>
      </c>
      <c r="AC58" s="14" t="e">
        <f ca="1">SOLID!AG69</f>
        <v>#N/A</v>
      </c>
      <c r="AD58" s="14" t="e">
        <f ca="1">SOLID!AH69</f>
        <v>#N/A</v>
      </c>
      <c r="AE58" s="14" t="e">
        <f ca="1">SOLID!AI69</f>
        <v>#N/A</v>
      </c>
      <c r="AF58" s="14" t="e">
        <f ca="1">SOLID!AJ69</f>
        <v>#N/A</v>
      </c>
      <c r="AG58" s="14" t="e">
        <f ca="1">SOLID!AK69</f>
        <v>#N/A</v>
      </c>
      <c r="AH58" s="14" t="e">
        <f ca="1">SOLID!AL69</f>
        <v>#N/A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55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55"/>
      <c r="CO58" s="55"/>
      <c r="CP58" s="55"/>
    </row>
    <row r="59" spans="1:94" ht="21.75" hidden="1" outlineLevel="1" thickBot="1" x14ac:dyDescent="0.4">
      <c r="A59" s="35">
        <f>SOLID!E70</f>
        <v>0</v>
      </c>
      <c r="B59" s="16" t="e">
        <f ca="1">SOLID!F70</f>
        <v>#N/A</v>
      </c>
      <c r="C59" s="16" t="e">
        <f ca="1">SOLID!G70</f>
        <v>#N/A</v>
      </c>
      <c r="D59" s="16" t="e">
        <f ca="1">SOLID!H70</f>
        <v>#N/A</v>
      </c>
      <c r="E59" s="16" t="e">
        <f ca="1">SOLID!I70</f>
        <v>#N/A</v>
      </c>
      <c r="F59" s="14" t="e">
        <f ca="1">SOLID!J70</f>
        <v>#N/A</v>
      </c>
      <c r="G59" s="14" t="e">
        <f ca="1">SOLID!K70</f>
        <v>#N/A</v>
      </c>
      <c r="H59" s="14" t="e">
        <f ca="1">SOLID!L70</f>
        <v>#N/A</v>
      </c>
      <c r="I59" s="14" t="e">
        <f ca="1">SOLID!M70</f>
        <v>#N/A</v>
      </c>
      <c r="J59" s="14" t="e">
        <f ca="1">SOLID!N70</f>
        <v>#N/A</v>
      </c>
      <c r="K59" s="14" t="e">
        <f ca="1">SOLID!O70</f>
        <v>#N/A</v>
      </c>
      <c r="L59" s="14" t="e">
        <f ca="1">SOLID!P70</f>
        <v>#N/A</v>
      </c>
      <c r="M59" s="14" t="e">
        <f ca="1">SOLID!Q70</f>
        <v>#N/A</v>
      </c>
      <c r="N59" s="14" t="e">
        <f ca="1">SOLID!R70</f>
        <v>#N/A</v>
      </c>
      <c r="O59" s="14" t="e">
        <f ca="1">SOLID!S70</f>
        <v>#N/A</v>
      </c>
      <c r="P59" s="14" t="e">
        <f ca="1">SOLID!T70</f>
        <v>#N/A</v>
      </c>
      <c r="Q59" s="14" t="e">
        <f ca="1">SOLID!U70</f>
        <v>#N/A</v>
      </c>
      <c r="R59" s="14" t="e">
        <f ca="1">SOLID!V70</f>
        <v>#N/A</v>
      </c>
      <c r="S59" s="14" t="e">
        <f ca="1">SOLID!W70</f>
        <v>#N/A</v>
      </c>
      <c r="T59" s="14" t="e">
        <f ca="1">SOLID!X70</f>
        <v>#N/A</v>
      </c>
      <c r="U59" s="14" t="e">
        <f ca="1">SOLID!Y70</f>
        <v>#N/A</v>
      </c>
      <c r="V59" s="14" t="e">
        <f ca="1">SOLID!Z70</f>
        <v>#N/A</v>
      </c>
      <c r="W59" s="14" t="e">
        <f ca="1">SOLID!AA70</f>
        <v>#N/A</v>
      </c>
      <c r="X59" s="14" t="e">
        <f ca="1">SOLID!AB70</f>
        <v>#N/A</v>
      </c>
      <c r="Y59" s="14" t="e">
        <f ca="1">SOLID!AC70</f>
        <v>#N/A</v>
      </c>
      <c r="Z59" s="14" t="e">
        <f ca="1">SOLID!AD70</f>
        <v>#N/A</v>
      </c>
      <c r="AA59" s="14" t="e">
        <f ca="1">SOLID!AE70</f>
        <v>#N/A</v>
      </c>
      <c r="AB59" s="14" t="e">
        <f ca="1">SOLID!AF70</f>
        <v>#N/A</v>
      </c>
      <c r="AC59" s="14" t="e">
        <f ca="1">SOLID!AG70</f>
        <v>#N/A</v>
      </c>
      <c r="AD59" s="14" t="e">
        <f ca="1">SOLID!AH70</f>
        <v>#N/A</v>
      </c>
      <c r="AE59" s="14" t="e">
        <f ca="1">SOLID!AI70</f>
        <v>#N/A</v>
      </c>
      <c r="AF59" s="14" t="e">
        <f ca="1">SOLID!AJ70</f>
        <v>#N/A</v>
      </c>
      <c r="AG59" s="14" t="e">
        <f ca="1">SOLID!AK70</f>
        <v>#N/A</v>
      </c>
      <c r="AH59" s="14" t="e">
        <f ca="1">SOLID!AL70</f>
        <v>#N/A</v>
      </c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55"/>
      <c r="CO59" s="55"/>
      <c r="CP59" s="55"/>
    </row>
    <row r="60" spans="1:94" ht="21.75" hidden="1" outlineLevel="1" thickBot="1" x14ac:dyDescent="0.4">
      <c r="A60" s="35">
        <f>SOLID!E71</f>
        <v>0</v>
      </c>
      <c r="B60" s="16" t="e">
        <f ca="1">SOLID!F71</f>
        <v>#N/A</v>
      </c>
      <c r="C60" s="16" t="e">
        <f ca="1">SOLID!G71</f>
        <v>#N/A</v>
      </c>
      <c r="D60" s="16" t="e">
        <f ca="1">SOLID!H71</f>
        <v>#N/A</v>
      </c>
      <c r="E60" s="16" t="e">
        <f ca="1">SOLID!I71</f>
        <v>#N/A</v>
      </c>
      <c r="F60" s="14" t="e">
        <f ca="1">SOLID!J71</f>
        <v>#N/A</v>
      </c>
      <c r="G60" s="14" t="e">
        <f ca="1">SOLID!K71</f>
        <v>#N/A</v>
      </c>
      <c r="H60" s="14" t="e">
        <f ca="1">SOLID!L71</f>
        <v>#N/A</v>
      </c>
      <c r="I60" s="14" t="e">
        <f ca="1">SOLID!M71</f>
        <v>#N/A</v>
      </c>
      <c r="J60" s="14" t="e">
        <f ca="1">SOLID!N71</f>
        <v>#N/A</v>
      </c>
      <c r="K60" s="14" t="e">
        <f ca="1">SOLID!O71</f>
        <v>#N/A</v>
      </c>
      <c r="L60" s="14" t="e">
        <f ca="1">SOLID!P71</f>
        <v>#N/A</v>
      </c>
      <c r="M60" s="14" t="e">
        <f ca="1">SOLID!Q71</f>
        <v>#N/A</v>
      </c>
      <c r="N60" s="14" t="e">
        <f ca="1">SOLID!R71</f>
        <v>#N/A</v>
      </c>
      <c r="O60" s="14" t="e">
        <f ca="1">SOLID!S71</f>
        <v>#N/A</v>
      </c>
      <c r="P60" s="14" t="e">
        <f ca="1">SOLID!T71</f>
        <v>#N/A</v>
      </c>
      <c r="Q60" s="14" t="e">
        <f ca="1">SOLID!U71</f>
        <v>#N/A</v>
      </c>
      <c r="R60" s="14" t="e">
        <f ca="1">SOLID!V71</f>
        <v>#N/A</v>
      </c>
      <c r="S60" s="14" t="e">
        <f ca="1">SOLID!W71</f>
        <v>#N/A</v>
      </c>
      <c r="T60" s="14" t="e">
        <f ca="1">SOLID!X71</f>
        <v>#N/A</v>
      </c>
      <c r="U60" s="14" t="e">
        <f ca="1">SOLID!Y71</f>
        <v>#N/A</v>
      </c>
      <c r="V60" s="14" t="e">
        <f ca="1">SOLID!Z71</f>
        <v>#N/A</v>
      </c>
      <c r="W60" s="14" t="e">
        <f ca="1">SOLID!AA71</f>
        <v>#N/A</v>
      </c>
      <c r="X60" s="14" t="e">
        <f ca="1">SOLID!AB71</f>
        <v>#N/A</v>
      </c>
      <c r="Y60" s="14" t="e">
        <f ca="1">SOLID!AC71</f>
        <v>#N/A</v>
      </c>
      <c r="Z60" s="14" t="e">
        <f ca="1">SOLID!AD71</f>
        <v>#N/A</v>
      </c>
      <c r="AA60" s="14" t="e">
        <f ca="1">SOLID!AE71</f>
        <v>#N/A</v>
      </c>
      <c r="AB60" s="14" t="e">
        <f ca="1">SOLID!AF71</f>
        <v>#N/A</v>
      </c>
      <c r="AC60" s="14" t="e">
        <f ca="1">SOLID!AG71</f>
        <v>#N/A</v>
      </c>
      <c r="AD60" s="14" t="e">
        <f ca="1">SOLID!AH71</f>
        <v>#N/A</v>
      </c>
      <c r="AE60" s="14" t="e">
        <f ca="1">SOLID!AI71</f>
        <v>#N/A</v>
      </c>
      <c r="AF60" s="14" t="e">
        <f ca="1">SOLID!AJ71</f>
        <v>#N/A</v>
      </c>
      <c r="AG60" s="14" t="e">
        <f ca="1">SOLID!AK71</f>
        <v>#N/A</v>
      </c>
      <c r="AH60" s="14" t="e">
        <f ca="1">SOLID!AL71</f>
        <v>#N/A</v>
      </c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55"/>
      <c r="CO60" s="55"/>
      <c r="CP60" s="55"/>
    </row>
    <row r="61" spans="1:94" ht="21.75" hidden="1" outlineLevel="1" thickBot="1" x14ac:dyDescent="0.4">
      <c r="A61" s="35">
        <f>SOLID!E72</f>
        <v>0</v>
      </c>
      <c r="B61" s="16" t="e">
        <f ca="1">SOLID!F72</f>
        <v>#N/A</v>
      </c>
      <c r="C61" s="16" t="e">
        <f ca="1">SOLID!G72</f>
        <v>#N/A</v>
      </c>
      <c r="D61" s="16" t="e">
        <f ca="1">SOLID!H72</f>
        <v>#N/A</v>
      </c>
      <c r="E61" s="16" t="e">
        <f ca="1">SOLID!I72</f>
        <v>#N/A</v>
      </c>
      <c r="F61" s="14" t="e">
        <f ca="1">SOLID!J72</f>
        <v>#N/A</v>
      </c>
      <c r="G61" s="14" t="e">
        <f ca="1">SOLID!K72</f>
        <v>#N/A</v>
      </c>
      <c r="H61" s="14" t="e">
        <f ca="1">SOLID!L72</f>
        <v>#N/A</v>
      </c>
      <c r="I61" s="14" t="e">
        <f ca="1">SOLID!M72</f>
        <v>#N/A</v>
      </c>
      <c r="J61" s="14" t="e">
        <f ca="1">SOLID!N72</f>
        <v>#N/A</v>
      </c>
      <c r="K61" s="14" t="e">
        <f ca="1">SOLID!O72</f>
        <v>#N/A</v>
      </c>
      <c r="L61" s="14" t="e">
        <f ca="1">SOLID!P72</f>
        <v>#N/A</v>
      </c>
      <c r="M61" s="14" t="e">
        <f ca="1">SOLID!Q72</f>
        <v>#N/A</v>
      </c>
      <c r="N61" s="14" t="e">
        <f ca="1">SOLID!R72</f>
        <v>#N/A</v>
      </c>
      <c r="O61" s="14" t="e">
        <f ca="1">SOLID!S72</f>
        <v>#N/A</v>
      </c>
      <c r="P61" s="14" t="e">
        <f ca="1">SOLID!T72</f>
        <v>#N/A</v>
      </c>
      <c r="Q61" s="14" t="e">
        <f ca="1">SOLID!U72</f>
        <v>#N/A</v>
      </c>
      <c r="R61" s="14" t="e">
        <f ca="1">SOLID!V72</f>
        <v>#N/A</v>
      </c>
      <c r="S61" s="14" t="e">
        <f ca="1">SOLID!W72</f>
        <v>#N/A</v>
      </c>
      <c r="T61" s="14" t="e">
        <f ca="1">SOLID!X72</f>
        <v>#N/A</v>
      </c>
      <c r="U61" s="14" t="e">
        <f ca="1">SOLID!Y72</f>
        <v>#N/A</v>
      </c>
      <c r="V61" s="14" t="e">
        <f ca="1">SOLID!Z72</f>
        <v>#N/A</v>
      </c>
      <c r="W61" s="14" t="e">
        <f ca="1">SOLID!AA72</f>
        <v>#N/A</v>
      </c>
      <c r="X61" s="14" t="e">
        <f ca="1">SOLID!AB72</f>
        <v>#N/A</v>
      </c>
      <c r="Y61" s="14" t="e">
        <f ca="1">SOLID!AC72</f>
        <v>#N/A</v>
      </c>
      <c r="Z61" s="14" t="e">
        <f ca="1">SOLID!AD72</f>
        <v>#N/A</v>
      </c>
      <c r="AA61" s="14" t="e">
        <f ca="1">SOLID!AE72</f>
        <v>#N/A</v>
      </c>
      <c r="AB61" s="14" t="e">
        <f ca="1">SOLID!AF72</f>
        <v>#N/A</v>
      </c>
      <c r="AC61" s="14" t="e">
        <f ca="1">SOLID!AG72</f>
        <v>#N/A</v>
      </c>
      <c r="AD61" s="14" t="e">
        <f ca="1">SOLID!AH72</f>
        <v>#N/A</v>
      </c>
      <c r="AE61" s="14" t="e">
        <f ca="1">SOLID!AI72</f>
        <v>#N/A</v>
      </c>
      <c r="AF61" s="14" t="e">
        <f ca="1">SOLID!AJ72</f>
        <v>#N/A</v>
      </c>
      <c r="AG61" s="14" t="e">
        <f ca="1">SOLID!AK72</f>
        <v>#N/A</v>
      </c>
      <c r="AH61" s="14" t="e">
        <f ca="1">SOLID!AL72</f>
        <v>#N/A</v>
      </c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55"/>
      <c r="BK61" s="55"/>
      <c r="BL61" s="55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</row>
    <row r="62" spans="1:94" ht="21.75" hidden="1" outlineLevel="1" thickBot="1" x14ac:dyDescent="0.4">
      <c r="A62" s="35">
        <f>SOLID!E73</f>
        <v>0</v>
      </c>
      <c r="B62" s="16" t="e">
        <f ca="1">SOLID!F73</f>
        <v>#N/A</v>
      </c>
      <c r="C62" s="16" t="e">
        <f ca="1">SOLID!G73</f>
        <v>#N/A</v>
      </c>
      <c r="D62" s="16" t="e">
        <f ca="1">SOLID!H73</f>
        <v>#N/A</v>
      </c>
      <c r="E62" s="16" t="e">
        <f ca="1">SOLID!I73</f>
        <v>#N/A</v>
      </c>
      <c r="F62" s="14" t="e">
        <f ca="1">SOLID!J73</f>
        <v>#N/A</v>
      </c>
      <c r="G62" s="14" t="e">
        <f ca="1">SOLID!K73</f>
        <v>#N/A</v>
      </c>
      <c r="H62" s="14" t="e">
        <f ca="1">SOLID!L73</f>
        <v>#N/A</v>
      </c>
      <c r="I62" s="14" t="e">
        <f ca="1">SOLID!M73</f>
        <v>#N/A</v>
      </c>
      <c r="J62" s="14" t="e">
        <f ca="1">SOLID!N73</f>
        <v>#N/A</v>
      </c>
      <c r="K62" s="14" t="e">
        <f ca="1">SOLID!O73</f>
        <v>#N/A</v>
      </c>
      <c r="L62" s="14" t="e">
        <f ca="1">SOLID!P73</f>
        <v>#N/A</v>
      </c>
      <c r="M62" s="14" t="e">
        <f ca="1">SOLID!Q73</f>
        <v>#N/A</v>
      </c>
      <c r="N62" s="14" t="e">
        <f ca="1">SOLID!R73</f>
        <v>#N/A</v>
      </c>
      <c r="O62" s="14" t="e">
        <f ca="1">SOLID!S73</f>
        <v>#N/A</v>
      </c>
      <c r="P62" s="14" t="e">
        <f ca="1">SOLID!T73</f>
        <v>#N/A</v>
      </c>
      <c r="Q62" s="14" t="e">
        <f ca="1">SOLID!U73</f>
        <v>#N/A</v>
      </c>
      <c r="R62" s="14" t="e">
        <f ca="1">SOLID!V73</f>
        <v>#N/A</v>
      </c>
      <c r="S62" s="14" t="e">
        <f ca="1">SOLID!W73</f>
        <v>#N/A</v>
      </c>
      <c r="T62" s="14" t="e">
        <f ca="1">SOLID!X73</f>
        <v>#N/A</v>
      </c>
      <c r="U62" s="14" t="e">
        <f ca="1">SOLID!Y73</f>
        <v>#N/A</v>
      </c>
      <c r="V62" s="14" t="e">
        <f ca="1">SOLID!Z73</f>
        <v>#N/A</v>
      </c>
      <c r="W62" s="14" t="e">
        <f ca="1">SOLID!AA73</f>
        <v>#N/A</v>
      </c>
      <c r="X62" s="14" t="e">
        <f ca="1">SOLID!AB73</f>
        <v>#N/A</v>
      </c>
      <c r="Y62" s="14" t="e">
        <f ca="1">SOLID!AC73</f>
        <v>#N/A</v>
      </c>
      <c r="Z62" s="14" t="e">
        <f ca="1">SOLID!AD73</f>
        <v>#N/A</v>
      </c>
      <c r="AA62" s="14" t="e">
        <f ca="1">SOLID!AE73</f>
        <v>#N/A</v>
      </c>
      <c r="AB62" s="14" t="e">
        <f ca="1">SOLID!AF73</f>
        <v>#N/A</v>
      </c>
      <c r="AC62" s="14" t="e">
        <f ca="1">SOLID!AG73</f>
        <v>#N/A</v>
      </c>
      <c r="AD62" s="14" t="e">
        <f ca="1">SOLID!AH73</f>
        <v>#N/A</v>
      </c>
      <c r="AE62" s="14" t="e">
        <f ca="1">SOLID!AI73</f>
        <v>#N/A</v>
      </c>
      <c r="AF62" s="14" t="e">
        <f ca="1">SOLID!AJ73</f>
        <v>#N/A</v>
      </c>
      <c r="AG62" s="14" t="e">
        <f ca="1">SOLID!AK73</f>
        <v>#N/A</v>
      </c>
      <c r="AH62" s="14" t="e">
        <f ca="1">SOLID!AL73</f>
        <v>#N/A</v>
      </c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</row>
    <row r="63" spans="1:94" ht="21.75" hidden="1" outlineLevel="1" thickBot="1" x14ac:dyDescent="0.4">
      <c r="A63" s="35">
        <f>SOLID!E74</f>
        <v>0</v>
      </c>
      <c r="B63" s="16" t="e">
        <f ca="1">SOLID!F74</f>
        <v>#N/A</v>
      </c>
      <c r="C63" s="16" t="e">
        <f ca="1">SOLID!G74</f>
        <v>#N/A</v>
      </c>
      <c r="D63" s="16" t="e">
        <f ca="1">SOLID!H74</f>
        <v>#N/A</v>
      </c>
      <c r="E63" s="16" t="e">
        <f ca="1">SOLID!I74</f>
        <v>#N/A</v>
      </c>
      <c r="F63" s="14" t="e">
        <f ca="1">SOLID!J74</f>
        <v>#N/A</v>
      </c>
      <c r="G63" s="14" t="e">
        <f ca="1">SOLID!K74</f>
        <v>#N/A</v>
      </c>
      <c r="H63" s="14" t="e">
        <f ca="1">SOLID!L74</f>
        <v>#N/A</v>
      </c>
      <c r="I63" s="14" t="e">
        <f ca="1">SOLID!M74</f>
        <v>#N/A</v>
      </c>
      <c r="J63" s="14" t="e">
        <f ca="1">SOLID!N74</f>
        <v>#N/A</v>
      </c>
      <c r="K63" s="14" t="e">
        <f ca="1">SOLID!O74</f>
        <v>#N/A</v>
      </c>
      <c r="L63" s="14" t="e">
        <f ca="1">SOLID!P74</f>
        <v>#N/A</v>
      </c>
      <c r="M63" s="14" t="e">
        <f ca="1">SOLID!Q74</f>
        <v>#N/A</v>
      </c>
      <c r="N63" s="14" t="e">
        <f ca="1">SOLID!R74</f>
        <v>#N/A</v>
      </c>
      <c r="O63" s="14" t="e">
        <f ca="1">SOLID!S74</f>
        <v>#N/A</v>
      </c>
      <c r="P63" s="14" t="e">
        <f ca="1">SOLID!T74</f>
        <v>#N/A</v>
      </c>
      <c r="Q63" s="14" t="e">
        <f ca="1">SOLID!U74</f>
        <v>#N/A</v>
      </c>
      <c r="R63" s="14" t="e">
        <f ca="1">SOLID!V74</f>
        <v>#N/A</v>
      </c>
      <c r="S63" s="14" t="e">
        <f ca="1">SOLID!W74</f>
        <v>#N/A</v>
      </c>
      <c r="T63" s="14" t="e">
        <f ca="1">SOLID!X74</f>
        <v>#N/A</v>
      </c>
      <c r="U63" s="14" t="e">
        <f ca="1">SOLID!Y74</f>
        <v>#N/A</v>
      </c>
      <c r="V63" s="14" t="e">
        <f ca="1">SOLID!Z74</f>
        <v>#N/A</v>
      </c>
      <c r="W63" s="14" t="e">
        <f ca="1">SOLID!AA74</f>
        <v>#N/A</v>
      </c>
      <c r="X63" s="14" t="e">
        <f ca="1">SOLID!AB74</f>
        <v>#N/A</v>
      </c>
      <c r="Y63" s="14" t="e">
        <f ca="1">SOLID!AC74</f>
        <v>#N/A</v>
      </c>
      <c r="Z63" s="14" t="e">
        <f ca="1">SOLID!AD74</f>
        <v>#N/A</v>
      </c>
      <c r="AA63" s="14" t="e">
        <f ca="1">SOLID!AE74</f>
        <v>#N/A</v>
      </c>
      <c r="AB63" s="14" t="e">
        <f ca="1">SOLID!AF74</f>
        <v>#N/A</v>
      </c>
      <c r="AC63" s="14" t="e">
        <f ca="1">SOLID!AG74</f>
        <v>#N/A</v>
      </c>
      <c r="AD63" s="14" t="e">
        <f ca="1">SOLID!AH74</f>
        <v>#N/A</v>
      </c>
      <c r="AE63" s="14" t="e">
        <f ca="1">SOLID!AI74</f>
        <v>#N/A</v>
      </c>
      <c r="AF63" s="14" t="e">
        <f ca="1">SOLID!AJ74</f>
        <v>#N/A</v>
      </c>
      <c r="AG63" s="14" t="e">
        <f ca="1">SOLID!AK74</f>
        <v>#N/A</v>
      </c>
      <c r="AH63" s="14" t="e">
        <f ca="1">SOLID!AL74</f>
        <v>#N/A</v>
      </c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</row>
    <row r="64" spans="1:94" ht="21.75" hidden="1" outlineLevel="1" thickBot="1" x14ac:dyDescent="0.4">
      <c r="A64" s="35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</row>
    <row r="65" spans="1:94" ht="22.5" collapsed="1" thickTop="1" thickBot="1" x14ac:dyDescent="0.4">
      <c r="A65" s="38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</row>
    <row r="66" spans="1:94" ht="22.5" thickTop="1" thickBot="1" x14ac:dyDescent="0.4">
      <c r="A66" s="4" t="s">
        <v>30</v>
      </c>
      <c r="B66" s="69">
        <f>ALL!F45</f>
        <v>273.10000000000002</v>
      </c>
      <c r="C66" s="69">
        <f>ALL!G45</f>
        <v>339.2</v>
      </c>
      <c r="D66" s="69">
        <f>ALL!H45</f>
        <v>405.3</v>
      </c>
      <c r="E66" s="69">
        <f>ALL!I45</f>
        <v>471.4</v>
      </c>
      <c r="F66" s="4">
        <f>ALL!J45</f>
        <v>487.9</v>
      </c>
      <c r="G66" s="4">
        <f>ALL!K45</f>
        <v>504.4</v>
      </c>
      <c r="H66" s="4">
        <f>ALL!L45</f>
        <v>520.9</v>
      </c>
      <c r="I66" s="4">
        <f>ALL!M45</f>
        <v>537.5</v>
      </c>
      <c r="J66" s="4">
        <f>ALL!N45</f>
        <v>554</v>
      </c>
      <c r="K66" s="4">
        <f>ALL!O45</f>
        <v>570.5</v>
      </c>
      <c r="L66" s="4">
        <f>ALL!P45</f>
        <v>587</v>
      </c>
      <c r="M66" s="4">
        <f>ALL!Q45</f>
        <v>603.5</v>
      </c>
      <c r="N66" s="4">
        <f>ALL!R45</f>
        <v>669.6</v>
      </c>
      <c r="O66" s="4">
        <f>ALL!S45</f>
        <v>686.1</v>
      </c>
      <c r="P66" s="4">
        <f>ALL!T45</f>
        <v>702.7</v>
      </c>
      <c r="Q66" s="4">
        <f>ALL!U45</f>
        <v>719.2</v>
      </c>
      <c r="R66" s="4">
        <f>ALL!V45</f>
        <v>735.7</v>
      </c>
      <c r="S66" s="4">
        <f>ALL!W45</f>
        <v>801.8</v>
      </c>
      <c r="T66" s="4">
        <f>ALL!X45</f>
        <v>818.3</v>
      </c>
      <c r="U66" s="4">
        <f>ALL!Y45</f>
        <v>834.8</v>
      </c>
      <c r="V66" s="4">
        <f>ALL!Z45</f>
        <v>851.3</v>
      </c>
      <c r="W66" s="4">
        <f>ALL!AA45</f>
        <v>867.8</v>
      </c>
      <c r="X66" s="4">
        <f>ALL!AB45</f>
        <v>884.4</v>
      </c>
      <c r="Y66" s="4">
        <f>ALL!AC45</f>
        <v>900.9</v>
      </c>
      <c r="Z66" s="4">
        <f>ALL!AD45</f>
        <v>917.4</v>
      </c>
      <c r="AA66" s="4">
        <f>ALL!AE45</f>
        <v>933.9</v>
      </c>
      <c r="AB66" s="4">
        <f>ALL!AF45</f>
        <v>1000</v>
      </c>
      <c r="AC66" s="4">
        <f>ALL!AG45</f>
        <v>0</v>
      </c>
      <c r="AD66" s="4">
        <f>ALL!AH45</f>
        <v>0</v>
      </c>
      <c r="AE66" s="4">
        <f>ALL!AI45</f>
        <v>0</v>
      </c>
      <c r="AF66" s="4">
        <f>ALL!AJ45</f>
        <v>0</v>
      </c>
      <c r="AG66" s="4">
        <f>ALL!AK45</f>
        <v>0</v>
      </c>
      <c r="AH66" s="4">
        <f>ALL!AL45</f>
        <v>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</row>
    <row r="67" spans="1:94" ht="22.5" hidden="1" outlineLevel="1" thickTop="1" thickBot="1" x14ac:dyDescent="0.4">
      <c r="A67" s="36" t="str">
        <f>ALL!E46</f>
        <v>*GeSe</v>
      </c>
      <c r="B67" s="16">
        <f ca="1">ALL!F46</f>
        <v>-40950</v>
      </c>
      <c r="C67" s="16">
        <f ca="1">ALL!G46</f>
        <v>-34820</v>
      </c>
      <c r="D67" s="16">
        <f ca="1">ALL!H46</f>
        <v>-31026</v>
      </c>
      <c r="E67" s="16">
        <f ca="1">ALL!I46</f>
        <v>-29224</v>
      </c>
      <c r="F67" s="14">
        <f ca="1">ALL!J46</f>
        <v>-29169</v>
      </c>
      <c r="G67" s="14">
        <f ca="1">ALL!K46</f>
        <v>-29246</v>
      </c>
      <c r="H67" s="14">
        <f ca="1">ALL!L46</f>
        <v>-29411</v>
      </c>
      <c r="I67" s="14">
        <f ca="1">ALL!M46</f>
        <v>-29626</v>
      </c>
      <c r="J67" s="14">
        <f ca="1">ALL!N46</f>
        <v>-29874</v>
      </c>
      <c r="K67" s="14">
        <f ca="1">ALL!O46</f>
        <v>-30142</v>
      </c>
      <c r="L67" s="14">
        <f ca="1">ALL!P46</f>
        <v>-30417</v>
      </c>
      <c r="M67" s="14">
        <f ca="1">ALL!Q46</f>
        <v>-30685</v>
      </c>
      <c r="N67" s="14">
        <f ca="1">ALL!R46</f>
        <v>-31906</v>
      </c>
      <c r="O67" s="14">
        <f ca="1">ALL!S46</f>
        <v>-32339</v>
      </c>
      <c r="P67" s="14">
        <f ca="1">ALL!T46</f>
        <v>-32821</v>
      </c>
      <c r="Q67" s="14">
        <f ca="1">ALL!U46</f>
        <v>-33244</v>
      </c>
      <c r="R67" s="14">
        <f ca="1">ALL!V46</f>
        <v>-33594</v>
      </c>
      <c r="S67" s="14">
        <f ca="1">ALL!W46</f>
        <v>-34731</v>
      </c>
      <c r="T67" s="14">
        <f ca="1">ALL!X46</f>
        <v>-34997</v>
      </c>
      <c r="U67" s="14">
        <f ca="1">ALL!Y46</f>
        <v>-35118</v>
      </c>
      <c r="V67" s="14">
        <f ca="1">ALL!Z46</f>
        <v>-35271</v>
      </c>
      <c r="W67" s="14">
        <f ca="1">ALL!AA46</f>
        <v>-35471</v>
      </c>
      <c r="X67" s="14">
        <f ca="1">ALL!AB46</f>
        <v>-35689</v>
      </c>
      <c r="Y67" s="14">
        <f ca="1">ALL!AC46</f>
        <v>-35915</v>
      </c>
      <c r="Z67" s="14">
        <f ca="1">ALL!AD46</f>
        <v>-36140</v>
      </c>
      <c r="AA67" s="14">
        <f ca="1">ALL!AE46</f>
        <v>-36368</v>
      </c>
      <c r="AB67" s="14">
        <f ca="1">ALL!AF46</f>
        <v>-37315</v>
      </c>
      <c r="AC67" s="14">
        <f ca="1">ALL!AG46</f>
        <v>0</v>
      </c>
      <c r="AD67" s="14">
        <f ca="1">ALL!AH46</f>
        <v>0</v>
      </c>
      <c r="AE67" s="14">
        <f ca="1">ALL!AI46</f>
        <v>0</v>
      </c>
      <c r="AF67" s="14">
        <f ca="1">ALL!AJ46</f>
        <v>0</v>
      </c>
      <c r="AG67" s="14">
        <f ca="1">ALL!AK46</f>
        <v>0</v>
      </c>
      <c r="AH67" s="14">
        <f ca="1">ALL!AL46</f>
        <v>0</v>
      </c>
      <c r="AI67" s="14">
        <f>ALL!AM46</f>
        <v>0</v>
      </c>
    </row>
    <row r="68" spans="1:94" ht="21.75" hidden="1" outlineLevel="1" thickBot="1" x14ac:dyDescent="0.4">
      <c r="A68" s="36" t="str">
        <f>ALL!E47</f>
        <v>*Ga[1]</v>
      </c>
      <c r="B68" s="16">
        <f ca="1">ALL!F47</f>
        <v>-65990</v>
      </c>
      <c r="C68" s="16">
        <f ca="1">ALL!G47</f>
        <v>-51790</v>
      </c>
      <c r="D68" s="16">
        <f ca="1">ALL!H47</f>
        <v>-39260</v>
      </c>
      <c r="E68" s="16">
        <f ca="1">ALL!I47</f>
        <v>-30180</v>
      </c>
      <c r="F68" s="14">
        <f ca="1">ALL!J47</f>
        <v>-28280</v>
      </c>
      <c r="G68" s="14">
        <f ca="1">ALL!K47</f>
        <v>-26450</v>
      </c>
      <c r="H68" s="14">
        <f ca="1">ALL!L47</f>
        <v>-24700</v>
      </c>
      <c r="I68" s="14">
        <f ca="1">ALL!M47</f>
        <v>-23010</v>
      </c>
      <c r="J68" s="14">
        <f ca="1">ALL!N47</f>
        <v>-21400</v>
      </c>
      <c r="K68" s="14">
        <f ca="1">ALL!O47</f>
        <v>-19860</v>
      </c>
      <c r="L68" s="14">
        <f ca="1">ALL!P47</f>
        <v>-18390</v>
      </c>
      <c r="M68" s="14">
        <f ca="1">ALL!Q47</f>
        <v>-16990</v>
      </c>
      <c r="N68" s="14">
        <f ca="1">ALL!R47</f>
        <v>-12140</v>
      </c>
      <c r="O68" s="14">
        <f ca="1">ALL!S47</f>
        <v>-11270</v>
      </c>
      <c r="P68" s="14">
        <f ca="1">ALL!T47</f>
        <v>-10610</v>
      </c>
      <c r="Q68" s="14">
        <f ca="1">ALL!U47</f>
        <v>-10070</v>
      </c>
      <c r="R68" s="14">
        <f ca="1">ALL!V47</f>
        <v>-9596</v>
      </c>
      <c r="S68" s="14">
        <f ca="1">ALL!W47</f>
        <v>-7969</v>
      </c>
      <c r="T68" s="14">
        <f ca="1">ALL!X47</f>
        <v>-7610</v>
      </c>
      <c r="U68" s="14">
        <f ca="1">ALL!Y47</f>
        <v>-7591</v>
      </c>
      <c r="V68" s="14">
        <f ca="1">ALL!Z47</f>
        <v>-7648</v>
      </c>
      <c r="W68" s="14">
        <f ca="1">ALL!AA47</f>
        <v>-7704</v>
      </c>
      <c r="X68" s="14">
        <f ca="1">ALL!AB47</f>
        <v>-7760</v>
      </c>
      <c r="Y68" s="14">
        <f ca="1">ALL!AC47</f>
        <v>-7814</v>
      </c>
      <c r="Z68" s="14">
        <f ca="1">ALL!AD47</f>
        <v>-7867</v>
      </c>
      <c r="AA68" s="14">
        <f ca="1">ALL!AE47</f>
        <v>-7920</v>
      </c>
      <c r="AB68" s="14">
        <f ca="1">ALL!AF47</f>
        <v>-8124</v>
      </c>
      <c r="AC68" s="14">
        <f ca="1">ALL!AG47</f>
        <v>0</v>
      </c>
      <c r="AD68" s="14">
        <f ca="1">ALL!AH47</f>
        <v>0</v>
      </c>
      <c r="AE68" s="14">
        <f ca="1">ALL!AI47</f>
        <v>0</v>
      </c>
      <c r="AF68" s="14">
        <f ca="1">ALL!AJ47</f>
        <v>0</v>
      </c>
      <c r="AG68" s="14">
        <f ca="1">ALL!AK47</f>
        <v>0</v>
      </c>
      <c r="AH68" s="14">
        <f ca="1">ALL!AL47</f>
        <v>0</v>
      </c>
      <c r="AI68" s="14">
        <f>ALL!AM47</f>
        <v>0</v>
      </c>
    </row>
    <row r="69" spans="1:94" ht="21.75" hidden="1" outlineLevel="1" thickBot="1" x14ac:dyDescent="0.4">
      <c r="A69" s="36" t="str">
        <f>ALL!E48</f>
        <v>*Se[m]</v>
      </c>
      <c r="B69" s="16">
        <f ca="1">ALL!F48</f>
        <v>-23570</v>
      </c>
      <c r="C69" s="16">
        <f ca="1">ALL!G48</f>
        <v>-21380</v>
      </c>
      <c r="D69" s="16">
        <f ca="1">ALL!H48</f>
        <v>-22030</v>
      </c>
      <c r="E69" s="16">
        <f ca="1">ALL!I48</f>
        <v>-22650</v>
      </c>
      <c r="F69" s="14">
        <f ca="1">ALL!J48</f>
        <v>-22810</v>
      </c>
      <c r="G69" s="14">
        <f ca="1">ALL!K48</f>
        <v>-23000</v>
      </c>
      <c r="H69" s="14">
        <f ca="1">ALL!L48</f>
        <v>-23210</v>
      </c>
      <c r="I69" s="14">
        <f ca="1">ALL!M48</f>
        <v>-23430</v>
      </c>
      <c r="J69" s="14">
        <f ca="1">ALL!N48</f>
        <v>-23660</v>
      </c>
      <c r="K69" s="14">
        <f ca="1">ALL!O48</f>
        <v>-23900</v>
      </c>
      <c r="L69" s="14">
        <f ca="1">ALL!P48</f>
        <v>-24140</v>
      </c>
      <c r="M69" s="14">
        <f ca="1">ALL!Q48</f>
        <v>-24370</v>
      </c>
      <c r="N69" s="14">
        <f ca="1">ALL!R48</f>
        <v>-25240</v>
      </c>
      <c r="O69" s="14">
        <f ca="1">ALL!S48</f>
        <v>-25360</v>
      </c>
      <c r="P69" s="14">
        <f ca="1">ALL!T48</f>
        <v>-25470</v>
      </c>
      <c r="Q69" s="14">
        <f ca="1">ALL!U48</f>
        <v>-25600</v>
      </c>
      <c r="R69" s="14">
        <f ca="1">ALL!V48</f>
        <v>-25770</v>
      </c>
      <c r="S69" s="14">
        <f ca="1">ALL!W48</f>
        <v>-26620</v>
      </c>
      <c r="T69" s="14">
        <f ca="1">ALL!X48</f>
        <v>-26830</v>
      </c>
      <c r="U69" s="14">
        <f ca="1">ALL!Y48</f>
        <v>-26900</v>
      </c>
      <c r="V69" s="14">
        <f ca="1">ALL!Z48</f>
        <v>-27010</v>
      </c>
      <c r="W69" s="14">
        <f ca="1">ALL!AA48</f>
        <v>-27170</v>
      </c>
      <c r="X69" s="14">
        <f ca="1">ALL!AB48</f>
        <v>-27350</v>
      </c>
      <c r="Y69" s="14">
        <f ca="1">ALL!AC48</f>
        <v>-27540</v>
      </c>
      <c r="Z69" s="14">
        <f ca="1">ALL!AD48</f>
        <v>-27730</v>
      </c>
      <c r="AA69" s="14">
        <f ca="1">ALL!AE48</f>
        <v>-27920</v>
      </c>
      <c r="AB69" s="14">
        <f ca="1">ALL!AF48</f>
        <v>-28700</v>
      </c>
      <c r="AC69" s="14">
        <f ca="1">ALL!AG48</f>
        <v>0</v>
      </c>
      <c r="AD69" s="14">
        <f ca="1">ALL!AH48</f>
        <v>0</v>
      </c>
      <c r="AE69" s="14">
        <f ca="1">ALL!AI48</f>
        <v>0</v>
      </c>
      <c r="AF69" s="14">
        <f ca="1">ALL!AJ48</f>
        <v>0</v>
      </c>
      <c r="AG69" s="14">
        <f ca="1">ALL!AK48</f>
        <v>0</v>
      </c>
      <c r="AH69" s="14">
        <f ca="1">ALL!AL48</f>
        <v>0</v>
      </c>
      <c r="AI69" s="14">
        <f>ALL!AM48</f>
        <v>0</v>
      </c>
    </row>
    <row r="70" spans="1:94" ht="21.75" hidden="1" outlineLevel="1" thickBot="1" x14ac:dyDescent="0.4">
      <c r="A70" s="36" t="str">
        <f>ALL!E49</f>
        <v>Ga2Se3</v>
      </c>
      <c r="B70" s="16">
        <f ca="1">ALL!F49</f>
        <v>-202690</v>
      </c>
      <c r="C70" s="16">
        <f ca="1">ALL!G49</f>
        <v>-167720</v>
      </c>
      <c r="D70" s="16">
        <f ca="1">ALL!H49</f>
        <v>-144610</v>
      </c>
      <c r="E70" s="16">
        <f ca="1">ALL!I49</f>
        <v>-128310</v>
      </c>
      <c r="F70" s="14">
        <f ca="1">ALL!J49</f>
        <v>-124990</v>
      </c>
      <c r="G70" s="14">
        <f ca="1">ALL!K49</f>
        <v>-121900</v>
      </c>
      <c r="H70" s="14">
        <f ca="1">ALL!L49</f>
        <v>-119030</v>
      </c>
      <c r="I70" s="14">
        <f ca="1">ALL!M49</f>
        <v>-116310</v>
      </c>
      <c r="J70" s="14">
        <f ca="1">ALL!N49</f>
        <v>-113780</v>
      </c>
      <c r="K70" s="14">
        <f ca="1">ALL!O49</f>
        <v>-111420</v>
      </c>
      <c r="L70" s="14">
        <f ca="1">ALL!P49</f>
        <v>-109200</v>
      </c>
      <c r="M70" s="14">
        <f ca="1">ALL!Q49</f>
        <v>-107090</v>
      </c>
      <c r="N70" s="14">
        <f ca="1">ALL!R49</f>
        <v>-100000</v>
      </c>
      <c r="O70" s="14">
        <f ca="1">ALL!S49</f>
        <v>-98620</v>
      </c>
      <c r="P70" s="14">
        <f ca="1">ALL!T49</f>
        <v>-97630</v>
      </c>
      <c r="Q70" s="14">
        <f ca="1">ALL!U49</f>
        <v>-96940</v>
      </c>
      <c r="R70" s="14">
        <f ca="1">ALL!V49</f>
        <v>-96502</v>
      </c>
      <c r="S70" s="14">
        <f ca="1">ALL!W49</f>
        <v>-95798</v>
      </c>
      <c r="T70" s="14">
        <f ca="1">ALL!X49</f>
        <v>-95710</v>
      </c>
      <c r="U70" s="14">
        <f ca="1">ALL!Y49</f>
        <v>-95882</v>
      </c>
      <c r="V70" s="14">
        <f ca="1">ALL!Z49</f>
        <v>-96326</v>
      </c>
      <c r="W70" s="14">
        <f ca="1">ALL!AA49</f>
        <v>-96918</v>
      </c>
      <c r="X70" s="14">
        <f ca="1">ALL!AB49</f>
        <v>-97570</v>
      </c>
      <c r="Y70" s="14">
        <f ca="1">ALL!AC49</f>
        <v>-98248</v>
      </c>
      <c r="Z70" s="14">
        <f ca="1">ALL!AD49</f>
        <v>-98924</v>
      </c>
      <c r="AA70" s="14">
        <f ca="1">ALL!AE49</f>
        <v>-99600</v>
      </c>
      <c r="AB70" s="14">
        <f ca="1">ALL!AF49</f>
        <v>-102348</v>
      </c>
      <c r="AC70" s="14">
        <f ca="1">ALL!AG49</f>
        <v>0</v>
      </c>
      <c r="AD70" s="14">
        <f ca="1">ALL!AH49</f>
        <v>0</v>
      </c>
      <c r="AE70" s="14">
        <f ca="1">ALL!AI49</f>
        <v>0</v>
      </c>
      <c r="AF70" s="14">
        <f ca="1">ALL!AJ49</f>
        <v>0</v>
      </c>
      <c r="AG70" s="14">
        <f ca="1">ALL!AK49</f>
        <v>0</v>
      </c>
      <c r="AH70" s="14">
        <f ca="1">ALL!AL49</f>
        <v>0</v>
      </c>
      <c r="AI70" s="14">
        <f>ALL!AM49</f>
        <v>0</v>
      </c>
    </row>
    <row r="71" spans="1:94" ht="21.75" hidden="1" outlineLevel="1" thickBot="1" x14ac:dyDescent="0.4">
      <c r="A71" s="36" t="str">
        <f>ALL!E50</f>
        <v>Ga2Se</v>
      </c>
      <c r="B71" s="16">
        <f ca="1">ALL!F50</f>
        <v>-155550</v>
      </c>
      <c r="C71" s="16">
        <f ca="1">ALL!G50</f>
        <v>-124960</v>
      </c>
      <c r="D71" s="16">
        <f ca="1">ALL!H50</f>
        <v>-100550</v>
      </c>
      <c r="E71" s="16">
        <f ca="1">ALL!I50</f>
        <v>-83010</v>
      </c>
      <c r="F71" s="14">
        <f ca="1">ALL!J50</f>
        <v>-79370</v>
      </c>
      <c r="G71" s="14">
        <f ca="1">ALL!K50</f>
        <v>-75900</v>
      </c>
      <c r="H71" s="14">
        <f ca="1">ALL!L50</f>
        <v>-72610</v>
      </c>
      <c r="I71" s="14">
        <f ca="1">ALL!M50</f>
        <v>-69450</v>
      </c>
      <c r="J71" s="14">
        <f ca="1">ALL!N50</f>
        <v>-66460</v>
      </c>
      <c r="K71" s="14">
        <f ca="1">ALL!O50</f>
        <v>-63620</v>
      </c>
      <c r="L71" s="14">
        <f ca="1">ALL!P50</f>
        <v>-60920</v>
      </c>
      <c r="M71" s="14">
        <f ca="1">ALL!Q50</f>
        <v>-58350</v>
      </c>
      <c r="N71" s="14">
        <f ca="1">ALL!R50</f>
        <v>-49520</v>
      </c>
      <c r="O71" s="14">
        <f ca="1">ALL!S50</f>
        <v>-47900</v>
      </c>
      <c r="P71" s="14">
        <f ca="1">ALL!T50</f>
        <v>-46690</v>
      </c>
      <c r="Q71" s="14">
        <f ca="1">ALL!U50</f>
        <v>-45740</v>
      </c>
      <c r="R71" s="14">
        <f ca="1">ALL!V50</f>
        <v>-44962</v>
      </c>
      <c r="S71" s="14">
        <f ca="1">ALL!W50</f>
        <v>-42558</v>
      </c>
      <c r="T71" s="14">
        <f ca="1">ALL!X50</f>
        <v>-42050</v>
      </c>
      <c r="U71" s="14">
        <f ca="1">ALL!Y50</f>
        <v>-42082</v>
      </c>
      <c r="V71" s="14">
        <f ca="1">ALL!Z50</f>
        <v>-42306</v>
      </c>
      <c r="W71" s="14">
        <f ca="1">ALL!AA50</f>
        <v>-42578</v>
      </c>
      <c r="X71" s="14">
        <f ca="1">ALL!AB50</f>
        <v>-42870</v>
      </c>
      <c r="Y71" s="14">
        <f ca="1">ALL!AC50</f>
        <v>-43168</v>
      </c>
      <c r="Z71" s="14">
        <f ca="1">ALL!AD50</f>
        <v>-43464</v>
      </c>
      <c r="AA71" s="14">
        <f ca="1">ALL!AE50</f>
        <v>-43760</v>
      </c>
      <c r="AB71" s="14">
        <f ca="1">ALL!AF50</f>
        <v>-44948</v>
      </c>
      <c r="AC71" s="14">
        <f ca="1">ALL!AG50</f>
        <v>0</v>
      </c>
      <c r="AD71" s="14">
        <f ca="1">ALL!AH50</f>
        <v>0</v>
      </c>
      <c r="AE71" s="14">
        <f ca="1">ALL!AI50</f>
        <v>0</v>
      </c>
      <c r="AF71" s="14">
        <f ca="1">ALL!AJ50</f>
        <v>0</v>
      </c>
      <c r="AG71" s="14">
        <f ca="1">ALL!AK50</f>
        <v>0</v>
      </c>
      <c r="AH71" s="14">
        <f ca="1">ALL!AL50</f>
        <v>0</v>
      </c>
      <c r="AI71" s="14">
        <f>ALL!AM50</f>
        <v>0</v>
      </c>
    </row>
    <row r="72" spans="1:94" ht="21.75" hidden="1" outlineLevel="1" thickBot="1" x14ac:dyDescent="0.4">
      <c r="A72" s="36" t="str">
        <f>ALL!E51</f>
        <v>Ga</v>
      </c>
      <c r="B72" s="16">
        <f ca="1">ALL!F51</f>
        <v>-65990</v>
      </c>
      <c r="C72" s="16">
        <f ca="1">ALL!G51</f>
        <v>-51790</v>
      </c>
      <c r="D72" s="16">
        <f ca="1">ALL!H51</f>
        <v>-39260</v>
      </c>
      <c r="E72" s="16">
        <f ca="1">ALL!I51</f>
        <v>-30180</v>
      </c>
      <c r="F72" s="14">
        <f ca="1">ALL!J51</f>
        <v>-28280</v>
      </c>
      <c r="G72" s="14">
        <f ca="1">ALL!K51</f>
        <v>-26450</v>
      </c>
      <c r="H72" s="14">
        <f ca="1">ALL!L51</f>
        <v>-24700</v>
      </c>
      <c r="I72" s="14">
        <f ca="1">ALL!M51</f>
        <v>-23010</v>
      </c>
      <c r="J72" s="14">
        <f ca="1">ALL!N51</f>
        <v>-21400</v>
      </c>
      <c r="K72" s="14">
        <f ca="1">ALL!O51</f>
        <v>-19860</v>
      </c>
      <c r="L72" s="14">
        <f ca="1">ALL!P51</f>
        <v>-18390</v>
      </c>
      <c r="M72" s="14">
        <f ca="1">ALL!Q51</f>
        <v>-16990</v>
      </c>
      <c r="N72" s="14">
        <f ca="1">ALL!R51</f>
        <v>-12140</v>
      </c>
      <c r="O72" s="14">
        <f ca="1">ALL!S51</f>
        <v>-11270</v>
      </c>
      <c r="P72" s="14">
        <f ca="1">ALL!T51</f>
        <v>-10610</v>
      </c>
      <c r="Q72" s="14">
        <f ca="1">ALL!U51</f>
        <v>-10070</v>
      </c>
      <c r="R72" s="14">
        <f ca="1">ALL!V51</f>
        <v>-9596</v>
      </c>
      <c r="S72" s="14">
        <f ca="1">ALL!W51</f>
        <v>-7969</v>
      </c>
      <c r="T72" s="14">
        <f ca="1">ALL!X51</f>
        <v>-7610</v>
      </c>
      <c r="U72" s="14">
        <f ca="1">ALL!Y51</f>
        <v>-7591</v>
      </c>
      <c r="V72" s="14">
        <f ca="1">ALL!Z51</f>
        <v>-7648</v>
      </c>
      <c r="W72" s="14">
        <f ca="1">ALL!AA51</f>
        <v>-7704</v>
      </c>
      <c r="X72" s="14">
        <f ca="1">ALL!AB51</f>
        <v>-7760</v>
      </c>
      <c r="Y72" s="14">
        <f ca="1">ALL!AC51</f>
        <v>-7814</v>
      </c>
      <c r="Z72" s="14">
        <f ca="1">ALL!AD51</f>
        <v>-7867</v>
      </c>
      <c r="AA72" s="14">
        <f ca="1">ALL!AE51</f>
        <v>-7920</v>
      </c>
      <c r="AB72" s="14">
        <f ca="1">ALL!AF51</f>
        <v>-8124</v>
      </c>
      <c r="AC72" s="14">
        <f ca="1">ALL!AG51</f>
        <v>0</v>
      </c>
      <c r="AD72" s="14">
        <f ca="1">ALL!AH51</f>
        <v>0</v>
      </c>
      <c r="AE72" s="14">
        <f ca="1">ALL!AI51</f>
        <v>0</v>
      </c>
      <c r="AF72" s="14">
        <f ca="1">ALL!AJ51</f>
        <v>0</v>
      </c>
      <c r="AG72" s="14">
        <f ca="1">ALL!AK51</f>
        <v>0</v>
      </c>
      <c r="AH72" s="14">
        <f ca="1">ALL!AL51</f>
        <v>0</v>
      </c>
      <c r="AI72" s="14">
        <f>ALL!AM51</f>
        <v>0</v>
      </c>
    </row>
    <row r="73" spans="1:94" ht="21.75" hidden="1" outlineLevel="1" thickBot="1" x14ac:dyDescent="0.4">
      <c r="A73" s="36" t="str">
        <f>ALL!E52</f>
        <v>Ar</v>
      </c>
      <c r="B73" s="16">
        <f ca="1">ALL!F52</f>
        <v>-19080</v>
      </c>
      <c r="C73" s="16">
        <f ca="1">ALL!G52</f>
        <v>-19070</v>
      </c>
      <c r="D73" s="16">
        <f ca="1">ALL!H52</f>
        <v>-19150</v>
      </c>
      <c r="E73" s="16">
        <f ca="1">ALL!I52</f>
        <v>-19250</v>
      </c>
      <c r="F73" s="14">
        <f ca="1">ALL!J52</f>
        <v>-19270</v>
      </c>
      <c r="G73" s="14">
        <f ca="1">ALL!K52</f>
        <v>-19300</v>
      </c>
      <c r="H73" s="14">
        <f ca="1">ALL!L52</f>
        <v>-19330</v>
      </c>
      <c r="I73" s="14">
        <f ca="1">ALL!M52</f>
        <v>-19360</v>
      </c>
      <c r="J73" s="14">
        <f ca="1">ALL!N52</f>
        <v>-19390</v>
      </c>
      <c r="K73" s="14">
        <f ca="1">ALL!O52</f>
        <v>-19420</v>
      </c>
      <c r="L73" s="14">
        <f ca="1">ALL!P52</f>
        <v>-19460</v>
      </c>
      <c r="M73" s="14">
        <f ca="1">ALL!Q52</f>
        <v>-19490</v>
      </c>
      <c r="N73" s="14">
        <f ca="1">ALL!R52</f>
        <v>-19580</v>
      </c>
      <c r="O73" s="14">
        <f ca="1">ALL!S52</f>
        <v>-19540</v>
      </c>
      <c r="P73" s="14">
        <f ca="1">ALL!T52</f>
        <v>-19470</v>
      </c>
      <c r="Q73" s="14">
        <f ca="1">ALL!U52</f>
        <v>-19420</v>
      </c>
      <c r="R73" s="14">
        <f ca="1">ALL!V52</f>
        <v>-19410</v>
      </c>
      <c r="S73" s="14">
        <f ca="1">ALL!W52</f>
        <v>-19510</v>
      </c>
      <c r="T73" s="14">
        <f ca="1">ALL!X52</f>
        <v>-19550</v>
      </c>
      <c r="U73" s="14">
        <f ca="1">ALL!Y52</f>
        <v>-19580</v>
      </c>
      <c r="V73" s="14">
        <f ca="1">ALL!Z52</f>
        <v>-19610</v>
      </c>
      <c r="W73" s="14">
        <f ca="1">ALL!AA52</f>
        <v>-19640</v>
      </c>
      <c r="X73" s="14">
        <f ca="1">ALL!AB52</f>
        <v>-19670</v>
      </c>
      <c r="Y73" s="14">
        <f ca="1">ALL!AC52</f>
        <v>-19700</v>
      </c>
      <c r="Z73" s="14">
        <f ca="1">ALL!AD52</f>
        <v>-19730</v>
      </c>
      <c r="AA73" s="14">
        <f ca="1">ALL!AE52</f>
        <v>-19760</v>
      </c>
      <c r="AB73" s="14">
        <f ca="1">ALL!AF52</f>
        <v>-19880</v>
      </c>
      <c r="AC73" s="14">
        <f ca="1">ALL!AG52</f>
        <v>0</v>
      </c>
      <c r="AD73" s="14">
        <f ca="1">ALL!AH52</f>
        <v>0</v>
      </c>
      <c r="AE73" s="14">
        <f ca="1">ALL!AI52</f>
        <v>0</v>
      </c>
      <c r="AF73" s="14">
        <f ca="1">ALL!AJ52</f>
        <v>0</v>
      </c>
      <c r="AG73" s="14">
        <f ca="1">ALL!AK52</f>
        <v>0</v>
      </c>
      <c r="AH73" s="14">
        <f ca="1">ALL!AL52</f>
        <v>0</v>
      </c>
      <c r="AI73" s="14">
        <f>ALL!AM52</f>
        <v>0</v>
      </c>
    </row>
    <row r="74" spans="1:94" ht="21.75" hidden="1" outlineLevel="1" thickBot="1" x14ac:dyDescent="0.4">
      <c r="A74" s="36" t="str">
        <f>ALL!E53</f>
        <v>(1)GeSe2</v>
      </c>
      <c r="B74" s="16">
        <f ca="1">ALL!F53</f>
        <v>-64520</v>
      </c>
      <c r="C74" s="16">
        <f ca="1">ALL!G53</f>
        <v>-56200</v>
      </c>
      <c r="D74" s="16">
        <f ca="1">ALL!H53</f>
        <v>-53056</v>
      </c>
      <c r="E74" s="16">
        <f ca="1">ALL!I53</f>
        <v>-51874</v>
      </c>
      <c r="F74" s="14">
        <f ca="1">ALL!J53</f>
        <v>-51979</v>
      </c>
      <c r="G74" s="14">
        <f ca="1">ALL!K53</f>
        <v>-52246</v>
      </c>
      <c r="H74" s="14">
        <f ca="1">ALL!L53</f>
        <v>-52621</v>
      </c>
      <c r="I74" s="14">
        <f ca="1">ALL!M53</f>
        <v>-53056</v>
      </c>
      <c r="J74" s="14">
        <f ca="1">ALL!N53</f>
        <v>-53534</v>
      </c>
      <c r="K74" s="14">
        <f ca="1">ALL!O53</f>
        <v>-54042</v>
      </c>
      <c r="L74" s="14">
        <f ca="1">ALL!P53</f>
        <v>-54557</v>
      </c>
      <c r="M74" s="14">
        <f ca="1">ALL!Q53</f>
        <v>-55055</v>
      </c>
      <c r="N74" s="14">
        <f ca="1">ALL!R53</f>
        <v>-57146</v>
      </c>
      <c r="O74" s="14">
        <f ca="1">ALL!S53</f>
        <v>-57699</v>
      </c>
      <c r="P74" s="14">
        <f ca="1">ALL!T53</f>
        <v>-58291</v>
      </c>
      <c r="Q74" s="14">
        <f ca="1">ALL!U53</f>
        <v>-58844</v>
      </c>
      <c r="R74" s="14">
        <f ca="1">ALL!V53</f>
        <v>-59364</v>
      </c>
      <c r="S74" s="14">
        <f ca="1">ALL!W53</f>
        <v>-61351</v>
      </c>
      <c r="T74" s="14">
        <f ca="1">ALL!X53</f>
        <v>-61827</v>
      </c>
      <c r="U74" s="14">
        <f ca="1">ALL!Y53</f>
        <v>-62018</v>
      </c>
      <c r="V74" s="14">
        <f ca="1">ALL!Z53</f>
        <v>-62281</v>
      </c>
      <c r="W74" s="14">
        <f ca="1">ALL!AA53</f>
        <v>-62641</v>
      </c>
      <c r="X74" s="14">
        <f ca="1">ALL!AB53</f>
        <v>-63039</v>
      </c>
      <c r="Y74" s="14">
        <f ca="1">ALL!AC53</f>
        <v>-63455</v>
      </c>
      <c r="Z74" s="14">
        <f ca="1">ALL!AD53</f>
        <v>-63870</v>
      </c>
      <c r="AA74" s="14">
        <f ca="1">ALL!AE53</f>
        <v>-64288</v>
      </c>
      <c r="AB74" s="14">
        <f ca="1">ALL!AF53</f>
        <v>-66015</v>
      </c>
      <c r="AC74" s="14">
        <f ca="1">ALL!AG53</f>
        <v>0</v>
      </c>
      <c r="AD74" s="14">
        <f ca="1">ALL!AH53</f>
        <v>0</v>
      </c>
      <c r="AE74" s="14">
        <f ca="1">ALL!AI53</f>
        <v>0</v>
      </c>
      <c r="AF74" s="14">
        <f ca="1">ALL!AJ53</f>
        <v>0</v>
      </c>
      <c r="AG74" s="14">
        <f ca="1">ALL!AK53</f>
        <v>0</v>
      </c>
      <c r="AH74" s="14">
        <f ca="1">ALL!AL53</f>
        <v>0</v>
      </c>
      <c r="AI74" s="14">
        <f>ALL!AM53</f>
        <v>0</v>
      </c>
    </row>
    <row r="75" spans="1:94" ht="21.75" hidden="1" outlineLevel="1" thickBot="1" x14ac:dyDescent="0.4">
      <c r="A75" s="36" t="str">
        <f>ALL!E54</f>
        <v>(l)GeSe</v>
      </c>
      <c r="B75" s="16">
        <f ca="1">ALL!F54</f>
        <v>-40950</v>
      </c>
      <c r="C75" s="16">
        <f ca="1">ALL!G54</f>
        <v>-34820</v>
      </c>
      <c r="D75" s="16">
        <f ca="1">ALL!H54</f>
        <v>-31026</v>
      </c>
      <c r="E75" s="16">
        <f ca="1">ALL!I54</f>
        <v>-29224</v>
      </c>
      <c r="F75" s="14">
        <f ca="1">ALL!J54</f>
        <v>-29169</v>
      </c>
      <c r="G75" s="14">
        <f ca="1">ALL!K54</f>
        <v>-29246</v>
      </c>
      <c r="H75" s="14">
        <f ca="1">ALL!L54</f>
        <v>-29411</v>
      </c>
      <c r="I75" s="14">
        <f ca="1">ALL!M54</f>
        <v>-29626</v>
      </c>
      <c r="J75" s="14">
        <f ca="1">ALL!N54</f>
        <v>-29874</v>
      </c>
      <c r="K75" s="14">
        <f ca="1">ALL!O54</f>
        <v>-30142</v>
      </c>
      <c r="L75" s="14">
        <f ca="1">ALL!P54</f>
        <v>-30417</v>
      </c>
      <c r="M75" s="14">
        <f ca="1">ALL!Q54</f>
        <v>-30685</v>
      </c>
      <c r="N75" s="14">
        <f ca="1">ALL!R54</f>
        <v>-31906</v>
      </c>
      <c r="O75" s="14">
        <f ca="1">ALL!S54</f>
        <v>-32339</v>
      </c>
      <c r="P75" s="14">
        <f ca="1">ALL!T54</f>
        <v>-32821</v>
      </c>
      <c r="Q75" s="14">
        <f ca="1">ALL!U54</f>
        <v>-33244</v>
      </c>
      <c r="R75" s="14">
        <f ca="1">ALL!V54</f>
        <v>-33594</v>
      </c>
      <c r="S75" s="14">
        <f ca="1">ALL!W54</f>
        <v>-34731</v>
      </c>
      <c r="T75" s="14">
        <f ca="1">ALL!X54</f>
        <v>-34997</v>
      </c>
      <c r="U75" s="14">
        <f ca="1">ALL!Y54</f>
        <v>-35118</v>
      </c>
      <c r="V75" s="14">
        <f ca="1">ALL!Z54</f>
        <v>-35271</v>
      </c>
      <c r="W75" s="14">
        <f ca="1">ALL!AA54</f>
        <v>-35471</v>
      </c>
      <c r="X75" s="14">
        <f ca="1">ALL!AB54</f>
        <v>-35689</v>
      </c>
      <c r="Y75" s="14">
        <f ca="1">ALL!AC54</f>
        <v>-35915</v>
      </c>
      <c r="Z75" s="14">
        <f ca="1">ALL!AD54</f>
        <v>-36140</v>
      </c>
      <c r="AA75" s="14">
        <f ca="1">ALL!AE54</f>
        <v>-36368</v>
      </c>
      <c r="AB75" s="14">
        <f ca="1">ALL!AF54</f>
        <v>-37315</v>
      </c>
      <c r="AC75" s="14">
        <f ca="1">ALL!AG54</f>
        <v>0</v>
      </c>
      <c r="AD75" s="14">
        <f ca="1">ALL!AH54</f>
        <v>0</v>
      </c>
      <c r="AE75" s="14">
        <f ca="1">ALL!AI54</f>
        <v>0</v>
      </c>
      <c r="AF75" s="14">
        <f ca="1">ALL!AJ54</f>
        <v>0</v>
      </c>
      <c r="AG75" s="14">
        <f ca="1">ALL!AK54</f>
        <v>0</v>
      </c>
      <c r="AH75" s="14">
        <f ca="1">ALL!AL54</f>
        <v>0</v>
      </c>
      <c r="AI75" s="14">
        <f>ALL!AM54</f>
        <v>0</v>
      </c>
    </row>
    <row r="76" spans="1:94" ht="21.75" hidden="1" outlineLevel="1" thickBot="1" x14ac:dyDescent="0.4">
      <c r="A76" s="36" t="str">
        <f>ALL!E55</f>
        <v>(1)Ga2Se3</v>
      </c>
      <c r="B76" s="16">
        <f ca="1">ALL!F55</f>
        <v>-202690</v>
      </c>
      <c r="C76" s="16">
        <f ca="1">ALL!G55</f>
        <v>-167720</v>
      </c>
      <c r="D76" s="16">
        <f ca="1">ALL!H55</f>
        <v>-144610</v>
      </c>
      <c r="E76" s="16">
        <f ca="1">ALL!I55</f>
        <v>-128310</v>
      </c>
      <c r="F76" s="14">
        <f ca="1">ALL!J55</f>
        <v>-124990</v>
      </c>
      <c r="G76" s="14">
        <f ca="1">ALL!K55</f>
        <v>-121900</v>
      </c>
      <c r="H76" s="14">
        <f ca="1">ALL!L55</f>
        <v>-119030</v>
      </c>
      <c r="I76" s="14">
        <f ca="1">ALL!M55</f>
        <v>-116310</v>
      </c>
      <c r="J76" s="14">
        <f ca="1">ALL!N55</f>
        <v>-113780</v>
      </c>
      <c r="K76" s="14">
        <f ca="1">ALL!O55</f>
        <v>-111420</v>
      </c>
      <c r="L76" s="14">
        <f ca="1">ALL!P55</f>
        <v>-109200</v>
      </c>
      <c r="M76" s="14">
        <f ca="1">ALL!Q55</f>
        <v>-107090</v>
      </c>
      <c r="N76" s="14">
        <f ca="1">ALL!R55</f>
        <v>-100000</v>
      </c>
      <c r="O76" s="14">
        <f ca="1">ALL!S55</f>
        <v>-98620</v>
      </c>
      <c r="P76" s="14">
        <f ca="1">ALL!T55</f>
        <v>-97630</v>
      </c>
      <c r="Q76" s="14">
        <f ca="1">ALL!U55</f>
        <v>-96940</v>
      </c>
      <c r="R76" s="14">
        <f ca="1">ALL!V55</f>
        <v>-96502</v>
      </c>
      <c r="S76" s="14">
        <f ca="1">ALL!W55</f>
        <v>-95798</v>
      </c>
      <c r="T76" s="14">
        <f ca="1">ALL!X55</f>
        <v>-95710</v>
      </c>
      <c r="U76" s="14">
        <f ca="1">ALL!Y55</f>
        <v>-95882</v>
      </c>
      <c r="V76" s="14">
        <f ca="1">ALL!Z55</f>
        <v>-96326</v>
      </c>
      <c r="W76" s="14">
        <f ca="1">ALL!AA55</f>
        <v>-96918</v>
      </c>
      <c r="X76" s="14">
        <f ca="1">ALL!AB55</f>
        <v>-97570</v>
      </c>
      <c r="Y76" s="14">
        <f ca="1">ALL!AC55</f>
        <v>-98248</v>
      </c>
      <c r="Z76" s="14">
        <f ca="1">ALL!AD55</f>
        <v>-98924</v>
      </c>
      <c r="AA76" s="14">
        <f ca="1">ALL!AE55</f>
        <v>-99600</v>
      </c>
      <c r="AB76" s="14">
        <f ca="1">ALL!AF55</f>
        <v>-102348</v>
      </c>
      <c r="AC76" s="14">
        <f ca="1">ALL!AG55</f>
        <v>0</v>
      </c>
      <c r="AD76" s="14">
        <f ca="1">ALL!AH55</f>
        <v>0</v>
      </c>
      <c r="AE76" s="14">
        <f ca="1">ALL!AI55</f>
        <v>0</v>
      </c>
      <c r="AF76" s="14">
        <f ca="1">ALL!AJ55</f>
        <v>0</v>
      </c>
      <c r="AG76" s="14">
        <f ca="1">ALL!AK55</f>
        <v>0</v>
      </c>
      <c r="AH76" s="14">
        <f ca="1">ALL!AL55</f>
        <v>0</v>
      </c>
      <c r="AI76" s="14">
        <f>ALL!AM55</f>
        <v>0</v>
      </c>
    </row>
    <row r="77" spans="1:94" ht="21.75" hidden="1" outlineLevel="1" thickBot="1" x14ac:dyDescent="0.4">
      <c r="A77" s="36" t="str">
        <f>ALL!E56</f>
        <v>(1)Ga2Se</v>
      </c>
      <c r="B77" s="16">
        <f ca="1">ALL!F56</f>
        <v>-155550</v>
      </c>
      <c r="C77" s="16">
        <f ca="1">ALL!G56</f>
        <v>-124960</v>
      </c>
      <c r="D77" s="16">
        <f ca="1">ALL!H56</f>
        <v>-100550</v>
      </c>
      <c r="E77" s="16">
        <f ca="1">ALL!I56</f>
        <v>-83010</v>
      </c>
      <c r="F77" s="14">
        <f ca="1">ALL!J56</f>
        <v>-79370</v>
      </c>
      <c r="G77" s="14">
        <f ca="1">ALL!K56</f>
        <v>-75900</v>
      </c>
      <c r="H77" s="14">
        <f ca="1">ALL!L56</f>
        <v>-72610</v>
      </c>
      <c r="I77" s="14">
        <f ca="1">ALL!M56</f>
        <v>-69450</v>
      </c>
      <c r="J77" s="14">
        <f ca="1">ALL!N56</f>
        <v>-66460</v>
      </c>
      <c r="K77" s="14">
        <f ca="1">ALL!O56</f>
        <v>-63620</v>
      </c>
      <c r="L77" s="14">
        <f ca="1">ALL!P56</f>
        <v>-60920</v>
      </c>
      <c r="M77" s="14">
        <f ca="1">ALL!Q56</f>
        <v>-58350</v>
      </c>
      <c r="N77" s="14">
        <f ca="1">ALL!R56</f>
        <v>-49520</v>
      </c>
      <c r="O77" s="14">
        <f ca="1">ALL!S56</f>
        <v>-47900</v>
      </c>
      <c r="P77" s="14">
        <f ca="1">ALL!T56</f>
        <v>-46690</v>
      </c>
      <c r="Q77" s="14">
        <f ca="1">ALL!U56</f>
        <v>-45740</v>
      </c>
      <c r="R77" s="14">
        <f ca="1">ALL!V56</f>
        <v>-44962</v>
      </c>
      <c r="S77" s="14">
        <f ca="1">ALL!W56</f>
        <v>-42558</v>
      </c>
      <c r="T77" s="14">
        <f ca="1">ALL!X56</f>
        <v>-42050</v>
      </c>
      <c r="U77" s="14">
        <f ca="1">ALL!Y56</f>
        <v>-42082</v>
      </c>
      <c r="V77" s="14">
        <f ca="1">ALL!Z56</f>
        <v>-42306</v>
      </c>
      <c r="W77" s="14">
        <f ca="1">ALL!AA56</f>
        <v>-42578</v>
      </c>
      <c r="X77" s="14">
        <f ca="1">ALL!AB56</f>
        <v>-42870</v>
      </c>
      <c r="Y77" s="14">
        <f ca="1">ALL!AC56</f>
        <v>-43168</v>
      </c>
      <c r="Z77" s="14">
        <f ca="1">ALL!AD56</f>
        <v>-43464</v>
      </c>
      <c r="AA77" s="14">
        <f ca="1">ALL!AE56</f>
        <v>-43760</v>
      </c>
      <c r="AB77" s="14">
        <f ca="1">ALL!AF56</f>
        <v>-44948</v>
      </c>
      <c r="AC77" s="14">
        <f ca="1">ALL!AG56</f>
        <v>0</v>
      </c>
      <c r="AD77" s="14">
        <f ca="1">ALL!AH56</f>
        <v>0</v>
      </c>
      <c r="AE77" s="14">
        <f ca="1">ALL!AI56</f>
        <v>0</v>
      </c>
      <c r="AF77" s="14">
        <f ca="1">ALL!AJ56</f>
        <v>0</v>
      </c>
      <c r="AG77" s="14">
        <f ca="1">ALL!AK56</f>
        <v>0</v>
      </c>
      <c r="AH77" s="14">
        <f ca="1">ALL!AL56</f>
        <v>0</v>
      </c>
      <c r="AI77" s="14">
        <f>ALL!AM56</f>
        <v>0</v>
      </c>
    </row>
    <row r="78" spans="1:94" ht="21.75" hidden="1" outlineLevel="1" thickBot="1" x14ac:dyDescent="0.4">
      <c r="A78" s="36" t="str">
        <f>ALL!E57</f>
        <v>(1)Ge</v>
      </c>
      <c r="B78" s="16">
        <f ca="1">ALL!F57</f>
        <v>-17380</v>
      </c>
      <c r="C78" s="16">
        <f ca="1">ALL!G57</f>
        <v>-13440</v>
      </c>
      <c r="D78" s="16">
        <f ca="1">ALL!H57</f>
        <v>-8996</v>
      </c>
      <c r="E78" s="16">
        <f ca="1">ALL!I57</f>
        <v>-6574</v>
      </c>
      <c r="F78" s="14">
        <f ca="1">ALL!J57</f>
        <v>-6359</v>
      </c>
      <c r="G78" s="14">
        <f ca="1">ALL!K57</f>
        <v>-6246</v>
      </c>
      <c r="H78" s="14">
        <f ca="1">ALL!L57</f>
        <v>-6201</v>
      </c>
      <c r="I78" s="14">
        <f ca="1">ALL!M57</f>
        <v>-6196</v>
      </c>
      <c r="J78" s="14">
        <f ca="1">ALL!N57</f>
        <v>-6214</v>
      </c>
      <c r="K78" s="14">
        <f ca="1">ALL!O57</f>
        <v>-6242</v>
      </c>
      <c r="L78" s="14">
        <f ca="1">ALL!P57</f>
        <v>-6277</v>
      </c>
      <c r="M78" s="14">
        <f ca="1">ALL!Q57</f>
        <v>-6315</v>
      </c>
      <c r="N78" s="14">
        <f ca="1">ALL!R57</f>
        <v>-6666</v>
      </c>
      <c r="O78" s="14">
        <f ca="1">ALL!S57</f>
        <v>-6979</v>
      </c>
      <c r="P78" s="14">
        <f ca="1">ALL!T57</f>
        <v>-7351</v>
      </c>
      <c r="Q78" s="14">
        <f ca="1">ALL!U57</f>
        <v>-7644</v>
      </c>
      <c r="R78" s="14">
        <f ca="1">ALL!V57</f>
        <v>-7824</v>
      </c>
      <c r="S78" s="14">
        <f ca="1">ALL!W57</f>
        <v>-8111</v>
      </c>
      <c r="T78" s="14">
        <f ca="1">ALL!X57</f>
        <v>-8167</v>
      </c>
      <c r="U78" s="14">
        <f ca="1">ALL!Y57</f>
        <v>-8218</v>
      </c>
      <c r="V78" s="14">
        <f ca="1">ALL!Z57</f>
        <v>-8261</v>
      </c>
      <c r="W78" s="14">
        <f ca="1">ALL!AA57</f>
        <v>-8301</v>
      </c>
      <c r="X78" s="14">
        <f ca="1">ALL!AB57</f>
        <v>-8339</v>
      </c>
      <c r="Y78" s="14">
        <f ca="1">ALL!AC57</f>
        <v>-8375</v>
      </c>
      <c r="Z78" s="14">
        <f ca="1">ALL!AD57</f>
        <v>-8410</v>
      </c>
      <c r="AA78" s="14">
        <f ca="1">ALL!AE57</f>
        <v>-8448</v>
      </c>
      <c r="AB78" s="14">
        <f ca="1">ALL!AF57</f>
        <v>-8615</v>
      </c>
      <c r="AC78" s="14">
        <f ca="1">ALL!AG57</f>
        <v>0</v>
      </c>
      <c r="AD78" s="14">
        <f ca="1">ALL!AH57</f>
        <v>0</v>
      </c>
      <c r="AE78" s="14">
        <f ca="1">ALL!AI57</f>
        <v>0</v>
      </c>
      <c r="AF78" s="14">
        <f ca="1">ALL!AJ57</f>
        <v>0</v>
      </c>
      <c r="AG78" s="14">
        <f ca="1">ALL!AK57</f>
        <v>0</v>
      </c>
      <c r="AH78" s="14">
        <f ca="1">ALL!AL57</f>
        <v>0</v>
      </c>
      <c r="AI78" s="14">
        <f>ALL!AM57</f>
        <v>0</v>
      </c>
    </row>
    <row r="79" spans="1:94" ht="21.75" hidden="1" outlineLevel="1" thickBot="1" x14ac:dyDescent="0.4">
      <c r="A79" s="36" t="str">
        <f>ALL!E58</f>
        <v>(1)Ga</v>
      </c>
      <c r="B79" s="16">
        <f ca="1">ALL!F58</f>
        <v>-65990</v>
      </c>
      <c r="C79" s="16">
        <f ca="1">ALL!G58</f>
        <v>-51790</v>
      </c>
      <c r="D79" s="16">
        <f ca="1">ALL!H58</f>
        <v>-39260</v>
      </c>
      <c r="E79" s="16">
        <f ca="1">ALL!I58</f>
        <v>-30180</v>
      </c>
      <c r="F79" s="14">
        <f ca="1">ALL!J58</f>
        <v>-28280</v>
      </c>
      <c r="G79" s="14">
        <f ca="1">ALL!K58</f>
        <v>-26450</v>
      </c>
      <c r="H79" s="14">
        <f ca="1">ALL!L58</f>
        <v>-24700</v>
      </c>
      <c r="I79" s="14">
        <f ca="1">ALL!M58</f>
        <v>-23010</v>
      </c>
      <c r="J79" s="14">
        <f ca="1">ALL!N58</f>
        <v>-21400</v>
      </c>
      <c r="K79" s="14">
        <f ca="1">ALL!O58</f>
        <v>-19860</v>
      </c>
      <c r="L79" s="14">
        <f ca="1">ALL!P58</f>
        <v>-18390</v>
      </c>
      <c r="M79" s="14">
        <f ca="1">ALL!Q58</f>
        <v>-16990</v>
      </c>
      <c r="N79" s="14">
        <f ca="1">ALL!R58</f>
        <v>-12140</v>
      </c>
      <c r="O79" s="14">
        <f ca="1">ALL!S58</f>
        <v>-11270</v>
      </c>
      <c r="P79" s="14">
        <f ca="1">ALL!T58</f>
        <v>-10610</v>
      </c>
      <c r="Q79" s="14">
        <f ca="1">ALL!U58</f>
        <v>-10070</v>
      </c>
      <c r="R79" s="14">
        <f ca="1">ALL!V58</f>
        <v>-9596</v>
      </c>
      <c r="S79" s="14">
        <f ca="1">ALL!W58</f>
        <v>-7969</v>
      </c>
      <c r="T79" s="14">
        <f ca="1">ALL!X58</f>
        <v>-7610</v>
      </c>
      <c r="U79" s="14">
        <f ca="1">ALL!Y58</f>
        <v>-7591</v>
      </c>
      <c r="V79" s="14">
        <f ca="1">ALL!Z58</f>
        <v>-7648</v>
      </c>
      <c r="W79" s="14">
        <f ca="1">ALL!AA58</f>
        <v>-7704</v>
      </c>
      <c r="X79" s="14">
        <f ca="1">ALL!AB58</f>
        <v>-7760</v>
      </c>
      <c r="Y79" s="14">
        <f ca="1">ALL!AC58</f>
        <v>-7814</v>
      </c>
      <c r="Z79" s="14">
        <f ca="1">ALL!AD58</f>
        <v>-7867</v>
      </c>
      <c r="AA79" s="14">
        <f ca="1">ALL!AE58</f>
        <v>-7920</v>
      </c>
      <c r="AB79" s="14">
        <f ca="1">ALL!AF58</f>
        <v>-8124</v>
      </c>
      <c r="AC79" s="14">
        <f ca="1">ALL!AG58</f>
        <v>0</v>
      </c>
      <c r="AD79" s="14">
        <f ca="1">ALL!AH58</f>
        <v>0</v>
      </c>
      <c r="AE79" s="14">
        <f ca="1">ALL!AI58</f>
        <v>0</v>
      </c>
      <c r="AF79" s="14">
        <f ca="1">ALL!AJ58</f>
        <v>0</v>
      </c>
      <c r="AG79" s="14">
        <f ca="1">ALL!AK58</f>
        <v>0</v>
      </c>
      <c r="AH79" s="14">
        <f ca="1">ALL!AL58</f>
        <v>0</v>
      </c>
      <c r="AI79" s="14">
        <f>ALL!AM58</f>
        <v>0</v>
      </c>
    </row>
    <row r="80" spans="1:94" ht="21.75" hidden="1" outlineLevel="1" thickBot="1" x14ac:dyDescent="0.4">
      <c r="A80" s="36" t="str">
        <f>ALL!E59</f>
        <v>(l)Se</v>
      </c>
      <c r="B80" s="16">
        <f ca="1">ALL!F59</f>
        <v>-23570</v>
      </c>
      <c r="C80" s="16">
        <f ca="1">ALL!G59</f>
        <v>-21380</v>
      </c>
      <c r="D80" s="16">
        <f ca="1">ALL!H59</f>
        <v>-22030</v>
      </c>
      <c r="E80" s="16">
        <f ca="1">ALL!I59</f>
        <v>-22650</v>
      </c>
      <c r="F80" s="14">
        <f ca="1">ALL!J59</f>
        <v>-22810</v>
      </c>
      <c r="G80" s="14">
        <f ca="1">ALL!K59</f>
        <v>-23000</v>
      </c>
      <c r="H80" s="14">
        <f ca="1">ALL!L59</f>
        <v>-23210</v>
      </c>
      <c r="I80" s="14">
        <f ca="1">ALL!M59</f>
        <v>-23430</v>
      </c>
      <c r="J80" s="14">
        <f ca="1">ALL!N59</f>
        <v>-23660</v>
      </c>
      <c r="K80" s="14">
        <f ca="1">ALL!O59</f>
        <v>-23900</v>
      </c>
      <c r="L80" s="14">
        <f ca="1">ALL!P59</f>
        <v>-24140</v>
      </c>
      <c r="M80" s="14">
        <f ca="1">ALL!Q59</f>
        <v>-24370</v>
      </c>
      <c r="N80" s="14">
        <f ca="1">ALL!R59</f>
        <v>-25240</v>
      </c>
      <c r="O80" s="14">
        <f ca="1">ALL!S59</f>
        <v>-25360</v>
      </c>
      <c r="P80" s="14">
        <f ca="1">ALL!T59</f>
        <v>-25470</v>
      </c>
      <c r="Q80" s="14">
        <f ca="1">ALL!U59</f>
        <v>-25600</v>
      </c>
      <c r="R80" s="14">
        <f ca="1">ALL!V59</f>
        <v>-25770</v>
      </c>
      <c r="S80" s="14">
        <f ca="1">ALL!W59</f>
        <v>-26620</v>
      </c>
      <c r="T80" s="14">
        <f ca="1">ALL!X59</f>
        <v>-26830</v>
      </c>
      <c r="U80" s="14">
        <f ca="1">ALL!Y59</f>
        <v>-26900</v>
      </c>
      <c r="V80" s="14">
        <f ca="1">ALL!Z59</f>
        <v>-27010</v>
      </c>
      <c r="W80" s="14">
        <f ca="1">ALL!AA59</f>
        <v>-27170</v>
      </c>
      <c r="X80" s="14">
        <f ca="1">ALL!AB59</f>
        <v>-27350</v>
      </c>
      <c r="Y80" s="14">
        <f ca="1">ALL!AC59</f>
        <v>-27540</v>
      </c>
      <c r="Z80" s="14">
        <f ca="1">ALL!AD59</f>
        <v>-27730</v>
      </c>
      <c r="AA80" s="14">
        <f ca="1">ALL!AE59</f>
        <v>-27920</v>
      </c>
      <c r="AB80" s="14">
        <f ca="1">ALL!AF59</f>
        <v>-28700</v>
      </c>
      <c r="AC80" s="14">
        <f ca="1">ALL!AG59</f>
        <v>0</v>
      </c>
      <c r="AD80" s="14">
        <f ca="1">ALL!AH59</f>
        <v>0</v>
      </c>
      <c r="AE80" s="14">
        <f ca="1">ALL!AI59</f>
        <v>0</v>
      </c>
      <c r="AF80" s="14">
        <f ca="1">ALL!AJ59</f>
        <v>0</v>
      </c>
      <c r="AG80" s="14">
        <f ca="1">ALL!AK59</f>
        <v>0</v>
      </c>
      <c r="AH80" s="14">
        <f ca="1">ALL!AL59</f>
        <v>0</v>
      </c>
      <c r="AI80" s="14">
        <f>ALL!AM59</f>
        <v>0</v>
      </c>
    </row>
    <row r="81" spans="1:35" ht="21.75" hidden="1" outlineLevel="1" thickBot="1" x14ac:dyDescent="0.4">
      <c r="A81" s="36" t="str">
        <f>ALL!E60</f>
        <v>(1)Se[a]</v>
      </c>
      <c r="B81" s="16">
        <f ca="1">ALL!F60</f>
        <v>-23570</v>
      </c>
      <c r="C81" s="16">
        <f ca="1">ALL!G60</f>
        <v>-21380</v>
      </c>
      <c r="D81" s="16">
        <f ca="1">ALL!H60</f>
        <v>-22030</v>
      </c>
      <c r="E81" s="16">
        <f ca="1">ALL!I60</f>
        <v>-22650</v>
      </c>
      <c r="F81" s="14">
        <f ca="1">ALL!J60</f>
        <v>-22810</v>
      </c>
      <c r="G81" s="14">
        <f ca="1">ALL!K60</f>
        <v>-23000</v>
      </c>
      <c r="H81" s="14">
        <f ca="1">ALL!L60</f>
        <v>-23210</v>
      </c>
      <c r="I81" s="14">
        <f ca="1">ALL!M60</f>
        <v>-23430</v>
      </c>
      <c r="J81" s="14">
        <f ca="1">ALL!N60</f>
        <v>-23660</v>
      </c>
      <c r="K81" s="14">
        <f ca="1">ALL!O60</f>
        <v>-23900</v>
      </c>
      <c r="L81" s="14">
        <f ca="1">ALL!P60</f>
        <v>-24140</v>
      </c>
      <c r="M81" s="14">
        <f ca="1">ALL!Q60</f>
        <v>-24370</v>
      </c>
      <c r="N81" s="14">
        <f ca="1">ALL!R60</f>
        <v>-25240</v>
      </c>
      <c r="O81" s="14">
        <f ca="1">ALL!S60</f>
        <v>-25360</v>
      </c>
      <c r="P81" s="14">
        <f ca="1">ALL!T60</f>
        <v>-25470</v>
      </c>
      <c r="Q81" s="14">
        <f ca="1">ALL!U60</f>
        <v>-25600</v>
      </c>
      <c r="R81" s="14">
        <f ca="1">ALL!V60</f>
        <v>-25770</v>
      </c>
      <c r="S81" s="14">
        <f ca="1">ALL!W60</f>
        <v>-26620</v>
      </c>
      <c r="T81" s="14">
        <f ca="1">ALL!X60</f>
        <v>-26830</v>
      </c>
      <c r="U81" s="14">
        <f ca="1">ALL!Y60</f>
        <v>-26900</v>
      </c>
      <c r="V81" s="14">
        <f ca="1">ALL!Z60</f>
        <v>-27010</v>
      </c>
      <c r="W81" s="14">
        <f ca="1">ALL!AA60</f>
        <v>-27170</v>
      </c>
      <c r="X81" s="14">
        <f ca="1">ALL!AB60</f>
        <v>-27350</v>
      </c>
      <c r="Y81" s="14">
        <f ca="1">ALL!AC60</f>
        <v>-27540</v>
      </c>
      <c r="Z81" s="14">
        <f ca="1">ALL!AD60</f>
        <v>-27730</v>
      </c>
      <c r="AA81" s="14">
        <f ca="1">ALL!AE60</f>
        <v>-27920</v>
      </c>
      <c r="AB81" s="14">
        <f ca="1">ALL!AF60</f>
        <v>-28700</v>
      </c>
      <c r="AC81" s="14">
        <f ca="1">ALL!AG60</f>
        <v>0</v>
      </c>
      <c r="AD81" s="14">
        <f ca="1">ALL!AH60</f>
        <v>0</v>
      </c>
      <c r="AE81" s="14">
        <f ca="1">ALL!AI60</f>
        <v>0</v>
      </c>
      <c r="AF81" s="14">
        <f ca="1">ALL!AJ60</f>
        <v>0</v>
      </c>
      <c r="AG81" s="14">
        <f ca="1">ALL!AK60</f>
        <v>0</v>
      </c>
      <c r="AH81" s="14">
        <f ca="1">ALL!AL60</f>
        <v>0</v>
      </c>
      <c r="AI81" s="14">
        <f>ALL!AM60</f>
        <v>0</v>
      </c>
    </row>
    <row r="82" spans="1:35" ht="21.75" hidden="1" outlineLevel="1" thickBot="1" x14ac:dyDescent="0.4">
      <c r="A82" s="36" t="str">
        <f>ALL!E61</f>
        <v>(1)Se[m]</v>
      </c>
      <c r="B82" s="16">
        <f ca="1">ALL!F61</f>
        <v>-23570</v>
      </c>
      <c r="C82" s="16">
        <f ca="1">ALL!G61</f>
        <v>-21380</v>
      </c>
      <c r="D82" s="16">
        <f ca="1">ALL!H61</f>
        <v>-22030</v>
      </c>
      <c r="E82" s="16">
        <f ca="1">ALL!I61</f>
        <v>-22650</v>
      </c>
      <c r="F82" s="14">
        <f ca="1">ALL!J61</f>
        <v>-22810</v>
      </c>
      <c r="G82" s="14">
        <f ca="1">ALL!K61</f>
        <v>-23000</v>
      </c>
      <c r="H82" s="14">
        <f ca="1">ALL!L61</f>
        <v>-23210</v>
      </c>
      <c r="I82" s="14">
        <f ca="1">ALL!M61</f>
        <v>-23430</v>
      </c>
      <c r="J82" s="14">
        <f ca="1">ALL!N61</f>
        <v>-23660</v>
      </c>
      <c r="K82" s="14">
        <f ca="1">ALL!O61</f>
        <v>-23900</v>
      </c>
      <c r="L82" s="14">
        <f ca="1">ALL!P61</f>
        <v>-24140</v>
      </c>
      <c r="M82" s="14">
        <f ca="1">ALL!Q61</f>
        <v>-24370</v>
      </c>
      <c r="N82" s="14">
        <f ca="1">ALL!R61</f>
        <v>-25240</v>
      </c>
      <c r="O82" s="14">
        <f ca="1">ALL!S61</f>
        <v>-25360</v>
      </c>
      <c r="P82" s="14">
        <f ca="1">ALL!T61</f>
        <v>-25470</v>
      </c>
      <c r="Q82" s="14">
        <f ca="1">ALL!U61</f>
        <v>-25600</v>
      </c>
      <c r="R82" s="14">
        <f ca="1">ALL!V61</f>
        <v>-25770</v>
      </c>
      <c r="S82" s="14">
        <f ca="1">ALL!W61</f>
        <v>-26620</v>
      </c>
      <c r="T82" s="14">
        <f ca="1">ALL!X61</f>
        <v>-26830</v>
      </c>
      <c r="U82" s="14">
        <f ca="1">ALL!Y61</f>
        <v>-26900</v>
      </c>
      <c r="V82" s="14">
        <f ca="1">ALL!Z61</f>
        <v>-27010</v>
      </c>
      <c r="W82" s="14">
        <f ca="1">ALL!AA61</f>
        <v>-27170</v>
      </c>
      <c r="X82" s="14">
        <f ca="1">ALL!AB61</f>
        <v>-27350</v>
      </c>
      <c r="Y82" s="14">
        <f ca="1">ALL!AC61</f>
        <v>-27540</v>
      </c>
      <c r="Z82" s="14">
        <f ca="1">ALL!AD61</f>
        <v>-27730</v>
      </c>
      <c r="AA82" s="14">
        <f ca="1">ALL!AE61</f>
        <v>-27920</v>
      </c>
      <c r="AB82" s="14">
        <f ca="1">ALL!AF61</f>
        <v>-28700</v>
      </c>
      <c r="AC82" s="14">
        <f ca="1">ALL!AG61</f>
        <v>0</v>
      </c>
      <c r="AD82" s="14">
        <f ca="1">ALL!AH61</f>
        <v>0</v>
      </c>
      <c r="AE82" s="14">
        <f ca="1">ALL!AI61</f>
        <v>0</v>
      </c>
      <c r="AF82" s="14">
        <f ca="1">ALL!AJ61</f>
        <v>0</v>
      </c>
      <c r="AG82" s="14">
        <f ca="1">ALL!AK61</f>
        <v>0</v>
      </c>
      <c r="AH82" s="14">
        <f ca="1">ALL!AL61</f>
        <v>0</v>
      </c>
      <c r="AI82" s="14">
        <f>ALL!AM61</f>
        <v>0</v>
      </c>
    </row>
    <row r="83" spans="1:35" ht="21.75" hidden="1" outlineLevel="1" thickBot="1" x14ac:dyDescent="0.4">
      <c r="A83" s="36" t="str">
        <f>ALL!E62</f>
        <v>(1)Ge[c]</v>
      </c>
      <c r="B83" s="16">
        <f ca="1">ALL!F62</f>
        <v>-17380</v>
      </c>
      <c r="C83" s="16">
        <f ca="1">ALL!G62</f>
        <v>-13440</v>
      </c>
      <c r="D83" s="16">
        <f ca="1">ALL!H62</f>
        <v>-8996</v>
      </c>
      <c r="E83" s="16">
        <f ca="1">ALL!I62</f>
        <v>-6574</v>
      </c>
      <c r="F83" s="14">
        <f ca="1">ALL!J62</f>
        <v>-6359</v>
      </c>
      <c r="G83" s="14">
        <f ca="1">ALL!K62</f>
        <v>-6246</v>
      </c>
      <c r="H83" s="14">
        <f ca="1">ALL!L62</f>
        <v>-6201</v>
      </c>
      <c r="I83" s="14">
        <f ca="1">ALL!M62</f>
        <v>-6196</v>
      </c>
      <c r="J83" s="14">
        <f ca="1">ALL!N62</f>
        <v>-6214</v>
      </c>
      <c r="K83" s="14">
        <f ca="1">ALL!O62</f>
        <v>-6242</v>
      </c>
      <c r="L83" s="14">
        <f ca="1">ALL!P62</f>
        <v>-6277</v>
      </c>
      <c r="M83" s="14">
        <f ca="1">ALL!Q62</f>
        <v>-6315</v>
      </c>
      <c r="N83" s="14">
        <f ca="1">ALL!R62</f>
        <v>-6666</v>
      </c>
      <c r="O83" s="14">
        <f ca="1">ALL!S62</f>
        <v>-6979</v>
      </c>
      <c r="P83" s="14">
        <f ca="1">ALL!T62</f>
        <v>-7351</v>
      </c>
      <c r="Q83" s="14">
        <f ca="1">ALL!U62</f>
        <v>-7644</v>
      </c>
      <c r="R83" s="14">
        <f ca="1">ALL!V62</f>
        <v>-7824</v>
      </c>
      <c r="S83" s="14">
        <f ca="1">ALL!W62</f>
        <v>-8111</v>
      </c>
      <c r="T83" s="14">
        <f ca="1">ALL!X62</f>
        <v>-8167</v>
      </c>
      <c r="U83" s="14">
        <f ca="1">ALL!Y62</f>
        <v>-8218</v>
      </c>
      <c r="V83" s="14">
        <f ca="1">ALL!Z62</f>
        <v>-8261</v>
      </c>
      <c r="W83" s="14">
        <f ca="1">ALL!AA62</f>
        <v>-8301</v>
      </c>
      <c r="X83" s="14">
        <f ca="1">ALL!AB62</f>
        <v>-8339</v>
      </c>
      <c r="Y83" s="14">
        <f ca="1">ALL!AC62</f>
        <v>-8375</v>
      </c>
      <c r="Z83" s="14">
        <f ca="1">ALL!AD62</f>
        <v>-8410</v>
      </c>
      <c r="AA83" s="14">
        <f ca="1">ALL!AE62</f>
        <v>-8448</v>
      </c>
      <c r="AB83" s="14">
        <f ca="1">ALL!AF62</f>
        <v>-8615</v>
      </c>
      <c r="AC83" s="14">
        <f ca="1">ALL!AG62</f>
        <v>0</v>
      </c>
      <c r="AD83" s="14">
        <f ca="1">ALL!AH62</f>
        <v>0</v>
      </c>
      <c r="AE83" s="14">
        <f ca="1">ALL!AI62</f>
        <v>0</v>
      </c>
      <c r="AF83" s="14">
        <f ca="1">ALL!AJ62</f>
        <v>0</v>
      </c>
      <c r="AG83" s="14">
        <f ca="1">ALL!AK62</f>
        <v>0</v>
      </c>
      <c r="AH83" s="14">
        <f ca="1">ALL!AL62</f>
        <v>0</v>
      </c>
      <c r="AI83" s="14">
        <f>ALL!AM62</f>
        <v>0</v>
      </c>
    </row>
    <row r="84" spans="1:35" ht="21.75" hidden="1" outlineLevel="1" thickBot="1" x14ac:dyDescent="0.4">
      <c r="A84" s="36" t="str">
        <f>ALL!E63</f>
        <v>(3)Ga[1]</v>
      </c>
      <c r="B84" s="16">
        <f ca="1">ALL!F63</f>
        <v>-65990</v>
      </c>
      <c r="C84" s="16">
        <f ca="1">ALL!G63</f>
        <v>-51790</v>
      </c>
      <c r="D84" s="16">
        <f ca="1">ALL!H63</f>
        <v>-39260</v>
      </c>
      <c r="E84" s="16">
        <f ca="1">ALL!I63</f>
        <v>-30180</v>
      </c>
      <c r="F84" s="14">
        <f ca="1">ALL!J63</f>
        <v>-28280</v>
      </c>
      <c r="G84" s="14">
        <f ca="1">ALL!K63</f>
        <v>-26450</v>
      </c>
      <c r="H84" s="14">
        <f ca="1">ALL!L63</f>
        <v>-24700</v>
      </c>
      <c r="I84" s="14">
        <f ca="1">ALL!M63</f>
        <v>-23010</v>
      </c>
      <c r="J84" s="14">
        <f ca="1">ALL!N63</f>
        <v>-21400</v>
      </c>
      <c r="K84" s="14">
        <f ca="1">ALL!O63</f>
        <v>-19860</v>
      </c>
      <c r="L84" s="14">
        <f ca="1">ALL!P63</f>
        <v>-18390</v>
      </c>
      <c r="M84" s="14">
        <f ca="1">ALL!Q63</f>
        <v>-16990</v>
      </c>
      <c r="N84" s="14">
        <f ca="1">ALL!R63</f>
        <v>-12140</v>
      </c>
      <c r="O84" s="14">
        <f ca="1">ALL!S63</f>
        <v>-11270</v>
      </c>
      <c r="P84" s="14">
        <f ca="1">ALL!T63</f>
        <v>-10610</v>
      </c>
      <c r="Q84" s="14">
        <f ca="1">ALL!U63</f>
        <v>-10070</v>
      </c>
      <c r="R84" s="14">
        <f ca="1">ALL!V63</f>
        <v>-9596</v>
      </c>
      <c r="S84" s="14">
        <f ca="1">ALL!W63</f>
        <v>-7969</v>
      </c>
      <c r="T84" s="14">
        <f ca="1">ALL!X63</f>
        <v>-7610</v>
      </c>
      <c r="U84" s="14">
        <f ca="1">ALL!Y63</f>
        <v>-7591</v>
      </c>
      <c r="V84" s="14">
        <f ca="1">ALL!Z63</f>
        <v>-7648</v>
      </c>
      <c r="W84" s="14">
        <f ca="1">ALL!AA63</f>
        <v>-7704</v>
      </c>
      <c r="X84" s="14">
        <f ca="1">ALL!AB63</f>
        <v>-7760</v>
      </c>
      <c r="Y84" s="14">
        <f ca="1">ALL!AC63</f>
        <v>-7814</v>
      </c>
      <c r="Z84" s="14">
        <f ca="1">ALL!AD63</f>
        <v>-7867</v>
      </c>
      <c r="AA84" s="14">
        <f ca="1">ALL!AE63</f>
        <v>-7920</v>
      </c>
      <c r="AB84" s="14">
        <f ca="1">ALL!AF63</f>
        <v>-8124</v>
      </c>
      <c r="AC84" s="14">
        <f ca="1">ALL!AG63</f>
        <v>0</v>
      </c>
      <c r="AD84" s="14">
        <f ca="1">ALL!AH63</f>
        <v>0</v>
      </c>
      <c r="AE84" s="14">
        <f ca="1">ALL!AI63</f>
        <v>0</v>
      </c>
      <c r="AF84" s="14">
        <f ca="1">ALL!AJ63</f>
        <v>0</v>
      </c>
      <c r="AG84" s="14">
        <f ca="1">ALL!AK63</f>
        <v>0</v>
      </c>
      <c r="AH84" s="14">
        <f ca="1">ALL!AL63</f>
        <v>0</v>
      </c>
      <c r="AI84" s="14">
        <f>ALL!AM63</f>
        <v>0</v>
      </c>
    </row>
    <row r="85" spans="1:35" ht="21.75" hidden="1" outlineLevel="1" thickBot="1" x14ac:dyDescent="0.4">
      <c r="A85" s="36" t="str">
        <f>ALL!E64</f>
        <v>(3)Ge[1]</v>
      </c>
      <c r="B85" s="16">
        <f ca="1">ALL!F64</f>
        <v>-17380</v>
      </c>
      <c r="C85" s="16">
        <f ca="1">ALL!G64</f>
        <v>-13440</v>
      </c>
      <c r="D85" s="16">
        <f ca="1">ALL!H64</f>
        <v>-8996</v>
      </c>
      <c r="E85" s="16">
        <f ca="1">ALL!I64</f>
        <v>-6574</v>
      </c>
      <c r="F85" s="14">
        <f ca="1">ALL!J64</f>
        <v>-6359</v>
      </c>
      <c r="G85" s="14">
        <f ca="1">ALL!K64</f>
        <v>-6246</v>
      </c>
      <c r="H85" s="14">
        <f ca="1">ALL!L64</f>
        <v>-6201</v>
      </c>
      <c r="I85" s="14">
        <f ca="1">ALL!M64</f>
        <v>-6196</v>
      </c>
      <c r="J85" s="14">
        <f ca="1">ALL!N64</f>
        <v>-6214</v>
      </c>
      <c r="K85" s="14">
        <f ca="1">ALL!O64</f>
        <v>-6242</v>
      </c>
      <c r="L85" s="14">
        <f ca="1">ALL!P64</f>
        <v>-6277</v>
      </c>
      <c r="M85" s="14">
        <f ca="1">ALL!Q64</f>
        <v>-6315</v>
      </c>
      <c r="N85" s="14">
        <f ca="1">ALL!R64</f>
        <v>-6666</v>
      </c>
      <c r="O85" s="14">
        <f ca="1">ALL!S64</f>
        <v>-6979</v>
      </c>
      <c r="P85" s="14">
        <f ca="1">ALL!T64</f>
        <v>-7351</v>
      </c>
      <c r="Q85" s="14">
        <f ca="1">ALL!U64</f>
        <v>-7644</v>
      </c>
      <c r="R85" s="14">
        <f ca="1">ALL!V64</f>
        <v>-7824</v>
      </c>
      <c r="S85" s="14">
        <f ca="1">ALL!W64</f>
        <v>-8111</v>
      </c>
      <c r="T85" s="14">
        <f ca="1">ALL!X64</f>
        <v>-8167</v>
      </c>
      <c r="U85" s="14">
        <f ca="1">ALL!Y64</f>
        <v>-8218</v>
      </c>
      <c r="V85" s="14">
        <f ca="1">ALL!Z64</f>
        <v>-8261</v>
      </c>
      <c r="W85" s="14">
        <f ca="1">ALL!AA64</f>
        <v>-8301</v>
      </c>
      <c r="X85" s="14">
        <f ca="1">ALL!AB64</f>
        <v>-8339</v>
      </c>
      <c r="Y85" s="14">
        <f ca="1">ALL!AC64</f>
        <v>-8375</v>
      </c>
      <c r="Z85" s="14">
        <f ca="1">ALL!AD64</f>
        <v>-8410</v>
      </c>
      <c r="AA85" s="14">
        <f ca="1">ALL!AE64</f>
        <v>-8448</v>
      </c>
      <c r="AB85" s="14">
        <f ca="1">ALL!AF64</f>
        <v>-8615</v>
      </c>
      <c r="AC85" s="14">
        <f ca="1">ALL!AG64</f>
        <v>0</v>
      </c>
      <c r="AD85" s="14">
        <f ca="1">ALL!AH64</f>
        <v>0</v>
      </c>
      <c r="AE85" s="14">
        <f ca="1">ALL!AI64</f>
        <v>0</v>
      </c>
      <c r="AF85" s="14">
        <f ca="1">ALL!AJ64</f>
        <v>0</v>
      </c>
      <c r="AG85" s="14">
        <f ca="1">ALL!AK64</f>
        <v>0</v>
      </c>
      <c r="AH85" s="14">
        <f ca="1">ALL!AL64</f>
        <v>0</v>
      </c>
      <c r="AI85" s="14">
        <f>ALL!AM64</f>
        <v>0</v>
      </c>
    </row>
    <row r="86" spans="1:35" ht="21.75" hidden="1" outlineLevel="1" thickBot="1" x14ac:dyDescent="0.4">
      <c r="A86" s="36" t="str">
        <f>ALL!E65</f>
        <v>H (Ar)</v>
      </c>
      <c r="B86" s="16">
        <f ca="1">ALL!F65</f>
        <v>-19080</v>
      </c>
      <c r="C86" s="16">
        <f ca="1">ALL!G65</f>
        <v>-19070</v>
      </c>
      <c r="D86" s="16">
        <f ca="1">ALL!H65</f>
        <v>-19150</v>
      </c>
      <c r="E86" s="16">
        <f ca="1">ALL!I65</f>
        <v>-19250</v>
      </c>
      <c r="F86" s="14">
        <f ca="1">ALL!J65</f>
        <v>-19270</v>
      </c>
      <c r="G86" s="14">
        <f ca="1">ALL!K65</f>
        <v>-19300</v>
      </c>
      <c r="H86" s="14">
        <f ca="1">ALL!L65</f>
        <v>-19330</v>
      </c>
      <c r="I86" s="14">
        <f ca="1">ALL!M65</f>
        <v>-19360</v>
      </c>
      <c r="J86" s="14">
        <f ca="1">ALL!N65</f>
        <v>-19390</v>
      </c>
      <c r="K86" s="14">
        <f ca="1">ALL!O65</f>
        <v>-19420</v>
      </c>
      <c r="L86" s="14">
        <f ca="1">ALL!P65</f>
        <v>-19460</v>
      </c>
      <c r="M86" s="14">
        <f ca="1">ALL!Q65</f>
        <v>-19490</v>
      </c>
      <c r="N86" s="14">
        <f ca="1">ALL!R65</f>
        <v>-19580</v>
      </c>
      <c r="O86" s="14">
        <f ca="1">ALL!S65</f>
        <v>-19540</v>
      </c>
      <c r="P86" s="14">
        <f ca="1">ALL!T65</f>
        <v>-19470</v>
      </c>
      <c r="Q86" s="14">
        <f ca="1">ALL!U65</f>
        <v>-19420</v>
      </c>
      <c r="R86" s="14">
        <f ca="1">ALL!V65</f>
        <v>-19410</v>
      </c>
      <c r="S86" s="14">
        <f ca="1">ALL!W65</f>
        <v>-19510</v>
      </c>
      <c r="T86" s="14">
        <f ca="1">ALL!X65</f>
        <v>-19550</v>
      </c>
      <c r="U86" s="14">
        <f ca="1">ALL!Y65</f>
        <v>-19580</v>
      </c>
      <c r="V86" s="14">
        <f ca="1">ALL!Z65</f>
        <v>-19610</v>
      </c>
      <c r="W86" s="14">
        <f ca="1">ALL!AA65</f>
        <v>-19640</v>
      </c>
      <c r="X86" s="14">
        <f ca="1">ALL!AB65</f>
        <v>-19670</v>
      </c>
      <c r="Y86" s="14">
        <f ca="1">ALL!AC65</f>
        <v>-19700</v>
      </c>
      <c r="Z86" s="14">
        <f ca="1">ALL!AD65</f>
        <v>-19730</v>
      </c>
      <c r="AA86" s="14">
        <f ca="1">ALL!AE65</f>
        <v>-19760</v>
      </c>
      <c r="AB86" s="14">
        <f ca="1">ALL!AF65</f>
        <v>-19880</v>
      </c>
      <c r="AC86" s="14">
        <f ca="1">ALL!AG65</f>
        <v>0</v>
      </c>
      <c r="AD86" s="14">
        <f ca="1">ALL!AH65</f>
        <v>0</v>
      </c>
      <c r="AE86" s="14">
        <f ca="1">ALL!AI65</f>
        <v>0</v>
      </c>
      <c r="AF86" s="14">
        <f ca="1">ALL!AJ65</f>
        <v>0</v>
      </c>
      <c r="AG86" s="14">
        <f ca="1">ALL!AK65</f>
        <v>0</v>
      </c>
      <c r="AH86" s="14">
        <f ca="1">ALL!AL65</f>
        <v>0</v>
      </c>
      <c r="AI86" s="14">
        <f>ALL!AM65</f>
        <v>0</v>
      </c>
    </row>
    <row r="87" spans="1:35" ht="21.75" hidden="1" outlineLevel="1" thickBot="1" x14ac:dyDescent="0.4">
      <c r="A87" s="36" t="str">
        <f>ALL!E66</f>
        <v>H (Ga)</v>
      </c>
      <c r="B87" s="16">
        <f ca="1">ALL!F66</f>
        <v>-65990</v>
      </c>
      <c r="C87" s="16">
        <f ca="1">ALL!G66</f>
        <v>-51790</v>
      </c>
      <c r="D87" s="16">
        <f ca="1">ALL!H66</f>
        <v>-39260</v>
      </c>
      <c r="E87" s="16">
        <f ca="1">ALL!I66</f>
        <v>-30180</v>
      </c>
      <c r="F87" s="14">
        <f ca="1">ALL!J66</f>
        <v>-28280</v>
      </c>
      <c r="G87" s="14">
        <f ca="1">ALL!K66</f>
        <v>-26450</v>
      </c>
      <c r="H87" s="14">
        <f ca="1">ALL!L66</f>
        <v>-24700</v>
      </c>
      <c r="I87" s="14">
        <f ca="1">ALL!M66</f>
        <v>-23010</v>
      </c>
      <c r="J87" s="14">
        <f ca="1">ALL!N66</f>
        <v>-21400</v>
      </c>
      <c r="K87" s="14">
        <f ca="1">ALL!O66</f>
        <v>-19860</v>
      </c>
      <c r="L87" s="14">
        <f ca="1">ALL!P66</f>
        <v>-18390</v>
      </c>
      <c r="M87" s="14">
        <f ca="1">ALL!Q66</f>
        <v>-16990</v>
      </c>
      <c r="N87" s="14">
        <f ca="1">ALL!R66</f>
        <v>-12140</v>
      </c>
      <c r="O87" s="14">
        <f ca="1">ALL!S66</f>
        <v>-11270</v>
      </c>
      <c r="P87" s="14">
        <f ca="1">ALL!T66</f>
        <v>-10610</v>
      </c>
      <c r="Q87" s="14">
        <f ca="1">ALL!U66</f>
        <v>-10070</v>
      </c>
      <c r="R87" s="14">
        <f ca="1">ALL!V66</f>
        <v>-9596</v>
      </c>
      <c r="S87" s="14">
        <f ca="1">ALL!W66</f>
        <v>-7969</v>
      </c>
      <c r="T87" s="14">
        <f ca="1">ALL!X66</f>
        <v>-7610</v>
      </c>
      <c r="U87" s="14">
        <f ca="1">ALL!Y66</f>
        <v>-7591</v>
      </c>
      <c r="V87" s="14">
        <f ca="1">ALL!Z66</f>
        <v>-7648</v>
      </c>
      <c r="W87" s="14">
        <f ca="1">ALL!AA66</f>
        <v>-7704</v>
      </c>
      <c r="X87" s="14">
        <f ca="1">ALL!AB66</f>
        <v>-7760</v>
      </c>
      <c r="Y87" s="14">
        <f ca="1">ALL!AC66</f>
        <v>-7814</v>
      </c>
      <c r="Z87" s="14">
        <f ca="1">ALL!AD66</f>
        <v>-7867</v>
      </c>
      <c r="AA87" s="14">
        <f ca="1">ALL!AE66</f>
        <v>-7920</v>
      </c>
      <c r="AB87" s="14">
        <f ca="1">ALL!AF66</f>
        <v>-8124</v>
      </c>
      <c r="AC87" s="14">
        <f ca="1">ALL!AG66</f>
        <v>0</v>
      </c>
      <c r="AD87" s="14">
        <f ca="1">ALL!AH66</f>
        <v>0</v>
      </c>
      <c r="AE87" s="14">
        <f ca="1">ALL!AI66</f>
        <v>0</v>
      </c>
      <c r="AF87" s="14">
        <f ca="1">ALL!AJ66</f>
        <v>0</v>
      </c>
      <c r="AG87" s="14">
        <f ca="1">ALL!AK66</f>
        <v>0</v>
      </c>
      <c r="AH87" s="14">
        <f ca="1">ALL!AL66</f>
        <v>0</v>
      </c>
      <c r="AI87" s="14">
        <f>ALL!AM66</f>
        <v>0</v>
      </c>
    </row>
    <row r="88" spans="1:35" ht="21.75" hidden="1" outlineLevel="1" thickBot="1" x14ac:dyDescent="0.4">
      <c r="A88" s="36" t="str">
        <f>ALL!E67</f>
        <v>H (Ge)</v>
      </c>
      <c r="B88" s="16">
        <f ca="1">ALL!F67</f>
        <v>-17380</v>
      </c>
      <c r="C88" s="16">
        <f ca="1">ALL!G67</f>
        <v>-13440</v>
      </c>
      <c r="D88" s="16">
        <f ca="1">ALL!H67</f>
        <v>-8996</v>
      </c>
      <c r="E88" s="16">
        <f ca="1">ALL!I67</f>
        <v>-6574</v>
      </c>
      <c r="F88" s="14">
        <f ca="1">ALL!J67</f>
        <v>-6359</v>
      </c>
      <c r="G88" s="14">
        <f ca="1">ALL!K67</f>
        <v>-6246</v>
      </c>
      <c r="H88" s="14">
        <f ca="1">ALL!L67</f>
        <v>-6201</v>
      </c>
      <c r="I88" s="14">
        <f ca="1">ALL!M67</f>
        <v>-6196</v>
      </c>
      <c r="J88" s="14">
        <f ca="1">ALL!N67</f>
        <v>-6214</v>
      </c>
      <c r="K88" s="14">
        <f ca="1">ALL!O67</f>
        <v>-6242</v>
      </c>
      <c r="L88" s="14">
        <f ca="1">ALL!P67</f>
        <v>-6277</v>
      </c>
      <c r="M88" s="14">
        <f ca="1">ALL!Q67</f>
        <v>-6315</v>
      </c>
      <c r="N88" s="14">
        <f ca="1">ALL!R67</f>
        <v>-6666</v>
      </c>
      <c r="O88" s="14">
        <f ca="1">ALL!S67</f>
        <v>-6979</v>
      </c>
      <c r="P88" s="14">
        <f ca="1">ALL!T67</f>
        <v>-7351</v>
      </c>
      <c r="Q88" s="14">
        <f ca="1">ALL!U67</f>
        <v>-7644</v>
      </c>
      <c r="R88" s="14">
        <f ca="1">ALL!V67</f>
        <v>-7824</v>
      </c>
      <c r="S88" s="14">
        <f ca="1">ALL!W67</f>
        <v>-8111</v>
      </c>
      <c r="T88" s="14">
        <f ca="1">ALL!X67</f>
        <v>-8167</v>
      </c>
      <c r="U88" s="14">
        <f ca="1">ALL!Y67</f>
        <v>-8218</v>
      </c>
      <c r="V88" s="14">
        <f ca="1">ALL!Z67</f>
        <v>-8261</v>
      </c>
      <c r="W88" s="14">
        <f ca="1">ALL!AA67</f>
        <v>-8301</v>
      </c>
      <c r="X88" s="14">
        <f ca="1">ALL!AB67</f>
        <v>-8339</v>
      </c>
      <c r="Y88" s="14">
        <f ca="1">ALL!AC67</f>
        <v>-8375</v>
      </c>
      <c r="Z88" s="14">
        <f ca="1">ALL!AD67</f>
        <v>-8410</v>
      </c>
      <c r="AA88" s="14">
        <f ca="1">ALL!AE67</f>
        <v>-8448</v>
      </c>
      <c r="AB88" s="14">
        <f ca="1">ALL!AF67</f>
        <v>-8615</v>
      </c>
      <c r="AC88" s="14">
        <f ca="1">ALL!AG67</f>
        <v>0</v>
      </c>
      <c r="AD88" s="14">
        <f ca="1">ALL!AH67</f>
        <v>0</v>
      </c>
      <c r="AE88" s="14">
        <f ca="1">ALL!AI67</f>
        <v>0</v>
      </c>
      <c r="AF88" s="14">
        <f ca="1">ALL!AJ67</f>
        <v>0</v>
      </c>
      <c r="AG88" s="14">
        <f ca="1">ALL!AK67</f>
        <v>0</v>
      </c>
      <c r="AH88" s="14">
        <f ca="1">ALL!AL67</f>
        <v>0</v>
      </c>
      <c r="AI88" s="14">
        <f>ALL!AM67</f>
        <v>0</v>
      </c>
    </row>
    <row r="89" spans="1:35" ht="21.75" hidden="1" outlineLevel="1" thickBot="1" x14ac:dyDescent="0.4">
      <c r="A89" s="36" t="str">
        <f>ALL!E68</f>
        <v>H (Se)</v>
      </c>
      <c r="B89" s="16">
        <f ca="1">ALL!F68</f>
        <v>-23570</v>
      </c>
      <c r="C89" s="16">
        <f ca="1">ALL!G68</f>
        <v>-21380</v>
      </c>
      <c r="D89" s="16">
        <f ca="1">ALL!H68</f>
        <v>-22030</v>
      </c>
      <c r="E89" s="16">
        <f ca="1">ALL!I68</f>
        <v>-22650</v>
      </c>
      <c r="F89" s="14">
        <f ca="1">ALL!J68</f>
        <v>-22810</v>
      </c>
      <c r="G89" s="14">
        <f ca="1">ALL!K68</f>
        <v>-23000</v>
      </c>
      <c r="H89" s="14">
        <f ca="1">ALL!L68</f>
        <v>-23210</v>
      </c>
      <c r="I89" s="14">
        <f ca="1">ALL!M68</f>
        <v>-23430</v>
      </c>
      <c r="J89" s="14">
        <f ca="1">ALL!N68</f>
        <v>-23660</v>
      </c>
      <c r="K89" s="14">
        <f ca="1">ALL!O68</f>
        <v>-23900</v>
      </c>
      <c r="L89" s="14">
        <f ca="1">ALL!P68</f>
        <v>-24140</v>
      </c>
      <c r="M89" s="14">
        <f ca="1">ALL!Q68</f>
        <v>-24370</v>
      </c>
      <c r="N89" s="14">
        <f ca="1">ALL!R68</f>
        <v>-25240</v>
      </c>
      <c r="O89" s="14">
        <f ca="1">ALL!S68</f>
        <v>-25360</v>
      </c>
      <c r="P89" s="14">
        <f ca="1">ALL!T68</f>
        <v>-25470</v>
      </c>
      <c r="Q89" s="14">
        <f ca="1">ALL!U68</f>
        <v>-25600</v>
      </c>
      <c r="R89" s="14">
        <f ca="1">ALL!V68</f>
        <v>-25770</v>
      </c>
      <c r="S89" s="14">
        <f ca="1">ALL!W68</f>
        <v>-26620</v>
      </c>
      <c r="T89" s="14">
        <f ca="1">ALL!X68</f>
        <v>-26830</v>
      </c>
      <c r="U89" s="14">
        <f ca="1">ALL!Y68</f>
        <v>-26900</v>
      </c>
      <c r="V89" s="14">
        <f ca="1">ALL!Z68</f>
        <v>-27010</v>
      </c>
      <c r="W89" s="14">
        <f ca="1">ALL!AA68</f>
        <v>-27170</v>
      </c>
      <c r="X89" s="14">
        <f ca="1">ALL!AB68</f>
        <v>-27350</v>
      </c>
      <c r="Y89" s="14">
        <f ca="1">ALL!AC68</f>
        <v>-27540</v>
      </c>
      <c r="Z89" s="14">
        <f ca="1">ALL!AD68</f>
        <v>-27730</v>
      </c>
      <c r="AA89" s="14">
        <f ca="1">ALL!AE68</f>
        <v>-27920</v>
      </c>
      <c r="AB89" s="14">
        <f ca="1">ALL!AF68</f>
        <v>-28700</v>
      </c>
      <c r="AC89" s="14">
        <f ca="1">ALL!AG68</f>
        <v>0</v>
      </c>
      <c r="AD89" s="14">
        <f ca="1">ALL!AH68</f>
        <v>0</v>
      </c>
      <c r="AE89" s="14">
        <f ca="1">ALL!AI68</f>
        <v>0</v>
      </c>
      <c r="AF89" s="14">
        <f ca="1">ALL!AJ68</f>
        <v>0</v>
      </c>
      <c r="AG89" s="14">
        <f ca="1">ALL!AK68</f>
        <v>0</v>
      </c>
      <c r="AH89" s="14">
        <f ca="1">ALL!AL68</f>
        <v>0</v>
      </c>
      <c r="AI89" s="14">
        <f>ALL!AM68</f>
        <v>0</v>
      </c>
    </row>
    <row r="90" spans="1:35" ht="21.75" hidden="1" outlineLevel="1" thickBot="1" x14ac:dyDescent="0.4">
      <c r="A90" s="36">
        <f>ALL!E69</f>
        <v>0</v>
      </c>
      <c r="B90" s="16">
        <f ca="1">ALL!F69</f>
        <v>0</v>
      </c>
      <c r="C90" s="16">
        <f ca="1">ALL!G69</f>
        <v>0</v>
      </c>
      <c r="D90" s="16">
        <f ca="1">ALL!H69</f>
        <v>0</v>
      </c>
      <c r="E90" s="16">
        <f ca="1">ALL!I69</f>
        <v>0</v>
      </c>
      <c r="F90" s="14">
        <f ca="1">ALL!J69</f>
        <v>0</v>
      </c>
      <c r="G90" s="14">
        <f ca="1">ALL!K69</f>
        <v>0</v>
      </c>
      <c r="H90" s="14">
        <f ca="1">ALL!L69</f>
        <v>0</v>
      </c>
      <c r="I90" s="14">
        <f ca="1">ALL!M69</f>
        <v>0</v>
      </c>
      <c r="J90" s="14">
        <f ca="1">ALL!N69</f>
        <v>0</v>
      </c>
      <c r="K90" s="14">
        <f ca="1">ALL!O69</f>
        <v>0</v>
      </c>
      <c r="L90" s="14">
        <f ca="1">ALL!P69</f>
        <v>0</v>
      </c>
      <c r="M90" s="14">
        <f ca="1">ALL!Q69</f>
        <v>0</v>
      </c>
      <c r="N90" s="14">
        <f ca="1">ALL!R69</f>
        <v>0</v>
      </c>
      <c r="O90" s="14">
        <f ca="1">ALL!S69</f>
        <v>0</v>
      </c>
      <c r="P90" s="14">
        <f ca="1">ALL!T69</f>
        <v>0</v>
      </c>
      <c r="Q90" s="14">
        <f ca="1">ALL!U69</f>
        <v>0</v>
      </c>
      <c r="R90" s="14">
        <f ca="1">ALL!V69</f>
        <v>0</v>
      </c>
      <c r="S90" s="14">
        <f ca="1">ALL!W69</f>
        <v>0</v>
      </c>
      <c r="T90" s="14">
        <f ca="1">ALL!X69</f>
        <v>0</v>
      </c>
      <c r="U90" s="14">
        <f ca="1">ALL!Y69</f>
        <v>0</v>
      </c>
      <c r="V90" s="14">
        <f ca="1">ALL!Z69</f>
        <v>0</v>
      </c>
      <c r="W90" s="14">
        <f ca="1">ALL!AA69</f>
        <v>0</v>
      </c>
      <c r="X90" s="14">
        <f ca="1">ALL!AB69</f>
        <v>0</v>
      </c>
      <c r="Y90" s="14">
        <f ca="1">ALL!AC69</f>
        <v>0</v>
      </c>
      <c r="Z90" s="14">
        <f ca="1">ALL!AD69</f>
        <v>0</v>
      </c>
      <c r="AA90" s="14">
        <f ca="1">ALL!AE69</f>
        <v>0</v>
      </c>
      <c r="AB90" s="14">
        <f ca="1">ALL!AF69</f>
        <v>0</v>
      </c>
      <c r="AC90" s="14">
        <f ca="1">ALL!AG69</f>
        <v>0</v>
      </c>
      <c r="AD90" s="14">
        <f ca="1">ALL!AH69</f>
        <v>0</v>
      </c>
      <c r="AE90" s="14">
        <f ca="1">ALL!AI69</f>
        <v>0</v>
      </c>
      <c r="AF90" s="14">
        <f ca="1">ALL!AJ69</f>
        <v>0</v>
      </c>
      <c r="AG90" s="14">
        <f ca="1">ALL!AK69</f>
        <v>0</v>
      </c>
      <c r="AH90" s="14">
        <f ca="1">ALL!AL69</f>
        <v>0</v>
      </c>
      <c r="AI90" s="14">
        <f>ALL!AM69</f>
        <v>0</v>
      </c>
    </row>
    <row r="91" spans="1:35" ht="21.75" hidden="1" outlineLevel="1" thickBot="1" x14ac:dyDescent="0.4">
      <c r="A91" s="36">
        <f>ALL!E70</f>
        <v>0</v>
      </c>
      <c r="B91" s="16">
        <f ca="1">ALL!F70</f>
        <v>0</v>
      </c>
      <c r="C91" s="16">
        <f ca="1">ALL!G70</f>
        <v>0</v>
      </c>
      <c r="D91" s="16">
        <f ca="1">ALL!H70</f>
        <v>0</v>
      </c>
      <c r="E91" s="16">
        <f ca="1">ALL!I70</f>
        <v>0</v>
      </c>
      <c r="F91" s="14">
        <f ca="1">ALL!J70</f>
        <v>0</v>
      </c>
      <c r="G91" s="14">
        <f ca="1">ALL!K70</f>
        <v>0</v>
      </c>
      <c r="H91" s="14">
        <f ca="1">ALL!L70</f>
        <v>0</v>
      </c>
      <c r="I91" s="14">
        <f ca="1">ALL!M70</f>
        <v>0</v>
      </c>
      <c r="J91" s="14">
        <f ca="1">ALL!N70</f>
        <v>0</v>
      </c>
      <c r="K91" s="14">
        <f ca="1">ALL!O70</f>
        <v>0</v>
      </c>
      <c r="L91" s="14">
        <f ca="1">ALL!P70</f>
        <v>0</v>
      </c>
      <c r="M91" s="14">
        <f ca="1">ALL!Q70</f>
        <v>0</v>
      </c>
      <c r="N91" s="14">
        <f ca="1">ALL!R70</f>
        <v>0</v>
      </c>
      <c r="O91" s="14">
        <f ca="1">ALL!S70</f>
        <v>0</v>
      </c>
      <c r="P91" s="14">
        <f ca="1">ALL!T70</f>
        <v>0</v>
      </c>
      <c r="Q91" s="14">
        <f ca="1">ALL!U70</f>
        <v>0</v>
      </c>
      <c r="R91" s="14">
        <f ca="1">ALL!V70</f>
        <v>0</v>
      </c>
      <c r="S91" s="14">
        <f ca="1">ALL!W70</f>
        <v>0</v>
      </c>
      <c r="T91" s="14">
        <f ca="1">ALL!X70</f>
        <v>0</v>
      </c>
      <c r="U91" s="14">
        <f ca="1">ALL!Y70</f>
        <v>0</v>
      </c>
      <c r="V91" s="14">
        <f ca="1">ALL!Z70</f>
        <v>0</v>
      </c>
      <c r="W91" s="14">
        <f ca="1">ALL!AA70</f>
        <v>0</v>
      </c>
      <c r="X91" s="14">
        <f ca="1">ALL!AB70</f>
        <v>0</v>
      </c>
      <c r="Y91" s="14">
        <f ca="1">ALL!AC70</f>
        <v>0</v>
      </c>
      <c r="Z91" s="14">
        <f ca="1">ALL!AD70</f>
        <v>0</v>
      </c>
      <c r="AA91" s="14">
        <f ca="1">ALL!AE70</f>
        <v>0</v>
      </c>
      <c r="AB91" s="14">
        <f ca="1">ALL!AF70</f>
        <v>0</v>
      </c>
      <c r="AC91" s="14">
        <f ca="1">ALL!AG70</f>
        <v>0</v>
      </c>
      <c r="AD91" s="14">
        <f ca="1">ALL!AH70</f>
        <v>0</v>
      </c>
      <c r="AE91" s="14">
        <f ca="1">ALL!AI70</f>
        <v>0</v>
      </c>
      <c r="AF91" s="14">
        <f ca="1">ALL!AJ70</f>
        <v>0</v>
      </c>
      <c r="AG91" s="14">
        <f ca="1">ALL!AK70</f>
        <v>0</v>
      </c>
      <c r="AH91" s="14">
        <f ca="1">ALL!AL70</f>
        <v>0</v>
      </c>
      <c r="AI91" s="14">
        <f>ALL!AM70</f>
        <v>0</v>
      </c>
    </row>
    <row r="92" spans="1:35" ht="21.75" hidden="1" outlineLevel="1" thickBot="1" x14ac:dyDescent="0.4">
      <c r="A92" s="36">
        <f>ALL!E71</f>
        <v>0</v>
      </c>
      <c r="B92" s="16">
        <f ca="1">ALL!F71</f>
        <v>0</v>
      </c>
      <c r="C92" s="16">
        <f ca="1">ALL!G71</f>
        <v>0</v>
      </c>
      <c r="D92" s="16">
        <f ca="1">ALL!H71</f>
        <v>0</v>
      </c>
      <c r="E92" s="16">
        <f ca="1">ALL!I71</f>
        <v>0</v>
      </c>
      <c r="F92" s="14">
        <f ca="1">ALL!J71</f>
        <v>0</v>
      </c>
      <c r="G92" s="14">
        <f ca="1">ALL!K71</f>
        <v>0</v>
      </c>
      <c r="H92" s="14">
        <f ca="1">ALL!L71</f>
        <v>0</v>
      </c>
      <c r="I92" s="14">
        <f ca="1">ALL!M71</f>
        <v>0</v>
      </c>
      <c r="J92" s="14">
        <f ca="1">ALL!N71</f>
        <v>0</v>
      </c>
      <c r="K92" s="14">
        <f ca="1">ALL!O71</f>
        <v>0</v>
      </c>
      <c r="L92" s="14">
        <f ca="1">ALL!P71</f>
        <v>0</v>
      </c>
      <c r="M92" s="14">
        <f ca="1">ALL!Q71</f>
        <v>0</v>
      </c>
      <c r="N92" s="14">
        <f ca="1">ALL!R71</f>
        <v>0</v>
      </c>
      <c r="O92" s="14">
        <f ca="1">ALL!S71</f>
        <v>0</v>
      </c>
      <c r="P92" s="14">
        <f ca="1">ALL!T71</f>
        <v>0</v>
      </c>
      <c r="Q92" s="14">
        <f ca="1">ALL!U71</f>
        <v>0</v>
      </c>
      <c r="R92" s="14">
        <f ca="1">ALL!V71</f>
        <v>0</v>
      </c>
      <c r="S92" s="14">
        <f ca="1">ALL!W71</f>
        <v>0</v>
      </c>
      <c r="T92" s="14">
        <f ca="1">ALL!X71</f>
        <v>0</v>
      </c>
      <c r="U92" s="14">
        <f ca="1">ALL!Y71</f>
        <v>0</v>
      </c>
      <c r="V92" s="14">
        <f ca="1">ALL!Z71</f>
        <v>0</v>
      </c>
      <c r="W92" s="14">
        <f ca="1">ALL!AA71</f>
        <v>0</v>
      </c>
      <c r="X92" s="14">
        <f ca="1">ALL!AB71</f>
        <v>0</v>
      </c>
      <c r="Y92" s="14">
        <f ca="1">ALL!AC71</f>
        <v>0</v>
      </c>
      <c r="Z92" s="14">
        <f ca="1">ALL!AD71</f>
        <v>0</v>
      </c>
      <c r="AA92" s="14">
        <f ca="1">ALL!AE71</f>
        <v>0</v>
      </c>
      <c r="AB92" s="14">
        <f ca="1">ALL!AF71</f>
        <v>0</v>
      </c>
      <c r="AC92" s="14">
        <f ca="1">ALL!AG71</f>
        <v>0</v>
      </c>
      <c r="AD92" s="14">
        <f ca="1">ALL!AH71</f>
        <v>0</v>
      </c>
      <c r="AE92" s="14">
        <f ca="1">ALL!AI71</f>
        <v>0</v>
      </c>
      <c r="AF92" s="14">
        <f ca="1">ALL!AJ71</f>
        <v>0</v>
      </c>
      <c r="AG92" s="14">
        <f ca="1">ALL!AK71</f>
        <v>0</v>
      </c>
      <c r="AH92" s="14">
        <f ca="1">ALL!AL71</f>
        <v>0</v>
      </c>
      <c r="AI92" s="14">
        <f>ALL!AM71</f>
        <v>0</v>
      </c>
    </row>
    <row r="93" spans="1:35" ht="21.75" hidden="1" outlineLevel="1" thickBot="1" x14ac:dyDescent="0.4">
      <c r="A93" s="36">
        <f>ALL!E72</f>
        <v>0</v>
      </c>
      <c r="B93" s="16">
        <f ca="1">ALL!F72</f>
        <v>0</v>
      </c>
      <c r="C93" s="16">
        <f ca="1">ALL!G72</f>
        <v>0</v>
      </c>
      <c r="D93" s="16">
        <f ca="1">ALL!H72</f>
        <v>0</v>
      </c>
      <c r="E93" s="16">
        <f ca="1">ALL!I72</f>
        <v>0</v>
      </c>
      <c r="F93" s="14">
        <f ca="1">ALL!J72</f>
        <v>0</v>
      </c>
      <c r="G93" s="14">
        <f ca="1">ALL!K72</f>
        <v>0</v>
      </c>
      <c r="H93" s="14">
        <f ca="1">ALL!L72</f>
        <v>0</v>
      </c>
      <c r="I93" s="14">
        <f ca="1">ALL!M72</f>
        <v>0</v>
      </c>
      <c r="J93" s="14">
        <f ca="1">ALL!N72</f>
        <v>0</v>
      </c>
      <c r="K93" s="14">
        <f ca="1">ALL!O72</f>
        <v>0</v>
      </c>
      <c r="L93" s="14">
        <f ca="1">ALL!P72</f>
        <v>0</v>
      </c>
      <c r="M93" s="14">
        <f ca="1">ALL!Q72</f>
        <v>0</v>
      </c>
      <c r="N93" s="14">
        <f ca="1">ALL!R72</f>
        <v>0</v>
      </c>
      <c r="O93" s="14">
        <f ca="1">ALL!S72</f>
        <v>0</v>
      </c>
      <c r="P93" s="14">
        <f ca="1">ALL!T72</f>
        <v>0</v>
      </c>
      <c r="Q93" s="14">
        <f ca="1">ALL!U72</f>
        <v>0</v>
      </c>
      <c r="R93" s="14">
        <f ca="1">ALL!V72</f>
        <v>0</v>
      </c>
      <c r="S93" s="14">
        <f ca="1">ALL!W72</f>
        <v>0</v>
      </c>
      <c r="T93" s="14">
        <f ca="1">ALL!X72</f>
        <v>0</v>
      </c>
      <c r="U93" s="14">
        <f ca="1">ALL!Y72</f>
        <v>0</v>
      </c>
      <c r="V93" s="14">
        <f ca="1">ALL!Z72</f>
        <v>0</v>
      </c>
      <c r="W93" s="14">
        <f ca="1">ALL!AA72</f>
        <v>0</v>
      </c>
      <c r="X93" s="14">
        <f ca="1">ALL!AB72</f>
        <v>0</v>
      </c>
      <c r="Y93" s="14">
        <f ca="1">ALL!AC72</f>
        <v>0</v>
      </c>
      <c r="Z93" s="14">
        <f ca="1">ALL!AD72</f>
        <v>0</v>
      </c>
      <c r="AA93" s="14">
        <f ca="1">ALL!AE72</f>
        <v>0</v>
      </c>
      <c r="AB93" s="14">
        <f ca="1">ALL!AF72</f>
        <v>0</v>
      </c>
      <c r="AC93" s="14">
        <f ca="1">ALL!AG72</f>
        <v>0</v>
      </c>
      <c r="AD93" s="14">
        <f ca="1">ALL!AH72</f>
        <v>0</v>
      </c>
      <c r="AE93" s="14">
        <f ca="1">ALL!AI72</f>
        <v>0</v>
      </c>
      <c r="AF93" s="14">
        <f ca="1">ALL!AJ72</f>
        <v>0</v>
      </c>
      <c r="AG93" s="14">
        <f ca="1">ALL!AK72</f>
        <v>0</v>
      </c>
      <c r="AH93" s="14">
        <f ca="1">ALL!AL72</f>
        <v>0</v>
      </c>
      <c r="AI93" s="14">
        <f>ALL!AM72</f>
        <v>0</v>
      </c>
    </row>
    <row r="94" spans="1:35" ht="21.75" hidden="1" outlineLevel="1" thickBot="1" x14ac:dyDescent="0.4">
      <c r="A94" s="36">
        <f>ALL!E73</f>
        <v>0</v>
      </c>
      <c r="B94" s="16">
        <f ca="1">ALL!F73</f>
        <v>0</v>
      </c>
      <c r="C94" s="16">
        <f ca="1">ALL!G73</f>
        <v>0</v>
      </c>
      <c r="D94" s="16">
        <f ca="1">ALL!H73</f>
        <v>0</v>
      </c>
      <c r="E94" s="16">
        <f ca="1">ALL!I73</f>
        <v>0</v>
      </c>
      <c r="F94" s="14">
        <f ca="1">ALL!J73</f>
        <v>0</v>
      </c>
      <c r="G94" s="14">
        <f ca="1">ALL!K73</f>
        <v>0</v>
      </c>
      <c r="H94" s="14">
        <f ca="1">ALL!L73</f>
        <v>0</v>
      </c>
      <c r="I94" s="14">
        <f ca="1">ALL!M73</f>
        <v>0</v>
      </c>
      <c r="J94" s="14">
        <f ca="1">ALL!N73</f>
        <v>0</v>
      </c>
      <c r="K94" s="14">
        <f ca="1">ALL!O73</f>
        <v>0</v>
      </c>
      <c r="L94" s="14">
        <f ca="1">ALL!P73</f>
        <v>0</v>
      </c>
      <c r="M94" s="14">
        <f ca="1">ALL!Q73</f>
        <v>0</v>
      </c>
      <c r="N94" s="14">
        <f ca="1">ALL!R73</f>
        <v>0</v>
      </c>
      <c r="O94" s="14">
        <f ca="1">ALL!S73</f>
        <v>0</v>
      </c>
      <c r="P94" s="14">
        <f ca="1">ALL!T73</f>
        <v>0</v>
      </c>
      <c r="Q94" s="14">
        <f ca="1">ALL!U73</f>
        <v>0</v>
      </c>
      <c r="R94" s="14">
        <f ca="1">ALL!V73</f>
        <v>0</v>
      </c>
      <c r="S94" s="14">
        <f ca="1">ALL!W73</f>
        <v>0</v>
      </c>
      <c r="T94" s="14">
        <f ca="1">ALL!X73</f>
        <v>0</v>
      </c>
      <c r="U94" s="14">
        <f ca="1">ALL!Y73</f>
        <v>0</v>
      </c>
      <c r="V94" s="14">
        <f ca="1">ALL!Z73</f>
        <v>0</v>
      </c>
      <c r="W94" s="14">
        <f ca="1">ALL!AA73</f>
        <v>0</v>
      </c>
      <c r="X94" s="14">
        <f ca="1">ALL!AB73</f>
        <v>0</v>
      </c>
      <c r="Y94" s="14">
        <f ca="1">ALL!AC73</f>
        <v>0</v>
      </c>
      <c r="Z94" s="14">
        <f ca="1">ALL!AD73</f>
        <v>0</v>
      </c>
      <c r="AA94" s="14">
        <f ca="1">ALL!AE73</f>
        <v>0</v>
      </c>
      <c r="AB94" s="14">
        <f ca="1">ALL!AF73</f>
        <v>0</v>
      </c>
      <c r="AC94" s="14">
        <f ca="1">ALL!AG73</f>
        <v>0</v>
      </c>
      <c r="AD94" s="14">
        <f ca="1">ALL!AH73</f>
        <v>0</v>
      </c>
      <c r="AE94" s="14">
        <f ca="1">ALL!AI73</f>
        <v>0</v>
      </c>
      <c r="AF94" s="14">
        <f ca="1">ALL!AJ73</f>
        <v>0</v>
      </c>
      <c r="AG94" s="14">
        <f ca="1">ALL!AK73</f>
        <v>0</v>
      </c>
      <c r="AH94" s="14">
        <f ca="1">ALL!AL73</f>
        <v>0</v>
      </c>
      <c r="AI94" s="14">
        <f>ALL!AM73</f>
        <v>0</v>
      </c>
    </row>
    <row r="95" spans="1:35" ht="21.75" hidden="1" outlineLevel="1" thickBot="1" x14ac:dyDescent="0.4">
      <c r="A95" s="36">
        <f>ALL!E74</f>
        <v>0</v>
      </c>
      <c r="B95" s="16">
        <f ca="1">ALL!F74</f>
        <v>0</v>
      </c>
      <c r="C95" s="16">
        <f ca="1">ALL!G74</f>
        <v>0</v>
      </c>
      <c r="D95" s="16">
        <f ca="1">ALL!H74</f>
        <v>0</v>
      </c>
      <c r="E95" s="16">
        <f ca="1">ALL!I74</f>
        <v>0</v>
      </c>
      <c r="F95" s="14">
        <f ca="1">ALL!J74</f>
        <v>0</v>
      </c>
      <c r="G95" s="14">
        <f ca="1">ALL!K74</f>
        <v>0</v>
      </c>
      <c r="H95" s="14">
        <f ca="1">ALL!L74</f>
        <v>0</v>
      </c>
      <c r="I95" s="14">
        <f ca="1">ALL!M74</f>
        <v>0</v>
      </c>
      <c r="J95" s="14">
        <f ca="1">ALL!N74</f>
        <v>0</v>
      </c>
      <c r="K95" s="14">
        <f ca="1">ALL!O74</f>
        <v>0</v>
      </c>
      <c r="L95" s="14">
        <f ca="1">ALL!P74</f>
        <v>0</v>
      </c>
      <c r="M95" s="14">
        <f ca="1">ALL!Q74</f>
        <v>0</v>
      </c>
      <c r="N95" s="14">
        <f ca="1">ALL!R74</f>
        <v>0</v>
      </c>
      <c r="O95" s="14">
        <f ca="1">ALL!S74</f>
        <v>0</v>
      </c>
      <c r="P95" s="14">
        <f ca="1">ALL!T74</f>
        <v>0</v>
      </c>
      <c r="Q95" s="14">
        <f ca="1">ALL!U74</f>
        <v>0</v>
      </c>
      <c r="R95" s="14">
        <f ca="1">ALL!V74</f>
        <v>0</v>
      </c>
      <c r="S95" s="14">
        <f ca="1">ALL!W74</f>
        <v>0</v>
      </c>
      <c r="T95" s="14">
        <f ca="1">ALL!X74</f>
        <v>0</v>
      </c>
      <c r="U95" s="14">
        <f ca="1">ALL!Y74</f>
        <v>0</v>
      </c>
      <c r="V95" s="14">
        <f ca="1">ALL!Z74</f>
        <v>0</v>
      </c>
      <c r="W95" s="14">
        <f ca="1">ALL!AA74</f>
        <v>0</v>
      </c>
      <c r="X95" s="14">
        <f ca="1">ALL!AB74</f>
        <v>0</v>
      </c>
      <c r="Y95" s="14">
        <f ca="1">ALL!AC74</f>
        <v>0</v>
      </c>
      <c r="Z95" s="14">
        <f ca="1">ALL!AD74</f>
        <v>0</v>
      </c>
      <c r="AA95" s="14">
        <f ca="1">ALL!AE74</f>
        <v>0</v>
      </c>
      <c r="AB95" s="14">
        <f ca="1">ALL!AF74</f>
        <v>0</v>
      </c>
      <c r="AC95" s="14">
        <f ca="1">ALL!AG74</f>
        <v>0</v>
      </c>
      <c r="AD95" s="14">
        <f ca="1">ALL!AH74</f>
        <v>0</v>
      </c>
      <c r="AE95" s="14">
        <f ca="1">ALL!AI74</f>
        <v>0</v>
      </c>
      <c r="AF95" s="14">
        <f ca="1">ALL!AJ74</f>
        <v>0</v>
      </c>
      <c r="AG95" s="14">
        <f ca="1">ALL!AK74</f>
        <v>0</v>
      </c>
      <c r="AH95" s="14">
        <f ca="1">ALL!AL74</f>
        <v>0</v>
      </c>
      <c r="AI95" s="14">
        <f>ALL!AM74</f>
        <v>0</v>
      </c>
    </row>
    <row r="96" spans="1:35" ht="21.75" hidden="1" outlineLevel="1" thickBot="1" x14ac:dyDescent="0.4">
      <c r="A96" s="36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ALL!AM75</f>
        <v>0</v>
      </c>
    </row>
    <row r="97" spans="1:94" ht="21.75" collapsed="1" thickTop="1" x14ac:dyDescent="0.35">
      <c r="A97" s="188" t="s">
        <v>10</v>
      </c>
      <c r="B97" s="189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</row>
    <row r="98" spans="1:94" x14ac:dyDescent="0.35">
      <c r="A98" s="21">
        <f>Values!B1</f>
        <v>700</v>
      </c>
      <c r="B98" s="53">
        <f>MIN(B100:CP154)</f>
        <v>0</v>
      </c>
    </row>
    <row r="99" spans="1:94" ht="21.75" thickBot="1" x14ac:dyDescent="0.4">
      <c r="A99" s="22">
        <f>A98</f>
        <v>700</v>
      </c>
      <c r="B99" s="54">
        <v>0</v>
      </c>
    </row>
    <row r="100" spans="1:94" ht="22.5" thickTop="1" thickBot="1" x14ac:dyDescent="0.4">
      <c r="A100" s="4"/>
      <c r="B100" s="69"/>
      <c r="C100" s="69"/>
      <c r="D100" s="69"/>
      <c r="E100" s="69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ht="22.5" thickTop="1" thickBot="1" x14ac:dyDescent="0.4">
      <c r="A101" s="18"/>
    </row>
    <row r="102" spans="1:94" ht="21.75" thickBot="1" x14ac:dyDescent="0.4">
      <c r="A102" s="18"/>
    </row>
    <row r="103" spans="1:94" ht="21.75" thickBot="1" x14ac:dyDescent="0.4">
      <c r="A103" s="18"/>
    </row>
    <row r="104" spans="1:94" ht="21.75" thickBot="1" x14ac:dyDescent="0.4">
      <c r="A104" s="18"/>
    </row>
    <row r="105" spans="1:94" ht="21.75" thickBot="1" x14ac:dyDescent="0.4">
      <c r="A105" s="18"/>
    </row>
    <row r="106" spans="1:94" ht="21.75" thickBot="1" x14ac:dyDescent="0.4">
      <c r="A106" s="18"/>
    </row>
    <row r="107" spans="1:94" ht="21.75" thickBot="1" x14ac:dyDescent="0.4">
      <c r="A107" s="18"/>
    </row>
    <row r="108" spans="1:94" ht="21.75" thickBot="1" x14ac:dyDescent="0.4">
      <c r="A108" s="18"/>
    </row>
    <row r="109" spans="1:94" ht="21.75" thickBot="1" x14ac:dyDescent="0.4">
      <c r="A109" s="18"/>
    </row>
    <row r="110" spans="1:94" ht="21.75" thickBot="1" x14ac:dyDescent="0.4">
      <c r="A110" s="18"/>
    </row>
    <row r="111" spans="1:94" ht="21.75" thickBot="1" x14ac:dyDescent="0.4">
      <c r="A111" s="18"/>
    </row>
    <row r="112" spans="1:94" ht="21.75" thickBot="1" x14ac:dyDescent="0.4">
      <c r="A112" s="18"/>
    </row>
    <row r="113" spans="1:1" ht="21.75" hidden="1" thickBot="1" x14ac:dyDescent="0.4">
      <c r="A113" s="18"/>
    </row>
    <row r="114" spans="1:1" ht="21.75" hidden="1" thickBot="1" x14ac:dyDescent="0.4">
      <c r="A114" s="18"/>
    </row>
    <row r="115" spans="1:1" ht="21.75" hidden="1" thickBot="1" x14ac:dyDescent="0.4">
      <c r="A115" s="18"/>
    </row>
    <row r="116" spans="1:1" ht="21.75" hidden="1" thickBot="1" x14ac:dyDescent="0.4">
      <c r="A116" s="18"/>
    </row>
    <row r="117" spans="1:1" ht="21.75" hidden="1" thickBot="1" x14ac:dyDescent="0.4">
      <c r="A117" s="18"/>
    </row>
    <row r="118" spans="1:1" ht="21.75" hidden="1" thickBot="1" x14ac:dyDescent="0.4">
      <c r="A118" s="18"/>
    </row>
    <row r="119" spans="1:1" ht="21.75" hidden="1" thickBot="1" x14ac:dyDescent="0.4">
      <c r="A119" s="18"/>
    </row>
    <row r="120" spans="1:1" ht="21.75" hidden="1" thickBot="1" x14ac:dyDescent="0.4">
      <c r="A120" s="18"/>
    </row>
    <row r="121" spans="1:1" ht="21.75" hidden="1" thickBot="1" x14ac:dyDescent="0.4">
      <c r="A121" s="18"/>
    </row>
    <row r="122" spans="1:1" ht="21.75" hidden="1" thickBot="1" x14ac:dyDescent="0.4">
      <c r="A122" s="18"/>
    </row>
    <row r="123" spans="1:1" ht="21.75" hidden="1" thickBot="1" x14ac:dyDescent="0.4">
      <c r="A123" s="18"/>
    </row>
    <row r="124" spans="1:1" ht="21.75" hidden="1" thickBot="1" x14ac:dyDescent="0.4">
      <c r="A124" s="18"/>
    </row>
    <row r="125" spans="1:1" ht="21.75" hidden="1" thickBot="1" x14ac:dyDescent="0.4">
      <c r="A125" s="18"/>
    </row>
    <row r="126" spans="1:1" ht="21.75" hidden="1" thickBot="1" x14ac:dyDescent="0.4">
      <c r="A126" s="18"/>
    </row>
    <row r="127" spans="1:1" ht="21.75" hidden="1" thickBot="1" x14ac:dyDescent="0.4">
      <c r="A127" s="18"/>
    </row>
    <row r="128" spans="1:1" ht="21.75" hidden="1" thickBot="1" x14ac:dyDescent="0.4">
      <c r="A128" s="18"/>
    </row>
    <row r="129" spans="1:1" ht="21.75" hidden="1" thickBot="1" x14ac:dyDescent="0.4">
      <c r="A129" s="18"/>
    </row>
    <row r="130" spans="1:1" ht="21.75" hidden="1" thickBot="1" x14ac:dyDescent="0.4">
      <c r="A130" s="18"/>
    </row>
    <row r="131" spans="1:1" ht="21.75" thickBot="1" x14ac:dyDescent="0.4"/>
    <row r="132" spans="1:1" ht="21.75" thickBot="1" x14ac:dyDescent="0.4">
      <c r="A132" s="18"/>
    </row>
    <row r="133" spans="1:1" ht="21.75" thickBot="1" x14ac:dyDescent="0.4">
      <c r="A133" s="18"/>
    </row>
    <row r="134" spans="1:1" ht="21.75" thickBot="1" x14ac:dyDescent="0.4">
      <c r="A134" s="18"/>
    </row>
    <row r="135" spans="1:1" ht="21.75" thickBot="1" x14ac:dyDescent="0.4">
      <c r="A135" s="18"/>
    </row>
    <row r="136" spans="1:1" ht="21.75" thickBot="1" x14ac:dyDescent="0.4">
      <c r="A136" s="18"/>
    </row>
    <row r="137" spans="1:1" ht="21.75" thickBot="1" x14ac:dyDescent="0.4">
      <c r="A137" s="18"/>
    </row>
    <row r="138" spans="1:1" ht="21.75" thickBot="1" x14ac:dyDescent="0.4">
      <c r="A138" s="18"/>
    </row>
    <row r="139" spans="1:1" ht="21.75" thickBot="1" x14ac:dyDescent="0.4">
      <c r="A139" s="18"/>
    </row>
    <row r="140" spans="1:1" ht="21.75" thickBot="1" x14ac:dyDescent="0.4">
      <c r="A140" s="18"/>
    </row>
    <row r="141" spans="1:1" ht="21.75" thickBot="1" x14ac:dyDescent="0.4">
      <c r="A141" s="18"/>
    </row>
    <row r="142" spans="1:1" ht="21.75" thickBot="1" x14ac:dyDescent="0.4">
      <c r="A142" s="18"/>
    </row>
    <row r="143" spans="1:1" ht="21.75" thickBot="1" x14ac:dyDescent="0.4">
      <c r="A143" s="18"/>
    </row>
    <row r="144" spans="1:1" ht="21.75" thickBot="1" x14ac:dyDescent="0.4">
      <c r="A144" s="18"/>
    </row>
    <row r="145" spans="1:1" ht="21.75" thickBot="1" x14ac:dyDescent="0.4">
      <c r="A145" s="18"/>
    </row>
    <row r="146" spans="1:1" ht="21.75" thickBot="1" x14ac:dyDescent="0.4">
      <c r="A146" s="18"/>
    </row>
    <row r="147" spans="1:1" ht="21.75" thickBot="1" x14ac:dyDescent="0.4">
      <c r="A147" s="18"/>
    </row>
    <row r="148" spans="1:1" ht="21.75" thickBot="1" x14ac:dyDescent="0.4">
      <c r="A148" s="18"/>
    </row>
    <row r="149" spans="1:1" ht="21.75" thickBot="1" x14ac:dyDescent="0.4">
      <c r="A149" s="18"/>
    </row>
    <row r="150" spans="1:1" ht="21.75" thickBot="1" x14ac:dyDescent="0.4">
      <c r="A150" s="18"/>
    </row>
    <row r="151" spans="1:1" ht="21.75" thickBot="1" x14ac:dyDescent="0.4">
      <c r="A151" s="18"/>
    </row>
    <row r="152" spans="1:1" ht="21.75" thickBot="1" x14ac:dyDescent="0.4">
      <c r="A152" s="18"/>
    </row>
    <row r="153" spans="1:1" ht="21.75" thickBot="1" x14ac:dyDescent="0.4">
      <c r="A153" s="18"/>
    </row>
    <row r="154" spans="1:1" ht="21.75" thickBot="1" x14ac:dyDescent="0.4">
      <c r="A154" s="18"/>
    </row>
    <row r="155" spans="1:1" ht="21.75" thickBot="1" x14ac:dyDescent="0.4">
      <c r="A155" s="18"/>
    </row>
    <row r="156" spans="1:1" ht="21.75" thickBot="1" x14ac:dyDescent="0.4">
      <c r="A156" s="18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95</xdr:col>
                    <xdr:colOff>676275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N22"/>
  <sheetViews>
    <sheetView workbookViewId="0">
      <pane xSplit="1" topLeftCell="B1" activePane="topRight" state="frozen"/>
      <selection pane="topRight" activeCell="B1" sqref="B1:N20"/>
    </sheetView>
  </sheetViews>
  <sheetFormatPr defaultRowHeight="21" x14ac:dyDescent="0.35"/>
  <cols>
    <col min="1" max="1" width="4.81640625" customWidth="1"/>
  </cols>
  <sheetData>
    <row r="1" spans="1:14" ht="28.5" x14ac:dyDescent="0.45">
      <c r="A1" s="45">
        <v>1</v>
      </c>
      <c r="B1" s="55"/>
      <c r="C1" s="55">
        <v>273.10000000000002</v>
      </c>
      <c r="D1" s="55">
        <v>339.2</v>
      </c>
      <c r="E1" s="55">
        <v>405.3</v>
      </c>
      <c r="F1" s="55">
        <v>471.4</v>
      </c>
      <c r="G1" s="55">
        <v>537.5</v>
      </c>
      <c r="H1" s="55">
        <v>603.5</v>
      </c>
      <c r="I1" s="55">
        <v>669.6</v>
      </c>
      <c r="J1" s="55">
        <v>735.7</v>
      </c>
      <c r="K1" s="55">
        <v>801.8</v>
      </c>
      <c r="L1" s="55">
        <v>867.8</v>
      </c>
      <c r="M1">
        <v>933.9</v>
      </c>
      <c r="N1">
        <v>1000</v>
      </c>
    </row>
    <row r="2" spans="1:14" ht="21.75" customHeight="1" x14ac:dyDescent="0.35">
      <c r="A2" s="46" t="s">
        <v>31</v>
      </c>
      <c r="B2" s="161" t="s">
        <v>85</v>
      </c>
      <c r="C2" s="163">
        <v>2.2242000000000002E-8</v>
      </c>
      <c r="D2" s="163">
        <v>2.2247999999999998E-8</v>
      </c>
      <c r="E2" s="163">
        <v>2.3671999999999998E-8</v>
      </c>
      <c r="F2" s="163">
        <v>3.2255E-8</v>
      </c>
      <c r="G2" s="163">
        <v>2.6537000000000001E-8</v>
      </c>
      <c r="H2" s="163">
        <v>3.1168999999999999E-8</v>
      </c>
      <c r="I2" s="163">
        <v>8.4434E-8</v>
      </c>
      <c r="J2" s="163">
        <v>1.8601999999999999E-7</v>
      </c>
      <c r="K2" s="163">
        <v>3.1254000000000002E-7</v>
      </c>
      <c r="L2" s="163">
        <v>2.2541999999999999E-7</v>
      </c>
      <c r="M2" s="163">
        <v>7.5778000000000005E-8</v>
      </c>
      <c r="N2" s="163">
        <v>1.4534E-8</v>
      </c>
    </row>
    <row r="3" spans="1:14" x14ac:dyDescent="0.35">
      <c r="B3" s="162" t="s">
        <v>90</v>
      </c>
      <c r="C3" s="163">
        <v>2.7272000000000002E-25</v>
      </c>
      <c r="D3" s="163">
        <v>4.1284999999999998E-19</v>
      </c>
      <c r="E3" s="163">
        <v>4.7402E-15</v>
      </c>
      <c r="F3" s="163">
        <v>3.3996000000000002E-12</v>
      </c>
      <c r="G3" s="163">
        <v>4.5457000000000001E-10</v>
      </c>
      <c r="H3" s="163">
        <v>2.3800999999999999E-8</v>
      </c>
      <c r="I3" s="163">
        <v>7.5532000000000002E-7</v>
      </c>
      <c r="J3" s="163">
        <v>1.1523E-5</v>
      </c>
      <c r="K3" s="163">
        <v>9.4486000000000003E-5</v>
      </c>
      <c r="L3" s="163">
        <v>4.8326E-4</v>
      </c>
      <c r="M3" s="163">
        <v>1.4422E-3</v>
      </c>
      <c r="N3" s="163">
        <v>2.5249999999999999E-3</v>
      </c>
    </row>
    <row r="4" spans="1:14" x14ac:dyDescent="0.35">
      <c r="B4" s="161" t="s">
        <v>91</v>
      </c>
      <c r="C4" s="163">
        <v>2.8659000000000002E-23</v>
      </c>
      <c r="D4" s="163">
        <v>1.0815E-17</v>
      </c>
      <c r="E4" s="163">
        <v>4.5689999999999999E-14</v>
      </c>
      <c r="F4" s="163">
        <v>1.5355000000000002E-11</v>
      </c>
      <c r="G4" s="163">
        <v>1.1383999999999999E-9</v>
      </c>
      <c r="H4" s="163">
        <v>3.8416999999999999E-8</v>
      </c>
      <c r="I4" s="163">
        <v>9.1559000000000001E-7</v>
      </c>
      <c r="J4" s="163">
        <v>1.0886999999999999E-5</v>
      </c>
      <c r="K4" s="163">
        <v>6.9212000000000001E-5</v>
      </c>
      <c r="L4" s="163">
        <v>2.6913000000000002E-4</v>
      </c>
      <c r="M4" s="163">
        <v>5.6862000000000004E-4</v>
      </c>
      <c r="N4" s="163">
        <v>6.5127000000000002E-4</v>
      </c>
    </row>
    <row r="5" spans="1:14" x14ac:dyDescent="0.35">
      <c r="B5" s="162" t="s">
        <v>92</v>
      </c>
      <c r="C5" s="163">
        <v>8.2633000000000005E-20</v>
      </c>
      <c r="D5" s="163">
        <v>1.0203E-14</v>
      </c>
      <c r="E5" s="163">
        <v>1.9250000000000001E-11</v>
      </c>
      <c r="F5" s="163">
        <v>3.5040999999999999E-9</v>
      </c>
      <c r="G5" s="163">
        <v>1.6116E-7</v>
      </c>
      <c r="H5" s="163">
        <v>3.8342999999999999E-6</v>
      </c>
      <c r="I5" s="163">
        <v>7.3837999999999993E-5</v>
      </c>
      <c r="J5" s="163">
        <v>7.2721000000000005E-4</v>
      </c>
      <c r="K5" s="163">
        <v>3.7735999999999998E-3</v>
      </c>
      <c r="L5" s="163">
        <v>1.1657000000000001E-2</v>
      </c>
      <c r="M5" s="163">
        <v>1.8113000000000001E-2</v>
      </c>
      <c r="N5" s="163">
        <v>1.4031E-2</v>
      </c>
    </row>
    <row r="6" spans="1:14" x14ac:dyDescent="0.35">
      <c r="B6" s="161" t="s">
        <v>93</v>
      </c>
      <c r="C6" s="163">
        <v>3.1684999999999997E-17</v>
      </c>
      <c r="D6" s="163">
        <v>5.6344999999999999E-13</v>
      </c>
      <c r="E6" s="163">
        <v>2.7184000000000001E-10</v>
      </c>
      <c r="F6" s="163">
        <v>1.7900999999999999E-8</v>
      </c>
      <c r="G6" s="163">
        <v>3.7619999999999999E-7</v>
      </c>
      <c r="H6" s="163">
        <v>4.9656000000000004E-6</v>
      </c>
      <c r="I6" s="163">
        <v>6.3712000000000003E-5</v>
      </c>
      <c r="J6" s="163">
        <v>4.4351999999999998E-4</v>
      </c>
      <c r="K6" s="163">
        <v>1.6451E-3</v>
      </c>
      <c r="L6" s="163">
        <v>3.6072999999999999E-3</v>
      </c>
      <c r="M6" s="163">
        <v>3.7415999999999999E-3</v>
      </c>
      <c r="N6" s="163">
        <v>1.802E-3</v>
      </c>
    </row>
    <row r="7" spans="1:14" x14ac:dyDescent="0.35">
      <c r="B7" s="162" t="s">
        <v>96</v>
      </c>
      <c r="C7" s="163">
        <v>2.7152E-18</v>
      </c>
      <c r="D7" s="163">
        <v>8.4466000000000006E-14</v>
      </c>
      <c r="E7" s="163">
        <v>5.5933000000000001E-11</v>
      </c>
      <c r="F7" s="163">
        <v>4.4589999999999996E-9</v>
      </c>
      <c r="G7" s="163">
        <v>1.064E-7</v>
      </c>
      <c r="H7" s="163">
        <v>1.5854000000000001E-6</v>
      </c>
      <c r="I7" s="163">
        <v>2.3963000000000001E-5</v>
      </c>
      <c r="J7" s="163">
        <v>1.8815999999999999E-4</v>
      </c>
      <c r="K7" s="163">
        <v>7.3693999999999995E-4</v>
      </c>
      <c r="L7" s="163">
        <v>1.5964E-3</v>
      </c>
      <c r="M7" s="163">
        <v>1.4679999999999999E-3</v>
      </c>
      <c r="N7" s="163">
        <v>5.6232000000000005E-4</v>
      </c>
    </row>
    <row r="8" spans="1:14" x14ac:dyDescent="0.35">
      <c r="B8" s="161" t="s">
        <v>94</v>
      </c>
      <c r="C8" s="163">
        <v>4.8741E-20</v>
      </c>
      <c r="D8" s="163">
        <v>2.3718E-15</v>
      </c>
      <c r="E8" s="163">
        <v>2.0010000000000001E-12</v>
      </c>
      <c r="F8" s="163">
        <v>1.8312999999999999E-10</v>
      </c>
      <c r="G8" s="163">
        <v>4.7675000000000003E-9</v>
      </c>
      <c r="H8" s="163">
        <v>7.7751000000000006E-8</v>
      </c>
      <c r="I8" s="163">
        <v>1.3506E-6</v>
      </c>
      <c r="J8" s="163">
        <v>1.1721E-5</v>
      </c>
      <c r="K8" s="163">
        <v>4.7664999999999998E-5</v>
      </c>
      <c r="L8" s="163">
        <v>1.0056E-4</v>
      </c>
      <c r="M8" s="163">
        <v>8.0994000000000004E-5</v>
      </c>
      <c r="N8" s="163">
        <v>2.4414E-5</v>
      </c>
    </row>
    <row r="9" spans="1:14" x14ac:dyDescent="0.35">
      <c r="B9" s="161" t="s">
        <v>95</v>
      </c>
      <c r="C9" s="163">
        <v>3.8015999999999999E-20</v>
      </c>
      <c r="D9" s="163">
        <v>4.4898999999999999E-15</v>
      </c>
      <c r="E9" s="163">
        <v>1.0205E-11</v>
      </c>
      <c r="F9" s="163">
        <v>2.4292999999999999E-9</v>
      </c>
      <c r="G9" s="163">
        <v>1.4644000000000001E-7</v>
      </c>
      <c r="H9" s="163">
        <v>4.0779999999999997E-6</v>
      </c>
      <c r="I9" s="163">
        <v>7.3652000000000006E-5</v>
      </c>
      <c r="J9" s="163">
        <v>7.2294000000000004E-4</v>
      </c>
      <c r="K9" s="163">
        <v>4.3204000000000003E-3</v>
      </c>
      <c r="L9" s="163">
        <v>1.7999999999999999E-2</v>
      </c>
      <c r="M9" s="163">
        <v>5.0483E-2</v>
      </c>
      <c r="N9" s="163">
        <v>9.5179E-2</v>
      </c>
    </row>
    <row r="10" spans="1:14" x14ac:dyDescent="0.35">
      <c r="B10" s="162" t="s">
        <v>2</v>
      </c>
      <c r="C10" s="163">
        <v>0</v>
      </c>
      <c r="D10" s="163">
        <v>5.7083999999999999E-31</v>
      </c>
      <c r="E10" s="163">
        <v>3.8909000000000002E-25</v>
      </c>
      <c r="F10" s="163">
        <v>5.8823999999999999E-21</v>
      </c>
      <c r="G10" s="163">
        <v>8.3353999999999996E-18</v>
      </c>
      <c r="H10" s="163">
        <v>2.6978000000000002E-15</v>
      </c>
      <c r="I10" s="163">
        <v>3.2924999999999999E-13</v>
      </c>
      <c r="J10" s="163">
        <v>1.5834000000000001E-11</v>
      </c>
      <c r="K10" s="163">
        <v>3.7623E-10</v>
      </c>
      <c r="L10" s="163">
        <v>5.3875000000000003E-9</v>
      </c>
      <c r="M10" s="163">
        <v>4.8953000000000002E-8</v>
      </c>
      <c r="N10" s="163">
        <v>2.9139999999999998E-7</v>
      </c>
    </row>
    <row r="11" spans="1:14" x14ac:dyDescent="0.35">
      <c r="B11" s="161" t="s">
        <v>82</v>
      </c>
      <c r="C11" s="163">
        <v>2.4508999999999998E-10</v>
      </c>
      <c r="D11" s="163">
        <v>2.5343000000000001E-7</v>
      </c>
      <c r="E11" s="163">
        <v>2.336E-5</v>
      </c>
      <c r="F11" s="163">
        <v>5.4794999999999996E-4</v>
      </c>
      <c r="G11" s="163">
        <v>5.5066999999999998E-3</v>
      </c>
      <c r="H11" s="163">
        <v>3.0283000000000001E-2</v>
      </c>
      <c r="I11" s="163">
        <v>7.9266000000000003E-2</v>
      </c>
      <c r="J11" s="163">
        <v>0.10901</v>
      </c>
      <c r="K11" s="163">
        <v>0.12328</v>
      </c>
      <c r="L11" s="163">
        <v>0.1318</v>
      </c>
      <c r="M11" s="163">
        <v>0.13641</v>
      </c>
      <c r="N11" s="163">
        <v>0.13813</v>
      </c>
    </row>
    <row r="12" spans="1:14" x14ac:dyDescent="0.35">
      <c r="B12" s="162" t="s">
        <v>1</v>
      </c>
      <c r="C12" s="163">
        <v>0.2</v>
      </c>
      <c r="D12" s="163">
        <v>0.2</v>
      </c>
      <c r="E12" s="163">
        <v>0.2</v>
      </c>
      <c r="F12" s="163">
        <v>0.2</v>
      </c>
      <c r="G12" s="163">
        <v>0.2</v>
      </c>
      <c r="H12" s="163">
        <v>0.2</v>
      </c>
      <c r="I12" s="163">
        <v>0.2</v>
      </c>
      <c r="J12" s="163">
        <v>0.2</v>
      </c>
      <c r="K12" s="163">
        <v>0.2</v>
      </c>
      <c r="L12" s="163">
        <v>0.2</v>
      </c>
      <c r="M12" s="163">
        <v>0.2</v>
      </c>
      <c r="N12" s="163">
        <v>0.2</v>
      </c>
    </row>
    <row r="13" spans="1:14" x14ac:dyDescent="0.35">
      <c r="B13" s="161" t="s">
        <v>84</v>
      </c>
      <c r="C13" s="163">
        <v>0.28000000000000003</v>
      </c>
      <c r="D13" s="163">
        <v>0.28000000000000003</v>
      </c>
      <c r="E13" s="163">
        <v>0.27994999999999998</v>
      </c>
      <c r="F13" s="163">
        <v>0.27889999999999998</v>
      </c>
      <c r="G13" s="163">
        <v>0.26899000000000001</v>
      </c>
      <c r="H13" s="163">
        <v>0.21942999999999999</v>
      </c>
      <c r="I13" s="163">
        <v>0.12146999999999999</v>
      </c>
      <c r="J13" s="163">
        <v>6.1982000000000002E-2</v>
      </c>
      <c r="K13" s="163">
        <v>3.3440999999999999E-2</v>
      </c>
      <c r="L13" s="163">
        <v>1.6393000000000001E-2</v>
      </c>
      <c r="M13" s="163">
        <v>7.1728E-3</v>
      </c>
      <c r="N13" s="163">
        <v>3.7469000000000001E-3</v>
      </c>
    </row>
    <row r="14" spans="1:14" x14ac:dyDescent="0.35">
      <c r="B14" s="162" t="s">
        <v>86</v>
      </c>
      <c r="C14" s="163">
        <v>0.04</v>
      </c>
      <c r="D14" s="163">
        <v>0.04</v>
      </c>
      <c r="E14" s="163">
        <v>0.04</v>
      </c>
      <c r="F14" s="163">
        <v>0.04</v>
      </c>
      <c r="G14" s="163">
        <v>0.04</v>
      </c>
      <c r="H14" s="163">
        <v>0.04</v>
      </c>
      <c r="I14" s="163">
        <v>0.04</v>
      </c>
      <c r="J14" s="163">
        <v>0.04</v>
      </c>
      <c r="K14" s="163">
        <v>0.04</v>
      </c>
      <c r="L14" s="163">
        <v>0.04</v>
      </c>
      <c r="M14" s="163">
        <v>0.04</v>
      </c>
      <c r="N14" s="163">
        <v>0.04</v>
      </c>
    </row>
    <row r="15" spans="1:14" x14ac:dyDescent="0.35">
      <c r="B15" s="161" t="s">
        <v>87</v>
      </c>
      <c r="C15" s="163">
        <v>0.48</v>
      </c>
      <c r="D15" s="163">
        <v>0.48</v>
      </c>
      <c r="E15" s="163">
        <v>0.47998000000000002</v>
      </c>
      <c r="F15" s="163">
        <v>0.47944999999999999</v>
      </c>
      <c r="G15" s="163">
        <v>0.47449000000000002</v>
      </c>
      <c r="H15" s="163">
        <v>0.44964999999999999</v>
      </c>
      <c r="I15" s="163">
        <v>0.39965000000000001</v>
      </c>
      <c r="J15" s="163">
        <v>0.36176000000000003</v>
      </c>
      <c r="K15" s="163">
        <v>0.31324000000000002</v>
      </c>
      <c r="L15" s="163">
        <v>0.21776000000000001</v>
      </c>
      <c r="M15" s="163">
        <v>0.11208</v>
      </c>
      <c r="N15" s="163">
        <v>5.6237000000000002E-2</v>
      </c>
    </row>
    <row r="16" spans="1:14" x14ac:dyDescent="0.35">
      <c r="B16" s="161" t="s">
        <v>88</v>
      </c>
      <c r="C16" s="163">
        <v>-18.62</v>
      </c>
      <c r="D16" s="163">
        <v>-18.63</v>
      </c>
      <c r="E16" s="163">
        <v>-18.72</v>
      </c>
      <c r="F16" s="163">
        <v>-18.84</v>
      </c>
      <c r="G16" s="163">
        <v>-19</v>
      </c>
      <c r="H16" s="163">
        <v>-19.25</v>
      </c>
      <c r="I16" s="163">
        <v>-19.579999999999998</v>
      </c>
      <c r="J16" s="163">
        <v>-19.82</v>
      </c>
      <c r="K16" s="163">
        <v>-20.03</v>
      </c>
      <c r="L16" s="163">
        <v>-20.25</v>
      </c>
      <c r="M16" s="163">
        <v>-20.49</v>
      </c>
      <c r="N16" s="163">
        <v>-20.7</v>
      </c>
    </row>
    <row r="17" spans="1:14" x14ac:dyDescent="0.35">
      <c r="B17" s="162" t="s">
        <v>69</v>
      </c>
      <c r="C17" s="163">
        <v>-5.7169999999999996</v>
      </c>
      <c r="D17" s="163">
        <v>-6.2089999999999996</v>
      </c>
      <c r="E17" s="163">
        <v>-6.649</v>
      </c>
      <c r="F17" s="163">
        <v>-7.0430000000000001</v>
      </c>
      <c r="G17" s="163">
        <v>-7.4130000000000003</v>
      </c>
      <c r="H17" s="163">
        <v>-7.835</v>
      </c>
      <c r="I17" s="163">
        <v>-8.4830000000000005</v>
      </c>
      <c r="J17" s="163">
        <v>-9.234</v>
      </c>
      <c r="K17" s="163">
        <v>-9.9160000000000004</v>
      </c>
      <c r="L17" s="163">
        <v>-10.51</v>
      </c>
      <c r="M17" s="163">
        <v>-11.01</v>
      </c>
      <c r="N17" s="163">
        <v>-11.39</v>
      </c>
    </row>
    <row r="18" spans="1:14" x14ac:dyDescent="0.35">
      <c r="B18" s="161" t="s">
        <v>70</v>
      </c>
      <c r="C18" s="163">
        <v>5.5659999999999998</v>
      </c>
      <c r="D18" s="163">
        <v>2.508</v>
      </c>
      <c r="E18" s="163">
        <v>0.3417</v>
      </c>
      <c r="F18" s="163">
        <v>-1.292</v>
      </c>
      <c r="G18" s="163">
        <v>-2.5640000000000001</v>
      </c>
      <c r="H18" s="163">
        <v>-3.5169999999999999</v>
      </c>
      <c r="I18" s="163">
        <v>-4.1639999999999997</v>
      </c>
      <c r="J18" s="163">
        <v>-4.726</v>
      </c>
      <c r="K18" s="163">
        <v>-5.1970000000000001</v>
      </c>
      <c r="L18" s="163">
        <v>-5.4269999999999996</v>
      </c>
      <c r="M18" s="163">
        <v>-5.3949999999999996</v>
      </c>
      <c r="N18" s="163">
        <v>-5.3879999999999999</v>
      </c>
    </row>
    <row r="19" spans="1:14" x14ac:dyDescent="0.35">
      <c r="B19" s="161" t="s">
        <v>89</v>
      </c>
      <c r="C19" s="163">
        <v>-4.7</v>
      </c>
      <c r="D19" s="163">
        <v>-5.0519999999999996</v>
      </c>
      <c r="E19" s="163">
        <v>-5.44</v>
      </c>
      <c r="F19" s="163">
        <v>-5.8230000000000004</v>
      </c>
      <c r="G19" s="163">
        <v>-6.18</v>
      </c>
      <c r="H19" s="163">
        <v>-6.476</v>
      </c>
      <c r="I19" s="163">
        <v>-6.6790000000000003</v>
      </c>
      <c r="J19" s="163">
        <v>-6.8860000000000001</v>
      </c>
      <c r="K19" s="163">
        <v>-7.1260000000000003</v>
      </c>
      <c r="L19" s="163">
        <v>-7.4080000000000004</v>
      </c>
      <c r="M19" s="163">
        <v>-7.7750000000000004</v>
      </c>
      <c r="N19" s="163">
        <v>-8.2319999999999993</v>
      </c>
    </row>
    <row r="20" spans="1:14" x14ac:dyDescent="0.35">
      <c r="B20" s="162" t="s">
        <v>72</v>
      </c>
      <c r="C20" s="163">
        <v>0.2</v>
      </c>
      <c r="D20" s="163">
        <v>0.2</v>
      </c>
      <c r="E20" s="163">
        <v>0.20002</v>
      </c>
      <c r="F20" s="163">
        <v>0.20055000000000001</v>
      </c>
      <c r="G20" s="163">
        <v>0.20551</v>
      </c>
      <c r="H20" s="163">
        <v>0.2303</v>
      </c>
      <c r="I20" s="163">
        <v>0.27950000000000003</v>
      </c>
      <c r="J20" s="163">
        <v>0.31113000000000002</v>
      </c>
      <c r="K20" s="163">
        <v>0.33396999999999999</v>
      </c>
      <c r="L20" s="163">
        <v>0.36752000000000001</v>
      </c>
      <c r="M20" s="163">
        <v>0.41231000000000001</v>
      </c>
      <c r="N20" s="163">
        <v>0.45290000000000002</v>
      </c>
    </row>
    <row r="22" spans="1:14" x14ac:dyDescent="0.35">
      <c r="A22" t="e">
        <f>$A$1:$AZ$21</f>
        <v>#VALUE!</v>
      </c>
    </row>
  </sheetData>
  <conditionalFormatting sqref="B1:N20">
    <cfRule type="expression" dxfId="3" priority="1">
      <formula>ISNUMBER(B1)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78FB-D949-4B31-8476-B707DEE7ACBB}">
  <sheetPr codeName="Лист7"/>
  <dimension ref="A1:AB34"/>
  <sheetViews>
    <sheetView topLeftCell="A7" zoomScale="115" zoomScaleNormal="115" workbookViewId="0">
      <selection activeCell="S17" sqref="S17"/>
    </sheetView>
  </sheetViews>
  <sheetFormatPr defaultRowHeight="21" x14ac:dyDescent="0.35"/>
  <sheetData>
    <row r="1" spans="1:28" ht="22.5" x14ac:dyDescent="0.35">
      <c r="A1" s="87" t="s">
        <v>51</v>
      </c>
      <c r="B1" s="88">
        <v>273.10000000000002</v>
      </c>
      <c r="C1" s="88">
        <v>339.2</v>
      </c>
      <c r="D1" s="88">
        <v>405.3</v>
      </c>
      <c r="E1" s="93">
        <v>471.4</v>
      </c>
      <c r="F1" s="93">
        <v>487.9</v>
      </c>
      <c r="G1" s="93">
        <v>504.4</v>
      </c>
      <c r="H1" s="93">
        <v>520.9</v>
      </c>
      <c r="I1" s="93">
        <v>537.5</v>
      </c>
      <c r="J1" s="96">
        <v>554</v>
      </c>
      <c r="K1" s="93">
        <v>570.5</v>
      </c>
      <c r="L1" s="96">
        <v>587</v>
      </c>
      <c r="M1" s="93">
        <v>603.5</v>
      </c>
      <c r="N1" s="93">
        <v>669.6</v>
      </c>
      <c r="O1" s="91">
        <v>686.1</v>
      </c>
      <c r="P1" s="93">
        <v>702.7</v>
      </c>
      <c r="Q1" s="93">
        <v>719.2</v>
      </c>
      <c r="R1" s="93">
        <v>735.7</v>
      </c>
      <c r="S1" s="91">
        <v>801.8</v>
      </c>
      <c r="T1" s="93">
        <v>818.3</v>
      </c>
      <c r="U1" s="93">
        <v>834.8</v>
      </c>
      <c r="V1" s="93">
        <v>851.3</v>
      </c>
      <c r="W1" s="93">
        <v>867.8</v>
      </c>
      <c r="X1" s="93">
        <v>884.4</v>
      </c>
      <c r="Y1" s="93">
        <v>900.9</v>
      </c>
      <c r="Z1" s="91">
        <v>917.4</v>
      </c>
      <c r="AA1" s="91">
        <v>933.9</v>
      </c>
      <c r="AB1" s="91">
        <v>1000</v>
      </c>
    </row>
    <row r="2" spans="1:28" x14ac:dyDescent="0.35">
      <c r="A2" s="89" t="s">
        <v>37</v>
      </c>
      <c r="B2" s="97">
        <v>1.1055E-9</v>
      </c>
      <c r="C2" s="97">
        <v>4.1214000000000003E-9</v>
      </c>
      <c r="D2" s="97">
        <v>4.0460999999999999E-9</v>
      </c>
      <c r="E2" s="97">
        <v>2.9500000000000001E-14</v>
      </c>
      <c r="F2" s="98">
        <v>2.322E-18</v>
      </c>
      <c r="G2" s="98">
        <v>1.6761000000000001E-23</v>
      </c>
      <c r="H2" s="97">
        <v>1.814E-29</v>
      </c>
      <c r="I2" s="98">
        <v>2.0129999999999999E-34</v>
      </c>
      <c r="J2" s="97">
        <v>0</v>
      </c>
      <c r="K2" s="97">
        <v>0</v>
      </c>
      <c r="L2" s="98">
        <v>0</v>
      </c>
      <c r="M2" s="97">
        <v>0</v>
      </c>
      <c r="N2" s="97">
        <v>0</v>
      </c>
      <c r="O2" s="98">
        <v>0</v>
      </c>
      <c r="P2" s="97">
        <v>0</v>
      </c>
      <c r="Q2" s="97">
        <v>0</v>
      </c>
      <c r="R2" s="98">
        <v>0</v>
      </c>
      <c r="S2" s="97">
        <v>0</v>
      </c>
      <c r="T2" s="97">
        <v>0</v>
      </c>
      <c r="U2" s="98">
        <v>0</v>
      </c>
      <c r="V2" s="97">
        <v>0</v>
      </c>
      <c r="W2" s="97">
        <v>0</v>
      </c>
      <c r="X2" s="98">
        <v>0</v>
      </c>
      <c r="Y2" s="97">
        <v>0</v>
      </c>
      <c r="Z2" s="97">
        <v>0</v>
      </c>
      <c r="AA2" s="98">
        <v>0</v>
      </c>
      <c r="AB2" s="95">
        <v>0</v>
      </c>
    </row>
    <row r="3" spans="1:28" x14ac:dyDescent="0.35">
      <c r="A3" s="90" t="s">
        <v>57</v>
      </c>
      <c r="B3" s="99">
        <v>0</v>
      </c>
      <c r="C3" s="99">
        <v>0</v>
      </c>
      <c r="D3" s="100">
        <v>0</v>
      </c>
      <c r="E3" s="99">
        <v>0</v>
      </c>
      <c r="F3" s="100">
        <v>0</v>
      </c>
      <c r="G3" s="99">
        <v>0</v>
      </c>
      <c r="H3" s="99">
        <v>0</v>
      </c>
      <c r="I3" s="100">
        <v>0</v>
      </c>
      <c r="J3" s="99">
        <v>0</v>
      </c>
      <c r="K3" s="99">
        <v>0</v>
      </c>
      <c r="L3" s="100">
        <v>0</v>
      </c>
      <c r="M3" s="99">
        <v>0</v>
      </c>
      <c r="N3" s="99">
        <v>0</v>
      </c>
      <c r="O3" s="100">
        <v>0</v>
      </c>
      <c r="P3" s="99">
        <v>0</v>
      </c>
      <c r="Q3" s="99">
        <v>0</v>
      </c>
      <c r="R3" s="100">
        <v>0</v>
      </c>
      <c r="S3" s="100">
        <v>1.2330000000000001E-12</v>
      </c>
      <c r="T3" s="101">
        <v>3.9454999999999997E-9</v>
      </c>
      <c r="U3" s="102">
        <v>4.2608000000000001E-4</v>
      </c>
      <c r="V3" s="101">
        <v>8.5618000000000001E-4</v>
      </c>
      <c r="W3" s="101">
        <v>2.5444E-3</v>
      </c>
      <c r="X3" s="102">
        <v>7.4120000000000002E-3</v>
      </c>
      <c r="Y3" s="101">
        <v>1.7395000000000001E-2</v>
      </c>
      <c r="Z3" s="99">
        <v>3.1858999999999998E-2</v>
      </c>
      <c r="AA3" s="100">
        <v>3.6838000000000003E-2</v>
      </c>
      <c r="AB3" s="100">
        <v>1.9015000000000001E-2</v>
      </c>
    </row>
    <row r="4" spans="1:28" x14ac:dyDescent="0.35">
      <c r="A4" s="90" t="s">
        <v>36</v>
      </c>
      <c r="B4" s="99">
        <v>0</v>
      </c>
      <c r="C4" s="99">
        <v>4.2891999999999998E-16</v>
      </c>
      <c r="D4" s="100">
        <v>3.5176000000000001E-13</v>
      </c>
      <c r="E4" s="99">
        <v>2.0272000000000002E-9</v>
      </c>
      <c r="F4" s="100">
        <v>2.8751000000000001E-9</v>
      </c>
      <c r="G4" s="99">
        <v>3.3884E-9</v>
      </c>
      <c r="H4" s="99">
        <v>2.9151E-9</v>
      </c>
      <c r="I4" s="100">
        <v>4.9231999999999997E-9</v>
      </c>
      <c r="J4" s="99">
        <v>2.4681000000000002E-9</v>
      </c>
      <c r="K4" s="99">
        <v>2.7259999999999999E-9</v>
      </c>
      <c r="L4" s="100">
        <v>2.8222E-9</v>
      </c>
      <c r="M4" s="99">
        <v>2.8891999999999999E-9</v>
      </c>
      <c r="N4" s="99">
        <v>6.5785999999999996E-9</v>
      </c>
      <c r="O4" s="100">
        <v>6.6162000000000004E-9</v>
      </c>
      <c r="P4" s="100">
        <v>1.1583E-8</v>
      </c>
      <c r="Q4" s="99">
        <v>2.1235000000000001E-8</v>
      </c>
      <c r="R4" s="100">
        <v>4.3346000000000003E-8</v>
      </c>
      <c r="S4" s="99">
        <v>3.8367000000000002E-8</v>
      </c>
      <c r="T4" s="99">
        <v>8.4089000000000002E-24</v>
      </c>
      <c r="U4" s="100">
        <v>1.7853000000000002E-11</v>
      </c>
      <c r="V4" s="99">
        <v>6.7466000000000003E-14</v>
      </c>
      <c r="W4" s="99">
        <v>6.5495999999999998E-11</v>
      </c>
      <c r="X4" s="100">
        <v>2.5011E-9</v>
      </c>
      <c r="Y4" s="99">
        <v>2.0716999999999999E-8</v>
      </c>
      <c r="Z4" s="101">
        <v>8.0283000000000005E-8</v>
      </c>
      <c r="AA4" s="102">
        <v>2.2548999999999999E-7</v>
      </c>
      <c r="AB4" s="102">
        <v>2.3043000000000001E-6</v>
      </c>
    </row>
    <row r="5" spans="1:28" x14ac:dyDescent="0.35">
      <c r="A5" s="92" t="s">
        <v>52</v>
      </c>
      <c r="B5" s="101">
        <v>0.11642</v>
      </c>
      <c r="C5" s="102">
        <v>0.11049</v>
      </c>
      <c r="D5" s="102">
        <v>0.10738</v>
      </c>
      <c r="E5" s="101">
        <v>0.10079</v>
      </c>
      <c r="F5" s="102">
        <v>9.8310999999999996E-2</v>
      </c>
      <c r="G5" s="101">
        <v>9.6328999999999998E-2</v>
      </c>
      <c r="H5" s="101">
        <v>9.5014000000000001E-2</v>
      </c>
      <c r="I5" s="102">
        <v>9.4245999999999996E-2</v>
      </c>
      <c r="J5" s="101">
        <v>9.3825000000000006E-2</v>
      </c>
      <c r="K5" s="101">
        <v>9.3599000000000002E-2</v>
      </c>
      <c r="L5" s="102">
        <v>9.3467999999999996E-2</v>
      </c>
      <c r="M5" s="101">
        <v>9.3354000000000006E-2</v>
      </c>
      <c r="N5" s="101">
        <v>8.0255999999999994E-2</v>
      </c>
      <c r="O5" s="102">
        <v>5.9944999999999998E-2</v>
      </c>
      <c r="P5" s="101">
        <v>3.4053E-2</v>
      </c>
      <c r="Q5" s="101">
        <v>1.5226999999999999E-2</v>
      </c>
      <c r="R5" s="102">
        <v>5.8774999999999999E-3</v>
      </c>
      <c r="S5" s="101">
        <v>1.0428E-4</v>
      </c>
      <c r="T5" s="101">
        <v>3.9379999999999999E-5</v>
      </c>
      <c r="U5" s="102">
        <v>1.2387E-5</v>
      </c>
      <c r="V5" s="101">
        <v>3.0448999999999998E-6</v>
      </c>
      <c r="W5" s="101">
        <v>6.8110000000000003E-7</v>
      </c>
      <c r="X5" s="102">
        <v>1.4919E-7</v>
      </c>
      <c r="Y5" s="101">
        <v>3.3084E-8</v>
      </c>
      <c r="Z5" s="101">
        <v>7.5304999999999992E-9</v>
      </c>
      <c r="AA5" s="102">
        <v>1.7680999999999999E-9</v>
      </c>
      <c r="AB5" s="102">
        <v>7.4075999999999993E-12</v>
      </c>
    </row>
    <row r="6" spans="1:28" x14ac:dyDescent="0.35">
      <c r="A6" s="90" t="s">
        <v>53</v>
      </c>
      <c r="B6" s="99">
        <v>0</v>
      </c>
      <c r="C6" s="100">
        <v>0</v>
      </c>
      <c r="D6" s="100">
        <v>0</v>
      </c>
      <c r="E6" s="101">
        <v>3.2264999999999999E-31</v>
      </c>
      <c r="F6" s="102">
        <v>3.0614E-29</v>
      </c>
      <c r="G6" s="101">
        <v>2.3156E-27</v>
      </c>
      <c r="H6" s="101">
        <v>1.4259E-25</v>
      </c>
      <c r="I6" s="102">
        <v>7.1894999999999998E-24</v>
      </c>
      <c r="J6" s="101">
        <v>2.9820999999999999E-22</v>
      </c>
      <c r="K6" s="101">
        <v>1.0256000000000001E-20</v>
      </c>
      <c r="L6" s="102">
        <v>2.9554999999999999E-19</v>
      </c>
      <c r="M6" s="102">
        <v>7.2146000000000001E-18</v>
      </c>
      <c r="N6" s="101">
        <v>4.6266999999999999E-13</v>
      </c>
      <c r="O6" s="102">
        <v>3.5571999999999998E-12</v>
      </c>
      <c r="P6" s="101">
        <v>1.7772000000000001E-11</v>
      </c>
      <c r="Q6" s="101">
        <v>6.7363E-11</v>
      </c>
      <c r="R6" s="102">
        <v>2.2021999999999999E-10</v>
      </c>
      <c r="S6" s="101">
        <v>1.2458999999999999E-8</v>
      </c>
      <c r="T6" s="101">
        <v>3.0061E-8</v>
      </c>
      <c r="U6" s="102">
        <v>4.2205E-8</v>
      </c>
      <c r="V6" s="102">
        <v>4.7997999999999997E-8</v>
      </c>
      <c r="W6" s="101">
        <v>5.1652999999999999E-8</v>
      </c>
      <c r="X6" s="102">
        <v>5.3982E-8</v>
      </c>
      <c r="Y6" s="101">
        <v>5.5473999999999998E-8</v>
      </c>
      <c r="Z6" s="101">
        <v>5.6379999999999999E-8</v>
      </c>
      <c r="AA6" s="102">
        <v>5.6785000000000002E-8</v>
      </c>
      <c r="AB6" s="102">
        <v>5.4696999999999997E-8</v>
      </c>
    </row>
    <row r="7" spans="1:28" x14ac:dyDescent="0.35">
      <c r="A7" s="90" t="s">
        <v>4</v>
      </c>
      <c r="B7" s="99">
        <v>0</v>
      </c>
      <c r="C7" s="100">
        <v>0</v>
      </c>
      <c r="D7" s="100">
        <v>0</v>
      </c>
      <c r="E7" s="101">
        <v>1.5161999999999999E-35</v>
      </c>
      <c r="F7" s="102">
        <v>1.0984E-33</v>
      </c>
      <c r="G7" s="101">
        <v>6.3537000000000004E-32</v>
      </c>
      <c r="H7" s="99">
        <v>2.9957999999999999E-30</v>
      </c>
      <c r="I7" s="100">
        <v>1.1618000000000001E-28</v>
      </c>
      <c r="J7" s="99">
        <v>3.7337000000000002E-27</v>
      </c>
      <c r="K7" s="101">
        <v>1.004E-25</v>
      </c>
      <c r="L7" s="102">
        <v>2.2842E-24</v>
      </c>
      <c r="M7" s="102">
        <v>4.4455000000000002E-23</v>
      </c>
      <c r="N7" s="101">
        <v>1.368E-18</v>
      </c>
      <c r="O7" s="102">
        <v>1.0225999999999999E-17</v>
      </c>
      <c r="P7" s="101">
        <v>5.7221000000000001E-17</v>
      </c>
      <c r="Q7" s="101">
        <v>2.7408999999999998E-16</v>
      </c>
      <c r="R7" s="102">
        <v>1.2218000000000001E-15</v>
      </c>
      <c r="S7" s="101">
        <v>2.7867000000000001E-13</v>
      </c>
      <c r="T7" s="101">
        <v>9.4633999999999998E-13</v>
      </c>
      <c r="U7" s="102">
        <v>2.2149000000000002E-12</v>
      </c>
      <c r="V7" s="102">
        <v>4.6553000000000002E-12</v>
      </c>
      <c r="W7" s="101">
        <v>9.5106000000000003E-12</v>
      </c>
      <c r="X7" s="102">
        <v>1.8917000000000001E-11</v>
      </c>
      <c r="Y7" s="101">
        <v>3.6692999999999998E-11</v>
      </c>
      <c r="Z7" s="101">
        <v>6.9500000000000006E-11</v>
      </c>
      <c r="AA7" s="102">
        <v>1.2864000000000001E-10</v>
      </c>
      <c r="AB7" s="102">
        <v>1.2282E-9</v>
      </c>
    </row>
    <row r="8" spans="1:28" x14ac:dyDescent="0.35">
      <c r="A8" s="90" t="s">
        <v>1</v>
      </c>
      <c r="B8" s="99">
        <v>0.2</v>
      </c>
      <c r="C8" s="100">
        <v>0.2</v>
      </c>
      <c r="D8" s="100">
        <v>0.2</v>
      </c>
      <c r="E8" s="99">
        <v>0.2</v>
      </c>
      <c r="F8" s="100">
        <v>0.2</v>
      </c>
      <c r="G8" s="99">
        <v>0.2</v>
      </c>
      <c r="H8" s="99">
        <v>0.2</v>
      </c>
      <c r="I8" s="100">
        <v>0.2</v>
      </c>
      <c r="J8" s="99">
        <v>0.2</v>
      </c>
      <c r="K8" s="99">
        <v>0.2</v>
      </c>
      <c r="L8" s="100">
        <v>0.2</v>
      </c>
      <c r="M8" s="100">
        <v>0.2</v>
      </c>
      <c r="N8" s="99">
        <v>0.2</v>
      </c>
      <c r="O8" s="100">
        <v>0.2</v>
      </c>
      <c r="P8" s="99">
        <v>0.2</v>
      </c>
      <c r="Q8" s="99">
        <v>0.2</v>
      </c>
      <c r="R8" s="100">
        <v>0.2</v>
      </c>
      <c r="S8" s="99">
        <v>0.2</v>
      </c>
      <c r="T8" s="99">
        <v>0.2</v>
      </c>
      <c r="U8" s="100">
        <v>0.2</v>
      </c>
      <c r="V8" s="100">
        <v>0.2</v>
      </c>
      <c r="W8" s="99">
        <v>0.2</v>
      </c>
      <c r="X8" s="100">
        <v>0.2</v>
      </c>
      <c r="Y8" s="99">
        <v>0.2</v>
      </c>
      <c r="Z8" s="99">
        <v>0.2</v>
      </c>
      <c r="AA8" s="100">
        <v>0.2</v>
      </c>
      <c r="AB8" s="100">
        <v>0.2</v>
      </c>
    </row>
    <row r="9" spans="1:28" x14ac:dyDescent="0.35">
      <c r="A9" s="92" t="s">
        <v>58</v>
      </c>
      <c r="B9" s="101">
        <v>1.949E-2</v>
      </c>
      <c r="C9" s="102">
        <v>6.5905E-3</v>
      </c>
      <c r="D9" s="102">
        <v>3.4264000000000001E-4</v>
      </c>
      <c r="E9" s="101">
        <v>1.9181000000000002E-5</v>
      </c>
      <c r="F9" s="102">
        <v>7.9441999999999993E-6</v>
      </c>
      <c r="G9" s="101">
        <v>2.9453E-6</v>
      </c>
      <c r="H9" s="99">
        <v>1.0105999999999999E-6</v>
      </c>
      <c r="I9" s="100">
        <v>3.354E-7</v>
      </c>
      <c r="J9" s="99">
        <v>1.1143E-7</v>
      </c>
      <c r="K9" s="101">
        <v>3.7802999999999998E-8</v>
      </c>
      <c r="L9" s="102">
        <v>1.322E-8</v>
      </c>
      <c r="M9" s="101">
        <v>4.7833999999999998E-9</v>
      </c>
      <c r="N9" s="101">
        <v>1.3052000000000001E-10</v>
      </c>
      <c r="O9" s="102">
        <v>6.7452999999999997E-11</v>
      </c>
      <c r="P9" s="101">
        <v>3.7669999999999998E-11</v>
      </c>
      <c r="Q9" s="101">
        <v>2.0265000000000001E-11</v>
      </c>
      <c r="R9" s="102">
        <v>1.0182E-11</v>
      </c>
      <c r="S9" s="101">
        <v>5.7109999999999996E-13</v>
      </c>
      <c r="T9" s="101">
        <v>2.8613000000000001E-13</v>
      </c>
      <c r="U9" s="102">
        <v>1.9219000000000001E-13</v>
      </c>
      <c r="V9" s="102">
        <v>1.1936000000000001E-13</v>
      </c>
      <c r="W9" s="101">
        <v>6.8719999999999996E-14</v>
      </c>
      <c r="X9" s="102">
        <v>3.8486999999999999E-14</v>
      </c>
      <c r="Y9" s="102">
        <v>2.1441000000000001E-14</v>
      </c>
      <c r="Z9" s="101">
        <v>1.1995E-14</v>
      </c>
      <c r="AA9" s="102">
        <v>6.7432999999999997E-15</v>
      </c>
      <c r="AB9" s="102">
        <v>7.2493000000000003E-16</v>
      </c>
    </row>
    <row r="10" spans="1:28" x14ac:dyDescent="0.35">
      <c r="A10" s="90" t="s">
        <v>42</v>
      </c>
      <c r="B10" s="99">
        <v>2.051E-2</v>
      </c>
      <c r="C10" s="100">
        <v>3.3398999999999998E-2</v>
      </c>
      <c r="D10" s="100">
        <v>3.8558000000000002E-2</v>
      </c>
      <c r="E10" s="99">
        <v>2.2164E-2</v>
      </c>
      <c r="F10" s="100">
        <v>1.5173000000000001E-2</v>
      </c>
      <c r="G10" s="99">
        <v>9.3226999999999997E-3</v>
      </c>
      <c r="H10" s="101">
        <v>5.3057E-3</v>
      </c>
      <c r="I10" s="102">
        <v>2.9044000000000001E-3</v>
      </c>
      <c r="J10" s="101">
        <v>1.5740999999999999E-3</v>
      </c>
      <c r="K10" s="99">
        <v>8.5897999999999996E-4</v>
      </c>
      <c r="L10" s="100">
        <v>4.7595E-4</v>
      </c>
      <c r="M10" s="99">
        <v>2.6874000000000001E-4</v>
      </c>
      <c r="N10" s="99">
        <v>3.5403E-5</v>
      </c>
      <c r="O10" s="100">
        <v>2.4213999999999999E-5</v>
      </c>
      <c r="P10" s="99">
        <v>1.7258999999999999E-5</v>
      </c>
      <c r="Q10" s="99">
        <v>1.2101E-5</v>
      </c>
      <c r="R10" s="100">
        <v>8.2181000000000001E-6</v>
      </c>
      <c r="S10" s="100">
        <v>1.671E-6</v>
      </c>
      <c r="T10" s="101">
        <v>1.1432999999999999E-6</v>
      </c>
      <c r="U10" s="102">
        <v>8.9864999999999996E-7</v>
      </c>
      <c r="V10" s="101">
        <v>6.8069000000000004E-7</v>
      </c>
      <c r="W10" s="101">
        <v>4.9829999999999996E-7</v>
      </c>
      <c r="X10" s="102">
        <v>3.6082999999999998E-7</v>
      </c>
      <c r="Y10" s="101">
        <v>2.6124999999999999E-7</v>
      </c>
      <c r="Z10" s="99">
        <v>1.8997E-7</v>
      </c>
      <c r="AA10" s="100">
        <v>1.3846000000000001E-7</v>
      </c>
      <c r="AB10" s="100">
        <v>4.0641E-8</v>
      </c>
    </row>
    <row r="11" spans="1:28" x14ac:dyDescent="0.35">
      <c r="A11" s="90" t="s">
        <v>59</v>
      </c>
      <c r="B11" s="99">
        <v>2.3581000000000001E-2</v>
      </c>
      <c r="C11" s="100">
        <v>2.9510999999999999E-2</v>
      </c>
      <c r="D11" s="100">
        <v>3.2620000000000003E-2</v>
      </c>
      <c r="E11" s="99">
        <v>3.9208E-2</v>
      </c>
      <c r="F11" s="100">
        <v>4.1688999999999997E-2</v>
      </c>
      <c r="G11" s="99">
        <v>4.3671000000000001E-2</v>
      </c>
      <c r="H11" s="99">
        <v>4.4985999999999998E-2</v>
      </c>
      <c r="I11" s="100">
        <v>4.5754000000000003E-2</v>
      </c>
      <c r="J11" s="99">
        <v>4.6174E-2</v>
      </c>
      <c r="K11" s="99">
        <v>4.6399999999999997E-2</v>
      </c>
      <c r="L11" s="100">
        <v>4.6523000000000002E-2</v>
      </c>
      <c r="M11" s="99">
        <v>4.6607000000000003E-2</v>
      </c>
      <c r="N11" s="99">
        <v>5.0874999999999997E-2</v>
      </c>
      <c r="O11" s="100">
        <v>5.3782999999999997E-2</v>
      </c>
      <c r="P11" s="99">
        <v>4.7280999999999997E-2</v>
      </c>
      <c r="Q11" s="99">
        <v>2.9621999999999999E-2</v>
      </c>
      <c r="R11" s="100">
        <v>1.3741E-2</v>
      </c>
      <c r="S11" s="99">
        <v>2.8533999999999998E-4</v>
      </c>
      <c r="T11" s="99">
        <v>1.0971E-4</v>
      </c>
      <c r="U11" s="100">
        <v>3.4276000000000002E-5</v>
      </c>
      <c r="V11" s="99">
        <v>8.3289000000000008E-6</v>
      </c>
      <c r="W11" s="99">
        <v>1.8444000000000001E-6</v>
      </c>
      <c r="X11" s="100">
        <v>4.0053E-7</v>
      </c>
      <c r="Y11" s="99">
        <v>8.8174000000000006E-8</v>
      </c>
      <c r="Z11" s="99">
        <v>1.9948000000000001E-8</v>
      </c>
      <c r="AA11" s="100">
        <v>4.6587999999999997E-9</v>
      </c>
      <c r="AB11" s="100">
        <v>1.9231E-11</v>
      </c>
    </row>
    <row r="12" spans="1:28" x14ac:dyDescent="0.35">
      <c r="A12" s="92" t="s">
        <v>60</v>
      </c>
      <c r="B12" s="101">
        <v>1.5785999999999999E-28</v>
      </c>
      <c r="C12" s="102">
        <v>5.8697999999999997E-22</v>
      </c>
      <c r="D12" s="102">
        <v>6.6534999999999995E-16</v>
      </c>
      <c r="E12" s="101">
        <v>1.6729000000000001E-11</v>
      </c>
      <c r="F12" s="102">
        <v>1.4176000000000001E-10</v>
      </c>
      <c r="G12" s="101">
        <v>1.0979999999999999E-9</v>
      </c>
      <c r="H12" s="101">
        <v>7.7919999999999996E-9</v>
      </c>
      <c r="I12" s="102">
        <v>5.0568E-8</v>
      </c>
      <c r="J12" s="101">
        <v>3.0016000000000001E-7</v>
      </c>
      <c r="K12" s="101">
        <v>1.6345E-6</v>
      </c>
      <c r="L12" s="102">
        <v>8.2034000000000001E-6</v>
      </c>
      <c r="M12" s="101">
        <v>3.8143999999999999E-5</v>
      </c>
      <c r="N12" s="101">
        <v>8.7624999999999995E-3</v>
      </c>
      <c r="O12" s="102">
        <v>2.5947000000000001E-2</v>
      </c>
      <c r="P12" s="101">
        <v>5.781E-2</v>
      </c>
      <c r="Q12" s="101">
        <v>9.3327999999999994E-2</v>
      </c>
      <c r="R12" s="102">
        <v>0.11716</v>
      </c>
      <c r="S12" s="101">
        <v>0.12540999999999999</v>
      </c>
      <c r="T12" s="99">
        <v>0.12102</v>
      </c>
      <c r="U12" s="100">
        <v>6.8593000000000001E-2</v>
      </c>
      <c r="V12" s="99">
        <v>3.2370000000000003E-2</v>
      </c>
      <c r="W12" s="101">
        <v>1.4925000000000001E-2</v>
      </c>
      <c r="X12" s="102">
        <v>6.8881999999999997E-3</v>
      </c>
      <c r="Y12" s="101">
        <v>3.2166999999999999E-3</v>
      </c>
      <c r="Z12" s="99">
        <v>1.5263E-3</v>
      </c>
      <c r="AA12" s="100">
        <v>7.3612999999999999E-4</v>
      </c>
      <c r="AB12" s="100">
        <v>4.6826000000000002E-5</v>
      </c>
    </row>
    <row r="13" spans="1:28" x14ac:dyDescent="0.35">
      <c r="A13" s="92" t="s">
        <v>61</v>
      </c>
      <c r="B13" s="101">
        <v>7.7442E-8</v>
      </c>
      <c r="C13" s="102">
        <v>5.1692000000000004E-6</v>
      </c>
      <c r="D13" s="102">
        <v>5.4973000000000001E-4</v>
      </c>
      <c r="E13" s="101">
        <v>8.9084999999999998E-3</v>
      </c>
      <c r="F13" s="102">
        <v>1.2409999999999999E-2</v>
      </c>
      <c r="G13" s="101">
        <v>1.5337E-2</v>
      </c>
      <c r="H13" s="101">
        <v>1.7347000000000001E-2</v>
      </c>
      <c r="I13" s="102">
        <v>1.8547999999999999E-2</v>
      </c>
      <c r="J13" s="101">
        <v>1.9213000000000001E-2</v>
      </c>
      <c r="K13" s="101">
        <v>1.9570000000000001E-2</v>
      </c>
      <c r="L13" s="102">
        <v>1.9761999999999998E-2</v>
      </c>
      <c r="M13" s="102">
        <v>1.9866000000000002E-2</v>
      </c>
      <c r="N13" s="101">
        <v>1.9982E-2</v>
      </c>
      <c r="O13" s="102">
        <v>1.9987999999999999E-2</v>
      </c>
      <c r="P13" s="102">
        <v>1.9990999999999998E-2</v>
      </c>
      <c r="Q13" s="101">
        <v>1.9994000000000001E-2</v>
      </c>
      <c r="R13" s="102">
        <v>1.9996E-2</v>
      </c>
      <c r="S13" s="102">
        <v>1.9998999999999999E-2</v>
      </c>
      <c r="T13" s="101">
        <v>1.9998999999999999E-2</v>
      </c>
      <c r="U13" s="102">
        <v>1.9630999999999999E-2</v>
      </c>
      <c r="V13" s="101">
        <v>1.9300000000000001E-2</v>
      </c>
      <c r="W13" s="101">
        <v>1.9068999999999999E-2</v>
      </c>
      <c r="X13" s="102">
        <v>1.8904000000000001E-2</v>
      </c>
      <c r="Y13" s="101">
        <v>1.8790999999999999E-2</v>
      </c>
      <c r="Z13" s="99">
        <v>1.8720000000000001E-2</v>
      </c>
      <c r="AA13" s="100">
        <v>1.8610000000000002E-2</v>
      </c>
      <c r="AB13" s="100">
        <v>1.7925E-2</v>
      </c>
    </row>
    <row r="14" spans="1:28" x14ac:dyDescent="0.35">
      <c r="A14" s="92" t="s">
        <v>62</v>
      </c>
      <c r="B14" s="101">
        <v>1.9029000000000001E-28</v>
      </c>
      <c r="C14" s="102">
        <v>3.6592000000000002E-22</v>
      </c>
      <c r="D14" s="102">
        <v>1.2778E-16</v>
      </c>
      <c r="E14" s="101">
        <v>1.6314000000000001E-12</v>
      </c>
      <c r="F14" s="102">
        <v>1.2242999999999999E-11</v>
      </c>
      <c r="G14" s="101">
        <v>8.3728999999999996E-11</v>
      </c>
      <c r="H14" s="101">
        <v>5.2262E-10</v>
      </c>
      <c r="I14" s="102">
        <v>2.9794999999999999E-9</v>
      </c>
      <c r="J14" s="101">
        <v>1.5557999999999999E-8</v>
      </c>
      <c r="K14" s="101">
        <v>7.4714000000000003E-8</v>
      </c>
      <c r="L14" s="102">
        <v>3.3159999999999998E-7</v>
      </c>
      <c r="M14" s="102">
        <v>1.3668E-6</v>
      </c>
      <c r="N14" s="101">
        <v>2.1211E-4</v>
      </c>
      <c r="O14" s="102">
        <v>6.5041999999999997E-4</v>
      </c>
      <c r="P14" s="101">
        <v>1.7118000000000001E-3</v>
      </c>
      <c r="Q14" s="101">
        <v>3.6464000000000002E-3</v>
      </c>
      <c r="R14" s="102">
        <v>6.4498999999999997E-3</v>
      </c>
      <c r="S14" s="101">
        <v>2.8406000000000001E-2</v>
      </c>
      <c r="T14" s="101">
        <v>3.7663000000000002E-2</v>
      </c>
      <c r="U14" s="102">
        <v>3.4319000000000002E-2</v>
      </c>
      <c r="V14" s="101">
        <v>2.8506E-2</v>
      </c>
      <c r="W14" s="101">
        <v>2.3462E-2</v>
      </c>
      <c r="X14" s="102">
        <v>1.9129E-2</v>
      </c>
      <c r="Y14" s="101">
        <v>1.5443999999999999E-2</v>
      </c>
      <c r="Z14" s="101">
        <v>1.2342000000000001E-2</v>
      </c>
      <c r="AA14" s="102">
        <v>9.7512999999999992E-3</v>
      </c>
      <c r="AB14" s="102">
        <v>3.3717999999999999E-3</v>
      </c>
    </row>
    <row r="15" spans="1:28" x14ac:dyDescent="0.35">
      <c r="A15" s="90" t="s">
        <v>39</v>
      </c>
      <c r="B15" s="99">
        <v>6.0558999999999997E-10</v>
      </c>
      <c r="C15" s="100">
        <v>7.1008000000000001E-9</v>
      </c>
      <c r="D15" s="99">
        <v>4.6580000000000003E-9</v>
      </c>
      <c r="E15" s="99">
        <v>3.6286000000000001E-9</v>
      </c>
      <c r="F15" s="100">
        <v>3.4934E-9</v>
      </c>
      <c r="G15" s="99">
        <v>3.3129E-9</v>
      </c>
      <c r="H15" s="99">
        <v>3.0579E-9</v>
      </c>
      <c r="I15" s="100">
        <v>2.7300999999999999E-9</v>
      </c>
      <c r="J15" s="99">
        <v>2.3899999999999998E-9</v>
      </c>
      <c r="K15" s="99">
        <v>2.0703000000000002E-9</v>
      </c>
      <c r="L15" s="100">
        <v>1.7844E-9</v>
      </c>
      <c r="M15" s="99">
        <v>1.5354000000000001E-9</v>
      </c>
      <c r="N15" s="99">
        <v>1.0822E-9</v>
      </c>
      <c r="O15" s="100">
        <v>1.3489E-9</v>
      </c>
      <c r="P15" s="99">
        <v>1.8318E-9</v>
      </c>
      <c r="Q15" s="99">
        <v>2.2310999999999999E-9</v>
      </c>
      <c r="R15" s="100">
        <v>2.3172999999999998E-9</v>
      </c>
      <c r="S15" s="100">
        <v>1.4949999999999999E-9</v>
      </c>
      <c r="T15" s="99">
        <v>1.3115000000000001E-9</v>
      </c>
      <c r="U15" s="100">
        <v>1.3019E-9</v>
      </c>
      <c r="V15" s="99">
        <v>1.2271E-9</v>
      </c>
      <c r="W15" s="99">
        <v>1.105E-9</v>
      </c>
      <c r="X15" s="100">
        <v>9.7488000000000005E-10</v>
      </c>
      <c r="Y15" s="99">
        <v>8.5265000000000005E-10</v>
      </c>
      <c r="Z15" s="99">
        <v>7.4314999999999996E-10</v>
      </c>
      <c r="AA15" s="100">
        <v>6.4691999999999997E-10</v>
      </c>
      <c r="AB15" s="100">
        <v>3.7200000000000001E-10</v>
      </c>
    </row>
    <row r="16" spans="1:28" x14ac:dyDescent="0.35">
      <c r="A16" s="92" t="s">
        <v>63</v>
      </c>
      <c r="B16" s="101">
        <v>1.3958E-10</v>
      </c>
      <c r="C16" s="102">
        <v>2.5193000000000002E-9</v>
      </c>
      <c r="D16" s="102">
        <v>2.2231999999999999E-9</v>
      </c>
      <c r="E16" s="101">
        <v>2.1479E-9</v>
      </c>
      <c r="F16" s="102">
        <v>2.1624999999999999E-9</v>
      </c>
      <c r="G16" s="101">
        <v>2.0744999999999998E-9</v>
      </c>
      <c r="H16" s="101">
        <v>1.8984E-9</v>
      </c>
      <c r="I16" s="102">
        <v>1.6796999999999999E-9</v>
      </c>
      <c r="J16" s="101">
        <v>1.4565999999999999E-9</v>
      </c>
      <c r="K16" s="101">
        <v>1.2496999999999999E-9</v>
      </c>
      <c r="L16" s="102">
        <v>1.0665E-9</v>
      </c>
      <c r="M16" s="101">
        <v>9.0856000000000001E-10</v>
      </c>
      <c r="N16" s="101">
        <v>6.1491E-10</v>
      </c>
      <c r="O16" s="102">
        <v>7.5873000000000003E-10</v>
      </c>
      <c r="P16" s="101">
        <v>1.02E-9</v>
      </c>
      <c r="Q16" s="101">
        <v>1.2299000000000001E-9</v>
      </c>
      <c r="R16" s="102">
        <v>1.2647E-9</v>
      </c>
      <c r="S16" s="102">
        <v>7.8439000000000002E-10</v>
      </c>
      <c r="T16" s="101">
        <v>6.8148000000000001E-10</v>
      </c>
      <c r="U16" s="102">
        <v>6.7002000000000003E-10</v>
      </c>
      <c r="V16" s="101">
        <v>6.2553999999999999E-10</v>
      </c>
      <c r="W16" s="101">
        <v>5.5798999999999995E-10</v>
      </c>
      <c r="X16" s="102">
        <v>4.8770999999999996E-10</v>
      </c>
      <c r="Y16" s="101">
        <v>4.2261E-10</v>
      </c>
      <c r="Z16" s="101">
        <v>3.6493999999999998E-10</v>
      </c>
      <c r="AA16" s="102">
        <v>3.1478000000000002E-10</v>
      </c>
      <c r="AB16" s="102">
        <v>1.7455000000000001E-10</v>
      </c>
    </row>
    <row r="17" spans="1:28" x14ac:dyDescent="0.35">
      <c r="A17" s="92" t="s">
        <v>64</v>
      </c>
      <c r="B17" s="101">
        <v>5.1004000000000002E-4</v>
      </c>
      <c r="C17" s="102">
        <v>1.342E-2</v>
      </c>
      <c r="D17" s="102">
        <v>2.0757000000000001E-2</v>
      </c>
      <c r="E17" s="99">
        <v>3.7797999999999998E-2</v>
      </c>
      <c r="F17" s="100">
        <v>4.4810999999999997E-2</v>
      </c>
      <c r="G17" s="99">
        <v>5.0671000000000001E-2</v>
      </c>
      <c r="H17" s="99">
        <v>5.4691999999999998E-2</v>
      </c>
      <c r="I17" s="100">
        <v>5.7095E-2</v>
      </c>
      <c r="J17" s="99">
        <v>5.8425999999999999E-2</v>
      </c>
      <c r="K17" s="99">
        <v>5.9144000000000002E-2</v>
      </c>
      <c r="L17" s="100">
        <v>5.9540999999999997E-2</v>
      </c>
      <c r="M17" s="99">
        <v>5.9810000000000002E-2</v>
      </c>
      <c r="N17" s="99">
        <v>7.7808000000000002E-2</v>
      </c>
      <c r="O17" s="100">
        <v>0.11285000000000001</v>
      </c>
      <c r="P17" s="99">
        <v>0.17817</v>
      </c>
      <c r="Q17" s="99">
        <v>0.25211</v>
      </c>
      <c r="R17" s="100">
        <v>0.30397999999999997</v>
      </c>
      <c r="S17" s="100">
        <v>0.35342000000000001</v>
      </c>
      <c r="T17" s="99">
        <v>0.35853000000000002</v>
      </c>
      <c r="U17" s="100">
        <v>0.41127000000000002</v>
      </c>
      <c r="V17" s="99">
        <v>0.4476</v>
      </c>
      <c r="W17" s="99">
        <v>0.46506999999999998</v>
      </c>
      <c r="X17" s="100">
        <v>0.47310999999999998</v>
      </c>
      <c r="Y17" s="99">
        <v>0.47677999999999998</v>
      </c>
      <c r="Z17" s="101">
        <v>0.47847000000000001</v>
      </c>
      <c r="AA17" s="102">
        <v>0.47926000000000002</v>
      </c>
      <c r="AB17" s="102">
        <v>0.47994999999999999</v>
      </c>
    </row>
    <row r="18" spans="1:28" x14ac:dyDescent="0.35">
      <c r="A18" s="92" t="s">
        <v>67</v>
      </c>
      <c r="B18" s="101">
        <v>7.7442E-8</v>
      </c>
      <c r="C18" s="102">
        <v>5.1692000000000004E-6</v>
      </c>
      <c r="D18" s="102">
        <v>5.4973000000000001E-4</v>
      </c>
      <c r="E18" s="101">
        <v>8.9084999999999998E-3</v>
      </c>
      <c r="F18" s="102">
        <v>1.2409999999999999E-2</v>
      </c>
      <c r="G18" s="101">
        <v>1.5337E-2</v>
      </c>
      <c r="H18" s="101">
        <v>1.7347000000000001E-2</v>
      </c>
      <c r="I18" s="102">
        <v>1.8547999999999999E-2</v>
      </c>
      <c r="J18" s="102">
        <v>1.9213000000000001E-2</v>
      </c>
      <c r="K18" s="101">
        <v>1.9570000000000001E-2</v>
      </c>
      <c r="L18" s="102">
        <v>1.9761999999999998E-2</v>
      </c>
      <c r="M18" s="101">
        <v>1.9866000000000002E-2</v>
      </c>
      <c r="N18" s="101">
        <v>1.9982E-2</v>
      </c>
      <c r="O18" s="102">
        <v>1.9987999999999999E-2</v>
      </c>
      <c r="P18" s="102">
        <v>1.9990999999999998E-2</v>
      </c>
      <c r="Q18" s="101">
        <v>1.9994000000000001E-2</v>
      </c>
      <c r="R18" s="102">
        <v>1.9996E-2</v>
      </c>
      <c r="S18" s="102">
        <v>1.9998999999999999E-2</v>
      </c>
      <c r="T18" s="101">
        <v>1.9998999999999999E-2</v>
      </c>
      <c r="U18" s="102">
        <v>1.9630999999999999E-2</v>
      </c>
      <c r="V18" s="101">
        <v>1.9300000000000001E-2</v>
      </c>
      <c r="W18" s="101">
        <v>1.9068999999999999E-2</v>
      </c>
      <c r="X18" s="102">
        <v>1.8904000000000001E-2</v>
      </c>
      <c r="Y18" s="101">
        <v>1.8790999999999999E-2</v>
      </c>
      <c r="Z18" s="101">
        <v>1.8720000000000001E-2</v>
      </c>
      <c r="AA18" s="102">
        <v>1.8610000000000002E-2</v>
      </c>
      <c r="AB18" s="102">
        <v>1.7925E-2</v>
      </c>
    </row>
    <row r="19" spans="1:28" x14ac:dyDescent="0.35">
      <c r="A19" s="90" t="s">
        <v>65</v>
      </c>
      <c r="B19" s="99">
        <v>0</v>
      </c>
      <c r="C19" s="100">
        <v>0</v>
      </c>
      <c r="D19" s="100">
        <v>0</v>
      </c>
      <c r="E19" s="99">
        <v>0</v>
      </c>
      <c r="F19" s="100">
        <v>0</v>
      </c>
      <c r="G19" s="99">
        <v>0</v>
      </c>
      <c r="H19" s="99">
        <v>0</v>
      </c>
      <c r="I19" s="100">
        <v>0</v>
      </c>
      <c r="J19" s="99">
        <v>0</v>
      </c>
      <c r="K19" s="99">
        <v>0</v>
      </c>
      <c r="L19" s="100">
        <v>0</v>
      </c>
      <c r="M19" s="99">
        <v>0</v>
      </c>
      <c r="N19" s="99">
        <v>0</v>
      </c>
      <c r="O19" s="100">
        <v>0</v>
      </c>
      <c r="P19" s="99">
        <v>0</v>
      </c>
      <c r="Q19" s="99">
        <v>0</v>
      </c>
      <c r="R19" s="100">
        <v>1.1933E-35</v>
      </c>
      <c r="S19" s="100">
        <v>1.3674000000000001E-9</v>
      </c>
      <c r="T19" s="101">
        <v>2.8976999999999998E-6</v>
      </c>
      <c r="U19" s="102">
        <v>0.10798000000000001</v>
      </c>
      <c r="V19" s="101">
        <v>0.18587999999999999</v>
      </c>
      <c r="W19" s="101">
        <v>0.22414000000000001</v>
      </c>
      <c r="X19" s="102">
        <v>0.23968</v>
      </c>
      <c r="Y19" s="101">
        <v>0.24073</v>
      </c>
      <c r="Z19" s="101">
        <v>0.23275000000000001</v>
      </c>
      <c r="AA19" s="102">
        <v>0.23194000000000001</v>
      </c>
      <c r="AB19" s="102">
        <v>0.25752000000000003</v>
      </c>
    </row>
    <row r="20" spans="1:28" x14ac:dyDescent="0.35">
      <c r="A20" s="94" t="s">
        <v>66</v>
      </c>
      <c r="B20" s="103">
        <v>0</v>
      </c>
      <c r="C20" s="104">
        <v>0</v>
      </c>
      <c r="D20" s="104">
        <v>0</v>
      </c>
      <c r="E20" s="103">
        <v>0</v>
      </c>
      <c r="F20" s="104">
        <v>0</v>
      </c>
      <c r="G20" s="103">
        <v>0</v>
      </c>
      <c r="H20" s="103">
        <v>0</v>
      </c>
      <c r="I20" s="104">
        <v>0</v>
      </c>
      <c r="J20" s="103">
        <v>0</v>
      </c>
      <c r="K20" s="103">
        <v>0</v>
      </c>
      <c r="L20" s="104">
        <v>0</v>
      </c>
      <c r="M20" s="103">
        <v>0</v>
      </c>
      <c r="N20" s="103">
        <v>0</v>
      </c>
      <c r="O20" s="104">
        <v>0</v>
      </c>
      <c r="P20" s="103">
        <v>0</v>
      </c>
      <c r="Q20" s="103">
        <v>0</v>
      </c>
      <c r="R20" s="104">
        <v>0</v>
      </c>
      <c r="S20" s="104">
        <v>1.2666E-11</v>
      </c>
      <c r="T20" s="103">
        <v>1.9420000000000001E-8</v>
      </c>
      <c r="U20" s="104">
        <v>7.3711000000000002E-4</v>
      </c>
      <c r="V20" s="103">
        <v>1.3998999999999999E-3</v>
      </c>
      <c r="W20" s="103">
        <v>1.8615000000000001E-3</v>
      </c>
      <c r="X20" s="104">
        <v>2.1911999999999999E-3</v>
      </c>
      <c r="Y20" s="103">
        <v>2.4169999999999999E-3</v>
      </c>
      <c r="Z20" s="103">
        <v>2.5601999999999999E-3</v>
      </c>
      <c r="AA20" s="104">
        <v>2.7794999999999999E-3</v>
      </c>
      <c r="AB20" s="104">
        <v>4.1501000000000003E-3</v>
      </c>
    </row>
    <row r="21" spans="1:28" x14ac:dyDescent="0.35">
      <c r="A21" s="109" t="s">
        <v>27</v>
      </c>
      <c r="B21" s="114">
        <v>-19080</v>
      </c>
      <c r="C21" s="115">
        <v>-19070</v>
      </c>
      <c r="D21" s="114">
        <v>-19150</v>
      </c>
      <c r="E21" s="114">
        <v>-19250</v>
      </c>
      <c r="F21" s="115">
        <v>-19270</v>
      </c>
      <c r="G21" s="114">
        <v>-19300</v>
      </c>
      <c r="H21" s="114">
        <v>-19330</v>
      </c>
      <c r="I21" s="115">
        <v>-19360</v>
      </c>
      <c r="J21" s="114">
        <v>-19390</v>
      </c>
      <c r="K21" s="114">
        <v>-19420</v>
      </c>
      <c r="L21" s="115">
        <v>-19460</v>
      </c>
      <c r="M21" s="114">
        <v>-19490</v>
      </c>
      <c r="N21" s="114">
        <v>-19580</v>
      </c>
      <c r="O21" s="115">
        <v>-19540</v>
      </c>
      <c r="P21" s="114">
        <v>-19470</v>
      </c>
      <c r="Q21" s="114">
        <v>-19420</v>
      </c>
      <c r="R21" s="115">
        <v>-19410</v>
      </c>
      <c r="S21" s="114">
        <v>-19510</v>
      </c>
      <c r="T21" s="114">
        <v>-19550</v>
      </c>
      <c r="U21" s="115">
        <v>-19580</v>
      </c>
      <c r="V21" s="114">
        <v>-19610</v>
      </c>
      <c r="W21" s="114">
        <v>-19640</v>
      </c>
      <c r="X21" s="115">
        <v>-19670</v>
      </c>
      <c r="Y21" s="114">
        <v>-19700</v>
      </c>
      <c r="Z21" s="114">
        <v>-19730</v>
      </c>
      <c r="AA21" s="115">
        <v>-19760</v>
      </c>
      <c r="AB21" s="114">
        <v>-19880</v>
      </c>
    </row>
    <row r="22" spans="1:28" x14ac:dyDescent="0.35">
      <c r="A22" s="109" t="s">
        <v>5</v>
      </c>
      <c r="B22" s="114">
        <v>-65990</v>
      </c>
      <c r="C22" s="115">
        <v>-51790</v>
      </c>
      <c r="D22" s="114">
        <v>-39260</v>
      </c>
      <c r="E22" s="114">
        <v>-30180</v>
      </c>
      <c r="F22" s="115">
        <v>-28280</v>
      </c>
      <c r="G22" s="114">
        <v>-26450</v>
      </c>
      <c r="H22" s="114">
        <v>-24700</v>
      </c>
      <c r="I22" s="115">
        <v>-23010</v>
      </c>
      <c r="J22" s="114">
        <v>-21400</v>
      </c>
      <c r="K22" s="114">
        <v>-19860</v>
      </c>
      <c r="L22" s="115">
        <v>-18390</v>
      </c>
      <c r="M22" s="114">
        <v>-16990</v>
      </c>
      <c r="N22" s="114">
        <v>-12140</v>
      </c>
      <c r="O22" s="115">
        <v>-11270</v>
      </c>
      <c r="P22" s="114">
        <v>-10610</v>
      </c>
      <c r="Q22" s="114">
        <v>-10070</v>
      </c>
      <c r="R22" s="115">
        <v>-9596</v>
      </c>
      <c r="S22" s="114">
        <v>-7969</v>
      </c>
      <c r="T22" s="114">
        <v>-7610</v>
      </c>
      <c r="U22" s="115">
        <v>-7591</v>
      </c>
      <c r="V22" s="114">
        <v>-7648</v>
      </c>
      <c r="W22" s="114">
        <v>-7704</v>
      </c>
      <c r="X22" s="115">
        <v>-7760</v>
      </c>
      <c r="Y22" s="114">
        <v>-7814</v>
      </c>
      <c r="Z22" s="114">
        <v>-7867</v>
      </c>
      <c r="AA22" s="115">
        <v>-7920</v>
      </c>
      <c r="AB22" s="114">
        <v>-8124</v>
      </c>
    </row>
    <row r="23" spans="1:28" x14ac:dyDescent="0.35">
      <c r="A23" s="109" t="s">
        <v>6</v>
      </c>
      <c r="B23" s="114">
        <v>-17380</v>
      </c>
      <c r="C23" s="115">
        <v>-13440</v>
      </c>
      <c r="D23" s="114">
        <v>-8996</v>
      </c>
      <c r="E23" s="114">
        <v>-6574</v>
      </c>
      <c r="F23" s="115">
        <v>-6359</v>
      </c>
      <c r="G23" s="114">
        <v>-6246</v>
      </c>
      <c r="H23" s="114">
        <v>-6201</v>
      </c>
      <c r="I23" s="115">
        <v>-6196</v>
      </c>
      <c r="J23" s="114">
        <v>-6214</v>
      </c>
      <c r="K23" s="114">
        <v>-6242</v>
      </c>
      <c r="L23" s="115">
        <v>-6277</v>
      </c>
      <c r="M23" s="114">
        <v>-6315</v>
      </c>
      <c r="N23" s="114">
        <v>-6666</v>
      </c>
      <c r="O23" s="115">
        <v>-6979</v>
      </c>
      <c r="P23" s="114">
        <v>-7351</v>
      </c>
      <c r="Q23" s="114">
        <v>-7644</v>
      </c>
      <c r="R23" s="115">
        <v>-7824</v>
      </c>
      <c r="S23" s="114">
        <v>-8111</v>
      </c>
      <c r="T23" s="114">
        <v>-8167</v>
      </c>
      <c r="U23" s="115">
        <v>-8218</v>
      </c>
      <c r="V23" s="114">
        <v>-8261</v>
      </c>
      <c r="W23" s="114">
        <v>-8301</v>
      </c>
      <c r="X23" s="115">
        <v>-8339</v>
      </c>
      <c r="Y23" s="114">
        <v>-8375</v>
      </c>
      <c r="Z23" s="114">
        <v>-8410</v>
      </c>
      <c r="AA23" s="115">
        <v>-8448</v>
      </c>
      <c r="AB23" s="114">
        <v>-8615</v>
      </c>
    </row>
    <row r="24" spans="1:28" x14ac:dyDescent="0.35">
      <c r="A24" s="109" t="s">
        <v>7</v>
      </c>
      <c r="B24" s="114">
        <v>-23570</v>
      </c>
      <c r="C24" s="115">
        <v>-21380</v>
      </c>
      <c r="D24" s="114">
        <v>-22030</v>
      </c>
      <c r="E24" s="114">
        <v>-22650</v>
      </c>
      <c r="F24" s="115">
        <v>-22810</v>
      </c>
      <c r="G24" s="114">
        <v>-23000</v>
      </c>
      <c r="H24" s="114">
        <v>-23210</v>
      </c>
      <c r="I24" s="115">
        <v>-23430</v>
      </c>
      <c r="J24" s="114">
        <v>-23660</v>
      </c>
      <c r="K24" s="114">
        <v>-23900</v>
      </c>
      <c r="L24" s="115">
        <v>-24140</v>
      </c>
      <c r="M24" s="114">
        <v>-24370</v>
      </c>
      <c r="N24" s="114">
        <v>-25240</v>
      </c>
      <c r="O24" s="115">
        <v>-25360</v>
      </c>
      <c r="P24" s="114">
        <v>-25470</v>
      </c>
      <c r="Q24" s="114">
        <v>-25600</v>
      </c>
      <c r="R24" s="115">
        <v>-25770</v>
      </c>
      <c r="S24" s="114">
        <v>-26620</v>
      </c>
      <c r="T24" s="114">
        <v>-26830</v>
      </c>
      <c r="U24" s="115">
        <v>-26900</v>
      </c>
      <c r="V24" s="114">
        <v>-27010</v>
      </c>
      <c r="W24" s="114">
        <v>-27170</v>
      </c>
      <c r="X24" s="115">
        <v>-27350</v>
      </c>
      <c r="Y24" s="114">
        <v>-27540</v>
      </c>
      <c r="Z24" s="114">
        <v>-27730</v>
      </c>
      <c r="AA24" s="115">
        <v>-27920</v>
      </c>
      <c r="AB24" s="114">
        <v>-28700</v>
      </c>
    </row>
    <row r="25" spans="1:28" x14ac:dyDescent="0.35">
      <c r="A25" s="109" t="s">
        <v>72</v>
      </c>
      <c r="B25" s="114">
        <v>3164.2</v>
      </c>
      <c r="C25" s="115">
        <v>3104.9</v>
      </c>
      <c r="D25" s="114">
        <v>3073.8</v>
      </c>
      <c r="E25" s="114">
        <v>3007.9</v>
      </c>
      <c r="F25" s="115">
        <v>2983.1</v>
      </c>
      <c r="G25" s="114">
        <v>2963.3</v>
      </c>
      <c r="H25" s="114">
        <v>2950.1</v>
      </c>
      <c r="I25" s="115">
        <v>2942.5</v>
      </c>
      <c r="J25" s="114">
        <v>2938.3</v>
      </c>
      <c r="K25" s="114">
        <v>2936</v>
      </c>
      <c r="L25" s="115">
        <v>2934.7</v>
      </c>
      <c r="M25" s="114">
        <v>2933.5</v>
      </c>
      <c r="N25" s="114">
        <v>2802.6</v>
      </c>
      <c r="O25" s="115">
        <v>2599.4</v>
      </c>
      <c r="P25" s="114">
        <v>2340.5</v>
      </c>
      <c r="Q25" s="114">
        <v>2152.3000000000002</v>
      </c>
      <c r="R25" s="115">
        <v>2058.8000000000002</v>
      </c>
      <c r="S25" s="114">
        <v>2001</v>
      </c>
      <c r="T25" s="116">
        <v>2000.4</v>
      </c>
      <c r="U25" s="117">
        <v>2000.1</v>
      </c>
      <c r="V25" s="116">
        <v>2000</v>
      </c>
      <c r="W25" s="116">
        <v>2000</v>
      </c>
      <c r="X25" s="117">
        <v>2000</v>
      </c>
      <c r="Y25" s="116">
        <v>2000</v>
      </c>
      <c r="Z25" s="116">
        <v>2000</v>
      </c>
      <c r="AA25" s="117">
        <v>2000</v>
      </c>
      <c r="AB25" s="116">
        <v>2000</v>
      </c>
    </row>
    <row r="26" spans="1:28" x14ac:dyDescent="0.35">
      <c r="A26" s="109" t="s">
        <v>73</v>
      </c>
      <c r="B26" s="114">
        <v>640.91</v>
      </c>
      <c r="C26" s="115">
        <v>829.31</v>
      </c>
      <c r="D26" s="114">
        <v>933.77</v>
      </c>
      <c r="E26" s="114">
        <v>1170.0999999999999</v>
      </c>
      <c r="F26" s="115">
        <v>1265</v>
      </c>
      <c r="G26" s="114">
        <v>1343.4</v>
      </c>
      <c r="H26" s="114">
        <v>1396.8</v>
      </c>
      <c r="I26" s="115">
        <v>1428.5</v>
      </c>
      <c r="J26" s="114">
        <v>1446</v>
      </c>
      <c r="K26" s="114">
        <v>1455.5</v>
      </c>
      <c r="L26" s="115">
        <v>1460.7</v>
      </c>
      <c r="M26" s="114">
        <v>1464.6</v>
      </c>
      <c r="N26" s="114">
        <v>1776.6</v>
      </c>
      <c r="O26" s="115">
        <v>2332.3000000000002</v>
      </c>
      <c r="P26" s="114">
        <v>3249.7</v>
      </c>
      <c r="Q26" s="114">
        <v>4187.1000000000004</v>
      </c>
      <c r="R26" s="115">
        <v>4813.3</v>
      </c>
      <c r="S26" s="114">
        <v>5475.2</v>
      </c>
      <c r="T26" s="114">
        <v>5573.2</v>
      </c>
      <c r="U26" s="115">
        <v>5534.7</v>
      </c>
      <c r="V26" s="114">
        <v>5470.8</v>
      </c>
      <c r="W26" s="114">
        <v>5415.9</v>
      </c>
      <c r="X26" s="115">
        <v>5369.4</v>
      </c>
      <c r="Y26" s="114">
        <v>5330.3</v>
      </c>
      <c r="Z26" s="114">
        <v>5297.8</v>
      </c>
      <c r="AA26" s="115">
        <v>5269.8</v>
      </c>
      <c r="AB26" s="114">
        <v>5192.2</v>
      </c>
    </row>
    <row r="27" spans="1:28" x14ac:dyDescent="0.35">
      <c r="A27" s="105" t="s">
        <v>74</v>
      </c>
      <c r="B27" s="116">
        <v>1.4841999999999999E-32</v>
      </c>
      <c r="C27" s="117">
        <v>1.4013E-39</v>
      </c>
      <c r="D27" s="106" t="s">
        <v>77</v>
      </c>
      <c r="E27" s="106" t="s">
        <v>78</v>
      </c>
      <c r="F27" s="110" t="s">
        <v>78</v>
      </c>
      <c r="G27" s="106" t="s">
        <v>77</v>
      </c>
      <c r="H27" s="106" t="s">
        <v>78</v>
      </c>
      <c r="I27" s="110" t="s">
        <v>78</v>
      </c>
      <c r="J27" s="106" t="s">
        <v>77</v>
      </c>
      <c r="K27" s="106" t="s">
        <v>78</v>
      </c>
      <c r="L27" s="110" t="s">
        <v>78</v>
      </c>
      <c r="M27" s="106" t="s">
        <v>77</v>
      </c>
      <c r="N27" s="106" t="s">
        <v>78</v>
      </c>
      <c r="O27" s="110" t="s">
        <v>78</v>
      </c>
      <c r="P27" s="106" t="s">
        <v>77</v>
      </c>
      <c r="Q27" s="106" t="s">
        <v>78</v>
      </c>
      <c r="R27" s="110" t="s">
        <v>78</v>
      </c>
      <c r="S27" s="106" t="s">
        <v>77</v>
      </c>
      <c r="T27" s="106" t="s">
        <v>78</v>
      </c>
      <c r="U27" s="110" t="s">
        <v>78</v>
      </c>
      <c r="V27" s="106" t="s">
        <v>77</v>
      </c>
      <c r="W27" s="106" t="s">
        <v>78</v>
      </c>
      <c r="X27" s="110" t="s">
        <v>78</v>
      </c>
      <c r="Y27" s="106" t="s">
        <v>77</v>
      </c>
      <c r="Z27" s="106" t="s">
        <v>78</v>
      </c>
      <c r="AA27" s="110" t="s">
        <v>78</v>
      </c>
      <c r="AB27" s="106" t="s">
        <v>77</v>
      </c>
    </row>
    <row r="28" spans="1:28" x14ac:dyDescent="0.35">
      <c r="A28" s="105" t="s">
        <v>75</v>
      </c>
      <c r="B28" s="106" t="s">
        <v>78</v>
      </c>
      <c r="C28" s="110" t="s">
        <v>78</v>
      </c>
      <c r="D28" s="106" t="s">
        <v>77</v>
      </c>
      <c r="E28" s="106" t="s">
        <v>78</v>
      </c>
      <c r="F28" s="110" t="s">
        <v>78</v>
      </c>
      <c r="G28" s="106" t="s">
        <v>77</v>
      </c>
      <c r="H28" s="106" t="s">
        <v>78</v>
      </c>
      <c r="I28" s="110" t="s">
        <v>78</v>
      </c>
      <c r="J28" s="106" t="s">
        <v>77</v>
      </c>
      <c r="K28" s="106" t="s">
        <v>78</v>
      </c>
      <c r="L28" s="110" t="s">
        <v>78</v>
      </c>
      <c r="M28" s="106" t="s">
        <v>77</v>
      </c>
      <c r="N28" s="114">
        <v>1.5725000000000001E-35</v>
      </c>
      <c r="O28" s="115">
        <v>3.9482000000000001E-36</v>
      </c>
      <c r="P28" s="114">
        <v>1.3722000000000001E-36</v>
      </c>
      <c r="Q28" s="114">
        <v>2.2525000000000001E-35</v>
      </c>
      <c r="R28" s="115">
        <v>1.2817E-30</v>
      </c>
      <c r="S28" s="114">
        <v>2.2566E-5</v>
      </c>
      <c r="T28" s="114">
        <v>3.1504999999999998E-2</v>
      </c>
      <c r="U28" s="115">
        <v>1087.0999999999999</v>
      </c>
      <c r="V28" s="114">
        <v>1872.7</v>
      </c>
      <c r="W28" s="114">
        <v>2259.8000000000002</v>
      </c>
      <c r="X28" s="115">
        <v>2418.1</v>
      </c>
      <c r="Y28" s="114">
        <v>2429.8000000000002</v>
      </c>
      <c r="Z28" s="114">
        <v>2350</v>
      </c>
      <c r="AA28" s="115">
        <v>2343.3000000000002</v>
      </c>
      <c r="AB28" s="114">
        <v>2613.8000000000002</v>
      </c>
    </row>
    <row r="29" spans="1:28" x14ac:dyDescent="0.35">
      <c r="A29" s="111" t="s">
        <v>76</v>
      </c>
      <c r="B29" s="118">
        <v>5.3096999999999997E-5</v>
      </c>
      <c r="C29" s="119">
        <v>7.9357000000000006E-5</v>
      </c>
      <c r="D29" s="118">
        <v>7.0627E-5</v>
      </c>
      <c r="E29" s="118">
        <v>8.9878999999999998E-5</v>
      </c>
      <c r="F29" s="119">
        <v>8.9992000000000002E-5</v>
      </c>
      <c r="G29" s="118">
        <v>8.3893999999999993E-5</v>
      </c>
      <c r="H29" s="118">
        <v>6.2586E-5</v>
      </c>
      <c r="I29" s="119">
        <v>9.7619000000000002E-5</v>
      </c>
      <c r="J29" s="118">
        <v>4.6904999999999999E-5</v>
      </c>
      <c r="K29" s="118">
        <v>5.0658000000000002E-5</v>
      </c>
      <c r="L29" s="119">
        <v>5.1816E-5</v>
      </c>
      <c r="M29" s="118">
        <v>5.2654000000000001E-5</v>
      </c>
      <c r="N29" s="118">
        <v>9.0445000000000006E-5</v>
      </c>
      <c r="O29" s="119">
        <v>5.9305999999999998E-5</v>
      </c>
      <c r="P29" s="118">
        <v>5.7518000000000001E-5</v>
      </c>
      <c r="Q29" s="118">
        <v>6.4086999999999998E-5</v>
      </c>
      <c r="R29" s="119">
        <v>9.9038999999999998E-5</v>
      </c>
      <c r="S29" s="118">
        <v>7.6643000000000005E-5</v>
      </c>
      <c r="T29" s="118">
        <v>9.7761000000000001E-5</v>
      </c>
      <c r="U29" s="119">
        <v>9.9333000000000006E-5</v>
      </c>
      <c r="V29" s="118">
        <v>2.4288000000000001E-4</v>
      </c>
      <c r="W29" s="118">
        <v>8.7215000000000003E-4</v>
      </c>
      <c r="X29" s="119">
        <v>3.0200000000000001E-3</v>
      </c>
      <c r="Y29" s="118">
        <v>8.2141000000000002E-3</v>
      </c>
      <c r="Z29" s="118">
        <v>1.7007000000000001E-2</v>
      </c>
      <c r="AA29" s="119">
        <v>2.2891000000000002E-2</v>
      </c>
      <c r="AB29" s="118">
        <v>2.3163E-2</v>
      </c>
    </row>
    <row r="34" spans="2:2" x14ac:dyDescent="0.35">
      <c r="B34" t="s">
        <v>79</v>
      </c>
    </row>
  </sheetData>
  <conditionalFormatting sqref="B1:AB29">
    <cfRule type="expression" dxfId="2" priority="2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FD353-E837-40CF-A72E-2F76E965973C}">
  <sheetPr codeName="Лист8"/>
  <dimension ref="A1:AB20"/>
  <sheetViews>
    <sheetView tabSelected="1" workbookViewId="0">
      <selection activeCell="G22" sqref="G22"/>
    </sheetView>
  </sheetViews>
  <sheetFormatPr defaultRowHeight="21" x14ac:dyDescent="0.35"/>
  <sheetData>
    <row r="1" spans="1:28" x14ac:dyDescent="0.35">
      <c r="A1" s="105" t="s">
        <v>56</v>
      </c>
      <c r="B1" s="106">
        <v>273.10000000000002</v>
      </c>
      <c r="C1" s="106">
        <v>339.2</v>
      </c>
      <c r="D1" s="106">
        <v>405.3</v>
      </c>
      <c r="E1" s="106">
        <v>471.4</v>
      </c>
      <c r="F1" s="106">
        <v>487.9</v>
      </c>
      <c r="G1" s="106">
        <v>504.4</v>
      </c>
      <c r="H1" s="106">
        <v>520.9</v>
      </c>
      <c r="I1" s="106">
        <v>537.5</v>
      </c>
      <c r="J1" s="107">
        <v>554</v>
      </c>
      <c r="K1" s="106">
        <v>570.5</v>
      </c>
      <c r="L1" s="107">
        <v>587</v>
      </c>
      <c r="M1" s="106">
        <v>603.5</v>
      </c>
      <c r="N1" s="106">
        <v>669.6</v>
      </c>
      <c r="O1" s="106">
        <v>686.1</v>
      </c>
      <c r="P1" s="106">
        <v>702.7</v>
      </c>
      <c r="Q1" s="106">
        <v>719.2</v>
      </c>
      <c r="R1" s="106">
        <v>735.7</v>
      </c>
      <c r="S1" s="106">
        <v>801.8</v>
      </c>
      <c r="T1" s="106">
        <v>818.3</v>
      </c>
      <c r="U1" s="106">
        <v>834.8</v>
      </c>
      <c r="V1" s="106">
        <v>851.3</v>
      </c>
      <c r="W1" s="106">
        <v>867.8</v>
      </c>
      <c r="X1" s="106">
        <v>884.4</v>
      </c>
      <c r="Y1" s="106">
        <v>900.9</v>
      </c>
      <c r="Z1" s="106">
        <v>917.4</v>
      </c>
      <c r="AA1" s="106">
        <v>933.9</v>
      </c>
      <c r="AB1" s="106">
        <v>1000</v>
      </c>
    </row>
    <row r="2" spans="1:28" x14ac:dyDescent="0.35">
      <c r="A2" s="108" t="s">
        <v>54</v>
      </c>
      <c r="B2" s="112">
        <v>235.81</v>
      </c>
      <c r="C2" s="113">
        <v>295.11</v>
      </c>
      <c r="D2" s="112">
        <v>326.2</v>
      </c>
      <c r="E2" s="112">
        <v>392.08</v>
      </c>
      <c r="F2" s="113">
        <v>416.89</v>
      </c>
      <c r="G2" s="112">
        <v>436.71</v>
      </c>
      <c r="H2" s="112">
        <v>449.86</v>
      </c>
      <c r="I2" s="113">
        <v>457.54</v>
      </c>
      <c r="J2" s="112">
        <v>461.74</v>
      </c>
      <c r="K2" s="112">
        <v>464</v>
      </c>
      <c r="L2" s="113">
        <v>465.23</v>
      </c>
      <c r="M2" s="112">
        <v>466.07</v>
      </c>
      <c r="N2" s="112">
        <v>508.75</v>
      </c>
      <c r="O2" s="113">
        <v>537.83000000000004</v>
      </c>
      <c r="P2" s="112">
        <v>472.81</v>
      </c>
      <c r="Q2" s="112">
        <v>296.22000000000003</v>
      </c>
      <c r="R2" s="113">
        <v>137.41</v>
      </c>
      <c r="S2" s="112">
        <v>2.8534000000000002</v>
      </c>
      <c r="T2" s="112">
        <v>1.0971</v>
      </c>
      <c r="U2" s="113">
        <v>0.34276000000000001</v>
      </c>
      <c r="V2" s="112">
        <v>8.3289000000000002E-2</v>
      </c>
      <c r="W2" s="112">
        <v>1.8443999999999999E-2</v>
      </c>
      <c r="X2" s="113">
        <v>4.0052999999999998E-3</v>
      </c>
      <c r="Y2" s="112">
        <v>8.8174E-4</v>
      </c>
      <c r="Z2" s="112">
        <v>1.9948000000000001E-4</v>
      </c>
      <c r="AA2" s="113">
        <v>4.6588000000000002E-5</v>
      </c>
      <c r="AB2" s="112">
        <v>1.9231000000000001E-7</v>
      </c>
    </row>
    <row r="3" spans="1:28" x14ac:dyDescent="0.35">
      <c r="A3" s="109" t="s">
        <v>55</v>
      </c>
      <c r="B3" s="114">
        <v>1.5785999999999999E-24</v>
      </c>
      <c r="C3" s="115">
        <v>5.8698000000000002E-18</v>
      </c>
      <c r="D3" s="114">
        <v>6.6535000000000003E-12</v>
      </c>
      <c r="E3" s="114">
        <v>1.6729000000000001E-7</v>
      </c>
      <c r="F3" s="115">
        <v>1.4176E-6</v>
      </c>
      <c r="G3" s="114">
        <v>1.098E-5</v>
      </c>
      <c r="H3" s="114">
        <v>7.7919999999999999E-5</v>
      </c>
      <c r="I3" s="115">
        <v>5.0568E-4</v>
      </c>
      <c r="J3" s="114">
        <v>3.0016000000000001E-3</v>
      </c>
      <c r="K3" s="114">
        <v>1.6344999999999998E-2</v>
      </c>
      <c r="L3" s="115">
        <v>8.2033999999999996E-2</v>
      </c>
      <c r="M3" s="114">
        <v>0.38144</v>
      </c>
      <c r="N3" s="114">
        <v>87.625</v>
      </c>
      <c r="O3" s="115">
        <v>259.47000000000003</v>
      </c>
      <c r="P3" s="114">
        <v>578.1</v>
      </c>
      <c r="Q3" s="114">
        <v>933.28</v>
      </c>
      <c r="R3" s="115">
        <v>1171.5999999999999</v>
      </c>
      <c r="S3" s="114">
        <v>1254.0999999999999</v>
      </c>
      <c r="T3" s="114">
        <v>1210.2</v>
      </c>
      <c r="U3" s="115">
        <v>685.93</v>
      </c>
      <c r="V3" s="114">
        <v>323.7</v>
      </c>
      <c r="W3" s="114">
        <v>149.25</v>
      </c>
      <c r="X3" s="115">
        <v>68.882000000000005</v>
      </c>
      <c r="Y3" s="114">
        <v>32.167000000000002</v>
      </c>
      <c r="Z3" s="114">
        <v>15.263</v>
      </c>
      <c r="AA3" s="115">
        <v>7.3613</v>
      </c>
      <c r="AB3" s="114">
        <v>0.46826000000000001</v>
      </c>
    </row>
    <row r="4" spans="1:28" x14ac:dyDescent="0.35">
      <c r="A4" s="109" t="s">
        <v>41</v>
      </c>
      <c r="B4" s="114">
        <v>7.7441999999999995E-4</v>
      </c>
      <c r="C4" s="115">
        <v>5.1692000000000002E-2</v>
      </c>
      <c r="D4" s="114">
        <v>5.4973000000000001</v>
      </c>
      <c r="E4" s="114">
        <v>89.084999999999994</v>
      </c>
      <c r="F4" s="115">
        <v>124.1</v>
      </c>
      <c r="G4" s="114">
        <v>153.37</v>
      </c>
      <c r="H4" s="114">
        <v>173.47</v>
      </c>
      <c r="I4" s="115">
        <v>185.48</v>
      </c>
      <c r="J4" s="114">
        <v>192.13</v>
      </c>
      <c r="K4" s="114">
        <v>195.7</v>
      </c>
      <c r="L4" s="115">
        <v>197.62</v>
      </c>
      <c r="M4" s="114">
        <v>198.66</v>
      </c>
      <c r="N4" s="116">
        <v>199.82</v>
      </c>
      <c r="O4" s="117">
        <v>199.88</v>
      </c>
      <c r="P4" s="116">
        <v>199.91</v>
      </c>
      <c r="Q4" s="116">
        <v>199.94</v>
      </c>
      <c r="R4" s="117">
        <v>199.96</v>
      </c>
      <c r="S4" s="116">
        <v>199.99</v>
      </c>
      <c r="T4" s="114">
        <v>199.99</v>
      </c>
      <c r="U4" s="115">
        <v>196.31</v>
      </c>
      <c r="V4" s="114">
        <v>193</v>
      </c>
      <c r="W4" s="114">
        <v>190.69</v>
      </c>
      <c r="X4" s="115">
        <v>189.04</v>
      </c>
      <c r="Y4" s="114">
        <v>187.91</v>
      </c>
      <c r="Z4" s="116">
        <v>187.2</v>
      </c>
      <c r="AA4" s="117">
        <v>186.1</v>
      </c>
      <c r="AB4" s="116">
        <v>179.25</v>
      </c>
    </row>
    <row r="5" spans="1:28" x14ac:dyDescent="0.35">
      <c r="A5" s="109" t="s">
        <v>40</v>
      </c>
      <c r="B5" s="114">
        <v>1.9028999999999998E-24</v>
      </c>
      <c r="C5" s="115">
        <v>3.6591999999999998E-18</v>
      </c>
      <c r="D5" s="114">
        <v>1.2778000000000001E-12</v>
      </c>
      <c r="E5" s="114">
        <v>1.6314E-8</v>
      </c>
      <c r="F5" s="115">
        <v>1.2242999999999999E-7</v>
      </c>
      <c r="G5" s="114">
        <v>8.3728999999999995E-7</v>
      </c>
      <c r="H5" s="114">
        <v>5.2262E-6</v>
      </c>
      <c r="I5" s="115">
        <v>2.9794999999999998E-5</v>
      </c>
      <c r="J5" s="114">
        <v>1.5558E-4</v>
      </c>
      <c r="K5" s="114">
        <v>7.4713999999999998E-4</v>
      </c>
      <c r="L5" s="115">
        <v>3.3159999999999999E-3</v>
      </c>
      <c r="M5" s="114">
        <v>1.3668E-2</v>
      </c>
      <c r="N5" s="114">
        <v>2.1211000000000002</v>
      </c>
      <c r="O5" s="115">
        <v>6.5042</v>
      </c>
      <c r="P5" s="114">
        <v>17.117999999999999</v>
      </c>
      <c r="Q5" s="114">
        <v>36.463999999999999</v>
      </c>
      <c r="R5" s="115">
        <v>64.498999999999995</v>
      </c>
      <c r="S5" s="114">
        <v>284.06</v>
      </c>
      <c r="T5" s="114">
        <v>376.63</v>
      </c>
      <c r="U5" s="115">
        <v>343.19</v>
      </c>
      <c r="V5" s="114">
        <v>285.06</v>
      </c>
      <c r="W5" s="114">
        <v>234.62</v>
      </c>
      <c r="X5" s="115">
        <v>191.29</v>
      </c>
      <c r="Y5" s="114">
        <v>154.44</v>
      </c>
      <c r="Z5" s="114">
        <v>123.42</v>
      </c>
      <c r="AA5" s="115">
        <v>97.513000000000005</v>
      </c>
      <c r="AB5" s="114">
        <v>33.718000000000004</v>
      </c>
    </row>
    <row r="6" spans="1:28" x14ac:dyDescent="0.35">
      <c r="A6" s="109" t="s">
        <v>39</v>
      </c>
      <c r="B6" s="114">
        <v>6.0558999999999999E-6</v>
      </c>
      <c r="C6" s="115">
        <v>7.1007999999999995E-5</v>
      </c>
      <c r="D6" s="114">
        <v>4.6579999999999998E-5</v>
      </c>
      <c r="E6" s="114">
        <v>3.6285999999999998E-5</v>
      </c>
      <c r="F6" s="115">
        <v>3.4934000000000001E-5</v>
      </c>
      <c r="G6" s="114">
        <v>3.3129000000000001E-5</v>
      </c>
      <c r="H6" s="114">
        <v>3.0579E-5</v>
      </c>
      <c r="I6" s="115">
        <v>2.7300999999999998E-5</v>
      </c>
      <c r="J6" s="114">
        <v>2.3900000000000002E-5</v>
      </c>
      <c r="K6" s="114">
        <v>2.0703000000000002E-5</v>
      </c>
      <c r="L6" s="115">
        <v>1.7844000000000001E-5</v>
      </c>
      <c r="M6" s="114">
        <v>1.5353999999999999E-5</v>
      </c>
      <c r="N6" s="114">
        <v>1.0822000000000001E-5</v>
      </c>
      <c r="O6" s="115">
        <v>1.3489000000000001E-5</v>
      </c>
      <c r="P6" s="114">
        <v>1.8318E-5</v>
      </c>
      <c r="Q6" s="114">
        <v>2.2311E-5</v>
      </c>
      <c r="R6" s="115">
        <v>2.3173E-5</v>
      </c>
      <c r="S6" s="114">
        <v>1.4949999999999999E-5</v>
      </c>
      <c r="T6" s="114">
        <v>1.3115000000000001E-5</v>
      </c>
      <c r="U6" s="115">
        <v>1.3019E-5</v>
      </c>
      <c r="V6" s="114">
        <v>1.2271E-5</v>
      </c>
      <c r="W6" s="114">
        <v>1.1049999999999999E-5</v>
      </c>
      <c r="X6" s="115">
        <v>9.7488000000000006E-6</v>
      </c>
      <c r="Y6" s="114">
        <v>8.5265000000000004E-6</v>
      </c>
      <c r="Z6" s="114">
        <v>7.4314999999999999E-6</v>
      </c>
      <c r="AA6" s="115">
        <v>6.4691999999999998E-6</v>
      </c>
      <c r="AB6" s="114">
        <v>3.72E-6</v>
      </c>
    </row>
    <row r="7" spans="1:28" x14ac:dyDescent="0.35">
      <c r="A7" s="105" t="s">
        <v>38</v>
      </c>
      <c r="B7" s="116">
        <v>1.3958E-6</v>
      </c>
      <c r="C7" s="117">
        <v>2.5193000000000001E-5</v>
      </c>
      <c r="D7" s="116">
        <v>2.2232E-5</v>
      </c>
      <c r="E7" s="116">
        <v>2.1478999999999999E-5</v>
      </c>
      <c r="F7" s="117">
        <v>2.1625E-5</v>
      </c>
      <c r="G7" s="116">
        <v>2.0744999999999999E-5</v>
      </c>
      <c r="H7" s="116">
        <v>1.8984E-5</v>
      </c>
      <c r="I7" s="117">
        <v>1.6796999999999999E-5</v>
      </c>
      <c r="J7" s="116">
        <v>1.4566000000000001E-5</v>
      </c>
      <c r="K7" s="116">
        <v>1.2497000000000001E-5</v>
      </c>
      <c r="L7" s="117">
        <v>1.0665E-5</v>
      </c>
      <c r="M7" s="116">
        <v>9.0855999999999999E-6</v>
      </c>
      <c r="N7" s="116">
        <v>6.1491000000000001E-6</v>
      </c>
      <c r="O7" s="117">
        <v>7.5873000000000002E-6</v>
      </c>
      <c r="P7" s="116">
        <v>1.0200000000000001E-5</v>
      </c>
      <c r="Q7" s="116">
        <v>1.2299E-5</v>
      </c>
      <c r="R7" s="117">
        <v>1.2646999999999999E-5</v>
      </c>
      <c r="S7" s="116">
        <v>7.8438999999999996E-6</v>
      </c>
      <c r="T7" s="116">
        <v>6.8148000000000004E-6</v>
      </c>
      <c r="U7" s="117">
        <v>6.7001999999999998E-6</v>
      </c>
      <c r="V7" s="116">
        <v>6.2554000000000003E-6</v>
      </c>
      <c r="W7" s="116">
        <v>5.5798999999999997E-6</v>
      </c>
      <c r="X7" s="117">
        <v>4.8771000000000003E-6</v>
      </c>
      <c r="Y7" s="116">
        <v>4.2261000000000001E-6</v>
      </c>
      <c r="Z7" s="116">
        <v>3.6494000000000002E-6</v>
      </c>
      <c r="AA7" s="117">
        <v>3.1478000000000002E-6</v>
      </c>
      <c r="AB7" s="116">
        <v>1.7455000000000001E-6</v>
      </c>
    </row>
    <row r="8" spans="1:28" x14ac:dyDescent="0.35">
      <c r="A8" s="105" t="s">
        <v>43</v>
      </c>
      <c r="B8" s="116">
        <v>5.1003999999999996</v>
      </c>
      <c r="C8" s="117">
        <v>134.19999999999999</v>
      </c>
      <c r="D8" s="116">
        <v>207.57</v>
      </c>
      <c r="E8" s="116">
        <v>377.98</v>
      </c>
      <c r="F8" s="117">
        <v>448.11</v>
      </c>
      <c r="G8" s="116">
        <v>506.71</v>
      </c>
      <c r="H8" s="116">
        <v>546.91999999999996</v>
      </c>
      <c r="I8" s="117">
        <v>570.95000000000005</v>
      </c>
      <c r="J8" s="116">
        <v>584.26</v>
      </c>
      <c r="K8" s="116">
        <v>591.44000000000005</v>
      </c>
      <c r="L8" s="117">
        <v>595.41</v>
      </c>
      <c r="M8" s="116">
        <v>598.1</v>
      </c>
      <c r="N8" s="116">
        <v>778.08</v>
      </c>
      <c r="O8" s="117">
        <v>1128.5</v>
      </c>
      <c r="P8" s="116">
        <v>1781.7</v>
      </c>
      <c r="Q8" s="116">
        <v>2521.1</v>
      </c>
      <c r="R8" s="117">
        <v>3039.8</v>
      </c>
      <c r="S8" s="116">
        <v>3534.2</v>
      </c>
      <c r="T8" s="116">
        <v>3585.3</v>
      </c>
      <c r="U8" s="117">
        <v>4112.7</v>
      </c>
      <c r="V8" s="116">
        <v>4476</v>
      </c>
      <c r="W8" s="116">
        <v>4650.7</v>
      </c>
      <c r="X8" s="117">
        <v>4731.1000000000004</v>
      </c>
      <c r="Y8" s="116">
        <v>4767.8</v>
      </c>
      <c r="Z8" s="116">
        <v>4784.7</v>
      </c>
      <c r="AA8" s="117">
        <v>4792.6000000000004</v>
      </c>
      <c r="AB8" s="116">
        <v>4799.5</v>
      </c>
    </row>
    <row r="9" spans="1:28" x14ac:dyDescent="0.35">
      <c r="A9" s="109" t="s">
        <v>48</v>
      </c>
      <c r="B9" s="114">
        <v>7.7441999999999995E-4</v>
      </c>
      <c r="C9" s="115">
        <v>5.1692000000000002E-2</v>
      </c>
      <c r="D9" s="114">
        <v>5.4973000000000001</v>
      </c>
      <c r="E9" s="114">
        <v>89.084999999999994</v>
      </c>
      <c r="F9" s="115">
        <v>124.1</v>
      </c>
      <c r="G9" s="114">
        <v>153.37</v>
      </c>
      <c r="H9" s="114">
        <v>173.47</v>
      </c>
      <c r="I9" s="115">
        <v>185.48</v>
      </c>
      <c r="J9" s="114">
        <v>192.13</v>
      </c>
      <c r="K9" s="114">
        <v>195.7</v>
      </c>
      <c r="L9" s="115">
        <v>197.62</v>
      </c>
      <c r="M9" s="114">
        <v>198.66</v>
      </c>
      <c r="N9" s="114">
        <v>199.82</v>
      </c>
      <c r="O9" s="115">
        <v>199.88</v>
      </c>
      <c r="P9" s="114">
        <v>199.91</v>
      </c>
      <c r="Q9" s="114">
        <v>199.94</v>
      </c>
      <c r="R9" s="115">
        <v>199.96</v>
      </c>
      <c r="S9" s="114">
        <v>199.99</v>
      </c>
      <c r="T9" s="114">
        <v>199.99</v>
      </c>
      <c r="U9" s="115">
        <v>196.31</v>
      </c>
      <c r="V9" s="114">
        <v>193</v>
      </c>
      <c r="W9" s="114">
        <v>190.69</v>
      </c>
      <c r="X9" s="115">
        <v>189.04</v>
      </c>
      <c r="Y9" s="114">
        <v>187.91</v>
      </c>
      <c r="Z9" s="114">
        <v>187.2</v>
      </c>
      <c r="AA9" s="115">
        <v>186.1</v>
      </c>
      <c r="AB9" s="114">
        <v>179.25</v>
      </c>
    </row>
    <row r="10" spans="1:28" x14ac:dyDescent="0.35">
      <c r="A10" s="105" t="s">
        <v>49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17">
        <v>1.1933E-31</v>
      </c>
      <c r="S10" s="116">
        <v>1.3674E-5</v>
      </c>
      <c r="T10" s="114">
        <v>2.8976999999999999E-2</v>
      </c>
      <c r="U10" s="115">
        <v>1079.8</v>
      </c>
      <c r="V10" s="114">
        <v>1858.8</v>
      </c>
      <c r="W10" s="114">
        <v>2241.4</v>
      </c>
      <c r="X10" s="115">
        <v>2396.8000000000002</v>
      </c>
      <c r="Y10" s="114">
        <v>2407.3000000000002</v>
      </c>
      <c r="Z10" s="114">
        <v>2327.5</v>
      </c>
      <c r="AA10" s="115">
        <v>2319.4</v>
      </c>
      <c r="AB10" s="114">
        <v>2575.1999999999998</v>
      </c>
    </row>
    <row r="11" spans="1:28" x14ac:dyDescent="0.35">
      <c r="A11" s="105" t="s">
        <v>50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16">
        <v>1.2666E-7</v>
      </c>
      <c r="T11" s="114">
        <v>1.942E-4</v>
      </c>
      <c r="U11" s="115">
        <v>7.3711000000000002</v>
      </c>
      <c r="V11" s="114">
        <v>13.999000000000001</v>
      </c>
      <c r="W11" s="114">
        <v>18.614999999999998</v>
      </c>
      <c r="X11" s="115">
        <v>21.911999999999999</v>
      </c>
      <c r="Y11" s="114">
        <v>24.17</v>
      </c>
      <c r="Z11" s="114">
        <v>25.602</v>
      </c>
      <c r="AA11" s="115">
        <v>27.795000000000002</v>
      </c>
      <c r="AB11" s="114">
        <v>41.500999999999998</v>
      </c>
    </row>
    <row r="12" spans="1:28" x14ac:dyDescent="0.35">
      <c r="A12" s="109" t="s">
        <v>68</v>
      </c>
      <c r="B12" s="114">
        <v>-19080</v>
      </c>
      <c r="C12" s="115">
        <v>-19070</v>
      </c>
      <c r="D12" s="114">
        <v>-19150</v>
      </c>
      <c r="E12" s="114">
        <v>-19250</v>
      </c>
      <c r="F12" s="115">
        <v>-19270</v>
      </c>
      <c r="G12" s="114">
        <v>-19300</v>
      </c>
      <c r="H12" s="114">
        <v>-19330</v>
      </c>
      <c r="I12" s="115">
        <v>-19360</v>
      </c>
      <c r="J12" s="114">
        <v>-19390</v>
      </c>
      <c r="K12" s="114">
        <v>-19420</v>
      </c>
      <c r="L12" s="115">
        <v>-19460</v>
      </c>
      <c r="M12" s="114">
        <v>-19490</v>
      </c>
      <c r="N12" s="114">
        <v>-19580</v>
      </c>
      <c r="O12" s="115">
        <v>-19540</v>
      </c>
      <c r="P12" s="114">
        <v>-19470</v>
      </c>
      <c r="Q12" s="114">
        <v>-19420</v>
      </c>
      <c r="R12" s="115">
        <v>-19410</v>
      </c>
      <c r="S12" s="114">
        <v>-19510</v>
      </c>
      <c r="T12" s="114">
        <v>-19550</v>
      </c>
      <c r="U12" s="115">
        <v>-19580</v>
      </c>
      <c r="V12" s="114">
        <v>-19610</v>
      </c>
      <c r="W12" s="114">
        <v>-19640</v>
      </c>
      <c r="X12" s="115">
        <v>-19670</v>
      </c>
      <c r="Y12" s="114">
        <v>-19700</v>
      </c>
      <c r="Z12" s="114">
        <v>-19730</v>
      </c>
      <c r="AA12" s="115">
        <v>-19760</v>
      </c>
      <c r="AB12" s="114">
        <v>-19880</v>
      </c>
    </row>
    <row r="13" spans="1:28" x14ac:dyDescent="0.35">
      <c r="A13" s="109" t="s">
        <v>69</v>
      </c>
      <c r="B13" s="114">
        <v>-65990</v>
      </c>
      <c r="C13" s="115">
        <v>-51790</v>
      </c>
      <c r="D13" s="114">
        <v>-39260</v>
      </c>
      <c r="E13" s="114">
        <v>-30180</v>
      </c>
      <c r="F13" s="115">
        <v>-28280</v>
      </c>
      <c r="G13" s="114">
        <v>-26450</v>
      </c>
      <c r="H13" s="114">
        <v>-24700</v>
      </c>
      <c r="I13" s="115">
        <v>-23010</v>
      </c>
      <c r="J13" s="114">
        <v>-21400</v>
      </c>
      <c r="K13" s="114">
        <v>-19860</v>
      </c>
      <c r="L13" s="115">
        <v>-18390</v>
      </c>
      <c r="M13" s="114">
        <v>-16990</v>
      </c>
      <c r="N13" s="114">
        <v>-12140</v>
      </c>
      <c r="O13" s="115">
        <v>-11270</v>
      </c>
      <c r="P13" s="114">
        <v>-10610</v>
      </c>
      <c r="Q13" s="114">
        <v>-10070</v>
      </c>
      <c r="R13" s="115">
        <v>-9596</v>
      </c>
      <c r="S13" s="114">
        <v>-7969</v>
      </c>
      <c r="T13" s="114">
        <v>-7610</v>
      </c>
      <c r="U13" s="115">
        <v>-7591</v>
      </c>
      <c r="V13" s="114">
        <v>-7648</v>
      </c>
      <c r="W13" s="114">
        <v>-7704</v>
      </c>
      <c r="X13" s="115">
        <v>-7760</v>
      </c>
      <c r="Y13" s="114">
        <v>-7814</v>
      </c>
      <c r="Z13" s="114">
        <v>-7867</v>
      </c>
      <c r="AA13" s="115">
        <v>-7920</v>
      </c>
      <c r="AB13" s="114">
        <v>-8124</v>
      </c>
    </row>
    <row r="14" spans="1:28" x14ac:dyDescent="0.35">
      <c r="A14" s="109" t="s">
        <v>70</v>
      </c>
      <c r="B14" s="114">
        <v>-17380</v>
      </c>
      <c r="C14" s="115">
        <v>-13440</v>
      </c>
      <c r="D14" s="114">
        <v>-8996</v>
      </c>
      <c r="E14" s="114">
        <v>-6574</v>
      </c>
      <c r="F14" s="115">
        <v>-6359</v>
      </c>
      <c r="G14" s="114">
        <v>-6246</v>
      </c>
      <c r="H14" s="114">
        <v>-6201</v>
      </c>
      <c r="I14" s="115">
        <v>-6196</v>
      </c>
      <c r="J14" s="114">
        <v>-6214</v>
      </c>
      <c r="K14" s="114">
        <v>-6242</v>
      </c>
      <c r="L14" s="115">
        <v>-6277</v>
      </c>
      <c r="M14" s="114">
        <v>-6315</v>
      </c>
      <c r="N14" s="114">
        <v>-6666</v>
      </c>
      <c r="O14" s="115">
        <v>-6979</v>
      </c>
      <c r="P14" s="114">
        <v>-7351</v>
      </c>
      <c r="Q14" s="114">
        <v>-7644</v>
      </c>
      <c r="R14" s="115">
        <v>-7824</v>
      </c>
      <c r="S14" s="114">
        <v>-8111</v>
      </c>
      <c r="T14" s="114">
        <v>-8167</v>
      </c>
      <c r="U14" s="115">
        <v>-8218</v>
      </c>
      <c r="V14" s="114">
        <v>-8261</v>
      </c>
      <c r="W14" s="114">
        <v>-8301</v>
      </c>
      <c r="X14" s="115">
        <v>-8339</v>
      </c>
      <c r="Y14" s="114">
        <v>-8375</v>
      </c>
      <c r="Z14" s="114">
        <v>-8410</v>
      </c>
      <c r="AA14" s="115">
        <v>-8448</v>
      </c>
      <c r="AB14" s="114">
        <v>-8615</v>
      </c>
    </row>
    <row r="15" spans="1:28" x14ac:dyDescent="0.35">
      <c r="A15" s="109" t="s">
        <v>71</v>
      </c>
      <c r="B15" s="114">
        <v>-23570</v>
      </c>
      <c r="C15" s="115">
        <v>-21380</v>
      </c>
      <c r="D15" s="114">
        <v>-22030</v>
      </c>
      <c r="E15" s="114">
        <v>-22650</v>
      </c>
      <c r="F15" s="115">
        <v>-22810</v>
      </c>
      <c r="G15" s="114">
        <v>-23000</v>
      </c>
      <c r="H15" s="114">
        <v>-23210</v>
      </c>
      <c r="I15" s="115">
        <v>-23430</v>
      </c>
      <c r="J15" s="114">
        <v>-23660</v>
      </c>
      <c r="K15" s="114">
        <v>-23900</v>
      </c>
      <c r="L15" s="115">
        <v>-24140</v>
      </c>
      <c r="M15" s="114">
        <v>-24370</v>
      </c>
      <c r="N15" s="114">
        <v>-25240</v>
      </c>
      <c r="O15" s="115">
        <v>-25360</v>
      </c>
      <c r="P15" s="114">
        <v>-25470</v>
      </c>
      <c r="Q15" s="114">
        <v>-25600</v>
      </c>
      <c r="R15" s="115">
        <v>-25770</v>
      </c>
      <c r="S15" s="114">
        <v>-26620</v>
      </c>
      <c r="T15" s="114">
        <v>-26830</v>
      </c>
      <c r="U15" s="115">
        <v>-26900</v>
      </c>
      <c r="V15" s="114">
        <v>-27010</v>
      </c>
      <c r="W15" s="114">
        <v>-27170</v>
      </c>
      <c r="X15" s="115">
        <v>-27350</v>
      </c>
      <c r="Y15" s="114">
        <v>-27540</v>
      </c>
      <c r="Z15" s="114">
        <v>-27730</v>
      </c>
      <c r="AA15" s="115">
        <v>-27920</v>
      </c>
      <c r="AB15" s="114">
        <v>-28700</v>
      </c>
    </row>
    <row r="16" spans="1:28" x14ac:dyDescent="0.35">
      <c r="A16" s="109" t="s">
        <v>72</v>
      </c>
      <c r="B16" s="114">
        <v>3164.2</v>
      </c>
      <c r="C16" s="115">
        <v>3104.9</v>
      </c>
      <c r="D16" s="114">
        <v>3073.8</v>
      </c>
      <c r="E16" s="114">
        <v>3007.9</v>
      </c>
      <c r="F16" s="115">
        <v>2983.1</v>
      </c>
      <c r="G16" s="114">
        <v>2963.3</v>
      </c>
      <c r="H16" s="114">
        <v>2950.1</v>
      </c>
      <c r="I16" s="115">
        <v>2942.5</v>
      </c>
      <c r="J16" s="114">
        <v>2938.3</v>
      </c>
      <c r="K16" s="114">
        <v>2936</v>
      </c>
      <c r="L16" s="115">
        <v>2934.7</v>
      </c>
      <c r="M16" s="114">
        <v>2933.5</v>
      </c>
      <c r="N16" s="114">
        <v>2802.6</v>
      </c>
      <c r="O16" s="115">
        <v>2599.4</v>
      </c>
      <c r="P16" s="114">
        <v>2340.5</v>
      </c>
      <c r="Q16" s="114">
        <v>2152.3000000000002</v>
      </c>
      <c r="R16" s="115">
        <v>2058.8000000000002</v>
      </c>
      <c r="S16" s="114">
        <v>2001</v>
      </c>
      <c r="T16" s="116">
        <v>2000.4</v>
      </c>
      <c r="U16" s="117">
        <v>2000.1</v>
      </c>
      <c r="V16" s="116">
        <v>2000</v>
      </c>
      <c r="W16" s="116">
        <v>2000</v>
      </c>
      <c r="X16" s="117">
        <v>2000</v>
      </c>
      <c r="Y16" s="116">
        <v>2000</v>
      </c>
      <c r="Z16" s="116">
        <v>2000</v>
      </c>
      <c r="AA16" s="117">
        <v>2000</v>
      </c>
      <c r="AB16" s="116">
        <v>2000</v>
      </c>
    </row>
    <row r="17" spans="1:28" x14ac:dyDescent="0.35">
      <c r="A17" s="109" t="s">
        <v>73</v>
      </c>
      <c r="B17" s="114">
        <v>640.91</v>
      </c>
      <c r="C17" s="115">
        <v>829.31</v>
      </c>
      <c r="D17" s="114">
        <v>933.77</v>
      </c>
      <c r="E17" s="114">
        <v>1170.0999999999999</v>
      </c>
      <c r="F17" s="115">
        <v>1265</v>
      </c>
      <c r="G17" s="114">
        <v>1343.4</v>
      </c>
      <c r="H17" s="114">
        <v>1396.8</v>
      </c>
      <c r="I17" s="115">
        <v>1428.5</v>
      </c>
      <c r="J17" s="114">
        <v>1446</v>
      </c>
      <c r="K17" s="114">
        <v>1455.5</v>
      </c>
      <c r="L17" s="115">
        <v>1460.7</v>
      </c>
      <c r="M17" s="114">
        <v>1464.6</v>
      </c>
      <c r="N17" s="114">
        <v>1776.6</v>
      </c>
      <c r="O17" s="115">
        <v>2332.3000000000002</v>
      </c>
      <c r="P17" s="114">
        <v>3249.7</v>
      </c>
      <c r="Q17" s="114">
        <v>4187.1000000000004</v>
      </c>
      <c r="R17" s="115">
        <v>4813.3</v>
      </c>
      <c r="S17" s="114">
        <v>5475.2</v>
      </c>
      <c r="T17" s="114">
        <v>5573.2</v>
      </c>
      <c r="U17" s="115">
        <v>5534.7</v>
      </c>
      <c r="V17" s="114">
        <v>5470.8</v>
      </c>
      <c r="W17" s="114">
        <v>5415.9</v>
      </c>
      <c r="X17" s="115">
        <v>5369.4</v>
      </c>
      <c r="Y17" s="114">
        <v>5330.3</v>
      </c>
      <c r="Z17" s="114">
        <v>5297.8</v>
      </c>
      <c r="AA17" s="115">
        <v>5269.8</v>
      </c>
      <c r="AB17" s="114">
        <v>5192.2</v>
      </c>
    </row>
    <row r="18" spans="1:28" x14ac:dyDescent="0.35">
      <c r="A18" s="105" t="s">
        <v>74</v>
      </c>
      <c r="B18" s="116">
        <v>1.4841999999999999E-32</v>
      </c>
      <c r="C18" s="117">
        <v>1.4013E-39</v>
      </c>
      <c r="D18" s="106" t="s">
        <v>77</v>
      </c>
      <c r="E18" s="106" t="s">
        <v>78</v>
      </c>
      <c r="F18" s="110" t="s">
        <v>78</v>
      </c>
      <c r="G18" s="106" t="s">
        <v>77</v>
      </c>
      <c r="H18" s="106" t="s">
        <v>78</v>
      </c>
      <c r="I18" s="110" t="s">
        <v>78</v>
      </c>
      <c r="J18" s="106" t="s">
        <v>77</v>
      </c>
      <c r="K18" s="106" t="s">
        <v>78</v>
      </c>
      <c r="L18" s="110" t="s">
        <v>78</v>
      </c>
      <c r="M18" s="106" t="s">
        <v>77</v>
      </c>
      <c r="N18" s="106" t="s">
        <v>78</v>
      </c>
      <c r="O18" s="110" t="s">
        <v>78</v>
      </c>
      <c r="P18" s="106" t="s">
        <v>77</v>
      </c>
      <c r="Q18" s="106" t="s">
        <v>78</v>
      </c>
      <c r="R18" s="110" t="s">
        <v>78</v>
      </c>
      <c r="S18" s="106" t="s">
        <v>77</v>
      </c>
      <c r="T18" s="106" t="s">
        <v>78</v>
      </c>
      <c r="U18" s="110" t="s">
        <v>78</v>
      </c>
      <c r="V18" s="106" t="s">
        <v>77</v>
      </c>
      <c r="W18" s="106" t="s">
        <v>78</v>
      </c>
      <c r="X18" s="110" t="s">
        <v>78</v>
      </c>
      <c r="Y18" s="106" t="s">
        <v>77</v>
      </c>
      <c r="Z18" s="106" t="s">
        <v>78</v>
      </c>
      <c r="AA18" s="110" t="s">
        <v>78</v>
      </c>
      <c r="AB18" s="106" t="s">
        <v>77</v>
      </c>
    </row>
    <row r="19" spans="1:28" x14ac:dyDescent="0.35">
      <c r="A19" s="105" t="s">
        <v>75</v>
      </c>
      <c r="B19" s="106" t="s">
        <v>78</v>
      </c>
      <c r="C19" s="110" t="s">
        <v>78</v>
      </c>
      <c r="D19" s="106" t="s">
        <v>77</v>
      </c>
      <c r="E19" s="106" t="s">
        <v>78</v>
      </c>
      <c r="F19" s="110" t="s">
        <v>78</v>
      </c>
      <c r="G19" s="106" t="s">
        <v>77</v>
      </c>
      <c r="H19" s="106" t="s">
        <v>78</v>
      </c>
      <c r="I19" s="110" t="s">
        <v>78</v>
      </c>
      <c r="J19" s="106" t="s">
        <v>77</v>
      </c>
      <c r="K19" s="106" t="s">
        <v>78</v>
      </c>
      <c r="L19" s="110" t="s">
        <v>78</v>
      </c>
      <c r="M19" s="106" t="s">
        <v>77</v>
      </c>
      <c r="N19" s="114">
        <v>1.5725000000000001E-35</v>
      </c>
      <c r="O19" s="115">
        <v>3.9482000000000001E-36</v>
      </c>
      <c r="P19" s="114">
        <v>1.3722000000000001E-36</v>
      </c>
      <c r="Q19" s="114">
        <v>2.2525000000000001E-35</v>
      </c>
      <c r="R19" s="115">
        <v>1.2817E-30</v>
      </c>
      <c r="S19" s="114">
        <v>2.2566E-5</v>
      </c>
      <c r="T19" s="114">
        <v>3.1504999999999998E-2</v>
      </c>
      <c r="U19" s="115">
        <v>1087.0999999999999</v>
      </c>
      <c r="V19" s="114">
        <v>1872.7</v>
      </c>
      <c r="W19" s="114">
        <v>2259.8000000000002</v>
      </c>
      <c r="X19" s="115">
        <v>2418.1</v>
      </c>
      <c r="Y19" s="114">
        <v>2429.8000000000002</v>
      </c>
      <c r="Z19" s="114">
        <v>2350</v>
      </c>
      <c r="AA19" s="115">
        <v>2343.3000000000002</v>
      </c>
      <c r="AB19" s="114">
        <v>2613.8000000000002</v>
      </c>
    </row>
    <row r="20" spans="1:28" x14ac:dyDescent="0.35">
      <c r="A20" s="111" t="s">
        <v>76</v>
      </c>
      <c r="B20" s="118">
        <v>5.3096999999999997E-5</v>
      </c>
      <c r="C20" s="119">
        <v>7.9357000000000006E-5</v>
      </c>
      <c r="D20" s="118">
        <v>7.0627E-5</v>
      </c>
      <c r="E20" s="118">
        <v>8.9878999999999998E-5</v>
      </c>
      <c r="F20" s="119">
        <v>8.9992000000000002E-5</v>
      </c>
      <c r="G20" s="118">
        <v>8.3893999999999993E-5</v>
      </c>
      <c r="H20" s="118">
        <v>6.2586E-5</v>
      </c>
      <c r="I20" s="119">
        <v>9.7619000000000002E-5</v>
      </c>
      <c r="J20" s="118">
        <v>4.6904999999999999E-5</v>
      </c>
      <c r="K20" s="118">
        <v>5.0658000000000002E-5</v>
      </c>
      <c r="L20" s="119">
        <v>5.1816E-5</v>
      </c>
      <c r="M20" s="118">
        <v>5.2654000000000001E-5</v>
      </c>
      <c r="N20" s="118">
        <v>9.0445000000000006E-5</v>
      </c>
      <c r="O20" s="119">
        <v>5.9305999999999998E-5</v>
      </c>
      <c r="P20" s="118">
        <v>5.7518000000000001E-5</v>
      </c>
      <c r="Q20" s="118">
        <v>6.4086999999999998E-5</v>
      </c>
      <c r="R20" s="119">
        <v>9.9038999999999998E-5</v>
      </c>
      <c r="S20" s="118">
        <v>7.6643000000000005E-5</v>
      </c>
      <c r="T20" s="118">
        <v>9.7761000000000001E-5</v>
      </c>
      <c r="U20" s="119">
        <v>9.9333000000000006E-5</v>
      </c>
      <c r="V20" s="118">
        <v>2.4288000000000001E-4</v>
      </c>
      <c r="W20" s="118">
        <v>8.7215000000000003E-4</v>
      </c>
      <c r="X20" s="119">
        <v>3.0200000000000001E-3</v>
      </c>
      <c r="Y20" s="118">
        <v>8.2141000000000002E-3</v>
      </c>
      <c r="Z20" s="118">
        <v>1.7007000000000001E-2</v>
      </c>
      <c r="AA20" s="119">
        <v>2.2891000000000002E-2</v>
      </c>
      <c r="AB20" s="118">
        <v>2.3163E-2</v>
      </c>
    </row>
  </sheetData>
  <conditionalFormatting sqref="B1:AB20">
    <cfRule type="expression" dxfId="1" priority="1">
      <formula>ISNUMBER(B1)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9EE76-1710-46FA-8C32-F95A36ED68EB}">
  <sheetPr codeName="Лист9"/>
  <dimension ref="A1:U25"/>
  <sheetViews>
    <sheetView workbookViewId="0">
      <selection sqref="A1:XFD1048576"/>
    </sheetView>
  </sheetViews>
  <sheetFormatPr defaultRowHeight="21" x14ac:dyDescent="0.35"/>
  <sheetData>
    <row r="1" spans="1:21" x14ac:dyDescent="0.35">
      <c r="A1" s="123"/>
      <c r="B1" s="124"/>
      <c r="C1" s="124"/>
      <c r="D1" s="124"/>
      <c r="E1" s="124"/>
      <c r="F1" s="123"/>
      <c r="G1" s="124"/>
      <c r="H1" s="124"/>
      <c r="I1" s="124"/>
      <c r="J1" s="124"/>
      <c r="K1" s="123"/>
      <c r="L1" s="124"/>
      <c r="M1" s="124"/>
      <c r="N1" s="124"/>
      <c r="O1" s="124"/>
      <c r="P1" s="123"/>
      <c r="Q1" s="124"/>
      <c r="R1" s="124"/>
      <c r="S1" s="124"/>
      <c r="T1" s="124"/>
      <c r="U1" s="124"/>
    </row>
    <row r="2" spans="1:21" x14ac:dyDescent="0.35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</row>
    <row r="3" spans="1:21" x14ac:dyDescent="0.35">
      <c r="A3" s="125"/>
      <c r="B3" s="124"/>
      <c r="C3" s="124"/>
      <c r="D3" s="124"/>
      <c r="E3" s="124"/>
      <c r="F3" s="125"/>
      <c r="G3" s="124"/>
      <c r="H3" s="124"/>
      <c r="I3" s="124"/>
      <c r="J3" s="124"/>
      <c r="K3" s="125"/>
      <c r="L3" s="124"/>
      <c r="M3" s="124"/>
      <c r="N3" s="124"/>
      <c r="O3" s="124"/>
      <c r="P3" s="125"/>
      <c r="Q3" s="124"/>
      <c r="R3" s="124"/>
      <c r="S3" s="124"/>
      <c r="T3" s="124"/>
      <c r="U3" s="124"/>
    </row>
    <row r="4" spans="1:21" x14ac:dyDescent="0.3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</row>
    <row r="5" spans="1:21" x14ac:dyDescent="0.35">
      <c r="A5" s="126"/>
      <c r="B5" s="124"/>
      <c r="C5" s="124"/>
      <c r="D5" s="124"/>
      <c r="E5" s="124"/>
      <c r="F5" s="126"/>
      <c r="G5" s="124"/>
      <c r="H5" s="124"/>
      <c r="I5" s="124"/>
      <c r="J5" s="124"/>
      <c r="K5" s="126"/>
      <c r="L5" s="124"/>
      <c r="M5" s="124"/>
      <c r="N5" s="124"/>
      <c r="O5" s="124"/>
      <c r="P5" s="126"/>
      <c r="Q5" s="124"/>
      <c r="R5" s="124"/>
      <c r="S5" s="124"/>
      <c r="T5" s="124"/>
      <c r="U5" s="124"/>
    </row>
    <row r="6" spans="1:21" x14ac:dyDescent="0.3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</row>
    <row r="7" spans="1:21" x14ac:dyDescent="0.35">
      <c r="A7" s="127"/>
      <c r="B7" s="193"/>
      <c r="C7" s="196"/>
      <c r="D7" s="196"/>
      <c r="E7" s="196"/>
      <c r="F7" s="127"/>
      <c r="G7" s="193"/>
      <c r="H7" s="196"/>
      <c r="I7" s="196"/>
      <c r="J7" s="196"/>
      <c r="K7" s="127"/>
      <c r="L7" s="193"/>
      <c r="M7" s="196"/>
      <c r="N7" s="196"/>
      <c r="O7" s="196"/>
      <c r="P7" s="127"/>
      <c r="Q7" s="193"/>
      <c r="R7" s="196"/>
      <c r="S7" s="196"/>
      <c r="T7" s="196"/>
      <c r="U7" s="128"/>
    </row>
    <row r="8" spans="1:21" x14ac:dyDescent="0.35">
      <c r="A8" s="129"/>
      <c r="B8" s="194"/>
      <c r="C8" s="197"/>
      <c r="D8" s="197"/>
      <c r="E8" s="197"/>
      <c r="F8" s="129"/>
      <c r="G8" s="194"/>
      <c r="H8" s="197"/>
      <c r="I8" s="197"/>
      <c r="J8" s="197"/>
      <c r="K8" s="129"/>
      <c r="L8" s="194"/>
      <c r="M8" s="197"/>
      <c r="N8" s="197"/>
      <c r="O8" s="197"/>
      <c r="P8" s="129"/>
      <c r="Q8" s="194"/>
      <c r="R8" s="197"/>
      <c r="S8" s="197"/>
      <c r="T8" s="197"/>
      <c r="U8" s="130"/>
    </row>
    <row r="9" spans="1:21" x14ac:dyDescent="0.35">
      <c r="A9" s="131"/>
      <c r="B9" s="194"/>
      <c r="C9" s="197"/>
      <c r="D9" s="197"/>
      <c r="E9" s="197"/>
      <c r="F9" s="131"/>
      <c r="G9" s="194"/>
      <c r="H9" s="197"/>
      <c r="I9" s="197"/>
      <c r="J9" s="197"/>
      <c r="K9" s="131"/>
      <c r="L9" s="194"/>
      <c r="M9" s="197"/>
      <c r="N9" s="197"/>
      <c r="O9" s="197"/>
      <c r="P9" s="131"/>
      <c r="Q9" s="194"/>
      <c r="R9" s="197"/>
      <c r="S9" s="197"/>
      <c r="T9" s="197"/>
      <c r="U9" s="199"/>
    </row>
    <row r="10" spans="1:21" x14ac:dyDescent="0.35">
      <c r="A10" s="200"/>
      <c r="B10" s="195"/>
      <c r="C10" s="198"/>
      <c r="D10" s="198"/>
      <c r="E10" s="198"/>
      <c r="F10" s="200"/>
      <c r="G10" s="195"/>
      <c r="H10" s="198"/>
      <c r="I10" s="198"/>
      <c r="J10" s="198"/>
      <c r="K10" s="200"/>
      <c r="L10" s="195"/>
      <c r="M10" s="198"/>
      <c r="N10" s="198"/>
      <c r="O10" s="198"/>
      <c r="P10" s="200"/>
      <c r="Q10" s="195"/>
      <c r="R10" s="198"/>
      <c r="S10" s="198"/>
      <c r="T10" s="198"/>
      <c r="U10" s="199"/>
    </row>
    <row r="11" spans="1:21" x14ac:dyDescent="0.35">
      <c r="A11" s="201"/>
      <c r="B11" s="132"/>
      <c r="C11" s="133"/>
      <c r="D11" s="134"/>
      <c r="E11" s="134"/>
      <c r="F11" s="201"/>
      <c r="G11" s="132"/>
      <c r="H11" s="133"/>
      <c r="I11" s="134"/>
      <c r="J11" s="134"/>
      <c r="K11" s="201"/>
      <c r="L11" s="132"/>
      <c r="M11" s="133"/>
      <c r="N11" s="134"/>
      <c r="O11" s="134"/>
      <c r="P11" s="201"/>
      <c r="Q11" s="132"/>
      <c r="R11" s="133"/>
      <c r="S11" s="134"/>
      <c r="T11" s="134"/>
      <c r="U11" s="135"/>
    </row>
    <row r="12" spans="1:21" x14ac:dyDescent="0.35">
      <c r="A12" s="136"/>
      <c r="B12" s="137"/>
      <c r="C12" s="138"/>
      <c r="D12" s="139"/>
      <c r="E12" s="139"/>
      <c r="F12" s="136"/>
      <c r="G12" s="137"/>
      <c r="H12" s="138"/>
      <c r="I12" s="139"/>
      <c r="J12" s="139"/>
      <c r="K12" s="136"/>
      <c r="L12" s="137"/>
      <c r="M12" s="138"/>
      <c r="N12" s="139"/>
      <c r="O12" s="139"/>
      <c r="P12" s="136"/>
      <c r="Q12" s="137"/>
      <c r="R12" s="138"/>
      <c r="S12" s="139"/>
      <c r="T12" s="139"/>
      <c r="U12" s="140"/>
    </row>
    <row r="13" spans="1:21" x14ac:dyDescent="0.35">
      <c r="A13" s="136"/>
      <c r="B13" s="141"/>
      <c r="C13" s="142"/>
      <c r="D13" s="143"/>
      <c r="E13" s="143"/>
      <c r="F13" s="136"/>
      <c r="G13" s="141"/>
      <c r="H13" s="142"/>
      <c r="I13" s="143"/>
      <c r="J13" s="143"/>
      <c r="K13" s="136"/>
      <c r="L13" s="141"/>
      <c r="M13" s="142"/>
      <c r="N13" s="143"/>
      <c r="O13" s="143"/>
      <c r="P13" s="136"/>
      <c r="Q13" s="141"/>
      <c r="R13" s="142"/>
      <c r="S13" s="143"/>
      <c r="T13" s="143"/>
      <c r="U13" s="144"/>
    </row>
    <row r="14" spans="1:21" x14ac:dyDescent="0.35">
      <c r="A14" s="145"/>
      <c r="B14" s="141"/>
      <c r="C14" s="142"/>
      <c r="D14" s="143"/>
      <c r="E14" s="143"/>
      <c r="F14" s="145"/>
      <c r="G14" s="141"/>
      <c r="H14" s="142"/>
      <c r="I14" s="143"/>
      <c r="J14" s="143"/>
      <c r="K14" s="145"/>
      <c r="L14" s="141"/>
      <c r="M14" s="142"/>
      <c r="N14" s="143"/>
      <c r="O14" s="143"/>
      <c r="P14" s="145"/>
      <c r="Q14" s="141"/>
      <c r="R14" s="142"/>
      <c r="S14" s="143"/>
      <c r="T14" s="143"/>
      <c r="U14" s="144"/>
    </row>
    <row r="15" spans="1:21" x14ac:dyDescent="0.35">
      <c r="A15" s="146"/>
      <c r="B15" s="141"/>
      <c r="C15" s="142"/>
      <c r="D15" s="143"/>
      <c r="E15" s="143"/>
      <c r="F15" s="146"/>
      <c r="G15" s="141"/>
      <c r="H15" s="142"/>
      <c r="I15" s="143"/>
      <c r="J15" s="143"/>
      <c r="K15" s="146"/>
      <c r="L15" s="141"/>
      <c r="M15" s="142"/>
      <c r="N15" s="143"/>
      <c r="O15" s="143"/>
      <c r="P15" s="146"/>
      <c r="Q15" s="158"/>
      <c r="R15" s="159"/>
      <c r="S15" s="160"/>
      <c r="T15" s="160"/>
      <c r="U15" s="147"/>
    </row>
    <row r="16" spans="1:21" x14ac:dyDescent="0.35">
      <c r="A16" s="146"/>
      <c r="B16" s="148"/>
      <c r="C16" s="149"/>
      <c r="D16" s="150"/>
      <c r="E16" s="150"/>
      <c r="F16" s="146"/>
      <c r="G16" s="148"/>
      <c r="H16" s="149"/>
      <c r="I16" s="150"/>
      <c r="J16" s="150"/>
      <c r="K16" s="146"/>
      <c r="L16" s="148"/>
      <c r="M16" s="149"/>
      <c r="N16" s="150"/>
      <c r="O16" s="150"/>
      <c r="P16" s="146"/>
      <c r="Q16" s="148"/>
      <c r="R16" s="149"/>
      <c r="S16" s="150"/>
      <c r="T16" s="150"/>
      <c r="U16" s="151"/>
    </row>
    <row r="17" spans="1:21" x14ac:dyDescent="0.35">
      <c r="A17" s="146"/>
      <c r="B17" s="148"/>
      <c r="C17" s="149"/>
      <c r="D17" s="150"/>
      <c r="E17" s="150"/>
      <c r="F17" s="152"/>
      <c r="G17" s="137"/>
      <c r="H17" s="138"/>
      <c r="I17" s="139"/>
      <c r="J17" s="139"/>
      <c r="K17" s="152"/>
      <c r="L17" s="137"/>
      <c r="M17" s="138"/>
      <c r="N17" s="139"/>
      <c r="O17" s="139"/>
      <c r="P17" s="152"/>
      <c r="Q17" s="137"/>
      <c r="R17" s="138"/>
      <c r="S17" s="139"/>
      <c r="T17" s="139"/>
      <c r="U17" s="137"/>
    </row>
    <row r="18" spans="1:21" x14ac:dyDescent="0.35">
      <c r="A18" s="152"/>
      <c r="B18" s="137"/>
      <c r="C18" s="138"/>
      <c r="D18" s="139"/>
      <c r="E18" s="139"/>
      <c r="F18" s="152"/>
      <c r="G18" s="137"/>
      <c r="H18" s="138"/>
      <c r="I18" s="139"/>
      <c r="J18" s="139"/>
      <c r="K18" s="152"/>
      <c r="L18" s="137"/>
      <c r="M18" s="138"/>
      <c r="N18" s="139"/>
      <c r="O18" s="139"/>
      <c r="P18" s="152"/>
      <c r="Q18" s="137"/>
      <c r="R18" s="138"/>
      <c r="S18" s="139"/>
      <c r="T18" s="139"/>
      <c r="U18" s="153"/>
    </row>
    <row r="19" spans="1:21" x14ac:dyDescent="0.35">
      <c r="A19" s="152"/>
      <c r="B19" s="137"/>
      <c r="C19" s="138"/>
      <c r="D19" s="139"/>
      <c r="E19" s="139"/>
      <c r="F19" s="152"/>
      <c r="G19" s="137"/>
      <c r="H19" s="138"/>
      <c r="I19" s="139"/>
      <c r="J19" s="139"/>
      <c r="K19" s="152"/>
      <c r="L19" s="137"/>
      <c r="M19" s="138"/>
      <c r="N19" s="139"/>
      <c r="O19" s="139"/>
      <c r="P19" s="152"/>
      <c r="Q19" s="137"/>
      <c r="R19" s="138"/>
      <c r="S19" s="139"/>
      <c r="T19" s="139"/>
      <c r="U19" s="137"/>
    </row>
    <row r="20" spans="1:21" x14ac:dyDescent="0.35">
      <c r="A20" s="129"/>
      <c r="B20" s="137"/>
      <c r="C20" s="138"/>
      <c r="D20" s="139"/>
      <c r="E20" s="139"/>
      <c r="F20" s="129"/>
      <c r="G20" s="137"/>
      <c r="H20" s="138"/>
      <c r="I20" s="139"/>
      <c r="J20" s="139"/>
      <c r="K20" s="129"/>
      <c r="L20" s="137"/>
      <c r="M20" s="138"/>
      <c r="N20" s="139"/>
      <c r="O20" s="139"/>
      <c r="P20" s="129"/>
      <c r="Q20" s="137"/>
      <c r="R20" s="138"/>
      <c r="S20" s="139"/>
      <c r="T20" s="139"/>
      <c r="U20" s="137"/>
    </row>
    <row r="21" spans="1:21" x14ac:dyDescent="0.35">
      <c r="A21" s="129"/>
      <c r="B21" s="137"/>
      <c r="C21" s="138"/>
      <c r="D21" s="139"/>
      <c r="E21" s="139"/>
      <c r="F21" s="129"/>
      <c r="G21" s="137"/>
      <c r="H21" s="138"/>
      <c r="I21" s="139"/>
      <c r="J21" s="139"/>
      <c r="K21" s="129"/>
      <c r="L21" s="137"/>
      <c r="M21" s="138"/>
      <c r="N21" s="139"/>
      <c r="O21" s="139"/>
      <c r="P21" s="129"/>
      <c r="Q21" s="148"/>
      <c r="R21" s="149"/>
      <c r="S21" s="150"/>
      <c r="T21" s="150"/>
      <c r="U21" s="148"/>
    </row>
    <row r="22" spans="1:21" x14ac:dyDescent="0.35">
      <c r="A22" s="152"/>
      <c r="B22" s="137"/>
      <c r="C22" s="138"/>
      <c r="D22" s="139"/>
      <c r="E22" s="139"/>
      <c r="F22" s="152"/>
      <c r="G22" s="137"/>
      <c r="H22" s="138"/>
      <c r="I22" s="139"/>
      <c r="J22" s="139"/>
      <c r="K22" s="152"/>
      <c r="L22" s="137"/>
      <c r="M22" s="138"/>
      <c r="N22" s="139"/>
      <c r="O22" s="139"/>
      <c r="P22" s="152"/>
      <c r="Q22" s="137"/>
      <c r="R22" s="138"/>
      <c r="S22" s="139"/>
      <c r="T22" s="139"/>
      <c r="U22" s="137"/>
    </row>
    <row r="23" spans="1:21" x14ac:dyDescent="0.35">
      <c r="A23" s="131"/>
      <c r="B23" s="154"/>
      <c r="C23" s="155"/>
      <c r="D23" s="156"/>
      <c r="E23" s="156"/>
      <c r="F23" s="131"/>
      <c r="G23" s="154"/>
      <c r="H23" s="155"/>
      <c r="I23" s="156"/>
      <c r="J23" s="156"/>
      <c r="K23" s="131"/>
      <c r="L23" s="154"/>
      <c r="M23" s="155"/>
      <c r="N23" s="156"/>
      <c r="O23" s="156"/>
      <c r="P23" s="131"/>
      <c r="Q23" s="154"/>
      <c r="R23" s="155"/>
      <c r="S23" s="156"/>
      <c r="T23" s="155"/>
      <c r="U23" s="157"/>
    </row>
    <row r="24" spans="1:21" x14ac:dyDescent="0.3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</row>
    <row r="25" spans="1:21" x14ac:dyDescent="0.35">
      <c r="A25" s="126"/>
      <c r="B25" s="124"/>
      <c r="C25" s="124"/>
      <c r="D25" s="124"/>
      <c r="E25" s="124"/>
      <c r="F25" s="126"/>
      <c r="G25" s="124"/>
      <c r="H25" s="124"/>
      <c r="I25" s="124"/>
      <c r="J25" s="124"/>
      <c r="K25" s="126"/>
      <c r="L25" s="124"/>
      <c r="M25" s="124"/>
      <c r="N25" s="124"/>
      <c r="O25" s="124"/>
      <c r="P25" s="126"/>
      <c r="Q25" s="124"/>
      <c r="R25" s="124"/>
      <c r="S25" s="124"/>
      <c r="T25" s="124"/>
      <c r="U25" s="124"/>
    </row>
  </sheetData>
  <mergeCells count="21">
    <mergeCell ref="A10:A11"/>
    <mergeCell ref="F10:F11"/>
    <mergeCell ref="B7:B10"/>
    <mergeCell ref="C7:C10"/>
    <mergeCell ref="D7:D10"/>
    <mergeCell ref="E7:E10"/>
    <mergeCell ref="K10:K11"/>
    <mergeCell ref="G7:G10"/>
    <mergeCell ref="H7:H10"/>
    <mergeCell ref="I7:I10"/>
    <mergeCell ref="J7:J10"/>
    <mergeCell ref="P10:P11"/>
    <mergeCell ref="L7:L10"/>
    <mergeCell ref="M7:M10"/>
    <mergeCell ref="N7:N10"/>
    <mergeCell ref="O7:O10"/>
    <mergeCell ref="Q7:Q10"/>
    <mergeCell ref="R7:R10"/>
    <mergeCell ref="S7:S10"/>
    <mergeCell ref="T7:T10"/>
    <mergeCell ref="U9:U1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8941C-7C7C-4B20-976A-5C0A8E724998}">
  <sheetPr codeName="Лист10"/>
  <dimension ref="A1:AE20"/>
  <sheetViews>
    <sheetView workbookViewId="0">
      <selection activeCell="G22" sqref="G22"/>
    </sheetView>
  </sheetViews>
  <sheetFormatPr defaultRowHeight="21" x14ac:dyDescent="0.35"/>
  <sheetData>
    <row r="1" spans="1:31" x14ac:dyDescent="0.35">
      <c r="A1" s="165"/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72"/>
      <c r="S1" s="166"/>
      <c r="T1" s="166"/>
      <c r="U1" s="166"/>
      <c r="V1" s="166"/>
      <c r="W1" s="166"/>
      <c r="X1" s="166"/>
      <c r="Y1" s="172"/>
      <c r="Z1" s="166"/>
      <c r="AA1" s="166"/>
      <c r="AB1" s="166"/>
      <c r="AC1" s="166"/>
      <c r="AD1" s="166"/>
      <c r="AE1" s="177"/>
    </row>
    <row r="2" spans="1:31" x14ac:dyDescent="0.35">
      <c r="A2" s="168"/>
      <c r="B2" s="179"/>
      <c r="C2" s="178"/>
      <c r="D2" s="179"/>
      <c r="E2" s="179"/>
      <c r="F2" s="178"/>
      <c r="G2" s="179"/>
      <c r="H2" s="179"/>
      <c r="I2" s="170"/>
      <c r="J2" s="169"/>
      <c r="K2" s="169"/>
      <c r="L2" s="170"/>
      <c r="M2" s="169"/>
      <c r="N2" s="179"/>
      <c r="O2" s="178"/>
      <c r="P2" s="179"/>
      <c r="Q2" s="179"/>
      <c r="R2" s="178"/>
      <c r="S2" s="179"/>
      <c r="T2" s="179"/>
      <c r="U2" s="178"/>
      <c r="V2" s="179"/>
      <c r="W2" s="179"/>
      <c r="X2" s="178"/>
      <c r="Y2" s="169"/>
      <c r="Z2" s="169"/>
      <c r="AA2" s="170"/>
      <c r="AB2" s="169"/>
      <c r="AC2" s="169"/>
      <c r="AD2" s="178"/>
      <c r="AE2" s="179"/>
    </row>
    <row r="3" spans="1:31" x14ac:dyDescent="0.35">
      <c r="A3" s="171"/>
      <c r="B3" s="180"/>
      <c r="C3" s="181"/>
      <c r="D3" s="180"/>
      <c r="E3" s="180"/>
      <c r="F3" s="181"/>
      <c r="G3" s="180"/>
      <c r="H3" s="182"/>
      <c r="I3" s="183"/>
      <c r="J3" s="182"/>
      <c r="K3" s="182"/>
      <c r="L3" s="183"/>
      <c r="M3" s="182"/>
      <c r="N3" s="166"/>
      <c r="O3" s="174"/>
      <c r="P3" s="166"/>
      <c r="Q3" s="166"/>
      <c r="R3" s="174"/>
      <c r="S3" s="182"/>
      <c r="T3" s="180"/>
      <c r="U3" s="181"/>
      <c r="V3" s="180"/>
      <c r="W3" s="180"/>
      <c r="X3" s="181"/>
      <c r="Y3" s="180"/>
      <c r="Z3" s="180"/>
      <c r="AA3" s="181"/>
      <c r="AB3" s="180"/>
      <c r="AC3" s="180"/>
      <c r="AD3" s="181"/>
      <c r="AE3" s="180"/>
    </row>
    <row r="4" spans="1:31" x14ac:dyDescent="0.35">
      <c r="A4" s="171"/>
      <c r="B4" s="180"/>
      <c r="C4" s="181"/>
      <c r="D4" s="180"/>
      <c r="E4" s="180"/>
      <c r="F4" s="181"/>
      <c r="G4" s="180"/>
      <c r="H4" s="180"/>
      <c r="I4" s="181"/>
      <c r="J4" s="180"/>
      <c r="K4" s="180"/>
      <c r="L4" s="181"/>
      <c r="M4" s="180"/>
      <c r="N4" s="180"/>
      <c r="O4" s="181"/>
      <c r="P4" s="180"/>
      <c r="Q4" s="180"/>
      <c r="R4" s="173"/>
      <c r="S4" s="172"/>
      <c r="T4" s="180"/>
      <c r="U4" s="181"/>
      <c r="V4" s="172"/>
      <c r="W4" s="172"/>
      <c r="X4" s="173"/>
      <c r="Y4" s="172"/>
      <c r="Z4" s="172"/>
      <c r="AA4" s="173"/>
      <c r="AB4" s="172"/>
      <c r="AC4" s="172"/>
      <c r="AD4" s="173"/>
      <c r="AE4" s="172"/>
    </row>
    <row r="5" spans="1:31" x14ac:dyDescent="0.35">
      <c r="A5" s="171"/>
      <c r="B5" s="180"/>
      <c r="C5" s="181"/>
      <c r="D5" s="180"/>
      <c r="E5" s="180"/>
      <c r="F5" s="181"/>
      <c r="G5" s="180"/>
      <c r="H5" s="180"/>
      <c r="I5" s="181"/>
      <c r="J5" s="180"/>
      <c r="K5" s="180"/>
      <c r="L5" s="181"/>
      <c r="M5" s="180"/>
      <c r="N5" s="180"/>
      <c r="O5" s="181"/>
      <c r="P5" s="180"/>
      <c r="Q5" s="166"/>
      <c r="R5" s="174"/>
      <c r="S5" s="166"/>
      <c r="T5" s="166"/>
      <c r="U5" s="174"/>
      <c r="V5" s="166"/>
      <c r="W5" s="166"/>
      <c r="X5" s="174"/>
      <c r="Y5" s="166"/>
      <c r="Z5" s="182"/>
      <c r="AA5" s="183"/>
      <c r="AB5" s="182"/>
      <c r="AC5" s="180"/>
      <c r="AD5" s="181"/>
      <c r="AE5" s="180"/>
    </row>
    <row r="6" spans="1:31" x14ac:dyDescent="0.35">
      <c r="A6" s="171"/>
      <c r="B6" s="180"/>
      <c r="C6" s="181"/>
      <c r="D6" s="180"/>
      <c r="E6" s="180"/>
      <c r="F6" s="181"/>
      <c r="G6" s="180"/>
      <c r="H6" s="182"/>
      <c r="I6" s="174"/>
      <c r="J6" s="166"/>
      <c r="K6" s="166"/>
      <c r="L6" s="174"/>
      <c r="M6" s="166"/>
      <c r="N6" s="180"/>
      <c r="O6" s="181"/>
      <c r="P6" s="180"/>
      <c r="Q6" s="180"/>
      <c r="R6" s="181"/>
      <c r="S6" s="180"/>
      <c r="T6" s="180"/>
      <c r="U6" s="181"/>
      <c r="V6" s="180"/>
      <c r="W6" s="180"/>
      <c r="X6" s="181"/>
      <c r="Y6" s="172"/>
      <c r="Z6" s="166"/>
      <c r="AA6" s="174"/>
      <c r="AB6" s="174"/>
      <c r="AC6" s="166"/>
      <c r="AD6" s="183"/>
      <c r="AE6" s="182"/>
    </row>
    <row r="7" spans="1:31" x14ac:dyDescent="0.35">
      <c r="A7" s="171"/>
      <c r="B7" s="172"/>
      <c r="C7" s="173"/>
      <c r="D7" s="172"/>
      <c r="E7" s="172"/>
      <c r="F7" s="173"/>
      <c r="G7" s="180"/>
      <c r="H7" s="180"/>
      <c r="I7" s="181"/>
      <c r="J7" s="180"/>
      <c r="K7" s="180"/>
      <c r="L7" s="181"/>
      <c r="M7" s="180"/>
      <c r="N7" s="180"/>
      <c r="O7" s="181"/>
      <c r="P7" s="180"/>
      <c r="Q7" s="180"/>
      <c r="R7" s="181"/>
      <c r="S7" s="180"/>
      <c r="T7" s="180"/>
      <c r="U7" s="173"/>
      <c r="V7" s="172"/>
      <c r="W7" s="172"/>
      <c r="X7" s="181"/>
      <c r="Y7" s="172"/>
      <c r="Z7" s="180"/>
      <c r="AA7" s="173"/>
      <c r="AB7" s="173"/>
      <c r="AC7" s="180"/>
      <c r="AD7" s="181"/>
      <c r="AE7" s="180"/>
    </row>
    <row r="8" spans="1:31" x14ac:dyDescent="0.35">
      <c r="A8" s="171"/>
      <c r="B8" s="180"/>
      <c r="C8" s="181"/>
      <c r="D8" s="180"/>
      <c r="E8" s="180"/>
      <c r="F8" s="181"/>
      <c r="G8" s="172"/>
      <c r="H8" s="166"/>
      <c r="I8" s="174"/>
      <c r="J8" s="166"/>
      <c r="K8" s="180"/>
      <c r="L8" s="181"/>
      <c r="M8" s="180"/>
      <c r="N8" s="180"/>
      <c r="O8" s="181"/>
      <c r="P8" s="180"/>
      <c r="Q8" s="180"/>
      <c r="R8" s="181"/>
      <c r="S8" s="180"/>
      <c r="T8" s="180"/>
      <c r="U8" s="181"/>
      <c r="V8" s="180"/>
      <c r="W8" s="180"/>
      <c r="X8" s="181"/>
      <c r="Y8" s="180"/>
      <c r="Z8" s="180"/>
      <c r="AA8" s="181"/>
      <c r="AB8" s="181"/>
      <c r="AC8" s="180"/>
      <c r="AD8" s="181"/>
      <c r="AE8" s="180"/>
    </row>
    <row r="9" spans="1:31" x14ac:dyDescent="0.35">
      <c r="A9" s="165"/>
      <c r="B9" s="182"/>
      <c r="C9" s="183"/>
      <c r="D9" s="182"/>
      <c r="E9" s="182"/>
      <c r="F9" s="183"/>
      <c r="G9" s="182"/>
      <c r="H9" s="182"/>
      <c r="I9" s="183"/>
      <c r="J9" s="182"/>
      <c r="K9" s="180"/>
      <c r="L9" s="181"/>
      <c r="M9" s="180"/>
      <c r="N9" s="180"/>
      <c r="O9" s="181"/>
      <c r="P9" s="181"/>
      <c r="Q9" s="180"/>
      <c r="R9" s="181"/>
      <c r="S9" s="181"/>
      <c r="T9" s="182"/>
      <c r="U9" s="174"/>
      <c r="V9" s="166"/>
      <c r="W9" s="182"/>
      <c r="X9" s="183"/>
      <c r="Y9" s="182"/>
      <c r="Z9" s="182"/>
      <c r="AA9" s="174"/>
      <c r="AB9" s="174"/>
      <c r="AC9" s="166"/>
      <c r="AD9" s="174"/>
      <c r="AE9" s="166"/>
    </row>
    <row r="10" spans="1:31" x14ac:dyDescent="0.35">
      <c r="A10" s="171"/>
      <c r="B10" s="180"/>
      <c r="C10" s="181"/>
      <c r="D10" s="180"/>
      <c r="E10" s="180"/>
      <c r="F10" s="181"/>
      <c r="G10" s="180"/>
      <c r="H10" s="180"/>
      <c r="I10" s="181"/>
      <c r="J10" s="180"/>
      <c r="K10" s="182"/>
      <c r="L10" s="183"/>
      <c r="M10" s="182"/>
      <c r="N10" s="172"/>
      <c r="O10" s="173"/>
      <c r="P10" s="172"/>
      <c r="Q10" s="172"/>
      <c r="R10" s="173"/>
      <c r="S10" s="172"/>
      <c r="T10" s="166"/>
      <c r="U10" s="174"/>
      <c r="V10" s="166"/>
      <c r="W10" s="172"/>
      <c r="X10" s="173"/>
      <c r="Y10" s="172"/>
      <c r="Z10" s="166"/>
      <c r="AA10" s="174"/>
      <c r="AB10" s="174"/>
      <c r="AC10" s="166"/>
      <c r="AD10" s="174"/>
      <c r="AE10" s="166"/>
    </row>
    <row r="11" spans="1:31" x14ac:dyDescent="0.35">
      <c r="A11" s="171"/>
      <c r="B11" s="180"/>
      <c r="C11" s="181"/>
      <c r="D11" s="180"/>
      <c r="E11" s="180"/>
      <c r="F11" s="181"/>
      <c r="G11" s="180"/>
      <c r="H11" s="180"/>
      <c r="I11" s="181"/>
      <c r="J11" s="180"/>
      <c r="K11" s="182"/>
      <c r="L11" s="183"/>
      <c r="M11" s="182"/>
      <c r="N11" s="182"/>
      <c r="O11" s="183"/>
      <c r="P11" s="166"/>
      <c r="Q11" s="166"/>
      <c r="R11" s="174"/>
      <c r="S11" s="166"/>
      <c r="T11" s="166"/>
      <c r="U11" s="174"/>
      <c r="V11" s="166"/>
      <c r="W11" s="166"/>
      <c r="X11" s="174"/>
      <c r="Y11" s="166"/>
      <c r="Z11" s="166"/>
      <c r="AA11" s="174"/>
      <c r="AB11" s="174"/>
      <c r="AC11" s="166"/>
      <c r="AD11" s="174"/>
      <c r="AE11" s="166"/>
    </row>
    <row r="12" spans="1:31" x14ac:dyDescent="0.35">
      <c r="A12" s="171"/>
      <c r="B12" s="180"/>
      <c r="C12" s="181"/>
      <c r="D12" s="180"/>
      <c r="E12" s="180"/>
      <c r="F12" s="181"/>
      <c r="G12" s="180"/>
      <c r="H12" s="180"/>
      <c r="I12" s="181"/>
      <c r="J12" s="180"/>
      <c r="K12" s="180"/>
      <c r="L12" s="181"/>
      <c r="M12" s="180"/>
      <c r="N12" s="180"/>
      <c r="O12" s="181"/>
      <c r="P12" s="180"/>
      <c r="Q12" s="180"/>
      <c r="R12" s="181"/>
      <c r="S12" s="180"/>
      <c r="T12" s="180"/>
      <c r="U12" s="181"/>
      <c r="V12" s="180"/>
      <c r="W12" s="180"/>
      <c r="X12" s="181"/>
      <c r="Y12" s="180"/>
      <c r="Z12" s="180"/>
      <c r="AA12" s="181"/>
      <c r="AB12" s="181"/>
      <c r="AC12" s="180"/>
      <c r="AD12" s="181"/>
      <c r="AE12" s="180"/>
    </row>
    <row r="13" spans="1:31" x14ac:dyDescent="0.35">
      <c r="A13" s="171"/>
      <c r="B13" s="180"/>
      <c r="C13" s="181"/>
      <c r="D13" s="180"/>
      <c r="E13" s="180"/>
      <c r="F13" s="181"/>
      <c r="G13" s="180"/>
      <c r="H13" s="180"/>
      <c r="I13" s="181"/>
      <c r="J13" s="180"/>
      <c r="K13" s="180"/>
      <c r="L13" s="181"/>
      <c r="M13" s="180"/>
      <c r="N13" s="180"/>
      <c r="O13" s="181"/>
      <c r="P13" s="172"/>
      <c r="Q13" s="166"/>
      <c r="R13" s="174"/>
      <c r="S13" s="166"/>
      <c r="T13" s="166"/>
      <c r="U13" s="174"/>
      <c r="V13" s="166"/>
      <c r="W13" s="166"/>
      <c r="X13" s="174"/>
      <c r="Y13" s="166"/>
      <c r="Z13" s="166"/>
      <c r="AA13" s="174"/>
      <c r="AB13" s="174"/>
      <c r="AC13" s="180"/>
      <c r="AD13" s="181"/>
      <c r="AE13" s="180"/>
    </row>
    <row r="14" spans="1:31" x14ac:dyDescent="0.35">
      <c r="A14" s="171"/>
      <c r="B14" s="180"/>
      <c r="C14" s="181"/>
      <c r="D14" s="180"/>
      <c r="E14" s="180"/>
      <c r="F14" s="181"/>
      <c r="G14" s="180"/>
      <c r="H14" s="180"/>
      <c r="I14" s="181"/>
      <c r="J14" s="180"/>
      <c r="K14" s="180"/>
      <c r="L14" s="181"/>
      <c r="M14" s="180"/>
      <c r="N14" s="180"/>
      <c r="O14" s="181"/>
      <c r="P14" s="172"/>
      <c r="Q14" s="166"/>
      <c r="R14" s="174"/>
      <c r="S14" s="166"/>
      <c r="T14" s="166"/>
      <c r="U14" s="174"/>
      <c r="V14" s="166"/>
      <c r="W14" s="166"/>
      <c r="X14" s="174"/>
      <c r="Y14" s="182"/>
      <c r="Z14" s="182"/>
      <c r="AA14" s="183"/>
      <c r="AB14" s="182"/>
      <c r="AC14" s="182"/>
      <c r="AD14" s="183"/>
      <c r="AE14" s="182"/>
    </row>
    <row r="15" spans="1:31" x14ac:dyDescent="0.35">
      <c r="A15" s="171"/>
      <c r="B15" s="180"/>
      <c r="C15" s="181"/>
      <c r="D15" s="180"/>
      <c r="E15" s="180"/>
      <c r="F15" s="181"/>
      <c r="G15" s="180"/>
      <c r="H15" s="180"/>
      <c r="I15" s="181"/>
      <c r="J15" s="180"/>
      <c r="K15" s="180"/>
      <c r="L15" s="181"/>
      <c r="M15" s="180"/>
      <c r="N15" s="180"/>
      <c r="O15" s="181"/>
      <c r="P15" s="173"/>
      <c r="Q15" s="166"/>
      <c r="R15" s="174"/>
      <c r="S15" s="166"/>
      <c r="T15" s="166"/>
      <c r="U15" s="183"/>
      <c r="V15" s="174"/>
      <c r="W15" s="166"/>
      <c r="X15" s="174"/>
      <c r="Y15" s="166"/>
      <c r="Z15" s="166"/>
      <c r="AA15" s="174"/>
      <c r="AB15" s="166"/>
      <c r="AC15" s="166"/>
      <c r="AD15" s="174"/>
      <c r="AE15" s="166"/>
    </row>
    <row r="16" spans="1:31" x14ac:dyDescent="0.35">
      <c r="A16" s="165"/>
      <c r="B16" s="182"/>
      <c r="C16" s="183"/>
      <c r="D16" s="183"/>
      <c r="E16" s="182"/>
      <c r="F16" s="183"/>
      <c r="G16" s="182"/>
      <c r="H16" s="182"/>
      <c r="I16" s="183"/>
      <c r="J16" s="182"/>
      <c r="K16" s="182"/>
      <c r="L16" s="183"/>
      <c r="M16" s="182"/>
      <c r="N16" s="182"/>
      <c r="O16" s="183"/>
      <c r="P16" s="183"/>
      <c r="Q16" s="182"/>
      <c r="R16" s="183"/>
      <c r="S16" s="183"/>
      <c r="T16" s="182"/>
      <c r="U16" s="183"/>
      <c r="V16" s="183"/>
      <c r="W16" s="182"/>
      <c r="X16" s="183"/>
      <c r="Y16" s="182"/>
      <c r="Z16" s="182"/>
      <c r="AA16" s="183"/>
      <c r="AB16" s="183"/>
      <c r="AC16" s="182"/>
      <c r="AD16" s="183"/>
      <c r="AE16" s="182"/>
    </row>
    <row r="17" spans="1:31" x14ac:dyDescent="0.35">
      <c r="A17" s="171"/>
      <c r="B17" s="180"/>
      <c r="C17" s="181"/>
      <c r="D17" s="180"/>
      <c r="E17" s="182"/>
      <c r="F17" s="183"/>
      <c r="G17" s="182"/>
      <c r="H17" s="182"/>
      <c r="I17" s="183"/>
      <c r="J17" s="182"/>
      <c r="K17" s="182"/>
      <c r="L17" s="183"/>
      <c r="M17" s="182"/>
      <c r="N17" s="180"/>
      <c r="O17" s="181"/>
      <c r="P17" s="180"/>
      <c r="Q17" s="180"/>
      <c r="R17" s="181"/>
      <c r="S17" s="181"/>
      <c r="T17" s="180"/>
      <c r="U17" s="181"/>
      <c r="V17" s="180"/>
      <c r="W17" s="182"/>
      <c r="X17" s="183"/>
      <c r="Y17" s="182"/>
      <c r="Z17" s="182"/>
      <c r="AA17" s="183"/>
      <c r="AB17" s="182"/>
      <c r="AC17" s="182"/>
      <c r="AD17" s="183"/>
      <c r="AE17" s="182"/>
    </row>
    <row r="18" spans="1:31" x14ac:dyDescent="0.35">
      <c r="A18" s="165"/>
      <c r="B18" s="182"/>
      <c r="C18" s="183"/>
      <c r="D18" s="182"/>
      <c r="E18" s="182"/>
      <c r="F18" s="183"/>
      <c r="G18" s="182"/>
      <c r="H18" s="182"/>
      <c r="I18" s="183"/>
      <c r="J18" s="182"/>
      <c r="K18" s="182"/>
      <c r="L18" s="183"/>
      <c r="M18" s="182"/>
      <c r="N18" s="182"/>
      <c r="O18" s="183"/>
      <c r="P18" s="182"/>
      <c r="Q18" s="182"/>
      <c r="R18" s="183"/>
      <c r="S18" s="182"/>
      <c r="T18" s="182"/>
      <c r="U18" s="183"/>
      <c r="V18" s="182"/>
      <c r="W18" s="182"/>
      <c r="X18" s="183"/>
      <c r="Y18" s="182"/>
      <c r="Z18" s="182"/>
      <c r="AA18" s="183"/>
      <c r="AB18" s="182"/>
      <c r="AC18" s="182"/>
      <c r="AD18" s="183"/>
      <c r="AE18" s="182"/>
    </row>
    <row r="19" spans="1:31" x14ac:dyDescent="0.35">
      <c r="A19" s="165"/>
      <c r="B19" s="182"/>
      <c r="C19" s="183"/>
      <c r="D19" s="182"/>
      <c r="E19" s="182"/>
      <c r="F19" s="183"/>
      <c r="G19" s="182"/>
      <c r="H19" s="182"/>
      <c r="I19" s="183"/>
      <c r="J19" s="182"/>
      <c r="K19" s="182"/>
      <c r="L19" s="183"/>
      <c r="M19" s="182"/>
      <c r="N19" s="182"/>
      <c r="O19" s="183"/>
      <c r="P19" s="182"/>
      <c r="Q19" s="182"/>
      <c r="R19" s="183"/>
      <c r="S19" s="182"/>
      <c r="T19" s="182"/>
      <c r="U19" s="183"/>
      <c r="V19" s="182"/>
      <c r="W19" s="182"/>
      <c r="X19" s="183"/>
      <c r="Y19" s="182"/>
      <c r="Z19" s="180"/>
      <c r="AA19" s="181"/>
      <c r="AB19" s="180"/>
      <c r="AC19" s="182"/>
      <c r="AD19" s="183"/>
      <c r="AE19" s="182"/>
    </row>
    <row r="20" spans="1:31" x14ac:dyDescent="0.35">
      <c r="A20" s="167"/>
      <c r="B20" s="184"/>
      <c r="C20" s="185"/>
      <c r="D20" s="184"/>
      <c r="E20" s="184"/>
      <c r="F20" s="185"/>
      <c r="G20" s="184"/>
      <c r="H20" s="184"/>
      <c r="I20" s="185"/>
      <c r="J20" s="184"/>
      <c r="K20" s="184"/>
      <c r="L20" s="185"/>
      <c r="M20" s="184"/>
      <c r="N20" s="184"/>
      <c r="O20" s="185"/>
      <c r="P20" s="184"/>
      <c r="Q20" s="184"/>
      <c r="R20" s="185"/>
      <c r="S20" s="184"/>
      <c r="T20" s="184"/>
      <c r="U20" s="176"/>
      <c r="V20" s="175"/>
      <c r="W20" s="175"/>
      <c r="X20" s="176"/>
      <c r="Y20" s="175"/>
      <c r="Z20" s="175"/>
      <c r="AA20" s="176"/>
      <c r="AB20" s="184"/>
      <c r="AC20" s="184"/>
      <c r="AD20" s="185"/>
      <c r="AE20" s="184"/>
    </row>
  </sheetData>
  <conditionalFormatting sqref="B1:AE20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FLUID</vt:lpstr>
      <vt:lpstr>SOLID</vt:lpstr>
      <vt:lpstr>EVALUATION</vt:lpstr>
      <vt:lpstr>data</vt:lpstr>
      <vt:lpstr>A</vt:lpstr>
      <vt:lpstr>A2</vt:lpstr>
      <vt:lpstr>F</vt:lpstr>
      <vt:lpstr>S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2021-03-07T18:17:29Z</dcterms:modified>
</cp:coreProperties>
</file>