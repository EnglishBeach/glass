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Work\Оформление\"/>
    </mc:Choice>
  </mc:AlternateContent>
  <xr:revisionPtr revIDLastSave="0" documentId="13_ncr:1_{06C570A9-B898-4F60-9B88-3976ECA961B6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20-20-60" sheetId="2" r:id="rId1"/>
    <sheet name="Лист2" sheetId="3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M4" i="2" l="1"/>
  <c r="CL5" i="2" s="1"/>
  <c r="CL6" i="2" s="1"/>
  <c r="DO1" i="2"/>
  <c r="DP1" i="2"/>
  <c r="CJ1" i="2"/>
  <c r="B1" i="2"/>
  <c r="CM41" i="2"/>
  <c r="CM37" i="2"/>
  <c r="CM33" i="2"/>
  <c r="CM29" i="2"/>
  <c r="CM25" i="2"/>
  <c r="CM21" i="2"/>
  <c r="CM17" i="2"/>
  <c r="CM13" i="2"/>
  <c r="CM9" i="2"/>
  <c r="CM5" i="2"/>
  <c r="CM40" i="2" l="1"/>
  <c r="CL42" i="2" s="1"/>
  <c r="CM36" i="2"/>
  <c r="CL38" i="2" s="1"/>
  <c r="CM32" i="2"/>
  <c r="CL33" i="2" s="1"/>
  <c r="CM28" i="2"/>
  <c r="CL30" i="2" s="1"/>
  <c r="CM24" i="2"/>
  <c r="CL25" i="2" s="1"/>
  <c r="CM20" i="2"/>
  <c r="CL21" i="2" s="1"/>
  <c r="CM16" i="2"/>
  <c r="CL18" i="2" s="1"/>
  <c r="CM12" i="2"/>
  <c r="CL14" i="2" s="1"/>
  <c r="CM8" i="2"/>
  <c r="CL9" i="2" s="1"/>
  <c r="CT3" i="2"/>
  <c r="CT4" i="2"/>
  <c r="CT5" i="2"/>
  <c r="CT6" i="2"/>
  <c r="CT7" i="2"/>
  <c r="CT8" i="2"/>
  <c r="CT9" i="2"/>
  <c r="CT10" i="2"/>
  <c r="CT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49" i="2"/>
  <c r="CT50" i="2"/>
  <c r="CT51" i="2"/>
  <c r="CT52" i="2"/>
  <c r="CT53" i="2"/>
  <c r="CT54" i="2"/>
  <c r="CT55" i="2"/>
  <c r="CT56" i="2"/>
  <c r="CT57" i="2"/>
  <c r="CT58" i="2"/>
  <c r="CT59" i="2"/>
  <c r="CT60" i="2"/>
  <c r="CT61" i="2"/>
  <c r="CT62" i="2"/>
  <c r="CT63" i="2"/>
  <c r="CT64" i="2"/>
  <c r="CT65" i="2"/>
  <c r="CT66" i="2"/>
  <c r="CT67" i="2"/>
  <c r="CT68" i="2"/>
  <c r="CT69" i="2"/>
  <c r="CT70" i="2"/>
  <c r="CT71" i="2"/>
  <c r="CT72" i="2"/>
  <c r="CT73" i="2"/>
  <c r="CT74" i="2"/>
  <c r="CT75" i="2"/>
  <c r="CT76" i="2"/>
  <c r="CT77" i="2"/>
  <c r="CT78" i="2"/>
  <c r="CT79" i="2"/>
  <c r="CT80" i="2"/>
  <c r="CT81" i="2"/>
  <c r="CT82" i="2"/>
  <c r="CT83" i="2"/>
  <c r="CT84" i="2"/>
  <c r="CT85" i="2"/>
  <c r="CT86" i="2"/>
  <c r="CT87" i="2"/>
  <c r="CT88" i="2"/>
  <c r="CT89" i="2"/>
  <c r="CT90" i="2"/>
  <c r="CT91" i="2"/>
  <c r="CT92" i="2"/>
  <c r="CT93" i="2"/>
  <c r="CT94" i="2"/>
  <c r="CT95" i="2"/>
  <c r="CT96" i="2"/>
  <c r="CT97" i="2"/>
  <c r="CT98" i="2"/>
  <c r="CT99" i="2"/>
  <c r="CT100" i="2"/>
  <c r="CT101" i="2"/>
  <c r="CT102" i="2"/>
  <c r="CT103" i="2"/>
  <c r="CT104" i="2"/>
  <c r="CT105" i="2"/>
  <c r="CT106" i="2"/>
  <c r="CT107" i="2"/>
  <c r="CT108" i="2"/>
  <c r="CT109" i="2"/>
  <c r="CT110" i="2"/>
  <c r="CT111" i="2"/>
  <c r="CT112" i="2"/>
  <c r="CT113" i="2"/>
  <c r="CT114" i="2"/>
  <c r="CT115" i="2"/>
  <c r="CT116" i="2"/>
  <c r="CT117" i="2"/>
  <c r="CT118" i="2"/>
  <c r="CT119" i="2"/>
  <c r="CT120" i="2"/>
  <c r="CT121" i="2"/>
  <c r="CT122" i="2"/>
  <c r="CT123" i="2"/>
  <c r="CT124" i="2"/>
  <c r="CT125" i="2"/>
  <c r="CT126" i="2"/>
  <c r="CT127" i="2"/>
  <c r="CT128" i="2"/>
  <c r="CT129" i="2"/>
  <c r="CT130" i="2"/>
  <c r="CT131" i="2"/>
  <c r="CT132" i="2"/>
  <c r="CT133" i="2"/>
  <c r="CT134" i="2"/>
  <c r="CT135" i="2"/>
  <c r="CT136" i="2"/>
  <c r="CT137" i="2"/>
  <c r="CT138" i="2"/>
  <c r="CT139" i="2"/>
  <c r="CT140" i="2"/>
  <c r="CT141" i="2"/>
  <c r="CT142" i="2"/>
  <c r="CT143" i="2"/>
  <c r="CT144" i="2"/>
  <c r="CT145" i="2"/>
  <c r="CT146" i="2"/>
  <c r="CT147" i="2"/>
  <c r="CT148" i="2"/>
  <c r="CT149" i="2"/>
  <c r="CT150" i="2"/>
  <c r="CT151" i="2"/>
  <c r="CT152" i="2"/>
  <c r="CT153" i="2"/>
  <c r="CT154" i="2"/>
  <c r="CT155" i="2"/>
  <c r="CT156" i="2"/>
  <c r="CT157" i="2"/>
  <c r="CT158" i="2"/>
  <c r="CT159" i="2"/>
  <c r="CT160" i="2"/>
  <c r="CT161" i="2"/>
  <c r="CT162" i="2"/>
  <c r="CT163" i="2"/>
  <c r="CT164" i="2"/>
  <c r="CT165" i="2"/>
  <c r="CT166" i="2"/>
  <c r="CT167" i="2"/>
  <c r="CT168" i="2"/>
  <c r="CT169" i="2"/>
  <c r="CT170" i="2"/>
  <c r="CT171" i="2"/>
  <c r="CT172" i="2"/>
  <c r="CT173" i="2"/>
  <c r="CT174" i="2"/>
  <c r="CT175" i="2"/>
  <c r="CT176" i="2"/>
  <c r="CT177" i="2"/>
  <c r="CT178" i="2"/>
  <c r="CT179" i="2"/>
  <c r="CT180" i="2"/>
  <c r="CT181" i="2"/>
  <c r="CT182" i="2"/>
  <c r="CT183" i="2"/>
  <c r="CT184" i="2"/>
  <c r="CT185" i="2"/>
  <c r="CT186" i="2"/>
  <c r="CT187" i="2"/>
  <c r="CT188" i="2"/>
  <c r="CT189" i="2"/>
  <c r="CT190" i="2"/>
  <c r="CT191" i="2"/>
  <c r="CT192" i="2"/>
  <c r="CT193" i="2"/>
  <c r="CT194" i="2"/>
  <c r="CT195" i="2"/>
  <c r="CT196" i="2"/>
  <c r="CT197" i="2"/>
  <c r="CT198" i="2"/>
  <c r="CT199" i="2"/>
  <c r="CT200" i="2"/>
  <c r="CT201" i="2"/>
  <c r="CT202" i="2"/>
  <c r="CT203" i="2"/>
  <c r="CT204" i="2"/>
  <c r="CT205" i="2"/>
  <c r="CT206" i="2"/>
  <c r="CT207" i="2"/>
  <c r="CT208" i="2"/>
  <c r="CT209" i="2"/>
  <c r="CT210" i="2"/>
  <c r="CT211" i="2"/>
  <c r="CT212" i="2"/>
  <c r="CT213" i="2"/>
  <c r="CT214" i="2"/>
  <c r="CT215" i="2"/>
  <c r="CT216" i="2"/>
  <c r="CT217" i="2"/>
  <c r="CT218" i="2"/>
  <c r="CT219" i="2"/>
  <c r="CT220" i="2"/>
  <c r="CT221" i="2"/>
  <c r="CT222" i="2"/>
  <c r="CT223" i="2"/>
  <c r="CS3" i="2"/>
  <c r="CS4" i="2"/>
  <c r="CS5" i="2"/>
  <c r="CS6" i="2"/>
  <c r="CS7" i="2"/>
  <c r="CS8" i="2"/>
  <c r="CS9" i="2"/>
  <c r="CS10" i="2"/>
  <c r="CS11" i="2"/>
  <c r="CS12" i="2"/>
  <c r="CS13" i="2"/>
  <c r="CS14" i="2"/>
  <c r="CS15" i="2"/>
  <c r="CS16" i="2"/>
  <c r="CS17" i="2"/>
  <c r="CS18" i="2"/>
  <c r="CS19" i="2"/>
  <c r="CS20" i="2"/>
  <c r="CS21" i="2"/>
  <c r="CS22" i="2"/>
  <c r="CS23" i="2"/>
  <c r="CS24" i="2"/>
  <c r="CS25" i="2"/>
  <c r="CS26" i="2"/>
  <c r="CS27" i="2"/>
  <c r="CS28" i="2"/>
  <c r="CS29" i="2"/>
  <c r="CS30" i="2"/>
  <c r="CS31" i="2"/>
  <c r="CS32" i="2"/>
  <c r="CS33" i="2"/>
  <c r="CS34" i="2"/>
  <c r="CS35" i="2"/>
  <c r="CS36" i="2"/>
  <c r="CS37" i="2"/>
  <c r="CS38" i="2"/>
  <c r="CS39" i="2"/>
  <c r="CS40" i="2"/>
  <c r="CS41" i="2"/>
  <c r="CS42" i="2"/>
  <c r="CS43" i="2"/>
  <c r="CS44" i="2"/>
  <c r="CS45" i="2"/>
  <c r="CS46" i="2"/>
  <c r="CS47" i="2"/>
  <c r="CS48" i="2"/>
  <c r="CS49" i="2"/>
  <c r="CS50" i="2"/>
  <c r="CS51" i="2"/>
  <c r="CS52" i="2"/>
  <c r="CS53" i="2"/>
  <c r="CS54" i="2"/>
  <c r="CS55" i="2"/>
  <c r="CS56" i="2"/>
  <c r="CS57" i="2"/>
  <c r="CS58" i="2"/>
  <c r="CS59" i="2"/>
  <c r="CS60" i="2"/>
  <c r="CS61" i="2"/>
  <c r="CS62" i="2"/>
  <c r="CS63" i="2"/>
  <c r="CS64" i="2"/>
  <c r="CS65" i="2"/>
  <c r="CS66" i="2"/>
  <c r="CS67" i="2"/>
  <c r="CS68" i="2"/>
  <c r="CS69" i="2"/>
  <c r="CS70" i="2"/>
  <c r="CS71" i="2"/>
  <c r="CS72" i="2"/>
  <c r="CS73" i="2"/>
  <c r="CS74" i="2"/>
  <c r="CS75" i="2"/>
  <c r="CS76" i="2"/>
  <c r="CS77" i="2"/>
  <c r="CS78" i="2"/>
  <c r="CS79" i="2"/>
  <c r="CS80" i="2"/>
  <c r="CS81" i="2"/>
  <c r="CS82" i="2"/>
  <c r="CS83" i="2"/>
  <c r="CS84" i="2"/>
  <c r="CS85" i="2"/>
  <c r="CS86" i="2"/>
  <c r="CS87" i="2"/>
  <c r="CS88" i="2"/>
  <c r="CS89" i="2"/>
  <c r="CS90" i="2"/>
  <c r="CS91" i="2"/>
  <c r="CS92" i="2"/>
  <c r="CS93" i="2"/>
  <c r="CS94" i="2"/>
  <c r="CS95" i="2"/>
  <c r="CS96" i="2"/>
  <c r="CS97" i="2"/>
  <c r="CS98" i="2"/>
  <c r="CS99" i="2"/>
  <c r="CS100" i="2"/>
  <c r="CS101" i="2"/>
  <c r="CS102" i="2"/>
  <c r="CS103" i="2"/>
  <c r="CS104" i="2"/>
  <c r="CS105" i="2"/>
  <c r="CS106" i="2"/>
  <c r="CS107" i="2"/>
  <c r="CS108" i="2"/>
  <c r="CS109" i="2"/>
  <c r="CS110" i="2"/>
  <c r="CS111" i="2"/>
  <c r="CS112" i="2"/>
  <c r="CS113" i="2"/>
  <c r="CS114" i="2"/>
  <c r="CS115" i="2"/>
  <c r="CS116" i="2"/>
  <c r="CS117" i="2"/>
  <c r="CS118" i="2"/>
  <c r="CS119" i="2"/>
  <c r="CS120" i="2"/>
  <c r="CS121" i="2"/>
  <c r="CS122" i="2"/>
  <c r="CS123" i="2"/>
  <c r="CS124" i="2"/>
  <c r="CS125" i="2"/>
  <c r="CS126" i="2"/>
  <c r="CS127" i="2"/>
  <c r="CS128" i="2"/>
  <c r="CS129" i="2"/>
  <c r="CS130" i="2"/>
  <c r="CS131" i="2"/>
  <c r="CS132" i="2"/>
  <c r="CS133" i="2"/>
  <c r="CS134" i="2"/>
  <c r="CS135" i="2"/>
  <c r="CS136" i="2"/>
  <c r="CS137" i="2"/>
  <c r="CS138" i="2"/>
  <c r="CS139" i="2"/>
  <c r="CS140" i="2"/>
  <c r="CS141" i="2"/>
  <c r="CS142" i="2"/>
  <c r="CS143" i="2"/>
  <c r="CS144" i="2"/>
  <c r="CS145" i="2"/>
  <c r="CS146" i="2"/>
  <c r="CS147" i="2"/>
  <c r="CS148" i="2"/>
  <c r="CS149" i="2"/>
  <c r="CS150" i="2"/>
  <c r="CS151" i="2"/>
  <c r="CS152" i="2"/>
  <c r="CS153" i="2"/>
  <c r="CS154" i="2"/>
  <c r="CS155" i="2"/>
  <c r="CS156" i="2"/>
  <c r="CS157" i="2"/>
  <c r="CS158" i="2"/>
  <c r="CS159" i="2"/>
  <c r="CS160" i="2"/>
  <c r="CS161" i="2"/>
  <c r="CS162" i="2"/>
  <c r="CS163" i="2"/>
  <c r="CS164" i="2"/>
  <c r="CS165" i="2"/>
  <c r="CS166" i="2"/>
  <c r="CS167" i="2"/>
  <c r="CS168" i="2"/>
  <c r="CS169" i="2"/>
  <c r="CS170" i="2"/>
  <c r="CS171" i="2"/>
  <c r="CS172" i="2"/>
  <c r="CS173" i="2"/>
  <c r="CS174" i="2"/>
  <c r="CS175" i="2"/>
  <c r="CS176" i="2"/>
  <c r="CS177" i="2"/>
  <c r="CS178" i="2"/>
  <c r="CS179" i="2"/>
  <c r="CS180" i="2"/>
  <c r="CS181" i="2"/>
  <c r="CS182" i="2"/>
  <c r="CS183" i="2"/>
  <c r="CS184" i="2"/>
  <c r="CS185" i="2"/>
  <c r="CS186" i="2"/>
  <c r="CS187" i="2"/>
  <c r="CS188" i="2"/>
  <c r="CS189" i="2"/>
  <c r="CS190" i="2"/>
  <c r="CS191" i="2"/>
  <c r="CS192" i="2"/>
  <c r="CS193" i="2"/>
  <c r="CS194" i="2"/>
  <c r="CS195" i="2"/>
  <c r="CS196" i="2"/>
  <c r="CS197" i="2"/>
  <c r="CS198" i="2"/>
  <c r="CS199" i="2"/>
  <c r="CS200" i="2"/>
  <c r="CS201" i="2"/>
  <c r="CS202" i="2"/>
  <c r="CS203" i="2"/>
  <c r="CS204" i="2"/>
  <c r="CS205" i="2"/>
  <c r="CS206" i="2"/>
  <c r="CS207" i="2"/>
  <c r="CS208" i="2"/>
  <c r="CS209" i="2"/>
  <c r="CS210" i="2"/>
  <c r="CS211" i="2"/>
  <c r="CS212" i="2"/>
  <c r="CS213" i="2"/>
  <c r="CS214" i="2"/>
  <c r="CS215" i="2"/>
  <c r="CS216" i="2"/>
  <c r="CS217" i="2"/>
  <c r="CS218" i="2"/>
  <c r="CS219" i="2"/>
  <c r="CS220" i="2"/>
  <c r="CS221" i="2"/>
  <c r="CS222" i="2"/>
  <c r="CS223" i="2"/>
  <c r="CL34" i="2"/>
  <c r="CL41" i="2" l="1"/>
  <c r="CL29" i="2"/>
  <c r="CL26" i="2"/>
  <c r="CL17" i="2"/>
  <c r="CL22" i="2"/>
  <c r="CL10" i="2"/>
  <c r="CL37" i="2"/>
  <c r="CL13" i="2"/>
</calcChain>
</file>

<file path=xl/sharedStrings.xml><?xml version="1.0" encoding="utf-8"?>
<sst xmlns="http://schemas.openxmlformats.org/spreadsheetml/2006/main" count="107" uniqueCount="52">
  <si>
    <t>SOLID</t>
  </si>
  <si>
    <t>*Ge</t>
  </si>
  <si>
    <t>end1</t>
  </si>
  <si>
    <t>temp 2</t>
  </si>
  <si>
    <t>temp 3</t>
  </si>
  <si>
    <t>temp 4</t>
  </si>
  <si>
    <t>temp 1</t>
  </si>
  <si>
    <t>temp 5</t>
  </si>
  <si>
    <t>temp 6</t>
  </si>
  <si>
    <t>temp 7</t>
  </si>
  <si>
    <t>temp 8</t>
  </si>
  <si>
    <t>temp 9</t>
  </si>
  <si>
    <t>temp 10</t>
  </si>
  <si>
    <t>##Temp./°C</t>
  </si>
  <si>
    <t>DSC</t>
  </si>
  <si>
    <t>Temp_DSC</t>
  </si>
  <si>
    <t>Температуры</t>
  </si>
  <si>
    <t>*GeSe</t>
  </si>
  <si>
    <t>*Ga[l]</t>
  </si>
  <si>
    <t>*Ga2Se</t>
  </si>
  <si>
    <t>*Ge[c]</t>
  </si>
  <si>
    <t>*Se[m]</t>
  </si>
  <si>
    <t>*GeSe2</t>
  </si>
  <si>
    <t>Ga2Se3</t>
  </si>
  <si>
    <t>Ga2Se</t>
  </si>
  <si>
    <t>Ar</t>
  </si>
  <si>
    <t>(l)Ga[l]</t>
  </si>
  <si>
    <t>(l)Ge[l]</t>
  </si>
  <si>
    <t>H (Ar)</t>
  </si>
  <si>
    <t>H (Ga)</t>
  </si>
  <si>
    <t>H (Ge)</t>
  </si>
  <si>
    <t>H (Se)</t>
  </si>
  <si>
    <t>ALL</t>
  </si>
  <si>
    <t>Ga</t>
  </si>
  <si>
    <t>(l)GeSe2</t>
  </si>
  <si>
    <t>(l)GeSe</t>
  </si>
  <si>
    <t>(l)Ga2Se3</t>
  </si>
  <si>
    <t>(l)Ga2Se</t>
  </si>
  <si>
    <t>(l)Ge</t>
  </si>
  <si>
    <t>(l)Ga</t>
  </si>
  <si>
    <t>(l)Se</t>
  </si>
  <si>
    <t>(l)Se[a]</t>
  </si>
  <si>
    <t>(l)Se[m]</t>
  </si>
  <si>
    <t>(l)Se[r]</t>
  </si>
  <si>
    <t>(l)Ge[c]</t>
  </si>
  <si>
    <t>(3)Ga[l]</t>
  </si>
  <si>
    <t>(3)Ge[l]</t>
  </si>
  <si>
    <t>Калибр</t>
  </si>
  <si>
    <t xml:space="preserve">Temperature,К </t>
  </si>
  <si>
    <t>AllEnd</t>
  </si>
  <si>
    <t>SolidEnd</t>
  </si>
  <si>
    <t>DSC/(mW/mg)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</si>
</sst>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E+00"/>
  </numFmts>
  <fonts count="17" x14ac:knownFonts="1">
    <font>
      <sz val="11"/>
      <color theme="1"/>
      <name val="Calibri"/>
      <family val="2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b/>
      <i/>
      <sz val="20"/>
      <color rgb="FFFF0000"/>
      <name val="Calibri"/>
      <family val="2"/>
      <scheme val="minor"/>
    </font>
    <font>
      <b/>
      <i/>
      <sz val="20"/>
      <color rgb="FF00B050"/>
      <name val="Calibri"/>
      <family val="2"/>
      <scheme val="minor"/>
    </font>
    <font>
      <b/>
      <i/>
      <sz val="20"/>
      <color rgb="FFFFC000"/>
      <name val="Calibri"/>
      <family val="2"/>
      <scheme val="minor"/>
    </font>
    <font>
      <b/>
      <i/>
      <sz val="20"/>
      <color rgb="FF000000"/>
      <name val="Calibri"/>
      <family val="2"/>
      <scheme val="minor"/>
    </font>
    <font>
      <b/>
      <i/>
      <sz val="20"/>
      <color rgb="FF7030A0"/>
      <name val="Calibri"/>
      <family val="2"/>
      <scheme val="minor"/>
    </font>
    <font>
      <sz val="14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28F3F8"/>
        <bgColor indexed="64"/>
      </patternFill>
    </fill>
    <fill>
      <patternFill patternType="solid">
        <fgColor rgb="FF14FC25"/>
        <bgColor indexed="64"/>
      </patternFill>
    </fill>
    <fill>
      <patternFill patternType="solid">
        <fgColor rgb="FFF21A4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EC2CDE"/>
        <bgColor indexed="64"/>
      </patternFill>
    </fill>
    <fill>
      <patternFill patternType="solid">
        <fgColor theme="5" tint="-0.499984740745262"/>
        <bgColor indexed="64"/>
      </patternFill>
    </fill>
  </fills>
  <borders count="9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8">
    <xf numFmtId="0" fontId="0" fillId="0" borderId="0"/>
    <xf numFmtId="0" fontId="1" fillId="2" borderId="0"/>
    <xf numFmtId="1" fontId="2" fillId="3" borderId="1">
      <alignment horizontal="left" vertical="center"/>
    </xf>
    <xf numFmtId="0" fontId="3" fillId="4" borderId="2" applyNumberFormat="0">
      <alignment horizontal="left" vertical="center"/>
    </xf>
    <xf numFmtId="0" fontId="4" fillId="5" borderId="0">
      <alignment horizontal="center" vertical="center"/>
    </xf>
    <xf numFmtId="11" fontId="5" fillId="6" borderId="0">
      <alignment vertical="top"/>
    </xf>
    <xf numFmtId="165" fontId="16" fillId="0" borderId="0"/>
    <xf numFmtId="165" fontId="16" fillId="0" borderId="0"/>
  </cellStyleXfs>
  <cellXfs count="56">
    <xf numFmtId="0" fontId="0" fillId="0" borderId="0" xfId="0"/>
    <xf numFmtId="1" fontId="2" fillId="3" borderId="1" xfId="2">
      <alignment horizontal="left" vertical="center"/>
    </xf>
    <xf numFmtId="0" fontId="0" fillId="0" borderId="0" xfId="0"/>
    <xf numFmtId="0" fontId="3" fillId="4" borderId="2" xfId="3">
      <alignment horizontal="left" vertical="center"/>
    </xf>
    <xf numFmtId="1" fontId="0" fillId="0" borderId="0" xfId="0" applyNumberFormat="1"/>
    <xf numFmtId="0" fontId="3" fillId="4" borderId="2" xfId="3" applyBorder="1">
      <alignment horizontal="left" vertical="center"/>
    </xf>
    <xf numFmtId="0" fontId="3" fillId="4" borderId="4" xfId="3" applyBorder="1">
      <alignment horizontal="left" vertical="center"/>
    </xf>
    <xf numFmtId="1" fontId="4" fillId="5" borderId="0" xfId="4" applyNumberFormat="1">
      <alignment horizontal="center" vertical="center"/>
    </xf>
    <xf numFmtId="2" fontId="0" fillId="0" borderId="0" xfId="0" applyNumberFormat="1"/>
    <xf numFmtId="164" fontId="0" fillId="0" borderId="0" xfId="0" applyNumberFormat="1"/>
    <xf numFmtId="1" fontId="2" fillId="3" borderId="1" xfId="2" applyNumberFormat="1">
      <alignment horizontal="left" vertical="center"/>
    </xf>
    <xf numFmtId="1" fontId="2" fillId="3" borderId="1" xfId="2">
      <alignment horizontal="left" vertical="center"/>
    </xf>
    <xf numFmtId="1" fontId="2" fillId="3" borderId="1" xfId="2">
      <alignment horizontal="left" vertical="center"/>
    </xf>
    <xf numFmtId="0" fontId="7" fillId="0" borderId="0" xfId="0" applyFont="1"/>
    <xf numFmtId="0" fontId="0" fillId="0" borderId="0" xfId="0" applyNumberFormat="1"/>
    <xf numFmtId="0" fontId="11" fillId="0" borderId="0" xfId="0" applyFont="1" applyAlignment="1">
      <alignment horizontal="center" vertical="center" readingOrder="1"/>
    </xf>
    <xf numFmtId="0" fontId="12" fillId="0" borderId="0" xfId="0" applyFont="1" applyAlignment="1">
      <alignment horizontal="center" vertical="center" readingOrder="1"/>
    </xf>
    <xf numFmtId="0" fontId="13" fillId="0" borderId="0" xfId="0" applyFont="1" applyAlignment="1">
      <alignment horizontal="center" vertical="center" readingOrder="1"/>
    </xf>
    <xf numFmtId="0" fontId="14" fillId="0" borderId="0" xfId="0" applyFont="1" applyAlignment="1">
      <alignment horizontal="center" vertical="center" readingOrder="1"/>
    </xf>
    <xf numFmtId="0" fontId="15" fillId="0" borderId="0" xfId="0" applyFont="1" applyAlignment="1">
      <alignment horizontal="center" vertical="center" readingOrder="1"/>
    </xf>
    <xf numFmtId="1" fontId="2" fillId="3" borderId="6" xfId="2" applyBorder="1" applyAlignment="1">
      <alignment vertical="center"/>
    </xf>
    <xf numFmtId="0" fontId="4" fillId="5" borderId="5" xfId="4" applyBorder="1">
      <alignment horizontal="center" vertical="center"/>
    </xf>
    <xf numFmtId="0" fontId="4" fillId="5" borderId="3" xfId="4" applyBorder="1">
      <alignment horizontal="center" vertical="center"/>
    </xf>
    <xf numFmtId="1" fontId="2" fillId="3" borderId="6" xfId="2" applyBorder="1">
      <alignment horizontal="left" vertical="center"/>
    </xf>
    <xf numFmtId="1" fontId="4" fillId="5" borderId="5" xfId="4" applyNumberFormat="1" applyBorder="1">
      <alignment horizontal="center" vertical="center"/>
    </xf>
    <xf numFmtId="11" fontId="5" fillId="6" borderId="0" xfId="5">
      <alignment vertical="top"/>
    </xf>
    <xf numFmtId="1" fontId="2" fillId="3" borderId="7" xfId="2" applyBorder="1" applyAlignment="1">
      <alignment horizontal="right" vertical="center"/>
    </xf>
    <xf numFmtId="1" fontId="2" fillId="3" borderId="8" xfId="2" applyBorder="1">
      <alignment horizontal="left" vertical="center"/>
    </xf>
    <xf numFmtId="0" fontId="4" fillId="5" borderId="2" xfId="4" applyBorder="1">
      <alignment horizontal="center" vertical="center"/>
    </xf>
    <xf numFmtId="0" fontId="2" fillId="3" borderId="1" xfId="2" applyNumberFormat="1">
      <alignment horizontal="left" vertical="center"/>
    </xf>
    <xf numFmtId="1" fontId="2" fillId="3" borderId="7" xfId="2" applyBorder="1">
      <alignment horizontal="left" vertical="center"/>
    </xf>
    <xf numFmtId="0" fontId="3" fillId="4" borderId="2" xfId="3" applyNumberFormat="1">
      <alignment horizontal="left" vertical="center"/>
    </xf>
    <xf numFmtId="165" fontId="16" fillId="0" borderId="0" xfId="6"/>
    <xf numFmtId="0" fontId="3" fillId="4" borderId="3" xfId="3" applyNumberFormat="1" applyBorder="1">
      <alignment horizontal="left" vertical="center"/>
    </xf>
    <xf numFmtId="165" fontId="16" fillId="0" borderId="0" xfId="7"/>
    <xf numFmtId="11" fontId="0" fillId="0" borderId="0" xfId="0" applyNumberFormat="1"/>
    <xf numFmtId="1" fontId="9" fillId="3" borderId="5" xfId="2" applyFont="1" applyFill="1" applyBorder="1" applyAlignment="1">
      <alignment vertical="center"/>
    </xf>
    <xf numFmtId="0" fontId="10" fillId="3" borderId="3" xfId="4" applyFont="1" applyFill="1" applyBorder="1">
      <alignment horizontal="center" vertical="center"/>
    </xf>
    <xf numFmtId="1" fontId="9" fillId="7" borderId="5" xfId="2" applyFont="1" applyFill="1" applyBorder="1" applyAlignment="1">
      <alignment vertical="center"/>
    </xf>
    <xf numFmtId="0" fontId="10" fillId="7" borderId="3" xfId="4" applyFont="1" applyFill="1" applyBorder="1">
      <alignment horizontal="center" vertical="center"/>
    </xf>
    <xf numFmtId="1" fontId="9" fillId="8" borderId="5" xfId="2" applyFont="1" applyFill="1" applyBorder="1" applyAlignment="1">
      <alignment vertical="center"/>
    </xf>
    <xf numFmtId="0" fontId="10" fillId="8" borderId="3" xfId="4" applyFont="1" applyFill="1" applyBorder="1">
      <alignment horizontal="center" vertical="center"/>
    </xf>
    <xf numFmtId="1" fontId="8" fillId="5" borderId="5" xfId="2" applyFont="1" applyFill="1" applyBorder="1" applyAlignment="1">
      <alignment vertical="center"/>
    </xf>
    <xf numFmtId="0" fontId="4" fillId="5" borderId="3" xfId="4" applyFill="1" applyBorder="1">
      <alignment horizontal="center" vertical="center"/>
    </xf>
    <xf numFmtId="1" fontId="8" fillId="9" borderId="5" xfId="2" applyFont="1" applyFill="1" applyBorder="1" applyAlignment="1">
      <alignment vertical="center"/>
    </xf>
    <xf numFmtId="0" fontId="4" fillId="9" borderId="3" xfId="4" applyFont="1" applyFill="1" applyBorder="1">
      <alignment horizontal="center" vertical="center"/>
    </xf>
    <xf numFmtId="1" fontId="8" fillId="10" borderId="5" xfId="2" applyFont="1" applyFill="1" applyBorder="1" applyAlignment="1">
      <alignment vertical="center"/>
    </xf>
    <xf numFmtId="0" fontId="4" fillId="10" borderId="3" xfId="4" applyFont="1" applyFill="1" applyBorder="1">
      <alignment horizontal="center" vertical="center"/>
    </xf>
    <xf numFmtId="1" fontId="9" fillId="11" borderId="5" xfId="2" applyFont="1" applyFill="1" applyBorder="1" applyAlignment="1">
      <alignment vertical="center"/>
    </xf>
    <xf numFmtId="0" fontId="10" fillId="11" borderId="3" xfId="4" applyFont="1" applyFill="1" applyBorder="1">
      <alignment horizontal="center" vertical="center"/>
    </xf>
    <xf numFmtId="1" fontId="9" fillId="12" borderId="5" xfId="2" applyFont="1" applyFill="1" applyBorder="1" applyAlignment="1">
      <alignment vertical="center"/>
    </xf>
    <xf numFmtId="0" fontId="10" fillId="12" borderId="3" xfId="4" applyFont="1" applyFill="1" applyBorder="1">
      <alignment horizontal="center" vertical="center"/>
    </xf>
    <xf numFmtId="1" fontId="9" fillId="13" borderId="5" xfId="2" applyFont="1" applyFill="1" applyBorder="1" applyAlignment="1">
      <alignment vertical="center"/>
    </xf>
    <xf numFmtId="0" fontId="10" fillId="13" borderId="3" xfId="4" applyFont="1" applyFill="1" applyBorder="1">
      <alignment horizontal="center" vertical="center"/>
    </xf>
    <xf numFmtId="1" fontId="9" fillId="14" borderId="5" xfId="2" applyFont="1" applyFill="1" applyBorder="1" applyAlignment="1">
      <alignment vertical="center"/>
    </xf>
    <xf numFmtId="0" fontId="10" fillId="14" borderId="3" xfId="4" applyFont="1" applyFill="1" applyBorder="1">
      <alignment horizontal="center" vertical="center"/>
    </xf>
  </cellXfs>
  <cellStyles count="8">
    <cellStyle name="Ввод_Данные" xfId="7" xr:uid="{FE8238C3-3AFF-4FB3-9A0F-B0A62AEC1638}"/>
    <cellStyle name="Выделение" xfId="4" xr:uid="{E2911A86-CE22-43EA-A6AD-39E91F5C2C4B}"/>
    <cellStyle name="Данные" xfId="6" xr:uid="{F4235C6F-B749-48AC-9503-BAF5DF25F38E}"/>
    <cellStyle name="Заглавие" xfId="1" xr:uid="{E6F36EEA-0BF9-47C7-B8D7-C408F0303690}"/>
    <cellStyle name="Заголовок" xfId="2" xr:uid="{1BD7362F-0B9D-4717-A2FA-AA76DF3DBBD0}"/>
    <cellStyle name="Заголовок2" xfId="3" xr:uid="{959772AC-82C6-4821-8407-5F356D29BBD4}"/>
    <cellStyle name="Обычный" xfId="0" builtinId="0"/>
    <cellStyle name="Форм" xfId="5" xr:uid="{8C5F6D5C-5B36-431B-AEA5-DBF3F208BA7A}"/>
  </cellStyles>
  <dxfs count="14">
    <dxf>
      <numFmt numFmtId="164" formatCode="0.000"/>
    </dxf>
    <dxf>
      <numFmt numFmtId="1" formatCode="0"/>
    </dxf>
    <dxf>
      <numFmt numFmtId="2" formatCode="0.00"/>
    </dxf>
    <dxf>
      <numFmt numFmtId="2" formatCode="0.00"/>
    </dxf>
    <dxf>
      <fill>
        <patternFill>
          <bgColor theme="2" tint="-0.499984740745262"/>
        </patternFill>
      </fill>
    </dxf>
    <dxf>
      <fill>
        <patternFill>
          <bgColor rgb="FF7DFFFF"/>
        </patternFill>
      </fill>
    </dxf>
    <dxf>
      <fill>
        <patternFill>
          <bgColor rgb="FF8FFFB4"/>
        </patternFill>
      </fill>
    </dxf>
    <dxf>
      <fill>
        <patternFill>
          <bgColor rgb="FFFFFF8F"/>
        </patternFill>
      </fill>
    </dxf>
    <dxf>
      <fill>
        <patternFill>
          <bgColor rgb="FFFFC9FF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EC2CDE"/>
      <color rgb="FFF21A43"/>
      <color rgb="FF14FC25"/>
      <color rgb="FF28F3F8"/>
      <color rgb="FF481C96"/>
      <color rgb="FFFFDF79"/>
      <color rgb="FFFF99FF"/>
      <color rgb="FF7DFFFF"/>
      <color rgb="FF8FFFB4"/>
      <color rgb="FFFFF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'20-20-60'!$DO$3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'20-20-60'!$DP$3:$GZ$3</c:f>
              <c:numCache>
                <c:formatCode>0</c:formatCode>
                <c:ptCount val="89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-4.8314554455445542</c:v>
                </c:pt>
                <c:pt idx="27" formatCode="General">
                  <c:v>-4.4956138613861381</c:v>
                </c:pt>
                <c:pt idx="28" formatCode="General">
                  <c:v>-4.1597722772277219</c:v>
                </c:pt>
                <c:pt idx="29" formatCode="General">
                  <c:v>-4.1170099009900989</c:v>
                </c:pt>
                <c:pt idx="30" formatCode="General">
                  <c:v>-4.1364158415841583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-4.5114378109452735</c:v>
                </c:pt>
                <c:pt idx="50" formatCode="General">
                  <c:v>-4.5313383084577117</c:v>
                </c:pt>
                <c:pt idx="51" formatCode="General">
                  <c:v>-4.5511831683168316</c:v>
                </c:pt>
                <c:pt idx="52" formatCode="General">
                  <c:v>-4.570589108910891</c:v>
                </c:pt>
                <c:pt idx="53" formatCode="General">
                  <c:v>-4.5899950495049504</c:v>
                </c:pt>
                <c:pt idx="54" formatCode="General">
                  <c:v>-4.6094009900990098</c:v>
                </c:pt>
                <c:pt idx="55" formatCode="General">
                  <c:v>-4.6288069306930693</c:v>
                </c:pt>
                <c:pt idx="56" formatCode="General">
                  <c:v>-4.6482128712871287</c:v>
                </c:pt>
                <c:pt idx="57" formatCode="General">
                  <c:v>-4.6676188118811881</c:v>
                </c:pt>
                <c:pt idx="58" formatCode="General">
                  <c:v>-4.6870247524752475</c:v>
                </c:pt>
                <c:pt idx="59" formatCode="General">
                  <c:v>-4.706217821782178</c:v>
                </c:pt>
                <c:pt idx="60" formatCode="General">
                  <c:v>-4.725227722772277</c:v>
                </c:pt>
                <c:pt idx="61" formatCode="General">
                  <c:v>-4.744237623762376</c:v>
                </c:pt>
                <c:pt idx="62" formatCode="General">
                  <c:v>-4.763247524752475</c:v>
                </c:pt>
                <c:pt idx="63" formatCode="General">
                  <c:v>-4.7822574257425741</c:v>
                </c:pt>
                <c:pt idx="64" formatCode="General">
                  <c:v>-4.8012673267326731</c:v>
                </c:pt>
                <c:pt idx="65" formatCode="General">
                  <c:v>-4.8202772277227721</c:v>
                </c:pt>
                <c:pt idx="66" formatCode="General">
                  <c:v>-4.8392871287128711</c:v>
                </c:pt>
                <c:pt idx="67" formatCode="General">
                  <c:v>-4.8579158415841581</c:v>
                </c:pt>
                <c:pt idx="68" formatCode="General">
                  <c:v>-4.8765297029702968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-5.0772376237623762</c:v>
                </c:pt>
                <c:pt idx="80" formatCode="General">
                  <c:v>-5.095059405940594</c:v>
                </c:pt>
                <c:pt idx="81" formatCode="General">
                  <c:v>-5.1128811881188119</c:v>
                </c:pt>
                <c:pt idx="82" formatCode="General">
                  <c:v>-5.1307029702970297</c:v>
                </c:pt>
                <c:pt idx="83" formatCode="General">
                  <c:v>-5.1485247524752475</c:v>
                </c:pt>
                <c:pt idx="84" formatCode="General">
                  <c:v>-5.1663465346534654</c:v>
                </c:pt>
                <c:pt idx="85" formatCode="General">
                  <c:v>-5.1841683168316832</c:v>
                </c:pt>
                <c:pt idx="86" formatCode="General">
                  <c:v>-5.2019900990099011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3B64-4A06-94BD-9A1C3DDAFA1D}"/>
            </c:ext>
          </c:extLst>
        </c:ser>
        <c:ser>
          <c:idx val="10"/>
          <c:order val="11"/>
          <c:tx>
            <c:strRef>
              <c:f>'20-20-60'!$DO$14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'20-20-60'!$DP$14:$GZ$14</c:f>
              <c:numCache>
                <c:formatCode>0</c:formatCode>
                <c:ptCount val="89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-4.8314554455445542</c:v>
                </c:pt>
                <c:pt idx="27" formatCode="General">
                  <c:v>-4.4956138613861381</c:v>
                </c:pt>
                <c:pt idx="28" formatCode="General">
                  <c:v>-4.1597722772277219</c:v>
                </c:pt>
                <c:pt idx="29" formatCode="General">
                  <c:v>-4.1170099009900989</c:v>
                </c:pt>
                <c:pt idx="30" formatCode="General">
                  <c:v>-4.1364158415841583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-4.5114378109452735</c:v>
                </c:pt>
                <c:pt idx="50" formatCode="General">
                  <c:v>-4.5313383084577117</c:v>
                </c:pt>
                <c:pt idx="51" formatCode="General">
                  <c:v>-4.5511831683168316</c:v>
                </c:pt>
                <c:pt idx="52" formatCode="General">
                  <c:v>-4.570589108910891</c:v>
                </c:pt>
                <c:pt idx="53" formatCode="General">
                  <c:v>-4.5899950495049504</c:v>
                </c:pt>
                <c:pt idx="54" formatCode="General">
                  <c:v>-4.6094009900990098</c:v>
                </c:pt>
                <c:pt idx="55" formatCode="General">
                  <c:v>-4.6288069306930693</c:v>
                </c:pt>
                <c:pt idx="56" formatCode="General">
                  <c:v>-4.6482128712871287</c:v>
                </c:pt>
                <c:pt idx="57" formatCode="General">
                  <c:v>-4.6676188118811881</c:v>
                </c:pt>
                <c:pt idx="58" formatCode="General">
                  <c:v>-4.6870247524752475</c:v>
                </c:pt>
                <c:pt idx="59" formatCode="General">
                  <c:v>-4.706217821782178</c:v>
                </c:pt>
                <c:pt idx="60" formatCode="General">
                  <c:v>-4.725227722772277</c:v>
                </c:pt>
                <c:pt idx="61" formatCode="General">
                  <c:v>-4.744237623762376</c:v>
                </c:pt>
                <c:pt idx="62" formatCode="General">
                  <c:v>-4.763247524752475</c:v>
                </c:pt>
                <c:pt idx="63" formatCode="General">
                  <c:v>-4.7822574257425741</c:v>
                </c:pt>
                <c:pt idx="64" formatCode="General">
                  <c:v>-4.8012673267326731</c:v>
                </c:pt>
                <c:pt idx="65" formatCode="General">
                  <c:v>-4.8202772277227721</c:v>
                </c:pt>
                <c:pt idx="66" formatCode="General">
                  <c:v>-4.8392871287128711</c:v>
                </c:pt>
                <c:pt idx="67" formatCode="General">
                  <c:v>-4.8579158415841581</c:v>
                </c:pt>
                <c:pt idx="68" formatCode="General">
                  <c:v>-4.8765297029702968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-5.0772376237623762</c:v>
                </c:pt>
                <c:pt idx="80" formatCode="General">
                  <c:v>-5.095059405940594</c:v>
                </c:pt>
                <c:pt idx="81" formatCode="General">
                  <c:v>-5.1128811881188119</c:v>
                </c:pt>
                <c:pt idx="82" formatCode="General">
                  <c:v>-5.1307029702970297</c:v>
                </c:pt>
                <c:pt idx="83" formatCode="General">
                  <c:v>-5.1485247524752475</c:v>
                </c:pt>
                <c:pt idx="84" formatCode="General">
                  <c:v>-5.1663465346534654</c:v>
                </c:pt>
                <c:pt idx="85" formatCode="General">
                  <c:v>-5.1841683168316832</c:v>
                </c:pt>
                <c:pt idx="86" formatCode="General">
                  <c:v>-5.2019900990099011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64-4A06-94BD-9A1C3DDAFA1D}"/>
            </c:ext>
          </c:extLst>
        </c:ser>
        <c:ser>
          <c:idx val="44"/>
          <c:order val="44"/>
          <c:tx>
            <c:strRef>
              <c:f>'20-20-60'!$DO$47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'20-20-60'!$DP$47:$GZ$47</c:f>
              <c:numCache>
                <c:formatCode>0</c:formatCode>
                <c:ptCount val="89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64-4A06-94BD-9A1C3DDAFA1D}"/>
            </c:ext>
          </c:extLst>
        </c:ser>
        <c:ser>
          <c:idx val="52"/>
          <c:order val="52"/>
          <c:tx>
            <c:strRef>
              <c:f>'20-20-60'!$DO$55</c:f>
              <c:strCache>
                <c:ptCount val="1"/>
                <c:pt idx="0">
                  <c:v>(3)Ge[l]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'20-20-60'!$DP$55:$GZ$55</c:f>
              <c:numCache>
                <c:formatCode>0</c:formatCode>
                <c:ptCount val="89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A06-94BD-9A1C3DDAFA1D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64-4A06-94BD-9A1C3DDAFA1D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F-3B64-4A06-94BD-9A1C3DDAFA1D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0-3B64-4A06-94BD-9A1C3DDAFA1D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1-3B64-4A06-94BD-9A1C3DDAFA1D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64-4A06-94BD-9A1C3DDAFA1D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2-3B64-4A06-94BD-9A1C3DDAFA1D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3-3B64-4A06-94BD-9A1C3DDAFA1D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4-3B64-4A06-94BD-9A1C3DDAFA1D}"/>
            </c:ext>
          </c:extLst>
        </c:ser>
        <c:ser>
          <c:idx val="69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5-3B64-4A06-94BD-9A1C3DDAFA1D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3B64-4A06-94BD-9A1C3DDAF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3B64-4A06-94BD-9A1C3DDAFA1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B64-4A06-94BD-9A1C3DDAFA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B64-4A06-94BD-9A1C3DDAFA1D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B64-4A06-94BD-9A1C3DDAFA1D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B64-4A06-94BD-9A1C3DDAFA1D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B64-4A06-94BD-9A1C3DDAFA1D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B64-4A06-94BD-9A1C3DDAFA1D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B64-4A06-94BD-9A1C3DDAFA1D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B64-4A06-94BD-9A1C3DDAFA1D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B64-4A06-94BD-9A1C3DDAFA1D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B64-4A06-94BD-9A1C3DDAFA1D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B64-4A06-94BD-9A1C3DDAFA1D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B64-4A06-94BD-9A1C3DDAFA1D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B64-4A06-94BD-9A1C3DDAFA1D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B64-4A06-94BD-9A1C3DDAFA1D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B64-4A06-94BD-9A1C3DDAFA1D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B64-4A06-94BD-9A1C3DDAFA1D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B64-4A06-94BD-9A1C3DDAFA1D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B64-4A06-94BD-9A1C3DDAFA1D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B64-4A06-94BD-9A1C3DDAFA1D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B64-4A06-94BD-9A1C3DDAFA1D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B64-4A06-94BD-9A1C3DDAFA1D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B64-4A06-94BD-9A1C3DDAFA1D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B64-4A06-94BD-9A1C3DDAFA1D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B64-4A06-94BD-9A1C3DDAFA1D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B64-4A06-94BD-9A1C3DDAFA1D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B64-4A06-94BD-9A1C3DDAFA1D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B64-4A06-94BD-9A1C3DDAFA1D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B64-4A06-94BD-9A1C3DDAFA1D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B64-4A06-94BD-9A1C3DDAFA1D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B64-4A06-94BD-9A1C3DDAFA1D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B64-4A06-94BD-9A1C3DDAFA1D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B64-4A06-94BD-9A1C3DDAFA1D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B64-4A06-94BD-9A1C3DDAFA1D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B64-4A06-94BD-9A1C3DDAFA1D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B64-4A06-94BD-9A1C3DDAFA1D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B64-4A06-94BD-9A1C3DDAFA1D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B64-4A06-94BD-9A1C3DDAFA1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B64-4A06-94BD-9A1C3DDAFA1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B64-4A06-94BD-9A1C3DDAFA1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B64-4A06-94BD-9A1C3DDAFA1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B64-4A06-94BD-9A1C3DDAFA1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B64-4A06-94BD-9A1C3DDAFA1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B64-4A06-94BD-9A1C3DDAFA1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B64-4A06-94BD-9A1C3DDAFA1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B64-4A06-94BD-9A1C3DDAFA1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B64-4A06-94BD-9A1C3DDAFA1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B64-4A06-94BD-9A1C3DDAFA1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B64-4A06-94BD-9A1C3DDAFA1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B64-4A06-94BD-9A1C3DDAFA1D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B64-4A06-94BD-9A1C3DDAFA1D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B64-4A06-94BD-9A1C3DDAFA1D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B64-4A06-94BD-9A1C3DDAFA1D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B64-4A06-94BD-9A1C3DDAFA1D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B64-4A06-94BD-9A1C3DDAFA1D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B64-4A06-94BD-9A1C3DDAFA1D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B64-4A06-94BD-9A1C3DDAFA1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3"/>
          <c:min val="-16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Состав</a:t>
            </a:r>
            <a:r>
              <a:rPr lang="ru-RU" baseline="0"/>
              <a:t> </a:t>
            </a:r>
            <a:r>
              <a:rPr lang="en-US" baseline="0"/>
              <a:t>Ge20Ga20Se60</a:t>
            </a:r>
            <a:endParaRPr lang="ru-RU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247111888433742E-2"/>
          <c:y val="8.6796458311373476E-2"/>
          <c:w val="0.8598171859897823"/>
          <c:h val="0.82232929271634869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'20-20-60'!$A$3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'20-20-60'!$B$3:$CJ$3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3-45A7-A92B-5AAA373E71DE}"/>
            </c:ext>
          </c:extLst>
        </c:ser>
        <c:ser>
          <c:idx val="2"/>
          <c:order val="1"/>
          <c:tx>
            <c:strRef>
              <c:f>'20-20-60'!$A$4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'20-20-60'!$B$4:$CJ$4</c:f>
              <c:numCache>
                <c:formatCode>0.0E+00</c:formatCode>
                <c:ptCount val="87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9.1824000000000003E-3</c:v>
                </c:pt>
                <c:pt idx="10">
                  <c:v>3.6989000000000001E-9</c:v>
                </c:pt>
                <c:pt idx="11">
                  <c:v>1.1703000000000001E-10</c:v>
                </c:pt>
                <c:pt idx="12">
                  <c:v>2.5212E-11</c:v>
                </c:pt>
                <c:pt idx="13">
                  <c:v>8.4148999999999998E-13</c:v>
                </c:pt>
                <c:pt idx="14">
                  <c:v>1.4323E-22</c:v>
                </c:pt>
                <c:pt idx="15">
                  <c:v>2.0447000000000001E-27</c:v>
                </c:pt>
                <c:pt idx="16">
                  <c:v>1.1809E-32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543-45A7-A92B-5AAA373E71DE}"/>
            </c:ext>
          </c:extLst>
        </c:ser>
        <c:ser>
          <c:idx val="3"/>
          <c:order val="2"/>
          <c:tx>
            <c:strRef>
              <c:f>'20-20-60'!$A$5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'20-20-60'!$B$5:$CJ$5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1.5319E-30</c:v>
                </c:pt>
                <c:pt idx="15">
                  <c:v>1.2594999999999999E-26</c:v>
                </c:pt>
                <c:pt idx="16">
                  <c:v>8.6149000000000006E-22</c:v>
                </c:pt>
                <c:pt idx="17">
                  <c:v>0</c:v>
                </c:pt>
                <c:pt idx="18">
                  <c:v>2.6909999999999999E-17</c:v>
                </c:pt>
                <c:pt idx="19" formatCode="General">
                  <c:v>3.8658999999999999E-16</c:v>
                </c:pt>
                <c:pt idx="20" formatCode="General">
                  <c:v>1.6123E-10</c:v>
                </c:pt>
                <c:pt idx="21" formatCode="General">
                  <c:v>3.8103000000000002E-7</c:v>
                </c:pt>
                <c:pt idx="22" formatCode="General">
                  <c:v>2.5778999999999998E-7</c:v>
                </c:pt>
                <c:pt idx="23" formatCode="General">
                  <c:v>5.6702E-8</c:v>
                </c:pt>
                <c:pt idx="24" formatCode="General">
                  <c:v>4.6037999999999998E-8</c:v>
                </c:pt>
                <c:pt idx="25" formatCode="General">
                  <c:v>3.0519999999999998E-8</c:v>
                </c:pt>
                <c:pt idx="26" formatCode="General">
                  <c:v>1.0039E-9</c:v>
                </c:pt>
                <c:pt idx="27" formatCode="General">
                  <c:v>3.0519999999999998E-8</c:v>
                </c:pt>
                <c:pt idx="28" formatCode="General">
                  <c:v>1.0039E-9</c:v>
                </c:pt>
                <c:pt idx="29" formatCode="General">
                  <c:v>3.4799000000000001E-16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543-45A7-A92B-5AAA373E71DE}"/>
            </c:ext>
          </c:extLst>
        </c:ser>
        <c:ser>
          <c:idx val="4"/>
          <c:order val="3"/>
          <c:tx>
            <c:strRef>
              <c:f>'20-20-60'!$A$6</c:f>
              <c:strCache>
                <c:ptCount val="1"/>
                <c:pt idx="0">
                  <c:v>*Ga2Se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'20-20-60'!$B$6:$CJ$6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1.5241999999999999E-19</c:v>
                </c:pt>
                <c:pt idx="15">
                  <c:v>4.1139000000000001E-15</c:v>
                </c:pt>
                <c:pt idx="16">
                  <c:v>9.6581E-10</c:v>
                </c:pt>
                <c:pt idx="17">
                  <c:v>9.2078000000000004E-3</c:v>
                </c:pt>
                <c:pt idx="18">
                  <c:v>6.4236000000000001E-2</c:v>
                </c:pt>
                <c:pt idx="19" formatCode="General">
                  <c:v>7.5584999999999999E-2</c:v>
                </c:pt>
                <c:pt idx="20" formatCode="General">
                  <c:v>2.9709999999999998E-7</c:v>
                </c:pt>
                <c:pt idx="21" formatCode="General">
                  <c:v>1.8911999999999999E-20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543-45A7-A92B-5AAA373E71DE}"/>
            </c:ext>
          </c:extLst>
        </c:ser>
        <c:ser>
          <c:idx val="5"/>
          <c:order val="4"/>
          <c:tx>
            <c:strRef>
              <c:f>'20-20-60'!$A$7</c:f>
              <c:strCache>
                <c:ptCount val="1"/>
                <c:pt idx="0">
                  <c:v>*Ge[c]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'20-20-60'!$B$7:$CJ$7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F543-45A7-A92B-5AAA373E71DE}"/>
            </c:ext>
          </c:extLst>
        </c:ser>
        <c:ser>
          <c:idx val="6"/>
          <c:order val="5"/>
          <c:tx>
            <c:strRef>
              <c:f>'20-20-60'!$A$8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'20-20-60'!$B$8:$CJ$8</c:f>
              <c:numCache>
                <c:formatCode>0.0E+00</c:formatCode>
                <c:ptCount val="87"/>
                <c:pt idx="0">
                  <c:v>8.5697999999999999E-23</c:v>
                </c:pt>
                <c:pt idx="1">
                  <c:v>1.3693E-15</c:v>
                </c:pt>
                <c:pt idx="2">
                  <c:v>7.2793000000000001E-11</c:v>
                </c:pt>
                <c:pt idx="3">
                  <c:v>2.1086999999999999E-8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0.23082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0.25841999999999998</c:v>
                </c:pt>
                <c:pt idx="18">
                  <c:v>0.36847000000000002</c:v>
                </c:pt>
                <c:pt idx="19" formatCode="General">
                  <c:v>0.39117000000000002</c:v>
                </c:pt>
                <c:pt idx="20" formatCode="General">
                  <c:v>0.47654000000000002</c:v>
                </c:pt>
                <c:pt idx="21" formatCode="General">
                  <c:v>0.47964000000000001</c:v>
                </c:pt>
                <c:pt idx="22" formatCode="General">
                  <c:v>0.47996</c:v>
                </c:pt>
                <c:pt idx="23" formatCode="General">
                  <c:v>0.48</c:v>
                </c:pt>
                <c:pt idx="24" formatCode="General">
                  <c:v>0.48</c:v>
                </c:pt>
                <c:pt idx="25" formatCode="General">
                  <c:v>0.48</c:v>
                </c:pt>
                <c:pt idx="26" formatCode="General">
                  <c:v>0.48</c:v>
                </c:pt>
                <c:pt idx="27" formatCode="General">
                  <c:v>0.48</c:v>
                </c:pt>
                <c:pt idx="28" formatCode="General">
                  <c:v>0.48</c:v>
                </c:pt>
                <c:pt idx="29" formatCode="General">
                  <c:v>0.48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F543-45A7-A92B-5AAA373E71DE}"/>
            </c:ext>
          </c:extLst>
        </c:ser>
        <c:ser>
          <c:idx val="7"/>
          <c:order val="6"/>
          <c:tx>
            <c:strRef>
              <c:f>'20-20-60'!$A$9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'20-20-60'!$B$9:$CJ$9</c:f>
              <c:numCache>
                <c:formatCode>0.0E+00</c:formatCode>
                <c:ptCount val="87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5.4299999999999997E-9</c:v>
                </c:pt>
                <c:pt idx="5">
                  <c:v>1.8601000000000001E-17</c:v>
                </c:pt>
                <c:pt idx="6">
                  <c:v>2.9511000000000003E-20</c:v>
                </c:pt>
                <c:pt idx="7">
                  <c:v>2.0618999999999998E-33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F543-45A7-A92B-5AAA373E71DE}"/>
            </c:ext>
          </c:extLst>
        </c:ser>
        <c:ser>
          <c:idx val="11"/>
          <c:order val="10"/>
          <c:tx>
            <c:strRef>
              <c:f>'20-20-60'!$A$13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'20-20-60'!$B$13:$CJ$13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1.3168999999999999E-31</c:v>
                </c:pt>
                <c:pt idx="12">
                  <c:v>1.7224E-23</c:v>
                </c:pt>
                <c:pt idx="13">
                  <c:v>8.3048000000000002E-20</c:v>
                </c:pt>
                <c:pt idx="14">
                  <c:v>3.9772E-13</c:v>
                </c:pt>
                <c:pt idx="15">
                  <c:v>1.4622999999999999E-12</c:v>
                </c:pt>
                <c:pt idx="16">
                  <c:v>4.5785E-11</c:v>
                </c:pt>
                <c:pt idx="17">
                  <c:v>0</c:v>
                </c:pt>
                <c:pt idx="18">
                  <c:v>2.8389000000000002E-9</c:v>
                </c:pt>
                <c:pt idx="19" formatCode="General">
                  <c:v>3.8255000000000001E-8</c:v>
                </c:pt>
                <c:pt idx="20" formatCode="General">
                  <c:v>0.15769</c:v>
                </c:pt>
                <c:pt idx="21" formatCode="General">
                  <c:v>0.15976000000000001</c:v>
                </c:pt>
                <c:pt idx="22" formatCode="General">
                  <c:v>0.15997</c:v>
                </c:pt>
                <c:pt idx="23" formatCode="General">
                  <c:v>0.16</c:v>
                </c:pt>
                <c:pt idx="24" formatCode="General">
                  <c:v>0.16</c:v>
                </c:pt>
                <c:pt idx="25" formatCode="General">
                  <c:v>0.16</c:v>
                </c:pt>
                <c:pt idx="26" formatCode="General">
                  <c:v>0.16</c:v>
                </c:pt>
                <c:pt idx="27" formatCode="General">
                  <c:v>0.16</c:v>
                </c:pt>
                <c:pt idx="28" formatCode="General">
                  <c:v>0.16</c:v>
                </c:pt>
                <c:pt idx="29" formatCode="General">
                  <c:v>0.16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F543-45A7-A92B-5AAA373E71DE}"/>
            </c:ext>
          </c:extLst>
        </c:ser>
        <c:ser>
          <c:idx val="12"/>
          <c:order val="11"/>
          <c:tx>
            <c:strRef>
              <c:f>'20-20-60'!$A$14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'20-20-60'!$B$14:$CJ$14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3.7209000000000002E-35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1.9468E-26</c:v>
                </c:pt>
                <c:pt idx="12">
                  <c:v>4.6849999999999995E-19</c:v>
                </c:pt>
                <c:pt idx="13">
                  <c:v>4.5680000000000005E-16</c:v>
                </c:pt>
                <c:pt idx="14">
                  <c:v>8.0088000000000004E-12</c:v>
                </c:pt>
                <c:pt idx="15">
                  <c:v>8.5293E-12</c:v>
                </c:pt>
                <c:pt idx="16">
                  <c:v>8.1495999999999994E-11</c:v>
                </c:pt>
                <c:pt idx="17">
                  <c:v>0</c:v>
                </c:pt>
                <c:pt idx="18">
                  <c:v>1.0850000000000001E-9</c:v>
                </c:pt>
                <c:pt idx="19" formatCode="General">
                  <c:v>9.4720000000000004E-9</c:v>
                </c:pt>
                <c:pt idx="20" formatCode="General">
                  <c:v>2.7789000000000001E-2</c:v>
                </c:pt>
                <c:pt idx="21" formatCode="General">
                  <c:v>3.3133000000000003E-2</c:v>
                </c:pt>
                <c:pt idx="22" formatCode="General">
                  <c:v>3.8913999999999997E-2</c:v>
                </c:pt>
                <c:pt idx="23" formatCode="General">
                  <c:v>7.2328000000000003E-2</c:v>
                </c:pt>
                <c:pt idx="24" formatCode="General">
                  <c:v>8.4408999999999998E-2</c:v>
                </c:pt>
                <c:pt idx="25" formatCode="General">
                  <c:v>9.8666000000000004E-2</c:v>
                </c:pt>
                <c:pt idx="26" formatCode="General">
                  <c:v>0.11561</c:v>
                </c:pt>
                <c:pt idx="27" formatCode="General">
                  <c:v>9.8666000000000004E-2</c:v>
                </c:pt>
                <c:pt idx="28" formatCode="General">
                  <c:v>0.11561</c:v>
                </c:pt>
                <c:pt idx="29" formatCode="General">
                  <c:v>0.13605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F543-45A7-A92B-5AAA373E71DE}"/>
            </c:ext>
          </c:extLst>
        </c:ser>
        <c:ser>
          <c:idx val="62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43-45A7-A92B-5AAA373E71DE}"/>
            </c:ext>
          </c:extLst>
        </c:ser>
        <c:ser>
          <c:idx val="63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543-45A7-A92B-5AAA373E71DE}"/>
            </c:ext>
          </c:extLst>
        </c:ser>
        <c:ser>
          <c:idx val="64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43-45A7-A92B-5AAA373E71DE}"/>
            </c:ext>
          </c:extLst>
        </c:ser>
        <c:ser>
          <c:idx val="65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543-45A7-A92B-5AAA373E71DE}"/>
            </c:ext>
          </c:extLst>
        </c:ser>
        <c:ser>
          <c:idx val="66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F543-45A7-A92B-5AAA373E71DE}"/>
            </c:ext>
          </c:extLst>
        </c:ser>
        <c:ser>
          <c:idx val="67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49-F543-45A7-A92B-5AAA373E71DE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F543-45A7-A92B-5AAA373E71DE}"/>
            </c:ext>
          </c:extLst>
        </c:ser>
        <c:ser>
          <c:idx val="68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F543-45A7-A92B-5AAA373E71DE}"/>
            </c:ext>
          </c:extLst>
        </c:ser>
        <c:ser>
          <c:idx val="69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F543-45A7-A92B-5AAA373E71DE}"/>
            </c:ext>
          </c:extLst>
        </c:ser>
        <c:ser>
          <c:idx val="70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F543-45A7-A92B-5AAA373E71DE}"/>
            </c:ext>
          </c:extLst>
        </c:ser>
        <c:ser>
          <c:idx val="71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marker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3-35CD-4C36-BCD0-588BE880B13A}"/>
              </c:ext>
            </c:extLst>
          </c:dPt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543-45A7-A92B-5AAA373E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7"/>
                <c:tx>
                  <c:strRef>
                    <c:extLst>
                      <c:ext uri="{02D57815-91ED-43cb-92C2-25804820EDAC}">
                        <c15:formulaRef>
                          <c15:sqref>'20-20-60'!$A$10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4-F543-45A7-A92B-5AAA373E71DE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543-45A7-A92B-5AAA373E71DE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543-45A7-A92B-5AAA373E71DE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543-45A7-A92B-5AAA373E71DE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543-45A7-A92B-5AAA373E71DE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543-45A7-A92B-5AAA373E71DE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543-45A7-A92B-5AAA373E71DE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543-45A7-A92B-5AAA373E71DE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543-45A7-A92B-5AAA373E71DE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543-45A7-A92B-5AAA373E71DE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543-45A7-A92B-5AAA373E71DE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543-45A7-A92B-5AAA373E71DE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543-45A7-A92B-5AAA373E71DE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543-45A7-A92B-5AAA373E71DE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543-45A7-A92B-5AAA373E71DE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543-45A7-A92B-5AAA373E71DE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543-45A7-A92B-5AAA373E71DE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543-45A7-A92B-5AAA373E71DE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543-45A7-A92B-5AAA373E71DE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543-45A7-A92B-5AAA373E71DE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543-45A7-A92B-5AAA373E71DE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543-45A7-A92B-5AAA373E71DE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'20-20-60'!$B$34:$CJ$34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1.4885E-9</c:v>
                      </c:pt>
                      <c:pt idx="1">
                        <c:v>2.6960999999999998E-9</c:v>
                      </c:pt>
                      <c:pt idx="2">
                        <c:v>6.4316E-9</c:v>
                      </c:pt>
                      <c:pt idx="3">
                        <c:v>7.9884000000000002E-9</c:v>
                      </c:pt>
                      <c:pt idx="4">
                        <c:v>1.5031000000000001E-8</c:v>
                      </c:pt>
                      <c:pt idx="5">
                        <c:v>1.9553E-8</c:v>
                      </c:pt>
                      <c:pt idx="6">
                        <c:v>2.0324000000000001E-8</c:v>
                      </c:pt>
                      <c:pt idx="7">
                        <c:v>1.1984999999999999E-8</c:v>
                      </c:pt>
                      <c:pt idx="8">
                        <c:v>5.9535000000000002E-9</c:v>
                      </c:pt>
                      <c:pt idx="9">
                        <c:v>2.8796000000000002E-29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543-45A7-A92B-5AAA373E71DE}"/>
                  </c:ext>
                </c:extLst>
              </c15:ser>
            </c15:filteredScatterSeries>
            <c15:filteredScatterSeries>
              <c15:ser>
                <c:idx val="33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'20-20-60'!$B$35:$CJ$35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1.3754E-36</c:v>
                      </c:pt>
                      <c:pt idx="19">
                        <c:v>1.2316E-27</c:v>
                      </c:pt>
                      <c:pt idx="20">
                        <c:v>9.9036E-20</c:v>
                      </c:pt>
                      <c:pt idx="21">
                        <c:v>3.6288E-12</c:v>
                      </c:pt>
                      <c:pt idx="22">
                        <c:v>8.1276000000000003E-7</c:v>
                      </c:pt>
                      <c:pt idx="23">
                        <c:v>4.5038000000000001E-4</c:v>
                      </c:pt>
                      <c:pt idx="24">
                        <c:v>3.2380000000000001E-4</c:v>
                      </c:pt>
                      <c:pt idx="25">
                        <c:v>1.5102E-4</c:v>
                      </c:pt>
                      <c:pt idx="26">
                        <c:v>7.6592000000000001E-5</c:v>
                      </c:pt>
                      <c:pt idx="27">
                        <c:v>3.7290999999999999E-5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543-45A7-A92B-5AAA373E71DE}"/>
                  </c:ext>
                </c:extLst>
              </c15:ser>
            </c15:filteredScatterSeries>
            <c15:filteredScatterSeries>
              <c15:ser>
                <c:idx val="34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'20-20-60'!$B$36:$CJ$36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5.3673999999999998E-31</c:v>
                      </c:pt>
                      <c:pt idx="2">
                        <c:v>8.7909999999999999E-23</c:v>
                      </c:pt>
                      <c:pt idx="3">
                        <c:v>2.1659000000000001E-19</c:v>
                      </c:pt>
                      <c:pt idx="4">
                        <c:v>1.5101999999999999E-17</c:v>
                      </c:pt>
                      <c:pt idx="5">
                        <c:v>8.1085000000000003E-17</c:v>
                      </c:pt>
                      <c:pt idx="6">
                        <c:v>3.2773E-16</c:v>
                      </c:pt>
                      <c:pt idx="7">
                        <c:v>4.3337000000000002E-15</c:v>
                      </c:pt>
                      <c:pt idx="8">
                        <c:v>9.7760999999999991E-13</c:v>
                      </c:pt>
                      <c:pt idx="9">
                        <c:v>7.1665999999999996E-9</c:v>
                      </c:pt>
                      <c:pt idx="10">
                        <c:v>9.619E-9</c:v>
                      </c:pt>
                      <c:pt idx="11">
                        <c:v>1.5732999999999999E-8</c:v>
                      </c:pt>
                      <c:pt idx="12">
                        <c:v>1.0646999999999999E-8</c:v>
                      </c:pt>
                      <c:pt idx="13">
                        <c:v>1.1835E-8</c:v>
                      </c:pt>
                      <c:pt idx="14">
                        <c:v>1.2272000000000001E-8</c:v>
                      </c:pt>
                      <c:pt idx="15">
                        <c:v>1.2878E-8</c:v>
                      </c:pt>
                      <c:pt idx="16">
                        <c:v>1.4869000000000001E-8</c:v>
                      </c:pt>
                      <c:pt idx="17">
                        <c:v>1.3575000000000001E-8</c:v>
                      </c:pt>
                      <c:pt idx="18">
                        <c:v>3.4117E-8</c:v>
                      </c:pt>
                      <c:pt idx="19">
                        <c:v>3.8187000000000003E-8</c:v>
                      </c:pt>
                      <c:pt idx="20">
                        <c:v>2.5558E-8</c:v>
                      </c:pt>
                      <c:pt idx="21">
                        <c:v>1.9358E-8</c:v>
                      </c:pt>
                      <c:pt idx="22">
                        <c:v>1.9697E-23</c:v>
                      </c:pt>
                      <c:pt idx="23">
                        <c:v>1.8587000000000001E-20</c:v>
                      </c:pt>
                      <c:pt idx="24">
                        <c:v>6.0575999999999994E-20</c:v>
                      </c:pt>
                      <c:pt idx="25">
                        <c:v>1.5035000000000001E-19</c:v>
                      </c:pt>
                      <c:pt idx="26">
                        <c:v>3.0188E-19</c:v>
                      </c:pt>
                      <c:pt idx="27">
                        <c:v>5.5668999999999996E-19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543-45A7-A92B-5AAA373E71DE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'20-20-60'!$B$37:$CJ$37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1.2947999999999999E-9</c:v>
                      </c:pt>
                      <c:pt idx="1">
                        <c:v>1.9966000000000001E-10</c:v>
                      </c:pt>
                      <c:pt idx="2">
                        <c:v>1.3767000000000001E-13</c:v>
                      </c:pt>
                      <c:pt idx="3">
                        <c:v>2.0532000000000002E-21</c:v>
                      </c:pt>
                      <c:pt idx="4">
                        <c:v>3.1104000000000002E-32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543-45A7-A92B-5AAA373E71DE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543-45A7-A92B-5AAA373E71DE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543-45A7-A92B-5AAA373E71DE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543-45A7-A92B-5AAA373E71DE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543-45A7-A92B-5AAA373E71DE}"/>
                  </c:ext>
                </c:extLst>
              </c15:ser>
            </c15:filteredScatterSeries>
            <c15:filteredScatterSeries>
              <c15:ser>
                <c:idx val="40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'20-20-60'!$B$42:$CJ$42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7.8411999999999996E-2</c:v>
                      </c:pt>
                      <c:pt idx="1">
                        <c:v>7.3134000000000005E-2</c:v>
                      </c:pt>
                      <c:pt idx="2">
                        <c:v>5.8986999999999998E-2</c:v>
                      </c:pt>
                      <c:pt idx="3">
                        <c:v>3.6919E-2</c:v>
                      </c:pt>
                      <c:pt idx="4">
                        <c:v>1.7676999999999998E-2</c:v>
                      </c:pt>
                      <c:pt idx="5">
                        <c:v>7.2598999999999997E-3</c:v>
                      </c:pt>
                      <c:pt idx="6">
                        <c:v>2.8917999999999999E-3</c:v>
                      </c:pt>
                      <c:pt idx="7">
                        <c:v>1.1887E-3</c:v>
                      </c:pt>
                      <c:pt idx="8">
                        <c:v>5.1097000000000002E-4</c:v>
                      </c:pt>
                      <c:pt idx="9">
                        <c:v>9.0981000000000002E-6</c:v>
                      </c:pt>
                      <c:pt idx="10">
                        <c:v>2.4572E-6</c:v>
                      </c:pt>
                      <c:pt idx="11">
                        <c:v>6.5054999999999996E-7</c:v>
                      </c:pt>
                      <c:pt idx="12">
                        <c:v>1.7638E-7</c:v>
                      </c:pt>
                      <c:pt idx="13">
                        <c:v>4.9921000000000001E-8</c:v>
                      </c:pt>
                      <c:pt idx="14">
                        <c:v>1.4844E-8</c:v>
                      </c:pt>
                      <c:pt idx="15">
                        <c:v>4.6448000000000003E-9</c:v>
                      </c:pt>
                      <c:pt idx="16">
                        <c:v>1.5360000000000001E-9</c:v>
                      </c:pt>
                      <c:pt idx="17">
                        <c:v>5.4651999999999999E-10</c:v>
                      </c:pt>
                      <c:pt idx="18">
                        <c:v>1.4317E-11</c:v>
                      </c:pt>
                      <c:pt idx="19">
                        <c:v>5.8701999999999998E-12</c:v>
                      </c:pt>
                      <c:pt idx="20">
                        <c:v>2.4643999999999999E-12</c:v>
                      </c:pt>
                      <c:pt idx="21">
                        <c:v>1.0603E-12</c:v>
                      </c:pt>
                      <c:pt idx="22">
                        <c:v>4.7526999999999995E-13</c:v>
                      </c:pt>
                      <c:pt idx="23">
                        <c:v>3.0937000000000002E-14</c:v>
                      </c:pt>
                      <c:pt idx="24">
                        <c:v>1.5379E-14</c:v>
                      </c:pt>
                      <c:pt idx="25">
                        <c:v>7.7425999999999992E-15</c:v>
                      </c:pt>
                      <c:pt idx="26">
                        <c:v>3.9498999999999998E-15</c:v>
                      </c:pt>
                      <c:pt idx="27">
                        <c:v>2.0417E-15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543-45A7-A92B-5AAA373E71DE}"/>
                  </c:ext>
                </c:extLst>
              </c15:ser>
            </c15:filteredScatterSeries>
            <c15:filteredScatterSeries>
              <c15:ser>
                <c:idx val="41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'20-20-60'!$A$43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'20-20-60'!$B$43:$CJ$43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8.1587000000000007E-2</c:v>
                      </c:pt>
                      <c:pt idx="1">
                        <c:v>8.6863999999999997E-2</c:v>
                      </c:pt>
                      <c:pt idx="2">
                        <c:v>0.10101</c:v>
                      </c:pt>
                      <c:pt idx="3">
                        <c:v>0.12306</c:v>
                      </c:pt>
                      <c:pt idx="4">
                        <c:v>0.14222000000000001</c:v>
                      </c:pt>
                      <c:pt idx="5">
                        <c:v>0.15229999999999999</c:v>
                      </c:pt>
                      <c:pt idx="6">
                        <c:v>0.15537999999999999</c:v>
                      </c:pt>
                      <c:pt idx="7">
                        <c:v>0.15296000000000001</c:v>
                      </c:pt>
                      <c:pt idx="8">
                        <c:v>0.14297000000000001</c:v>
                      </c:pt>
                      <c:pt idx="9">
                        <c:v>3.1546999999999999E-2</c:v>
                      </c:pt>
                      <c:pt idx="10">
                        <c:v>1.5650000000000001E-2</c:v>
                      </c:pt>
                      <c:pt idx="11">
                        <c:v>7.5123999999999998E-3</c:v>
                      </c:pt>
                      <c:pt idx="12">
                        <c:v>3.6213999999999999E-3</c:v>
                      </c:pt>
                      <c:pt idx="13">
                        <c:v>1.7830999999999999E-3</c:v>
                      </c:pt>
                      <c:pt idx="14">
                        <c:v>9.0233000000000002E-4</c:v>
                      </c:pt>
                      <c:pt idx="15">
                        <c:v>4.7019E-4</c:v>
                      </c:pt>
                      <c:pt idx="16">
                        <c:v>2.5291000000000002E-4</c:v>
                      </c:pt>
                      <c:pt idx="17">
                        <c:v>1.4166E-4</c:v>
                      </c:pt>
                      <c:pt idx="18">
                        <c:v>1.8465E-5</c:v>
                      </c:pt>
                      <c:pt idx="19">
                        <c:v>1.1285E-5</c:v>
                      </c:pt>
                      <c:pt idx="20">
                        <c:v>6.9963999999999996E-6</c:v>
                      </c:pt>
                      <c:pt idx="21">
                        <c:v>4.4017999999999999E-6</c:v>
                      </c:pt>
                      <c:pt idx="22">
                        <c:v>2.8312999999999999E-6</c:v>
                      </c:pt>
                      <c:pt idx="23">
                        <c:v>6.1798000000000003E-7</c:v>
                      </c:pt>
                      <c:pt idx="24">
                        <c:v>4.2137000000000002E-7</c:v>
                      </c:pt>
                      <c:pt idx="25">
                        <c:v>2.8955E-7</c:v>
                      </c:pt>
                      <c:pt idx="26">
                        <c:v>2.0053999999999999E-7</c:v>
                      </c:pt>
                      <c:pt idx="27">
                        <c:v>1.3997E-7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543-45A7-A92B-5AAA373E71DE}"/>
                  </c:ext>
                </c:extLst>
              </c15:ser>
            </c15:filteredScatterSeries>
            <c15:filteredScatterSeries>
              <c15:ser>
                <c:idx val="42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'20-20-60'!$B$44:$CJ$44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3.5750999999999998E-2</c:v>
                      </c:pt>
                      <c:pt idx="1">
                        <c:v>3.6387000000000003E-2</c:v>
                      </c:pt>
                      <c:pt idx="2">
                        <c:v>3.8006999999999999E-2</c:v>
                      </c:pt>
                      <c:pt idx="3">
                        <c:v>4.0307999999999997E-2</c:v>
                      </c:pt>
                      <c:pt idx="4">
                        <c:v>4.2123000000000001E-2</c:v>
                      </c:pt>
                      <c:pt idx="5">
                        <c:v>4.3063999999999998E-2</c:v>
                      </c:pt>
                      <c:pt idx="6">
                        <c:v>4.3540000000000002E-2</c:v>
                      </c:pt>
                      <c:pt idx="7">
                        <c:v>4.4018000000000002E-2</c:v>
                      </c:pt>
                      <c:pt idx="8">
                        <c:v>4.4913000000000002E-2</c:v>
                      </c:pt>
                      <c:pt idx="9">
                        <c:v>5.1853000000000003E-2</c:v>
                      </c:pt>
                      <c:pt idx="10">
                        <c:v>5.2618999999999999E-2</c:v>
                      </c:pt>
                      <c:pt idx="11">
                        <c:v>5.2995E-2</c:v>
                      </c:pt>
                      <c:pt idx="12">
                        <c:v>5.3170000000000002E-2</c:v>
                      </c:pt>
                      <c:pt idx="13">
                        <c:v>5.3247000000000003E-2</c:v>
                      </c:pt>
                      <c:pt idx="14">
                        <c:v>5.3247999999999997E-2</c:v>
                      </c:pt>
                      <c:pt idx="15">
                        <c:v>5.3064E-2</c:v>
                      </c:pt>
                      <c:pt idx="16">
                        <c:v>5.2088000000000002E-2</c:v>
                      </c:pt>
                      <c:pt idx="17">
                        <c:v>4.8049000000000001E-2</c:v>
                      </c:pt>
                      <c:pt idx="18">
                        <c:v>2.0374E-3</c:v>
                      </c:pt>
                      <c:pt idx="19">
                        <c:v>5.976E-4</c:v>
                      </c:pt>
                      <c:pt idx="20">
                        <c:v>1.7788E-4</c:v>
                      </c:pt>
                      <c:pt idx="21">
                        <c:v>5.4218000000000002E-5</c:v>
                      </c:pt>
                      <c:pt idx="22">
                        <c:v>1.6365999999999999E-5</c:v>
                      </c:pt>
                      <c:pt idx="23">
                        <c:v>1.0673000000000001E-8</c:v>
                      </c:pt>
                      <c:pt idx="24">
                        <c:v>1.8103E-9</c:v>
                      </c:pt>
                      <c:pt idx="25">
                        <c:v>3.2268000000000002E-10</c:v>
                      </c:pt>
                      <c:pt idx="26">
                        <c:v>6.0386000000000002E-11</c:v>
                      </c:pt>
                      <c:pt idx="27">
                        <c:v>1.184E-11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543-45A7-A92B-5AAA373E71DE}"/>
                  </c:ext>
                </c:extLst>
              </c15:ser>
            </c15:filteredScatterSeries>
            <c15:filteredScatterSeries>
              <c15:ser>
                <c:idx val="43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'20-20-60'!$B$45:$CJ$45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2.3397999999999999E-28</c:v>
                      </c:pt>
                      <c:pt idx="1">
                        <c:v>2.0742E-26</c:v>
                      </c:pt>
                      <c:pt idx="2">
                        <c:v>1.6841000000000001E-24</c:v>
                      </c:pt>
                      <c:pt idx="3">
                        <c:v>1.5773E-22</c:v>
                      </c:pt>
                      <c:pt idx="4">
                        <c:v>1.5151E-20</c:v>
                      </c:pt>
                      <c:pt idx="5">
                        <c:v>1.1999000000000001E-18</c:v>
                      </c:pt>
                      <c:pt idx="6">
                        <c:v>6.8945999999999997E-17</c:v>
                      </c:pt>
                      <c:pt idx="7">
                        <c:v>2.7437E-15</c:v>
                      </c:pt>
                      <c:pt idx="8">
                        <c:v>7.4413999999999995E-14</c:v>
                      </c:pt>
                      <c:pt idx="9">
                        <c:v>2.9067999999999999E-9</c:v>
                      </c:pt>
                      <c:pt idx="10">
                        <c:v>2.8701E-8</c:v>
                      </c:pt>
                      <c:pt idx="11">
                        <c:v>2.5057E-7</c:v>
                      </c:pt>
                      <c:pt idx="12">
                        <c:v>1.9350000000000001E-6</c:v>
                      </c:pt>
                      <c:pt idx="13">
                        <c:v>1.3294E-5</c:v>
                      </c:pt>
                      <c:pt idx="14">
                        <c:v>8.1879999999999995E-5</c:v>
                      </c:pt>
                      <c:pt idx="15">
                        <c:v>4.5427999999999999E-4</c:v>
                      </c:pt>
                      <c:pt idx="16">
                        <c:v>2.2480999999999998E-3</c:v>
                      </c:pt>
                      <c:pt idx="17">
                        <c:v>9.3439000000000005E-3</c:v>
                      </c:pt>
                      <c:pt idx="18">
                        <c:v>7.2410000000000002E-2</c:v>
                      </c:pt>
                      <c:pt idx="19">
                        <c:v>7.1666999999999995E-2</c:v>
                      </c:pt>
                      <c:pt idx="20">
                        <c:v>6.8749000000000005E-2</c:v>
                      </c:pt>
                      <c:pt idx="21">
                        <c:v>6.4551999999999998E-2</c:v>
                      </c:pt>
                      <c:pt idx="22">
                        <c:v>5.6475999999999998E-2</c:v>
                      </c:pt>
                      <c:pt idx="23">
                        <c:v>1.3301000000000001E-3</c:v>
                      </c:pt>
                      <c:pt idx="24">
                        <c:v>5.4418000000000001E-4</c:v>
                      </c:pt>
                      <c:pt idx="25">
                        <c:v>2.2824999999999999E-4</c:v>
                      </c:pt>
                      <c:pt idx="26">
                        <c:v>9.8068999999999999E-5</c:v>
                      </c:pt>
                      <c:pt idx="27">
                        <c:v>4.3111000000000001E-5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543-45A7-A92B-5AAA373E71DE}"/>
                  </c:ext>
                </c:extLst>
              </c15:ser>
            </c15:filteredScatterSeries>
            <c15:filteredScatterSeries>
              <c15:ser>
                <c:idx val="44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'20-20-60'!$A$46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'20-20-60'!$B$46:$CJ$46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543-45A7-A92B-5AAA373E71DE}"/>
                  </c:ext>
                </c:extLst>
              </c15:ser>
            </c15:filteredScatterSeries>
            <c15:filteredScatterSeries>
              <c15:ser>
                <c:idx val="45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'20-20-60'!$B$47:$CJ$47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4.0423000000000001E-28</c:v>
                      </c:pt>
                      <c:pt idx="1">
                        <c:v>3.3478E-26</c:v>
                      </c:pt>
                      <c:pt idx="2">
                        <c:v>2.3753E-24</c:v>
                      </c:pt>
                      <c:pt idx="3">
                        <c:v>1.739E-22</c:v>
                      </c:pt>
                      <c:pt idx="4">
                        <c:v>1.1968000000000001E-20</c:v>
                      </c:pt>
                      <c:pt idx="5">
                        <c:v>6.5977999999999999E-19</c:v>
                      </c:pt>
                      <c:pt idx="6">
                        <c:v>2.6876000000000001E-17</c:v>
                      </c:pt>
                      <c:pt idx="7">
                        <c:v>7.9278000000000004E-16</c:v>
                      </c:pt>
                      <c:pt idx="8">
                        <c:v>1.6945000000000001E-14</c:v>
                      </c:pt>
                      <c:pt idx="9">
                        <c:v>3.7249000000000002E-10</c:v>
                      </c:pt>
                      <c:pt idx="10">
                        <c:v>3.1746000000000002E-9</c:v>
                      </c:pt>
                      <c:pt idx="11">
                        <c:v>2.3831E-8</c:v>
                      </c:pt>
                      <c:pt idx="12">
                        <c:v>1.5837999999999999E-7</c:v>
                      </c:pt>
                      <c:pt idx="13">
                        <c:v>9.3872999999999999E-7</c:v>
                      </c:pt>
                      <c:pt idx="14">
                        <c:v>5.0003999999999996E-6</c:v>
                      </c:pt>
                      <c:pt idx="15">
                        <c:v>2.4079000000000001E-5</c:v>
                      </c:pt>
                      <c:pt idx="16">
                        <c:v>1.0474E-4</c:v>
                      </c:pt>
                      <c:pt idx="17">
                        <c:v>4.0225999999999999E-4</c:v>
                      </c:pt>
                      <c:pt idx="18">
                        <c:v>9.8355999999999999E-3</c:v>
                      </c:pt>
                      <c:pt idx="19">
                        <c:v>1.5105E-2</c:v>
                      </c:pt>
                      <c:pt idx="20">
                        <c:v>2.2039E-2</c:v>
                      </c:pt>
                      <c:pt idx="21">
                        <c:v>3.0755000000000001E-2</c:v>
                      </c:pt>
                      <c:pt idx="22">
                        <c:v>3.986E-2</c:v>
                      </c:pt>
                      <c:pt idx="23">
                        <c:v>1.4336E-2</c:v>
                      </c:pt>
                      <c:pt idx="24">
                        <c:v>1.0671E-2</c:v>
                      </c:pt>
                      <c:pt idx="25">
                        <c:v>7.8063999999999998E-3</c:v>
                      </c:pt>
                      <c:pt idx="26">
                        <c:v>5.6091999999999999E-3</c:v>
                      </c:pt>
                      <c:pt idx="27">
                        <c:v>3.9562E-3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543-45A7-A92B-5AAA373E71DE}"/>
                  </c:ext>
                </c:extLst>
              </c15:ser>
            </c15:filteredScatterSeries>
            <c15:filteredScatterSeries>
              <c15:ser>
                <c:idx val="46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'20-20-60'!$A$48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'20-20-60'!$B$48:$CJ$48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1.8857999999999998E-9</c:v>
                      </c:pt>
                      <c:pt idx="1">
                        <c:v>6.4452999999999997E-9</c:v>
                      </c:pt>
                      <c:pt idx="2">
                        <c:v>1.5402999999999999E-8</c:v>
                      </c:pt>
                      <c:pt idx="3">
                        <c:v>2.4473E-8</c:v>
                      </c:pt>
                      <c:pt idx="4">
                        <c:v>2.7333000000000001E-8</c:v>
                      </c:pt>
                      <c:pt idx="5">
                        <c:v>2.4652000000000001E-8</c:v>
                      </c:pt>
                      <c:pt idx="6">
                        <c:v>2.0415999999999999E-8</c:v>
                      </c:pt>
                      <c:pt idx="7">
                        <c:v>1.6866E-8</c:v>
                      </c:pt>
                      <c:pt idx="8">
                        <c:v>1.4732000000000001E-8</c:v>
                      </c:pt>
                      <c:pt idx="9">
                        <c:v>1.2278000000000001E-8</c:v>
                      </c:pt>
                      <c:pt idx="10">
                        <c:v>1.0916E-8</c:v>
                      </c:pt>
                      <c:pt idx="11">
                        <c:v>9.3466000000000008E-9</c:v>
                      </c:pt>
                      <c:pt idx="12">
                        <c:v>7.8566000000000004E-9</c:v>
                      </c:pt>
                      <c:pt idx="13">
                        <c:v>6.5510999999999998E-9</c:v>
                      </c:pt>
                      <c:pt idx="14">
                        <c:v>5.4476999999999997E-9</c:v>
                      </c:pt>
                      <c:pt idx="15">
                        <c:v>4.5377000000000002E-9</c:v>
                      </c:pt>
                      <c:pt idx="16">
                        <c:v>3.8261000000000003E-9</c:v>
                      </c:pt>
                      <c:pt idx="17">
                        <c:v>3.3694E-9</c:v>
                      </c:pt>
                      <c:pt idx="18">
                        <c:v>2.4995999999999999E-9</c:v>
                      </c:pt>
                      <c:pt idx="19">
                        <c:v>2.1214000000000001E-9</c:v>
                      </c:pt>
                      <c:pt idx="20">
                        <c:v>1.7939E-9</c:v>
                      </c:pt>
                      <c:pt idx="21">
                        <c:v>1.5189E-9</c:v>
                      </c:pt>
                      <c:pt idx="22">
                        <c:v>1.2981999999999999E-9</c:v>
                      </c:pt>
                      <c:pt idx="23">
                        <c:v>7.3192999999999997E-10</c:v>
                      </c:pt>
                      <c:pt idx="24">
                        <c:v>6.1770000000000005E-10</c:v>
                      </c:pt>
                      <c:pt idx="25">
                        <c:v>5.2130000000000005E-10</c:v>
                      </c:pt>
                      <c:pt idx="26">
                        <c:v>4.4019999999999999E-10</c:v>
                      </c:pt>
                      <c:pt idx="27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543-45A7-A92B-5AAA373E71DE}"/>
                  </c:ext>
                </c:extLst>
              </c15:ser>
            </c15:filteredScatterSeries>
            <c15:filteredScatterSeries>
              <c15:ser>
                <c:idx val="47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'20-20-60'!$A$49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'20-20-60'!$B$49:$CJ$49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4.3467000000000001E-10</c:v>
                      </c:pt>
                      <c:pt idx="1">
                        <c:v>1.7279E-9</c:v>
                      </c:pt>
                      <c:pt idx="2">
                        <c:v>4.7159000000000002E-9</c:v>
                      </c:pt>
                      <c:pt idx="3">
                        <c:v>8.4282000000000003E-9</c:v>
                      </c:pt>
                      <c:pt idx="4">
                        <c:v>1.0452999999999999E-8</c:v>
                      </c:pt>
                      <c:pt idx="5">
                        <c:v>1.0357999999999999E-8</c:v>
                      </c:pt>
                      <c:pt idx="6">
                        <c:v>9.3366999999999998E-9</c:v>
                      </c:pt>
                      <c:pt idx="7">
                        <c:v>8.3278999999999997E-9</c:v>
                      </c:pt>
                      <c:pt idx="8">
                        <c:v>7.7996000000000002E-9</c:v>
                      </c:pt>
                      <c:pt idx="9">
                        <c:v>7.6445999999999998E-9</c:v>
                      </c:pt>
                      <c:pt idx="10">
                        <c:v>6.7225000000000003E-9</c:v>
                      </c:pt>
                      <c:pt idx="11">
                        <c:v>5.6904999999999997E-9</c:v>
                      </c:pt>
                      <c:pt idx="12">
                        <c:v>4.7269000000000003E-9</c:v>
                      </c:pt>
                      <c:pt idx="13">
                        <c:v>3.8939000000000004E-9</c:v>
                      </c:pt>
                      <c:pt idx="14">
                        <c:v>3.1985000000000001E-9</c:v>
                      </c:pt>
                      <c:pt idx="15">
                        <c:v>2.6313999999999998E-9</c:v>
                      </c:pt>
                      <c:pt idx="16">
                        <c:v>2.1913000000000001E-9</c:v>
                      </c:pt>
                      <c:pt idx="17">
                        <c:v>1.9058999999999998E-9</c:v>
                      </c:pt>
                      <c:pt idx="18">
                        <c:v>1.3460999999999999E-9</c:v>
                      </c:pt>
                      <c:pt idx="19">
                        <c:v>1.1288000000000001E-9</c:v>
                      </c:pt>
                      <c:pt idx="20">
                        <c:v>9.432100000000001E-10</c:v>
                      </c:pt>
                      <c:pt idx="21">
                        <c:v>7.8925000000000004E-10</c:v>
                      </c:pt>
                      <c:pt idx="22">
                        <c:v>6.6673000000000003E-10</c:v>
                      </c:pt>
                      <c:pt idx="23">
                        <c:v>3.5906999999999998E-10</c:v>
                      </c:pt>
                      <c:pt idx="24">
                        <c:v>2.9964999999999999E-10</c:v>
                      </c:pt>
                      <c:pt idx="25">
                        <c:v>2.5007999999999998E-10</c:v>
                      </c:pt>
                      <c:pt idx="26">
                        <c:v>2.0885000000000001E-10</c:v>
                      </c:pt>
                      <c:pt idx="27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543-45A7-A92B-5AAA373E71DE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'20-20-60'!$A$50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'20-20-60'!$B$50:$CJ$50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1.5883E-3</c:v>
                      </c:pt>
                      <c:pt idx="1">
                        <c:v>6.8672999999999998E-3</c:v>
                      </c:pt>
                      <c:pt idx="2">
                        <c:v>2.1017999999999998E-2</c:v>
                      </c:pt>
                      <c:pt idx="3">
                        <c:v>4.3103000000000002E-2</c:v>
                      </c:pt>
                      <c:pt idx="4">
                        <c:v>6.2424E-2</c:v>
                      </c:pt>
                      <c:pt idx="5">
                        <c:v>7.3180999999999996E-2</c:v>
                      </c:pt>
                      <c:pt idx="6">
                        <c:v>7.8835000000000002E-2</c:v>
                      </c:pt>
                      <c:pt idx="7">
                        <c:v>8.4666000000000005E-2</c:v>
                      </c:pt>
                      <c:pt idx="8">
                        <c:v>9.6008999999999997E-2</c:v>
                      </c:pt>
                      <c:pt idx="9">
                        <c:v>0.20843</c:v>
                      </c:pt>
                      <c:pt idx="10">
                        <c:v>0.22434999999999999</c:v>
                      </c:pt>
                      <c:pt idx="11">
                        <c:v>0.23249</c:v>
                      </c:pt>
                      <c:pt idx="12">
                        <c:v>0.23638000000000001</c:v>
                      </c:pt>
                      <c:pt idx="13">
                        <c:v>0.23824000000000001</c:v>
                      </c:pt>
                      <c:pt idx="14">
                        <c:v>0.23927000000000001</c:v>
                      </c:pt>
                      <c:pt idx="15">
                        <c:v>0.24046999999999999</c:v>
                      </c:pt>
                      <c:pt idx="16">
                        <c:v>0.24440000000000001</c:v>
                      </c:pt>
                      <c:pt idx="17">
                        <c:v>0.25914999999999999</c:v>
                      </c:pt>
                      <c:pt idx="18">
                        <c:v>0.39955000000000002</c:v>
                      </c:pt>
                      <c:pt idx="19">
                        <c:v>0.40598000000000001</c:v>
                      </c:pt>
                      <c:pt idx="20">
                        <c:v>0.41055000000000003</c:v>
                      </c:pt>
                      <c:pt idx="21">
                        <c:v>0.41522999999999999</c:v>
                      </c:pt>
                      <c:pt idx="22">
                        <c:v>0.42346</c:v>
                      </c:pt>
                      <c:pt idx="23">
                        <c:v>0.47866999999999998</c:v>
                      </c:pt>
                      <c:pt idx="24">
                        <c:v>0.47946</c:v>
                      </c:pt>
                      <c:pt idx="25">
                        <c:v>0.47976999999999997</c:v>
                      </c:pt>
                      <c:pt idx="26">
                        <c:v>0.47989999999999999</c:v>
                      </c:pt>
                      <c:pt idx="27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543-45A7-A92B-5AAA373E71DE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'20-20-60'!$A$51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'20-20-60'!$B$51:$CJ$51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4.8220999999999998E-12</c:v>
                      </c:pt>
                      <c:pt idx="1">
                        <c:v>2.6835E-11</c:v>
                      </c:pt>
                      <c:pt idx="2">
                        <c:v>9.8888000000000003E-11</c:v>
                      </c:pt>
                      <c:pt idx="3">
                        <c:v>2.3156E-10</c:v>
                      </c:pt>
                      <c:pt idx="4">
                        <c:v>3.6692000000000001E-10</c:v>
                      </c:pt>
                      <c:pt idx="5">
                        <c:v>4.5460999999999999E-10</c:v>
                      </c:pt>
                      <c:pt idx="6">
                        <c:v>5.0307999999999998E-10</c:v>
                      </c:pt>
                      <c:pt idx="7">
                        <c:v>5.4215000000000004E-10</c:v>
                      </c:pt>
                      <c:pt idx="8">
                        <c:v>6.0499999999999998E-10</c:v>
                      </c:pt>
                      <c:pt idx="9">
                        <c:v>1.0715999999999999E-9</c:v>
                      </c:pt>
                      <c:pt idx="10">
                        <c:v>1.0692E-9</c:v>
                      </c:pt>
                      <c:pt idx="11">
                        <c:v>1.0197999999999999E-9</c:v>
                      </c:pt>
                      <c:pt idx="12">
                        <c:v>9.4844000000000009E-10</c:v>
                      </c:pt>
                      <c:pt idx="13">
                        <c:v>8.6978999999999995E-10</c:v>
                      </c:pt>
                      <c:pt idx="14">
                        <c:v>7.9120000000000002E-10</c:v>
                      </c:pt>
                      <c:pt idx="15">
                        <c:v>7.1740000000000002E-10</c:v>
                      </c:pt>
                      <c:pt idx="16">
                        <c:v>6.5553999999999999E-10</c:v>
                      </c:pt>
                      <c:pt idx="17">
                        <c:v>6.2310000000000005E-10</c:v>
                      </c:pt>
                      <c:pt idx="18">
                        <c:v>6.0626000000000003E-10</c:v>
                      </c:pt>
                      <c:pt idx="19">
                        <c:v>5.4663E-10</c:v>
                      </c:pt>
                      <c:pt idx="20">
                        <c:v>4.8986E-10</c:v>
                      </c:pt>
                      <c:pt idx="21">
                        <c:v>4.3852999999999998E-10</c:v>
                      </c:pt>
                      <c:pt idx="22">
                        <c:v>3.9540999999999998E-10</c:v>
                      </c:pt>
                      <c:pt idx="23">
                        <c:v>2.7087000000000002E-10</c:v>
                      </c:pt>
                      <c:pt idx="24">
                        <c:v>2.3897E-10</c:v>
                      </c:pt>
                      <c:pt idx="25">
                        <c:v>2.1051999999999999E-10</c:v>
                      </c:pt>
                      <c:pt idx="26">
                        <c:v>1.8528000000000001E-10</c:v>
                      </c:pt>
                      <c:pt idx="27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543-45A7-A92B-5AAA373E71DE}"/>
                  </c:ext>
                </c:extLst>
              </c15:ser>
            </c15:filteredScatterSeries>
            <c15:filteredScatterSeries>
              <c15:ser>
                <c:idx val="50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'20-20-60'!$A$52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'20-20-60'!$B$52:$CJ$52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543-45A7-A92B-5AAA373E71DE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'20-20-60'!$A$53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'20-20-60'!$B$53:$CJ$53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8.4594000000000007E-30</c:v>
                      </c:pt>
                      <c:pt idx="19">
                        <c:v>5.8909000000000003E-22</c:v>
                      </c:pt>
                      <c:pt idx="20">
                        <c:v>6.6172000000000003E-15</c:v>
                      </c:pt>
                      <c:pt idx="21">
                        <c:v>3.8591999999999999E-8</c:v>
                      </c:pt>
                      <c:pt idx="22">
                        <c:v>7.1447999999999998E-3</c:v>
                      </c:pt>
                      <c:pt idx="23">
                        <c:v>0.14255000000000001</c:v>
                      </c:pt>
                      <c:pt idx="24">
                        <c:v>0.14792</c:v>
                      </c:pt>
                      <c:pt idx="25">
                        <c:v>0.15159</c:v>
                      </c:pt>
                      <c:pt idx="26">
                        <c:v>0.15412000000000001</c:v>
                      </c:pt>
                      <c:pt idx="27">
                        <c:v>0.15592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543-45A7-A92B-5AAA373E71DE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'20-20-60'!$A$54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'20-20-60'!$B$54:$CJ$54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9.4355000000000004E-31</c:v>
                      </c:pt>
                      <c:pt idx="19">
                        <c:v>4.2505999999999999E-23</c:v>
                      </c:pt>
                      <c:pt idx="20">
                        <c:v>3.1832999999999999E-16</c:v>
                      </c:pt>
                      <c:pt idx="21">
                        <c:v>1.2669E-9</c:v>
                      </c:pt>
                      <c:pt idx="22">
                        <c:v>1.6851E-4</c:v>
                      </c:pt>
                      <c:pt idx="23">
                        <c:v>5.4868E-3</c:v>
                      </c:pt>
                      <c:pt idx="24">
                        <c:v>6.352E-3</c:v>
                      </c:pt>
                      <c:pt idx="25">
                        <c:v>7.2240000000000004E-3</c:v>
                      </c:pt>
                      <c:pt idx="26">
                        <c:v>8.1103000000000008E-3</c:v>
                      </c:pt>
                      <c:pt idx="27">
                        <c:v>9.0189999999999992E-3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543-45A7-A92B-5AAA373E71DE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543-45A7-A92B-5AAA373E71DE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543-45A7-A92B-5AAA373E71DE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543-45A7-A92B-5AAA373E71DE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543-45A7-A92B-5AAA373E71DE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543-45A7-A92B-5AAA373E71DE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543-45A7-A92B-5AAA373E71DE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543-45A7-A92B-5AAA373E71DE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543-45A7-A92B-5AAA373E71DE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543-45A7-A92B-5AAA373E71DE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'20-20-60'!$CT$2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'20-20-60'!$CS$3:$CS$252</c:f>
              <c:numCache>
                <c:formatCode>0</c:formatCode>
                <c:ptCount val="250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'20-20-60'!$CT$3:$CT$252</c:f>
              <c:numCache>
                <c:formatCode>0.000</c:formatCode>
                <c:ptCount val="250"/>
                <c:pt idx="0">
                  <c:v>2.9711E-3</c:v>
                </c:pt>
                <c:pt idx="1">
                  <c:v>2.9986000000000001E-3</c:v>
                </c:pt>
                <c:pt idx="2">
                  <c:v>3.3343000000000001E-3</c:v>
                </c:pt>
                <c:pt idx="3">
                  <c:v>3.0276999999999999E-3</c:v>
                </c:pt>
                <c:pt idx="4">
                  <c:v>2.6516999999999999E-3</c:v>
                </c:pt>
                <c:pt idx="5">
                  <c:v>2.4903E-3</c:v>
                </c:pt>
                <c:pt idx="6">
                  <c:v>2.2788000000000001E-3</c:v>
                </c:pt>
                <c:pt idx="7">
                  <c:v>2.1300999999999998E-3</c:v>
                </c:pt>
                <c:pt idx="8">
                  <c:v>2.0141999999999998E-3</c:v>
                </c:pt>
                <c:pt idx="9">
                  <c:v>1.6239E-3</c:v>
                </c:pt>
                <c:pt idx="10">
                  <c:v>1.2273E-3</c:v>
                </c:pt>
                <c:pt idx="11">
                  <c:v>9.1744000000000005E-4</c:v>
                </c:pt>
                <c:pt idx="12">
                  <c:v>7.0991000000000001E-4</c:v>
                </c:pt>
                <c:pt idx="13">
                  <c:v>4.1054999999999998E-4</c:v>
                </c:pt>
                <c:pt idx="14">
                  <c:v>3.8482000000000002E-4</c:v>
                </c:pt>
                <c:pt idx="15">
                  <c:v>2.1685000000000001E-4</c:v>
                </c:pt>
                <c:pt idx="16">
                  <c:v>-2.7781E-5</c:v>
                </c:pt>
                <c:pt idx="17">
                  <c:v>-3.0844999999999999E-4</c:v>
                </c:pt>
                <c:pt idx="18">
                  <c:v>-5.4635999999999997E-4</c:v>
                </c:pt>
                <c:pt idx="19">
                  <c:v>-7.7561000000000004E-4</c:v>
                </c:pt>
                <c:pt idx="20">
                  <c:v>-8.4776999999999997E-4</c:v>
                </c:pt>
                <c:pt idx="21">
                  <c:v>-1.0444E-3</c:v>
                </c:pt>
                <c:pt idx="22">
                  <c:v>-1.3052999999999999E-3</c:v>
                </c:pt>
                <c:pt idx="23">
                  <c:v>-1.4786999999999999E-3</c:v>
                </c:pt>
                <c:pt idx="24">
                  <c:v>-1.6512E-3</c:v>
                </c:pt>
                <c:pt idx="25">
                  <c:v>-1.4816E-3</c:v>
                </c:pt>
                <c:pt idx="26">
                  <c:v>-1.5667000000000001E-3</c:v>
                </c:pt>
                <c:pt idx="27">
                  <c:v>-1.8919E-3</c:v>
                </c:pt>
                <c:pt idx="28">
                  <c:v>-2.1052000000000002E-3</c:v>
                </c:pt>
                <c:pt idx="29">
                  <c:v>-2.1262999999999998E-3</c:v>
                </c:pt>
                <c:pt idx="30">
                  <c:v>-2.1497E-3</c:v>
                </c:pt>
                <c:pt idx="31">
                  <c:v>-2.1757999999999999E-3</c:v>
                </c:pt>
                <c:pt idx="32">
                  <c:v>-2.1513999999999999E-3</c:v>
                </c:pt>
                <c:pt idx="33">
                  <c:v>-2.4826000000000002E-3</c:v>
                </c:pt>
                <c:pt idx="34">
                  <c:v>-2.9348999999999998E-3</c:v>
                </c:pt>
                <c:pt idx="35">
                  <c:v>-3.7724999999999998E-3</c:v>
                </c:pt>
                <c:pt idx="36">
                  <c:v>-4.3981999999999997E-3</c:v>
                </c:pt>
                <c:pt idx="37">
                  <c:v>-4.1811000000000001E-3</c:v>
                </c:pt>
                <c:pt idx="38">
                  <c:v>-4.1352000000000003E-3</c:v>
                </c:pt>
                <c:pt idx="39">
                  <c:v>-4.0423000000000004E-3</c:v>
                </c:pt>
                <c:pt idx="40">
                  <c:v>-4.1993999999999998E-3</c:v>
                </c:pt>
                <c:pt idx="41">
                  <c:v>-4.8647999999999999E-3</c:v>
                </c:pt>
                <c:pt idx="42">
                  <c:v>-4.8558000000000004E-3</c:v>
                </c:pt>
                <c:pt idx="43">
                  <c:v>-4.8113000000000001E-3</c:v>
                </c:pt>
                <c:pt idx="44">
                  <c:v>-5.7551E-3</c:v>
                </c:pt>
                <c:pt idx="45">
                  <c:v>-6.5393999999999999E-3</c:v>
                </c:pt>
                <c:pt idx="46">
                  <c:v>-7.1002000000000001E-3</c:v>
                </c:pt>
                <c:pt idx="47">
                  <c:v>-8.1025000000000003E-3</c:v>
                </c:pt>
                <c:pt idx="48">
                  <c:v>-9.6153000000000002E-3</c:v>
                </c:pt>
                <c:pt idx="49">
                  <c:v>-1.0995E-2</c:v>
                </c:pt>
                <c:pt idx="50">
                  <c:v>-1.1660999999999999E-2</c:v>
                </c:pt>
                <c:pt idx="51">
                  <c:v>-1.2218E-2</c:v>
                </c:pt>
                <c:pt idx="52">
                  <c:v>-1.2746E-2</c:v>
                </c:pt>
                <c:pt idx="53">
                  <c:v>-1.2775E-2</c:v>
                </c:pt>
                <c:pt idx="54">
                  <c:v>-1.221E-2</c:v>
                </c:pt>
                <c:pt idx="55">
                  <c:v>-1.1128000000000001E-2</c:v>
                </c:pt>
                <c:pt idx="56">
                  <c:v>-9.5762E-3</c:v>
                </c:pt>
                <c:pt idx="57">
                  <c:v>-7.5396999999999999E-3</c:v>
                </c:pt>
                <c:pt idx="58">
                  <c:v>-5.2142999999999998E-3</c:v>
                </c:pt>
                <c:pt idx="59">
                  <c:v>-2.5349000000000001E-3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>
                  <c:v>2.9112000000000001E-3</c:v>
                </c:pt>
                <c:pt idx="71">
                  <c:v>2.3008999999999998E-3</c:v>
                </c:pt>
                <c:pt idx="72">
                  <c:v>1.7565E-3</c:v>
                </c:pt>
                <c:pt idx="73">
                  <c:v>1.1249999999999999E-3</c:v>
                </c:pt>
                <c:pt idx="74">
                  <c:v>1.6872E-4</c:v>
                </c:pt>
                <c:pt idx="75">
                  <c:v>-7.1186999999999997E-4</c:v>
                </c:pt>
                <c:pt idx="76">
                  <c:v>-1.6360000000000001E-3</c:v>
                </c:pt>
                <c:pt idx="77">
                  <c:v>-2.6270999999999998E-3</c:v>
                </c:pt>
                <c:pt idx="78">
                  <c:v>-3.1678000000000001E-3</c:v>
                </c:pt>
                <c:pt idx="79">
                  <c:v>-3.1402000000000001E-3</c:v>
                </c:pt>
                <c:pt idx="80">
                  <c:v>-2.4215E-3</c:v>
                </c:pt>
                <c:pt idx="81">
                  <c:v>-1.4038E-3</c:v>
                </c:pt>
                <c:pt idx="82">
                  <c:v>-3.5899E-4</c:v>
                </c:pt>
                <c:pt idx="83">
                  <c:v>2.2981999999999999E-4</c:v>
                </c:pt>
                <c:pt idx="84">
                  <c:v>-1.4095000000000001E-4</c:v>
                </c:pt>
                <c:pt idx="85">
                  <c:v>-3.4564000000000001E-3</c:v>
                </c:pt>
                <c:pt idx="86">
                  <c:v>-3.7897999999999999E-3</c:v>
                </c:pt>
                <c:pt idx="87">
                  <c:v>-3.0734999999999998E-3</c:v>
                </c:pt>
                <c:pt idx="88">
                  <c:v>-2.4139999999999999E-3</c:v>
                </c:pt>
                <c:pt idx="89">
                  <c:v>-1.8862E-3</c:v>
                </c:pt>
                <c:pt idx="90">
                  <c:v>-1.3529E-3</c:v>
                </c:pt>
                <c:pt idx="91">
                  <c:v>-1.4012E-3</c:v>
                </c:pt>
                <c:pt idx="92">
                  <c:v>-1.9012E-3</c:v>
                </c:pt>
                <c:pt idx="93">
                  <c:v>-1.67E-3</c:v>
                </c:pt>
                <c:pt idx="94">
                  <c:v>-8.7814000000000002E-4</c:v>
                </c:pt>
                <c:pt idx="95">
                  <c:v>6.8658000000000006E-5</c:v>
                </c:pt>
                <c:pt idx="96">
                  <c:v>7.6769000000000002E-4</c:v>
                </c:pt>
                <c:pt idx="97">
                  <c:v>3.6390000000000001E-4</c:v>
                </c:pt>
                <c:pt idx="98">
                  <c:v>-2.0445000000000001E-4</c:v>
                </c:pt>
                <c:pt idx="99">
                  <c:v>2.4287000000000001E-4</c:v>
                </c:pt>
                <c:pt idx="100">
                  <c:v>6.5258000000000004E-4</c:v>
                </c:pt>
                <c:pt idx="101">
                  <c:v>3.4143999999999998E-4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2.1392000000000001E-2</c:v>
                </c:pt>
                <c:pt idx="127">
                  <c:v>2.2034999999999999E-2</c:v>
                </c:pt>
                <c:pt idx="128">
                  <c:v>2.2877000000000002E-2</c:v>
                </c:pt>
                <c:pt idx="129">
                  <c:v>2.2953000000000001E-2</c:v>
                </c:pt>
                <c:pt idx="130">
                  <c:v>2.2362E-2</c:v>
                </c:pt>
                <c:pt idx="131">
                  <c:v>2.1454000000000001E-2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543-45A7-A92B-5AAA373E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5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47439215246141"/>
          <c:y val="1.402277541641846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'20-20-60'!$DO$5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'20-20-60'!$DP$5:$GZ$5</c:f>
              <c:numCache>
                <c:formatCode>0</c:formatCode>
                <c:ptCount val="89"/>
                <c:pt idx="0">
                  <c:v>-62.667772277227719</c:v>
                </c:pt>
                <c:pt idx="1">
                  <c:v>-61.130742574257425</c:v>
                </c:pt>
                <c:pt idx="2">
                  <c:v>-59.68519801980198</c:v>
                </c:pt>
                <c:pt idx="3">
                  <c:v>-58.251039603960393</c:v>
                </c:pt>
                <c:pt idx="4" formatCode="General">
                  <c:v>-56.987673267326734</c:v>
                </c:pt>
                <c:pt idx="5" formatCode="General">
                  <c:v>-55.724306930693068</c:v>
                </c:pt>
                <c:pt idx="6" formatCode="General">
                  <c:v>-54.333217821782178</c:v>
                </c:pt>
                <c:pt idx="7" formatCode="General">
                  <c:v>-52.832227722772274</c:v>
                </c:pt>
                <c:pt idx="8" formatCode="General">
                  <c:v>-51.332240099009901</c:v>
                </c:pt>
                <c:pt idx="9" formatCode="General">
                  <c:v>-49.911448019801981</c:v>
                </c:pt>
                <c:pt idx="10" formatCode="General">
                  <c:v>-48.49065594059406</c:v>
                </c:pt>
                <c:pt idx="11" formatCode="General">
                  <c:v>-47.069863861386139</c:v>
                </c:pt>
                <c:pt idx="12" formatCode="General">
                  <c:v>-45.649071782178218</c:v>
                </c:pt>
                <c:pt idx="13" formatCode="General">
                  <c:v>-44.228279702970298</c:v>
                </c:pt>
                <c:pt idx="14" formatCode="General">
                  <c:v>-42.80748762376237</c:v>
                </c:pt>
                <c:pt idx="15" formatCode="General">
                  <c:v>-41.386695544554456</c:v>
                </c:pt>
                <c:pt idx="16" formatCode="General">
                  <c:v>-39.965903465346528</c:v>
                </c:pt>
                <c:pt idx="17" formatCode="General">
                  <c:v>-38.545111386138615</c:v>
                </c:pt>
                <c:pt idx="18" formatCode="General">
                  <c:v>-37.124319306930687</c:v>
                </c:pt>
                <c:pt idx="19" formatCode="General">
                  <c:v>-35.962821782178217</c:v>
                </c:pt>
                <c:pt idx="20" formatCode="General">
                  <c:v>-34.826188118811878</c:v>
                </c:pt>
                <c:pt idx="21" formatCode="General">
                  <c:v>-33.724851485148513</c:v>
                </c:pt>
                <c:pt idx="22" formatCode="General">
                  <c:v>-32.679306930693073</c:v>
                </c:pt>
                <c:pt idx="23" formatCode="General">
                  <c:v>-31.633762376237627</c:v>
                </c:pt>
                <c:pt idx="24" formatCode="General">
                  <c:v>-30.648955223880598</c:v>
                </c:pt>
                <c:pt idx="25" formatCode="General">
                  <c:v>-29.673830845771143</c:v>
                </c:pt>
                <c:pt idx="26" formatCode="General">
                  <c:v>-28.723960396039601</c:v>
                </c:pt>
                <c:pt idx="27" formatCode="General">
                  <c:v>-27.820990099009901</c:v>
                </c:pt>
                <c:pt idx="28" formatCode="General">
                  <c:v>-26.918019801980197</c:v>
                </c:pt>
                <c:pt idx="29" formatCode="General">
                  <c:v>-26.064059405940593</c:v>
                </c:pt>
                <c:pt idx="30" formatCode="General">
                  <c:v>-25.220495049504951</c:v>
                </c:pt>
                <c:pt idx="31" formatCode="General">
                  <c:v>-24.393564356435643</c:v>
                </c:pt>
                <c:pt idx="32" formatCode="General">
                  <c:v>-23.605445544554453</c:v>
                </c:pt>
                <c:pt idx="33" formatCode="General">
                  <c:v>-22.817326732673266</c:v>
                </c:pt>
                <c:pt idx="34" formatCode="General">
                  <c:v>-22.066039603960395</c:v>
                </c:pt>
                <c:pt idx="35" formatCode="General">
                  <c:v>-21.325445544554455</c:v>
                </c:pt>
                <c:pt idx="36" formatCode="General">
                  <c:v>-20.595742574257425</c:v>
                </c:pt>
                <c:pt idx="37" formatCode="General">
                  <c:v>-19.898712871287131</c:v>
                </c:pt>
                <c:pt idx="38" formatCode="General">
                  <c:v>-19.201683168316837</c:v>
                </c:pt>
                <c:pt idx="39" formatCode="General">
                  <c:v>-18.569257425742578</c:v>
                </c:pt>
                <c:pt idx="40" formatCode="General">
                  <c:v>-17.961336633663372</c:v>
                </c:pt>
                <c:pt idx="41" formatCode="General">
                  <c:v>-17.353415841584162</c:v>
                </c:pt>
                <c:pt idx="42" formatCode="General">
                  <c:v>-16.745495049504953</c:v>
                </c:pt>
                <c:pt idx="43" formatCode="General">
                  <c:v>-16.137574257425744</c:v>
                </c:pt>
                <c:pt idx="44" formatCode="General">
                  <c:v>-15.529653465346536</c:v>
                </c:pt>
                <c:pt idx="45" formatCode="General">
                  <c:v>-14.921732673267329</c:v>
                </c:pt>
                <c:pt idx="46" formatCode="General">
                  <c:v>-14.313811881188119</c:v>
                </c:pt>
                <c:pt idx="47" formatCode="General">
                  <c:v>-13.705891089108912</c:v>
                </c:pt>
                <c:pt idx="48" formatCode="General">
                  <c:v>-13.097970297029704</c:v>
                </c:pt>
                <c:pt idx="49" formatCode="General">
                  <c:v>-12.536666666666667</c:v>
                </c:pt>
                <c:pt idx="50" formatCode="General">
                  <c:v>-12.003333333333334</c:v>
                </c:pt>
                <c:pt idx="51" formatCode="General">
                  <c:v>-11.472970297029704</c:v>
                </c:pt>
                <c:pt idx="52" formatCode="General">
                  <c:v>-10.966039603960395</c:v>
                </c:pt>
                <c:pt idx="53" formatCode="General">
                  <c:v>-10.459108910891088</c:v>
                </c:pt>
                <c:pt idx="54" formatCode="General">
                  <c:v>-9.9752128712871269</c:v>
                </c:pt>
                <c:pt idx="55" formatCode="General">
                  <c:v>-9.5074900990098996</c:v>
                </c:pt>
                <c:pt idx="56" formatCode="General">
                  <c:v>-9.0558316831683179</c:v>
                </c:pt>
                <c:pt idx="57" formatCode="General">
                  <c:v>-8.845138613861387</c:v>
                </c:pt>
                <c:pt idx="58" formatCode="General">
                  <c:v>-8.6344455445544579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-8.2518019801980209</c:v>
                </c:pt>
                <c:pt idx="80" formatCode="General">
                  <c:v>-8.2969504950495043</c:v>
                </c:pt>
                <c:pt idx="81" formatCode="General">
                  <c:v>-8.3420990099009895</c:v>
                </c:pt>
                <c:pt idx="82" formatCode="General">
                  <c:v>-8.3888811881188108</c:v>
                </c:pt>
                <c:pt idx="83" formatCode="General">
                  <c:v>-8.4360099009900988</c:v>
                </c:pt>
                <c:pt idx="84" formatCode="General">
                  <c:v>-8.4837326732673262</c:v>
                </c:pt>
                <c:pt idx="85" formatCode="General">
                  <c:v>-8.5328415841584153</c:v>
                </c:pt>
                <c:pt idx="86" formatCode="General">
                  <c:v>-8.5819504950495045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21-4980-930E-3EDB529083C6}"/>
            </c:ext>
          </c:extLst>
        </c:ser>
        <c:ser>
          <c:idx val="51"/>
          <c:order val="51"/>
          <c:tx>
            <c:strRef>
              <c:f>'20-20-60'!$DO$54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'20-20-60'!$DP$54:$GZ$54</c:f>
              <c:numCache>
                <c:formatCode>0</c:formatCode>
                <c:ptCount val="89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D-0721-4980-930E-3EDB529083C6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21-4980-930E-3EDB529083C6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721-4980-930E-3EDB529083C6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21-4980-930E-3EDB529083C6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21-4980-930E-3EDB529083C6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721-4980-930E-3EDB529083C6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21-4980-930E-3EDB529083C6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721-4980-930E-3EDB529083C6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721-4980-930E-3EDB529083C6}"/>
            </c:ext>
          </c:extLst>
        </c:ser>
        <c:ser>
          <c:idx val="69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721-4980-930E-3EDB529083C6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650</c:v>
                </c:pt>
                <c:pt idx="1">
                  <c:v>650</c:v>
                </c:pt>
              </c:numCache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721-4980-930E-3EDB52908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0721-4980-930E-3EDB529083C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721-4980-930E-3EDB529083C6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721-4980-930E-3EDB529083C6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721-4980-930E-3EDB529083C6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721-4980-930E-3EDB529083C6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721-4980-930E-3EDB529083C6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721-4980-930E-3EDB529083C6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721-4980-930E-3EDB529083C6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721-4980-930E-3EDB529083C6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721-4980-930E-3EDB529083C6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721-4980-930E-3EDB529083C6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721-4980-930E-3EDB529083C6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721-4980-930E-3EDB529083C6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721-4980-930E-3EDB529083C6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721-4980-930E-3EDB529083C6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721-4980-930E-3EDB529083C6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0721-4980-930E-3EDB529083C6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0721-4980-930E-3EDB529083C6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0721-4980-930E-3EDB529083C6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0721-4980-930E-3EDB529083C6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0721-4980-930E-3EDB529083C6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0721-4980-930E-3EDB529083C6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0721-4980-930E-3EDB529083C6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0721-4980-930E-3EDB529083C6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0721-4980-930E-3EDB529083C6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0721-4980-930E-3EDB529083C6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0721-4980-930E-3EDB529083C6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0721-4980-930E-3EDB529083C6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0721-4980-930E-3EDB529083C6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0721-4980-930E-3EDB529083C6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0721-4980-930E-3EDB529083C6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721-4980-930E-3EDB529083C6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721-4980-930E-3EDB529083C6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721-4980-930E-3EDB529083C6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0721-4980-930E-3EDB529083C6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721-4980-930E-3EDB529083C6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721-4980-930E-3EDB529083C6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721-4980-930E-3EDB529083C6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721-4980-930E-3EDB529083C6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0721-4980-930E-3EDB529083C6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0721-4980-930E-3EDB529083C6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0721-4980-930E-3EDB529083C6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0721-4980-930E-3EDB529083C6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0721-4980-930E-3EDB529083C6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721-4980-930E-3EDB529083C6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0721-4980-930E-3EDB529083C6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0721-4980-930E-3EDB529083C6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0721-4980-930E-3EDB529083C6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0721-4980-930E-3EDB529083C6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0721-4980-930E-3EDB529083C6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0721-4980-930E-3EDB529083C6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0721-4980-930E-3EDB529083C6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0721-4980-930E-3EDB529083C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0721-4980-930E-3EDB529083C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0721-4980-930E-3EDB529083C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0721-4980-930E-3EDB529083C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0721-4980-930E-3EDB529083C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0721-4980-930E-3EDB529083C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0721-4980-930E-3EDB529083C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7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4"/>
          <c:order val="5"/>
          <c:tx>
            <c:strRef>
              <c:f>'20-20-60'!$DO$8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'20-20-60'!$DP$8:$GZ$8</c:f>
              <c:numCache>
                <c:formatCode>0</c:formatCode>
                <c:ptCount val="89"/>
                <c:pt idx="0">
                  <c:v>-22.398910891089109</c:v>
                </c:pt>
                <c:pt idx="1">
                  <c:v>-21.910099009900989</c:v>
                </c:pt>
                <c:pt idx="2">
                  <c:v>-21.450693069306929</c:v>
                </c:pt>
                <c:pt idx="3">
                  <c:v>-20.995000000000001</c:v>
                </c:pt>
                <c:pt idx="4" formatCode="General">
                  <c:v>-20.594999999999999</c:v>
                </c:pt>
                <c:pt idx="5" formatCode="General">
                  <c:v>-20.195</c:v>
                </c:pt>
                <c:pt idx="6" formatCode="General">
                  <c:v>-19.958910891089111</c:v>
                </c:pt>
                <c:pt idx="7" formatCode="General">
                  <c:v>-19.863861386138613</c:v>
                </c:pt>
                <c:pt idx="8" formatCode="General">
                  <c:v>-19.771485148514852</c:v>
                </c:pt>
                <c:pt idx="9" formatCode="General">
                  <c:v>-19.890297029702971</c:v>
                </c:pt>
                <c:pt idx="10" formatCode="General">
                  <c:v>-20.00910891089109</c:v>
                </c:pt>
                <c:pt idx="11" formatCode="General">
                  <c:v>-20.127920792079209</c:v>
                </c:pt>
                <c:pt idx="12" formatCode="General">
                  <c:v>-20.246732673267328</c:v>
                </c:pt>
                <c:pt idx="13" formatCode="General">
                  <c:v>-20.365544554455447</c:v>
                </c:pt>
                <c:pt idx="14" formatCode="General">
                  <c:v>-20.484356435643562</c:v>
                </c:pt>
                <c:pt idx="15" formatCode="General">
                  <c:v>-20.603168316831681</c:v>
                </c:pt>
                <c:pt idx="16" formatCode="General">
                  <c:v>-20.7219801980198</c:v>
                </c:pt>
                <c:pt idx="17" formatCode="General">
                  <c:v>-20.840792079207919</c:v>
                </c:pt>
                <c:pt idx="18" formatCode="General">
                  <c:v>-20.959603960396038</c:v>
                </c:pt>
                <c:pt idx="19" formatCode="General">
                  <c:v>-21.078415841584157</c:v>
                </c:pt>
                <c:pt idx="20" formatCode="General">
                  <c:v>-21.197227722772276</c:v>
                </c:pt>
                <c:pt idx="21" formatCode="General">
                  <c:v>-21.317574257425743</c:v>
                </c:pt>
                <c:pt idx="22" formatCode="General">
                  <c:v>-21.440346534653465</c:v>
                </c:pt>
                <c:pt idx="23" formatCode="General">
                  <c:v>-21.563118811881186</c:v>
                </c:pt>
                <c:pt idx="24" formatCode="General">
                  <c:v>-21.682985074626863</c:v>
                </c:pt>
                <c:pt idx="25" formatCode="General">
                  <c:v>-21.802388059701492</c:v>
                </c:pt>
                <c:pt idx="26" formatCode="General">
                  <c:v>-21.922970297029703</c:v>
                </c:pt>
                <c:pt idx="27" formatCode="General">
                  <c:v>-22.045742574257424</c:v>
                </c:pt>
                <c:pt idx="28" formatCode="General">
                  <c:v>-22.168514851485149</c:v>
                </c:pt>
                <c:pt idx="29" formatCode="General">
                  <c:v>-22.288019801980198</c:v>
                </c:pt>
                <c:pt idx="30" formatCode="General">
                  <c:v>-22.406831683168317</c:v>
                </c:pt>
                <c:pt idx="31" formatCode="General">
                  <c:v>-22.525643564356432</c:v>
                </c:pt>
                <c:pt idx="32" formatCode="General">
                  <c:v>-22.644455445544555</c:v>
                </c:pt>
                <c:pt idx="33" formatCode="General">
                  <c:v>-22.763267326732674</c:v>
                </c:pt>
                <c:pt idx="34" formatCode="General">
                  <c:v>-22.879009900990098</c:v>
                </c:pt>
                <c:pt idx="35" formatCode="General">
                  <c:v>-22.993861386138612</c:v>
                </c:pt>
                <c:pt idx="36" formatCode="General">
                  <c:v>-23.108712871287128</c:v>
                </c:pt>
                <c:pt idx="37" formatCode="General">
                  <c:v>-23.223564356435642</c:v>
                </c:pt>
                <c:pt idx="38" formatCode="General">
                  <c:v>-23.338415841584158</c:v>
                </c:pt>
                <c:pt idx="39" formatCode="General">
                  <c:v>-23.451831683168319</c:v>
                </c:pt>
                <c:pt idx="40" formatCode="General">
                  <c:v>-23.564702970297031</c:v>
                </c:pt>
                <c:pt idx="41" formatCode="General">
                  <c:v>-23.677574257425743</c:v>
                </c:pt>
                <c:pt idx="42" formatCode="General">
                  <c:v>-23.790445544554455</c:v>
                </c:pt>
                <c:pt idx="43" formatCode="General">
                  <c:v>-23.903316831683171</c:v>
                </c:pt>
                <c:pt idx="44" formatCode="General">
                  <c:v>-24.016188118811883</c:v>
                </c:pt>
                <c:pt idx="45" formatCode="General">
                  <c:v>-24.129059405940595</c:v>
                </c:pt>
                <c:pt idx="46" formatCode="General">
                  <c:v>-24.241930693069307</c:v>
                </c:pt>
                <c:pt idx="47" formatCode="General">
                  <c:v>-24.354801980198022</c:v>
                </c:pt>
                <c:pt idx="48" formatCode="General">
                  <c:v>-24.467673267326735</c:v>
                </c:pt>
                <c:pt idx="49" formatCode="General">
                  <c:v>-24.579651741293532</c:v>
                </c:pt>
                <c:pt idx="50" formatCode="General">
                  <c:v>-24.691094527363184</c:v>
                </c:pt>
                <c:pt idx="51" formatCode="General">
                  <c:v>-24.802029702970295</c:v>
                </c:pt>
                <c:pt idx="52" formatCode="General">
                  <c:v>-24.908960396039603</c:v>
                </c:pt>
                <c:pt idx="53" formatCode="General">
                  <c:v>-25.015891089108909</c:v>
                </c:pt>
                <c:pt idx="54" formatCode="General">
                  <c:v>-25.122821782178217</c:v>
                </c:pt>
                <c:pt idx="55" formatCode="General">
                  <c:v>-25.229752475247523</c:v>
                </c:pt>
                <c:pt idx="56" formatCode="General">
                  <c:v>-25.336683168316831</c:v>
                </c:pt>
                <c:pt idx="57" formatCode="General">
                  <c:v>-25.443613861386137</c:v>
                </c:pt>
                <c:pt idx="58" formatCode="General">
                  <c:v>-25.550544554455445</c:v>
                </c:pt>
                <c:pt idx="59" formatCode="General">
                  <c:v>-25.657475247524754</c:v>
                </c:pt>
                <c:pt idx="60" formatCode="General">
                  <c:v>-25.76440594059406</c:v>
                </c:pt>
                <c:pt idx="61" formatCode="General">
                  <c:v>-25.871287128712872</c:v>
                </c:pt>
                <c:pt idx="62" formatCode="General">
                  <c:v>-25.974257425742575</c:v>
                </c:pt>
                <c:pt idx="63" formatCode="General">
                  <c:v>-26.077227722772278</c:v>
                </c:pt>
                <c:pt idx="64" formatCode="General">
                  <c:v>-26.180198019801978</c:v>
                </c:pt>
                <c:pt idx="65" formatCode="General">
                  <c:v>-26.283168316831684</c:v>
                </c:pt>
                <c:pt idx="66" formatCode="General">
                  <c:v>-26.386138613861387</c:v>
                </c:pt>
                <c:pt idx="67" formatCode="General">
                  <c:v>-26.48910891089109</c:v>
                </c:pt>
                <c:pt idx="68" formatCode="General">
                  <c:v>-26.59207920792079</c:v>
                </c:pt>
                <c:pt idx="69" formatCode="General">
                  <c:v>-26.693370508054521</c:v>
                </c:pt>
                <c:pt idx="70" formatCode="General">
                  <c:v>-26.79250309789343</c:v>
                </c:pt>
                <c:pt idx="71" formatCode="General">
                  <c:v>-26.891635687732339</c:v>
                </c:pt>
                <c:pt idx="72" formatCode="General">
                  <c:v>-26.990768277571249</c:v>
                </c:pt>
                <c:pt idx="73" formatCode="General">
                  <c:v>-27.089900867410158</c:v>
                </c:pt>
                <c:pt idx="74" formatCode="General">
                  <c:v>-27.189033457249067</c:v>
                </c:pt>
                <c:pt idx="75" formatCode="General">
                  <c:v>-27.28816604708798</c:v>
                </c:pt>
                <c:pt idx="76" formatCode="General">
                  <c:v>-27.387298636926889</c:v>
                </c:pt>
                <c:pt idx="77" formatCode="General">
                  <c:v>-27.486431226765799</c:v>
                </c:pt>
                <c:pt idx="78" formatCode="General">
                  <c:v>-27.585563816604708</c:v>
                </c:pt>
                <c:pt idx="79" formatCode="General">
                  <c:v>-27.683267326732672</c:v>
                </c:pt>
                <c:pt idx="80" formatCode="General">
                  <c:v>-27.778316831683167</c:v>
                </c:pt>
                <c:pt idx="81" formatCode="General">
                  <c:v>-27.873366336633666</c:v>
                </c:pt>
                <c:pt idx="82" formatCode="General">
                  <c:v>-27.971683168316833</c:v>
                </c:pt>
                <c:pt idx="83" formatCode="General">
                  <c:v>-28.07069306930693</c:v>
                </c:pt>
                <c:pt idx="84" formatCode="General">
                  <c:v>-28.168514851485149</c:v>
                </c:pt>
                <c:pt idx="85" formatCode="General">
                  <c:v>-28.263564356435644</c:v>
                </c:pt>
                <c:pt idx="86" formatCode="General">
                  <c:v>-28.358613861386139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45-4E8D-96D1-8D46ED62BBA8}"/>
            </c:ext>
          </c:extLst>
        </c:ser>
        <c:ser>
          <c:idx val="46"/>
          <c:order val="46"/>
          <c:tx>
            <c:strRef>
              <c:f>'20-20-60'!$DO$49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'20-20-60'!$DP$49:$GZ$49</c:f>
              <c:numCache>
                <c:formatCode>0</c:formatCode>
                <c:ptCount val="89"/>
                <c:pt idx="0">
                  <c:v>-22.547673267326733</c:v>
                </c:pt>
                <c:pt idx="1">
                  <c:v>-22.166188118811881</c:v>
                </c:pt>
                <c:pt idx="2">
                  <c:v>-21.85331683168317</c:v>
                </c:pt>
                <c:pt idx="3">
                  <c:v>-21.551584158415839</c:v>
                </c:pt>
                <c:pt idx="4" formatCode="General">
                  <c:v>-21.416930693069304</c:v>
                </c:pt>
                <c:pt idx="5" formatCode="General">
                  <c:v>-21.282277227722773</c:v>
                </c:pt>
                <c:pt idx="6" formatCode="General">
                  <c:v>-21.217871287128713</c:v>
                </c:pt>
                <c:pt idx="7" formatCode="General">
                  <c:v>-21.21391089108911</c:v>
                </c:pt>
                <c:pt idx="8" formatCode="General">
                  <c:v>-21.210891089108912</c:v>
                </c:pt>
                <c:pt idx="9" formatCode="General">
                  <c:v>-21.282178217821784</c:v>
                </c:pt>
                <c:pt idx="10" formatCode="General">
                  <c:v>-21.353465346534655</c:v>
                </c:pt>
                <c:pt idx="11" formatCode="General">
                  <c:v>-21.438267326732674</c:v>
                </c:pt>
                <c:pt idx="12" formatCode="General">
                  <c:v>-21.537277227722772</c:v>
                </c:pt>
                <c:pt idx="13" formatCode="General">
                  <c:v>-21.636287128712873</c:v>
                </c:pt>
                <c:pt idx="14" formatCode="General">
                  <c:v>-21.73529702970297</c:v>
                </c:pt>
                <c:pt idx="15" formatCode="General">
                  <c:v>-21.834306930693071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-22.180557620817844</c:v>
                </c:pt>
                <c:pt idx="20" formatCode="General">
                  <c:v>-22.257881040892194</c:v>
                </c:pt>
                <c:pt idx="21" formatCode="General">
                  <c:v>-22.335204460966544</c:v>
                </c:pt>
                <c:pt idx="22" formatCode="General">
                  <c:v>-22.412527881040891</c:v>
                </c:pt>
                <c:pt idx="23" formatCode="General">
                  <c:v>-22.489851301115241</c:v>
                </c:pt>
                <c:pt idx="24" formatCode="General">
                  <c:v>-22.567174721189591</c:v>
                </c:pt>
                <c:pt idx="25" formatCode="General">
                  <c:v>-22.644498141263941</c:v>
                </c:pt>
                <c:pt idx="26" formatCode="General">
                  <c:v>-22.721821561338292</c:v>
                </c:pt>
                <c:pt idx="27" formatCode="General">
                  <c:v>-22.799144981412638</c:v>
                </c:pt>
                <c:pt idx="28" formatCode="General">
                  <c:v>-22.876468401486989</c:v>
                </c:pt>
                <c:pt idx="29" formatCode="General">
                  <c:v>-22.974950495049505</c:v>
                </c:pt>
                <c:pt idx="30" formatCode="General">
                  <c:v>-23.077920792079208</c:v>
                </c:pt>
                <c:pt idx="31" formatCode="General">
                  <c:v>-23.184455445544554</c:v>
                </c:pt>
                <c:pt idx="32" formatCode="General">
                  <c:v>-23.299306930693071</c:v>
                </c:pt>
                <c:pt idx="33" formatCode="General">
                  <c:v>-23.414158415841587</c:v>
                </c:pt>
                <c:pt idx="34" formatCode="General">
                  <c:v>-23.525940594059406</c:v>
                </c:pt>
                <c:pt idx="35" formatCode="General">
                  <c:v>-23.636831683168317</c:v>
                </c:pt>
                <c:pt idx="36" formatCode="General">
                  <c:v>-23.748712871287129</c:v>
                </c:pt>
                <c:pt idx="37" formatCode="General">
                  <c:v>-23.863564356435642</c:v>
                </c:pt>
                <c:pt idx="38" formatCode="General">
                  <c:v>-23.978415841584159</c:v>
                </c:pt>
                <c:pt idx="39" formatCode="General">
                  <c:v>-24.093267326732676</c:v>
                </c:pt>
                <c:pt idx="40" formatCode="General">
                  <c:v>-24.208118811881189</c:v>
                </c:pt>
                <c:pt idx="41" formatCode="General">
                  <c:v>-24.322178217821783</c:v>
                </c:pt>
                <c:pt idx="42" formatCode="General">
                  <c:v>-24.433069306930694</c:v>
                </c:pt>
                <c:pt idx="43" formatCode="General">
                  <c:v>-24.543960396039601</c:v>
                </c:pt>
                <c:pt idx="44" formatCode="General">
                  <c:v>-24.654851485148512</c:v>
                </c:pt>
                <c:pt idx="45" formatCode="General">
                  <c:v>-24.765742574257423</c:v>
                </c:pt>
                <c:pt idx="46" formatCode="General">
                  <c:v>-24.875445544554456</c:v>
                </c:pt>
                <c:pt idx="47" formatCode="General">
                  <c:v>-24.978415841584159</c:v>
                </c:pt>
                <c:pt idx="48" formatCode="General">
                  <c:v>-25.081386138613862</c:v>
                </c:pt>
                <c:pt idx="49" formatCode="General">
                  <c:v>-25.179479553903345</c:v>
                </c:pt>
                <c:pt idx="50" formatCode="General">
                  <c:v>-25.274646840148698</c:v>
                </c:pt>
                <c:pt idx="51" formatCode="General">
                  <c:v>-25.369814126394051</c:v>
                </c:pt>
                <c:pt idx="52" formatCode="General">
                  <c:v>-25.464981412639403</c:v>
                </c:pt>
                <c:pt idx="53" formatCode="General">
                  <c:v>-25.560148698884756</c:v>
                </c:pt>
                <c:pt idx="54" formatCode="General">
                  <c:v>-25.655315985130109</c:v>
                </c:pt>
                <c:pt idx="55" formatCode="General">
                  <c:v>-25.750483271375465</c:v>
                </c:pt>
                <c:pt idx="56" formatCode="General">
                  <c:v>-25.845650557620818</c:v>
                </c:pt>
                <c:pt idx="57" formatCode="General">
                  <c:v>-25.940817843866171</c:v>
                </c:pt>
                <c:pt idx="58" formatCode="General">
                  <c:v>-26.035985130111523</c:v>
                </c:pt>
                <c:pt idx="59" formatCode="General">
                  <c:v>-26.135346534653465</c:v>
                </c:pt>
                <c:pt idx="60" formatCode="General">
                  <c:v>-26.238316831683168</c:v>
                </c:pt>
                <c:pt idx="61" formatCode="General">
                  <c:v>-26.341336633663367</c:v>
                </c:pt>
                <c:pt idx="62" formatCode="General">
                  <c:v>-26.448267326732672</c:v>
                </c:pt>
                <c:pt idx="63" formatCode="General">
                  <c:v>-26.555198019801981</c:v>
                </c:pt>
                <c:pt idx="64" formatCode="General">
                  <c:v>-26.660198019801978</c:v>
                </c:pt>
                <c:pt idx="65" formatCode="General">
                  <c:v>-26.763168316831685</c:v>
                </c:pt>
                <c:pt idx="66" formatCode="General">
                  <c:v>-26.866138613861388</c:v>
                </c:pt>
                <c:pt idx="67" formatCode="General">
                  <c:v>-26.96529702970297</c:v>
                </c:pt>
                <c:pt idx="68" formatCode="General">
                  <c:v>-27.064306930693071</c:v>
                </c:pt>
                <c:pt idx="69" formatCode="General">
                  <c:v>-27.155997521685254</c:v>
                </c:pt>
                <c:pt idx="70" formatCode="General">
                  <c:v>-27.238277571251551</c:v>
                </c:pt>
                <c:pt idx="71" formatCode="General">
                  <c:v>-27.320557620817844</c:v>
                </c:pt>
                <c:pt idx="72" formatCode="General">
                  <c:v>-27.402837670384137</c:v>
                </c:pt>
                <c:pt idx="73" formatCode="General">
                  <c:v>-27.485117719950434</c:v>
                </c:pt>
                <c:pt idx="74" formatCode="General">
                  <c:v>-27.567397769516727</c:v>
                </c:pt>
                <c:pt idx="75" formatCode="General">
                  <c:v>-27.649677819083024</c:v>
                </c:pt>
                <c:pt idx="76" formatCode="General">
                  <c:v>-27.731957868649317</c:v>
                </c:pt>
                <c:pt idx="77" formatCode="General">
                  <c:v>-27.814237918215614</c:v>
                </c:pt>
                <c:pt idx="78" formatCode="General">
                  <c:v>-27.896517967781907</c:v>
                </c:pt>
                <c:pt idx="79" formatCode="General">
                  <c:v>-27.983267326732673</c:v>
                </c:pt>
                <c:pt idx="80" formatCode="General">
                  <c:v>-28.078316831683168</c:v>
                </c:pt>
                <c:pt idx="81" formatCode="General">
                  <c:v>-28.173366336633666</c:v>
                </c:pt>
                <c:pt idx="82" formatCode="General">
                  <c:v>-28.268415841584158</c:v>
                </c:pt>
                <c:pt idx="83" formatCode="General">
                  <c:v>-28.363465346534653</c:v>
                </c:pt>
                <c:pt idx="84" formatCode="General">
                  <c:v>-28.457326732673266</c:v>
                </c:pt>
                <c:pt idx="85" formatCode="General">
                  <c:v>-28.548415841584159</c:v>
                </c:pt>
                <c:pt idx="86" formatCode="General">
                  <c:v>-28.639504950495049</c:v>
                </c:pt>
                <c:pt idx="87" formatCode="General">
                  <c:v>-28.733663366336632</c:v>
                </c:pt>
                <c:pt idx="88" formatCode="General">
                  <c:v>-28.828712871287127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45-4E8D-96D1-8D46ED62BBA8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45-4E8D-96D1-8D46ED62BBA8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C45-4E8D-96D1-8D46ED62BBA8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C45-4E8D-96D1-8D46ED62BBA8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C45-4E8D-96D1-8D46ED62BBA8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C45-4E8D-96D1-8D46ED62BBA8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C45-4E8D-96D1-8D46ED62BBA8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C45-4E8D-96D1-8D46ED62BBA8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C45-4E8D-96D1-8D46ED62BBA8}"/>
            </c:ext>
          </c:extLst>
        </c:ser>
        <c:ser>
          <c:idx val="69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C45-4E8D-96D1-8D46ED62BBA8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C45-4E8D-96D1-8D46ED62B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EC45-4E8D-96D1-8D46ED62BBA8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45-4E8D-96D1-8D46ED62BBA8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45-4E8D-96D1-8D46ED62BBA8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45-4E8D-96D1-8D46ED62BBA8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45-4E8D-96D1-8D46ED62BBA8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45-4E8D-96D1-8D46ED62BBA8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45-4E8D-96D1-8D46ED62BBA8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45-4E8D-96D1-8D46ED62BBA8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C45-4E8D-96D1-8D46ED62BBA8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C45-4E8D-96D1-8D46ED62BBA8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C45-4E8D-96D1-8D46ED62BBA8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C45-4E8D-96D1-8D46ED62BBA8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C45-4E8D-96D1-8D46ED62BBA8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C45-4E8D-96D1-8D46ED62BBA8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C45-4E8D-96D1-8D46ED62BBA8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C45-4E8D-96D1-8D46ED62BBA8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C45-4E8D-96D1-8D46ED62BBA8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C45-4E8D-96D1-8D46ED62BBA8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C45-4E8D-96D1-8D46ED62BBA8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C45-4E8D-96D1-8D46ED62BBA8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C45-4E8D-96D1-8D46ED62BBA8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C45-4E8D-96D1-8D46ED62BBA8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C45-4E8D-96D1-8D46ED62BBA8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C45-4E8D-96D1-8D46ED62BBA8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C45-4E8D-96D1-8D46ED62BBA8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C45-4E8D-96D1-8D46ED62BBA8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C45-4E8D-96D1-8D46ED62BBA8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C45-4E8D-96D1-8D46ED62BBA8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C45-4E8D-96D1-8D46ED62BBA8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C45-4E8D-96D1-8D46ED62BBA8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C45-4E8D-96D1-8D46ED62BBA8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C45-4E8D-96D1-8D46ED62BBA8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C45-4E8D-96D1-8D46ED62BBA8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C45-4E8D-96D1-8D46ED62BBA8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C45-4E8D-96D1-8D46ED62BBA8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C45-4E8D-96D1-8D46ED62BBA8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C45-4E8D-96D1-8D46ED62BBA8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C45-4E8D-96D1-8D46ED62BBA8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C45-4E8D-96D1-8D46ED62BBA8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C45-4E8D-96D1-8D46ED62BBA8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C45-4E8D-96D1-8D46ED62BBA8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C45-4E8D-96D1-8D46ED62BBA8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C45-4E8D-96D1-8D46ED62BBA8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C45-4E8D-96D1-8D46ED62BBA8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C45-4E8D-96D1-8D46ED62BBA8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C45-4E8D-96D1-8D46ED62BBA8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C45-4E8D-96D1-8D46ED62BBA8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C45-4E8D-96D1-8D46ED62BBA8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C45-4E8D-96D1-8D46ED62BBA8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C45-4E8D-96D1-8D46ED62BBA8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C45-4E8D-96D1-8D46ED62BBA8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C45-4E8D-96D1-8D46ED62BBA8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C45-4E8D-96D1-8D46ED62BBA8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C45-4E8D-96D1-8D46ED62BBA8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C45-4E8D-96D1-8D46ED62BBA8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C45-4E8D-96D1-8D46ED62BBA8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C45-4E8D-96D1-8D46ED62BBA8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C45-4E8D-96D1-8D46ED62BBA8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C45-4E8D-96D1-8D46ED62BBA8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9"/>
          <c:min val="-3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'20-20-60'!$DO$4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'20-20-60'!$DP$4:$GZ$4</c:f>
              <c:numCache>
                <c:formatCode>0</c:formatCode>
                <c:ptCount val="89"/>
                <c:pt idx="0">
                  <c:v>-38.044702970297031</c:v>
                </c:pt>
                <c:pt idx="1">
                  <c:v>-37.276534653465347</c:v>
                </c:pt>
                <c:pt idx="2">
                  <c:v>-36.555742574257422</c:v>
                </c:pt>
                <c:pt idx="3">
                  <c:v>-35.841138613861382</c:v>
                </c:pt>
                <c:pt idx="4" formatCode="General">
                  <c:v>-35.219356435643562</c:v>
                </c:pt>
                <c:pt idx="5" formatCode="General">
                  <c:v>-34.597574257425741</c:v>
                </c:pt>
                <c:pt idx="6" formatCode="General">
                  <c:v>-34.018366336633662</c:v>
                </c:pt>
                <c:pt idx="7" formatCode="General">
                  <c:v>-33.47579207920792</c:v>
                </c:pt>
                <c:pt idx="8" formatCode="General">
                  <c:v>-32.934978960396037</c:v>
                </c:pt>
                <c:pt idx="9" formatCode="General">
                  <c:v>-32.533295792079201</c:v>
                </c:pt>
                <c:pt idx="10" formatCode="General">
                  <c:v>-32.131612623762372</c:v>
                </c:pt>
                <c:pt idx="11" formatCode="General">
                  <c:v>-31.729929455445543</c:v>
                </c:pt>
                <c:pt idx="12" formatCode="General">
                  <c:v>-31.32824628712871</c:v>
                </c:pt>
                <c:pt idx="13" formatCode="General">
                  <c:v>-30.926563118811877</c:v>
                </c:pt>
                <c:pt idx="14" formatCode="General">
                  <c:v>-30.524879950495048</c:v>
                </c:pt>
                <c:pt idx="15" formatCode="General">
                  <c:v>-30.123196782178216</c:v>
                </c:pt>
                <c:pt idx="16" formatCode="General">
                  <c:v>-29.721513613861383</c:v>
                </c:pt>
                <c:pt idx="17" formatCode="General">
                  <c:v>-29.319830445544554</c:v>
                </c:pt>
                <c:pt idx="18" formatCode="General">
                  <c:v>-28.918147277227721</c:v>
                </c:pt>
                <c:pt idx="19" formatCode="General">
                  <c:v>-28.607623762376235</c:v>
                </c:pt>
                <c:pt idx="20" formatCode="General">
                  <c:v>-28.305841584158415</c:v>
                </c:pt>
                <c:pt idx="21" formatCode="General">
                  <c:v>-28.017564356435642</c:v>
                </c:pt>
                <c:pt idx="22" formatCode="General">
                  <c:v>-27.750633663366337</c:v>
                </c:pt>
                <c:pt idx="23" formatCode="General">
                  <c:v>-27.483702970297031</c:v>
                </c:pt>
                <c:pt idx="24" formatCode="General">
                  <c:v>-27.234850746268656</c:v>
                </c:pt>
                <c:pt idx="25" formatCode="General">
                  <c:v>-26.988880597014926</c:v>
                </c:pt>
                <c:pt idx="26" formatCode="General">
                  <c:v>-26.754425742574259</c:v>
                </c:pt>
                <c:pt idx="27" formatCode="General">
                  <c:v>-26.541356435643564</c:v>
                </c:pt>
                <c:pt idx="28" formatCode="General">
                  <c:v>-26.328287128712873</c:v>
                </c:pt>
                <c:pt idx="29" formatCode="General">
                  <c:v>-26.405029702970296</c:v>
                </c:pt>
                <c:pt idx="30" formatCode="General">
                  <c:v>-26.543247524752477</c:v>
                </c:pt>
                <c:pt idx="31" formatCode="General">
                  <c:v>-26.681584158415841</c:v>
                </c:pt>
                <c:pt idx="32" formatCode="General">
                  <c:v>-26.820198019801978</c:v>
                </c:pt>
                <c:pt idx="33" formatCode="General">
                  <c:v>-26.958811881188119</c:v>
                </c:pt>
                <c:pt idx="34" formatCode="General">
                  <c:v>-27.094049504950494</c:v>
                </c:pt>
                <c:pt idx="35" formatCode="General">
                  <c:v>-27.228306930693066</c:v>
                </c:pt>
                <c:pt idx="36" formatCode="General">
                  <c:v>-27.36266336633663</c:v>
                </c:pt>
                <c:pt idx="37" formatCode="General">
                  <c:v>-27.497316831683168</c:v>
                </c:pt>
                <c:pt idx="38" formatCode="General">
                  <c:v>-27.631970297029703</c:v>
                </c:pt>
                <c:pt idx="39" formatCode="General">
                  <c:v>-27.765188118811881</c:v>
                </c:pt>
                <c:pt idx="40" formatCode="General">
                  <c:v>-27.897861386138615</c:v>
                </c:pt>
                <c:pt idx="41" formatCode="General">
                  <c:v>-28.030534653465345</c:v>
                </c:pt>
                <c:pt idx="42" formatCode="General">
                  <c:v>-28.163207920792079</c:v>
                </c:pt>
                <c:pt idx="43" formatCode="General">
                  <c:v>-28.295881188118813</c:v>
                </c:pt>
                <c:pt idx="44" formatCode="General">
                  <c:v>-28.428554455445546</c:v>
                </c:pt>
                <c:pt idx="45" formatCode="General">
                  <c:v>-28.561227722772276</c:v>
                </c:pt>
                <c:pt idx="46" formatCode="General">
                  <c:v>-28.69390099009901</c:v>
                </c:pt>
                <c:pt idx="47" formatCode="General">
                  <c:v>-28.826574257425744</c:v>
                </c:pt>
                <c:pt idx="48" formatCode="General">
                  <c:v>-28.959247524752477</c:v>
                </c:pt>
                <c:pt idx="49" formatCode="General">
                  <c:v>-29.091089552238806</c:v>
                </c:pt>
                <c:pt idx="50" formatCode="General">
                  <c:v>-29.222432835820893</c:v>
                </c:pt>
                <c:pt idx="51" formatCode="General">
                  <c:v>-29.353212871287127</c:v>
                </c:pt>
                <c:pt idx="52" formatCode="General">
                  <c:v>-29.479549504950494</c:v>
                </c:pt>
                <c:pt idx="53" formatCode="General">
                  <c:v>-29.605886138613858</c:v>
                </c:pt>
                <c:pt idx="54" formatCode="General">
                  <c:v>-29.732222772277225</c:v>
                </c:pt>
                <c:pt idx="55" formatCode="General">
                  <c:v>-29.858559405940593</c:v>
                </c:pt>
                <c:pt idx="56" formatCode="General">
                  <c:v>-29.984896039603957</c:v>
                </c:pt>
                <c:pt idx="57" formatCode="General">
                  <c:v>-30.111232673267324</c:v>
                </c:pt>
                <c:pt idx="58" formatCode="General">
                  <c:v>-30.237569306930691</c:v>
                </c:pt>
                <c:pt idx="59" formatCode="General">
                  <c:v>-30.36369306930693</c:v>
                </c:pt>
                <c:pt idx="60" formatCode="General">
                  <c:v>-30.489633663366337</c:v>
                </c:pt>
                <c:pt idx="61" formatCode="General">
                  <c:v>-30.615524752475249</c:v>
                </c:pt>
                <c:pt idx="62" formatCode="General">
                  <c:v>-30.737504950495047</c:v>
                </c:pt>
                <c:pt idx="63" formatCode="General">
                  <c:v>-30.85948514851485</c:v>
                </c:pt>
                <c:pt idx="64" formatCode="General">
                  <c:v>-30.981465346534652</c:v>
                </c:pt>
                <c:pt idx="65" formatCode="General">
                  <c:v>-31.103445544554454</c:v>
                </c:pt>
                <c:pt idx="66" formatCode="General">
                  <c:v>-31.225425742574259</c:v>
                </c:pt>
                <c:pt idx="67" formatCode="General">
                  <c:v>-31.347024752475249</c:v>
                </c:pt>
                <c:pt idx="68" formatCode="General">
                  <c:v>-31.468608910891088</c:v>
                </c:pt>
                <c:pt idx="69" formatCode="General">
                  <c:v>-31.588350681536554</c:v>
                </c:pt>
                <c:pt idx="70" formatCode="General">
                  <c:v>-31.705723667905822</c:v>
                </c:pt>
                <c:pt idx="71" formatCode="General">
                  <c:v>-31.823096654275091</c:v>
                </c:pt>
                <c:pt idx="72" formatCode="General">
                  <c:v>-31.940469640644359</c:v>
                </c:pt>
                <c:pt idx="73" formatCode="General">
                  <c:v>-32.057842627013628</c:v>
                </c:pt>
                <c:pt idx="74" formatCode="General">
                  <c:v>-32.175215613382896</c:v>
                </c:pt>
                <c:pt idx="75" formatCode="General">
                  <c:v>-32.292588599752165</c:v>
                </c:pt>
                <c:pt idx="76" formatCode="General">
                  <c:v>-32.409961586121433</c:v>
                </c:pt>
                <c:pt idx="77" formatCode="General">
                  <c:v>-32.527334572490702</c:v>
                </c:pt>
                <c:pt idx="78" formatCode="General">
                  <c:v>-32.64470755885997</c:v>
                </c:pt>
                <c:pt idx="79" formatCode="General">
                  <c:v>-32.760504950495047</c:v>
                </c:pt>
                <c:pt idx="80" formatCode="General">
                  <c:v>-32.873376237623759</c:v>
                </c:pt>
                <c:pt idx="81" formatCode="General">
                  <c:v>-32.986247524752478</c:v>
                </c:pt>
                <c:pt idx="82" formatCode="General">
                  <c:v>-33.102386138613859</c:v>
                </c:pt>
                <c:pt idx="83" formatCode="General">
                  <c:v>-33.219217821782181</c:v>
                </c:pt>
                <c:pt idx="84" formatCode="General">
                  <c:v>-33.334861386138613</c:v>
                </c:pt>
                <c:pt idx="85" formatCode="General">
                  <c:v>-33.447732673267325</c:v>
                </c:pt>
                <c:pt idx="86" formatCode="General">
                  <c:v>-33.560603960396037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9E6C-45FB-8154-BDFE19802C8E}"/>
            </c:ext>
          </c:extLst>
        </c:ser>
        <c:ser>
          <c:idx val="41"/>
          <c:order val="41"/>
          <c:tx>
            <c:strRef>
              <c:f>'20-20-60'!$DO$44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'20-20-60'!$DP$44:$GZ$44</c:f>
              <c:numCache>
                <c:formatCode>0</c:formatCode>
                <c:ptCount val="89"/>
                <c:pt idx="0">
                  <c:v>-38.899603960396036</c:v>
                </c:pt>
                <c:pt idx="1">
                  <c:v>-38.110247524752474</c:v>
                </c:pt>
                <c:pt idx="2">
                  <c:v>-37.361732673267326</c:v>
                </c:pt>
                <c:pt idx="3">
                  <c:v>-36.618910891089108</c:v>
                </c:pt>
                <c:pt idx="4" formatCode="General">
                  <c:v>-35.961485148514846</c:v>
                </c:pt>
                <c:pt idx="5" formatCode="General">
                  <c:v>-35.304059405940592</c:v>
                </c:pt>
                <c:pt idx="6" formatCode="General">
                  <c:v>-34.693465346534651</c:v>
                </c:pt>
                <c:pt idx="7" formatCode="General">
                  <c:v>-34.123168316831681</c:v>
                </c:pt>
                <c:pt idx="8" formatCode="General">
                  <c:v>-33.55391089108911</c:v>
                </c:pt>
                <c:pt idx="9" formatCode="General">
                  <c:v>-33.066782178217821</c:v>
                </c:pt>
                <c:pt idx="10" formatCode="General">
                  <c:v>-32.579653465346532</c:v>
                </c:pt>
                <c:pt idx="11" formatCode="General">
                  <c:v>-32.125539603960398</c:v>
                </c:pt>
                <c:pt idx="12" formatCode="General">
                  <c:v>-31.706133663366337</c:v>
                </c:pt>
                <c:pt idx="13" formatCode="General">
                  <c:v>-31.28672772277228</c:v>
                </c:pt>
                <c:pt idx="14" formatCode="General">
                  <c:v>-30.923356435643566</c:v>
                </c:pt>
                <c:pt idx="15" formatCode="General">
                  <c:v>-30.562168316831684</c:v>
                </c:pt>
                <c:pt idx="16" formatCode="General">
                  <c:v>-30.231648514851486</c:v>
                </c:pt>
                <c:pt idx="17" formatCode="General">
                  <c:v>-29.940559405940594</c:v>
                </c:pt>
                <c:pt idx="18" formatCode="General">
                  <c:v>-29.649470297029701</c:v>
                </c:pt>
                <c:pt idx="19" formatCode="General">
                  <c:v>-29.555794299876084</c:v>
                </c:pt>
                <c:pt idx="20" formatCode="General">
                  <c:v>-29.481048327137547</c:v>
                </c:pt>
                <c:pt idx="21" formatCode="General">
                  <c:v>-29.406302354399006</c:v>
                </c:pt>
                <c:pt idx="22" formatCode="General">
                  <c:v>-29.331556381660469</c:v>
                </c:pt>
                <c:pt idx="23" formatCode="General">
                  <c:v>-29.256810408921933</c:v>
                </c:pt>
                <c:pt idx="24" formatCode="General">
                  <c:v>-29.182064436183396</c:v>
                </c:pt>
                <c:pt idx="25" formatCode="General">
                  <c:v>-29.107318463444859</c:v>
                </c:pt>
                <c:pt idx="26" formatCode="General">
                  <c:v>-29.032572490706322</c:v>
                </c:pt>
                <c:pt idx="27" formatCode="General">
                  <c:v>-28.957826517967781</c:v>
                </c:pt>
                <c:pt idx="28" formatCode="General">
                  <c:v>-28.883080545229245</c:v>
                </c:pt>
                <c:pt idx="29" formatCode="General">
                  <c:v>-28.945475247524755</c:v>
                </c:pt>
                <c:pt idx="30" formatCode="General">
                  <c:v>-29.036960396039603</c:v>
                </c:pt>
                <c:pt idx="31" formatCode="General">
                  <c:v>-29.137118811881187</c:v>
                </c:pt>
                <c:pt idx="32" formatCode="General">
                  <c:v>-29.257514851485148</c:v>
                </c:pt>
                <c:pt idx="33" formatCode="General">
                  <c:v>-29.377910891089112</c:v>
                </c:pt>
                <c:pt idx="34" formatCode="General">
                  <c:v>-29.501069306930695</c:v>
                </c:pt>
                <c:pt idx="35" formatCode="General">
                  <c:v>-29.625029702970298</c:v>
                </c:pt>
                <c:pt idx="36" formatCode="General">
                  <c:v>-29.750970297029703</c:v>
                </c:pt>
                <c:pt idx="37" formatCode="General">
                  <c:v>-29.882851485148514</c:v>
                </c:pt>
                <c:pt idx="38" formatCode="General">
                  <c:v>-30.014732673267329</c:v>
                </c:pt>
                <c:pt idx="39" formatCode="General">
                  <c:v>-30.147762376237626</c:v>
                </c:pt>
                <c:pt idx="40" formatCode="General">
                  <c:v>-30.281227722772279</c:v>
                </c:pt>
                <c:pt idx="41" formatCode="General">
                  <c:v>-30.414138613861386</c:v>
                </c:pt>
                <c:pt idx="42" formatCode="General">
                  <c:v>-30.544831683168315</c:v>
                </c:pt>
                <c:pt idx="43" formatCode="General">
                  <c:v>-30.675524752475244</c:v>
                </c:pt>
                <c:pt idx="44" formatCode="General">
                  <c:v>-30.808891089108908</c:v>
                </c:pt>
                <c:pt idx="45" formatCode="General">
                  <c:v>-30.943544554455446</c:v>
                </c:pt>
                <c:pt idx="46" formatCode="General">
                  <c:v>-31.078613861386138</c:v>
                </c:pt>
                <c:pt idx="47" formatCode="General">
                  <c:v>-31.216039603960397</c:v>
                </c:pt>
                <c:pt idx="48" formatCode="General">
                  <c:v>-31.353465346534655</c:v>
                </c:pt>
                <c:pt idx="49" formatCode="General">
                  <c:v>-31.495210656753407</c:v>
                </c:pt>
                <c:pt idx="50" formatCode="General">
                  <c:v>-31.639547707558862</c:v>
                </c:pt>
                <c:pt idx="51" formatCode="General">
                  <c:v>-31.783884758364312</c:v>
                </c:pt>
                <c:pt idx="52" formatCode="General">
                  <c:v>-31.928221809169763</c:v>
                </c:pt>
                <c:pt idx="53" formatCode="General">
                  <c:v>-32.072558859975217</c:v>
                </c:pt>
                <c:pt idx="54" formatCode="General">
                  <c:v>-32.216895910780664</c:v>
                </c:pt>
                <c:pt idx="55" formatCode="General">
                  <c:v>-32.361232961586119</c:v>
                </c:pt>
                <c:pt idx="56" formatCode="General">
                  <c:v>-32.505570012391573</c:v>
                </c:pt>
                <c:pt idx="57" formatCode="General">
                  <c:v>-32.64990706319702</c:v>
                </c:pt>
                <c:pt idx="58" formatCode="General">
                  <c:v>-32.794244114002474</c:v>
                </c:pt>
                <c:pt idx="59" formatCode="General">
                  <c:v>-32.929757425742572</c:v>
                </c:pt>
                <c:pt idx="60" formatCode="General">
                  <c:v>-33.057678217821781</c:v>
                </c:pt>
                <c:pt idx="61" formatCode="General">
                  <c:v>-33.185638613861386</c:v>
                </c:pt>
                <c:pt idx="62" formatCode="General">
                  <c:v>-33.316727722772278</c:v>
                </c:pt>
                <c:pt idx="63" formatCode="General">
                  <c:v>-33.44781683168317</c:v>
                </c:pt>
                <c:pt idx="64" formatCode="General">
                  <c:v>-33.57697524752475</c:v>
                </c:pt>
                <c:pt idx="65" formatCode="General">
                  <c:v>-33.70410396039604</c:v>
                </c:pt>
                <c:pt idx="66" formatCode="General">
                  <c:v>-33.831232673267323</c:v>
                </c:pt>
                <c:pt idx="67" formatCode="General">
                  <c:v>-33.954930693069308</c:v>
                </c:pt>
                <c:pt idx="68" formatCode="General">
                  <c:v>-34.078495049504951</c:v>
                </c:pt>
                <c:pt idx="69" formatCode="General">
                  <c:v>-34.191413878562578</c:v>
                </c:pt>
                <c:pt idx="70" formatCode="General">
                  <c:v>-34.290645600991326</c:v>
                </c:pt>
                <c:pt idx="71" formatCode="General">
                  <c:v>-34.38987732342008</c:v>
                </c:pt>
                <c:pt idx="72" formatCode="General">
                  <c:v>-34.489109045848828</c:v>
                </c:pt>
                <c:pt idx="73" formatCode="General">
                  <c:v>-34.588340768277575</c:v>
                </c:pt>
                <c:pt idx="74" formatCode="General">
                  <c:v>-34.687572490706323</c:v>
                </c:pt>
                <c:pt idx="75" formatCode="General">
                  <c:v>-34.786804213135071</c:v>
                </c:pt>
                <c:pt idx="76" formatCode="General">
                  <c:v>-34.886035935563818</c:v>
                </c:pt>
                <c:pt idx="77" formatCode="General">
                  <c:v>-34.985267657992566</c:v>
                </c:pt>
                <c:pt idx="78" formatCode="General">
                  <c:v>-35.084499380421313</c:v>
                </c:pt>
                <c:pt idx="79" formatCode="General">
                  <c:v>-35.188366336633663</c:v>
                </c:pt>
                <c:pt idx="80" formatCode="General">
                  <c:v>-35.30084158415842</c:v>
                </c:pt>
                <c:pt idx="81" formatCode="General">
                  <c:v>-35.413316831683169</c:v>
                </c:pt>
                <c:pt idx="82" formatCode="General">
                  <c:v>-35.52611881188119</c:v>
                </c:pt>
                <c:pt idx="83" formatCode="General">
                  <c:v>-35.638990099009902</c:v>
                </c:pt>
                <c:pt idx="84" formatCode="General">
                  <c:v>-35.750673267326739</c:v>
                </c:pt>
                <c:pt idx="85" formatCode="General">
                  <c:v>-35.859584158415842</c:v>
                </c:pt>
                <c:pt idx="86" formatCode="General">
                  <c:v>-35.968495049504952</c:v>
                </c:pt>
                <c:pt idx="87" formatCode="General">
                  <c:v>-36.080475247524753</c:v>
                </c:pt>
                <c:pt idx="88" formatCode="General">
                  <c:v>-36.193346534653465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6C-45FB-8154-BDFE19802C8E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6C-45FB-8154-BDFE19802C8E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6C-45FB-8154-BDFE19802C8E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E6C-45FB-8154-BDFE19802C8E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E6C-45FB-8154-BDFE19802C8E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E6C-45FB-8154-BDFE19802C8E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E6C-45FB-8154-BDFE19802C8E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E6C-45FB-8154-BDFE19802C8E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E6C-45FB-8154-BDFE19802C8E}"/>
            </c:ext>
          </c:extLst>
        </c:ser>
        <c:ser>
          <c:idx val="69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E6C-45FB-8154-BDFE19802C8E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E6C-45FB-8154-BDFE19802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9E6C-45FB-8154-BDFE19802C8E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E6C-45FB-8154-BDFE19802C8E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E6C-45FB-8154-BDFE19802C8E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E6C-45FB-8154-BDFE19802C8E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E6C-45FB-8154-BDFE19802C8E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E6C-45FB-8154-BDFE19802C8E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E6C-45FB-8154-BDFE19802C8E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E6C-45FB-8154-BDFE19802C8E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E6C-45FB-8154-BDFE19802C8E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E6C-45FB-8154-BDFE19802C8E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E6C-45FB-8154-BDFE19802C8E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E6C-45FB-8154-BDFE19802C8E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E6C-45FB-8154-BDFE19802C8E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E6C-45FB-8154-BDFE19802C8E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E6C-45FB-8154-BDFE19802C8E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E6C-45FB-8154-BDFE19802C8E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E6C-45FB-8154-BDFE19802C8E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E6C-45FB-8154-BDFE19802C8E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E6C-45FB-8154-BDFE19802C8E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E6C-45FB-8154-BDFE19802C8E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E6C-45FB-8154-BDFE19802C8E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E6C-45FB-8154-BDFE19802C8E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E6C-45FB-8154-BDFE19802C8E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E6C-45FB-8154-BDFE19802C8E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E6C-45FB-8154-BDFE19802C8E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E6C-45FB-8154-BDFE19802C8E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E6C-45FB-8154-BDFE19802C8E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E6C-45FB-8154-BDFE19802C8E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E6C-45FB-8154-BDFE19802C8E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E6C-45FB-8154-BDFE19802C8E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E6C-45FB-8154-BDFE19802C8E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E6C-45FB-8154-BDFE19802C8E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E6C-45FB-8154-BDFE19802C8E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E6C-45FB-8154-BDFE19802C8E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E6C-45FB-8154-BDFE19802C8E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E6C-45FB-8154-BDFE19802C8E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E6C-45FB-8154-BDFE19802C8E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E6C-45FB-8154-BDFE19802C8E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E6C-45FB-8154-BDFE19802C8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E6C-45FB-8154-BDFE19802C8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E6C-45FB-8154-BDFE19802C8E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E6C-45FB-8154-BDFE19802C8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E6C-45FB-8154-BDFE19802C8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E6C-45FB-8154-BDFE19802C8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E6C-45FB-8154-BDFE19802C8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E6C-45FB-8154-BDFE19802C8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E6C-45FB-8154-BDFE19802C8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E6C-45FB-8154-BDFE19802C8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E6C-45FB-8154-BDFE19802C8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E6C-45FB-8154-BDFE19802C8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E6C-45FB-8154-BDFE19802C8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E6C-45FB-8154-BDFE19802C8E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E6C-45FB-8154-BDFE19802C8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E6C-45FB-8154-BDFE19802C8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E6C-45FB-8154-BDFE19802C8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E6C-45FB-8154-BDFE19802C8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E6C-45FB-8154-BDFE19802C8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E6C-45FB-8154-BDFE19802C8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E6C-45FB-8154-BDFE19802C8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6"/>
          <c:min val="-38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47439215246141"/>
          <c:y val="1.388198888457126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5"/>
          <c:order val="6"/>
          <c:tx>
            <c:strRef>
              <c:f>'20-20-60'!$DO$9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'20-20-60'!$DP$9:$GZ$9</c:f>
              <c:numCache>
                <c:formatCode>0</c:formatCode>
                <c:ptCount val="89"/>
                <c:pt idx="0">
                  <c:v>-60.44361386138614</c:v>
                </c:pt>
                <c:pt idx="1">
                  <c:v>-59.186633663366337</c:v>
                </c:pt>
                <c:pt idx="2">
                  <c:v>-58.006435643564352</c:v>
                </c:pt>
                <c:pt idx="3">
                  <c:v>-56.836138613861387</c:v>
                </c:pt>
                <c:pt idx="4" formatCode="General">
                  <c:v>-55.814356435643568</c:v>
                </c:pt>
                <c:pt idx="5" formatCode="General">
                  <c:v>-54.792574257425748</c:v>
                </c:pt>
                <c:pt idx="6" formatCode="General">
                  <c:v>-53.97727722772278</c:v>
                </c:pt>
                <c:pt idx="7" formatCode="General">
                  <c:v>-53.339653465346537</c:v>
                </c:pt>
                <c:pt idx="8" formatCode="General">
                  <c:v>-52.706464108910893</c:v>
                </c:pt>
                <c:pt idx="9" formatCode="General">
                  <c:v>-52.423592821782179</c:v>
                </c:pt>
                <c:pt idx="10" formatCode="General">
                  <c:v>-52.140721534653466</c:v>
                </c:pt>
                <c:pt idx="11" formatCode="General">
                  <c:v>-51.857850247524752</c:v>
                </c:pt>
                <c:pt idx="12" formatCode="General">
                  <c:v>-51.574978960396038</c:v>
                </c:pt>
                <c:pt idx="13" formatCode="General">
                  <c:v>-51.292107673267324</c:v>
                </c:pt>
                <c:pt idx="14" formatCode="General">
                  <c:v>-51.00923638613861</c:v>
                </c:pt>
                <c:pt idx="15" formatCode="General">
                  <c:v>-50.726365099009897</c:v>
                </c:pt>
                <c:pt idx="16" formatCode="General">
                  <c:v>-50.443493811881183</c:v>
                </c:pt>
                <c:pt idx="17" formatCode="General">
                  <c:v>-50.160622524752469</c:v>
                </c:pt>
                <c:pt idx="18" formatCode="General">
                  <c:v>-49.877751237623755</c:v>
                </c:pt>
                <c:pt idx="19" formatCode="General">
                  <c:v>-49.686039603960388</c:v>
                </c:pt>
                <c:pt idx="20" formatCode="General">
                  <c:v>-49.503069306930691</c:v>
                </c:pt>
                <c:pt idx="21" formatCode="General">
                  <c:v>-49.335138613861382</c:v>
                </c:pt>
                <c:pt idx="22" formatCode="General">
                  <c:v>-49.190980198019801</c:v>
                </c:pt>
                <c:pt idx="23" formatCode="General">
                  <c:v>-49.046821782178213</c:v>
                </c:pt>
                <c:pt idx="24" formatCode="General">
                  <c:v>-48.917835820895519</c:v>
                </c:pt>
                <c:pt idx="25" formatCode="General">
                  <c:v>-48.791268656716412</c:v>
                </c:pt>
                <c:pt idx="26" formatCode="General">
                  <c:v>-48.677396039603956</c:v>
                </c:pt>
                <c:pt idx="27" formatCode="General">
                  <c:v>-48.587099009900989</c:v>
                </c:pt>
                <c:pt idx="28" formatCode="General">
                  <c:v>-48.496801980198022</c:v>
                </c:pt>
                <c:pt idx="29" formatCode="General">
                  <c:v>-48.693049504950494</c:v>
                </c:pt>
                <c:pt idx="30" formatCode="General">
                  <c:v>-48.950079207920787</c:v>
                </c:pt>
                <c:pt idx="31" formatCode="General">
                  <c:v>-49.207227722772274</c:v>
                </c:pt>
                <c:pt idx="32" formatCode="General">
                  <c:v>-49.464653465346537</c:v>
                </c:pt>
                <c:pt idx="33" formatCode="General">
                  <c:v>-49.722079207920792</c:v>
                </c:pt>
                <c:pt idx="34" formatCode="General">
                  <c:v>-49.973059405940596</c:v>
                </c:pt>
                <c:pt idx="35" formatCode="General">
                  <c:v>-50.222168316831684</c:v>
                </c:pt>
                <c:pt idx="36" formatCode="General">
                  <c:v>-50.471376237623758</c:v>
                </c:pt>
                <c:pt idx="37" formatCode="General">
                  <c:v>-50.72088118811881</c:v>
                </c:pt>
                <c:pt idx="38" formatCode="General">
                  <c:v>-50.970386138613861</c:v>
                </c:pt>
                <c:pt idx="39" formatCode="General">
                  <c:v>-51.2170198019802</c:v>
                </c:pt>
                <c:pt idx="40" formatCode="General">
                  <c:v>-51.462564356435642</c:v>
                </c:pt>
                <c:pt idx="41" formatCode="General">
                  <c:v>-51.708108910891092</c:v>
                </c:pt>
                <c:pt idx="42" formatCode="General">
                  <c:v>-51.953653465346534</c:v>
                </c:pt>
                <c:pt idx="43" formatCode="General">
                  <c:v>-52.199198019801983</c:v>
                </c:pt>
                <c:pt idx="44" formatCode="General">
                  <c:v>-52.444742574257432</c:v>
                </c:pt>
                <c:pt idx="45" formatCode="General">
                  <c:v>-52.690287128712875</c:v>
                </c:pt>
                <c:pt idx="46" formatCode="General">
                  <c:v>-52.935831683168324</c:v>
                </c:pt>
                <c:pt idx="47" formatCode="General">
                  <c:v>-53.181376237623766</c:v>
                </c:pt>
                <c:pt idx="48" formatCode="General">
                  <c:v>-53.426920792079216</c:v>
                </c:pt>
                <c:pt idx="49" formatCode="General">
                  <c:v>-53.670741293532345</c:v>
                </c:pt>
                <c:pt idx="50" formatCode="General">
                  <c:v>-53.91352736318408</c:v>
                </c:pt>
                <c:pt idx="51" formatCode="General">
                  <c:v>-54.155242574257421</c:v>
                </c:pt>
                <c:pt idx="52" formatCode="General">
                  <c:v>-54.388509900990094</c:v>
                </c:pt>
                <c:pt idx="53" formatCode="General">
                  <c:v>-54.621777227722767</c:v>
                </c:pt>
                <c:pt idx="54" formatCode="General">
                  <c:v>-54.855044554455439</c:v>
                </c:pt>
                <c:pt idx="55" formatCode="General">
                  <c:v>-55.088311881188112</c:v>
                </c:pt>
                <c:pt idx="56" formatCode="General">
                  <c:v>-55.321579207920784</c:v>
                </c:pt>
                <c:pt idx="57" formatCode="General">
                  <c:v>-55.554846534653464</c:v>
                </c:pt>
                <c:pt idx="58" formatCode="General">
                  <c:v>-55.788113861386137</c:v>
                </c:pt>
                <c:pt idx="59" formatCode="General">
                  <c:v>-56.021168316831684</c:v>
                </c:pt>
                <c:pt idx="60" formatCode="General">
                  <c:v>-56.2540396039604</c:v>
                </c:pt>
                <c:pt idx="61" formatCode="General">
                  <c:v>-56.486811881188125</c:v>
                </c:pt>
                <c:pt idx="62" formatCode="General">
                  <c:v>-56.711762376237623</c:v>
                </c:pt>
                <c:pt idx="63" formatCode="General">
                  <c:v>-56.936712871287128</c:v>
                </c:pt>
                <c:pt idx="64" formatCode="General">
                  <c:v>-57.161663366336633</c:v>
                </c:pt>
                <c:pt idx="65" formatCode="General">
                  <c:v>-57.386613861386138</c:v>
                </c:pt>
                <c:pt idx="66" formatCode="General">
                  <c:v>-57.61156435643565</c:v>
                </c:pt>
                <c:pt idx="67" formatCode="General">
                  <c:v>-57.83613366336634</c:v>
                </c:pt>
                <c:pt idx="68" formatCode="General">
                  <c:v>-58.060688118811882</c:v>
                </c:pt>
                <c:pt idx="69" formatCode="General">
                  <c:v>-58.281721189591075</c:v>
                </c:pt>
                <c:pt idx="70" formatCode="General">
                  <c:v>-58.498226765799252</c:v>
                </c:pt>
                <c:pt idx="71" formatCode="General">
                  <c:v>-58.71473234200743</c:v>
                </c:pt>
                <c:pt idx="72" formatCode="General">
                  <c:v>-58.931237918215608</c:v>
                </c:pt>
                <c:pt idx="73" formatCode="General">
                  <c:v>-59.147743494423786</c:v>
                </c:pt>
                <c:pt idx="74" formatCode="General">
                  <c:v>-59.364249070631963</c:v>
                </c:pt>
                <c:pt idx="75" formatCode="General">
                  <c:v>-59.580754646840141</c:v>
                </c:pt>
                <c:pt idx="76" formatCode="General">
                  <c:v>-59.797260223048319</c:v>
                </c:pt>
                <c:pt idx="77" formatCode="General">
                  <c:v>-60.013765799256497</c:v>
                </c:pt>
                <c:pt idx="78" formatCode="General">
                  <c:v>-60.230271375464682</c:v>
                </c:pt>
                <c:pt idx="79" formatCode="General">
                  <c:v>-60.443772277227716</c:v>
                </c:pt>
                <c:pt idx="80" formatCode="General">
                  <c:v>-60.65169306930693</c:v>
                </c:pt>
                <c:pt idx="81" formatCode="General">
                  <c:v>-60.859613861386137</c:v>
                </c:pt>
                <c:pt idx="82" formatCode="General">
                  <c:v>-61.074069306930696</c:v>
                </c:pt>
                <c:pt idx="83" formatCode="General">
                  <c:v>-61.289910891089107</c:v>
                </c:pt>
                <c:pt idx="84" formatCode="General">
                  <c:v>-61.503376237623762</c:v>
                </c:pt>
                <c:pt idx="85" formatCode="General">
                  <c:v>-61.711297029702969</c:v>
                </c:pt>
                <c:pt idx="86" formatCode="General">
                  <c:v>-61.919217821782183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70-485E-83CD-2C088659C982}"/>
            </c:ext>
          </c:extLst>
        </c:ser>
        <c:ser>
          <c:idx val="40"/>
          <c:order val="40"/>
          <c:tx>
            <c:strRef>
              <c:f>'20-20-60'!$DO$43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'20-20-60'!$DP$43:$GZ$43</c:f>
              <c:numCache>
                <c:formatCode>0</c:formatCode>
                <c:ptCount val="89"/>
                <c:pt idx="0">
                  <c:v>-61.447277227722779</c:v>
                </c:pt>
                <c:pt idx="1">
                  <c:v>-60.276435643564362</c:v>
                </c:pt>
                <c:pt idx="2">
                  <c:v>-59.2150495049505</c:v>
                </c:pt>
                <c:pt idx="3">
                  <c:v>-58.17049504950495</c:v>
                </c:pt>
                <c:pt idx="4" formatCode="General">
                  <c:v>-57.378415841584157</c:v>
                </c:pt>
                <c:pt idx="5" formatCode="General">
                  <c:v>-56.586336633663365</c:v>
                </c:pt>
                <c:pt idx="6" formatCode="General">
                  <c:v>-55.911336633663367</c:v>
                </c:pt>
                <c:pt idx="7" formatCode="General">
                  <c:v>-55.337079207920794</c:v>
                </c:pt>
                <c:pt idx="8" formatCode="General">
                  <c:v>-54.764801980198023</c:v>
                </c:pt>
                <c:pt idx="9" formatCode="General">
                  <c:v>-54.348960396039608</c:v>
                </c:pt>
                <c:pt idx="10" formatCode="General">
                  <c:v>-53.933118811881187</c:v>
                </c:pt>
                <c:pt idx="11" formatCode="General">
                  <c:v>-53.563806930693069</c:v>
                </c:pt>
                <c:pt idx="12" formatCode="General">
                  <c:v>-53.243410891089113</c:v>
                </c:pt>
                <c:pt idx="13" formatCode="General">
                  <c:v>-52.923014851485149</c:v>
                </c:pt>
                <c:pt idx="14" formatCode="General">
                  <c:v>-52.658653465346539</c:v>
                </c:pt>
                <c:pt idx="15" formatCode="General">
                  <c:v>-52.396475247524755</c:v>
                </c:pt>
                <c:pt idx="16" formatCode="General">
                  <c:v>-52.159767326732677</c:v>
                </c:pt>
                <c:pt idx="17" formatCode="General">
                  <c:v>-51.955806930693072</c:v>
                </c:pt>
                <c:pt idx="18" formatCode="General">
                  <c:v>-51.751846534653467</c:v>
                </c:pt>
                <c:pt idx="19" formatCode="General">
                  <c:v>-51.736351920693927</c:v>
                </c:pt>
                <c:pt idx="20" formatCode="General">
                  <c:v>-51.738929368029744</c:v>
                </c:pt>
                <c:pt idx="21" formatCode="General">
                  <c:v>-51.741506815365554</c:v>
                </c:pt>
                <c:pt idx="22" formatCode="General">
                  <c:v>-51.744084262701364</c:v>
                </c:pt>
                <c:pt idx="23" formatCode="General">
                  <c:v>-51.746661710037181</c:v>
                </c:pt>
                <c:pt idx="24" formatCode="General">
                  <c:v>-51.74923915737299</c:v>
                </c:pt>
                <c:pt idx="25" formatCode="General">
                  <c:v>-51.7518166047088</c:v>
                </c:pt>
                <c:pt idx="26" formatCode="General">
                  <c:v>-51.754394052044617</c:v>
                </c:pt>
                <c:pt idx="27" formatCode="General">
                  <c:v>-51.756971499380427</c:v>
                </c:pt>
                <c:pt idx="28" formatCode="General">
                  <c:v>-51.759548946716237</c:v>
                </c:pt>
                <c:pt idx="29" formatCode="General">
                  <c:v>-51.92042574257426</c:v>
                </c:pt>
                <c:pt idx="30" formatCode="General">
                  <c:v>-52.114881188118808</c:v>
                </c:pt>
                <c:pt idx="31" formatCode="General">
                  <c:v>-52.321574257425738</c:v>
                </c:pt>
                <c:pt idx="32" formatCode="General">
                  <c:v>-52.556821782178218</c:v>
                </c:pt>
                <c:pt idx="33" formatCode="General">
                  <c:v>-52.792069306930692</c:v>
                </c:pt>
                <c:pt idx="34" formatCode="General">
                  <c:v>-53.027009900990095</c:v>
                </c:pt>
                <c:pt idx="35" formatCode="General">
                  <c:v>-53.261861386138612</c:v>
                </c:pt>
                <c:pt idx="36" formatCode="General">
                  <c:v>-53.499683168316828</c:v>
                </c:pt>
                <c:pt idx="37" formatCode="General">
                  <c:v>-53.74641584158416</c:v>
                </c:pt>
                <c:pt idx="38" formatCode="General">
                  <c:v>-53.993148514851491</c:v>
                </c:pt>
                <c:pt idx="39" formatCode="General">
                  <c:v>-54.241029702970302</c:v>
                </c:pt>
                <c:pt idx="40" formatCode="General">
                  <c:v>-54.489346534653471</c:v>
                </c:pt>
                <c:pt idx="41" formatCode="General">
                  <c:v>-54.736316831683169</c:v>
                </c:pt>
                <c:pt idx="42" formatCode="General">
                  <c:v>-54.977900990099009</c:v>
                </c:pt>
                <c:pt idx="43" formatCode="General">
                  <c:v>-55.219485148514849</c:v>
                </c:pt>
                <c:pt idx="44" formatCode="General">
                  <c:v>-55.463742574257424</c:v>
                </c:pt>
                <c:pt idx="45" formatCode="General">
                  <c:v>-55.709287128712873</c:v>
                </c:pt>
                <c:pt idx="46" formatCode="General">
                  <c:v>-55.954059405940598</c:v>
                </c:pt>
                <c:pt idx="47" formatCode="General">
                  <c:v>-56.194455445544556</c:v>
                </c:pt>
                <c:pt idx="48" formatCode="General">
                  <c:v>-56.434851485148521</c:v>
                </c:pt>
                <c:pt idx="49" formatCode="General">
                  <c:v>-56.674690210656756</c:v>
                </c:pt>
                <c:pt idx="50" formatCode="General">
                  <c:v>-56.914194547707559</c:v>
                </c:pt>
                <c:pt idx="51" formatCode="General">
                  <c:v>-57.15369888475837</c:v>
                </c:pt>
                <c:pt idx="52" formatCode="General">
                  <c:v>-57.393203221809173</c:v>
                </c:pt>
                <c:pt idx="53" formatCode="General">
                  <c:v>-57.632707558859977</c:v>
                </c:pt>
                <c:pt idx="54" formatCode="General">
                  <c:v>-57.87221189591078</c:v>
                </c:pt>
                <c:pt idx="55" formatCode="General">
                  <c:v>-58.111716232961584</c:v>
                </c:pt>
                <c:pt idx="56" formatCode="General">
                  <c:v>-58.351220570012387</c:v>
                </c:pt>
                <c:pt idx="57" formatCode="General">
                  <c:v>-58.590724907063191</c:v>
                </c:pt>
                <c:pt idx="58" formatCode="General">
                  <c:v>-58.830229244113994</c:v>
                </c:pt>
                <c:pt idx="59" formatCode="General">
                  <c:v>-59.065103960396037</c:v>
                </c:pt>
                <c:pt idx="60" formatCode="General">
                  <c:v>-59.295995049504953</c:v>
                </c:pt>
                <c:pt idx="61" formatCode="General">
                  <c:v>-59.526975247524753</c:v>
                </c:pt>
                <c:pt idx="62" formatCode="General">
                  <c:v>-59.764995049504954</c:v>
                </c:pt>
                <c:pt idx="63" formatCode="General">
                  <c:v>-60.003014851485148</c:v>
                </c:pt>
                <c:pt idx="64" formatCode="General">
                  <c:v>-60.237173267326732</c:v>
                </c:pt>
                <c:pt idx="65" formatCode="General">
                  <c:v>-60.467272277227728</c:v>
                </c:pt>
                <c:pt idx="66" formatCode="General">
                  <c:v>-60.697371287128718</c:v>
                </c:pt>
                <c:pt idx="67" formatCode="General">
                  <c:v>-60.920227722772282</c:v>
                </c:pt>
                <c:pt idx="68" formatCode="General">
                  <c:v>-61.142801980198023</c:v>
                </c:pt>
                <c:pt idx="69" formatCode="General">
                  <c:v>-61.347411400247829</c:v>
                </c:pt>
                <c:pt idx="70" formatCode="General">
                  <c:v>-61.528923172242877</c:v>
                </c:pt>
                <c:pt idx="71" formatCode="General">
                  <c:v>-61.710434944237917</c:v>
                </c:pt>
                <c:pt idx="72" formatCode="General">
                  <c:v>-61.891946716232958</c:v>
                </c:pt>
                <c:pt idx="73" formatCode="General">
                  <c:v>-62.073458488228006</c:v>
                </c:pt>
                <c:pt idx="74" formatCode="General">
                  <c:v>-62.254970260223047</c:v>
                </c:pt>
                <c:pt idx="75" formatCode="General">
                  <c:v>-62.436482032218088</c:v>
                </c:pt>
                <c:pt idx="76" formatCode="General">
                  <c:v>-62.617993804213135</c:v>
                </c:pt>
                <c:pt idx="77" formatCode="General">
                  <c:v>-62.799505576208176</c:v>
                </c:pt>
                <c:pt idx="78" formatCode="General">
                  <c:v>-62.981017348203217</c:v>
                </c:pt>
                <c:pt idx="79" formatCode="General">
                  <c:v>-63.171633663366336</c:v>
                </c:pt>
                <c:pt idx="80" formatCode="General">
                  <c:v>-63.379158415841587</c:v>
                </c:pt>
                <c:pt idx="81" formatCode="General">
                  <c:v>-63.586683168316839</c:v>
                </c:pt>
                <c:pt idx="82" formatCode="General">
                  <c:v>-63.794534653465348</c:v>
                </c:pt>
                <c:pt idx="83" formatCode="General">
                  <c:v>-64.002455445544555</c:v>
                </c:pt>
                <c:pt idx="84" formatCode="General">
                  <c:v>-64.207999999999998</c:v>
                </c:pt>
                <c:pt idx="85" formatCode="General">
                  <c:v>-64.408000000000001</c:v>
                </c:pt>
                <c:pt idx="86" formatCode="General">
                  <c:v>-64.608000000000004</c:v>
                </c:pt>
                <c:pt idx="87" formatCode="General">
                  <c:v>-64.814138613861388</c:v>
                </c:pt>
                <c:pt idx="88" formatCode="General">
                  <c:v>-65.022059405940595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70-485E-83CD-2C088659C982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70-485E-83CD-2C088659C982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70-485E-83CD-2C088659C982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70-485E-83CD-2C088659C982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A70-485E-83CD-2C088659C982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A70-485E-83CD-2C088659C982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A70-485E-83CD-2C088659C982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A70-485E-83CD-2C088659C982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A70-485E-83CD-2C088659C982}"/>
            </c:ext>
          </c:extLst>
        </c:ser>
        <c:ser>
          <c:idx val="69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A70-485E-83CD-2C088659C982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A70-485E-83CD-2C088659C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DA70-485E-83CD-2C088659C98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A70-485E-83CD-2C088659C982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A70-485E-83CD-2C088659C982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A70-485E-83CD-2C088659C982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A70-485E-83CD-2C088659C982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A70-485E-83CD-2C088659C982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A70-485E-83CD-2C088659C982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A70-485E-83CD-2C088659C982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A70-485E-83CD-2C088659C982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A70-485E-83CD-2C088659C982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A70-485E-83CD-2C088659C982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A70-485E-83CD-2C088659C982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A70-485E-83CD-2C088659C982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A70-485E-83CD-2C088659C982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A70-485E-83CD-2C088659C982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A70-485E-83CD-2C088659C982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A70-485E-83CD-2C088659C982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A70-485E-83CD-2C088659C982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A70-485E-83CD-2C088659C982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A70-485E-83CD-2C088659C982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A70-485E-83CD-2C088659C982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A70-485E-83CD-2C088659C982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A70-485E-83CD-2C088659C982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A70-485E-83CD-2C088659C982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A70-485E-83CD-2C088659C982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A70-485E-83CD-2C088659C982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A70-485E-83CD-2C088659C982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A70-485E-83CD-2C088659C982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A70-485E-83CD-2C088659C982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A70-485E-83CD-2C088659C982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A70-485E-83CD-2C088659C982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A70-485E-83CD-2C088659C982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A70-485E-83CD-2C088659C982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A70-485E-83CD-2C088659C982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A70-485E-83CD-2C088659C982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A70-485E-83CD-2C088659C982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A70-485E-83CD-2C088659C982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A70-485E-83CD-2C088659C982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A70-485E-83CD-2C088659C982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A70-485E-83CD-2C088659C982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A70-485E-83CD-2C088659C982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A70-485E-83CD-2C088659C982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A70-485E-83CD-2C088659C982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A70-485E-83CD-2C088659C982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A70-485E-83CD-2C088659C982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A70-485E-83CD-2C088659C982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A70-485E-83CD-2C088659C982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A70-485E-83CD-2C088659C982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A70-485E-83CD-2C088659C982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A70-485E-83CD-2C088659C982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A70-485E-83CD-2C088659C982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A70-485E-83CD-2C088659C982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A70-485E-83CD-2C088659C98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A70-485E-83CD-2C088659C98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A70-485E-83CD-2C088659C98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A70-485E-83CD-2C088659C98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A70-485E-83CD-2C088659C98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A70-485E-83CD-2C088659C98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A70-485E-83CD-2C088659C98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5"/>
          <c:min val="-65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418997999475253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2"/>
          <c:order val="3"/>
          <c:tx>
            <c:strRef>
              <c:f>'20-20-60'!$DO$6</c:f>
              <c:strCache>
                <c:ptCount val="1"/>
                <c:pt idx="0">
                  <c:v>*Ga2Se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'20-20-60'!$DP$6:$GZ$6</c:f>
              <c:numCache>
                <c:formatCode>0</c:formatCode>
                <c:ptCount val="89"/>
                <c:pt idx="0">
                  <c:v>-147.73445544554454</c:v>
                </c:pt>
                <c:pt idx="1">
                  <c:v>-144.17158415841584</c:v>
                </c:pt>
                <c:pt idx="2">
                  <c:v>-140.82108910891088</c:v>
                </c:pt>
                <c:pt idx="3">
                  <c:v>-137.49707920792079</c:v>
                </c:pt>
                <c:pt idx="4" formatCode="General">
                  <c:v>-134.57034653465345</c:v>
                </c:pt>
                <c:pt idx="5" formatCode="General">
                  <c:v>-131.64361386138614</c:v>
                </c:pt>
                <c:pt idx="6" formatCode="General">
                  <c:v>-128.62534653465346</c:v>
                </c:pt>
                <c:pt idx="7" formatCode="General">
                  <c:v>-125.52831683168316</c:v>
                </c:pt>
                <c:pt idx="8" formatCode="General">
                  <c:v>-122.43596534653464</c:v>
                </c:pt>
                <c:pt idx="9" formatCode="General">
                  <c:v>-119.71319306930693</c:v>
                </c:pt>
                <c:pt idx="10" formatCode="General">
                  <c:v>-116.99042079207921</c:v>
                </c:pt>
                <c:pt idx="11" formatCode="General">
                  <c:v>-114.26764851485147</c:v>
                </c:pt>
                <c:pt idx="12" formatCode="General">
                  <c:v>-111.54487623762375</c:v>
                </c:pt>
                <c:pt idx="13" formatCode="General">
                  <c:v>-108.82210396039603</c:v>
                </c:pt>
                <c:pt idx="14" formatCode="General">
                  <c:v>-106.09933168316832</c:v>
                </c:pt>
                <c:pt idx="15" formatCode="General">
                  <c:v>-103.37655940594058</c:v>
                </c:pt>
                <c:pt idx="16" formatCode="General">
                  <c:v>-100.65378712871286</c:v>
                </c:pt>
                <c:pt idx="17" formatCode="General">
                  <c:v>-97.931014851485145</c:v>
                </c:pt>
                <c:pt idx="18" formatCode="General">
                  <c:v>-95.208242574257412</c:v>
                </c:pt>
                <c:pt idx="19" formatCode="General">
                  <c:v>-93.004059405940595</c:v>
                </c:pt>
                <c:pt idx="20" formatCode="General">
                  <c:v>-90.849603960396038</c:v>
                </c:pt>
                <c:pt idx="21" formatCode="General">
                  <c:v>-88.767277227722772</c:v>
                </c:pt>
                <c:pt idx="22" formatCode="General">
                  <c:v>-86.798960396039604</c:v>
                </c:pt>
                <c:pt idx="23" formatCode="General">
                  <c:v>-84.83064356435645</c:v>
                </c:pt>
                <c:pt idx="24" formatCode="General">
                  <c:v>-82.980895522388067</c:v>
                </c:pt>
                <c:pt idx="25" formatCode="General">
                  <c:v>-81.15004975124377</c:v>
                </c:pt>
                <c:pt idx="26" formatCode="General">
                  <c:v>-79.370891089108909</c:v>
                </c:pt>
                <c:pt idx="27" formatCode="General">
                  <c:v>-77.687722772277226</c:v>
                </c:pt>
                <c:pt idx="28" formatCode="General">
                  <c:v>-76.004554455445543</c:v>
                </c:pt>
                <c:pt idx="29" formatCode="General">
                  <c:v>-74.416138613861392</c:v>
                </c:pt>
                <c:pt idx="30" formatCode="General">
                  <c:v>-72.847821782178215</c:v>
                </c:pt>
                <c:pt idx="31" formatCode="General">
                  <c:v>-71.312772277227722</c:v>
                </c:pt>
                <c:pt idx="32" formatCode="General">
                  <c:v>-69.855346534653464</c:v>
                </c:pt>
                <c:pt idx="33" formatCode="General">
                  <c:v>-68.397920792079191</c:v>
                </c:pt>
                <c:pt idx="34" formatCode="General">
                  <c:v>-67.01108910891088</c:v>
                </c:pt>
                <c:pt idx="35" formatCode="General">
                  <c:v>-65.644752475247529</c:v>
                </c:pt>
                <c:pt idx="36" formatCode="General">
                  <c:v>-64.300198019801982</c:v>
                </c:pt>
                <c:pt idx="37" formatCode="General">
                  <c:v>-63.020990099009907</c:v>
                </c:pt>
                <c:pt idx="38" formatCode="General">
                  <c:v>-61.741782178217832</c:v>
                </c:pt>
                <c:pt idx="39" formatCode="General">
                  <c:v>-60.59034653465347</c:v>
                </c:pt>
                <c:pt idx="40" formatCode="General">
                  <c:v>-59.487376237623771</c:v>
                </c:pt>
                <c:pt idx="41" formatCode="General">
                  <c:v>-58.384405940594064</c:v>
                </c:pt>
                <c:pt idx="42" formatCode="General">
                  <c:v>-57.281435643564357</c:v>
                </c:pt>
                <c:pt idx="43" formatCode="General">
                  <c:v>-56.178465346534658</c:v>
                </c:pt>
                <c:pt idx="44" formatCode="General">
                  <c:v>-55.075495049504951</c:v>
                </c:pt>
                <c:pt idx="45" formatCode="General">
                  <c:v>-53.972524752475252</c:v>
                </c:pt>
                <c:pt idx="46" formatCode="General">
                  <c:v>-52.869554455445545</c:v>
                </c:pt>
                <c:pt idx="47" formatCode="General">
                  <c:v>-51.766584158415839</c:v>
                </c:pt>
                <c:pt idx="48" formatCode="General">
                  <c:v>-50.663613861386139</c:v>
                </c:pt>
                <c:pt idx="49" formatCode="General">
                  <c:v>-49.652985074626862</c:v>
                </c:pt>
                <c:pt idx="50" formatCode="General">
                  <c:v>-48.697761194029852</c:v>
                </c:pt>
                <c:pt idx="51" formatCode="General">
                  <c:v>-47.747970297029703</c:v>
                </c:pt>
                <c:pt idx="52" formatCode="General">
                  <c:v>-46.841039603960397</c:v>
                </c:pt>
                <c:pt idx="53" formatCode="General">
                  <c:v>-45.934108910891084</c:v>
                </c:pt>
                <c:pt idx="54" formatCode="General">
                  <c:v>-45.073247524752475</c:v>
                </c:pt>
                <c:pt idx="55" formatCode="General">
                  <c:v>-44.244732673267329</c:v>
                </c:pt>
                <c:pt idx="56" formatCode="General">
                  <c:v>-43.448346534653467</c:v>
                </c:pt>
                <c:pt idx="57" formatCode="General">
                  <c:v>-43.133891089108914</c:v>
                </c:pt>
                <c:pt idx="58" formatCode="General">
                  <c:v>-42.819435643564361</c:v>
                </c:pt>
                <c:pt idx="59" formatCode="General">
                  <c:v>-42.51434653465347</c:v>
                </c:pt>
                <c:pt idx="60" formatCode="General">
                  <c:v>-42.217316831683171</c:v>
                </c:pt>
                <c:pt idx="61" formatCode="General">
                  <c:v>-41.921227722772279</c:v>
                </c:pt>
                <c:pt idx="62" formatCode="General">
                  <c:v>-41.699445544554457</c:v>
                </c:pt>
                <c:pt idx="63" formatCode="General">
                  <c:v>-41.477663366336628</c:v>
                </c:pt>
                <c:pt idx="64" formatCode="General">
                  <c:v>-41.452039603960394</c:v>
                </c:pt>
                <c:pt idx="65" formatCode="General">
                  <c:v>-41.632633663366335</c:v>
                </c:pt>
                <c:pt idx="66" formatCode="General">
                  <c:v>-41.813227722772275</c:v>
                </c:pt>
                <c:pt idx="67" formatCode="General">
                  <c:v>-41.995346534653464</c:v>
                </c:pt>
                <c:pt idx="68" formatCode="General">
                  <c:v>-42.17752475247525</c:v>
                </c:pt>
                <c:pt idx="69" formatCode="General">
                  <c:v>-42.359888475836435</c:v>
                </c:pt>
                <c:pt idx="70" formatCode="General">
                  <c:v>-42.542490706319704</c:v>
                </c:pt>
                <c:pt idx="71" formatCode="General">
                  <c:v>-42.725092936802973</c:v>
                </c:pt>
                <c:pt idx="72" formatCode="General">
                  <c:v>-42.907695167286249</c:v>
                </c:pt>
                <c:pt idx="73" formatCode="General">
                  <c:v>-43.090297397769518</c:v>
                </c:pt>
                <c:pt idx="74" formatCode="General">
                  <c:v>-43.272899628252787</c:v>
                </c:pt>
                <c:pt idx="75" formatCode="General">
                  <c:v>-43.455501858736056</c:v>
                </c:pt>
                <c:pt idx="76" formatCode="General">
                  <c:v>-43.638104089219333</c:v>
                </c:pt>
                <c:pt idx="77" formatCode="General">
                  <c:v>-43.820706319702602</c:v>
                </c:pt>
                <c:pt idx="78" formatCode="General">
                  <c:v>-44.003308550185871</c:v>
                </c:pt>
                <c:pt idx="79" formatCode="General">
                  <c:v>-44.18687128712871</c:v>
                </c:pt>
                <c:pt idx="80" formatCode="General">
                  <c:v>-44.372217821782179</c:v>
                </c:pt>
                <c:pt idx="81" formatCode="General">
                  <c:v>-44.557564356435648</c:v>
                </c:pt>
                <c:pt idx="82" formatCode="General">
                  <c:v>-44.749445544554462</c:v>
                </c:pt>
                <c:pt idx="83" formatCode="General">
                  <c:v>-44.942712871287128</c:v>
                </c:pt>
                <c:pt idx="84" formatCode="General">
                  <c:v>-45.135980198019801</c:v>
                </c:pt>
                <c:pt idx="85" formatCode="General">
                  <c:v>-45.329247524752475</c:v>
                </c:pt>
                <c:pt idx="86" formatCode="General">
                  <c:v>-45.522514851485155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DB-40B1-9F6A-DA62D046B8CE}"/>
            </c:ext>
          </c:extLst>
        </c:ser>
        <c:ser>
          <c:idx val="43"/>
          <c:order val="43"/>
          <c:tx>
            <c:strRef>
              <c:f>'20-20-60'!$DO$46</c:f>
              <c:strCache>
                <c:ptCount val="1"/>
                <c:pt idx="0">
                  <c:v>(l)Ga2Se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'20-20-60'!$DP$46:$GZ$46</c:f>
              <c:numCache>
                <c:formatCode>0</c:formatCode>
                <c:ptCount val="89"/>
                <c:pt idx="0">
                  <c:v>-147.90529702970298</c:v>
                </c:pt>
                <c:pt idx="1">
                  <c:v>-144.14103960396042</c:v>
                </c:pt>
                <c:pt idx="2">
                  <c:v>-140.51727722772279</c:v>
                </c:pt>
                <c:pt idx="3">
                  <c:v>-136.90465346534654</c:v>
                </c:pt>
                <c:pt idx="4" formatCode="General">
                  <c:v>-133.4591089108911</c:v>
                </c:pt>
                <c:pt idx="5" formatCode="General">
                  <c:v>-130.01356435643567</c:v>
                </c:pt>
                <c:pt idx="6" formatCode="General">
                  <c:v>-126.66381188118812</c:v>
                </c:pt>
                <c:pt idx="7" formatCode="General">
                  <c:v>-123.39648514851484</c:v>
                </c:pt>
                <c:pt idx="8" formatCode="General">
                  <c:v>-120.13198019801978</c:v>
                </c:pt>
                <c:pt idx="9" formatCode="General">
                  <c:v>-117.09039603960395</c:v>
                </c:pt>
                <c:pt idx="10" formatCode="General">
                  <c:v>-114.04881188118812</c:v>
                </c:pt>
                <c:pt idx="11" formatCode="General">
                  <c:v>-111.12886138613861</c:v>
                </c:pt>
                <c:pt idx="12" formatCode="General">
                  <c:v>-108.33678217821782</c:v>
                </c:pt>
                <c:pt idx="13" formatCode="General">
                  <c:v>-105.54470297029704</c:v>
                </c:pt>
                <c:pt idx="14" formatCode="General">
                  <c:v>-103.00420792079208</c:v>
                </c:pt>
                <c:pt idx="15" formatCode="General">
                  <c:v>-100.47351485148515</c:v>
                </c:pt>
                <c:pt idx="16" formatCode="General">
                  <c:v>-98.058910891089113</c:v>
                </c:pt>
                <c:pt idx="17" formatCode="General">
                  <c:v>-95.793564356435638</c:v>
                </c:pt>
                <c:pt idx="18" formatCode="General">
                  <c:v>-93.528217821782178</c:v>
                </c:pt>
                <c:pt idx="19" formatCode="General">
                  <c:v>-91.68546468401486</c:v>
                </c:pt>
                <c:pt idx="20" formatCode="General">
                  <c:v>-89.883234200743487</c:v>
                </c:pt>
                <c:pt idx="21" formatCode="General">
                  <c:v>-88.081003717472115</c:v>
                </c:pt>
                <c:pt idx="22" formatCode="General">
                  <c:v>-86.278773234200742</c:v>
                </c:pt>
                <c:pt idx="23" formatCode="General">
                  <c:v>-84.476542750929369</c:v>
                </c:pt>
                <c:pt idx="24" formatCode="General">
                  <c:v>-82.674312267657996</c:v>
                </c:pt>
                <c:pt idx="25" formatCode="General">
                  <c:v>-80.872081784386609</c:v>
                </c:pt>
                <c:pt idx="26" formatCode="General">
                  <c:v>-79.069851301115236</c:v>
                </c:pt>
                <c:pt idx="27" formatCode="General">
                  <c:v>-77.267620817843863</c:v>
                </c:pt>
                <c:pt idx="28" formatCode="General">
                  <c:v>-75.46539033457249</c:v>
                </c:pt>
                <c:pt idx="29" formatCode="General">
                  <c:v>-73.882277227722767</c:v>
                </c:pt>
                <c:pt idx="30" formatCode="General">
                  <c:v>-72.345643564356436</c:v>
                </c:pt>
                <c:pt idx="31" formatCode="General">
                  <c:v>-70.838712871287129</c:v>
                </c:pt>
                <c:pt idx="32" formatCode="General">
                  <c:v>-69.401089108910881</c:v>
                </c:pt>
                <c:pt idx="33" formatCode="General">
                  <c:v>-67.963465346534647</c:v>
                </c:pt>
                <c:pt idx="34" formatCode="General">
                  <c:v>-66.584158415841571</c:v>
                </c:pt>
                <c:pt idx="35" formatCode="General">
                  <c:v>-65.221782178217808</c:v>
                </c:pt>
                <c:pt idx="36" formatCode="General">
                  <c:v>-63.882178217821775</c:v>
                </c:pt>
                <c:pt idx="37" formatCode="General">
                  <c:v>-62.610891089108904</c:v>
                </c:pt>
                <c:pt idx="38" formatCode="General">
                  <c:v>-61.33960396039604</c:v>
                </c:pt>
                <c:pt idx="39" formatCode="General">
                  <c:v>-60.12</c:v>
                </c:pt>
                <c:pt idx="40" formatCode="General">
                  <c:v>-58.919999999999995</c:v>
                </c:pt>
                <c:pt idx="41" formatCode="General">
                  <c:v>-57.735049504950489</c:v>
                </c:pt>
                <c:pt idx="42" formatCode="General">
                  <c:v>-56.610297029702963</c:v>
                </c:pt>
                <c:pt idx="43" formatCode="General">
                  <c:v>-55.485544554455444</c:v>
                </c:pt>
                <c:pt idx="44" formatCode="General">
                  <c:v>-54.408910891089107</c:v>
                </c:pt>
                <c:pt idx="45" formatCode="General">
                  <c:v>-53.355445544554449</c:v>
                </c:pt>
                <c:pt idx="46" formatCode="General">
                  <c:v>-52.318613861386133</c:v>
                </c:pt>
                <c:pt idx="47" formatCode="General">
                  <c:v>-51.376039603960393</c:v>
                </c:pt>
                <c:pt idx="48" formatCode="General">
                  <c:v>-50.433465346534653</c:v>
                </c:pt>
                <c:pt idx="49" formatCode="General">
                  <c:v>-49.756703841387854</c:v>
                </c:pt>
                <c:pt idx="50" formatCode="General">
                  <c:v>-49.239429987608425</c:v>
                </c:pt>
                <c:pt idx="51" formatCode="General">
                  <c:v>-48.722156133828996</c:v>
                </c:pt>
                <c:pt idx="52" formatCode="General">
                  <c:v>-48.204882280049567</c:v>
                </c:pt>
                <c:pt idx="53" formatCode="General">
                  <c:v>-47.687608426270131</c:v>
                </c:pt>
                <c:pt idx="54" formatCode="General">
                  <c:v>-47.170334572490702</c:v>
                </c:pt>
                <c:pt idx="55" formatCode="General">
                  <c:v>-46.653060718711274</c:v>
                </c:pt>
                <c:pt idx="56" formatCode="General">
                  <c:v>-46.135786864931845</c:v>
                </c:pt>
                <c:pt idx="57" formatCode="General">
                  <c:v>-45.618513011152416</c:v>
                </c:pt>
                <c:pt idx="58" formatCode="General">
                  <c:v>-45.101239157372987</c:v>
                </c:pt>
                <c:pt idx="59" formatCode="General">
                  <c:v>-44.705752475247522</c:v>
                </c:pt>
                <c:pt idx="60" formatCode="General">
                  <c:v>-44.415059405940589</c:v>
                </c:pt>
                <c:pt idx="61" formatCode="General">
                  <c:v>-44.124752475247526</c:v>
                </c:pt>
                <c:pt idx="62" formatCode="General">
                  <c:v>-43.864950495049506</c:v>
                </c:pt>
                <c:pt idx="63" formatCode="General">
                  <c:v>-43.605148514851479</c:v>
                </c:pt>
                <c:pt idx="64" formatCode="General">
                  <c:v>-43.354999999999997</c:v>
                </c:pt>
                <c:pt idx="65" formatCode="General">
                  <c:v>-43.114999999999995</c:v>
                </c:pt>
                <c:pt idx="66" formatCode="General">
                  <c:v>-42.875</c:v>
                </c:pt>
                <c:pt idx="67" formatCode="General">
                  <c:v>-42.674643564356437</c:v>
                </c:pt>
                <c:pt idx="68" formatCode="General">
                  <c:v>-42.475831683168323</c:v>
                </c:pt>
                <c:pt idx="69" formatCode="General">
                  <c:v>-42.424198265179683</c:v>
                </c:pt>
                <c:pt idx="70" formatCode="General">
                  <c:v>-42.561794299876084</c:v>
                </c:pt>
                <c:pt idx="71" formatCode="General">
                  <c:v>-42.699390334572492</c:v>
                </c:pt>
                <c:pt idx="72" formatCode="General">
                  <c:v>-42.836986369268899</c:v>
                </c:pt>
                <c:pt idx="73" formatCode="General">
                  <c:v>-42.9745824039653</c:v>
                </c:pt>
                <c:pt idx="74" formatCode="General">
                  <c:v>-43.112178438661708</c:v>
                </c:pt>
                <c:pt idx="75" formatCode="General">
                  <c:v>-43.249774473358116</c:v>
                </c:pt>
                <c:pt idx="76" formatCode="General">
                  <c:v>-43.387370508054516</c:v>
                </c:pt>
                <c:pt idx="77" formatCode="General">
                  <c:v>-43.524966542750924</c:v>
                </c:pt>
                <c:pt idx="78" formatCode="General">
                  <c:v>-43.662562577447332</c:v>
                </c:pt>
                <c:pt idx="79" formatCode="General">
                  <c:v>-43.804118811881182</c:v>
                </c:pt>
                <c:pt idx="80" formatCode="General">
                  <c:v>-43.953029702970298</c:v>
                </c:pt>
                <c:pt idx="81" formatCode="General">
                  <c:v>-44.101940594059407</c:v>
                </c:pt>
                <c:pt idx="82" formatCode="General">
                  <c:v>-44.249544554455447</c:v>
                </c:pt>
                <c:pt idx="83" formatCode="General">
                  <c:v>-44.396871287128711</c:v>
                </c:pt>
                <c:pt idx="84" formatCode="General">
                  <c:v>-44.5430099009901</c:v>
                </c:pt>
                <c:pt idx="85" formatCode="General">
                  <c:v>-44.686376237623762</c:v>
                </c:pt>
                <c:pt idx="86" formatCode="General">
                  <c:v>-44.82974257425743</c:v>
                </c:pt>
                <c:pt idx="87" formatCode="General">
                  <c:v>-44.975564356435648</c:v>
                </c:pt>
                <c:pt idx="88" formatCode="General">
                  <c:v>-45.122099009900992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EDB-40B1-9F6A-DA62D046B8CE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DB-40B1-9F6A-DA62D046B8CE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DB-40B1-9F6A-DA62D046B8CE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DB-40B1-9F6A-DA62D046B8CE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EEDB-40B1-9F6A-DA62D046B8CE}"/>
            </c:ext>
          </c:extLst>
        </c:ser>
        <c:ser>
          <c:idx val="69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EEDB-40B1-9F6A-DA62D046B8CE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EEDB-40B1-9F6A-DA62D046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EEDB-40B1-9F6A-DA62D046B8CE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DB-40B1-9F6A-DA62D046B8CE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DB-40B1-9F6A-DA62D046B8CE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EDB-40B1-9F6A-DA62D046B8CE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EDB-40B1-9F6A-DA62D046B8CE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DB-40B1-9F6A-DA62D046B8CE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'20-20-60'!$DP$10:$GZ$10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EDB-40B1-9F6A-DA62D046B8CE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EDB-40B1-9F6A-DA62D046B8CE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EDB-40B1-9F6A-DA62D046B8CE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EDB-40B1-9F6A-DA62D046B8CE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EDB-40B1-9F6A-DA62D046B8CE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EDB-40B1-9F6A-DA62D046B8CE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EDB-40B1-9F6A-DA62D046B8CE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EDB-40B1-9F6A-DA62D046B8CE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EDB-40B1-9F6A-DA62D046B8CE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EDB-40B1-9F6A-DA62D046B8CE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EDB-40B1-9F6A-DA62D046B8CE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EDB-40B1-9F6A-DA62D046B8CE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EDB-40B1-9F6A-DA62D046B8CE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EDB-40B1-9F6A-DA62D046B8CE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EDB-40B1-9F6A-DA62D046B8CE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EDB-40B1-9F6A-DA62D046B8CE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EDB-40B1-9F6A-DA62D046B8CE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EDB-40B1-9F6A-DA62D046B8CE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EDB-40B1-9F6A-DA62D046B8CE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EDB-40B1-9F6A-DA62D046B8CE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EDB-40B1-9F6A-DA62D046B8CE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EDB-40B1-9F6A-DA62D046B8CE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EDB-40B1-9F6A-DA62D046B8CE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EDB-40B1-9F6A-DA62D046B8CE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EDB-40B1-9F6A-DA62D046B8CE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EDB-40B1-9F6A-DA62D046B8CE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EDB-40B1-9F6A-DA62D046B8CE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EDB-40B1-9F6A-DA62D046B8CE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EDB-40B1-9F6A-DA62D046B8CE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EDB-40B1-9F6A-DA62D046B8CE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EDB-40B1-9F6A-DA62D046B8CE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EDB-40B1-9F6A-DA62D046B8CE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EDB-40B1-9F6A-DA62D046B8C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EDB-40B1-9F6A-DA62D046B8CE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EDB-40B1-9F6A-DA62D046B8C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'20-20-60'!$DP$45:$GZ$45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EDB-40B1-9F6A-DA62D046B8C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EDB-40B1-9F6A-DA62D046B8C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EDB-40B1-9F6A-DA62D046B8C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EDB-40B1-9F6A-DA62D046B8C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EDB-40B1-9F6A-DA62D046B8C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EDB-40B1-9F6A-DA62D046B8C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EDB-40B1-9F6A-DA62D046B8C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EDB-40B1-9F6A-DA62D046B8C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EDB-40B1-9F6A-DA62D046B8C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EDB-40B1-9F6A-DA62D046B8C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EDB-40B1-9F6A-DA62D046B8CE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EDB-40B1-9F6A-DA62D046B8C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EDB-40B1-9F6A-DA62D046B8C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EDB-40B1-9F6A-DA62D046B8C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EDB-40B1-9F6A-DA62D046B8C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EDB-40B1-9F6A-DA62D046B8C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EDB-40B1-9F6A-DA62D046B8C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EDB-40B1-9F6A-DA62D046B8CE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EDB-40B1-9F6A-DA62D046B8CE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EDB-40B1-9F6A-DA62D046B8CE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EDB-40B1-9F6A-DA62D046B8CE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EDB-40B1-9F6A-DA62D046B8C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15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98596559741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6"/>
          <c:order val="7"/>
          <c:tx>
            <c:strRef>
              <c:f>'20-20-60'!$DO$10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'20-20-60'!$DP$10:$GZ$10</c:f>
              <c:numCache>
                <c:formatCode>0</c:formatCode>
                <c:ptCount val="89"/>
                <c:pt idx="0">
                  <c:v>-192.53227722772277</c:v>
                </c:pt>
                <c:pt idx="1">
                  <c:v>-187.99178217821782</c:v>
                </c:pt>
                <c:pt idx="2">
                  <c:v>-183.72247524752476</c:v>
                </c:pt>
                <c:pt idx="3">
                  <c:v>-179.4870792079208</c:v>
                </c:pt>
                <c:pt idx="4" formatCode="General">
                  <c:v>-175.76034653465345</c:v>
                </c:pt>
                <c:pt idx="5" formatCode="General">
                  <c:v>-172.03361386138613</c:v>
                </c:pt>
                <c:pt idx="6" formatCode="General">
                  <c:v>-168.54316831683167</c:v>
                </c:pt>
                <c:pt idx="7" formatCode="General">
                  <c:v>-165.25603960396037</c:v>
                </c:pt>
                <c:pt idx="8" formatCode="General">
                  <c:v>-161.97893564356434</c:v>
                </c:pt>
                <c:pt idx="9" formatCode="General">
                  <c:v>-159.49378712871285</c:v>
                </c:pt>
                <c:pt idx="10" formatCode="General">
                  <c:v>-157.00863861386136</c:v>
                </c:pt>
                <c:pt idx="11" formatCode="General">
                  <c:v>-154.52349009900988</c:v>
                </c:pt>
                <c:pt idx="12" formatCode="General">
                  <c:v>-152.03834158415839</c:v>
                </c:pt>
                <c:pt idx="13" formatCode="General">
                  <c:v>-149.55319306930693</c:v>
                </c:pt>
                <c:pt idx="14" formatCode="General">
                  <c:v>-147.06804455445544</c:v>
                </c:pt>
                <c:pt idx="15" formatCode="General">
                  <c:v>-144.58289603960395</c:v>
                </c:pt>
                <c:pt idx="16" formatCode="General">
                  <c:v>-142.09774752475246</c:v>
                </c:pt>
                <c:pt idx="17" formatCode="General">
                  <c:v>-139.61259900990098</c:v>
                </c:pt>
                <c:pt idx="18" formatCode="General">
                  <c:v>-137.12745049504949</c:v>
                </c:pt>
                <c:pt idx="19" formatCode="General">
                  <c:v>-135.1608910891089</c:v>
                </c:pt>
                <c:pt idx="20" formatCode="General">
                  <c:v>-133.24405940594059</c:v>
                </c:pt>
                <c:pt idx="21" formatCode="General">
                  <c:v>-131.40242574257425</c:v>
                </c:pt>
                <c:pt idx="22" formatCode="General">
                  <c:v>-129.67965346534652</c:v>
                </c:pt>
                <c:pt idx="23" formatCode="General">
                  <c:v>-127.95688118811881</c:v>
                </c:pt>
                <c:pt idx="24" formatCode="General">
                  <c:v>-126.34686567164179</c:v>
                </c:pt>
                <c:pt idx="25" formatCode="General">
                  <c:v>-124.75482587064677</c:v>
                </c:pt>
                <c:pt idx="26" formatCode="General">
                  <c:v>-123.21683168316831</c:v>
                </c:pt>
                <c:pt idx="27" formatCode="General">
                  <c:v>-121.77920792079208</c:v>
                </c:pt>
                <c:pt idx="28" formatCode="General">
                  <c:v>-120.34158415841584</c:v>
                </c:pt>
                <c:pt idx="29" formatCode="General">
                  <c:v>-118.99217821782177</c:v>
                </c:pt>
                <c:pt idx="30" formatCode="General">
                  <c:v>-117.66148514851484</c:v>
                </c:pt>
                <c:pt idx="31" formatCode="General">
                  <c:v>-116.36405940594059</c:v>
                </c:pt>
                <c:pt idx="32" formatCode="General">
                  <c:v>-115.14425742574257</c:v>
                </c:pt>
                <c:pt idx="33" formatCode="General">
                  <c:v>-113.92445544554455</c:v>
                </c:pt>
                <c:pt idx="34" formatCode="General">
                  <c:v>-112.76910891089109</c:v>
                </c:pt>
                <c:pt idx="35" formatCode="General">
                  <c:v>-111.63247524752475</c:v>
                </c:pt>
                <c:pt idx="36" formatCode="General">
                  <c:v>-110.51762376237623</c:v>
                </c:pt>
                <c:pt idx="37" formatCode="General">
                  <c:v>-109.46811881188118</c:v>
                </c:pt>
                <c:pt idx="38" formatCode="General">
                  <c:v>-108.41861386138613</c:v>
                </c:pt>
                <c:pt idx="39" formatCode="General">
                  <c:v>-107.49400990099009</c:v>
                </c:pt>
                <c:pt idx="40" formatCode="General">
                  <c:v>-106.61678217821782</c:v>
                </c:pt>
                <c:pt idx="41" formatCode="General">
                  <c:v>-105.73955445544554</c:v>
                </c:pt>
                <c:pt idx="42" formatCode="General">
                  <c:v>-104.86232673267327</c:v>
                </c:pt>
                <c:pt idx="43" formatCode="General">
                  <c:v>-103.98509900990099</c:v>
                </c:pt>
                <c:pt idx="44" formatCode="General">
                  <c:v>-103.10787128712872</c:v>
                </c:pt>
                <c:pt idx="45" formatCode="General">
                  <c:v>-102.23064356435643</c:v>
                </c:pt>
                <c:pt idx="46" formatCode="General">
                  <c:v>-101.35341584158415</c:v>
                </c:pt>
                <c:pt idx="47" formatCode="General">
                  <c:v>-100.47618811881188</c:v>
                </c:pt>
                <c:pt idx="48" formatCode="General">
                  <c:v>-99.598960396039601</c:v>
                </c:pt>
                <c:pt idx="49" formatCode="General">
                  <c:v>-98.812288557213932</c:v>
                </c:pt>
                <c:pt idx="50" formatCode="General">
                  <c:v>-98.079950248756219</c:v>
                </c:pt>
                <c:pt idx="51" formatCode="General">
                  <c:v>-97.352029702970299</c:v>
                </c:pt>
                <c:pt idx="52" formatCode="General">
                  <c:v>-96.658960396039603</c:v>
                </c:pt>
                <c:pt idx="53" formatCode="General">
                  <c:v>-95.965891089108908</c:v>
                </c:pt>
                <c:pt idx="54" formatCode="General">
                  <c:v>-95.318891089108902</c:v>
                </c:pt>
                <c:pt idx="55" formatCode="General">
                  <c:v>-94.704237623762367</c:v>
                </c:pt>
                <c:pt idx="56" formatCode="General">
                  <c:v>-94.12171287128713</c:v>
                </c:pt>
                <c:pt idx="57" formatCode="General">
                  <c:v>-94.021118811881195</c:v>
                </c:pt>
                <c:pt idx="58" formatCode="General">
                  <c:v>-93.920524752475259</c:v>
                </c:pt>
                <c:pt idx="59" formatCode="General">
                  <c:v>-93.829297029702985</c:v>
                </c:pt>
                <c:pt idx="60" formatCode="General">
                  <c:v>-93.746128712871297</c:v>
                </c:pt>
                <c:pt idx="61" formatCode="General">
                  <c:v>-93.663801980198016</c:v>
                </c:pt>
                <c:pt idx="62" formatCode="General">
                  <c:v>-93.647960396039608</c:v>
                </c:pt>
                <c:pt idx="63" formatCode="General">
                  <c:v>-93.632118811881185</c:v>
                </c:pt>
                <c:pt idx="64" formatCode="General">
                  <c:v>-93.812435643564356</c:v>
                </c:pt>
                <c:pt idx="65" formatCode="General">
                  <c:v>-94.198970297029703</c:v>
                </c:pt>
                <c:pt idx="66" formatCode="General">
                  <c:v>-94.58550495049505</c:v>
                </c:pt>
                <c:pt idx="67" formatCode="General">
                  <c:v>-94.973564356435631</c:v>
                </c:pt>
                <c:pt idx="68" formatCode="General">
                  <c:v>-95.361683168316816</c:v>
                </c:pt>
                <c:pt idx="69" formatCode="General">
                  <c:v>-95.746629491945455</c:v>
                </c:pt>
                <c:pt idx="70" formatCode="General">
                  <c:v>-96.127496902106557</c:v>
                </c:pt>
                <c:pt idx="71" formatCode="General">
                  <c:v>-96.508364312267645</c:v>
                </c:pt>
                <c:pt idx="72" formatCode="General">
                  <c:v>-96.889231722428732</c:v>
                </c:pt>
                <c:pt idx="73" formatCode="General">
                  <c:v>-97.270099132589834</c:v>
                </c:pt>
                <c:pt idx="74" formatCode="General">
                  <c:v>-97.650966542750922</c:v>
                </c:pt>
                <c:pt idx="75" formatCode="General">
                  <c:v>-98.03183395291201</c:v>
                </c:pt>
                <c:pt idx="76" formatCode="General">
                  <c:v>-98.412701363073097</c:v>
                </c:pt>
                <c:pt idx="77" formatCode="General">
                  <c:v>-98.793568773234199</c:v>
                </c:pt>
                <c:pt idx="78" formatCode="General">
                  <c:v>-99.174436183395287</c:v>
                </c:pt>
                <c:pt idx="79" formatCode="General">
                  <c:v>-99.553405940594061</c:v>
                </c:pt>
                <c:pt idx="80" formatCode="General">
                  <c:v>-99.928851485148513</c:v>
                </c:pt>
                <c:pt idx="81" formatCode="General">
                  <c:v>-100.30429702970298</c:v>
                </c:pt>
                <c:pt idx="82" formatCode="General">
                  <c:v>-100.69281188118812</c:v>
                </c:pt>
                <c:pt idx="83" formatCode="General">
                  <c:v>-101.084099009901</c:v>
                </c:pt>
                <c:pt idx="84" formatCode="General">
                  <c:v>-101.47300990099011</c:v>
                </c:pt>
                <c:pt idx="85" formatCode="General">
                  <c:v>-101.85637623762376</c:v>
                </c:pt>
                <c:pt idx="86" formatCode="General">
                  <c:v>-102.23974257425742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5A-49F1-BF0D-96B48EFAB89F}"/>
            </c:ext>
          </c:extLst>
        </c:ser>
        <c:ser>
          <c:idx val="42"/>
          <c:order val="42"/>
          <c:tx>
            <c:strRef>
              <c:f>'20-20-60'!$DO$45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'20-20-60'!$DP$2:$GZ$2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'20-20-60'!$DP$45:$GZ$45</c:f>
              <c:numCache>
                <c:formatCode>0</c:formatCode>
                <c:ptCount val="89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5A-49F1-BF0D-96B48EFAB89F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5A-49F1-BF0D-96B48EFAB89F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5A-49F1-BF0D-96B48EFAB89F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45A-49F1-BF0D-96B48EFAB89F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5A-49F1-BF0D-96B48EFAB89F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45A-49F1-BF0D-96B48EFAB89F}"/>
            </c:ext>
          </c:extLst>
        </c:ser>
        <c:ser>
          <c:idx val="69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45A-49F1-BF0D-96B48EFAB89F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45A-49F1-BF0D-96B48EFA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'20-20-60'!$DO$3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'20-20-60'!$DP$3:$GZ$3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645A-49F1-BF0D-96B48EFAB89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'20-20-60'!$DP$4:$GZ$4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45A-49F1-BF0D-96B48EFAB89F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'20-20-60'!$DP$5:$GZ$5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45A-49F1-BF0D-96B48EFAB89F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'20-20-60'!$DP$6:$GZ$6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45A-49F1-BF0D-96B48EFAB89F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'20-20-60'!$DP$7:$GZ$7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45A-49F1-BF0D-96B48EFAB89F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'20-20-60'!$DP$8:$GZ$8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45A-49F1-BF0D-96B48EFAB89F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'20-20-60'!$DP$9:$GZ$9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45A-49F1-BF0D-96B48EFAB89F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'20-20-60'!$DP$11:$GZ$11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45A-49F1-BF0D-96B48EFAB89F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'20-20-60'!$DP$12:$GZ$12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45A-49F1-BF0D-96B48EFAB89F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'20-20-60'!$DP$13:$GZ$13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45A-49F1-BF0D-96B48EFAB89F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'20-20-60'!$DP$14:$GZ$14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45A-49F1-BF0D-96B48EFAB89F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'20-20-60'!$DP$15:$GZ$15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45A-49F1-BF0D-96B48EFAB89F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'20-20-60'!$DP$16:$GZ$16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45A-49F1-BF0D-96B48EFAB89F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'20-20-60'!$DP$17:$GZ$17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45A-49F1-BF0D-96B48EFAB89F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'20-20-60'!$DP$18:$GZ$18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45A-49F1-BF0D-96B48EFAB89F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'20-20-60'!$DP$19:$GZ$19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45A-49F1-BF0D-96B48EFAB89F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'20-20-60'!$DP$20:$GZ$20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45A-49F1-BF0D-96B48EFAB89F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'20-20-60'!$DP$21:$GZ$21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45A-49F1-BF0D-96B48EFAB89F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'20-20-60'!$DP$22:$GZ$22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45A-49F1-BF0D-96B48EFAB89F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'20-20-60'!$DP$23:$GZ$23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45A-49F1-BF0D-96B48EFAB89F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'20-20-60'!$DP$24:$GZ$24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45A-49F1-BF0D-96B48EFAB89F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'20-20-60'!$DP$25:$GZ$25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45A-49F1-BF0D-96B48EFAB89F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'20-20-60'!$DP$26:$GZ$26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45A-49F1-BF0D-96B48EFAB89F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'20-20-60'!$DP$27:$GZ$27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45A-49F1-BF0D-96B48EFAB89F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'20-20-60'!$DP$28:$GZ$28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645A-49F1-BF0D-96B48EFAB89F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'20-20-60'!$DP$29:$GZ$29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645A-49F1-BF0D-96B48EFAB89F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'20-20-60'!$DP$30:$GZ$30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645A-49F1-BF0D-96B48EFAB89F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'20-20-60'!$DP$31:$GZ$31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45A-49F1-BF0D-96B48EFAB89F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'20-20-60'!$DP$32:$GZ$32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45A-49F1-BF0D-96B48EFAB89F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'20-20-60'!$DP$33:$GZ$33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45A-49F1-BF0D-96B48EFAB89F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'20-20-60'!$DP$34:$GZ$34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45A-49F1-BF0D-96B48EFAB89F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'20-20-60'!$DP$35:$GZ$35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45A-49F1-BF0D-96B48EFAB89F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'20-20-60'!$DP$36:$GZ$36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45A-49F1-BF0D-96B48EFAB89F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'20-20-60'!$DP$37:$GZ$37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645A-49F1-BF0D-96B48EFAB89F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'20-20-60'!$DP$38:$GZ$38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645A-49F1-BF0D-96B48EFAB89F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'20-20-60'!$DP$39:$GZ$39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645A-49F1-BF0D-96B48EFAB89F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'20-20-60'!$DP$40:$GZ$40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645A-49F1-BF0D-96B48EFAB89F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'20-20-60'!$DP$41:$GZ$41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645A-49F1-BF0D-96B48EFAB89F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'20-20-60'!$DP$42:$GZ$42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645A-49F1-BF0D-96B48EFAB89F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'20-20-60'!$DP$43:$GZ$43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645A-49F1-BF0D-96B48EFAB89F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'20-20-60'!$DP$44:$GZ$44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45A-49F1-BF0D-96B48EFAB89F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'20-20-60'!$DP$46:$GZ$46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45A-49F1-BF0D-96B48EFAB89F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'20-20-60'!$DP$47:$GZ$47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45A-49F1-BF0D-96B48EFAB89F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'20-20-60'!$DP$48:$GZ$48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45A-49F1-BF0D-96B48EFAB89F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'20-20-60'!$DP$49:$GZ$49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45A-49F1-BF0D-96B48EFAB89F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'20-20-60'!$DP$50:$GZ$50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645A-49F1-BF0D-96B48EFAB89F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'20-20-60'!$DP$51:$GZ$51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645A-49F1-BF0D-96B48EFAB89F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'20-20-60'!$DP$52:$GZ$52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645A-49F1-BF0D-96B48EFAB89F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'20-20-60'!$DP$53:$GZ$53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645A-49F1-BF0D-96B48EFAB89F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'20-20-60'!$DP$54:$GZ$54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645A-49F1-BF0D-96B48EFAB89F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'20-20-60'!$DP$55:$GZ$55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645A-49F1-BF0D-96B48EFAB89F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'20-20-60'!$DP$56:$GZ$56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645A-49F1-BF0D-96B48EFAB89F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'20-20-60'!$DP$57:$GZ$57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645A-49F1-BF0D-96B48EFAB89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'20-20-60'!$DP$58:$GZ$58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645A-49F1-BF0D-96B48EFAB89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'20-20-60'!$DP$59:$GZ$59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645A-49F1-BF0D-96B48EFAB89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'20-20-60'!$DP$60:$GZ$60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645A-49F1-BF0D-96B48EFAB89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'20-20-60'!$DP$61:$GZ$61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645A-49F1-BF0D-96B48EFAB89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'20-20-60'!$DP$62:$GZ$62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645A-49F1-BF0D-96B48EFAB89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'20-20-60'!$DO$63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'20-20-60'!$DP$2:$GZ$2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'20-20-60'!$DP$63:$GZ$63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645A-49F1-BF0D-96B48EFAB89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645A-49F1-BF0D-96B48EFAB89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645A-49F1-BF0D-96B48EFAB89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645A-49F1-BF0D-96B48EFAB89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Состав</a:t>
            </a:r>
            <a:r>
              <a:rPr lang="ru-RU" baseline="0"/>
              <a:t> </a:t>
            </a:r>
            <a:r>
              <a:rPr lang="en-US" baseline="0"/>
              <a:t>Ge20Ga20Se60</a:t>
            </a:r>
            <a:endParaRPr lang="ru-RU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247111888433742E-2"/>
          <c:y val="8.6796458311373476E-2"/>
          <c:w val="0.8598171859897823"/>
          <c:h val="0.82232929271634869"/>
        </c:manualLayout>
      </c:layout>
      <c:scatterChart>
        <c:scatterStyle val="smoothMarker"/>
        <c:varyColors val="0"/>
        <c:ser>
          <c:idx val="32"/>
          <c:order val="31"/>
          <c:tx>
            <c:strRef>
              <c:f>'20-20-60'!$A$34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'20-20-60'!$B$34:$CJ$34</c:f>
              <c:numCache>
                <c:formatCode>0.0E+00</c:formatCode>
                <c:ptCount val="87"/>
                <c:pt idx="0">
                  <c:v>1.4885E-9</c:v>
                </c:pt>
                <c:pt idx="1">
                  <c:v>2.6960999999999998E-9</c:v>
                </c:pt>
                <c:pt idx="2">
                  <c:v>6.4316E-9</c:v>
                </c:pt>
                <c:pt idx="3">
                  <c:v>7.9884000000000002E-9</c:v>
                </c:pt>
                <c:pt idx="4">
                  <c:v>1.5031000000000001E-8</c:v>
                </c:pt>
                <c:pt idx="5">
                  <c:v>1.9553E-8</c:v>
                </c:pt>
                <c:pt idx="6">
                  <c:v>2.0324000000000001E-8</c:v>
                </c:pt>
                <c:pt idx="7">
                  <c:v>1.1984999999999999E-8</c:v>
                </c:pt>
                <c:pt idx="8">
                  <c:v>5.9535000000000002E-9</c:v>
                </c:pt>
                <c:pt idx="9">
                  <c:v>2.8796000000000002E-29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E17-4C0F-9B54-BA8F556B773B}"/>
            </c:ext>
          </c:extLst>
        </c:ser>
        <c:ser>
          <c:idx val="33"/>
          <c:order val="32"/>
          <c:tx>
            <c:strRef>
              <c:f>'20-20-60'!$A$35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'20-20-60'!$B$35:$CJ$35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1.3754E-36</c:v>
                </c:pt>
                <c:pt idx="19">
                  <c:v>1.2316E-27</c:v>
                </c:pt>
                <c:pt idx="20">
                  <c:v>9.9036E-20</c:v>
                </c:pt>
                <c:pt idx="21">
                  <c:v>3.6288E-12</c:v>
                </c:pt>
                <c:pt idx="22">
                  <c:v>8.1276000000000003E-7</c:v>
                </c:pt>
                <c:pt idx="23">
                  <c:v>4.5038000000000001E-4</c:v>
                </c:pt>
                <c:pt idx="24">
                  <c:v>3.2380000000000001E-4</c:v>
                </c:pt>
                <c:pt idx="25">
                  <c:v>1.5102E-4</c:v>
                </c:pt>
                <c:pt idx="26">
                  <c:v>7.6592000000000001E-5</c:v>
                </c:pt>
                <c:pt idx="27">
                  <c:v>3.7290999999999999E-5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E17-4C0F-9B54-BA8F556B773B}"/>
            </c:ext>
          </c:extLst>
        </c:ser>
        <c:ser>
          <c:idx val="34"/>
          <c:order val="33"/>
          <c:tx>
            <c:strRef>
              <c:f>'20-20-60'!$A$36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'20-20-60'!$B$36:$CJ$36</c:f>
              <c:numCache>
                <c:formatCode>0.0E+00</c:formatCode>
                <c:ptCount val="87"/>
                <c:pt idx="0">
                  <c:v>0</c:v>
                </c:pt>
                <c:pt idx="1">
                  <c:v>5.3673999999999998E-31</c:v>
                </c:pt>
                <c:pt idx="2">
                  <c:v>8.7909999999999999E-23</c:v>
                </c:pt>
                <c:pt idx="3">
                  <c:v>2.1659000000000001E-19</c:v>
                </c:pt>
                <c:pt idx="4">
                  <c:v>1.5101999999999999E-17</c:v>
                </c:pt>
                <c:pt idx="5">
                  <c:v>8.1085000000000003E-17</c:v>
                </c:pt>
                <c:pt idx="6">
                  <c:v>3.2773E-16</c:v>
                </c:pt>
                <c:pt idx="7">
                  <c:v>4.3337000000000002E-15</c:v>
                </c:pt>
                <c:pt idx="8">
                  <c:v>9.7760999999999991E-13</c:v>
                </c:pt>
                <c:pt idx="9">
                  <c:v>7.1665999999999996E-9</c:v>
                </c:pt>
                <c:pt idx="10">
                  <c:v>9.619E-9</c:v>
                </c:pt>
                <c:pt idx="11">
                  <c:v>1.5732999999999999E-8</c:v>
                </c:pt>
                <c:pt idx="12">
                  <c:v>1.0646999999999999E-8</c:v>
                </c:pt>
                <c:pt idx="13">
                  <c:v>1.1835E-8</c:v>
                </c:pt>
                <c:pt idx="14">
                  <c:v>1.2272000000000001E-8</c:v>
                </c:pt>
                <c:pt idx="15">
                  <c:v>1.2878E-8</c:v>
                </c:pt>
                <c:pt idx="16">
                  <c:v>1.4869000000000001E-8</c:v>
                </c:pt>
                <c:pt idx="17">
                  <c:v>1.3575000000000001E-8</c:v>
                </c:pt>
                <c:pt idx="18">
                  <c:v>3.4117E-8</c:v>
                </c:pt>
                <c:pt idx="19">
                  <c:v>3.8187000000000003E-8</c:v>
                </c:pt>
                <c:pt idx="20">
                  <c:v>2.5558E-8</c:v>
                </c:pt>
                <c:pt idx="21">
                  <c:v>1.9358E-8</c:v>
                </c:pt>
                <c:pt idx="22">
                  <c:v>1.9697E-23</c:v>
                </c:pt>
                <c:pt idx="23">
                  <c:v>1.8587000000000001E-20</c:v>
                </c:pt>
                <c:pt idx="24">
                  <c:v>6.0575999999999994E-20</c:v>
                </c:pt>
                <c:pt idx="25">
                  <c:v>1.5035000000000001E-19</c:v>
                </c:pt>
                <c:pt idx="26">
                  <c:v>3.0188E-19</c:v>
                </c:pt>
                <c:pt idx="27">
                  <c:v>5.5668999999999996E-19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E17-4C0F-9B54-BA8F556B773B}"/>
            </c:ext>
          </c:extLst>
        </c:ser>
        <c:ser>
          <c:idx val="35"/>
          <c:order val="34"/>
          <c:tx>
            <c:strRef>
              <c:f>'20-20-60'!$A$37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'20-20-60'!$B$37:$CJ$37</c:f>
              <c:numCache>
                <c:formatCode>0.0E+00</c:formatCode>
                <c:ptCount val="87"/>
                <c:pt idx="0">
                  <c:v>1.2947999999999999E-9</c:v>
                </c:pt>
                <c:pt idx="1">
                  <c:v>1.9966000000000001E-10</c:v>
                </c:pt>
                <c:pt idx="2">
                  <c:v>1.3767000000000001E-13</c:v>
                </c:pt>
                <c:pt idx="3">
                  <c:v>2.0532000000000002E-21</c:v>
                </c:pt>
                <c:pt idx="4">
                  <c:v>3.1104000000000002E-32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E17-4C0F-9B54-BA8F556B773B}"/>
            </c:ext>
          </c:extLst>
        </c:ser>
        <c:ser>
          <c:idx val="40"/>
          <c:order val="39"/>
          <c:tx>
            <c:strRef>
              <c:f>'20-20-60'!$A$42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'20-20-60'!$B$42:$CJ$42</c:f>
              <c:numCache>
                <c:formatCode>0.0E+00</c:formatCode>
                <c:ptCount val="87"/>
                <c:pt idx="0">
                  <c:v>7.8411999999999996E-2</c:v>
                </c:pt>
                <c:pt idx="1">
                  <c:v>7.3134000000000005E-2</c:v>
                </c:pt>
                <c:pt idx="2">
                  <c:v>5.8986999999999998E-2</c:v>
                </c:pt>
                <c:pt idx="3">
                  <c:v>3.6919E-2</c:v>
                </c:pt>
                <c:pt idx="4">
                  <c:v>1.7676999999999998E-2</c:v>
                </c:pt>
                <c:pt idx="5">
                  <c:v>7.2598999999999997E-3</c:v>
                </c:pt>
                <c:pt idx="6">
                  <c:v>2.8917999999999999E-3</c:v>
                </c:pt>
                <c:pt idx="7">
                  <c:v>1.1887E-3</c:v>
                </c:pt>
                <c:pt idx="8">
                  <c:v>5.1097000000000002E-4</c:v>
                </c:pt>
                <c:pt idx="9">
                  <c:v>9.0981000000000002E-6</c:v>
                </c:pt>
                <c:pt idx="10">
                  <c:v>2.4572E-6</c:v>
                </c:pt>
                <c:pt idx="11">
                  <c:v>6.5054999999999996E-7</c:v>
                </c:pt>
                <c:pt idx="12">
                  <c:v>1.7638E-7</c:v>
                </c:pt>
                <c:pt idx="13">
                  <c:v>4.9921000000000001E-8</c:v>
                </c:pt>
                <c:pt idx="14">
                  <c:v>1.4844E-8</c:v>
                </c:pt>
                <c:pt idx="15">
                  <c:v>4.6448000000000003E-9</c:v>
                </c:pt>
                <c:pt idx="16">
                  <c:v>1.5360000000000001E-9</c:v>
                </c:pt>
                <c:pt idx="17">
                  <c:v>5.4651999999999999E-10</c:v>
                </c:pt>
                <c:pt idx="18">
                  <c:v>1.4317E-11</c:v>
                </c:pt>
                <c:pt idx="19">
                  <c:v>5.8701999999999998E-12</c:v>
                </c:pt>
                <c:pt idx="20">
                  <c:v>2.4643999999999999E-12</c:v>
                </c:pt>
                <c:pt idx="21">
                  <c:v>1.0603E-12</c:v>
                </c:pt>
                <c:pt idx="22">
                  <c:v>4.7526999999999995E-13</c:v>
                </c:pt>
                <c:pt idx="23">
                  <c:v>3.0937000000000002E-14</c:v>
                </c:pt>
                <c:pt idx="24">
                  <c:v>1.5379E-14</c:v>
                </c:pt>
                <c:pt idx="25">
                  <c:v>7.7425999999999992E-15</c:v>
                </c:pt>
                <c:pt idx="26">
                  <c:v>3.9498999999999998E-15</c:v>
                </c:pt>
                <c:pt idx="27">
                  <c:v>2.0417E-15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E17-4C0F-9B54-BA8F556B773B}"/>
            </c:ext>
          </c:extLst>
        </c:ser>
        <c:ser>
          <c:idx val="41"/>
          <c:order val="40"/>
          <c:tx>
            <c:strRef>
              <c:f>'20-20-60'!$A$43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'20-20-60'!$B$43:$CJ$43</c:f>
              <c:numCache>
                <c:formatCode>0.0E+00</c:formatCode>
                <c:ptCount val="87"/>
                <c:pt idx="0">
                  <c:v>8.1587000000000007E-2</c:v>
                </c:pt>
                <c:pt idx="1">
                  <c:v>8.6863999999999997E-2</c:v>
                </c:pt>
                <c:pt idx="2">
                  <c:v>0.10101</c:v>
                </c:pt>
                <c:pt idx="3">
                  <c:v>0.12306</c:v>
                </c:pt>
                <c:pt idx="4">
                  <c:v>0.14222000000000001</c:v>
                </c:pt>
                <c:pt idx="5">
                  <c:v>0.15229999999999999</c:v>
                </c:pt>
                <c:pt idx="6">
                  <c:v>0.15537999999999999</c:v>
                </c:pt>
                <c:pt idx="7">
                  <c:v>0.15296000000000001</c:v>
                </c:pt>
                <c:pt idx="8">
                  <c:v>0.14297000000000001</c:v>
                </c:pt>
                <c:pt idx="9">
                  <c:v>3.1546999999999999E-2</c:v>
                </c:pt>
                <c:pt idx="10">
                  <c:v>1.5650000000000001E-2</c:v>
                </c:pt>
                <c:pt idx="11">
                  <c:v>7.5123999999999998E-3</c:v>
                </c:pt>
                <c:pt idx="12">
                  <c:v>3.6213999999999999E-3</c:v>
                </c:pt>
                <c:pt idx="13">
                  <c:v>1.7830999999999999E-3</c:v>
                </c:pt>
                <c:pt idx="14">
                  <c:v>9.0233000000000002E-4</c:v>
                </c:pt>
                <c:pt idx="15">
                  <c:v>4.7019E-4</c:v>
                </c:pt>
                <c:pt idx="16">
                  <c:v>2.5291000000000002E-4</c:v>
                </c:pt>
                <c:pt idx="17">
                  <c:v>1.4166E-4</c:v>
                </c:pt>
                <c:pt idx="18">
                  <c:v>1.8465E-5</c:v>
                </c:pt>
                <c:pt idx="19">
                  <c:v>1.1285E-5</c:v>
                </c:pt>
                <c:pt idx="20">
                  <c:v>6.9963999999999996E-6</c:v>
                </c:pt>
                <c:pt idx="21">
                  <c:v>4.4017999999999999E-6</c:v>
                </c:pt>
                <c:pt idx="22">
                  <c:v>2.8312999999999999E-6</c:v>
                </c:pt>
                <c:pt idx="23">
                  <c:v>6.1798000000000003E-7</c:v>
                </c:pt>
                <c:pt idx="24">
                  <c:v>4.2137000000000002E-7</c:v>
                </c:pt>
                <c:pt idx="25">
                  <c:v>2.8955E-7</c:v>
                </c:pt>
                <c:pt idx="26">
                  <c:v>2.0053999999999999E-7</c:v>
                </c:pt>
                <c:pt idx="27">
                  <c:v>1.3997E-7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E17-4C0F-9B54-BA8F556B773B}"/>
            </c:ext>
          </c:extLst>
        </c:ser>
        <c:ser>
          <c:idx val="42"/>
          <c:order val="41"/>
          <c:tx>
            <c:strRef>
              <c:f>'20-20-60'!$A$44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'20-20-60'!$B$44:$CJ$44</c:f>
              <c:numCache>
                <c:formatCode>0.0E+00</c:formatCode>
                <c:ptCount val="87"/>
                <c:pt idx="0">
                  <c:v>3.5750999999999998E-2</c:v>
                </c:pt>
                <c:pt idx="1">
                  <c:v>3.6387000000000003E-2</c:v>
                </c:pt>
                <c:pt idx="2">
                  <c:v>3.8006999999999999E-2</c:v>
                </c:pt>
                <c:pt idx="3">
                  <c:v>4.0307999999999997E-2</c:v>
                </c:pt>
                <c:pt idx="4">
                  <c:v>4.2123000000000001E-2</c:v>
                </c:pt>
                <c:pt idx="5">
                  <c:v>4.3063999999999998E-2</c:v>
                </c:pt>
                <c:pt idx="6">
                  <c:v>4.3540000000000002E-2</c:v>
                </c:pt>
                <c:pt idx="7">
                  <c:v>4.4018000000000002E-2</c:v>
                </c:pt>
                <c:pt idx="8">
                  <c:v>4.4913000000000002E-2</c:v>
                </c:pt>
                <c:pt idx="9">
                  <c:v>5.1853000000000003E-2</c:v>
                </c:pt>
                <c:pt idx="10">
                  <c:v>5.2618999999999999E-2</c:v>
                </c:pt>
                <c:pt idx="11">
                  <c:v>5.2995E-2</c:v>
                </c:pt>
                <c:pt idx="12">
                  <c:v>5.3170000000000002E-2</c:v>
                </c:pt>
                <c:pt idx="13">
                  <c:v>5.3247000000000003E-2</c:v>
                </c:pt>
                <c:pt idx="14">
                  <c:v>5.3247999999999997E-2</c:v>
                </c:pt>
                <c:pt idx="15">
                  <c:v>5.3064E-2</c:v>
                </c:pt>
                <c:pt idx="16">
                  <c:v>5.2088000000000002E-2</c:v>
                </c:pt>
                <c:pt idx="17">
                  <c:v>4.8049000000000001E-2</c:v>
                </c:pt>
                <c:pt idx="18">
                  <c:v>2.0374E-3</c:v>
                </c:pt>
                <c:pt idx="19">
                  <c:v>5.976E-4</c:v>
                </c:pt>
                <c:pt idx="20">
                  <c:v>1.7788E-4</c:v>
                </c:pt>
                <c:pt idx="21">
                  <c:v>5.4218000000000002E-5</c:v>
                </c:pt>
                <c:pt idx="22">
                  <c:v>1.6365999999999999E-5</c:v>
                </c:pt>
                <c:pt idx="23">
                  <c:v>1.0673000000000001E-8</c:v>
                </c:pt>
                <c:pt idx="24">
                  <c:v>1.8103E-9</c:v>
                </c:pt>
                <c:pt idx="25">
                  <c:v>3.2268000000000002E-10</c:v>
                </c:pt>
                <c:pt idx="26">
                  <c:v>6.0386000000000002E-11</c:v>
                </c:pt>
                <c:pt idx="27">
                  <c:v>1.184E-11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E17-4C0F-9B54-BA8F556B773B}"/>
            </c:ext>
          </c:extLst>
        </c:ser>
        <c:ser>
          <c:idx val="43"/>
          <c:order val="42"/>
          <c:tx>
            <c:strRef>
              <c:f>'20-20-60'!$A$45</c:f>
              <c:strCache>
                <c:ptCount val="1"/>
                <c:pt idx="0">
                  <c:v>(l)Ga2Se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'20-20-60'!$B$45:$CJ$45</c:f>
              <c:numCache>
                <c:formatCode>0.0E+00</c:formatCode>
                <c:ptCount val="87"/>
                <c:pt idx="0">
                  <c:v>2.3397999999999999E-28</c:v>
                </c:pt>
                <c:pt idx="1">
                  <c:v>2.0742E-26</c:v>
                </c:pt>
                <c:pt idx="2">
                  <c:v>1.6841000000000001E-24</c:v>
                </c:pt>
                <c:pt idx="3">
                  <c:v>1.5773E-22</c:v>
                </c:pt>
                <c:pt idx="4">
                  <c:v>1.5151E-20</c:v>
                </c:pt>
                <c:pt idx="5">
                  <c:v>1.1999000000000001E-18</c:v>
                </c:pt>
                <c:pt idx="6">
                  <c:v>6.8945999999999997E-17</c:v>
                </c:pt>
                <c:pt idx="7">
                  <c:v>2.7437E-15</c:v>
                </c:pt>
                <c:pt idx="8">
                  <c:v>7.4413999999999995E-14</c:v>
                </c:pt>
                <c:pt idx="9">
                  <c:v>2.9067999999999999E-9</c:v>
                </c:pt>
                <c:pt idx="10">
                  <c:v>2.8701E-8</c:v>
                </c:pt>
                <c:pt idx="11">
                  <c:v>2.5057E-7</c:v>
                </c:pt>
                <c:pt idx="12">
                  <c:v>1.9350000000000001E-6</c:v>
                </c:pt>
                <c:pt idx="13">
                  <c:v>1.3294E-5</c:v>
                </c:pt>
                <c:pt idx="14">
                  <c:v>8.1879999999999995E-5</c:v>
                </c:pt>
                <c:pt idx="15">
                  <c:v>4.5427999999999999E-4</c:v>
                </c:pt>
                <c:pt idx="16">
                  <c:v>2.2480999999999998E-3</c:v>
                </c:pt>
                <c:pt idx="17">
                  <c:v>9.3439000000000005E-3</c:v>
                </c:pt>
                <c:pt idx="18">
                  <c:v>7.2410000000000002E-2</c:v>
                </c:pt>
                <c:pt idx="19">
                  <c:v>7.1666999999999995E-2</c:v>
                </c:pt>
                <c:pt idx="20">
                  <c:v>6.8749000000000005E-2</c:v>
                </c:pt>
                <c:pt idx="21">
                  <c:v>6.4551999999999998E-2</c:v>
                </c:pt>
                <c:pt idx="22">
                  <c:v>5.6475999999999998E-2</c:v>
                </c:pt>
                <c:pt idx="23">
                  <c:v>1.3301000000000001E-3</c:v>
                </c:pt>
                <c:pt idx="24">
                  <c:v>5.4418000000000001E-4</c:v>
                </c:pt>
                <c:pt idx="25">
                  <c:v>2.2824999999999999E-4</c:v>
                </c:pt>
                <c:pt idx="26">
                  <c:v>9.8068999999999999E-5</c:v>
                </c:pt>
                <c:pt idx="27">
                  <c:v>4.3111000000000001E-5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8E17-4C0F-9B54-BA8F556B773B}"/>
            </c:ext>
          </c:extLst>
        </c:ser>
        <c:ser>
          <c:idx val="44"/>
          <c:order val="43"/>
          <c:tx>
            <c:strRef>
              <c:f>'20-20-60'!$A$46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'20-20-60'!$B$46:$CJ$46</c:f>
              <c:numCache>
                <c:formatCode>0.0E+00</c:formatCode>
                <c:ptCount val="87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8E17-4C0F-9B54-BA8F556B773B}"/>
            </c:ext>
          </c:extLst>
        </c:ser>
        <c:ser>
          <c:idx val="45"/>
          <c:order val="44"/>
          <c:tx>
            <c:strRef>
              <c:f>'20-20-60'!$A$47</c:f>
              <c:strCache>
                <c:ptCount val="1"/>
                <c:pt idx="0">
                  <c:v>(l)Ga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'20-20-60'!$B$47:$CJ$47</c:f>
              <c:numCache>
                <c:formatCode>0.0E+00</c:formatCode>
                <c:ptCount val="87"/>
                <c:pt idx="0">
                  <c:v>4.0423000000000001E-28</c:v>
                </c:pt>
                <c:pt idx="1">
                  <c:v>3.3478E-26</c:v>
                </c:pt>
                <c:pt idx="2">
                  <c:v>2.3753E-24</c:v>
                </c:pt>
                <c:pt idx="3">
                  <c:v>1.739E-22</c:v>
                </c:pt>
                <c:pt idx="4">
                  <c:v>1.1968000000000001E-20</c:v>
                </c:pt>
                <c:pt idx="5">
                  <c:v>6.5977999999999999E-19</c:v>
                </c:pt>
                <c:pt idx="6">
                  <c:v>2.6876000000000001E-17</c:v>
                </c:pt>
                <c:pt idx="7">
                  <c:v>7.9278000000000004E-16</c:v>
                </c:pt>
                <c:pt idx="8">
                  <c:v>1.6945000000000001E-14</c:v>
                </c:pt>
                <c:pt idx="9">
                  <c:v>3.7249000000000002E-10</c:v>
                </c:pt>
                <c:pt idx="10">
                  <c:v>3.1746000000000002E-9</c:v>
                </c:pt>
                <c:pt idx="11">
                  <c:v>2.3831E-8</c:v>
                </c:pt>
                <c:pt idx="12">
                  <c:v>1.5837999999999999E-7</c:v>
                </c:pt>
                <c:pt idx="13">
                  <c:v>9.3872999999999999E-7</c:v>
                </c:pt>
                <c:pt idx="14">
                  <c:v>5.0003999999999996E-6</c:v>
                </c:pt>
                <c:pt idx="15">
                  <c:v>2.4079000000000001E-5</c:v>
                </c:pt>
                <c:pt idx="16">
                  <c:v>1.0474E-4</c:v>
                </c:pt>
                <c:pt idx="17">
                  <c:v>4.0225999999999999E-4</c:v>
                </c:pt>
                <c:pt idx="18">
                  <c:v>9.8355999999999999E-3</c:v>
                </c:pt>
                <c:pt idx="19">
                  <c:v>1.5105E-2</c:v>
                </c:pt>
                <c:pt idx="20">
                  <c:v>2.2039E-2</c:v>
                </c:pt>
                <c:pt idx="21">
                  <c:v>3.0755000000000001E-2</c:v>
                </c:pt>
                <c:pt idx="22">
                  <c:v>3.986E-2</c:v>
                </c:pt>
                <c:pt idx="23">
                  <c:v>1.4336E-2</c:v>
                </c:pt>
                <c:pt idx="24">
                  <c:v>1.0671E-2</c:v>
                </c:pt>
                <c:pt idx="25">
                  <c:v>7.8063999999999998E-3</c:v>
                </c:pt>
                <c:pt idx="26">
                  <c:v>5.6091999999999999E-3</c:v>
                </c:pt>
                <c:pt idx="27">
                  <c:v>3.9562E-3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8E17-4C0F-9B54-BA8F556B773B}"/>
            </c:ext>
          </c:extLst>
        </c:ser>
        <c:ser>
          <c:idx val="46"/>
          <c:order val="45"/>
          <c:tx>
            <c:strRef>
              <c:f>'20-20-60'!$A$48</c:f>
              <c:strCache>
                <c:ptCount val="1"/>
                <c:pt idx="0">
                  <c:v>(l)Se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'20-20-60'!$B$48:$CJ$48</c:f>
              <c:numCache>
                <c:formatCode>0.0E+00</c:formatCode>
                <c:ptCount val="87"/>
                <c:pt idx="0">
                  <c:v>1.8857999999999998E-9</c:v>
                </c:pt>
                <c:pt idx="1">
                  <c:v>6.4452999999999997E-9</c:v>
                </c:pt>
                <c:pt idx="2">
                  <c:v>1.5402999999999999E-8</c:v>
                </c:pt>
                <c:pt idx="3">
                  <c:v>2.4473E-8</c:v>
                </c:pt>
                <c:pt idx="4">
                  <c:v>2.7333000000000001E-8</c:v>
                </c:pt>
                <c:pt idx="5">
                  <c:v>2.4652000000000001E-8</c:v>
                </c:pt>
                <c:pt idx="6">
                  <c:v>2.0415999999999999E-8</c:v>
                </c:pt>
                <c:pt idx="7">
                  <c:v>1.6866E-8</c:v>
                </c:pt>
                <c:pt idx="8">
                  <c:v>1.4732000000000001E-8</c:v>
                </c:pt>
                <c:pt idx="9">
                  <c:v>1.2278000000000001E-8</c:v>
                </c:pt>
                <c:pt idx="10">
                  <c:v>1.0916E-8</c:v>
                </c:pt>
                <c:pt idx="11">
                  <c:v>9.3466000000000008E-9</c:v>
                </c:pt>
                <c:pt idx="12">
                  <c:v>7.8566000000000004E-9</c:v>
                </c:pt>
                <c:pt idx="13">
                  <c:v>6.5510999999999998E-9</c:v>
                </c:pt>
                <c:pt idx="14">
                  <c:v>5.4476999999999997E-9</c:v>
                </c:pt>
                <c:pt idx="15">
                  <c:v>4.5377000000000002E-9</c:v>
                </c:pt>
                <c:pt idx="16">
                  <c:v>3.8261000000000003E-9</c:v>
                </c:pt>
                <c:pt idx="17">
                  <c:v>3.3694E-9</c:v>
                </c:pt>
                <c:pt idx="18">
                  <c:v>2.4995999999999999E-9</c:v>
                </c:pt>
                <c:pt idx="19">
                  <c:v>2.1214000000000001E-9</c:v>
                </c:pt>
                <c:pt idx="20">
                  <c:v>1.7939E-9</c:v>
                </c:pt>
                <c:pt idx="21">
                  <c:v>1.5189E-9</c:v>
                </c:pt>
                <c:pt idx="22">
                  <c:v>1.2981999999999999E-9</c:v>
                </c:pt>
                <c:pt idx="23">
                  <c:v>7.3192999999999997E-10</c:v>
                </c:pt>
                <c:pt idx="24">
                  <c:v>6.1770000000000005E-10</c:v>
                </c:pt>
                <c:pt idx="25">
                  <c:v>5.2130000000000005E-10</c:v>
                </c:pt>
                <c:pt idx="26">
                  <c:v>4.4019999999999999E-10</c:v>
                </c:pt>
                <c:pt idx="27">
                  <c:v>3.7200000000000001E-10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E17-4C0F-9B54-BA8F556B773B}"/>
            </c:ext>
          </c:extLst>
        </c:ser>
        <c:ser>
          <c:idx val="47"/>
          <c:order val="46"/>
          <c:tx>
            <c:strRef>
              <c:f>'20-20-60'!$A$49</c:f>
              <c:strCache>
                <c:ptCount val="1"/>
                <c:pt idx="0">
                  <c:v>(l)Se[a]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'20-20-60'!$B$49:$CJ$49</c:f>
              <c:numCache>
                <c:formatCode>0.0E+00</c:formatCode>
                <c:ptCount val="87"/>
                <c:pt idx="0">
                  <c:v>4.3467000000000001E-10</c:v>
                </c:pt>
                <c:pt idx="1">
                  <c:v>1.7279E-9</c:v>
                </c:pt>
                <c:pt idx="2">
                  <c:v>4.7159000000000002E-9</c:v>
                </c:pt>
                <c:pt idx="3">
                  <c:v>8.4282000000000003E-9</c:v>
                </c:pt>
                <c:pt idx="4">
                  <c:v>1.0452999999999999E-8</c:v>
                </c:pt>
                <c:pt idx="5">
                  <c:v>1.0357999999999999E-8</c:v>
                </c:pt>
                <c:pt idx="6">
                  <c:v>9.3366999999999998E-9</c:v>
                </c:pt>
                <c:pt idx="7">
                  <c:v>8.3278999999999997E-9</c:v>
                </c:pt>
                <c:pt idx="8">
                  <c:v>7.7996000000000002E-9</c:v>
                </c:pt>
                <c:pt idx="9">
                  <c:v>7.6445999999999998E-9</c:v>
                </c:pt>
                <c:pt idx="10">
                  <c:v>6.7225000000000003E-9</c:v>
                </c:pt>
                <c:pt idx="11">
                  <c:v>5.6904999999999997E-9</c:v>
                </c:pt>
                <c:pt idx="12">
                  <c:v>4.7269000000000003E-9</c:v>
                </c:pt>
                <c:pt idx="13">
                  <c:v>3.8939000000000004E-9</c:v>
                </c:pt>
                <c:pt idx="14">
                  <c:v>3.1985000000000001E-9</c:v>
                </c:pt>
                <c:pt idx="15">
                  <c:v>2.6313999999999998E-9</c:v>
                </c:pt>
                <c:pt idx="16">
                  <c:v>2.1913000000000001E-9</c:v>
                </c:pt>
                <c:pt idx="17">
                  <c:v>1.9058999999999998E-9</c:v>
                </c:pt>
                <c:pt idx="18">
                  <c:v>1.3460999999999999E-9</c:v>
                </c:pt>
                <c:pt idx="19">
                  <c:v>1.1288000000000001E-9</c:v>
                </c:pt>
                <c:pt idx="20">
                  <c:v>9.432100000000001E-10</c:v>
                </c:pt>
                <c:pt idx="21">
                  <c:v>7.8925000000000004E-10</c:v>
                </c:pt>
                <c:pt idx="22">
                  <c:v>6.6673000000000003E-10</c:v>
                </c:pt>
                <c:pt idx="23">
                  <c:v>3.5906999999999998E-10</c:v>
                </c:pt>
                <c:pt idx="24">
                  <c:v>2.9964999999999999E-10</c:v>
                </c:pt>
                <c:pt idx="25">
                  <c:v>2.5007999999999998E-10</c:v>
                </c:pt>
                <c:pt idx="26">
                  <c:v>2.0885000000000001E-10</c:v>
                </c:pt>
                <c:pt idx="27">
                  <c:v>1.7455999999999999E-10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E17-4C0F-9B54-BA8F556B773B}"/>
            </c:ext>
          </c:extLst>
        </c:ser>
        <c:ser>
          <c:idx val="50"/>
          <c:order val="49"/>
          <c:tx>
            <c:strRef>
              <c:f>'20-20-60'!$A$52</c:f>
              <c:strCache>
                <c:ptCount val="1"/>
                <c:pt idx="0">
                  <c:v>(l)Ge[c]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'20-20-60'!$B$52:$CJ$52</c:f>
              <c:numCache>
                <c:formatCode>0.0E+00</c:formatCode>
                <c:ptCount val="87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E17-4C0F-9B54-BA8F556B773B}"/>
            </c:ext>
          </c:extLst>
        </c:ser>
        <c:ser>
          <c:idx val="51"/>
          <c:order val="50"/>
          <c:tx>
            <c:strRef>
              <c:f>'20-20-60'!$A$53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'20-20-60'!$B$53:$CJ$53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8.4594000000000007E-30</c:v>
                </c:pt>
                <c:pt idx="19">
                  <c:v>5.8909000000000003E-22</c:v>
                </c:pt>
                <c:pt idx="20">
                  <c:v>6.6172000000000003E-15</c:v>
                </c:pt>
                <c:pt idx="21">
                  <c:v>3.8591999999999999E-8</c:v>
                </c:pt>
                <c:pt idx="22">
                  <c:v>7.1447999999999998E-3</c:v>
                </c:pt>
                <c:pt idx="23">
                  <c:v>0.14255000000000001</c:v>
                </c:pt>
                <c:pt idx="24">
                  <c:v>0.14792</c:v>
                </c:pt>
                <c:pt idx="25">
                  <c:v>0.15159</c:v>
                </c:pt>
                <c:pt idx="26">
                  <c:v>0.15412000000000001</c:v>
                </c:pt>
                <c:pt idx="27">
                  <c:v>0.15592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E17-4C0F-9B54-BA8F556B773B}"/>
            </c:ext>
          </c:extLst>
        </c:ser>
        <c:ser>
          <c:idx val="52"/>
          <c:order val="51"/>
          <c:tx>
            <c:strRef>
              <c:f>'20-20-60'!$A$54</c:f>
              <c:strCache>
                <c:ptCount val="1"/>
                <c:pt idx="0">
                  <c:v>(3)Ge[l]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'20-20-60'!$B$54:$CJ$54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9.4355000000000004E-31</c:v>
                </c:pt>
                <c:pt idx="19">
                  <c:v>4.2505999999999999E-23</c:v>
                </c:pt>
                <c:pt idx="20">
                  <c:v>3.1832999999999999E-16</c:v>
                </c:pt>
                <c:pt idx="21">
                  <c:v>1.2669E-9</c:v>
                </c:pt>
                <c:pt idx="22">
                  <c:v>1.6851E-4</c:v>
                </c:pt>
                <c:pt idx="23">
                  <c:v>5.4868E-3</c:v>
                </c:pt>
                <c:pt idx="24">
                  <c:v>6.352E-3</c:v>
                </c:pt>
                <c:pt idx="25">
                  <c:v>7.2240000000000004E-3</c:v>
                </c:pt>
                <c:pt idx="26">
                  <c:v>8.1103000000000008E-3</c:v>
                </c:pt>
                <c:pt idx="27">
                  <c:v>9.0189999999999992E-3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8E17-4C0F-9B54-BA8F556B773B}"/>
            </c:ext>
          </c:extLst>
        </c:ser>
        <c:ser>
          <c:idx val="62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8E17-4C0F-9B54-BA8F556B773B}"/>
            </c:ext>
          </c:extLst>
        </c:ser>
        <c:ser>
          <c:idx val="63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E17-4C0F-9B54-BA8F556B773B}"/>
            </c:ext>
          </c:extLst>
        </c:ser>
        <c:ser>
          <c:idx val="64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8E17-4C0F-9B54-BA8F556B773B}"/>
            </c:ext>
          </c:extLst>
        </c:ser>
        <c:ser>
          <c:idx val="65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8E17-4C0F-9B54-BA8F556B773B}"/>
            </c:ext>
          </c:extLst>
        </c:ser>
        <c:ser>
          <c:idx val="66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8E17-4C0F-9B54-BA8F556B773B}"/>
            </c:ext>
          </c:extLst>
        </c:ser>
        <c:ser>
          <c:idx val="67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4-8E17-4C0F-9B54-BA8F556B773B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8E17-4C0F-9B54-BA8F556B773B}"/>
            </c:ext>
          </c:extLst>
        </c:ser>
        <c:ser>
          <c:idx val="68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8E17-4C0F-9B54-BA8F556B773B}"/>
            </c:ext>
          </c:extLst>
        </c:ser>
        <c:ser>
          <c:idx val="69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770</c:v>
                </c:pt>
                <c:pt idx="1">
                  <c:v>770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8E17-4C0F-9B54-BA8F556B773B}"/>
            </c:ext>
          </c:extLst>
        </c:ser>
        <c:ser>
          <c:idx val="70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8E17-4C0F-9B54-BA8F556B773B}"/>
            </c:ext>
          </c:extLst>
        </c:ser>
        <c:ser>
          <c:idx val="71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8E17-4C0F-9B54-BA8F556B7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'20-20-60'!$A$3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'20-20-60'!$B$3:$CJ$3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B-8E17-4C0F-9B54-BA8F556B773B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'20-20-60'!$B$4:$CJ$4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9.1824000000000003E-3</c:v>
                      </c:pt>
                      <c:pt idx="10">
                        <c:v>3.6989000000000001E-9</c:v>
                      </c:pt>
                      <c:pt idx="11">
                        <c:v>1.1703000000000001E-10</c:v>
                      </c:pt>
                      <c:pt idx="12">
                        <c:v>2.5212E-11</c:v>
                      </c:pt>
                      <c:pt idx="13">
                        <c:v>8.4148999999999998E-13</c:v>
                      </c:pt>
                      <c:pt idx="14">
                        <c:v>1.4323E-22</c:v>
                      </c:pt>
                      <c:pt idx="15">
                        <c:v>2.0447000000000001E-27</c:v>
                      </c:pt>
                      <c:pt idx="16">
                        <c:v>1.1809E-32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E17-4C0F-9B54-BA8F556B773B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'20-20-60'!$B$5:$CJ$5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1.5319E-30</c:v>
                      </c:pt>
                      <c:pt idx="15">
                        <c:v>1.2594999999999999E-26</c:v>
                      </c:pt>
                      <c:pt idx="16">
                        <c:v>8.6149000000000006E-22</c:v>
                      </c:pt>
                      <c:pt idx="17">
                        <c:v>0</c:v>
                      </c:pt>
                      <c:pt idx="18">
                        <c:v>2.6909999999999999E-17</c:v>
                      </c:pt>
                      <c:pt idx="19" formatCode="General">
                        <c:v>3.8658999999999999E-16</c:v>
                      </c:pt>
                      <c:pt idx="20" formatCode="General">
                        <c:v>1.6123E-10</c:v>
                      </c:pt>
                      <c:pt idx="21" formatCode="General">
                        <c:v>3.8103000000000002E-7</c:v>
                      </c:pt>
                      <c:pt idx="22" formatCode="General">
                        <c:v>2.5778999999999998E-7</c:v>
                      </c:pt>
                      <c:pt idx="23" formatCode="General">
                        <c:v>5.6702E-8</c:v>
                      </c:pt>
                      <c:pt idx="24" formatCode="General">
                        <c:v>4.6037999999999998E-8</c:v>
                      </c:pt>
                      <c:pt idx="25" formatCode="General">
                        <c:v>3.0519999999999998E-8</c:v>
                      </c:pt>
                      <c:pt idx="26" formatCode="General">
                        <c:v>1.0039E-9</c:v>
                      </c:pt>
                      <c:pt idx="27" formatCode="General">
                        <c:v>3.0519999999999998E-8</c:v>
                      </c:pt>
                      <c:pt idx="28" formatCode="General">
                        <c:v>1.0039E-9</c:v>
                      </c:pt>
                      <c:pt idx="29" formatCode="General">
                        <c:v>3.4799000000000001E-16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E17-4C0F-9B54-BA8F556B773B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>
                    <a:solidFill>
                      <a:schemeClr val="accent6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'20-20-60'!$B$6:$CJ$6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1.5241999999999999E-19</c:v>
                      </c:pt>
                      <c:pt idx="15">
                        <c:v>4.1139000000000001E-15</c:v>
                      </c:pt>
                      <c:pt idx="16">
                        <c:v>9.6581E-10</c:v>
                      </c:pt>
                      <c:pt idx="17">
                        <c:v>9.2078000000000004E-3</c:v>
                      </c:pt>
                      <c:pt idx="18">
                        <c:v>6.4236000000000001E-2</c:v>
                      </c:pt>
                      <c:pt idx="19" formatCode="General">
                        <c:v>7.5584999999999999E-2</c:v>
                      </c:pt>
                      <c:pt idx="20" formatCode="General">
                        <c:v>2.9709999999999998E-7</c:v>
                      </c:pt>
                      <c:pt idx="21" formatCode="General">
                        <c:v>1.8911999999999999E-20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E17-4C0F-9B54-BA8F556B773B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'20-20-60'!$B$7:$CJ$7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E17-4C0F-9B54-BA8F556B773B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'20-20-60'!$B$8:$CJ$8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8.5697999999999999E-23</c:v>
                      </c:pt>
                      <c:pt idx="1">
                        <c:v>1.3693E-15</c:v>
                      </c:pt>
                      <c:pt idx="2">
                        <c:v>7.2793000000000001E-11</c:v>
                      </c:pt>
                      <c:pt idx="3">
                        <c:v>2.1086999999999999E-8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0.23082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0.25841999999999998</c:v>
                      </c:pt>
                      <c:pt idx="18">
                        <c:v>0.36847000000000002</c:v>
                      </c:pt>
                      <c:pt idx="19" formatCode="General">
                        <c:v>0.39117000000000002</c:v>
                      </c:pt>
                      <c:pt idx="20" formatCode="General">
                        <c:v>0.47654000000000002</c:v>
                      </c:pt>
                      <c:pt idx="21" formatCode="General">
                        <c:v>0.47964000000000001</c:v>
                      </c:pt>
                      <c:pt idx="22" formatCode="General">
                        <c:v>0.47996</c:v>
                      </c:pt>
                      <c:pt idx="23" formatCode="General">
                        <c:v>0.48</c:v>
                      </c:pt>
                      <c:pt idx="24" formatCode="General">
                        <c:v>0.48</c:v>
                      </c:pt>
                      <c:pt idx="25" formatCode="General">
                        <c:v>0.48</c:v>
                      </c:pt>
                      <c:pt idx="26" formatCode="General">
                        <c:v>0.48</c:v>
                      </c:pt>
                      <c:pt idx="27" formatCode="General">
                        <c:v>0.48</c:v>
                      </c:pt>
                      <c:pt idx="28" formatCode="General">
                        <c:v>0.48</c:v>
                      </c:pt>
                      <c:pt idx="29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E17-4C0F-9B54-BA8F556B773B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'20-20-60'!$B$9:$CJ$9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5.4299999999999997E-9</c:v>
                      </c:pt>
                      <c:pt idx="5">
                        <c:v>1.8601000000000001E-17</c:v>
                      </c:pt>
                      <c:pt idx="6">
                        <c:v>2.9511000000000003E-20</c:v>
                      </c:pt>
                      <c:pt idx="7">
                        <c:v>2.0618999999999998E-33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E17-4C0F-9B54-BA8F556B773B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E17-4C0F-9B54-BA8F556B773B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E17-4C0F-9B54-BA8F556B773B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E17-4C0F-9B54-BA8F556B773B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'20-20-60'!$B$13:$CJ$13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1.3168999999999999E-31</c:v>
                      </c:pt>
                      <c:pt idx="12">
                        <c:v>1.7224E-23</c:v>
                      </c:pt>
                      <c:pt idx="13">
                        <c:v>8.3048000000000002E-20</c:v>
                      </c:pt>
                      <c:pt idx="14">
                        <c:v>3.9772E-13</c:v>
                      </c:pt>
                      <c:pt idx="15">
                        <c:v>1.4622999999999999E-12</c:v>
                      </c:pt>
                      <c:pt idx="16">
                        <c:v>4.5785E-11</c:v>
                      </c:pt>
                      <c:pt idx="17">
                        <c:v>0</c:v>
                      </c:pt>
                      <c:pt idx="18">
                        <c:v>2.8389000000000002E-9</c:v>
                      </c:pt>
                      <c:pt idx="19" formatCode="General">
                        <c:v>3.8255000000000001E-8</c:v>
                      </c:pt>
                      <c:pt idx="20" formatCode="General">
                        <c:v>0.15769</c:v>
                      </c:pt>
                      <c:pt idx="21" formatCode="General">
                        <c:v>0.15976000000000001</c:v>
                      </c:pt>
                      <c:pt idx="22" formatCode="General">
                        <c:v>0.15997</c:v>
                      </c:pt>
                      <c:pt idx="23" formatCode="General">
                        <c:v>0.16</c:v>
                      </c:pt>
                      <c:pt idx="24" formatCode="General">
                        <c:v>0.16</c:v>
                      </c:pt>
                      <c:pt idx="25" formatCode="General">
                        <c:v>0.16</c:v>
                      </c:pt>
                      <c:pt idx="26" formatCode="General">
                        <c:v>0.16</c:v>
                      </c:pt>
                      <c:pt idx="27" formatCode="General">
                        <c:v>0.16</c:v>
                      </c:pt>
                      <c:pt idx="28" formatCode="General">
                        <c:v>0.16</c:v>
                      </c:pt>
                      <c:pt idx="29" formatCode="General">
                        <c:v>0.16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E17-4C0F-9B54-BA8F556B773B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'20-20-60'!$B$14:$CJ$14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3.7209000000000002E-35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1.9468E-26</c:v>
                      </c:pt>
                      <c:pt idx="12">
                        <c:v>4.6849999999999995E-19</c:v>
                      </c:pt>
                      <c:pt idx="13">
                        <c:v>4.5680000000000005E-16</c:v>
                      </c:pt>
                      <c:pt idx="14">
                        <c:v>8.0088000000000004E-12</c:v>
                      </c:pt>
                      <c:pt idx="15">
                        <c:v>8.5293E-12</c:v>
                      </c:pt>
                      <c:pt idx="16">
                        <c:v>8.1495999999999994E-11</c:v>
                      </c:pt>
                      <c:pt idx="17">
                        <c:v>0</c:v>
                      </c:pt>
                      <c:pt idx="18">
                        <c:v>1.0850000000000001E-9</c:v>
                      </c:pt>
                      <c:pt idx="19" formatCode="General">
                        <c:v>9.4720000000000004E-9</c:v>
                      </c:pt>
                      <c:pt idx="20" formatCode="General">
                        <c:v>2.7789000000000001E-2</c:v>
                      </c:pt>
                      <c:pt idx="21" formatCode="General">
                        <c:v>3.3133000000000003E-2</c:v>
                      </c:pt>
                      <c:pt idx="22" formatCode="General">
                        <c:v>3.8913999999999997E-2</c:v>
                      </c:pt>
                      <c:pt idx="23" formatCode="General">
                        <c:v>7.2328000000000003E-2</c:v>
                      </c:pt>
                      <c:pt idx="24" formatCode="General">
                        <c:v>8.4408999999999998E-2</c:v>
                      </c:pt>
                      <c:pt idx="25" formatCode="General">
                        <c:v>9.8666000000000004E-2</c:v>
                      </c:pt>
                      <c:pt idx="26" formatCode="General">
                        <c:v>0.11561</c:v>
                      </c:pt>
                      <c:pt idx="27" formatCode="General">
                        <c:v>9.8666000000000004E-2</c:v>
                      </c:pt>
                      <c:pt idx="28" formatCode="General">
                        <c:v>0.11561</c:v>
                      </c:pt>
                      <c:pt idx="29" formatCode="General">
                        <c:v>0.13605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E17-4C0F-9B54-BA8F556B773B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E17-4C0F-9B54-BA8F556B773B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E17-4C0F-9B54-BA8F556B773B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E17-4C0F-9B54-BA8F556B773B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E17-4C0F-9B54-BA8F556B773B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E17-4C0F-9B54-BA8F556B773B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E17-4C0F-9B54-BA8F556B773B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E17-4C0F-9B54-BA8F556B773B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E17-4C0F-9B54-BA8F556B773B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E17-4C0F-9B54-BA8F556B773B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E17-4C0F-9B54-BA8F556B773B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E17-4C0F-9B54-BA8F556B773B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E17-4C0F-9B54-BA8F556B773B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E17-4C0F-9B54-BA8F556B773B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E17-4C0F-9B54-BA8F556B773B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E17-4C0F-9B54-BA8F556B773B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E17-4C0F-9B54-BA8F556B773B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E17-4C0F-9B54-BA8F556B773B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E17-4C0F-9B54-BA8F556B773B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E17-4C0F-9B54-BA8F556B773B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E17-4C0F-9B54-BA8F556B773B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E17-4C0F-9B54-BA8F556B773B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E17-4C0F-9B54-BA8F556B773B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E17-4C0F-9B54-BA8F556B773B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'20-20-60'!$A$50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'20-20-60'!$B$50:$CJ$50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1.5883E-3</c:v>
                      </c:pt>
                      <c:pt idx="1">
                        <c:v>6.8672999999999998E-3</c:v>
                      </c:pt>
                      <c:pt idx="2">
                        <c:v>2.1017999999999998E-2</c:v>
                      </c:pt>
                      <c:pt idx="3">
                        <c:v>4.3103000000000002E-2</c:v>
                      </c:pt>
                      <c:pt idx="4">
                        <c:v>6.2424E-2</c:v>
                      </c:pt>
                      <c:pt idx="5">
                        <c:v>7.3180999999999996E-2</c:v>
                      </c:pt>
                      <c:pt idx="6">
                        <c:v>7.8835000000000002E-2</c:v>
                      </c:pt>
                      <c:pt idx="7">
                        <c:v>8.4666000000000005E-2</c:v>
                      </c:pt>
                      <c:pt idx="8">
                        <c:v>9.6008999999999997E-2</c:v>
                      </c:pt>
                      <c:pt idx="9">
                        <c:v>0.20843</c:v>
                      </c:pt>
                      <c:pt idx="10">
                        <c:v>0.22434999999999999</c:v>
                      </c:pt>
                      <c:pt idx="11">
                        <c:v>0.23249</c:v>
                      </c:pt>
                      <c:pt idx="12">
                        <c:v>0.23638000000000001</c:v>
                      </c:pt>
                      <c:pt idx="13">
                        <c:v>0.23824000000000001</c:v>
                      </c:pt>
                      <c:pt idx="14">
                        <c:v>0.23927000000000001</c:v>
                      </c:pt>
                      <c:pt idx="15">
                        <c:v>0.24046999999999999</c:v>
                      </c:pt>
                      <c:pt idx="16">
                        <c:v>0.24440000000000001</c:v>
                      </c:pt>
                      <c:pt idx="17">
                        <c:v>0.25914999999999999</c:v>
                      </c:pt>
                      <c:pt idx="18">
                        <c:v>0.39955000000000002</c:v>
                      </c:pt>
                      <c:pt idx="19">
                        <c:v>0.40598000000000001</c:v>
                      </c:pt>
                      <c:pt idx="20">
                        <c:v>0.41055000000000003</c:v>
                      </c:pt>
                      <c:pt idx="21">
                        <c:v>0.41522999999999999</c:v>
                      </c:pt>
                      <c:pt idx="22">
                        <c:v>0.42346</c:v>
                      </c:pt>
                      <c:pt idx="23">
                        <c:v>0.47866999999999998</c:v>
                      </c:pt>
                      <c:pt idx="24">
                        <c:v>0.47946</c:v>
                      </c:pt>
                      <c:pt idx="25">
                        <c:v>0.47976999999999997</c:v>
                      </c:pt>
                      <c:pt idx="26">
                        <c:v>0.47989999999999999</c:v>
                      </c:pt>
                      <c:pt idx="27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E17-4C0F-9B54-BA8F556B773B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'20-20-60'!$A$51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'20-20-60'!$B$51:$CJ$51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4.8220999999999998E-12</c:v>
                      </c:pt>
                      <c:pt idx="1">
                        <c:v>2.6835E-11</c:v>
                      </c:pt>
                      <c:pt idx="2">
                        <c:v>9.8888000000000003E-11</c:v>
                      </c:pt>
                      <c:pt idx="3">
                        <c:v>2.3156E-10</c:v>
                      </c:pt>
                      <c:pt idx="4">
                        <c:v>3.6692000000000001E-10</c:v>
                      </c:pt>
                      <c:pt idx="5">
                        <c:v>4.5460999999999999E-10</c:v>
                      </c:pt>
                      <c:pt idx="6">
                        <c:v>5.0307999999999998E-10</c:v>
                      </c:pt>
                      <c:pt idx="7">
                        <c:v>5.4215000000000004E-10</c:v>
                      </c:pt>
                      <c:pt idx="8">
                        <c:v>6.0499999999999998E-10</c:v>
                      </c:pt>
                      <c:pt idx="9">
                        <c:v>1.0715999999999999E-9</c:v>
                      </c:pt>
                      <c:pt idx="10">
                        <c:v>1.0692E-9</c:v>
                      </c:pt>
                      <c:pt idx="11">
                        <c:v>1.0197999999999999E-9</c:v>
                      </c:pt>
                      <c:pt idx="12">
                        <c:v>9.4844000000000009E-10</c:v>
                      </c:pt>
                      <c:pt idx="13">
                        <c:v>8.6978999999999995E-10</c:v>
                      </c:pt>
                      <c:pt idx="14">
                        <c:v>7.9120000000000002E-10</c:v>
                      </c:pt>
                      <c:pt idx="15">
                        <c:v>7.1740000000000002E-10</c:v>
                      </c:pt>
                      <c:pt idx="16">
                        <c:v>6.5553999999999999E-10</c:v>
                      </c:pt>
                      <c:pt idx="17">
                        <c:v>6.2310000000000005E-10</c:v>
                      </c:pt>
                      <c:pt idx="18">
                        <c:v>6.0626000000000003E-10</c:v>
                      </c:pt>
                      <c:pt idx="19">
                        <c:v>5.4663E-10</c:v>
                      </c:pt>
                      <c:pt idx="20">
                        <c:v>4.8986E-10</c:v>
                      </c:pt>
                      <c:pt idx="21">
                        <c:v>4.3852999999999998E-10</c:v>
                      </c:pt>
                      <c:pt idx="22">
                        <c:v>3.9540999999999998E-10</c:v>
                      </c:pt>
                      <c:pt idx="23">
                        <c:v>2.7087000000000002E-10</c:v>
                      </c:pt>
                      <c:pt idx="24">
                        <c:v>2.3897E-10</c:v>
                      </c:pt>
                      <c:pt idx="25">
                        <c:v>2.1051999999999999E-10</c:v>
                      </c:pt>
                      <c:pt idx="26">
                        <c:v>1.8528000000000001E-10</c:v>
                      </c:pt>
                      <c:pt idx="27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E17-4C0F-9B54-BA8F556B773B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E17-4C0F-9B54-BA8F556B773B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E17-4C0F-9B54-BA8F556B773B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E17-4C0F-9B54-BA8F556B773B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E17-4C0F-9B54-BA8F556B773B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E17-4C0F-9B54-BA8F556B773B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E17-4C0F-9B54-BA8F556B773B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8E17-4C0F-9B54-BA8F556B773B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E17-4C0F-9B54-BA8F556B773B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E17-4C0F-9B54-BA8F556B773B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'20-20-60'!$CT$2</c:f>
              <c:strCache>
                <c:ptCount val="1"/>
                <c:pt idx="0">
                  <c:v>DSC</c:v>
                </c:pt>
              </c:strCache>
            </c:strRef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'20-20-60'!$CS$3:$CS$252</c:f>
              <c:numCache>
                <c:formatCode>0</c:formatCode>
                <c:ptCount val="250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'20-20-60'!$CT$3:$CT$252</c:f>
              <c:numCache>
                <c:formatCode>0.000</c:formatCode>
                <c:ptCount val="250"/>
                <c:pt idx="0">
                  <c:v>2.9711E-3</c:v>
                </c:pt>
                <c:pt idx="1">
                  <c:v>2.9986000000000001E-3</c:v>
                </c:pt>
                <c:pt idx="2">
                  <c:v>3.3343000000000001E-3</c:v>
                </c:pt>
                <c:pt idx="3">
                  <c:v>3.0276999999999999E-3</c:v>
                </c:pt>
                <c:pt idx="4">
                  <c:v>2.6516999999999999E-3</c:v>
                </c:pt>
                <c:pt idx="5">
                  <c:v>2.4903E-3</c:v>
                </c:pt>
                <c:pt idx="6">
                  <c:v>2.2788000000000001E-3</c:v>
                </c:pt>
                <c:pt idx="7">
                  <c:v>2.1300999999999998E-3</c:v>
                </c:pt>
                <c:pt idx="8">
                  <c:v>2.0141999999999998E-3</c:v>
                </c:pt>
                <c:pt idx="9">
                  <c:v>1.6239E-3</c:v>
                </c:pt>
                <c:pt idx="10">
                  <c:v>1.2273E-3</c:v>
                </c:pt>
                <c:pt idx="11">
                  <c:v>9.1744000000000005E-4</c:v>
                </c:pt>
                <c:pt idx="12">
                  <c:v>7.0991000000000001E-4</c:v>
                </c:pt>
                <c:pt idx="13">
                  <c:v>4.1054999999999998E-4</c:v>
                </c:pt>
                <c:pt idx="14">
                  <c:v>3.8482000000000002E-4</c:v>
                </c:pt>
                <c:pt idx="15">
                  <c:v>2.1685000000000001E-4</c:v>
                </c:pt>
                <c:pt idx="16">
                  <c:v>-2.7781E-5</c:v>
                </c:pt>
                <c:pt idx="17">
                  <c:v>-3.0844999999999999E-4</c:v>
                </c:pt>
                <c:pt idx="18">
                  <c:v>-5.4635999999999997E-4</c:v>
                </c:pt>
                <c:pt idx="19">
                  <c:v>-7.7561000000000004E-4</c:v>
                </c:pt>
                <c:pt idx="20">
                  <c:v>-8.4776999999999997E-4</c:v>
                </c:pt>
                <c:pt idx="21">
                  <c:v>-1.0444E-3</c:v>
                </c:pt>
                <c:pt idx="22">
                  <c:v>-1.3052999999999999E-3</c:v>
                </c:pt>
                <c:pt idx="23">
                  <c:v>-1.4786999999999999E-3</c:v>
                </c:pt>
                <c:pt idx="24">
                  <c:v>-1.6512E-3</c:v>
                </c:pt>
                <c:pt idx="25">
                  <c:v>-1.4816E-3</c:v>
                </c:pt>
                <c:pt idx="26">
                  <c:v>-1.5667000000000001E-3</c:v>
                </c:pt>
                <c:pt idx="27">
                  <c:v>-1.8919E-3</c:v>
                </c:pt>
                <c:pt idx="28">
                  <c:v>-2.1052000000000002E-3</c:v>
                </c:pt>
                <c:pt idx="29">
                  <c:v>-2.1262999999999998E-3</c:v>
                </c:pt>
                <c:pt idx="30">
                  <c:v>-2.1497E-3</c:v>
                </c:pt>
                <c:pt idx="31">
                  <c:v>-2.1757999999999999E-3</c:v>
                </c:pt>
                <c:pt idx="32">
                  <c:v>-2.1513999999999999E-3</c:v>
                </c:pt>
                <c:pt idx="33">
                  <c:v>-2.4826000000000002E-3</c:v>
                </c:pt>
                <c:pt idx="34">
                  <c:v>-2.9348999999999998E-3</c:v>
                </c:pt>
                <c:pt idx="35">
                  <c:v>-3.7724999999999998E-3</c:v>
                </c:pt>
                <c:pt idx="36">
                  <c:v>-4.3981999999999997E-3</c:v>
                </c:pt>
                <c:pt idx="37">
                  <c:v>-4.1811000000000001E-3</c:v>
                </c:pt>
                <c:pt idx="38">
                  <c:v>-4.1352000000000003E-3</c:v>
                </c:pt>
                <c:pt idx="39">
                  <c:v>-4.0423000000000004E-3</c:v>
                </c:pt>
                <c:pt idx="40">
                  <c:v>-4.1993999999999998E-3</c:v>
                </c:pt>
                <c:pt idx="41">
                  <c:v>-4.8647999999999999E-3</c:v>
                </c:pt>
                <c:pt idx="42">
                  <c:v>-4.8558000000000004E-3</c:v>
                </c:pt>
                <c:pt idx="43">
                  <c:v>-4.8113000000000001E-3</c:v>
                </c:pt>
                <c:pt idx="44">
                  <c:v>-5.7551E-3</c:v>
                </c:pt>
                <c:pt idx="45">
                  <c:v>-6.5393999999999999E-3</c:v>
                </c:pt>
                <c:pt idx="46">
                  <c:v>-7.1002000000000001E-3</c:v>
                </c:pt>
                <c:pt idx="47">
                  <c:v>-8.1025000000000003E-3</c:v>
                </c:pt>
                <c:pt idx="48">
                  <c:v>-9.6153000000000002E-3</c:v>
                </c:pt>
                <c:pt idx="49">
                  <c:v>-1.0995E-2</c:v>
                </c:pt>
                <c:pt idx="50">
                  <c:v>-1.1660999999999999E-2</c:v>
                </c:pt>
                <c:pt idx="51">
                  <c:v>-1.2218E-2</c:v>
                </c:pt>
                <c:pt idx="52">
                  <c:v>-1.2746E-2</c:v>
                </c:pt>
                <c:pt idx="53">
                  <c:v>-1.2775E-2</c:v>
                </c:pt>
                <c:pt idx="54">
                  <c:v>-1.221E-2</c:v>
                </c:pt>
                <c:pt idx="55">
                  <c:v>-1.1128000000000001E-2</c:v>
                </c:pt>
                <c:pt idx="56">
                  <c:v>-9.5762E-3</c:v>
                </c:pt>
                <c:pt idx="57">
                  <c:v>-7.5396999999999999E-3</c:v>
                </c:pt>
                <c:pt idx="58">
                  <c:v>-5.2142999999999998E-3</c:v>
                </c:pt>
                <c:pt idx="59">
                  <c:v>-2.5349000000000001E-3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>
                  <c:v>2.9112000000000001E-3</c:v>
                </c:pt>
                <c:pt idx="71">
                  <c:v>2.3008999999999998E-3</c:v>
                </c:pt>
                <c:pt idx="72">
                  <c:v>1.7565E-3</c:v>
                </c:pt>
                <c:pt idx="73">
                  <c:v>1.1249999999999999E-3</c:v>
                </c:pt>
                <c:pt idx="74">
                  <c:v>1.6872E-4</c:v>
                </c:pt>
                <c:pt idx="75">
                  <c:v>-7.1186999999999997E-4</c:v>
                </c:pt>
                <c:pt idx="76">
                  <c:v>-1.6360000000000001E-3</c:v>
                </c:pt>
                <c:pt idx="77">
                  <c:v>-2.6270999999999998E-3</c:v>
                </c:pt>
                <c:pt idx="78">
                  <c:v>-3.1678000000000001E-3</c:v>
                </c:pt>
                <c:pt idx="79">
                  <c:v>-3.1402000000000001E-3</c:v>
                </c:pt>
                <c:pt idx="80">
                  <c:v>-2.4215E-3</c:v>
                </c:pt>
                <c:pt idx="81">
                  <c:v>-1.4038E-3</c:v>
                </c:pt>
                <c:pt idx="82">
                  <c:v>-3.5899E-4</c:v>
                </c:pt>
                <c:pt idx="83">
                  <c:v>2.2981999999999999E-4</c:v>
                </c:pt>
                <c:pt idx="84">
                  <c:v>-1.4095000000000001E-4</c:v>
                </c:pt>
                <c:pt idx="85">
                  <c:v>-3.4564000000000001E-3</c:v>
                </c:pt>
                <c:pt idx="86">
                  <c:v>-3.7897999999999999E-3</c:v>
                </c:pt>
                <c:pt idx="87">
                  <c:v>-3.0734999999999998E-3</c:v>
                </c:pt>
                <c:pt idx="88">
                  <c:v>-2.4139999999999999E-3</c:v>
                </c:pt>
                <c:pt idx="89">
                  <c:v>-1.8862E-3</c:v>
                </c:pt>
                <c:pt idx="90">
                  <c:v>-1.3529E-3</c:v>
                </c:pt>
                <c:pt idx="91">
                  <c:v>-1.4012E-3</c:v>
                </c:pt>
                <c:pt idx="92">
                  <c:v>-1.9012E-3</c:v>
                </c:pt>
                <c:pt idx="93">
                  <c:v>-1.67E-3</c:v>
                </c:pt>
                <c:pt idx="94">
                  <c:v>-8.7814000000000002E-4</c:v>
                </c:pt>
                <c:pt idx="95">
                  <c:v>6.8658000000000006E-5</c:v>
                </c:pt>
                <c:pt idx="96">
                  <c:v>7.6769000000000002E-4</c:v>
                </c:pt>
                <c:pt idx="97">
                  <c:v>3.6390000000000001E-4</c:v>
                </c:pt>
                <c:pt idx="98">
                  <c:v>-2.0445000000000001E-4</c:v>
                </c:pt>
                <c:pt idx="99">
                  <c:v>2.4287000000000001E-4</c:v>
                </c:pt>
                <c:pt idx="100">
                  <c:v>6.5258000000000004E-4</c:v>
                </c:pt>
                <c:pt idx="101">
                  <c:v>3.4143999999999998E-4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2.1392000000000001E-2</c:v>
                </c:pt>
                <c:pt idx="127">
                  <c:v>2.2034999999999999E-2</c:v>
                </c:pt>
                <c:pt idx="128">
                  <c:v>2.2877000000000002E-2</c:v>
                </c:pt>
                <c:pt idx="129">
                  <c:v>2.2953000000000001E-2</c:v>
                </c:pt>
                <c:pt idx="130">
                  <c:v>2.2362E-2</c:v>
                </c:pt>
                <c:pt idx="131">
                  <c:v>2.1454000000000001E-2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8E17-4C0F-9B54-BA8F556B7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5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314325</xdr:colOff>
          <xdr:row>0</xdr:row>
          <xdr:rowOff>28575</xdr:rowOff>
        </xdr:from>
        <xdr:to>
          <xdr:col>89</xdr:col>
          <xdr:colOff>1038225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38100</xdr:colOff>
          <xdr:row>0</xdr:row>
          <xdr:rowOff>28575</xdr:rowOff>
        </xdr:from>
        <xdr:to>
          <xdr:col>90</xdr:col>
          <xdr:colOff>1028700</xdr:colOff>
          <xdr:row>0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57150</xdr:colOff>
          <xdr:row>0</xdr:row>
          <xdr:rowOff>19050</xdr:rowOff>
        </xdr:from>
        <xdr:to>
          <xdr:col>91</xdr:col>
          <xdr:colOff>1009650</xdr:colOff>
          <xdr:row>0</xdr:row>
          <xdr:rowOff>276225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</xdr:col>
          <xdr:colOff>19050</xdr:colOff>
          <xdr:row>0</xdr:row>
          <xdr:rowOff>19050</xdr:rowOff>
        </xdr:from>
        <xdr:to>
          <xdr:col>92</xdr:col>
          <xdr:colOff>1019175</xdr:colOff>
          <xdr:row>0</xdr:row>
          <xdr:rowOff>276225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cancel</a:t>
              </a:r>
            </a:p>
          </xdr:txBody>
        </xdr:sp>
        <xdr:clientData fPrintsWithSheet="0"/>
      </xdr:twoCellAnchor>
    </mc:Choice>
    <mc:Fallback/>
  </mc:AlternateContent>
  <xdr:twoCellAnchor>
    <xdr:from>
      <xdr:col>99</xdr:col>
      <xdr:colOff>0</xdr:colOff>
      <xdr:row>24</xdr:row>
      <xdr:rowOff>0</xdr:rowOff>
    </xdr:from>
    <xdr:to>
      <xdr:col>105</xdr:col>
      <xdr:colOff>457</xdr:colOff>
      <xdr:row>36</xdr:row>
      <xdr:rowOff>101729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99</xdr:col>
      <xdr:colOff>0</xdr:colOff>
      <xdr:row>2</xdr:row>
      <xdr:rowOff>51955</xdr:rowOff>
    </xdr:from>
    <xdr:to>
      <xdr:col>117</xdr:col>
      <xdr:colOff>484909</xdr:colOff>
      <xdr:row>23</xdr:row>
      <xdr:rowOff>47676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105</xdr:col>
      <xdr:colOff>0</xdr:colOff>
      <xdr:row>24</xdr:row>
      <xdr:rowOff>0</xdr:rowOff>
    </xdr:from>
    <xdr:to>
      <xdr:col>111</xdr:col>
      <xdr:colOff>5900</xdr:colOff>
      <xdr:row>36</xdr:row>
      <xdr:rowOff>130591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111</xdr:col>
      <xdr:colOff>0</xdr:colOff>
      <xdr:row>24</xdr:row>
      <xdr:rowOff>0</xdr:rowOff>
    </xdr:from>
    <xdr:to>
      <xdr:col>116</xdr:col>
      <xdr:colOff>588408</xdr:colOff>
      <xdr:row>36</xdr:row>
      <xdr:rowOff>77279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99</xdr:col>
      <xdr:colOff>0</xdr:colOff>
      <xdr:row>37</xdr:row>
      <xdr:rowOff>0</xdr:rowOff>
    </xdr:from>
    <xdr:to>
      <xdr:col>105</xdr:col>
      <xdr:colOff>457</xdr:colOff>
      <xdr:row>50</xdr:row>
      <xdr:rowOff>32020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105</xdr:col>
      <xdr:colOff>0</xdr:colOff>
      <xdr:row>37</xdr:row>
      <xdr:rowOff>0</xdr:rowOff>
    </xdr:from>
    <xdr:to>
      <xdr:col>110</xdr:col>
      <xdr:colOff>602511</xdr:colOff>
      <xdr:row>51</xdr:row>
      <xdr:rowOff>10230</xdr:rowOff>
    </xdr:to>
    <xdr:graphicFrame macro="">
      <xdr:nvGraphicFramePr>
        <xdr:cNvPr id="29" name="Диаграмма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111</xdr:col>
      <xdr:colOff>0</xdr:colOff>
      <xdr:row>37</xdr:row>
      <xdr:rowOff>0</xdr:rowOff>
    </xdr:from>
    <xdr:to>
      <xdr:col>117</xdr:col>
      <xdr:colOff>3303</xdr:colOff>
      <xdr:row>51</xdr:row>
      <xdr:rowOff>9364</xdr:rowOff>
    </xdr:to>
    <xdr:graphicFrame macro="">
      <xdr:nvGraphicFramePr>
        <xdr:cNvPr id="30" name="Диаграмма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99</xdr:col>
      <xdr:colOff>0</xdr:colOff>
      <xdr:row>51</xdr:row>
      <xdr:rowOff>0</xdr:rowOff>
    </xdr:from>
    <xdr:to>
      <xdr:col>104</xdr:col>
      <xdr:colOff>605976</xdr:colOff>
      <xdr:row>69</xdr:row>
      <xdr:rowOff>147909</xdr:rowOff>
    </xdr:to>
    <xdr:graphicFrame macro="">
      <xdr:nvGraphicFramePr>
        <xdr:cNvPr id="31" name="Диаграмма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99</xdr:col>
      <xdr:colOff>0</xdr:colOff>
      <xdr:row>71</xdr:row>
      <xdr:rowOff>0</xdr:rowOff>
    </xdr:from>
    <xdr:to>
      <xdr:col>117</xdr:col>
      <xdr:colOff>536864</xdr:colOff>
      <xdr:row>97</xdr:row>
      <xdr:rowOff>51955</xdr:rowOff>
    </xdr:to>
    <xdr:graphicFrame macro="">
      <xdr:nvGraphicFramePr>
        <xdr:cNvPr id="33" name="Диаграмма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0.16338</cdr:x>
      <cdr:y>0.68741</cdr:y>
    </cdr:from>
    <cdr:to>
      <cdr:x>0.22797</cdr:x>
      <cdr:y>0.76706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1774825" y="3260724"/>
          <a:ext cx="701675" cy="377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0.18968</cdr:x>
      <cdr:y>0.54886</cdr:y>
    </cdr:from>
    <cdr:to>
      <cdr:x>0.25427</cdr:x>
      <cdr:y>0.62851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2060575" y="26035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0.38433</cdr:x>
      <cdr:y>0.67737</cdr:y>
    </cdr:from>
    <cdr:to>
      <cdr:x>0.44892</cdr:x>
      <cdr:y>0.75702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175125" y="32131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0.05991</cdr:x>
      <cdr:y>0.68741</cdr:y>
    </cdr:from>
    <cdr:to>
      <cdr:x>0.13678</cdr:x>
      <cdr:y>0.76706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650875" y="3260725"/>
          <a:ext cx="835025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0.78414</cdr:x>
      <cdr:y>0.54283</cdr:y>
    </cdr:from>
    <cdr:to>
      <cdr:x>0.84873</cdr:x>
      <cdr:y>0.62248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8518525" y="2574925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  <cdr:relSizeAnchor xmlns:cdr="http://schemas.openxmlformats.org/drawingml/2006/chartDrawing">
    <cdr:from>
      <cdr:x>0.835</cdr:x>
      <cdr:y>0.82998</cdr:y>
    </cdr:from>
    <cdr:to>
      <cdr:x>0.89959</cdr:x>
      <cdr:y>0.90963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070975" y="39370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0.16338</cdr:x>
      <cdr:y>0.68741</cdr:y>
    </cdr:from>
    <cdr:to>
      <cdr:x>0.22797</cdr:x>
      <cdr:y>0.76706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1774825" y="3260724"/>
          <a:ext cx="701675" cy="377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0.18968</cdr:x>
      <cdr:y>0.54886</cdr:y>
    </cdr:from>
    <cdr:to>
      <cdr:x>0.25427</cdr:x>
      <cdr:y>0.62851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2060575" y="26035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0.38433</cdr:x>
      <cdr:y>0.67737</cdr:y>
    </cdr:from>
    <cdr:to>
      <cdr:x>0.44892</cdr:x>
      <cdr:y>0.75702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175125" y="32131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0.05991</cdr:x>
      <cdr:y>0.68741</cdr:y>
    </cdr:from>
    <cdr:to>
      <cdr:x>0.13678</cdr:x>
      <cdr:y>0.76706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650875" y="3260725"/>
          <a:ext cx="835025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0.85867</cdr:x>
      <cdr:y>0.67095</cdr:y>
    </cdr:from>
    <cdr:to>
      <cdr:x>0.92326</cdr:x>
      <cdr:y>0.7506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9328130" y="3192505"/>
          <a:ext cx="701673" cy="3789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Ga[L]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0.835</cdr:x>
      <cdr:y>0.82998</cdr:y>
    </cdr:from>
    <cdr:to>
      <cdr:x>0.89959</cdr:x>
      <cdr:y>0.90963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070975" y="39370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0.49831</cdr:x>
      <cdr:y>0.69529</cdr:y>
    </cdr:from>
    <cdr:to>
      <cdr:x>0.58657</cdr:x>
      <cdr:y>0.77494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8C53A88-BBC8-47CE-84FE-47C8FC81C86C}"/>
            </a:ext>
          </a:extLst>
        </cdr:cNvPr>
        <cdr:cNvSpPr txBox="1"/>
      </cdr:nvSpPr>
      <cdr:spPr>
        <a:xfrm xmlns:a="http://schemas.openxmlformats.org/drawingml/2006/main">
          <a:off x="5413375" y="3308350"/>
          <a:ext cx="958850" cy="3789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Ga2Se3</a:t>
          </a:r>
          <a:endParaRPr lang="ru-RU" sz="1800">
            <a:solidFill>
              <a:srgbClr val="7030A0"/>
            </a:solidFill>
          </a:endParaRPr>
        </a:p>
      </cdr:txBody>
    </cdr:sp>
  </cdr:relSizeAnchor>
  <cdr:relSizeAnchor xmlns:cdr="http://schemas.openxmlformats.org/drawingml/2006/chartDrawing">
    <cdr:from>
      <cdr:x>0.75258</cdr:x>
      <cdr:y>0.78737</cdr:y>
    </cdr:from>
    <cdr:to>
      <cdr:x>0.81717</cdr:x>
      <cdr:y>0.86702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E40E09F6-B45E-45E1-AD5A-0FF1D204CC41}"/>
            </a:ext>
          </a:extLst>
        </cdr:cNvPr>
        <cdr:cNvSpPr txBox="1"/>
      </cdr:nvSpPr>
      <cdr:spPr>
        <a:xfrm xmlns:a="http://schemas.openxmlformats.org/drawingml/2006/main">
          <a:off x="8175625" y="3746500"/>
          <a:ext cx="701673" cy="3789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6595D5-A772-41D9-8981-101909CDD1A4}" name="Таблица1" displayName="Таблица1" ref="CQ2:CT252" totalsRowShown="0">
  <autoFilter ref="CQ2:CT252" xr:uid="{B62E53FC-3DD8-4C2C-81AD-88F25412F49A}"/>
  <tableColumns count="4">
    <tableColumn id="1" xr3:uid="{ED124B50-BFED-4FBD-931B-C211A067D74A}" name="##Temp./°C" dataDxfId="3" dataCellStyle="Обычный"/>
    <tableColumn id="2" xr3:uid="{D2C19337-FC4F-45D9-8B37-20DC088642D6}" name="DSC/(mW/mg)" dataDxfId="2" dataCellStyle="Обычный"/>
    <tableColumn id="3" xr3:uid="{ECC1F953-79DF-47CA-BD56-3F667ACA4A35}" name="Temp_DSC" dataDxfId="1">
      <calculatedColumnFormula>CQ3+273.15</calculatedColumnFormula>
    </tableColumn>
    <tableColumn id="4" xr3:uid="{192CDF20-F358-48AB-B44E-B266C5F25481}" name="DSC" dataDxfId="0">
      <calculatedColumnFormula>Таблица1[[#This Row],[DSC/(mW/mg)]]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B675B-4A94-4958-B3CF-12E969AB98E0}">
  <sheetPr codeName="Лист2">
    <pageSetUpPr fitToPage="1"/>
  </sheetPr>
  <dimension ref="A1:HE252"/>
  <sheetViews>
    <sheetView tabSelected="1" topLeftCell="CJ1" zoomScale="85" zoomScaleNormal="85" workbookViewId="0">
      <pane ySplit="2" topLeftCell="A19" activePane="bottomLeft" state="frozen"/>
      <selection pane="bottomLeft" activeCell="CO28" sqref="CO28"/>
    </sheetView>
  </sheetViews>
  <sheetFormatPr defaultRowHeight="15" outlineLevelCol="1" x14ac:dyDescent="0.25"/>
  <cols>
    <col min="1" max="2" width="15.7109375" customWidth="1"/>
    <col min="3" max="87" width="15.7109375" hidden="1" customWidth="1"/>
    <col min="88" max="88" width="15.7109375" customWidth="1"/>
    <col min="89" max="89" width="4.7109375" customWidth="1" outlineLevel="1"/>
    <col min="90" max="92" width="15.7109375" customWidth="1" outlineLevel="1"/>
    <col min="93" max="93" width="15.7109375" style="2" customWidth="1" outlineLevel="1"/>
    <col min="94" max="94" width="4.7109375" hidden="1" customWidth="1" outlineLevel="1"/>
    <col min="95" max="95" width="8.7109375" style="4" hidden="1" customWidth="1"/>
    <col min="96" max="96" width="8.7109375" style="2" hidden="1" customWidth="1"/>
    <col min="97" max="98" width="12.7109375" hidden="1" customWidth="1"/>
    <col min="99" max="99" width="4.7109375" customWidth="1"/>
    <col min="112" max="112" width="9.140625" customWidth="1"/>
    <col min="113" max="117" width="9.140625" style="2" customWidth="1"/>
    <col min="119" max="120" width="15.7109375" customWidth="1"/>
    <col min="121" max="207" width="15.7109375" hidden="1" customWidth="1"/>
    <col min="208" max="208" width="15.7109375" customWidth="1"/>
  </cols>
  <sheetData>
    <row r="1" spans="1:213" ht="33.75" customHeight="1" thickTop="1" thickBot="1" x14ac:dyDescent="0.3">
      <c r="A1" s="26" t="s">
        <v>47</v>
      </c>
      <c r="B1" s="28">
        <f>MIN(B3:CJ63)</f>
        <v>-66.36</v>
      </c>
      <c r="CJ1" s="28">
        <f>MAX(B3:CJ31,B34:CJ62)</f>
        <v>0.48</v>
      </c>
      <c r="CL1" s="20"/>
      <c r="CM1" s="20"/>
      <c r="CN1" s="23"/>
      <c r="CO1" s="23"/>
      <c r="CV1" s="55">
        <v>445</v>
      </c>
      <c r="CW1" s="37">
        <v>700</v>
      </c>
      <c r="CX1" s="39">
        <v>830</v>
      </c>
      <c r="CY1" s="41">
        <v>680</v>
      </c>
      <c r="CZ1" s="43">
        <v>550</v>
      </c>
      <c r="DA1" s="45">
        <v>365</v>
      </c>
      <c r="DB1" s="47">
        <v>425</v>
      </c>
      <c r="DC1" s="49">
        <v>770</v>
      </c>
      <c r="DD1" s="51">
        <v>1000</v>
      </c>
      <c r="DE1" s="53">
        <v>1000</v>
      </c>
      <c r="DF1" s="11" t="s">
        <v>16</v>
      </c>
      <c r="DG1" s="11"/>
      <c r="DO1" s="7">
        <f>MIN(DP3:GZ31,DP34:GZ62)</f>
        <v>-193.00064356435647</v>
      </c>
      <c r="DP1" s="7">
        <f>MAX(DP3:GZ31,DP34:GZ62)</f>
        <v>994</v>
      </c>
      <c r="GZ1" s="26" t="s">
        <v>47</v>
      </c>
      <c r="HA1" s="2"/>
    </row>
    <row r="2" spans="1:213" ht="22.5" thickTop="1" thickBot="1" x14ac:dyDescent="0.3">
      <c r="A2" s="29" t="s">
        <v>48</v>
      </c>
      <c r="B2" s="29">
        <v>273.10000000000002</v>
      </c>
      <c r="C2" s="29">
        <v>293.3</v>
      </c>
      <c r="D2" s="29">
        <v>313.5</v>
      </c>
      <c r="E2" s="29">
        <v>333.7</v>
      </c>
      <c r="F2" s="29">
        <v>353.9</v>
      </c>
      <c r="G2" s="29">
        <v>434.7</v>
      </c>
      <c r="H2" s="29">
        <v>454.9</v>
      </c>
      <c r="I2" s="29">
        <v>475.1</v>
      </c>
      <c r="J2" s="29">
        <v>495.2</v>
      </c>
      <c r="K2" s="29">
        <v>515.4</v>
      </c>
      <c r="L2" s="29">
        <v>535.6</v>
      </c>
      <c r="M2" s="29">
        <v>555.79999999999995</v>
      </c>
      <c r="N2" s="29">
        <v>576</v>
      </c>
      <c r="O2" s="29">
        <v>596.20000000000005</v>
      </c>
      <c r="P2" s="29">
        <v>677</v>
      </c>
      <c r="Q2" s="29">
        <v>697.1</v>
      </c>
      <c r="R2" s="29">
        <v>717.3</v>
      </c>
      <c r="S2" s="29">
        <v>737.5</v>
      </c>
      <c r="T2" s="29">
        <v>757.7</v>
      </c>
      <c r="U2" s="12">
        <v>777.9</v>
      </c>
      <c r="V2" s="12">
        <v>798.1</v>
      </c>
      <c r="W2" s="12">
        <v>818.3</v>
      </c>
      <c r="X2" s="12">
        <v>838.5</v>
      </c>
      <c r="Y2" s="12">
        <v>919.2</v>
      </c>
      <c r="Z2" s="12">
        <v>939.4</v>
      </c>
      <c r="AA2" s="12">
        <v>959.6</v>
      </c>
      <c r="AB2" s="12">
        <v>979.8</v>
      </c>
      <c r="AC2" s="12">
        <v>959.6</v>
      </c>
      <c r="AD2" s="12">
        <v>979.8</v>
      </c>
      <c r="AE2" s="12">
        <v>1000</v>
      </c>
      <c r="AF2" s="12"/>
      <c r="AG2" s="12"/>
      <c r="AH2" s="30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27"/>
      <c r="CL2" s="21">
        <v>300</v>
      </c>
      <c r="CM2" s="22">
        <v>900</v>
      </c>
      <c r="CN2" s="24">
        <v>-150</v>
      </c>
      <c r="CO2" s="22">
        <v>-40</v>
      </c>
      <c r="CQ2" s="10" t="s">
        <v>13</v>
      </c>
      <c r="CR2" s="1" t="s">
        <v>51</v>
      </c>
      <c r="CS2" s="13" t="s">
        <v>15</v>
      </c>
      <c r="CT2" t="s">
        <v>14</v>
      </c>
      <c r="DO2" s="12" t="s">
        <v>0</v>
      </c>
      <c r="DP2" s="12">
        <v>290</v>
      </c>
      <c r="DQ2" s="12">
        <v>298</v>
      </c>
      <c r="DR2" s="12">
        <v>306</v>
      </c>
      <c r="DS2" s="12">
        <v>314</v>
      </c>
      <c r="DT2" s="12">
        <v>322</v>
      </c>
      <c r="DU2" s="12">
        <v>330</v>
      </c>
      <c r="DV2" s="12">
        <v>338</v>
      </c>
      <c r="DW2" s="12">
        <v>346</v>
      </c>
      <c r="DX2" s="12">
        <v>354</v>
      </c>
      <c r="DY2" s="12">
        <v>362</v>
      </c>
      <c r="DZ2" s="12">
        <v>370</v>
      </c>
      <c r="EA2" s="12">
        <v>378</v>
      </c>
      <c r="EB2" s="12">
        <v>386</v>
      </c>
      <c r="EC2" s="12">
        <v>394</v>
      </c>
      <c r="ED2" s="12">
        <v>402</v>
      </c>
      <c r="EE2" s="12">
        <v>410</v>
      </c>
      <c r="EF2" s="12">
        <v>418</v>
      </c>
      <c r="EG2" s="12">
        <v>426</v>
      </c>
      <c r="EH2" s="12">
        <v>434</v>
      </c>
      <c r="EI2" s="12">
        <v>442</v>
      </c>
      <c r="EJ2" s="12">
        <v>450</v>
      </c>
      <c r="EK2" s="12">
        <v>458</v>
      </c>
      <c r="EL2" s="12">
        <v>466</v>
      </c>
      <c r="EM2" s="12">
        <v>474</v>
      </c>
      <c r="EN2" s="12">
        <v>482</v>
      </c>
      <c r="EO2" s="12">
        <v>490</v>
      </c>
      <c r="EP2" s="12">
        <v>498</v>
      </c>
      <c r="EQ2" s="12">
        <v>506</v>
      </c>
      <c r="ER2" s="12">
        <v>514</v>
      </c>
      <c r="ES2" s="12">
        <v>522</v>
      </c>
      <c r="ET2" s="12">
        <v>530</v>
      </c>
      <c r="EU2" s="12">
        <v>538</v>
      </c>
      <c r="EV2" s="12">
        <v>546</v>
      </c>
      <c r="EW2" s="12">
        <v>554</v>
      </c>
      <c r="EX2" s="12">
        <v>562</v>
      </c>
      <c r="EY2" s="12">
        <v>570</v>
      </c>
      <c r="EZ2" s="12">
        <v>578</v>
      </c>
      <c r="FA2" s="12">
        <v>586</v>
      </c>
      <c r="FB2" s="12">
        <v>594</v>
      </c>
      <c r="FC2" s="12">
        <v>602</v>
      </c>
      <c r="FD2" s="12">
        <v>610</v>
      </c>
      <c r="FE2" s="12">
        <v>618</v>
      </c>
      <c r="FF2" s="12">
        <v>626</v>
      </c>
      <c r="FG2" s="12">
        <v>634</v>
      </c>
      <c r="FH2" s="12">
        <v>642</v>
      </c>
      <c r="FI2" s="12">
        <v>650</v>
      </c>
      <c r="FJ2" s="12">
        <v>658</v>
      </c>
      <c r="FK2" s="12">
        <v>666</v>
      </c>
      <c r="FL2" s="12">
        <v>674</v>
      </c>
      <c r="FM2" s="12">
        <v>682</v>
      </c>
      <c r="FN2" s="12">
        <v>690</v>
      </c>
      <c r="FO2" s="12">
        <v>698</v>
      </c>
      <c r="FP2" s="12">
        <v>706</v>
      </c>
      <c r="FQ2" s="12">
        <v>714</v>
      </c>
      <c r="FR2" s="12">
        <v>722</v>
      </c>
      <c r="FS2" s="12">
        <v>730</v>
      </c>
      <c r="FT2" s="12">
        <v>738</v>
      </c>
      <c r="FU2" s="12">
        <v>746</v>
      </c>
      <c r="FV2" s="12">
        <v>754</v>
      </c>
      <c r="FW2" s="12">
        <v>762</v>
      </c>
      <c r="FX2" s="12">
        <v>770</v>
      </c>
      <c r="FY2" s="12">
        <v>778</v>
      </c>
      <c r="FZ2" s="12">
        <v>786</v>
      </c>
      <c r="GA2" s="12">
        <v>794</v>
      </c>
      <c r="GB2" s="12">
        <v>802</v>
      </c>
      <c r="GC2" s="12">
        <v>810</v>
      </c>
      <c r="GD2" s="12">
        <v>818</v>
      </c>
      <c r="GE2" s="12">
        <v>826</v>
      </c>
      <c r="GF2" s="12">
        <v>834</v>
      </c>
      <c r="GG2" s="12">
        <v>842</v>
      </c>
      <c r="GH2" s="12">
        <v>850</v>
      </c>
      <c r="GI2" s="12">
        <v>858</v>
      </c>
      <c r="GJ2" s="12">
        <v>866</v>
      </c>
      <c r="GK2" s="12">
        <v>874</v>
      </c>
      <c r="GL2" s="12">
        <v>882</v>
      </c>
      <c r="GM2" s="12">
        <v>890</v>
      </c>
      <c r="GN2" s="12">
        <v>898</v>
      </c>
      <c r="GO2" s="12">
        <v>906</v>
      </c>
      <c r="GP2" s="12">
        <v>914</v>
      </c>
      <c r="GQ2" s="12">
        <v>922</v>
      </c>
      <c r="GR2" s="12">
        <v>930</v>
      </c>
      <c r="GS2" s="12">
        <v>938</v>
      </c>
      <c r="GT2" s="12">
        <v>946</v>
      </c>
      <c r="GU2" s="12">
        <v>954</v>
      </c>
      <c r="GV2" s="12">
        <v>962</v>
      </c>
      <c r="GW2" s="12">
        <v>970</v>
      </c>
      <c r="GX2" s="12">
        <v>978</v>
      </c>
      <c r="GY2" s="12"/>
      <c r="GZ2" s="12"/>
      <c r="HA2" s="12"/>
      <c r="HB2" s="12"/>
      <c r="HC2" s="12"/>
      <c r="HD2" s="12"/>
      <c r="HE2" s="2"/>
    </row>
    <row r="3" spans="1:213" ht="22.5" thickTop="1" thickBot="1" x14ac:dyDescent="0.35">
      <c r="A3" s="31" t="s">
        <v>1</v>
      </c>
      <c r="B3" s="32">
        <v>0</v>
      </c>
      <c r="C3" s="32">
        <v>0</v>
      </c>
      <c r="D3" s="32">
        <v>0</v>
      </c>
      <c r="E3" s="32">
        <v>0</v>
      </c>
      <c r="F3" s="32">
        <v>0</v>
      </c>
      <c r="G3" s="32">
        <v>2.3243999999999999E-16</v>
      </c>
      <c r="H3" s="32">
        <v>7.8193999999999996E-12</v>
      </c>
      <c r="I3" s="32">
        <v>7.4438999999999995E-11</v>
      </c>
      <c r="J3" s="32">
        <v>2.2467000000000001E-9</v>
      </c>
      <c r="K3" s="32">
        <v>7.5409000000000004E-2</v>
      </c>
      <c r="L3" s="32">
        <v>0.08</v>
      </c>
      <c r="M3" s="32">
        <v>0.08</v>
      </c>
      <c r="N3" s="32">
        <v>0.08</v>
      </c>
      <c r="O3" s="32">
        <v>0.08</v>
      </c>
      <c r="P3" s="32">
        <v>0.08</v>
      </c>
      <c r="Q3" s="32">
        <v>0.08</v>
      </c>
      <c r="R3" s="32">
        <v>0.08</v>
      </c>
      <c r="S3" s="32">
        <v>0.08</v>
      </c>
      <c r="T3" s="32">
        <v>0.08</v>
      </c>
      <c r="U3" s="2">
        <v>0.08</v>
      </c>
      <c r="V3" s="2">
        <v>6.6105999999999998E-2</v>
      </c>
      <c r="W3" s="2">
        <v>6.3434000000000004E-2</v>
      </c>
      <c r="X3" s="2">
        <v>6.0543E-2</v>
      </c>
      <c r="Y3" s="2">
        <v>4.3836E-2</v>
      </c>
      <c r="Z3" s="2">
        <v>3.7795000000000002E-2</v>
      </c>
      <c r="AA3" s="2">
        <v>3.0667E-2</v>
      </c>
      <c r="AB3" s="2">
        <v>2.2196E-2</v>
      </c>
      <c r="AC3" s="2">
        <v>3.0667E-2</v>
      </c>
      <c r="AD3" s="2">
        <v>2.2196E-2</v>
      </c>
      <c r="AE3" s="2">
        <v>1.1976000000000001E-2</v>
      </c>
      <c r="AF3" s="2"/>
      <c r="AG3" s="2"/>
      <c r="AH3" s="2"/>
      <c r="CQ3" s="8">
        <v>78</v>
      </c>
      <c r="CR3" s="8">
        <v>2.9711E-3</v>
      </c>
      <c r="CS3" s="4">
        <f t="shared" ref="CS3:CS66" si="0">CQ3+273.15</f>
        <v>351.15</v>
      </c>
      <c r="CT3" s="9">
        <f>Таблица1[[#This Row],[DSC/(mW/mg)]]</f>
        <v>2.9711E-3</v>
      </c>
      <c r="DO3" s="3" t="s">
        <v>1</v>
      </c>
      <c r="DP3" s="4">
        <v>-15.64579207920792</v>
      </c>
      <c r="DQ3" s="4">
        <v>-15.366435643564357</v>
      </c>
      <c r="DR3" s="4">
        <v>-15.105049504950495</v>
      </c>
      <c r="DS3" s="4">
        <v>-14.846138613861386</v>
      </c>
      <c r="DT3" s="2">
        <v>-14.624356435643564</v>
      </c>
      <c r="DU3" s="2">
        <v>-14.402574257425742</v>
      </c>
      <c r="DV3" s="2">
        <v>-14.059455445544554</v>
      </c>
      <c r="DW3" s="2">
        <v>-13.611930693069306</v>
      </c>
      <c r="DX3" s="2">
        <v>-13.163493811881187</v>
      </c>
      <c r="DY3" s="2">
        <v>-12.642998762376235</v>
      </c>
      <c r="DZ3" s="2">
        <v>-12.122503712871286</v>
      </c>
      <c r="EA3" s="2">
        <v>-11.602008663366336</v>
      </c>
      <c r="EB3" s="2">
        <v>-11.081513613861386</v>
      </c>
      <c r="EC3" s="2">
        <v>-10.561018564356434</v>
      </c>
      <c r="ED3" s="2">
        <v>-10.040523514851484</v>
      </c>
      <c r="EE3" s="2">
        <v>-9.5200284653465346</v>
      </c>
      <c r="EF3" s="2">
        <v>-8.999533415841583</v>
      </c>
      <c r="EG3" s="2">
        <v>-8.4790383663366331</v>
      </c>
      <c r="EH3" s="2">
        <v>-7.9585433168316824</v>
      </c>
      <c r="EI3" s="2">
        <v>-7.5292079207920786</v>
      </c>
      <c r="EJ3" s="2">
        <v>-7.1086138613861376</v>
      </c>
      <c r="EK3" s="2">
        <v>-6.6999900990099004</v>
      </c>
      <c r="EL3" s="2">
        <v>-6.3102871287128712</v>
      </c>
      <c r="EM3" s="2">
        <v>-5.9205841584158421</v>
      </c>
      <c r="EN3" s="2">
        <v>-5.5518656716417913</v>
      </c>
      <c r="EO3" s="2">
        <v>-5.1864925373134323</v>
      </c>
      <c r="EP3" s="2">
        <v>-4.8314554455445542</v>
      </c>
      <c r="EQ3" s="2">
        <v>-4.4956138613861381</v>
      </c>
      <c r="ER3" s="2">
        <v>-4.1597722772277219</v>
      </c>
      <c r="ES3" s="2">
        <v>-4.1170099009900989</v>
      </c>
      <c r="ET3" s="2">
        <v>-4.1364158415841583</v>
      </c>
      <c r="EU3" s="2">
        <v>-4.1559405940594063</v>
      </c>
      <c r="EV3" s="2">
        <v>-4.1757425742574261</v>
      </c>
      <c r="EW3" s="2">
        <v>-4.1955445544554459</v>
      </c>
      <c r="EX3" s="2">
        <v>-4.2150396039603963</v>
      </c>
      <c r="EY3" s="2">
        <v>-4.2344455445544549</v>
      </c>
      <c r="EZ3" s="2">
        <v>-4.2539504950495051</v>
      </c>
      <c r="FA3" s="2">
        <v>-4.2737524752475249</v>
      </c>
      <c r="FB3" s="2">
        <v>-4.2935544554455447</v>
      </c>
      <c r="FC3" s="2">
        <v>-4.3133564356435645</v>
      </c>
      <c r="FD3" s="2">
        <v>-4.3331584158415843</v>
      </c>
      <c r="FE3" s="2">
        <v>-4.3529603960396042</v>
      </c>
      <c r="FF3" s="2">
        <v>-4.372762376237624</v>
      </c>
      <c r="FG3" s="2">
        <v>-4.3925643564356438</v>
      </c>
      <c r="FH3" s="2">
        <v>-4.4123663366336636</v>
      </c>
      <c r="FI3" s="2">
        <v>-4.4321683168316834</v>
      </c>
      <c r="FJ3" s="2">
        <v>-4.4519702970297024</v>
      </c>
      <c r="FK3" s="2">
        <v>-4.4717722772277222</v>
      </c>
      <c r="FL3" s="2">
        <v>-4.491574257425742</v>
      </c>
      <c r="FM3" s="2">
        <v>-4.5114378109452735</v>
      </c>
      <c r="FN3" s="2">
        <v>-4.5313383084577117</v>
      </c>
      <c r="FO3" s="2">
        <v>-4.5511831683168316</v>
      </c>
      <c r="FP3" s="2">
        <v>-4.570589108910891</v>
      </c>
      <c r="FQ3" s="2">
        <v>-4.5899950495049504</v>
      </c>
      <c r="FR3" s="2">
        <v>-4.6094009900990098</v>
      </c>
      <c r="FS3" s="2">
        <v>-4.6288069306930693</v>
      </c>
      <c r="FT3" s="2">
        <v>-4.6482128712871287</v>
      </c>
      <c r="FU3" s="2">
        <v>-4.6676188118811881</v>
      </c>
      <c r="FV3" s="2">
        <v>-4.6870247524752475</v>
      </c>
      <c r="FW3" s="2">
        <v>-4.706217821782178</v>
      </c>
      <c r="FX3" s="2">
        <v>-4.725227722772277</v>
      </c>
      <c r="FY3" s="2">
        <v>-4.744237623762376</v>
      </c>
      <c r="FZ3" s="2">
        <v>-4.763247524752475</v>
      </c>
      <c r="GA3" s="2">
        <v>-4.7822574257425741</v>
      </c>
      <c r="GB3" s="2">
        <v>-4.8012673267326731</v>
      </c>
      <c r="GC3" s="2">
        <v>-4.8202772277227721</v>
      </c>
      <c r="GD3" s="2">
        <v>-4.8392871287128711</v>
      </c>
      <c r="GE3" s="2">
        <v>-4.8579158415841581</v>
      </c>
      <c r="GF3" s="2">
        <v>-4.8765297029702968</v>
      </c>
      <c r="GG3" s="2">
        <v>-4.8949801734820317</v>
      </c>
      <c r="GH3" s="2">
        <v>-4.913220570012391</v>
      </c>
      <c r="GI3" s="2">
        <v>-4.9314609665427502</v>
      </c>
      <c r="GJ3" s="2">
        <v>-4.9497013630731095</v>
      </c>
      <c r="GK3" s="2">
        <v>-4.9679417596034696</v>
      </c>
      <c r="GL3" s="2">
        <v>-4.9861821561338289</v>
      </c>
      <c r="GM3" s="2">
        <v>-5.0044225526641881</v>
      </c>
      <c r="GN3" s="2">
        <v>-5.0226629491945474</v>
      </c>
      <c r="GO3" s="2">
        <v>-5.0409033457249066</v>
      </c>
      <c r="GP3" s="2">
        <v>-5.0591437422552659</v>
      </c>
      <c r="GQ3" s="2">
        <v>-5.0772376237623762</v>
      </c>
      <c r="GR3" s="2">
        <v>-5.095059405940594</v>
      </c>
      <c r="GS3" s="2">
        <v>-5.1128811881188119</v>
      </c>
      <c r="GT3" s="2">
        <v>-5.1307029702970297</v>
      </c>
      <c r="GU3" s="2">
        <v>-5.1485247524752475</v>
      </c>
      <c r="GV3" s="2">
        <v>-5.1663465346534654</v>
      </c>
      <c r="GW3" s="2">
        <v>-5.1841683168316832</v>
      </c>
      <c r="GX3" s="2">
        <v>-5.2019900990099011</v>
      </c>
      <c r="GY3" s="2"/>
      <c r="GZ3" s="2"/>
      <c r="HA3" s="2"/>
      <c r="HB3" s="2"/>
      <c r="HC3" s="2"/>
      <c r="HD3" s="2"/>
      <c r="HE3" s="2"/>
    </row>
    <row r="4" spans="1:213" ht="21.75" thickBot="1" x14ac:dyDescent="0.35">
      <c r="A4" s="31" t="s">
        <v>17</v>
      </c>
      <c r="B4" s="32">
        <v>0.08</v>
      </c>
      <c r="C4" s="32">
        <v>0.08</v>
      </c>
      <c r="D4" s="32">
        <v>0.08</v>
      </c>
      <c r="E4" s="32">
        <v>0.08</v>
      </c>
      <c r="F4" s="32">
        <v>0.16</v>
      </c>
      <c r="G4" s="32">
        <v>0.16</v>
      </c>
      <c r="H4" s="32">
        <v>0.16</v>
      </c>
      <c r="I4" s="32">
        <v>0.16</v>
      </c>
      <c r="J4" s="32">
        <v>0.16</v>
      </c>
      <c r="K4" s="32">
        <v>9.1824000000000003E-3</v>
      </c>
      <c r="L4" s="32">
        <v>3.6989000000000001E-9</v>
      </c>
      <c r="M4" s="32">
        <v>1.1703000000000001E-10</v>
      </c>
      <c r="N4" s="32">
        <v>2.5212E-11</v>
      </c>
      <c r="O4" s="32">
        <v>8.4148999999999998E-13</v>
      </c>
      <c r="P4" s="32">
        <v>1.4323E-22</v>
      </c>
      <c r="Q4" s="32">
        <v>2.0447000000000001E-27</v>
      </c>
      <c r="R4" s="32">
        <v>1.1809E-32</v>
      </c>
      <c r="S4" s="32">
        <v>0</v>
      </c>
      <c r="T4" s="3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/>
      <c r="AG4" s="2"/>
      <c r="AH4" s="2"/>
      <c r="CL4" s="54" t="s">
        <v>6</v>
      </c>
      <c r="CM4" s="55">
        <f>CV1</f>
        <v>445</v>
      </c>
      <c r="CN4" s="2"/>
      <c r="CQ4" s="8">
        <v>80.073409999999996</v>
      </c>
      <c r="CR4" s="8">
        <v>2.9986000000000001E-3</v>
      </c>
      <c r="CS4" s="4">
        <f t="shared" si="0"/>
        <v>353.22340999999994</v>
      </c>
      <c r="CT4" s="9">
        <f>Таблица1[[#This Row],[DSC/(mW/mg)]]</f>
        <v>2.9986000000000001E-3</v>
      </c>
      <c r="DO4" s="3" t="s">
        <v>17</v>
      </c>
      <c r="DP4" s="4">
        <v>-38.044702970297031</v>
      </c>
      <c r="DQ4" s="4">
        <v>-37.276534653465347</v>
      </c>
      <c r="DR4" s="4">
        <v>-36.555742574257422</v>
      </c>
      <c r="DS4" s="4">
        <v>-35.841138613861382</v>
      </c>
      <c r="DT4" s="2">
        <v>-35.219356435643562</v>
      </c>
      <c r="DU4" s="2">
        <v>-34.597574257425741</v>
      </c>
      <c r="DV4" s="2">
        <v>-34.018366336633662</v>
      </c>
      <c r="DW4" s="2">
        <v>-33.47579207920792</v>
      </c>
      <c r="DX4" s="2">
        <v>-32.934978960396037</v>
      </c>
      <c r="DY4" s="2">
        <v>-32.533295792079201</v>
      </c>
      <c r="DZ4" s="2">
        <v>-32.131612623762372</v>
      </c>
      <c r="EA4" s="2">
        <v>-31.729929455445543</v>
      </c>
      <c r="EB4" s="2">
        <v>-31.32824628712871</v>
      </c>
      <c r="EC4" s="2">
        <v>-30.926563118811877</v>
      </c>
      <c r="ED4" s="2">
        <v>-30.524879950495048</v>
      </c>
      <c r="EE4" s="2">
        <v>-30.123196782178216</v>
      </c>
      <c r="EF4" s="2">
        <v>-29.721513613861383</v>
      </c>
      <c r="EG4" s="2">
        <v>-29.319830445544554</v>
      </c>
      <c r="EH4" s="2">
        <v>-28.918147277227721</v>
      </c>
      <c r="EI4" s="2">
        <v>-28.607623762376235</v>
      </c>
      <c r="EJ4" s="2">
        <v>-28.305841584158415</v>
      </c>
      <c r="EK4" s="2">
        <v>-28.017564356435642</v>
      </c>
      <c r="EL4" s="2">
        <v>-27.750633663366337</v>
      </c>
      <c r="EM4" s="2">
        <v>-27.483702970297031</v>
      </c>
      <c r="EN4" s="2">
        <v>-27.234850746268656</v>
      </c>
      <c r="EO4" s="2">
        <v>-26.988880597014926</v>
      </c>
      <c r="EP4" s="2">
        <v>-26.754425742574259</v>
      </c>
      <c r="EQ4" s="2">
        <v>-26.541356435643564</v>
      </c>
      <c r="ER4" s="2">
        <v>-26.328287128712873</v>
      </c>
      <c r="ES4" s="2">
        <v>-26.405029702970296</v>
      </c>
      <c r="ET4" s="2">
        <v>-26.543247524752477</v>
      </c>
      <c r="EU4" s="2">
        <v>-26.681584158415841</v>
      </c>
      <c r="EV4" s="2">
        <v>-26.820198019801978</v>
      </c>
      <c r="EW4" s="2">
        <v>-26.958811881188119</v>
      </c>
      <c r="EX4" s="2">
        <v>-27.094049504950494</v>
      </c>
      <c r="EY4" s="2">
        <v>-27.228306930693066</v>
      </c>
      <c r="EZ4" s="2">
        <v>-27.36266336633663</v>
      </c>
      <c r="FA4" s="2">
        <v>-27.497316831683168</v>
      </c>
      <c r="FB4" s="2">
        <v>-27.631970297029703</v>
      </c>
      <c r="FC4" s="2">
        <v>-27.765188118811881</v>
      </c>
      <c r="FD4" s="2">
        <v>-27.897861386138615</v>
      </c>
      <c r="FE4" s="2">
        <v>-28.030534653465345</v>
      </c>
      <c r="FF4" s="2">
        <v>-28.163207920792079</v>
      </c>
      <c r="FG4" s="2">
        <v>-28.295881188118813</v>
      </c>
      <c r="FH4" s="2">
        <v>-28.428554455445546</v>
      </c>
      <c r="FI4" s="2">
        <v>-28.561227722772276</v>
      </c>
      <c r="FJ4" s="2">
        <v>-28.69390099009901</v>
      </c>
      <c r="FK4" s="2">
        <v>-28.826574257425744</v>
      </c>
      <c r="FL4" s="2">
        <v>-28.959247524752477</v>
      </c>
      <c r="FM4" s="2">
        <v>-29.091089552238806</v>
      </c>
      <c r="FN4" s="2">
        <v>-29.222432835820893</v>
      </c>
      <c r="FO4" s="2">
        <v>-29.353212871287127</v>
      </c>
      <c r="FP4" s="2">
        <v>-29.479549504950494</v>
      </c>
      <c r="FQ4" s="2">
        <v>-29.605886138613858</v>
      </c>
      <c r="FR4" s="2">
        <v>-29.732222772277225</v>
      </c>
      <c r="FS4" s="2">
        <v>-29.858559405940593</v>
      </c>
      <c r="FT4" s="2">
        <v>-29.984896039603957</v>
      </c>
      <c r="FU4" s="2">
        <v>-30.111232673267324</v>
      </c>
      <c r="FV4" s="2">
        <v>-30.237569306930691</v>
      </c>
      <c r="FW4" s="2">
        <v>-30.36369306930693</v>
      </c>
      <c r="FX4" s="2">
        <v>-30.489633663366337</v>
      </c>
      <c r="FY4" s="2">
        <v>-30.615524752475249</v>
      </c>
      <c r="FZ4" s="2">
        <v>-30.737504950495047</v>
      </c>
      <c r="GA4" s="2">
        <v>-30.85948514851485</v>
      </c>
      <c r="GB4" s="2">
        <v>-30.981465346534652</v>
      </c>
      <c r="GC4" s="2">
        <v>-31.103445544554454</v>
      </c>
      <c r="GD4" s="2">
        <v>-31.225425742574259</v>
      </c>
      <c r="GE4" s="2">
        <v>-31.347024752475249</v>
      </c>
      <c r="GF4" s="2">
        <v>-31.468608910891088</v>
      </c>
      <c r="GG4" s="2">
        <v>-31.588350681536554</v>
      </c>
      <c r="GH4" s="2">
        <v>-31.705723667905822</v>
      </c>
      <c r="GI4" s="2">
        <v>-31.823096654275091</v>
      </c>
      <c r="GJ4" s="2">
        <v>-31.940469640644359</v>
      </c>
      <c r="GK4" s="2">
        <v>-32.057842627013628</v>
      </c>
      <c r="GL4" s="2">
        <v>-32.175215613382896</v>
      </c>
      <c r="GM4" s="2">
        <v>-32.292588599752165</v>
      </c>
      <c r="GN4" s="2">
        <v>-32.409961586121433</v>
      </c>
      <c r="GO4" s="2">
        <v>-32.527334572490702</v>
      </c>
      <c r="GP4" s="2">
        <v>-32.64470755885997</v>
      </c>
      <c r="GQ4" s="2">
        <v>-32.760504950495047</v>
      </c>
      <c r="GR4" s="2">
        <v>-32.873376237623759</v>
      </c>
      <c r="GS4" s="2">
        <v>-32.986247524752478</v>
      </c>
      <c r="GT4" s="2">
        <v>-33.102386138613859</v>
      </c>
      <c r="GU4" s="2">
        <v>-33.219217821782181</v>
      </c>
      <c r="GV4" s="2">
        <v>-33.334861386138613</v>
      </c>
      <c r="GW4" s="2">
        <v>-33.447732673267325</v>
      </c>
      <c r="GX4" s="2">
        <v>-33.560603960396037</v>
      </c>
      <c r="GY4" s="2"/>
      <c r="GZ4" s="2"/>
      <c r="HA4" s="2"/>
      <c r="HB4" s="2"/>
      <c r="HC4" s="2"/>
      <c r="HD4" s="2"/>
      <c r="HE4" s="2"/>
    </row>
    <row r="5" spans="1:213" ht="21.75" thickBot="1" x14ac:dyDescent="0.35">
      <c r="A5" s="31" t="s">
        <v>18</v>
      </c>
      <c r="B5" s="32">
        <v>0</v>
      </c>
      <c r="C5" s="32">
        <v>0</v>
      </c>
      <c r="D5" s="32">
        <v>0</v>
      </c>
      <c r="E5" s="32">
        <v>0</v>
      </c>
      <c r="F5" s="32">
        <v>0</v>
      </c>
      <c r="G5" s="32">
        <v>0</v>
      </c>
      <c r="H5" s="32">
        <v>0</v>
      </c>
      <c r="I5" s="32">
        <v>0</v>
      </c>
      <c r="J5" s="32">
        <v>0</v>
      </c>
      <c r="K5" s="32">
        <v>0</v>
      </c>
      <c r="L5" s="32">
        <v>0</v>
      </c>
      <c r="M5" s="32">
        <v>0</v>
      </c>
      <c r="N5" s="32">
        <v>0</v>
      </c>
      <c r="O5" s="32">
        <v>0</v>
      </c>
      <c r="P5" s="32">
        <v>1.5319E-30</v>
      </c>
      <c r="Q5" s="32">
        <v>1.2594999999999999E-26</v>
      </c>
      <c r="R5" s="32">
        <v>8.6149000000000006E-22</v>
      </c>
      <c r="S5" s="32">
        <v>0</v>
      </c>
      <c r="T5" s="32">
        <v>2.6909999999999999E-17</v>
      </c>
      <c r="U5" s="2">
        <v>3.8658999999999999E-16</v>
      </c>
      <c r="V5" s="2">
        <v>1.6123E-10</v>
      </c>
      <c r="W5" s="2">
        <v>3.8103000000000002E-7</v>
      </c>
      <c r="X5" s="2">
        <v>2.5778999999999998E-7</v>
      </c>
      <c r="Y5" s="2">
        <v>5.6702E-8</v>
      </c>
      <c r="Z5" s="2">
        <v>4.6037999999999998E-8</v>
      </c>
      <c r="AA5" s="2">
        <v>3.0519999999999998E-8</v>
      </c>
      <c r="AB5" s="2">
        <v>1.0039E-9</v>
      </c>
      <c r="AC5" s="2">
        <v>3.0519999999999998E-8</v>
      </c>
      <c r="AD5" s="2">
        <v>1.0039E-9</v>
      </c>
      <c r="AE5" s="2">
        <v>3.4799000000000001E-16</v>
      </c>
      <c r="AF5" s="2"/>
      <c r="AG5" s="2"/>
      <c r="AH5" s="2"/>
      <c r="CL5" s="6">
        <f>CM4</f>
        <v>445</v>
      </c>
      <c r="CM5" s="25">
        <f>MIN($A$3:$CJ$63)*100</f>
        <v>-6636</v>
      </c>
      <c r="CQ5" s="8">
        <v>82.146820000000005</v>
      </c>
      <c r="CR5" s="8">
        <v>3.3343000000000001E-3</v>
      </c>
      <c r="CS5" s="4">
        <f t="shared" si="0"/>
        <v>355.29681999999997</v>
      </c>
      <c r="CT5" s="9">
        <f>Таблица1[[#This Row],[DSC/(mW/mg)]]</f>
        <v>3.3343000000000001E-3</v>
      </c>
      <c r="DO5" s="3" t="s">
        <v>18</v>
      </c>
      <c r="DP5" s="4">
        <v>-62.667772277227719</v>
      </c>
      <c r="DQ5" s="4">
        <v>-61.130742574257425</v>
      </c>
      <c r="DR5" s="4">
        <v>-59.68519801980198</v>
      </c>
      <c r="DS5" s="4">
        <v>-58.251039603960393</v>
      </c>
      <c r="DT5" s="2">
        <v>-56.987673267326734</v>
      </c>
      <c r="DU5" s="2">
        <v>-55.724306930693068</v>
      </c>
      <c r="DV5" s="2">
        <v>-54.333217821782178</v>
      </c>
      <c r="DW5" s="2">
        <v>-52.832227722772274</v>
      </c>
      <c r="DX5" s="2">
        <v>-51.332240099009901</v>
      </c>
      <c r="DY5" s="2">
        <v>-49.911448019801981</v>
      </c>
      <c r="DZ5" s="2">
        <v>-48.49065594059406</v>
      </c>
      <c r="EA5" s="2">
        <v>-47.069863861386139</v>
      </c>
      <c r="EB5" s="2">
        <v>-45.649071782178218</v>
      </c>
      <c r="EC5" s="2">
        <v>-44.228279702970298</v>
      </c>
      <c r="ED5" s="2">
        <v>-42.80748762376237</v>
      </c>
      <c r="EE5" s="2">
        <v>-41.386695544554456</v>
      </c>
      <c r="EF5" s="2">
        <v>-39.965903465346528</v>
      </c>
      <c r="EG5" s="2">
        <v>-38.545111386138615</v>
      </c>
      <c r="EH5" s="2">
        <v>-37.124319306930687</v>
      </c>
      <c r="EI5" s="2">
        <v>-35.962821782178217</v>
      </c>
      <c r="EJ5" s="2">
        <v>-34.826188118811878</v>
      </c>
      <c r="EK5" s="2">
        <v>-33.724851485148513</v>
      </c>
      <c r="EL5" s="2">
        <v>-32.679306930693073</v>
      </c>
      <c r="EM5" s="2">
        <v>-31.633762376237627</v>
      </c>
      <c r="EN5" s="2">
        <v>-30.648955223880598</v>
      </c>
      <c r="EO5" s="2">
        <v>-29.673830845771143</v>
      </c>
      <c r="EP5" s="2">
        <v>-28.723960396039601</v>
      </c>
      <c r="EQ5" s="2">
        <v>-27.820990099009901</v>
      </c>
      <c r="ER5" s="2">
        <v>-26.918019801980197</v>
      </c>
      <c r="ES5" s="2">
        <v>-26.064059405940593</v>
      </c>
      <c r="ET5" s="2">
        <v>-25.220495049504951</v>
      </c>
      <c r="EU5" s="2">
        <v>-24.393564356435643</v>
      </c>
      <c r="EV5" s="2">
        <v>-23.605445544554453</v>
      </c>
      <c r="EW5" s="2">
        <v>-22.817326732673266</v>
      </c>
      <c r="EX5" s="2">
        <v>-22.066039603960395</v>
      </c>
      <c r="EY5" s="2">
        <v>-21.325445544554455</v>
      </c>
      <c r="EZ5" s="2">
        <v>-20.595742574257425</v>
      </c>
      <c r="FA5" s="2">
        <v>-19.898712871287131</v>
      </c>
      <c r="FB5" s="2">
        <v>-19.201683168316837</v>
      </c>
      <c r="FC5" s="2">
        <v>-18.569257425742578</v>
      </c>
      <c r="FD5" s="2">
        <v>-17.961336633663372</v>
      </c>
      <c r="FE5" s="2">
        <v>-17.353415841584162</v>
      </c>
      <c r="FF5" s="2">
        <v>-16.745495049504953</v>
      </c>
      <c r="FG5" s="2">
        <v>-16.137574257425744</v>
      </c>
      <c r="FH5" s="2">
        <v>-15.529653465346536</v>
      </c>
      <c r="FI5" s="2">
        <v>-14.921732673267329</v>
      </c>
      <c r="FJ5" s="2">
        <v>-14.313811881188119</v>
      </c>
      <c r="FK5" s="2">
        <v>-13.705891089108912</v>
      </c>
      <c r="FL5" s="2">
        <v>-13.097970297029704</v>
      </c>
      <c r="FM5" s="2">
        <v>-12.536666666666667</v>
      </c>
      <c r="FN5" s="2">
        <v>-12.003333333333334</v>
      </c>
      <c r="FO5" s="2">
        <v>-11.472970297029704</v>
      </c>
      <c r="FP5" s="2">
        <v>-10.966039603960395</v>
      </c>
      <c r="FQ5" s="2">
        <v>-10.459108910891088</v>
      </c>
      <c r="FR5" s="2">
        <v>-9.9752128712871269</v>
      </c>
      <c r="FS5" s="2">
        <v>-9.5074900990098996</v>
      </c>
      <c r="FT5" s="2">
        <v>-9.0558316831683179</v>
      </c>
      <c r="FU5" s="2">
        <v>-8.845138613861387</v>
      </c>
      <c r="FV5" s="2">
        <v>-8.6344455445544579</v>
      </c>
      <c r="FW5" s="2">
        <v>-8.4284356435643577</v>
      </c>
      <c r="FX5" s="2">
        <v>-8.2264554455445538</v>
      </c>
      <c r="FY5" s="2">
        <v>-8.0249702970297019</v>
      </c>
      <c r="FZ5" s="2">
        <v>-7.8625940594059402</v>
      </c>
      <c r="GA5" s="2">
        <v>-7.7002178217821786</v>
      </c>
      <c r="GB5" s="2">
        <v>-7.635920792079208</v>
      </c>
      <c r="GC5" s="2">
        <v>-7.6747326732673269</v>
      </c>
      <c r="GD5" s="2">
        <v>-7.7135445544554457</v>
      </c>
      <c r="GE5" s="2">
        <v>-7.7531188118811887</v>
      </c>
      <c r="GF5" s="2">
        <v>-7.7927227722772283</v>
      </c>
      <c r="GG5" s="2">
        <v>-7.8332589838909543</v>
      </c>
      <c r="GH5" s="2">
        <v>-7.8749938042131351</v>
      </c>
      <c r="GI5" s="2">
        <v>-7.9167286245353168</v>
      </c>
      <c r="GJ5" s="2">
        <v>-7.9584634448574976</v>
      </c>
      <c r="GK5" s="2">
        <v>-8.0001982651796784</v>
      </c>
      <c r="GL5" s="2">
        <v>-8.04193308550186</v>
      </c>
      <c r="GM5" s="2">
        <v>-8.0836679058240399</v>
      </c>
      <c r="GN5" s="2">
        <v>-8.1254027261462216</v>
      </c>
      <c r="GO5" s="2">
        <v>-8.1671375464684015</v>
      </c>
      <c r="GP5" s="2">
        <v>-8.2088723667905832</v>
      </c>
      <c r="GQ5" s="2">
        <v>-8.2518019801980209</v>
      </c>
      <c r="GR5" s="2">
        <v>-8.2969504950495043</v>
      </c>
      <c r="GS5" s="2">
        <v>-8.3420990099009895</v>
      </c>
      <c r="GT5" s="2">
        <v>-8.3888811881188108</v>
      </c>
      <c r="GU5" s="2">
        <v>-8.4360099009900988</v>
      </c>
      <c r="GV5" s="2">
        <v>-8.4837326732673262</v>
      </c>
      <c r="GW5" s="2">
        <v>-8.5328415841584153</v>
      </c>
      <c r="GX5" s="2">
        <v>-8.5819504950495045</v>
      </c>
      <c r="GY5" s="2"/>
      <c r="GZ5" s="2"/>
      <c r="HA5" s="2"/>
      <c r="HB5" s="2"/>
      <c r="HC5" s="2"/>
      <c r="HD5" s="2"/>
      <c r="HE5" s="2"/>
    </row>
    <row r="6" spans="1:213" ht="21.75" thickBot="1" x14ac:dyDescent="0.35">
      <c r="A6" s="31" t="s">
        <v>19</v>
      </c>
      <c r="B6" s="32">
        <v>0</v>
      </c>
      <c r="C6" s="32">
        <v>0</v>
      </c>
      <c r="D6" s="32">
        <v>0</v>
      </c>
      <c r="E6" s="32">
        <v>0</v>
      </c>
      <c r="F6" s="32">
        <v>0</v>
      </c>
      <c r="G6" s="32">
        <v>0</v>
      </c>
      <c r="H6" s="32">
        <v>0</v>
      </c>
      <c r="I6" s="32">
        <v>0</v>
      </c>
      <c r="J6" s="32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32">
        <v>1.5241999999999999E-19</v>
      </c>
      <c r="Q6" s="32">
        <v>4.1139000000000001E-15</v>
      </c>
      <c r="R6" s="32">
        <v>9.6581E-10</v>
      </c>
      <c r="S6" s="32">
        <v>9.2078000000000004E-3</v>
      </c>
      <c r="T6" s="32">
        <v>6.4236000000000001E-2</v>
      </c>
      <c r="U6" s="2">
        <v>7.5584999999999999E-2</v>
      </c>
      <c r="V6" s="2">
        <v>2.9709999999999998E-7</v>
      </c>
      <c r="W6" s="2">
        <v>1.8911999999999999E-20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/>
      <c r="AG6" s="2"/>
      <c r="AH6" s="2"/>
      <c r="CL6" s="5">
        <f>CL5</f>
        <v>445</v>
      </c>
      <c r="CM6" s="25">
        <v>10</v>
      </c>
      <c r="CQ6" s="8">
        <v>84.220230000000001</v>
      </c>
      <c r="CR6" s="8">
        <v>3.0276999999999999E-3</v>
      </c>
      <c r="CS6" s="4">
        <f t="shared" si="0"/>
        <v>357.37022999999999</v>
      </c>
      <c r="CT6" s="9">
        <f>Таблица1[[#This Row],[DSC/(mW/mg)]]</f>
        <v>3.0276999999999999E-3</v>
      </c>
      <c r="DO6" s="3" t="s">
        <v>19</v>
      </c>
      <c r="DP6" s="4">
        <v>-147.73445544554454</v>
      </c>
      <c r="DQ6" s="4">
        <v>-144.17158415841584</v>
      </c>
      <c r="DR6" s="4">
        <v>-140.82108910891088</v>
      </c>
      <c r="DS6" s="4">
        <v>-137.49707920792079</v>
      </c>
      <c r="DT6" s="2">
        <v>-134.57034653465345</v>
      </c>
      <c r="DU6" s="2">
        <v>-131.64361386138614</v>
      </c>
      <c r="DV6" s="2">
        <v>-128.62534653465346</v>
      </c>
      <c r="DW6" s="2">
        <v>-125.52831683168316</v>
      </c>
      <c r="DX6" s="2">
        <v>-122.43596534653464</v>
      </c>
      <c r="DY6" s="2">
        <v>-119.71319306930693</v>
      </c>
      <c r="DZ6" s="2">
        <v>-116.99042079207921</v>
      </c>
      <c r="EA6" s="2">
        <v>-114.26764851485147</v>
      </c>
      <c r="EB6" s="2">
        <v>-111.54487623762375</v>
      </c>
      <c r="EC6" s="2">
        <v>-108.82210396039603</v>
      </c>
      <c r="ED6" s="2">
        <v>-106.09933168316832</v>
      </c>
      <c r="EE6" s="2">
        <v>-103.37655940594058</v>
      </c>
      <c r="EF6" s="2">
        <v>-100.65378712871286</v>
      </c>
      <c r="EG6" s="2">
        <v>-97.931014851485145</v>
      </c>
      <c r="EH6" s="2">
        <v>-95.208242574257412</v>
      </c>
      <c r="EI6" s="2">
        <v>-93.004059405940595</v>
      </c>
      <c r="EJ6" s="2">
        <v>-90.849603960396038</v>
      </c>
      <c r="EK6" s="2">
        <v>-88.767277227722772</v>
      </c>
      <c r="EL6" s="2">
        <v>-86.798960396039604</v>
      </c>
      <c r="EM6" s="2">
        <v>-84.83064356435645</v>
      </c>
      <c r="EN6" s="2">
        <v>-82.980895522388067</v>
      </c>
      <c r="EO6" s="2">
        <v>-81.15004975124377</v>
      </c>
      <c r="EP6" s="2">
        <v>-79.370891089108909</v>
      </c>
      <c r="EQ6" s="2">
        <v>-77.687722772277226</v>
      </c>
      <c r="ER6" s="2">
        <v>-76.004554455445543</v>
      </c>
      <c r="ES6" s="2">
        <v>-74.416138613861392</v>
      </c>
      <c r="ET6" s="2">
        <v>-72.847821782178215</v>
      </c>
      <c r="EU6" s="2">
        <v>-71.312772277227722</v>
      </c>
      <c r="EV6" s="2">
        <v>-69.855346534653464</v>
      </c>
      <c r="EW6" s="2">
        <v>-68.397920792079191</v>
      </c>
      <c r="EX6" s="2">
        <v>-67.01108910891088</v>
      </c>
      <c r="EY6" s="2">
        <v>-65.644752475247529</v>
      </c>
      <c r="EZ6" s="2">
        <v>-64.300198019801982</v>
      </c>
      <c r="FA6" s="2">
        <v>-63.020990099009907</v>
      </c>
      <c r="FB6" s="2">
        <v>-61.741782178217832</v>
      </c>
      <c r="FC6" s="2">
        <v>-60.59034653465347</v>
      </c>
      <c r="FD6" s="2">
        <v>-59.487376237623771</v>
      </c>
      <c r="FE6" s="2">
        <v>-58.384405940594064</v>
      </c>
      <c r="FF6" s="2">
        <v>-57.281435643564357</v>
      </c>
      <c r="FG6" s="2">
        <v>-56.178465346534658</v>
      </c>
      <c r="FH6" s="2">
        <v>-55.075495049504951</v>
      </c>
      <c r="FI6" s="2">
        <v>-53.972524752475252</v>
      </c>
      <c r="FJ6" s="2">
        <v>-52.869554455445545</v>
      </c>
      <c r="FK6" s="2">
        <v>-51.766584158415839</v>
      </c>
      <c r="FL6" s="2">
        <v>-50.663613861386139</v>
      </c>
      <c r="FM6" s="2">
        <v>-49.652985074626862</v>
      </c>
      <c r="FN6" s="2">
        <v>-48.697761194029852</v>
      </c>
      <c r="FO6" s="2">
        <v>-47.747970297029703</v>
      </c>
      <c r="FP6" s="2">
        <v>-46.841039603960397</v>
      </c>
      <c r="FQ6" s="2">
        <v>-45.934108910891084</v>
      </c>
      <c r="FR6" s="2">
        <v>-45.073247524752475</v>
      </c>
      <c r="FS6" s="2">
        <v>-44.244732673267329</v>
      </c>
      <c r="FT6" s="2">
        <v>-43.448346534653467</v>
      </c>
      <c r="FU6" s="2">
        <v>-43.133891089108914</v>
      </c>
      <c r="FV6" s="2">
        <v>-42.819435643564361</v>
      </c>
      <c r="FW6" s="2">
        <v>-42.51434653465347</v>
      </c>
      <c r="FX6" s="2">
        <v>-42.217316831683171</v>
      </c>
      <c r="FY6" s="2">
        <v>-41.921227722772279</v>
      </c>
      <c r="FZ6" s="2">
        <v>-41.699445544554457</v>
      </c>
      <c r="GA6" s="2">
        <v>-41.477663366336628</v>
      </c>
      <c r="GB6" s="2">
        <v>-41.452039603960394</v>
      </c>
      <c r="GC6" s="2">
        <v>-41.632633663366335</v>
      </c>
      <c r="GD6" s="2">
        <v>-41.813227722772275</v>
      </c>
      <c r="GE6" s="2">
        <v>-41.995346534653464</v>
      </c>
      <c r="GF6" s="2">
        <v>-42.17752475247525</v>
      </c>
      <c r="GG6" s="2">
        <v>-42.359888475836435</v>
      </c>
      <c r="GH6" s="2">
        <v>-42.542490706319704</v>
      </c>
      <c r="GI6" s="2">
        <v>-42.725092936802973</v>
      </c>
      <c r="GJ6" s="2">
        <v>-42.907695167286249</v>
      </c>
      <c r="GK6" s="2">
        <v>-43.090297397769518</v>
      </c>
      <c r="GL6" s="2">
        <v>-43.272899628252787</v>
      </c>
      <c r="GM6" s="2">
        <v>-43.455501858736056</v>
      </c>
      <c r="GN6" s="2">
        <v>-43.638104089219333</v>
      </c>
      <c r="GO6" s="2">
        <v>-43.820706319702602</v>
      </c>
      <c r="GP6" s="2">
        <v>-44.003308550185871</v>
      </c>
      <c r="GQ6" s="2">
        <v>-44.18687128712871</v>
      </c>
      <c r="GR6" s="2">
        <v>-44.372217821782179</v>
      </c>
      <c r="GS6" s="2">
        <v>-44.557564356435648</v>
      </c>
      <c r="GT6" s="2">
        <v>-44.749445544554462</v>
      </c>
      <c r="GU6" s="2">
        <v>-44.942712871287128</v>
      </c>
      <c r="GV6" s="2">
        <v>-45.135980198019801</v>
      </c>
      <c r="GW6" s="2">
        <v>-45.329247524752475</v>
      </c>
      <c r="GX6" s="2">
        <v>-45.522514851485155</v>
      </c>
      <c r="GY6" s="2"/>
      <c r="GZ6" s="2"/>
      <c r="HA6" s="2"/>
      <c r="HB6" s="2"/>
      <c r="HC6" s="2"/>
      <c r="HD6" s="2"/>
      <c r="HE6" s="2"/>
    </row>
    <row r="7" spans="1:213" ht="21.75" thickBot="1" x14ac:dyDescent="0.35">
      <c r="A7" s="31" t="s">
        <v>20</v>
      </c>
      <c r="B7" s="32">
        <v>0</v>
      </c>
      <c r="C7" s="32">
        <v>0</v>
      </c>
      <c r="D7" s="32">
        <v>0</v>
      </c>
      <c r="E7" s="32">
        <v>0</v>
      </c>
      <c r="F7" s="32">
        <v>0</v>
      </c>
      <c r="G7" s="32">
        <v>2.3243999999999999E-16</v>
      </c>
      <c r="H7" s="32">
        <v>7.8193999999999996E-12</v>
      </c>
      <c r="I7" s="32">
        <v>7.4438999999999995E-11</v>
      </c>
      <c r="J7" s="32">
        <v>2.2467000000000001E-9</v>
      </c>
      <c r="K7" s="32">
        <v>7.5409000000000004E-2</v>
      </c>
      <c r="L7" s="32">
        <v>0.08</v>
      </c>
      <c r="M7" s="32">
        <v>0.08</v>
      </c>
      <c r="N7" s="32">
        <v>0.08</v>
      </c>
      <c r="O7" s="32">
        <v>0.08</v>
      </c>
      <c r="P7" s="32">
        <v>0.08</v>
      </c>
      <c r="Q7" s="32">
        <v>0.08</v>
      </c>
      <c r="R7" s="32">
        <v>0.08</v>
      </c>
      <c r="S7" s="32">
        <v>0.08</v>
      </c>
      <c r="T7" s="32">
        <v>0.08</v>
      </c>
      <c r="U7" s="2">
        <v>0.08</v>
      </c>
      <c r="V7" s="2">
        <v>6.6105999999999998E-2</v>
      </c>
      <c r="W7" s="2">
        <v>6.3434000000000004E-2</v>
      </c>
      <c r="X7" s="2">
        <v>6.0543E-2</v>
      </c>
      <c r="Y7" s="2">
        <v>4.3836E-2</v>
      </c>
      <c r="Z7" s="2">
        <v>3.7795000000000002E-2</v>
      </c>
      <c r="AA7" s="2">
        <v>3.0667E-2</v>
      </c>
      <c r="AB7" s="2">
        <v>2.2196E-2</v>
      </c>
      <c r="AC7" s="2">
        <v>3.0667E-2</v>
      </c>
      <c r="AD7" s="2">
        <v>2.2196E-2</v>
      </c>
      <c r="AE7" s="2">
        <v>1.1976000000000001E-2</v>
      </c>
      <c r="AF7" s="2"/>
      <c r="AG7" s="2"/>
      <c r="AH7" s="2"/>
      <c r="CQ7" s="8">
        <v>86.293639999999996</v>
      </c>
      <c r="CR7" s="8">
        <v>2.6516999999999999E-3</v>
      </c>
      <c r="CS7" s="4">
        <f t="shared" si="0"/>
        <v>359.44363999999996</v>
      </c>
      <c r="CT7" s="9">
        <f>Таблица1[[#This Row],[DSC/(mW/mg)]]</f>
        <v>2.6516999999999999E-3</v>
      </c>
      <c r="DO7" s="3" t="s">
        <v>20</v>
      </c>
      <c r="DP7" s="4">
        <v>-15.64579207920792</v>
      </c>
      <c r="DQ7" s="4">
        <v>-15.366435643564357</v>
      </c>
      <c r="DR7" s="4">
        <v>-15.105049504950495</v>
      </c>
      <c r="DS7" s="4">
        <v>-14.846138613861386</v>
      </c>
      <c r="DT7" s="2">
        <v>-14.624356435643564</v>
      </c>
      <c r="DU7" s="2">
        <v>-14.402574257425742</v>
      </c>
      <c r="DV7" s="2">
        <v>-14.059455445544554</v>
      </c>
      <c r="DW7" s="2">
        <v>-13.611930693069306</v>
      </c>
      <c r="DX7" s="2">
        <v>-13.163493811881187</v>
      </c>
      <c r="DY7" s="2">
        <v>-12.642998762376235</v>
      </c>
      <c r="DZ7" s="2">
        <v>-12.122503712871286</v>
      </c>
      <c r="EA7" s="2">
        <v>-11.602008663366336</v>
      </c>
      <c r="EB7" s="2">
        <v>-11.081513613861386</v>
      </c>
      <c r="EC7" s="2">
        <v>-10.561018564356434</v>
      </c>
      <c r="ED7" s="2">
        <v>-10.040523514851484</v>
      </c>
      <c r="EE7" s="2">
        <v>-9.5200284653465346</v>
      </c>
      <c r="EF7" s="2">
        <v>-8.999533415841583</v>
      </c>
      <c r="EG7" s="2">
        <v>-8.4790383663366331</v>
      </c>
      <c r="EH7" s="2">
        <v>-7.9585433168316824</v>
      </c>
      <c r="EI7" s="2">
        <v>-7.5292079207920786</v>
      </c>
      <c r="EJ7" s="2">
        <v>-7.1086138613861376</v>
      </c>
      <c r="EK7" s="2">
        <v>-6.6999900990099004</v>
      </c>
      <c r="EL7" s="2">
        <v>-6.3102871287128712</v>
      </c>
      <c r="EM7" s="2">
        <v>-5.9205841584158421</v>
      </c>
      <c r="EN7" s="2">
        <v>-5.5518656716417913</v>
      </c>
      <c r="EO7" s="2">
        <v>-5.1864925373134323</v>
      </c>
      <c r="EP7" s="2">
        <v>-4.8314554455445542</v>
      </c>
      <c r="EQ7" s="2">
        <v>-4.4956138613861381</v>
      </c>
      <c r="ER7" s="2">
        <v>-4.1597722772277219</v>
      </c>
      <c r="ES7" s="2">
        <v>-4.1170099009900989</v>
      </c>
      <c r="ET7" s="2">
        <v>-4.1364158415841583</v>
      </c>
      <c r="EU7" s="2">
        <v>-4.1559405940594063</v>
      </c>
      <c r="EV7" s="2">
        <v>-4.1757425742574261</v>
      </c>
      <c r="EW7" s="2">
        <v>-4.1955445544554459</v>
      </c>
      <c r="EX7" s="2">
        <v>-4.2150396039603963</v>
      </c>
      <c r="EY7" s="2">
        <v>-4.2344455445544549</v>
      </c>
      <c r="EZ7" s="2">
        <v>-4.2539504950495051</v>
      </c>
      <c r="FA7" s="2">
        <v>-4.2737524752475249</v>
      </c>
      <c r="FB7" s="2">
        <v>-4.2935544554455447</v>
      </c>
      <c r="FC7" s="2">
        <v>-4.3133564356435645</v>
      </c>
      <c r="FD7" s="2">
        <v>-4.3331584158415843</v>
      </c>
      <c r="FE7" s="2">
        <v>-4.3529603960396042</v>
      </c>
      <c r="FF7" s="2">
        <v>-4.372762376237624</v>
      </c>
      <c r="FG7" s="2">
        <v>-4.3925643564356438</v>
      </c>
      <c r="FH7" s="2">
        <v>-4.4123663366336636</v>
      </c>
      <c r="FI7" s="2">
        <v>-4.4321683168316834</v>
      </c>
      <c r="FJ7" s="2">
        <v>-4.4519702970297024</v>
      </c>
      <c r="FK7" s="2">
        <v>-4.4717722772277222</v>
      </c>
      <c r="FL7" s="2">
        <v>-4.491574257425742</v>
      </c>
      <c r="FM7" s="2">
        <v>-4.5114378109452735</v>
      </c>
      <c r="FN7" s="2">
        <v>-4.5313383084577117</v>
      </c>
      <c r="FO7" s="2">
        <v>-4.5511831683168316</v>
      </c>
      <c r="FP7" s="2">
        <v>-4.570589108910891</v>
      </c>
      <c r="FQ7" s="2">
        <v>-4.5899950495049504</v>
      </c>
      <c r="FR7" s="2">
        <v>-4.6094009900990098</v>
      </c>
      <c r="FS7" s="2">
        <v>-4.6288069306930693</v>
      </c>
      <c r="FT7" s="2">
        <v>-4.6482128712871287</v>
      </c>
      <c r="FU7" s="2">
        <v>-4.6676188118811881</v>
      </c>
      <c r="FV7" s="2">
        <v>-4.6870247524752475</v>
      </c>
      <c r="FW7" s="2">
        <v>-4.706217821782178</v>
      </c>
      <c r="FX7" s="2">
        <v>-4.725227722772277</v>
      </c>
      <c r="FY7" s="2">
        <v>-4.744237623762376</v>
      </c>
      <c r="FZ7" s="2">
        <v>-4.763247524752475</v>
      </c>
      <c r="GA7" s="2">
        <v>-4.7822574257425741</v>
      </c>
      <c r="GB7" s="2">
        <v>-4.8012673267326731</v>
      </c>
      <c r="GC7" s="2">
        <v>-4.8202772277227721</v>
      </c>
      <c r="GD7" s="2">
        <v>-4.8392871287128711</v>
      </c>
      <c r="GE7" s="2">
        <v>-4.8579158415841581</v>
      </c>
      <c r="GF7" s="2">
        <v>-4.8765297029702968</v>
      </c>
      <c r="GG7" s="2">
        <v>-4.8949801734820317</v>
      </c>
      <c r="GH7" s="2">
        <v>-4.913220570012391</v>
      </c>
      <c r="GI7" s="2">
        <v>-4.9314609665427502</v>
      </c>
      <c r="GJ7" s="2">
        <v>-4.9497013630731095</v>
      </c>
      <c r="GK7" s="2">
        <v>-4.9679417596034696</v>
      </c>
      <c r="GL7" s="2">
        <v>-4.9861821561338289</v>
      </c>
      <c r="GM7" s="2">
        <v>-5.0044225526641881</v>
      </c>
      <c r="GN7" s="2">
        <v>-5.0226629491945474</v>
      </c>
      <c r="GO7" s="2">
        <v>-5.0409033457249066</v>
      </c>
      <c r="GP7" s="2">
        <v>-5.0591437422552659</v>
      </c>
      <c r="GQ7" s="2">
        <v>-5.0772376237623762</v>
      </c>
      <c r="GR7" s="2">
        <v>-5.095059405940594</v>
      </c>
      <c r="GS7" s="2">
        <v>-5.1128811881188119</v>
      </c>
      <c r="GT7" s="2">
        <v>-5.1307029702970297</v>
      </c>
      <c r="GU7" s="2">
        <v>-5.1485247524752475</v>
      </c>
      <c r="GV7" s="2">
        <v>-5.1663465346534654</v>
      </c>
      <c r="GW7" s="2">
        <v>-5.1841683168316832</v>
      </c>
      <c r="GX7" s="2">
        <v>-5.2019900990099011</v>
      </c>
      <c r="GY7" s="2"/>
      <c r="GZ7" s="2"/>
      <c r="HA7" s="2"/>
      <c r="HB7" s="2"/>
      <c r="HC7" s="2"/>
      <c r="HD7" s="2"/>
      <c r="HE7" s="2"/>
    </row>
    <row r="8" spans="1:213" ht="21.75" thickBot="1" x14ac:dyDescent="0.35">
      <c r="A8" s="31" t="s">
        <v>21</v>
      </c>
      <c r="B8" s="32">
        <v>8.5697999999999999E-23</v>
      </c>
      <c r="C8" s="32">
        <v>1.3693E-15</v>
      </c>
      <c r="D8" s="32">
        <v>7.2793000000000001E-11</v>
      </c>
      <c r="E8" s="32">
        <v>2.1086999999999999E-8</v>
      </c>
      <c r="F8" s="32">
        <v>0.08</v>
      </c>
      <c r="G8" s="32">
        <v>0.08</v>
      </c>
      <c r="H8" s="32">
        <v>0.08</v>
      </c>
      <c r="I8" s="32">
        <v>0.08</v>
      </c>
      <c r="J8" s="32">
        <v>0.08</v>
      </c>
      <c r="K8" s="32">
        <v>0.23082</v>
      </c>
      <c r="L8" s="32">
        <v>0.24</v>
      </c>
      <c r="M8" s="32">
        <v>0.24</v>
      </c>
      <c r="N8" s="32">
        <v>0.24</v>
      </c>
      <c r="O8" s="32">
        <v>0.24</v>
      </c>
      <c r="P8" s="32">
        <v>0.24</v>
      </c>
      <c r="Q8" s="32">
        <v>0.24</v>
      </c>
      <c r="R8" s="32">
        <v>0.24</v>
      </c>
      <c r="S8" s="32">
        <v>0.25841999999999998</v>
      </c>
      <c r="T8" s="32">
        <v>0.36847000000000002</v>
      </c>
      <c r="U8" s="2">
        <v>0.39117000000000002</v>
      </c>
      <c r="V8" s="2">
        <v>0.47654000000000002</v>
      </c>
      <c r="W8" s="2">
        <v>0.47964000000000001</v>
      </c>
      <c r="X8" s="2">
        <v>0.47996</v>
      </c>
      <c r="Y8" s="2">
        <v>0.48</v>
      </c>
      <c r="Z8" s="2">
        <v>0.48</v>
      </c>
      <c r="AA8" s="2">
        <v>0.48</v>
      </c>
      <c r="AB8" s="2">
        <v>0.48</v>
      </c>
      <c r="AC8" s="2">
        <v>0.48</v>
      </c>
      <c r="AD8" s="2">
        <v>0.48</v>
      </c>
      <c r="AE8" s="2">
        <v>0.48</v>
      </c>
      <c r="AF8" s="2"/>
      <c r="AG8" s="2"/>
      <c r="AH8" s="2"/>
      <c r="CL8" s="36" t="s">
        <v>3</v>
      </c>
      <c r="CM8" s="37">
        <f>CW1</f>
        <v>700</v>
      </c>
      <c r="CQ8" s="8">
        <v>88.367050000000006</v>
      </c>
      <c r="CR8" s="8">
        <v>2.4903E-3</v>
      </c>
      <c r="CS8" s="4">
        <f t="shared" si="0"/>
        <v>361.51704999999998</v>
      </c>
      <c r="CT8" s="9">
        <f>Таблица1[[#This Row],[DSC/(mW/mg)]]</f>
        <v>2.4903E-3</v>
      </c>
      <c r="DO8" s="3" t="s">
        <v>21</v>
      </c>
      <c r="DP8" s="4">
        <v>-22.398910891089109</v>
      </c>
      <c r="DQ8" s="4">
        <v>-21.910099009900989</v>
      </c>
      <c r="DR8" s="4">
        <v>-21.450693069306929</v>
      </c>
      <c r="DS8" s="4">
        <v>-20.995000000000001</v>
      </c>
      <c r="DT8" s="2">
        <v>-20.594999999999999</v>
      </c>
      <c r="DU8" s="2">
        <v>-20.195</v>
      </c>
      <c r="DV8" s="2">
        <v>-19.958910891089111</v>
      </c>
      <c r="DW8" s="2">
        <v>-19.863861386138613</v>
      </c>
      <c r="DX8" s="2">
        <v>-19.771485148514852</v>
      </c>
      <c r="DY8" s="2">
        <v>-19.890297029702971</v>
      </c>
      <c r="DZ8" s="2">
        <v>-20.00910891089109</v>
      </c>
      <c r="EA8" s="2">
        <v>-20.127920792079209</v>
      </c>
      <c r="EB8" s="2">
        <v>-20.246732673267328</v>
      </c>
      <c r="EC8" s="2">
        <v>-20.365544554455447</v>
      </c>
      <c r="ED8" s="2">
        <v>-20.484356435643562</v>
      </c>
      <c r="EE8" s="2">
        <v>-20.603168316831681</v>
      </c>
      <c r="EF8" s="2">
        <v>-20.7219801980198</v>
      </c>
      <c r="EG8" s="2">
        <v>-20.840792079207919</v>
      </c>
      <c r="EH8" s="2">
        <v>-20.959603960396038</v>
      </c>
      <c r="EI8" s="2">
        <v>-21.078415841584157</v>
      </c>
      <c r="EJ8" s="2">
        <v>-21.197227722772276</v>
      </c>
      <c r="EK8" s="2">
        <v>-21.317574257425743</v>
      </c>
      <c r="EL8" s="2">
        <v>-21.440346534653465</v>
      </c>
      <c r="EM8" s="2">
        <v>-21.563118811881186</v>
      </c>
      <c r="EN8" s="2">
        <v>-21.682985074626863</v>
      </c>
      <c r="EO8" s="2">
        <v>-21.802388059701492</v>
      </c>
      <c r="EP8" s="2">
        <v>-21.922970297029703</v>
      </c>
      <c r="EQ8" s="2">
        <v>-22.045742574257424</v>
      </c>
      <c r="ER8" s="2">
        <v>-22.168514851485149</v>
      </c>
      <c r="ES8" s="2">
        <v>-22.288019801980198</v>
      </c>
      <c r="ET8" s="2">
        <v>-22.406831683168317</v>
      </c>
      <c r="EU8" s="2">
        <v>-22.525643564356432</v>
      </c>
      <c r="EV8" s="2">
        <v>-22.644455445544555</v>
      </c>
      <c r="EW8" s="2">
        <v>-22.763267326732674</v>
      </c>
      <c r="EX8" s="2">
        <v>-22.879009900990098</v>
      </c>
      <c r="EY8" s="2">
        <v>-22.993861386138612</v>
      </c>
      <c r="EZ8" s="2">
        <v>-23.108712871287128</v>
      </c>
      <c r="FA8" s="2">
        <v>-23.223564356435642</v>
      </c>
      <c r="FB8" s="2">
        <v>-23.338415841584158</v>
      </c>
      <c r="FC8" s="2">
        <v>-23.451831683168319</v>
      </c>
      <c r="FD8" s="2">
        <v>-23.564702970297031</v>
      </c>
      <c r="FE8" s="2">
        <v>-23.677574257425743</v>
      </c>
      <c r="FF8" s="2">
        <v>-23.790445544554455</v>
      </c>
      <c r="FG8" s="2">
        <v>-23.903316831683171</v>
      </c>
      <c r="FH8" s="2">
        <v>-24.016188118811883</v>
      </c>
      <c r="FI8" s="2">
        <v>-24.129059405940595</v>
      </c>
      <c r="FJ8" s="2">
        <v>-24.241930693069307</v>
      </c>
      <c r="FK8" s="2">
        <v>-24.354801980198022</v>
      </c>
      <c r="FL8" s="2">
        <v>-24.467673267326735</v>
      </c>
      <c r="FM8" s="2">
        <v>-24.579651741293532</v>
      </c>
      <c r="FN8" s="2">
        <v>-24.691094527363184</v>
      </c>
      <c r="FO8" s="2">
        <v>-24.802029702970295</v>
      </c>
      <c r="FP8" s="2">
        <v>-24.908960396039603</v>
      </c>
      <c r="FQ8" s="2">
        <v>-25.015891089108909</v>
      </c>
      <c r="FR8" s="2">
        <v>-25.122821782178217</v>
      </c>
      <c r="FS8" s="2">
        <v>-25.229752475247523</v>
      </c>
      <c r="FT8" s="2">
        <v>-25.336683168316831</v>
      </c>
      <c r="FU8" s="2">
        <v>-25.443613861386137</v>
      </c>
      <c r="FV8" s="2">
        <v>-25.550544554455445</v>
      </c>
      <c r="FW8" s="2">
        <v>-25.657475247524754</v>
      </c>
      <c r="FX8" s="2">
        <v>-25.76440594059406</v>
      </c>
      <c r="FY8" s="2">
        <v>-25.871287128712872</v>
      </c>
      <c r="FZ8" s="2">
        <v>-25.974257425742575</v>
      </c>
      <c r="GA8" s="2">
        <v>-26.077227722772278</v>
      </c>
      <c r="GB8" s="2">
        <v>-26.180198019801978</v>
      </c>
      <c r="GC8" s="2">
        <v>-26.283168316831684</v>
      </c>
      <c r="GD8" s="2">
        <v>-26.386138613861387</v>
      </c>
      <c r="GE8" s="2">
        <v>-26.48910891089109</v>
      </c>
      <c r="GF8" s="2">
        <v>-26.59207920792079</v>
      </c>
      <c r="GG8" s="2">
        <v>-26.693370508054521</v>
      </c>
      <c r="GH8" s="2">
        <v>-26.79250309789343</v>
      </c>
      <c r="GI8" s="2">
        <v>-26.891635687732339</v>
      </c>
      <c r="GJ8" s="2">
        <v>-26.990768277571249</v>
      </c>
      <c r="GK8" s="2">
        <v>-27.089900867410158</v>
      </c>
      <c r="GL8" s="2">
        <v>-27.189033457249067</v>
      </c>
      <c r="GM8" s="2">
        <v>-27.28816604708798</v>
      </c>
      <c r="GN8" s="2">
        <v>-27.387298636926889</v>
      </c>
      <c r="GO8" s="2">
        <v>-27.486431226765799</v>
      </c>
      <c r="GP8" s="2">
        <v>-27.585563816604708</v>
      </c>
      <c r="GQ8" s="2">
        <v>-27.683267326732672</v>
      </c>
      <c r="GR8" s="2">
        <v>-27.778316831683167</v>
      </c>
      <c r="GS8" s="2">
        <v>-27.873366336633666</v>
      </c>
      <c r="GT8" s="2">
        <v>-27.971683168316833</v>
      </c>
      <c r="GU8" s="2">
        <v>-28.07069306930693</v>
      </c>
      <c r="GV8" s="2">
        <v>-28.168514851485149</v>
      </c>
      <c r="GW8" s="2">
        <v>-28.263564356435644</v>
      </c>
      <c r="GX8" s="2">
        <v>-28.358613861386139</v>
      </c>
      <c r="GY8" s="2"/>
      <c r="GZ8" s="2"/>
      <c r="HA8" s="2"/>
      <c r="HB8" s="2"/>
      <c r="HC8" s="2"/>
      <c r="HD8" s="2"/>
      <c r="HE8" s="2"/>
    </row>
    <row r="9" spans="1:213" ht="21.75" thickBot="1" x14ac:dyDescent="0.35">
      <c r="A9" s="31" t="s">
        <v>22</v>
      </c>
      <c r="B9" s="32">
        <v>0.08</v>
      </c>
      <c r="C9" s="32">
        <v>0.08</v>
      </c>
      <c r="D9" s="32">
        <v>0.08</v>
      </c>
      <c r="E9" s="32">
        <v>0.08</v>
      </c>
      <c r="F9" s="32">
        <v>5.4299999999999997E-9</v>
      </c>
      <c r="G9" s="32">
        <v>1.8601000000000001E-17</v>
      </c>
      <c r="H9" s="32">
        <v>2.9511000000000003E-20</v>
      </c>
      <c r="I9" s="32">
        <v>2.0618999999999998E-33</v>
      </c>
      <c r="J9" s="32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32">
        <v>0</v>
      </c>
      <c r="Q9" s="32">
        <v>0</v>
      </c>
      <c r="R9" s="32">
        <v>0</v>
      </c>
      <c r="S9" s="32">
        <v>0</v>
      </c>
      <c r="T9" s="3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/>
      <c r="AG9" s="2"/>
      <c r="AH9" s="2"/>
      <c r="CL9" s="6">
        <f>CM8</f>
        <v>700</v>
      </c>
      <c r="CM9" s="25">
        <f>MIN($A$3:$CJ$63)*100</f>
        <v>-6636</v>
      </c>
      <c r="CQ9" s="8">
        <v>90.440460000000002</v>
      </c>
      <c r="CR9" s="8">
        <v>2.2788000000000001E-3</v>
      </c>
      <c r="CS9" s="4">
        <f t="shared" si="0"/>
        <v>363.59046000000001</v>
      </c>
      <c r="CT9" s="9">
        <f>Таблица1[[#This Row],[DSC/(mW/mg)]]</f>
        <v>2.2788000000000001E-3</v>
      </c>
      <c r="DO9" s="3" t="s">
        <v>22</v>
      </c>
      <c r="DP9" s="4">
        <v>-60.44361386138614</v>
      </c>
      <c r="DQ9" s="4">
        <v>-59.186633663366337</v>
      </c>
      <c r="DR9" s="4">
        <v>-58.006435643564352</v>
      </c>
      <c r="DS9" s="4">
        <v>-56.836138613861387</v>
      </c>
      <c r="DT9" s="2">
        <v>-55.814356435643568</v>
      </c>
      <c r="DU9" s="2">
        <v>-54.792574257425748</v>
      </c>
      <c r="DV9" s="2">
        <v>-53.97727722772278</v>
      </c>
      <c r="DW9" s="2">
        <v>-53.339653465346537</v>
      </c>
      <c r="DX9" s="2">
        <v>-52.706464108910893</v>
      </c>
      <c r="DY9" s="2">
        <v>-52.423592821782179</v>
      </c>
      <c r="DZ9" s="2">
        <v>-52.140721534653466</v>
      </c>
      <c r="EA9" s="2">
        <v>-51.857850247524752</v>
      </c>
      <c r="EB9" s="2">
        <v>-51.574978960396038</v>
      </c>
      <c r="EC9" s="2">
        <v>-51.292107673267324</v>
      </c>
      <c r="ED9" s="2">
        <v>-51.00923638613861</v>
      </c>
      <c r="EE9" s="2">
        <v>-50.726365099009897</v>
      </c>
      <c r="EF9" s="2">
        <v>-50.443493811881183</v>
      </c>
      <c r="EG9" s="2">
        <v>-50.160622524752469</v>
      </c>
      <c r="EH9" s="2">
        <v>-49.877751237623755</v>
      </c>
      <c r="EI9" s="2">
        <v>-49.686039603960388</v>
      </c>
      <c r="EJ9" s="2">
        <v>-49.503069306930691</v>
      </c>
      <c r="EK9" s="2">
        <v>-49.335138613861382</v>
      </c>
      <c r="EL9" s="2">
        <v>-49.190980198019801</v>
      </c>
      <c r="EM9" s="2">
        <v>-49.046821782178213</v>
      </c>
      <c r="EN9" s="2">
        <v>-48.917835820895519</v>
      </c>
      <c r="EO9" s="2">
        <v>-48.791268656716412</v>
      </c>
      <c r="EP9" s="2">
        <v>-48.677396039603956</v>
      </c>
      <c r="EQ9" s="2">
        <v>-48.587099009900989</v>
      </c>
      <c r="ER9" s="2">
        <v>-48.496801980198022</v>
      </c>
      <c r="ES9" s="2">
        <v>-48.693049504950494</v>
      </c>
      <c r="ET9" s="2">
        <v>-48.950079207920787</v>
      </c>
      <c r="EU9" s="2">
        <v>-49.207227722772274</v>
      </c>
      <c r="EV9" s="2">
        <v>-49.464653465346537</v>
      </c>
      <c r="EW9" s="2">
        <v>-49.722079207920792</v>
      </c>
      <c r="EX9" s="2">
        <v>-49.973059405940596</v>
      </c>
      <c r="EY9" s="2">
        <v>-50.222168316831684</v>
      </c>
      <c r="EZ9" s="2">
        <v>-50.471376237623758</v>
      </c>
      <c r="FA9" s="2">
        <v>-50.72088118811881</v>
      </c>
      <c r="FB9" s="2">
        <v>-50.970386138613861</v>
      </c>
      <c r="FC9" s="2">
        <v>-51.2170198019802</v>
      </c>
      <c r="FD9" s="2">
        <v>-51.462564356435642</v>
      </c>
      <c r="FE9" s="2">
        <v>-51.708108910891092</v>
      </c>
      <c r="FF9" s="2">
        <v>-51.953653465346534</v>
      </c>
      <c r="FG9" s="2">
        <v>-52.199198019801983</v>
      </c>
      <c r="FH9" s="2">
        <v>-52.444742574257432</v>
      </c>
      <c r="FI9" s="2">
        <v>-52.690287128712875</v>
      </c>
      <c r="FJ9" s="2">
        <v>-52.935831683168324</v>
      </c>
      <c r="FK9" s="2">
        <v>-53.181376237623766</v>
      </c>
      <c r="FL9" s="2">
        <v>-53.426920792079216</v>
      </c>
      <c r="FM9" s="2">
        <v>-53.670741293532345</v>
      </c>
      <c r="FN9" s="2">
        <v>-53.91352736318408</v>
      </c>
      <c r="FO9" s="2">
        <v>-54.155242574257421</v>
      </c>
      <c r="FP9" s="2">
        <v>-54.388509900990094</v>
      </c>
      <c r="FQ9" s="2">
        <v>-54.621777227722767</v>
      </c>
      <c r="FR9" s="2">
        <v>-54.855044554455439</v>
      </c>
      <c r="FS9" s="2">
        <v>-55.088311881188112</v>
      </c>
      <c r="FT9" s="2">
        <v>-55.321579207920784</v>
      </c>
      <c r="FU9" s="2">
        <v>-55.554846534653464</v>
      </c>
      <c r="FV9" s="2">
        <v>-55.788113861386137</v>
      </c>
      <c r="FW9" s="2">
        <v>-56.021168316831684</v>
      </c>
      <c r="FX9" s="2">
        <v>-56.2540396039604</v>
      </c>
      <c r="FY9" s="2">
        <v>-56.486811881188125</v>
      </c>
      <c r="FZ9" s="2">
        <v>-56.711762376237623</v>
      </c>
      <c r="GA9" s="2">
        <v>-56.936712871287128</v>
      </c>
      <c r="GB9" s="2">
        <v>-57.161663366336633</v>
      </c>
      <c r="GC9" s="2">
        <v>-57.386613861386138</v>
      </c>
      <c r="GD9" s="2">
        <v>-57.61156435643565</v>
      </c>
      <c r="GE9" s="2">
        <v>-57.83613366336634</v>
      </c>
      <c r="GF9" s="2">
        <v>-58.060688118811882</v>
      </c>
      <c r="GG9" s="2">
        <v>-58.281721189591075</v>
      </c>
      <c r="GH9" s="2">
        <v>-58.498226765799252</v>
      </c>
      <c r="GI9" s="2">
        <v>-58.71473234200743</v>
      </c>
      <c r="GJ9" s="2">
        <v>-58.931237918215608</v>
      </c>
      <c r="GK9" s="2">
        <v>-59.147743494423786</v>
      </c>
      <c r="GL9" s="2">
        <v>-59.364249070631963</v>
      </c>
      <c r="GM9" s="2">
        <v>-59.580754646840141</v>
      </c>
      <c r="GN9" s="2">
        <v>-59.797260223048319</v>
      </c>
      <c r="GO9" s="2">
        <v>-60.013765799256497</v>
      </c>
      <c r="GP9" s="2">
        <v>-60.230271375464682</v>
      </c>
      <c r="GQ9" s="2">
        <v>-60.443772277227716</v>
      </c>
      <c r="GR9" s="2">
        <v>-60.65169306930693</v>
      </c>
      <c r="GS9" s="2">
        <v>-60.859613861386137</v>
      </c>
      <c r="GT9" s="2">
        <v>-61.074069306930696</v>
      </c>
      <c r="GU9" s="2">
        <v>-61.289910891089107</v>
      </c>
      <c r="GV9" s="2">
        <v>-61.503376237623762</v>
      </c>
      <c r="GW9" s="2">
        <v>-61.711297029702969</v>
      </c>
      <c r="GX9" s="2">
        <v>-61.919217821782183</v>
      </c>
      <c r="GY9" s="2"/>
      <c r="GZ9" s="2"/>
      <c r="HA9" s="2"/>
      <c r="HB9" s="2"/>
      <c r="HC9" s="2"/>
      <c r="HD9" s="2"/>
      <c r="HE9" s="2"/>
    </row>
    <row r="10" spans="1:213" ht="21.75" thickBot="1" x14ac:dyDescent="0.35">
      <c r="A10" s="31" t="s">
        <v>23</v>
      </c>
      <c r="B10" s="32">
        <v>0.08</v>
      </c>
      <c r="C10" s="32">
        <v>0.08</v>
      </c>
      <c r="D10" s="32">
        <v>0.08</v>
      </c>
      <c r="E10" s="32">
        <v>0.08</v>
      </c>
      <c r="F10" s="32">
        <v>0.08</v>
      </c>
      <c r="G10" s="32">
        <v>0.08</v>
      </c>
      <c r="H10" s="32">
        <v>0.08</v>
      </c>
      <c r="I10" s="32">
        <v>0.08</v>
      </c>
      <c r="J10" s="32">
        <v>0.08</v>
      </c>
      <c r="K10" s="32">
        <v>0.08</v>
      </c>
      <c r="L10" s="32">
        <v>0.08</v>
      </c>
      <c r="M10" s="32">
        <v>0.08</v>
      </c>
      <c r="N10" s="32">
        <v>0.08</v>
      </c>
      <c r="O10" s="32">
        <v>0.08</v>
      </c>
      <c r="P10" s="32">
        <v>0.08</v>
      </c>
      <c r="Q10" s="32">
        <v>0.08</v>
      </c>
      <c r="R10" s="32">
        <v>0.08</v>
      </c>
      <c r="S10" s="32">
        <v>7.0791999999999994E-2</v>
      </c>
      <c r="T10" s="32">
        <v>1.5764E-2</v>
      </c>
      <c r="U10" s="2">
        <v>4.4145E-3</v>
      </c>
      <c r="V10" s="2">
        <v>1.1531E-3</v>
      </c>
      <c r="W10" s="2">
        <v>1.1998999999999999E-4</v>
      </c>
      <c r="X10" s="2">
        <v>1.3539E-5</v>
      </c>
      <c r="Y10" s="2">
        <v>4.1901999999999999E-9</v>
      </c>
      <c r="Z10" s="2">
        <v>6.3558999999999997E-10</v>
      </c>
      <c r="AA10" s="2">
        <v>1.007E-10</v>
      </c>
      <c r="AB10" s="2">
        <v>1.6584000000000001E-11</v>
      </c>
      <c r="AC10" s="2">
        <v>1.007E-10</v>
      </c>
      <c r="AD10" s="2">
        <v>1.6584000000000001E-11</v>
      </c>
      <c r="AE10" s="2">
        <v>2.8226000000000001E-12</v>
      </c>
      <c r="AF10" s="2"/>
      <c r="AG10" s="2"/>
      <c r="AH10" s="2"/>
      <c r="CL10" s="5">
        <f>CM8</f>
        <v>700</v>
      </c>
      <c r="CM10" s="25">
        <v>10</v>
      </c>
      <c r="CQ10" s="8">
        <v>92.513859999999994</v>
      </c>
      <c r="CR10" s="8">
        <v>2.1300999999999998E-3</v>
      </c>
      <c r="CS10" s="4">
        <f t="shared" si="0"/>
        <v>365.66386</v>
      </c>
      <c r="CT10" s="9">
        <f>Таблица1[[#This Row],[DSC/(mW/mg)]]</f>
        <v>2.1300999999999998E-3</v>
      </c>
      <c r="DO10" s="3" t="s">
        <v>23</v>
      </c>
      <c r="DP10" s="4">
        <v>-192.53227722772277</v>
      </c>
      <c r="DQ10" s="4">
        <v>-187.99178217821782</v>
      </c>
      <c r="DR10" s="4">
        <v>-183.72247524752476</v>
      </c>
      <c r="DS10" s="4">
        <v>-179.4870792079208</v>
      </c>
      <c r="DT10" s="2">
        <v>-175.76034653465345</v>
      </c>
      <c r="DU10" s="2">
        <v>-172.03361386138613</v>
      </c>
      <c r="DV10" s="2">
        <v>-168.54316831683167</v>
      </c>
      <c r="DW10" s="2">
        <v>-165.25603960396037</v>
      </c>
      <c r="DX10" s="2">
        <v>-161.97893564356434</v>
      </c>
      <c r="DY10" s="2">
        <v>-159.49378712871285</v>
      </c>
      <c r="DZ10" s="2">
        <v>-157.00863861386136</v>
      </c>
      <c r="EA10" s="2">
        <v>-154.52349009900988</v>
      </c>
      <c r="EB10" s="2">
        <v>-152.03834158415839</v>
      </c>
      <c r="EC10" s="2">
        <v>-149.55319306930693</v>
      </c>
      <c r="ED10" s="2">
        <v>-147.06804455445544</v>
      </c>
      <c r="EE10" s="2">
        <v>-144.58289603960395</v>
      </c>
      <c r="EF10" s="2">
        <v>-142.09774752475246</v>
      </c>
      <c r="EG10" s="2">
        <v>-139.61259900990098</v>
      </c>
      <c r="EH10" s="2">
        <v>-137.12745049504949</v>
      </c>
      <c r="EI10" s="2">
        <v>-135.1608910891089</v>
      </c>
      <c r="EJ10" s="2">
        <v>-133.24405940594059</v>
      </c>
      <c r="EK10" s="2">
        <v>-131.40242574257425</v>
      </c>
      <c r="EL10" s="2">
        <v>-129.67965346534652</v>
      </c>
      <c r="EM10" s="2">
        <v>-127.95688118811881</v>
      </c>
      <c r="EN10" s="2">
        <v>-126.34686567164179</v>
      </c>
      <c r="EO10" s="2">
        <v>-124.75482587064677</v>
      </c>
      <c r="EP10" s="2">
        <v>-123.21683168316831</v>
      </c>
      <c r="EQ10" s="2">
        <v>-121.77920792079208</v>
      </c>
      <c r="ER10" s="2">
        <v>-120.34158415841584</v>
      </c>
      <c r="ES10" s="2">
        <v>-118.99217821782177</v>
      </c>
      <c r="ET10" s="2">
        <v>-117.66148514851484</v>
      </c>
      <c r="EU10" s="2">
        <v>-116.36405940594059</v>
      </c>
      <c r="EV10" s="2">
        <v>-115.14425742574257</v>
      </c>
      <c r="EW10" s="2">
        <v>-113.92445544554455</v>
      </c>
      <c r="EX10" s="2">
        <v>-112.76910891089109</v>
      </c>
      <c r="EY10" s="2">
        <v>-111.63247524752475</v>
      </c>
      <c r="EZ10" s="2">
        <v>-110.51762376237623</v>
      </c>
      <c r="FA10" s="2">
        <v>-109.46811881188118</v>
      </c>
      <c r="FB10" s="2">
        <v>-108.41861386138613</v>
      </c>
      <c r="FC10" s="2">
        <v>-107.49400990099009</v>
      </c>
      <c r="FD10" s="2">
        <v>-106.61678217821782</v>
      </c>
      <c r="FE10" s="2">
        <v>-105.73955445544554</v>
      </c>
      <c r="FF10" s="2">
        <v>-104.86232673267327</v>
      </c>
      <c r="FG10" s="2">
        <v>-103.98509900990099</v>
      </c>
      <c r="FH10" s="2">
        <v>-103.10787128712872</v>
      </c>
      <c r="FI10" s="2">
        <v>-102.23064356435643</v>
      </c>
      <c r="FJ10" s="2">
        <v>-101.35341584158415</v>
      </c>
      <c r="FK10" s="2">
        <v>-100.47618811881188</v>
      </c>
      <c r="FL10" s="2">
        <v>-99.598960396039601</v>
      </c>
      <c r="FM10" s="2">
        <v>-98.812288557213932</v>
      </c>
      <c r="FN10" s="2">
        <v>-98.079950248756219</v>
      </c>
      <c r="FO10" s="2">
        <v>-97.352029702970299</v>
      </c>
      <c r="FP10" s="2">
        <v>-96.658960396039603</v>
      </c>
      <c r="FQ10" s="2">
        <v>-95.965891089108908</v>
      </c>
      <c r="FR10" s="2">
        <v>-95.318891089108902</v>
      </c>
      <c r="FS10" s="2">
        <v>-94.704237623762367</v>
      </c>
      <c r="FT10" s="2">
        <v>-94.12171287128713</v>
      </c>
      <c r="FU10" s="2">
        <v>-94.021118811881195</v>
      </c>
      <c r="FV10" s="2">
        <v>-93.920524752475259</v>
      </c>
      <c r="FW10" s="2">
        <v>-93.829297029702985</v>
      </c>
      <c r="FX10" s="2">
        <v>-93.746128712871297</v>
      </c>
      <c r="FY10" s="2">
        <v>-93.663801980198016</v>
      </c>
      <c r="FZ10" s="2">
        <v>-93.647960396039608</v>
      </c>
      <c r="GA10" s="2">
        <v>-93.632118811881185</v>
      </c>
      <c r="GB10" s="2">
        <v>-93.812435643564356</v>
      </c>
      <c r="GC10" s="2">
        <v>-94.198970297029703</v>
      </c>
      <c r="GD10" s="2">
        <v>-94.58550495049505</v>
      </c>
      <c r="GE10" s="2">
        <v>-94.973564356435631</v>
      </c>
      <c r="GF10" s="2">
        <v>-95.361683168316816</v>
      </c>
      <c r="GG10" s="2">
        <v>-95.746629491945455</v>
      </c>
      <c r="GH10" s="2">
        <v>-96.127496902106557</v>
      </c>
      <c r="GI10" s="2">
        <v>-96.508364312267645</v>
      </c>
      <c r="GJ10" s="2">
        <v>-96.889231722428732</v>
      </c>
      <c r="GK10" s="2">
        <v>-97.270099132589834</v>
      </c>
      <c r="GL10" s="2">
        <v>-97.650966542750922</v>
      </c>
      <c r="GM10" s="2">
        <v>-98.03183395291201</v>
      </c>
      <c r="GN10" s="2">
        <v>-98.412701363073097</v>
      </c>
      <c r="GO10" s="2">
        <v>-98.793568773234199</v>
      </c>
      <c r="GP10" s="2">
        <v>-99.174436183395287</v>
      </c>
      <c r="GQ10" s="2">
        <v>-99.553405940594061</v>
      </c>
      <c r="GR10" s="2">
        <v>-99.928851485148513</v>
      </c>
      <c r="GS10" s="2">
        <v>-100.30429702970298</v>
      </c>
      <c r="GT10" s="2">
        <v>-100.69281188118812</v>
      </c>
      <c r="GU10" s="2">
        <v>-101.084099009901</v>
      </c>
      <c r="GV10" s="2">
        <v>-101.47300990099011</v>
      </c>
      <c r="GW10" s="2">
        <v>-101.85637623762376</v>
      </c>
      <c r="GX10" s="2">
        <v>-102.23974257425742</v>
      </c>
      <c r="GY10" s="2"/>
      <c r="GZ10" s="2"/>
      <c r="HA10" s="2"/>
      <c r="HB10" s="2"/>
      <c r="HC10" s="2"/>
      <c r="HD10" s="2"/>
      <c r="HE10" s="2"/>
    </row>
    <row r="11" spans="1:213" ht="21.75" thickBot="1" x14ac:dyDescent="0.35">
      <c r="A11" s="31" t="s">
        <v>24</v>
      </c>
      <c r="B11" s="32">
        <v>0</v>
      </c>
      <c r="C11" s="32">
        <v>0</v>
      </c>
      <c r="D11" s="32">
        <v>0</v>
      </c>
      <c r="E11" s="32">
        <v>0</v>
      </c>
      <c r="F11" s="32">
        <v>0</v>
      </c>
      <c r="G11" s="32">
        <v>0</v>
      </c>
      <c r="H11" s="32">
        <v>1.6572999999999999E-34</v>
      </c>
      <c r="I11" s="32">
        <v>7.9071999999999998E-32</v>
      </c>
      <c r="J11" s="32">
        <v>2.3603000000000001E-29</v>
      </c>
      <c r="K11" s="32">
        <v>4.6495999999999999E-27</v>
      </c>
      <c r="L11" s="32">
        <v>6.3423000000000003E-25</v>
      </c>
      <c r="M11" s="32">
        <v>6.2186000000000002E-23</v>
      </c>
      <c r="N11" s="32">
        <v>4.5371000000000001E-21</v>
      </c>
      <c r="O11" s="32">
        <v>2.5367E-19</v>
      </c>
      <c r="P11" s="32">
        <v>2.7617000000000002E-13</v>
      </c>
      <c r="Q11" s="32">
        <v>5.6580999999999999E-12</v>
      </c>
      <c r="R11" s="32">
        <v>9.9572000000000003E-11</v>
      </c>
      <c r="S11" s="32">
        <v>1.3480999999999999E-9</v>
      </c>
      <c r="T11" s="32">
        <v>4.0385000000000001E-9</v>
      </c>
      <c r="U11" s="2">
        <v>1.3505000000000001E-8</v>
      </c>
      <c r="V11" s="2">
        <v>3.7726999999999998E-8</v>
      </c>
      <c r="W11" s="2">
        <v>3.7906000000000002E-8</v>
      </c>
      <c r="X11" s="2">
        <v>3.7554E-8</v>
      </c>
      <c r="Y11" s="2">
        <v>3.0196000000000001E-8</v>
      </c>
      <c r="Z11" s="2">
        <v>2.7293999999999999E-8</v>
      </c>
      <c r="AA11" s="2">
        <v>2.4188000000000001E-8</v>
      </c>
      <c r="AB11" s="2">
        <v>2.0995E-8</v>
      </c>
      <c r="AC11" s="2">
        <v>2.4188000000000001E-8</v>
      </c>
      <c r="AD11" s="2">
        <v>2.0995E-8</v>
      </c>
      <c r="AE11" s="2">
        <v>1.7808E-8</v>
      </c>
      <c r="AF11" s="2"/>
      <c r="AG11" s="2"/>
      <c r="AH11" s="2"/>
      <c r="CL11" s="2"/>
      <c r="CM11" s="2"/>
      <c r="CQ11" s="8">
        <v>94.587270000000004</v>
      </c>
      <c r="CR11" s="8">
        <v>2.0141999999999998E-3</v>
      </c>
      <c r="CS11" s="4">
        <f t="shared" si="0"/>
        <v>367.73726999999997</v>
      </c>
      <c r="CT11" s="9">
        <f>Таблица1[[#This Row],[DSC/(mW/mg)]]</f>
        <v>2.0141999999999998E-3</v>
      </c>
      <c r="DO11" s="3" t="s">
        <v>24</v>
      </c>
      <c r="DP11" s="4">
        <v>-147.73445544554454</v>
      </c>
      <c r="DQ11" s="4">
        <v>-144.17158415841584</v>
      </c>
      <c r="DR11" s="4">
        <v>-140.82108910891088</v>
      </c>
      <c r="DS11" s="4">
        <v>-137.49707920792079</v>
      </c>
      <c r="DT11" s="2">
        <v>-134.57034653465345</v>
      </c>
      <c r="DU11" s="2">
        <v>-131.64361386138614</v>
      </c>
      <c r="DV11" s="2">
        <v>-128.62534653465346</v>
      </c>
      <c r="DW11" s="2">
        <v>-125.52831683168316</v>
      </c>
      <c r="DX11" s="2">
        <v>-122.43596534653464</v>
      </c>
      <c r="DY11" s="2">
        <v>-119.71319306930693</v>
      </c>
      <c r="DZ11" s="2">
        <v>-116.99042079207921</v>
      </c>
      <c r="EA11" s="2">
        <v>-114.26764851485147</v>
      </c>
      <c r="EB11" s="2">
        <v>-111.54487623762375</v>
      </c>
      <c r="EC11" s="2">
        <v>-108.82210396039603</v>
      </c>
      <c r="ED11" s="2">
        <v>-106.09933168316832</v>
      </c>
      <c r="EE11" s="2">
        <v>-103.37655940594058</v>
      </c>
      <c r="EF11" s="2">
        <v>-100.65378712871286</v>
      </c>
      <c r="EG11" s="2">
        <v>-97.931014851485145</v>
      </c>
      <c r="EH11" s="2">
        <v>-95.208242574257412</v>
      </c>
      <c r="EI11" s="2">
        <v>-93.004059405940595</v>
      </c>
      <c r="EJ11" s="2">
        <v>-90.849603960396038</v>
      </c>
      <c r="EK11" s="2">
        <v>-88.767277227722772</v>
      </c>
      <c r="EL11" s="2">
        <v>-86.798960396039604</v>
      </c>
      <c r="EM11" s="2">
        <v>-84.83064356435645</v>
      </c>
      <c r="EN11" s="2">
        <v>-82.980895522388067</v>
      </c>
      <c r="EO11" s="2">
        <v>-81.15004975124377</v>
      </c>
      <c r="EP11" s="2">
        <v>-79.370891089108909</v>
      </c>
      <c r="EQ11" s="2">
        <v>-77.687722772277226</v>
      </c>
      <c r="ER11" s="2">
        <v>-76.004554455445543</v>
      </c>
      <c r="ES11" s="2">
        <v>-74.416138613861392</v>
      </c>
      <c r="ET11" s="2">
        <v>-72.847821782178215</v>
      </c>
      <c r="EU11" s="2">
        <v>-71.312772277227722</v>
      </c>
      <c r="EV11" s="2">
        <v>-69.855346534653464</v>
      </c>
      <c r="EW11" s="2">
        <v>-68.397920792079191</v>
      </c>
      <c r="EX11" s="2">
        <v>-67.01108910891088</v>
      </c>
      <c r="EY11" s="2">
        <v>-65.644752475247529</v>
      </c>
      <c r="EZ11" s="2">
        <v>-64.300198019801982</v>
      </c>
      <c r="FA11" s="2">
        <v>-63.020990099009907</v>
      </c>
      <c r="FB11" s="2">
        <v>-61.741782178217832</v>
      </c>
      <c r="FC11" s="2">
        <v>-60.59034653465347</v>
      </c>
      <c r="FD11" s="2">
        <v>-59.487376237623771</v>
      </c>
      <c r="FE11" s="2">
        <v>-58.384405940594064</v>
      </c>
      <c r="FF11" s="2">
        <v>-57.281435643564357</v>
      </c>
      <c r="FG11" s="2">
        <v>-56.178465346534658</v>
      </c>
      <c r="FH11" s="2">
        <v>-55.075495049504951</v>
      </c>
      <c r="FI11" s="2">
        <v>-53.972524752475252</v>
      </c>
      <c r="FJ11" s="2">
        <v>-52.869554455445545</v>
      </c>
      <c r="FK11" s="2">
        <v>-51.766584158415839</v>
      </c>
      <c r="FL11" s="2">
        <v>-50.663613861386139</v>
      </c>
      <c r="FM11" s="2">
        <v>-49.652985074626862</v>
      </c>
      <c r="FN11" s="2">
        <v>-48.697761194029852</v>
      </c>
      <c r="FO11" s="2">
        <v>-47.747970297029703</v>
      </c>
      <c r="FP11" s="2">
        <v>-46.841039603960397</v>
      </c>
      <c r="FQ11" s="2">
        <v>-45.934108910891084</v>
      </c>
      <c r="FR11" s="2">
        <v>-45.073247524752475</v>
      </c>
      <c r="FS11" s="2">
        <v>-44.244732673267329</v>
      </c>
      <c r="FT11" s="2">
        <v>-43.448346534653467</v>
      </c>
      <c r="FU11" s="2">
        <v>-43.133891089108914</v>
      </c>
      <c r="FV11" s="2">
        <v>-42.819435643564361</v>
      </c>
      <c r="FW11" s="2">
        <v>-42.51434653465347</v>
      </c>
      <c r="FX11" s="2">
        <v>-42.217316831683171</v>
      </c>
      <c r="FY11" s="2">
        <v>-41.921227722772279</v>
      </c>
      <c r="FZ11" s="2">
        <v>-41.699445544554457</v>
      </c>
      <c r="GA11" s="2">
        <v>-41.477663366336628</v>
      </c>
      <c r="GB11" s="2">
        <v>-41.452039603960394</v>
      </c>
      <c r="GC11" s="2">
        <v>-41.632633663366335</v>
      </c>
      <c r="GD11" s="2">
        <v>-41.813227722772275</v>
      </c>
      <c r="GE11" s="2">
        <v>-41.995346534653464</v>
      </c>
      <c r="GF11" s="2">
        <v>-42.17752475247525</v>
      </c>
      <c r="GG11" s="2">
        <v>-42.359888475836435</v>
      </c>
      <c r="GH11" s="2">
        <v>-42.542490706319704</v>
      </c>
      <c r="GI11" s="2">
        <v>-42.725092936802973</v>
      </c>
      <c r="GJ11" s="2">
        <v>-42.907695167286249</v>
      </c>
      <c r="GK11" s="2">
        <v>-43.090297397769518</v>
      </c>
      <c r="GL11" s="2">
        <v>-43.272899628252787</v>
      </c>
      <c r="GM11" s="2">
        <v>-43.455501858736056</v>
      </c>
      <c r="GN11" s="2">
        <v>-43.638104089219333</v>
      </c>
      <c r="GO11" s="2">
        <v>-43.820706319702602</v>
      </c>
      <c r="GP11" s="2">
        <v>-44.003308550185871</v>
      </c>
      <c r="GQ11" s="2">
        <v>-44.18687128712871</v>
      </c>
      <c r="GR11" s="2">
        <v>-44.372217821782179</v>
      </c>
      <c r="GS11" s="2">
        <v>-44.557564356435648</v>
      </c>
      <c r="GT11" s="2">
        <v>-44.749445544554462</v>
      </c>
      <c r="GU11" s="2">
        <v>-44.942712871287128</v>
      </c>
      <c r="GV11" s="2">
        <v>-45.135980198019801</v>
      </c>
      <c r="GW11" s="2">
        <v>-45.329247524752475</v>
      </c>
      <c r="GX11" s="2">
        <v>-45.522514851485155</v>
      </c>
      <c r="GY11" s="2"/>
      <c r="GZ11" s="2"/>
      <c r="HA11" s="2"/>
      <c r="HB11" s="2"/>
      <c r="HC11" s="2"/>
      <c r="HD11" s="2"/>
      <c r="HE11" s="2"/>
    </row>
    <row r="12" spans="1:213" ht="21.75" thickBot="1" x14ac:dyDescent="0.35">
      <c r="A12" s="31" t="s">
        <v>25</v>
      </c>
      <c r="B12" s="32">
        <v>0.2</v>
      </c>
      <c r="C12" s="32">
        <v>0.2</v>
      </c>
      <c r="D12" s="32">
        <v>0.2</v>
      </c>
      <c r="E12" s="32">
        <v>0.2</v>
      </c>
      <c r="F12" s="32">
        <v>0.2</v>
      </c>
      <c r="G12" s="32">
        <v>0.2</v>
      </c>
      <c r="H12" s="32">
        <v>0.2</v>
      </c>
      <c r="I12" s="32">
        <v>0.2</v>
      </c>
      <c r="J12" s="32">
        <v>0.2</v>
      </c>
      <c r="K12" s="32">
        <v>0.2</v>
      </c>
      <c r="L12" s="32">
        <v>0.2</v>
      </c>
      <c r="M12" s="32">
        <v>0.2</v>
      </c>
      <c r="N12" s="32">
        <v>0.2</v>
      </c>
      <c r="O12" s="32">
        <v>0.2</v>
      </c>
      <c r="P12" s="32">
        <v>0.2</v>
      </c>
      <c r="Q12" s="32">
        <v>0.2</v>
      </c>
      <c r="R12" s="32">
        <v>0.2</v>
      </c>
      <c r="S12" s="32">
        <v>0.2</v>
      </c>
      <c r="T12" s="32">
        <v>0.2</v>
      </c>
      <c r="U12" s="2">
        <v>0.2</v>
      </c>
      <c r="V12" s="2">
        <v>0.2</v>
      </c>
      <c r="W12" s="2">
        <v>0.2</v>
      </c>
      <c r="X12" s="2">
        <v>0.2</v>
      </c>
      <c r="Y12" s="2">
        <v>0.2</v>
      </c>
      <c r="Z12" s="2">
        <v>0.2</v>
      </c>
      <c r="AA12" s="2">
        <v>0.2</v>
      </c>
      <c r="AB12" s="2">
        <v>0.2</v>
      </c>
      <c r="AC12" s="2">
        <v>0.2</v>
      </c>
      <c r="AD12" s="2">
        <v>0.2</v>
      </c>
      <c r="AE12" s="2">
        <v>0.2</v>
      </c>
      <c r="AF12" s="2"/>
      <c r="AG12" s="2"/>
      <c r="AH12" s="2"/>
      <c r="CL12" s="38" t="s">
        <v>4</v>
      </c>
      <c r="CM12" s="39">
        <f>CX1</f>
        <v>830</v>
      </c>
      <c r="CQ12" s="8">
        <v>96.660679999999999</v>
      </c>
      <c r="CR12" s="8">
        <v>1.6239E-3</v>
      </c>
      <c r="CS12" s="4">
        <f t="shared" si="0"/>
        <v>369.81067999999999</v>
      </c>
      <c r="CT12" s="9">
        <f>Таблица1[[#This Row],[DSC/(mW/mg)]]</f>
        <v>1.6239E-3</v>
      </c>
      <c r="DO12" s="3" t="s">
        <v>25</v>
      </c>
      <c r="DP12" s="4">
        <v>-18.951633663366337</v>
      </c>
      <c r="DQ12" s="4">
        <v>-18.95</v>
      </c>
      <c r="DR12" s="4">
        <v>-18.95</v>
      </c>
      <c r="DS12" s="4">
        <v>-18.950247524752474</v>
      </c>
      <c r="DT12" s="2">
        <v>-18.954207920792079</v>
      </c>
      <c r="DU12" s="2">
        <v>-18.958168316831685</v>
      </c>
      <c r="DV12" s="2">
        <v>-18.964257425742574</v>
      </c>
      <c r="DW12" s="2">
        <v>-18.972178217821781</v>
      </c>
      <c r="DX12" s="2">
        <v>-18.980148514851486</v>
      </c>
      <c r="DY12" s="2">
        <v>-18.992029702970299</v>
      </c>
      <c r="DZ12" s="2">
        <v>-19.003910891089109</v>
      </c>
      <c r="EA12" s="2">
        <v>-19.015792079207923</v>
      </c>
      <c r="EB12" s="2">
        <v>-19.027673267326733</v>
      </c>
      <c r="EC12" s="2">
        <v>-19.039554455445547</v>
      </c>
      <c r="ED12" s="2">
        <v>-19.051435643564357</v>
      </c>
      <c r="EE12" s="2">
        <v>-19.063316831683171</v>
      </c>
      <c r="EF12" s="2">
        <v>-19.075198019801981</v>
      </c>
      <c r="EG12" s="2">
        <v>-19.087079207920794</v>
      </c>
      <c r="EH12" s="2">
        <v>-19.098960396039605</v>
      </c>
      <c r="EI12" s="2">
        <v>-19.114455445544557</v>
      </c>
      <c r="EJ12" s="2">
        <v>-19.13029702970297</v>
      </c>
      <c r="EK12" s="2">
        <v>-19.146138613861385</v>
      </c>
      <c r="EL12" s="2">
        <v>-19.161980198019801</v>
      </c>
      <c r="EM12" s="2">
        <v>-19.177821782178217</v>
      </c>
      <c r="EN12" s="2">
        <v>-19.193731343283581</v>
      </c>
      <c r="EO12" s="2">
        <v>-19.209651741293531</v>
      </c>
      <c r="EP12" s="2">
        <v>-19.225544554455446</v>
      </c>
      <c r="EQ12" s="2">
        <v>-19.241386138613862</v>
      </c>
      <c r="ER12" s="2">
        <v>-19.257227722772278</v>
      </c>
      <c r="ES12" s="2">
        <v>-19.273069306930694</v>
      </c>
      <c r="ET12" s="2">
        <v>-19.28891089108911</v>
      </c>
      <c r="EU12" s="2">
        <v>-19.305940594059408</v>
      </c>
      <c r="EV12" s="2">
        <v>-19.325742574257426</v>
      </c>
      <c r="EW12" s="2">
        <v>-19.345544554455447</v>
      </c>
      <c r="EX12" s="2">
        <v>-19.362277227722775</v>
      </c>
      <c r="EY12" s="2">
        <v>-19.37811881188119</v>
      </c>
      <c r="EZ12" s="2">
        <v>-19.393960396039603</v>
      </c>
      <c r="FA12" s="2">
        <v>-19.409801980198019</v>
      </c>
      <c r="FB12" s="2">
        <v>-19.425643564356434</v>
      </c>
      <c r="FC12" s="2">
        <v>-19.442202970297028</v>
      </c>
      <c r="FD12" s="2">
        <v>-19.459034653465345</v>
      </c>
      <c r="FE12" s="2">
        <v>-19.475866336633665</v>
      </c>
      <c r="FF12" s="2">
        <v>-19.492698019801981</v>
      </c>
      <c r="FG12" s="2">
        <v>-19.509529702970298</v>
      </c>
      <c r="FH12" s="2">
        <v>-19.526361386138614</v>
      </c>
      <c r="FI12" s="2">
        <v>-19.54319306930693</v>
      </c>
      <c r="FJ12" s="2">
        <v>-19.560024752475247</v>
      </c>
      <c r="FK12" s="2">
        <v>-19.576856435643567</v>
      </c>
      <c r="FL12" s="2">
        <v>-19.593688118811883</v>
      </c>
      <c r="FM12" s="2">
        <v>-19.609950248756221</v>
      </c>
      <c r="FN12" s="2">
        <v>-19.62587064676617</v>
      </c>
      <c r="FO12" s="2">
        <v>-19.641782178217824</v>
      </c>
      <c r="FP12" s="2">
        <v>-19.65762376237624</v>
      </c>
      <c r="FQ12" s="2">
        <v>-19.673465346534652</v>
      </c>
      <c r="FR12" s="2">
        <v>-19.682326732673268</v>
      </c>
      <c r="FS12" s="2">
        <v>-19.686287128712873</v>
      </c>
      <c r="FT12" s="2">
        <v>-19.685297029702973</v>
      </c>
      <c r="FU12" s="2">
        <v>-19.610049504950496</v>
      </c>
      <c r="FV12" s="2">
        <v>-19.534801980198019</v>
      </c>
      <c r="FW12" s="2">
        <v>-19.497871287128714</v>
      </c>
      <c r="FX12" s="2">
        <v>-19.493910891089108</v>
      </c>
      <c r="FY12" s="2">
        <v>-19.490099009900987</v>
      </c>
      <c r="FZ12" s="2">
        <v>-19.498019801980199</v>
      </c>
      <c r="GA12" s="2">
        <v>-19.505940594059407</v>
      </c>
      <c r="GB12" s="2">
        <v>-19.517722772277228</v>
      </c>
      <c r="GC12" s="2">
        <v>-19.533564356435644</v>
      </c>
      <c r="GD12" s="2">
        <v>-19.54940594059406</v>
      </c>
      <c r="GE12" s="2">
        <v>-19.565247524752476</v>
      </c>
      <c r="GF12" s="2">
        <v>-19.581089108910891</v>
      </c>
      <c r="GG12" s="2">
        <v>-19.596505576208177</v>
      </c>
      <c r="GH12" s="2">
        <v>-19.611375464684013</v>
      </c>
      <c r="GI12" s="2">
        <v>-19.626245353159852</v>
      </c>
      <c r="GJ12" s="2">
        <v>-19.641115241635688</v>
      </c>
      <c r="GK12" s="2">
        <v>-19.655985130111524</v>
      </c>
      <c r="GL12" s="2">
        <v>-19.670855018587361</v>
      </c>
      <c r="GM12" s="2">
        <v>-19.685724907063197</v>
      </c>
      <c r="GN12" s="2">
        <v>-19.700594795539033</v>
      </c>
      <c r="GO12" s="2">
        <v>-19.715464684014869</v>
      </c>
      <c r="GP12" s="2">
        <v>-19.730334572490705</v>
      </c>
      <c r="GQ12" s="2">
        <v>-19.744158415841582</v>
      </c>
      <c r="GR12" s="2">
        <v>-19.756039603960396</v>
      </c>
      <c r="GS12" s="2">
        <v>-19.767920792079206</v>
      </c>
      <c r="GT12" s="2">
        <v>-19.783069306930692</v>
      </c>
      <c r="GU12" s="2">
        <v>-19.798910891089108</v>
      </c>
      <c r="GV12" s="2">
        <v>-19.814752475247523</v>
      </c>
      <c r="GW12" s="2">
        <v>-19.830594059405939</v>
      </c>
      <c r="GX12" s="2">
        <v>-19.846435643564359</v>
      </c>
      <c r="GY12" s="2"/>
      <c r="GZ12" s="2"/>
      <c r="HA12" s="2"/>
      <c r="HB12" s="2"/>
      <c r="HC12" s="2"/>
      <c r="HD12" s="2"/>
      <c r="HE12" s="2"/>
    </row>
    <row r="13" spans="1:213" ht="21.75" thickBot="1" x14ac:dyDescent="0.35">
      <c r="A13" s="31" t="s">
        <v>26</v>
      </c>
      <c r="B13" s="32">
        <v>0</v>
      </c>
      <c r="C13" s="32">
        <v>0</v>
      </c>
      <c r="D13" s="32">
        <v>0</v>
      </c>
      <c r="E13" s="32">
        <v>0</v>
      </c>
      <c r="F13" s="32">
        <v>0</v>
      </c>
      <c r="G13" s="32">
        <v>0</v>
      </c>
      <c r="H13" s="32">
        <v>0</v>
      </c>
      <c r="I13" s="32">
        <v>0</v>
      </c>
      <c r="J13" s="32">
        <v>0</v>
      </c>
      <c r="K13" s="32">
        <v>0</v>
      </c>
      <c r="L13" s="32">
        <v>0</v>
      </c>
      <c r="M13" s="32">
        <v>1.3168999999999999E-31</v>
      </c>
      <c r="N13" s="32">
        <v>1.7224E-23</v>
      </c>
      <c r="O13" s="32">
        <v>8.3048000000000002E-20</v>
      </c>
      <c r="P13" s="32">
        <v>3.9772E-13</v>
      </c>
      <c r="Q13" s="32">
        <v>1.4622999999999999E-12</v>
      </c>
      <c r="R13" s="32">
        <v>4.5785E-11</v>
      </c>
      <c r="S13" s="32">
        <v>0</v>
      </c>
      <c r="T13" s="32">
        <v>2.8389000000000002E-9</v>
      </c>
      <c r="U13" s="2">
        <v>3.8255000000000001E-8</v>
      </c>
      <c r="V13" s="2">
        <v>0.15769</v>
      </c>
      <c r="W13" s="2">
        <v>0.15976000000000001</v>
      </c>
      <c r="X13" s="2">
        <v>0.15997</v>
      </c>
      <c r="Y13" s="2">
        <v>0.16</v>
      </c>
      <c r="Z13" s="2">
        <v>0.16</v>
      </c>
      <c r="AA13" s="2">
        <v>0.16</v>
      </c>
      <c r="AB13" s="2">
        <v>0.16</v>
      </c>
      <c r="AC13" s="2">
        <v>0.16</v>
      </c>
      <c r="AD13" s="2">
        <v>0.16</v>
      </c>
      <c r="AE13" s="2">
        <v>0.16</v>
      </c>
      <c r="AF13" s="2"/>
      <c r="AG13" s="2"/>
      <c r="AH13" s="2"/>
      <c r="CL13" s="6">
        <f>CM12</f>
        <v>830</v>
      </c>
      <c r="CM13" s="25">
        <f>MIN($A$3:$CJ$63)*100</f>
        <v>-6636</v>
      </c>
      <c r="CQ13" s="8">
        <v>98.734089999999995</v>
      </c>
      <c r="CR13" s="8">
        <v>1.2273E-3</v>
      </c>
      <c r="CS13" s="4">
        <f t="shared" si="0"/>
        <v>371.88408999999996</v>
      </c>
      <c r="CT13" s="9">
        <f>Таблица1[[#This Row],[DSC/(mW/mg)]]</f>
        <v>1.2273E-3</v>
      </c>
      <c r="DO13" s="3" t="s">
        <v>26</v>
      </c>
      <c r="DP13" s="4">
        <v>-62.667772277227719</v>
      </c>
      <c r="DQ13" s="4">
        <v>-61.130742574257425</v>
      </c>
      <c r="DR13" s="4">
        <v>-59.68519801980198</v>
      </c>
      <c r="DS13" s="4">
        <v>-58.251039603960393</v>
      </c>
      <c r="DT13" s="2">
        <v>-56.987673267326734</v>
      </c>
      <c r="DU13" s="2">
        <v>-55.724306930693068</v>
      </c>
      <c r="DV13" s="2">
        <v>-54.333217821782178</v>
      </c>
      <c r="DW13" s="2">
        <v>-52.832227722772274</v>
      </c>
      <c r="DX13" s="2">
        <v>-51.332240099009901</v>
      </c>
      <c r="DY13" s="2">
        <v>-49.911448019801981</v>
      </c>
      <c r="DZ13" s="2">
        <v>-48.49065594059406</v>
      </c>
      <c r="EA13" s="2">
        <v>-47.069863861386139</v>
      </c>
      <c r="EB13" s="2">
        <v>-45.649071782178218</v>
      </c>
      <c r="EC13" s="2">
        <v>-44.228279702970298</v>
      </c>
      <c r="ED13" s="2">
        <v>-42.80748762376237</v>
      </c>
      <c r="EE13" s="2">
        <v>-41.386695544554456</v>
      </c>
      <c r="EF13" s="2">
        <v>-39.965903465346528</v>
      </c>
      <c r="EG13" s="2">
        <v>-38.545111386138615</v>
      </c>
      <c r="EH13" s="2">
        <v>-37.124319306930687</v>
      </c>
      <c r="EI13" s="2">
        <v>-35.962821782178217</v>
      </c>
      <c r="EJ13" s="2">
        <v>-34.826188118811878</v>
      </c>
      <c r="EK13" s="2">
        <v>-33.724851485148513</v>
      </c>
      <c r="EL13" s="2">
        <v>-32.679306930693073</v>
      </c>
      <c r="EM13" s="2">
        <v>-31.633762376237627</v>
      </c>
      <c r="EN13" s="2">
        <v>-30.648955223880598</v>
      </c>
      <c r="EO13" s="2">
        <v>-29.673830845771143</v>
      </c>
      <c r="EP13" s="2">
        <v>-28.723960396039601</v>
      </c>
      <c r="EQ13" s="2">
        <v>-27.820990099009901</v>
      </c>
      <c r="ER13" s="2">
        <v>-26.918019801980197</v>
      </c>
      <c r="ES13" s="2">
        <v>-26.064059405940593</v>
      </c>
      <c r="ET13" s="2">
        <v>-25.220495049504951</v>
      </c>
      <c r="EU13" s="2">
        <v>-24.393564356435643</v>
      </c>
      <c r="EV13" s="2">
        <v>-23.605445544554453</v>
      </c>
      <c r="EW13" s="2">
        <v>-22.817326732673266</v>
      </c>
      <c r="EX13" s="2">
        <v>-22.066039603960395</v>
      </c>
      <c r="EY13" s="2">
        <v>-21.325445544554455</v>
      </c>
      <c r="EZ13" s="2">
        <v>-20.595742574257425</v>
      </c>
      <c r="FA13" s="2">
        <v>-19.898712871287131</v>
      </c>
      <c r="FB13" s="2">
        <v>-19.201683168316837</v>
      </c>
      <c r="FC13" s="2">
        <v>-18.569257425742578</v>
      </c>
      <c r="FD13" s="2">
        <v>-17.961336633663372</v>
      </c>
      <c r="FE13" s="2">
        <v>-17.353415841584162</v>
      </c>
      <c r="FF13" s="2">
        <v>-16.745495049504953</v>
      </c>
      <c r="FG13" s="2">
        <v>-16.137574257425744</v>
      </c>
      <c r="FH13" s="2">
        <v>-15.529653465346536</v>
      </c>
      <c r="FI13" s="2">
        <v>-14.921732673267329</v>
      </c>
      <c r="FJ13" s="2">
        <v>-14.313811881188119</v>
      </c>
      <c r="FK13" s="2">
        <v>-13.705891089108912</v>
      </c>
      <c r="FL13" s="2">
        <v>-13.097970297029704</v>
      </c>
      <c r="FM13" s="2">
        <v>-12.536666666666667</v>
      </c>
      <c r="FN13" s="2">
        <v>-12.003333333333334</v>
      </c>
      <c r="FO13" s="2">
        <v>-11.472970297029704</v>
      </c>
      <c r="FP13" s="2">
        <v>-10.966039603960395</v>
      </c>
      <c r="FQ13" s="2">
        <v>-10.459108910891088</v>
      </c>
      <c r="FR13" s="2">
        <v>-9.9752128712871269</v>
      </c>
      <c r="FS13" s="2">
        <v>-9.5074900990098996</v>
      </c>
      <c r="FT13" s="2">
        <v>-9.0558316831683179</v>
      </c>
      <c r="FU13" s="2">
        <v>-8.845138613861387</v>
      </c>
      <c r="FV13" s="2">
        <v>-8.6344455445544579</v>
      </c>
      <c r="FW13" s="2">
        <v>-8.4284356435643577</v>
      </c>
      <c r="FX13" s="2">
        <v>-8.2264554455445538</v>
      </c>
      <c r="FY13" s="2">
        <v>-8.0249702970297019</v>
      </c>
      <c r="FZ13" s="2">
        <v>-7.8625940594059402</v>
      </c>
      <c r="GA13" s="2">
        <v>-7.7002178217821786</v>
      </c>
      <c r="GB13" s="2">
        <v>-7.635920792079208</v>
      </c>
      <c r="GC13" s="2">
        <v>-7.6747326732673269</v>
      </c>
      <c r="GD13" s="2">
        <v>-7.7135445544554457</v>
      </c>
      <c r="GE13" s="2">
        <v>-7.7531188118811887</v>
      </c>
      <c r="GF13" s="2">
        <v>-7.7927227722772283</v>
      </c>
      <c r="GG13" s="2">
        <v>-7.8332589838909543</v>
      </c>
      <c r="GH13" s="2">
        <v>-7.8749938042131351</v>
      </c>
      <c r="GI13" s="2">
        <v>-7.9167286245353168</v>
      </c>
      <c r="GJ13" s="2">
        <v>-7.9584634448574976</v>
      </c>
      <c r="GK13" s="2">
        <v>-8.0001982651796784</v>
      </c>
      <c r="GL13" s="2">
        <v>-8.04193308550186</v>
      </c>
      <c r="GM13" s="2">
        <v>-8.0836679058240399</v>
      </c>
      <c r="GN13" s="2">
        <v>-8.1254027261462216</v>
      </c>
      <c r="GO13" s="2">
        <v>-8.1671375464684015</v>
      </c>
      <c r="GP13" s="2">
        <v>-8.2088723667905832</v>
      </c>
      <c r="GQ13" s="2">
        <v>-8.2518019801980209</v>
      </c>
      <c r="GR13" s="2">
        <v>-8.2969504950495043</v>
      </c>
      <c r="GS13" s="2">
        <v>-8.3420990099009895</v>
      </c>
      <c r="GT13" s="2">
        <v>-8.3888811881188108</v>
      </c>
      <c r="GU13" s="2">
        <v>-8.4360099009900988</v>
      </c>
      <c r="GV13" s="2">
        <v>-8.4837326732673262</v>
      </c>
      <c r="GW13" s="2">
        <v>-8.5328415841584153</v>
      </c>
      <c r="GX13" s="2">
        <v>-8.5819504950495045</v>
      </c>
      <c r="GY13" s="2"/>
      <c r="GZ13" s="2"/>
      <c r="HA13" s="2"/>
      <c r="HB13" s="2"/>
      <c r="HC13" s="2"/>
      <c r="HD13" s="2"/>
      <c r="HE13" s="2"/>
    </row>
    <row r="14" spans="1:213" ht="21.75" thickBot="1" x14ac:dyDescent="0.35">
      <c r="A14" s="31" t="s">
        <v>27</v>
      </c>
      <c r="B14" s="32">
        <v>0</v>
      </c>
      <c r="C14" s="32">
        <v>0</v>
      </c>
      <c r="D14" s="32">
        <v>0</v>
      </c>
      <c r="E14" s="32">
        <v>0</v>
      </c>
      <c r="F14" s="32">
        <v>0</v>
      </c>
      <c r="G14" s="32">
        <v>0</v>
      </c>
      <c r="H14" s="32">
        <v>3.7209000000000002E-35</v>
      </c>
      <c r="I14" s="32">
        <v>0</v>
      </c>
      <c r="J14" s="32">
        <v>0</v>
      </c>
      <c r="K14" s="32">
        <v>0</v>
      </c>
      <c r="L14" s="32">
        <v>0</v>
      </c>
      <c r="M14" s="32">
        <v>1.9468E-26</v>
      </c>
      <c r="N14" s="32">
        <v>4.6849999999999995E-19</v>
      </c>
      <c r="O14" s="32">
        <v>4.5680000000000005E-16</v>
      </c>
      <c r="P14" s="32">
        <v>8.0088000000000004E-12</v>
      </c>
      <c r="Q14" s="32">
        <v>8.5293E-12</v>
      </c>
      <c r="R14" s="32">
        <v>8.1495999999999994E-11</v>
      </c>
      <c r="S14" s="32">
        <v>0</v>
      </c>
      <c r="T14" s="32">
        <v>1.0850000000000001E-9</v>
      </c>
      <c r="U14" s="2">
        <v>9.4720000000000004E-9</v>
      </c>
      <c r="V14" s="2">
        <v>2.7789000000000001E-2</v>
      </c>
      <c r="W14" s="2">
        <v>3.3133000000000003E-2</v>
      </c>
      <c r="X14" s="2">
        <v>3.8913999999999997E-2</v>
      </c>
      <c r="Y14" s="2">
        <v>7.2328000000000003E-2</v>
      </c>
      <c r="Z14" s="2">
        <v>8.4408999999999998E-2</v>
      </c>
      <c r="AA14" s="2">
        <v>9.8666000000000004E-2</v>
      </c>
      <c r="AB14" s="2">
        <v>0.11561</v>
      </c>
      <c r="AC14" s="2">
        <v>9.8666000000000004E-2</v>
      </c>
      <c r="AD14" s="2">
        <v>0.11561</v>
      </c>
      <c r="AE14" s="2">
        <v>0.13605</v>
      </c>
      <c r="AF14" s="2"/>
      <c r="AG14" s="2"/>
      <c r="AH14" s="2"/>
      <c r="CL14" s="5">
        <f>CM12</f>
        <v>830</v>
      </c>
      <c r="CM14" s="25">
        <v>10</v>
      </c>
      <c r="CQ14" s="8">
        <v>100.8075</v>
      </c>
      <c r="CR14" s="8">
        <v>9.1744000000000005E-4</v>
      </c>
      <c r="CS14" s="4">
        <f t="shared" si="0"/>
        <v>373.95749999999998</v>
      </c>
      <c r="CT14" s="9">
        <f>Таблица1[[#This Row],[DSC/(mW/mg)]]</f>
        <v>9.1744000000000005E-4</v>
      </c>
      <c r="DO14" s="3" t="s">
        <v>27</v>
      </c>
      <c r="DP14" s="4">
        <v>-15.64579207920792</v>
      </c>
      <c r="DQ14" s="4">
        <v>-15.366435643564357</v>
      </c>
      <c r="DR14" s="4">
        <v>-15.105049504950495</v>
      </c>
      <c r="DS14" s="4">
        <v>-14.846138613861386</v>
      </c>
      <c r="DT14" s="2">
        <v>-14.624356435643564</v>
      </c>
      <c r="DU14" s="2">
        <v>-14.402574257425742</v>
      </c>
      <c r="DV14" s="2">
        <v>-14.059455445544554</v>
      </c>
      <c r="DW14" s="2">
        <v>-13.611930693069306</v>
      </c>
      <c r="DX14" s="2">
        <v>-13.163493811881187</v>
      </c>
      <c r="DY14" s="2">
        <v>-12.642998762376235</v>
      </c>
      <c r="DZ14" s="2">
        <v>-12.122503712871286</v>
      </c>
      <c r="EA14" s="2">
        <v>-11.602008663366336</v>
      </c>
      <c r="EB14" s="2">
        <v>-11.081513613861386</v>
      </c>
      <c r="EC14" s="2">
        <v>-10.561018564356434</v>
      </c>
      <c r="ED14" s="2">
        <v>-10.040523514851484</v>
      </c>
      <c r="EE14" s="2">
        <v>-9.5200284653465346</v>
      </c>
      <c r="EF14" s="2">
        <v>-8.999533415841583</v>
      </c>
      <c r="EG14" s="2">
        <v>-8.4790383663366331</v>
      </c>
      <c r="EH14" s="2">
        <v>-7.9585433168316824</v>
      </c>
      <c r="EI14" s="2">
        <v>-7.5292079207920786</v>
      </c>
      <c r="EJ14" s="2">
        <v>-7.1086138613861376</v>
      </c>
      <c r="EK14" s="2">
        <v>-6.6999900990099004</v>
      </c>
      <c r="EL14" s="2">
        <v>-6.3102871287128712</v>
      </c>
      <c r="EM14" s="2">
        <v>-5.9205841584158421</v>
      </c>
      <c r="EN14" s="2">
        <v>-5.5518656716417913</v>
      </c>
      <c r="EO14" s="2">
        <v>-5.1864925373134323</v>
      </c>
      <c r="EP14" s="2">
        <v>-4.8314554455445542</v>
      </c>
      <c r="EQ14" s="2">
        <v>-4.4956138613861381</v>
      </c>
      <c r="ER14" s="2">
        <v>-4.1597722772277219</v>
      </c>
      <c r="ES14" s="2">
        <v>-4.1170099009900989</v>
      </c>
      <c r="ET14" s="2">
        <v>-4.1364158415841583</v>
      </c>
      <c r="EU14" s="2">
        <v>-4.1559405940594063</v>
      </c>
      <c r="EV14" s="2">
        <v>-4.1757425742574261</v>
      </c>
      <c r="EW14" s="2">
        <v>-4.1955445544554459</v>
      </c>
      <c r="EX14" s="2">
        <v>-4.2150396039603963</v>
      </c>
      <c r="EY14" s="2">
        <v>-4.2344455445544549</v>
      </c>
      <c r="EZ14" s="2">
        <v>-4.2539504950495051</v>
      </c>
      <c r="FA14" s="2">
        <v>-4.2737524752475249</v>
      </c>
      <c r="FB14" s="2">
        <v>-4.2935544554455447</v>
      </c>
      <c r="FC14" s="2">
        <v>-4.3133564356435645</v>
      </c>
      <c r="FD14" s="2">
        <v>-4.3331584158415843</v>
      </c>
      <c r="FE14" s="2">
        <v>-4.3529603960396042</v>
      </c>
      <c r="FF14" s="2">
        <v>-4.372762376237624</v>
      </c>
      <c r="FG14" s="2">
        <v>-4.3925643564356438</v>
      </c>
      <c r="FH14" s="2">
        <v>-4.4123663366336636</v>
      </c>
      <c r="FI14" s="2">
        <v>-4.4321683168316834</v>
      </c>
      <c r="FJ14" s="2">
        <v>-4.4519702970297024</v>
      </c>
      <c r="FK14" s="2">
        <v>-4.4717722772277222</v>
      </c>
      <c r="FL14" s="2">
        <v>-4.491574257425742</v>
      </c>
      <c r="FM14" s="2">
        <v>-4.5114378109452735</v>
      </c>
      <c r="FN14" s="2">
        <v>-4.5313383084577117</v>
      </c>
      <c r="FO14" s="2">
        <v>-4.5511831683168316</v>
      </c>
      <c r="FP14" s="2">
        <v>-4.570589108910891</v>
      </c>
      <c r="FQ14" s="2">
        <v>-4.5899950495049504</v>
      </c>
      <c r="FR14" s="2">
        <v>-4.6094009900990098</v>
      </c>
      <c r="FS14" s="2">
        <v>-4.6288069306930693</v>
      </c>
      <c r="FT14" s="2">
        <v>-4.6482128712871287</v>
      </c>
      <c r="FU14" s="2">
        <v>-4.6676188118811881</v>
      </c>
      <c r="FV14" s="2">
        <v>-4.6870247524752475</v>
      </c>
      <c r="FW14" s="2">
        <v>-4.706217821782178</v>
      </c>
      <c r="FX14" s="2">
        <v>-4.725227722772277</v>
      </c>
      <c r="FY14" s="2">
        <v>-4.744237623762376</v>
      </c>
      <c r="FZ14" s="2">
        <v>-4.763247524752475</v>
      </c>
      <c r="GA14" s="2">
        <v>-4.7822574257425741</v>
      </c>
      <c r="GB14" s="2">
        <v>-4.8012673267326731</v>
      </c>
      <c r="GC14" s="2">
        <v>-4.8202772277227721</v>
      </c>
      <c r="GD14" s="2">
        <v>-4.8392871287128711</v>
      </c>
      <c r="GE14" s="2">
        <v>-4.8579158415841581</v>
      </c>
      <c r="GF14" s="2">
        <v>-4.8765297029702968</v>
      </c>
      <c r="GG14" s="2">
        <v>-4.8949801734820317</v>
      </c>
      <c r="GH14" s="2">
        <v>-4.913220570012391</v>
      </c>
      <c r="GI14" s="2">
        <v>-4.9314609665427502</v>
      </c>
      <c r="GJ14" s="2">
        <v>-4.9497013630731095</v>
      </c>
      <c r="GK14" s="2">
        <v>-4.9679417596034696</v>
      </c>
      <c r="GL14" s="2">
        <v>-4.9861821561338289</v>
      </c>
      <c r="GM14" s="2">
        <v>-5.0044225526641881</v>
      </c>
      <c r="GN14" s="2">
        <v>-5.0226629491945474</v>
      </c>
      <c r="GO14" s="2">
        <v>-5.0409033457249066</v>
      </c>
      <c r="GP14" s="2">
        <v>-5.0591437422552659</v>
      </c>
      <c r="GQ14" s="2">
        <v>-5.0772376237623762</v>
      </c>
      <c r="GR14" s="2">
        <v>-5.095059405940594</v>
      </c>
      <c r="GS14" s="2">
        <v>-5.1128811881188119</v>
      </c>
      <c r="GT14" s="2">
        <v>-5.1307029702970297</v>
      </c>
      <c r="GU14" s="2">
        <v>-5.1485247524752475</v>
      </c>
      <c r="GV14" s="2">
        <v>-5.1663465346534654</v>
      </c>
      <c r="GW14" s="2">
        <v>-5.1841683168316832</v>
      </c>
      <c r="GX14" s="2">
        <v>-5.2019900990099011</v>
      </c>
      <c r="GY14" s="2"/>
      <c r="GZ14" s="2"/>
      <c r="HA14" s="2"/>
      <c r="HB14" s="2"/>
      <c r="HC14" s="2"/>
      <c r="HD14" s="2"/>
      <c r="HE14" s="2"/>
    </row>
    <row r="15" spans="1:213" ht="21.75" thickBot="1" x14ac:dyDescent="0.35">
      <c r="A15" s="31" t="s">
        <v>28</v>
      </c>
      <c r="B15" s="32">
        <v>-18.96</v>
      </c>
      <c r="C15" s="32">
        <v>-18.95</v>
      </c>
      <c r="D15" s="32">
        <v>-18.95</v>
      </c>
      <c r="E15" s="32">
        <v>-18.96</v>
      </c>
      <c r="F15" s="32">
        <v>-18.98</v>
      </c>
      <c r="G15" s="32">
        <v>-19.100000000000001</v>
      </c>
      <c r="H15" s="32">
        <v>-19.14</v>
      </c>
      <c r="I15" s="32">
        <v>-19.18</v>
      </c>
      <c r="J15" s="32">
        <v>-19.22</v>
      </c>
      <c r="K15" s="32">
        <v>-19.260000000000002</v>
      </c>
      <c r="L15" s="32">
        <v>-19.3</v>
      </c>
      <c r="M15" s="32">
        <v>-19.350000000000001</v>
      </c>
      <c r="N15" s="32">
        <v>-19.39</v>
      </c>
      <c r="O15" s="32">
        <v>-19.43</v>
      </c>
      <c r="P15" s="32">
        <v>-19.600000000000001</v>
      </c>
      <c r="Q15" s="32">
        <v>-19.64</v>
      </c>
      <c r="R15" s="32">
        <v>-19.68</v>
      </c>
      <c r="S15" s="32">
        <v>-19.690000000000001</v>
      </c>
      <c r="T15" s="32">
        <v>-19.5</v>
      </c>
      <c r="U15" s="2">
        <v>-19.489999999999998</v>
      </c>
      <c r="V15" s="2">
        <v>-19.510000000000002</v>
      </c>
      <c r="W15" s="2">
        <v>-19.55</v>
      </c>
      <c r="X15" s="2">
        <v>-19.59</v>
      </c>
      <c r="Y15" s="2">
        <v>-19.739999999999998</v>
      </c>
      <c r="Z15" s="2">
        <v>-19.77</v>
      </c>
      <c r="AA15" s="2">
        <v>-19.809999999999999</v>
      </c>
      <c r="AB15" s="2">
        <v>-19.850000000000001</v>
      </c>
      <c r="AC15" s="2">
        <v>-19.809999999999999</v>
      </c>
      <c r="AD15" s="2">
        <v>-19.850000000000001</v>
      </c>
      <c r="AE15" s="2">
        <v>-19.88</v>
      </c>
      <c r="AF15" s="2"/>
      <c r="AG15" s="2"/>
      <c r="AH15" s="2"/>
      <c r="CL15" s="2"/>
      <c r="CM15" s="2"/>
      <c r="CQ15" s="8">
        <v>102.88091</v>
      </c>
      <c r="CR15" s="8">
        <v>7.0991000000000001E-4</v>
      </c>
      <c r="CS15" s="4">
        <f t="shared" si="0"/>
        <v>376.03090999999995</v>
      </c>
      <c r="CT15" s="9">
        <f>Таблица1[[#This Row],[DSC/(mW/mg)]]</f>
        <v>7.0991000000000001E-4</v>
      </c>
      <c r="DO15" s="3" t="s">
        <v>28</v>
      </c>
      <c r="DP15" s="4">
        <v>-18.951633663366337</v>
      </c>
      <c r="DQ15" s="4">
        <v>-18.95</v>
      </c>
      <c r="DR15" s="4">
        <v>-18.95</v>
      </c>
      <c r="DS15" s="4">
        <v>-18.950247524752474</v>
      </c>
      <c r="DT15" s="2">
        <v>-18.954207920792079</v>
      </c>
      <c r="DU15" s="2">
        <v>-18.958168316831685</v>
      </c>
      <c r="DV15" s="2">
        <v>-18.964257425742574</v>
      </c>
      <c r="DW15" s="2">
        <v>-18.972178217821781</v>
      </c>
      <c r="DX15" s="2">
        <v>-18.980148514851486</v>
      </c>
      <c r="DY15" s="2">
        <v>-18.992029702970299</v>
      </c>
      <c r="DZ15" s="2">
        <v>-19.003910891089109</v>
      </c>
      <c r="EA15" s="2">
        <v>-19.015792079207923</v>
      </c>
      <c r="EB15" s="2">
        <v>-19.027673267326733</v>
      </c>
      <c r="EC15" s="2">
        <v>-19.039554455445547</v>
      </c>
      <c r="ED15" s="2">
        <v>-19.051435643564357</v>
      </c>
      <c r="EE15" s="2">
        <v>-19.063316831683171</v>
      </c>
      <c r="EF15" s="2">
        <v>-19.075198019801981</v>
      </c>
      <c r="EG15" s="2">
        <v>-19.087079207920794</v>
      </c>
      <c r="EH15" s="2">
        <v>-19.098960396039605</v>
      </c>
      <c r="EI15" s="2">
        <v>-19.114455445544557</v>
      </c>
      <c r="EJ15" s="2">
        <v>-19.13029702970297</v>
      </c>
      <c r="EK15" s="2">
        <v>-19.146138613861385</v>
      </c>
      <c r="EL15" s="2">
        <v>-19.161980198019801</v>
      </c>
      <c r="EM15" s="2">
        <v>-19.177821782178217</v>
      </c>
      <c r="EN15" s="2">
        <v>-19.193731343283581</v>
      </c>
      <c r="EO15" s="2">
        <v>-19.209651741293531</v>
      </c>
      <c r="EP15" s="2">
        <v>-19.225544554455446</v>
      </c>
      <c r="EQ15" s="2">
        <v>-19.241386138613862</v>
      </c>
      <c r="ER15" s="2">
        <v>-19.257227722772278</v>
      </c>
      <c r="ES15" s="2">
        <v>-19.273069306930694</v>
      </c>
      <c r="ET15" s="2">
        <v>-19.28891089108911</v>
      </c>
      <c r="EU15" s="2">
        <v>-19.305940594059408</v>
      </c>
      <c r="EV15" s="2">
        <v>-19.325742574257426</v>
      </c>
      <c r="EW15" s="2">
        <v>-19.345544554455447</v>
      </c>
      <c r="EX15" s="2">
        <v>-19.362277227722775</v>
      </c>
      <c r="EY15" s="2">
        <v>-19.37811881188119</v>
      </c>
      <c r="EZ15" s="2">
        <v>-19.393960396039603</v>
      </c>
      <c r="FA15" s="2">
        <v>-19.409801980198019</v>
      </c>
      <c r="FB15" s="2">
        <v>-19.425643564356434</v>
      </c>
      <c r="FC15" s="2">
        <v>-19.442202970297028</v>
      </c>
      <c r="FD15" s="2">
        <v>-19.459034653465345</v>
      </c>
      <c r="FE15" s="2">
        <v>-19.475866336633665</v>
      </c>
      <c r="FF15" s="2">
        <v>-19.492698019801981</v>
      </c>
      <c r="FG15" s="2">
        <v>-19.509529702970298</v>
      </c>
      <c r="FH15" s="2">
        <v>-19.526361386138614</v>
      </c>
      <c r="FI15" s="2">
        <v>-19.54319306930693</v>
      </c>
      <c r="FJ15" s="2">
        <v>-19.560024752475247</v>
      </c>
      <c r="FK15" s="2">
        <v>-19.576856435643567</v>
      </c>
      <c r="FL15" s="2">
        <v>-19.593688118811883</v>
      </c>
      <c r="FM15" s="2">
        <v>-19.609950248756221</v>
      </c>
      <c r="FN15" s="2">
        <v>-19.62587064676617</v>
      </c>
      <c r="FO15" s="2">
        <v>-19.641782178217824</v>
      </c>
      <c r="FP15" s="2">
        <v>-19.65762376237624</v>
      </c>
      <c r="FQ15" s="2">
        <v>-19.673465346534652</v>
      </c>
      <c r="FR15" s="2">
        <v>-19.682326732673268</v>
      </c>
      <c r="FS15" s="2">
        <v>-19.686287128712873</v>
      </c>
      <c r="FT15" s="2">
        <v>-19.685297029702973</v>
      </c>
      <c r="FU15" s="2">
        <v>-19.610049504950496</v>
      </c>
      <c r="FV15" s="2">
        <v>-19.534801980198019</v>
      </c>
      <c r="FW15" s="2">
        <v>-19.497871287128714</v>
      </c>
      <c r="FX15" s="2">
        <v>-19.493910891089108</v>
      </c>
      <c r="FY15" s="2">
        <v>-19.490099009900987</v>
      </c>
      <c r="FZ15" s="2">
        <v>-19.498019801980199</v>
      </c>
      <c r="GA15" s="2">
        <v>-19.505940594059407</v>
      </c>
      <c r="GB15" s="2">
        <v>-19.517722772277228</v>
      </c>
      <c r="GC15" s="2">
        <v>-19.533564356435644</v>
      </c>
      <c r="GD15" s="2">
        <v>-19.54940594059406</v>
      </c>
      <c r="GE15" s="2">
        <v>-19.565247524752476</v>
      </c>
      <c r="GF15" s="2">
        <v>-19.581089108910891</v>
      </c>
      <c r="GG15" s="2">
        <v>-19.596505576208177</v>
      </c>
      <c r="GH15" s="2">
        <v>-19.611375464684013</v>
      </c>
      <c r="GI15" s="2">
        <v>-19.626245353159852</v>
      </c>
      <c r="GJ15" s="2">
        <v>-19.641115241635688</v>
      </c>
      <c r="GK15" s="2">
        <v>-19.655985130111524</v>
      </c>
      <c r="GL15" s="2">
        <v>-19.670855018587361</v>
      </c>
      <c r="GM15" s="2">
        <v>-19.685724907063197</v>
      </c>
      <c r="GN15" s="2">
        <v>-19.700594795539033</v>
      </c>
      <c r="GO15" s="2">
        <v>-19.715464684014869</v>
      </c>
      <c r="GP15" s="2">
        <v>-19.730334572490705</v>
      </c>
      <c r="GQ15" s="2">
        <v>-19.744158415841582</v>
      </c>
      <c r="GR15" s="2">
        <v>-19.756039603960396</v>
      </c>
      <c r="GS15" s="2">
        <v>-19.767920792079206</v>
      </c>
      <c r="GT15" s="2">
        <v>-19.783069306930692</v>
      </c>
      <c r="GU15" s="2">
        <v>-19.798910891089108</v>
      </c>
      <c r="GV15" s="2">
        <v>-19.814752475247523</v>
      </c>
      <c r="GW15" s="2">
        <v>-19.830594059405939</v>
      </c>
      <c r="GX15" s="2">
        <v>-19.846435643564359</v>
      </c>
      <c r="GY15" s="2"/>
      <c r="GZ15" s="2"/>
      <c r="HA15" s="2"/>
      <c r="HB15" s="2"/>
      <c r="HC15" s="2"/>
      <c r="HD15" s="2"/>
      <c r="HE15" s="2"/>
    </row>
    <row r="16" spans="1:213" ht="21.75" thickBot="1" x14ac:dyDescent="0.35">
      <c r="A16" s="31" t="s">
        <v>29</v>
      </c>
      <c r="B16" s="32">
        <v>-66.19</v>
      </c>
      <c r="C16" s="32">
        <v>-61.98</v>
      </c>
      <c r="D16" s="32">
        <v>-58.33</v>
      </c>
      <c r="E16" s="32">
        <v>-55.14</v>
      </c>
      <c r="F16" s="32">
        <v>-51.35</v>
      </c>
      <c r="G16" s="32">
        <v>-37</v>
      </c>
      <c r="H16" s="32">
        <v>-34.130000000000003</v>
      </c>
      <c r="I16" s="32">
        <v>-31.49</v>
      </c>
      <c r="J16" s="32">
        <v>-29.04</v>
      </c>
      <c r="K16" s="32">
        <v>-26.76</v>
      </c>
      <c r="L16" s="32">
        <v>-24.63</v>
      </c>
      <c r="M16" s="32">
        <v>-22.64</v>
      </c>
      <c r="N16" s="32">
        <v>-20.77</v>
      </c>
      <c r="O16" s="32">
        <v>-19.010000000000002</v>
      </c>
      <c r="P16" s="32">
        <v>-12.87</v>
      </c>
      <c r="Q16" s="32">
        <v>-11.53</v>
      </c>
      <c r="R16" s="32">
        <v>-10.25</v>
      </c>
      <c r="S16" s="32">
        <v>-9.0690000000000008</v>
      </c>
      <c r="T16" s="32">
        <v>-8.5370000000000008</v>
      </c>
      <c r="U16" s="2">
        <v>-8.0269999999999992</v>
      </c>
      <c r="V16" s="2">
        <v>-7.617</v>
      </c>
      <c r="W16" s="2">
        <v>-7.7149999999999999</v>
      </c>
      <c r="X16" s="2">
        <v>-7.8150000000000004</v>
      </c>
      <c r="Y16" s="2">
        <v>-8.2360000000000007</v>
      </c>
      <c r="Z16" s="2">
        <v>-8.35</v>
      </c>
      <c r="AA16" s="2">
        <v>-8.4689999999999994</v>
      </c>
      <c r="AB16" s="2">
        <v>-8.593</v>
      </c>
      <c r="AC16" s="2">
        <v>-8.4689999999999994</v>
      </c>
      <c r="AD16" s="2">
        <v>-8.593</v>
      </c>
      <c r="AE16" s="2">
        <v>-8.7249999999999996</v>
      </c>
      <c r="AF16" s="2"/>
      <c r="AG16" s="2"/>
      <c r="AH16" s="2"/>
      <c r="CL16" s="40" t="s">
        <v>5</v>
      </c>
      <c r="CM16" s="41">
        <f>CY1</f>
        <v>680</v>
      </c>
      <c r="CQ16" s="8">
        <v>104.95432</v>
      </c>
      <c r="CR16" s="8">
        <v>4.1054999999999998E-4</v>
      </c>
      <c r="CS16" s="4">
        <f t="shared" si="0"/>
        <v>378.10431999999997</v>
      </c>
      <c r="CT16" s="9">
        <f>Таблица1[[#This Row],[DSC/(mW/mg)]]</f>
        <v>4.1054999999999998E-4</v>
      </c>
      <c r="DO16" s="3" t="s">
        <v>29</v>
      </c>
      <c r="DP16" s="4">
        <v>-62.667772277227719</v>
      </c>
      <c r="DQ16" s="4">
        <v>-61.130742574257425</v>
      </c>
      <c r="DR16" s="4">
        <v>-59.68519801980198</v>
      </c>
      <c r="DS16" s="4">
        <v>-58.251039603960393</v>
      </c>
      <c r="DT16" s="2">
        <v>-56.987673267326734</v>
      </c>
      <c r="DU16" s="2">
        <v>-55.724306930693068</v>
      </c>
      <c r="DV16" s="2">
        <v>-54.333217821782178</v>
      </c>
      <c r="DW16" s="2">
        <v>-52.832227722772274</v>
      </c>
      <c r="DX16" s="2">
        <v>-51.332240099009901</v>
      </c>
      <c r="DY16" s="2">
        <v>-49.911448019801981</v>
      </c>
      <c r="DZ16" s="2">
        <v>-48.49065594059406</v>
      </c>
      <c r="EA16" s="2">
        <v>-47.069863861386139</v>
      </c>
      <c r="EB16" s="2">
        <v>-45.649071782178218</v>
      </c>
      <c r="EC16" s="2">
        <v>-44.228279702970298</v>
      </c>
      <c r="ED16" s="2">
        <v>-42.80748762376237</v>
      </c>
      <c r="EE16" s="2">
        <v>-41.386695544554456</v>
      </c>
      <c r="EF16" s="2">
        <v>-39.965903465346528</v>
      </c>
      <c r="EG16" s="2">
        <v>-38.545111386138615</v>
      </c>
      <c r="EH16" s="2">
        <v>-37.124319306930687</v>
      </c>
      <c r="EI16" s="2">
        <v>-35.962821782178217</v>
      </c>
      <c r="EJ16" s="2">
        <v>-34.826188118811878</v>
      </c>
      <c r="EK16" s="2">
        <v>-33.724851485148513</v>
      </c>
      <c r="EL16" s="2">
        <v>-32.679306930693073</v>
      </c>
      <c r="EM16" s="2">
        <v>-31.633762376237627</v>
      </c>
      <c r="EN16" s="2">
        <v>-30.648955223880598</v>
      </c>
      <c r="EO16" s="2">
        <v>-29.673830845771143</v>
      </c>
      <c r="EP16" s="2">
        <v>-28.723960396039601</v>
      </c>
      <c r="EQ16" s="2">
        <v>-27.820990099009901</v>
      </c>
      <c r="ER16" s="2">
        <v>-26.918019801980197</v>
      </c>
      <c r="ES16" s="2">
        <v>-26.064059405940593</v>
      </c>
      <c r="ET16" s="2">
        <v>-25.220495049504951</v>
      </c>
      <c r="EU16" s="2">
        <v>-24.393564356435643</v>
      </c>
      <c r="EV16" s="2">
        <v>-23.605445544554453</v>
      </c>
      <c r="EW16" s="2">
        <v>-22.817326732673266</v>
      </c>
      <c r="EX16" s="2">
        <v>-22.066039603960395</v>
      </c>
      <c r="EY16" s="2">
        <v>-21.325445544554455</v>
      </c>
      <c r="EZ16" s="2">
        <v>-20.595742574257425</v>
      </c>
      <c r="FA16" s="2">
        <v>-19.898712871287131</v>
      </c>
      <c r="FB16" s="2">
        <v>-19.201683168316837</v>
      </c>
      <c r="FC16" s="2">
        <v>-18.569257425742578</v>
      </c>
      <c r="FD16" s="2">
        <v>-17.961336633663372</v>
      </c>
      <c r="FE16" s="2">
        <v>-17.353415841584162</v>
      </c>
      <c r="FF16" s="2">
        <v>-16.745495049504953</v>
      </c>
      <c r="FG16" s="2">
        <v>-16.137574257425744</v>
      </c>
      <c r="FH16" s="2">
        <v>-15.529653465346536</v>
      </c>
      <c r="FI16" s="2">
        <v>-14.921732673267329</v>
      </c>
      <c r="FJ16" s="2">
        <v>-14.313811881188119</v>
      </c>
      <c r="FK16" s="2">
        <v>-13.705891089108912</v>
      </c>
      <c r="FL16" s="2">
        <v>-13.097970297029704</v>
      </c>
      <c r="FM16" s="2">
        <v>-12.536666666666667</v>
      </c>
      <c r="FN16" s="2">
        <v>-12.003333333333334</v>
      </c>
      <c r="FO16" s="2">
        <v>-11.472970297029704</v>
      </c>
      <c r="FP16" s="2">
        <v>-10.966039603960395</v>
      </c>
      <c r="FQ16" s="2">
        <v>-10.459108910891088</v>
      </c>
      <c r="FR16" s="2">
        <v>-9.9752128712871269</v>
      </c>
      <c r="FS16" s="2">
        <v>-9.5074900990098996</v>
      </c>
      <c r="FT16" s="2">
        <v>-9.0558316831683179</v>
      </c>
      <c r="FU16" s="2">
        <v>-8.845138613861387</v>
      </c>
      <c r="FV16" s="2">
        <v>-8.6344455445544579</v>
      </c>
      <c r="FW16" s="2">
        <v>-8.4284356435643577</v>
      </c>
      <c r="FX16" s="2">
        <v>-8.2264554455445538</v>
      </c>
      <c r="FY16" s="2">
        <v>-8.0249702970297019</v>
      </c>
      <c r="FZ16" s="2">
        <v>-7.8625940594059402</v>
      </c>
      <c r="GA16" s="2">
        <v>-7.7002178217821786</v>
      </c>
      <c r="GB16" s="2">
        <v>-7.635920792079208</v>
      </c>
      <c r="GC16" s="2">
        <v>-7.6747326732673269</v>
      </c>
      <c r="GD16" s="2">
        <v>-7.7135445544554457</v>
      </c>
      <c r="GE16" s="2">
        <v>-7.7531188118811887</v>
      </c>
      <c r="GF16" s="2">
        <v>-7.7927227722772283</v>
      </c>
      <c r="GG16" s="2">
        <v>-7.8332589838909543</v>
      </c>
      <c r="GH16" s="2">
        <v>-7.8749938042131351</v>
      </c>
      <c r="GI16" s="2">
        <v>-7.9167286245353168</v>
      </c>
      <c r="GJ16" s="2">
        <v>-7.9584634448574976</v>
      </c>
      <c r="GK16" s="2">
        <v>-8.0001982651796784</v>
      </c>
      <c r="GL16" s="2">
        <v>-8.04193308550186</v>
      </c>
      <c r="GM16" s="2">
        <v>-8.0836679058240399</v>
      </c>
      <c r="GN16" s="2">
        <v>-8.1254027261462216</v>
      </c>
      <c r="GO16" s="2">
        <v>-8.1671375464684015</v>
      </c>
      <c r="GP16" s="2">
        <v>-8.2088723667905832</v>
      </c>
      <c r="GQ16" s="2">
        <v>-8.2518019801980209</v>
      </c>
      <c r="GR16" s="2">
        <v>-8.2969504950495043</v>
      </c>
      <c r="GS16" s="2">
        <v>-8.3420990099009895</v>
      </c>
      <c r="GT16" s="2">
        <v>-8.3888811881188108</v>
      </c>
      <c r="GU16" s="2">
        <v>-8.4360099009900988</v>
      </c>
      <c r="GV16" s="2">
        <v>-8.4837326732673262</v>
      </c>
      <c r="GW16" s="2">
        <v>-8.5328415841584153</v>
      </c>
      <c r="GX16" s="2">
        <v>-8.5819504950495045</v>
      </c>
      <c r="GY16" s="2"/>
      <c r="GZ16" s="2"/>
      <c r="HA16" s="2"/>
      <c r="HB16" s="2"/>
      <c r="HC16" s="2"/>
      <c r="HD16" s="2"/>
      <c r="HE16" s="2"/>
    </row>
    <row r="17" spans="1:213" ht="21.75" thickBot="1" x14ac:dyDescent="0.35">
      <c r="A17" s="31" t="s">
        <v>30</v>
      </c>
      <c r="B17" s="32">
        <v>-16.29</v>
      </c>
      <c r="C17" s="32">
        <v>-15.52</v>
      </c>
      <c r="D17" s="32">
        <v>-14.86</v>
      </c>
      <c r="E17" s="32">
        <v>-14.3</v>
      </c>
      <c r="F17" s="32">
        <v>-13.17</v>
      </c>
      <c r="G17" s="32">
        <v>-7.9130000000000003</v>
      </c>
      <c r="H17" s="32">
        <v>-6.851</v>
      </c>
      <c r="I17" s="32">
        <v>-5.867</v>
      </c>
      <c r="J17" s="32">
        <v>-4.9489999999999998</v>
      </c>
      <c r="K17" s="32">
        <v>-4.101</v>
      </c>
      <c r="L17" s="32">
        <v>-4.1500000000000004</v>
      </c>
      <c r="M17" s="32">
        <v>-4.2</v>
      </c>
      <c r="N17" s="32">
        <v>-4.2489999999999997</v>
      </c>
      <c r="O17" s="32">
        <v>-4.2990000000000004</v>
      </c>
      <c r="P17" s="32">
        <v>-4.4989999999999997</v>
      </c>
      <c r="Q17" s="32">
        <v>-4.5490000000000004</v>
      </c>
      <c r="R17" s="32">
        <v>-4.5979999999999999</v>
      </c>
      <c r="S17" s="32">
        <v>-4.6470000000000002</v>
      </c>
      <c r="T17" s="32">
        <v>-4.6959999999999997</v>
      </c>
      <c r="U17" s="2">
        <v>-4.7439999999999998</v>
      </c>
      <c r="V17" s="2">
        <v>-4.7919999999999998</v>
      </c>
      <c r="W17" s="2">
        <v>-4.84</v>
      </c>
      <c r="X17" s="2">
        <v>-4.8869999999999996</v>
      </c>
      <c r="Y17" s="2">
        <v>-5.0709999999999997</v>
      </c>
      <c r="Z17" s="2">
        <v>-5.1159999999999997</v>
      </c>
      <c r="AA17" s="2">
        <v>-5.1609999999999996</v>
      </c>
      <c r="AB17" s="2">
        <v>-5.2060000000000004</v>
      </c>
      <c r="AC17" s="2">
        <v>-5.1609999999999996</v>
      </c>
      <c r="AD17" s="2">
        <v>-5.2060000000000004</v>
      </c>
      <c r="AE17" s="2">
        <v>-5.25</v>
      </c>
      <c r="AF17" s="2"/>
      <c r="AG17" s="2"/>
      <c r="AH17" s="2"/>
      <c r="CL17" s="6">
        <f>CM16</f>
        <v>680</v>
      </c>
      <c r="CM17" s="25">
        <f>MIN($A$3:$CJ$63)*100</f>
        <v>-6636</v>
      </c>
      <c r="CQ17" s="8">
        <v>107.02773000000001</v>
      </c>
      <c r="CR17" s="8">
        <v>3.8482000000000002E-4</v>
      </c>
      <c r="CS17" s="4">
        <f t="shared" si="0"/>
        <v>380.17773</v>
      </c>
      <c r="CT17" s="9">
        <f>Таблица1[[#This Row],[DSC/(mW/mg)]]</f>
        <v>3.8482000000000002E-4</v>
      </c>
      <c r="DO17" s="3" t="s">
        <v>30</v>
      </c>
      <c r="DP17" s="4">
        <v>-15.64579207920792</v>
      </c>
      <c r="DQ17" s="4">
        <v>-15.366435643564357</v>
      </c>
      <c r="DR17" s="4">
        <v>-15.105049504950495</v>
      </c>
      <c r="DS17" s="4">
        <v>-14.846138613861386</v>
      </c>
      <c r="DT17" s="2">
        <v>-14.624356435643564</v>
      </c>
      <c r="DU17" s="2">
        <v>-14.402574257425742</v>
      </c>
      <c r="DV17" s="2">
        <v>-14.059455445544554</v>
      </c>
      <c r="DW17" s="2">
        <v>-13.611930693069306</v>
      </c>
      <c r="DX17" s="2">
        <v>-13.163493811881187</v>
      </c>
      <c r="DY17" s="2">
        <v>-12.642998762376235</v>
      </c>
      <c r="DZ17" s="2">
        <v>-12.122503712871286</v>
      </c>
      <c r="EA17" s="2">
        <v>-11.602008663366336</v>
      </c>
      <c r="EB17" s="2">
        <v>-11.081513613861386</v>
      </c>
      <c r="EC17" s="2">
        <v>-10.561018564356434</v>
      </c>
      <c r="ED17" s="2">
        <v>-10.040523514851484</v>
      </c>
      <c r="EE17" s="2">
        <v>-9.5200284653465346</v>
      </c>
      <c r="EF17" s="2">
        <v>-8.999533415841583</v>
      </c>
      <c r="EG17" s="2">
        <v>-8.4790383663366331</v>
      </c>
      <c r="EH17" s="2">
        <v>-7.9585433168316824</v>
      </c>
      <c r="EI17" s="2">
        <v>-7.5292079207920786</v>
      </c>
      <c r="EJ17" s="2">
        <v>-7.1086138613861376</v>
      </c>
      <c r="EK17" s="2">
        <v>-6.6999900990099004</v>
      </c>
      <c r="EL17" s="2">
        <v>-6.3102871287128712</v>
      </c>
      <c r="EM17" s="2">
        <v>-5.9205841584158421</v>
      </c>
      <c r="EN17" s="2">
        <v>-5.5518656716417913</v>
      </c>
      <c r="EO17" s="2">
        <v>-5.1864925373134323</v>
      </c>
      <c r="EP17" s="2">
        <v>-4.8314554455445542</v>
      </c>
      <c r="EQ17" s="2">
        <v>-4.4956138613861381</v>
      </c>
      <c r="ER17" s="2">
        <v>-4.1597722772277219</v>
      </c>
      <c r="ES17" s="2">
        <v>-4.1170099009900989</v>
      </c>
      <c r="ET17" s="2">
        <v>-4.1364158415841583</v>
      </c>
      <c r="EU17" s="2">
        <v>-4.1559405940594063</v>
      </c>
      <c r="EV17" s="2">
        <v>-4.1757425742574261</v>
      </c>
      <c r="EW17" s="2">
        <v>-4.1955445544554459</v>
      </c>
      <c r="EX17" s="2">
        <v>-4.2150396039603963</v>
      </c>
      <c r="EY17" s="2">
        <v>-4.2344455445544549</v>
      </c>
      <c r="EZ17" s="2">
        <v>-4.2539504950495051</v>
      </c>
      <c r="FA17" s="2">
        <v>-4.2737524752475249</v>
      </c>
      <c r="FB17" s="2">
        <v>-4.2935544554455447</v>
      </c>
      <c r="FC17" s="2">
        <v>-4.3133564356435645</v>
      </c>
      <c r="FD17" s="2">
        <v>-4.3331584158415843</v>
      </c>
      <c r="FE17" s="2">
        <v>-4.3529603960396042</v>
      </c>
      <c r="FF17" s="2">
        <v>-4.372762376237624</v>
      </c>
      <c r="FG17" s="2">
        <v>-4.3925643564356438</v>
      </c>
      <c r="FH17" s="2">
        <v>-4.4123663366336636</v>
      </c>
      <c r="FI17" s="2">
        <v>-4.4321683168316834</v>
      </c>
      <c r="FJ17" s="2">
        <v>-4.4519702970297024</v>
      </c>
      <c r="FK17" s="2">
        <v>-4.4717722772277222</v>
      </c>
      <c r="FL17" s="2">
        <v>-4.491574257425742</v>
      </c>
      <c r="FM17" s="2">
        <v>-4.5114378109452735</v>
      </c>
      <c r="FN17" s="2">
        <v>-4.5313383084577117</v>
      </c>
      <c r="FO17" s="2">
        <v>-4.5511831683168316</v>
      </c>
      <c r="FP17" s="2">
        <v>-4.570589108910891</v>
      </c>
      <c r="FQ17" s="2">
        <v>-4.5899950495049504</v>
      </c>
      <c r="FR17" s="2">
        <v>-4.6094009900990098</v>
      </c>
      <c r="FS17" s="2">
        <v>-4.6288069306930693</v>
      </c>
      <c r="FT17" s="2">
        <v>-4.6482128712871287</v>
      </c>
      <c r="FU17" s="2">
        <v>-4.6676188118811881</v>
      </c>
      <c r="FV17" s="2">
        <v>-4.6870247524752475</v>
      </c>
      <c r="FW17" s="2">
        <v>-4.706217821782178</v>
      </c>
      <c r="FX17" s="2">
        <v>-4.725227722772277</v>
      </c>
      <c r="FY17" s="2">
        <v>-4.744237623762376</v>
      </c>
      <c r="FZ17" s="2">
        <v>-4.763247524752475</v>
      </c>
      <c r="GA17" s="2">
        <v>-4.7822574257425741</v>
      </c>
      <c r="GB17" s="2">
        <v>-4.8012673267326731</v>
      </c>
      <c r="GC17" s="2">
        <v>-4.8202772277227721</v>
      </c>
      <c r="GD17" s="2">
        <v>-4.8392871287128711</v>
      </c>
      <c r="GE17" s="2">
        <v>-4.8579158415841581</v>
      </c>
      <c r="GF17" s="2">
        <v>-4.8765297029702968</v>
      </c>
      <c r="GG17" s="2">
        <v>-4.8949801734820317</v>
      </c>
      <c r="GH17" s="2">
        <v>-4.913220570012391</v>
      </c>
      <c r="GI17" s="2">
        <v>-4.9314609665427502</v>
      </c>
      <c r="GJ17" s="2">
        <v>-4.9497013630731095</v>
      </c>
      <c r="GK17" s="2">
        <v>-4.9679417596034696</v>
      </c>
      <c r="GL17" s="2">
        <v>-4.9861821561338289</v>
      </c>
      <c r="GM17" s="2">
        <v>-5.0044225526641881</v>
      </c>
      <c r="GN17" s="2">
        <v>-5.0226629491945474</v>
      </c>
      <c r="GO17" s="2">
        <v>-5.0409033457249066</v>
      </c>
      <c r="GP17" s="2">
        <v>-5.0591437422552659</v>
      </c>
      <c r="GQ17" s="2">
        <v>-5.0772376237623762</v>
      </c>
      <c r="GR17" s="2">
        <v>-5.095059405940594</v>
      </c>
      <c r="GS17" s="2">
        <v>-5.1128811881188119</v>
      </c>
      <c r="GT17" s="2">
        <v>-5.1307029702970297</v>
      </c>
      <c r="GU17" s="2">
        <v>-5.1485247524752475</v>
      </c>
      <c r="GV17" s="2">
        <v>-5.1663465346534654</v>
      </c>
      <c r="GW17" s="2">
        <v>-5.1841683168316832</v>
      </c>
      <c r="GX17" s="2">
        <v>-5.2019900990099011</v>
      </c>
      <c r="GY17" s="2"/>
      <c r="GZ17" s="2"/>
      <c r="HA17" s="2"/>
      <c r="HB17" s="2"/>
      <c r="HC17" s="2"/>
      <c r="HD17" s="2"/>
      <c r="HE17" s="2"/>
    </row>
    <row r="18" spans="1:213" ht="21.75" thickBot="1" x14ac:dyDescent="0.35">
      <c r="A18" s="31" t="s">
        <v>31</v>
      </c>
      <c r="B18" s="32">
        <v>-23.52</v>
      </c>
      <c r="C18" s="32">
        <v>-22.18</v>
      </c>
      <c r="D18" s="32">
        <v>-21.02</v>
      </c>
      <c r="E18" s="32">
        <v>-20.010000000000002</v>
      </c>
      <c r="F18" s="32">
        <v>-19.77</v>
      </c>
      <c r="G18" s="32">
        <v>-20.97</v>
      </c>
      <c r="H18" s="32">
        <v>-21.27</v>
      </c>
      <c r="I18" s="32">
        <v>-21.58</v>
      </c>
      <c r="J18" s="32">
        <v>-21.88</v>
      </c>
      <c r="K18" s="32">
        <v>-22.19</v>
      </c>
      <c r="L18" s="32">
        <v>-22.49</v>
      </c>
      <c r="M18" s="32">
        <v>-22.79</v>
      </c>
      <c r="N18" s="32">
        <v>-23.08</v>
      </c>
      <c r="O18" s="32">
        <v>-23.37</v>
      </c>
      <c r="P18" s="32">
        <v>-24.51</v>
      </c>
      <c r="Q18" s="32">
        <v>-24.79</v>
      </c>
      <c r="R18" s="32">
        <v>-25.06</v>
      </c>
      <c r="S18" s="32">
        <v>-25.33</v>
      </c>
      <c r="T18" s="32">
        <v>-25.6</v>
      </c>
      <c r="U18" s="2">
        <v>-25.87</v>
      </c>
      <c r="V18" s="2">
        <v>-26.13</v>
      </c>
      <c r="W18" s="2">
        <v>-26.39</v>
      </c>
      <c r="X18" s="2">
        <v>-26.65</v>
      </c>
      <c r="Y18" s="2">
        <v>-27.65</v>
      </c>
      <c r="Z18" s="2">
        <v>-27.89</v>
      </c>
      <c r="AA18" s="2">
        <v>-28.14</v>
      </c>
      <c r="AB18" s="2">
        <v>-28.38</v>
      </c>
      <c r="AC18" s="2">
        <v>-28.14</v>
      </c>
      <c r="AD18" s="2">
        <v>-28.38</v>
      </c>
      <c r="AE18" s="2">
        <v>-28.62</v>
      </c>
      <c r="AF18" s="2"/>
      <c r="AG18" s="2"/>
      <c r="AH18" s="2"/>
      <c r="CL18" s="5">
        <f>CM16</f>
        <v>680</v>
      </c>
      <c r="CM18" s="25">
        <v>10</v>
      </c>
      <c r="CQ18" s="8">
        <v>109.10114</v>
      </c>
      <c r="CR18" s="8">
        <v>2.1685000000000001E-4</v>
      </c>
      <c r="CS18" s="4">
        <f t="shared" si="0"/>
        <v>382.25113999999996</v>
      </c>
      <c r="CT18" s="9">
        <f>Таблица1[[#This Row],[DSC/(mW/mg)]]</f>
        <v>2.1685000000000001E-4</v>
      </c>
      <c r="DO18" s="3" t="s">
        <v>31</v>
      </c>
      <c r="DP18" s="4">
        <v>-22.398910891089109</v>
      </c>
      <c r="DQ18" s="4">
        <v>-21.910099009900989</v>
      </c>
      <c r="DR18" s="4">
        <v>-21.450693069306929</v>
      </c>
      <c r="DS18" s="4">
        <v>-20.995000000000001</v>
      </c>
      <c r="DT18" s="2">
        <v>-20.594999999999999</v>
      </c>
      <c r="DU18" s="2">
        <v>-20.195</v>
      </c>
      <c r="DV18" s="2">
        <v>-19.958910891089111</v>
      </c>
      <c r="DW18" s="2">
        <v>-19.863861386138613</v>
      </c>
      <c r="DX18" s="2">
        <v>-19.771485148514852</v>
      </c>
      <c r="DY18" s="2">
        <v>-19.890297029702971</v>
      </c>
      <c r="DZ18" s="2">
        <v>-20.00910891089109</v>
      </c>
      <c r="EA18" s="2">
        <v>-20.127920792079209</v>
      </c>
      <c r="EB18" s="2">
        <v>-20.246732673267328</v>
      </c>
      <c r="EC18" s="2">
        <v>-20.365544554455447</v>
      </c>
      <c r="ED18" s="2">
        <v>-20.484356435643562</v>
      </c>
      <c r="EE18" s="2">
        <v>-20.603168316831681</v>
      </c>
      <c r="EF18" s="2">
        <v>-20.7219801980198</v>
      </c>
      <c r="EG18" s="2">
        <v>-20.840792079207919</v>
      </c>
      <c r="EH18" s="2">
        <v>-20.959603960396038</v>
      </c>
      <c r="EI18" s="2">
        <v>-21.078415841584157</v>
      </c>
      <c r="EJ18" s="2">
        <v>-21.197227722772276</v>
      </c>
      <c r="EK18" s="2">
        <v>-21.317574257425743</v>
      </c>
      <c r="EL18" s="2">
        <v>-21.440346534653465</v>
      </c>
      <c r="EM18" s="2">
        <v>-21.563118811881186</v>
      </c>
      <c r="EN18" s="2">
        <v>-21.682985074626863</v>
      </c>
      <c r="EO18" s="2">
        <v>-21.802388059701492</v>
      </c>
      <c r="EP18" s="2">
        <v>-21.922970297029703</v>
      </c>
      <c r="EQ18" s="2">
        <v>-22.045742574257424</v>
      </c>
      <c r="ER18" s="2">
        <v>-22.168514851485149</v>
      </c>
      <c r="ES18" s="2">
        <v>-22.288019801980198</v>
      </c>
      <c r="ET18" s="2">
        <v>-22.406831683168317</v>
      </c>
      <c r="EU18" s="2">
        <v>-22.525643564356432</v>
      </c>
      <c r="EV18" s="2">
        <v>-22.644455445544555</v>
      </c>
      <c r="EW18" s="2">
        <v>-22.763267326732674</v>
      </c>
      <c r="EX18" s="2">
        <v>-22.879009900990098</v>
      </c>
      <c r="EY18" s="2">
        <v>-22.993861386138612</v>
      </c>
      <c r="EZ18" s="2">
        <v>-23.108712871287128</v>
      </c>
      <c r="FA18" s="2">
        <v>-23.223564356435642</v>
      </c>
      <c r="FB18" s="2">
        <v>-23.338415841584158</v>
      </c>
      <c r="FC18" s="2">
        <v>-23.451831683168319</v>
      </c>
      <c r="FD18" s="2">
        <v>-23.564702970297031</v>
      </c>
      <c r="FE18" s="2">
        <v>-23.677574257425743</v>
      </c>
      <c r="FF18" s="2">
        <v>-23.790445544554455</v>
      </c>
      <c r="FG18" s="2">
        <v>-23.903316831683171</v>
      </c>
      <c r="FH18" s="2">
        <v>-24.016188118811883</v>
      </c>
      <c r="FI18" s="2">
        <v>-24.129059405940595</v>
      </c>
      <c r="FJ18" s="2">
        <v>-24.241930693069307</v>
      </c>
      <c r="FK18" s="2">
        <v>-24.354801980198022</v>
      </c>
      <c r="FL18" s="2">
        <v>-24.467673267326735</v>
      </c>
      <c r="FM18" s="2">
        <v>-24.579651741293532</v>
      </c>
      <c r="FN18" s="2">
        <v>-24.691094527363184</v>
      </c>
      <c r="FO18" s="2">
        <v>-24.802029702970295</v>
      </c>
      <c r="FP18" s="2">
        <v>-24.908960396039603</v>
      </c>
      <c r="FQ18" s="2">
        <v>-25.015891089108909</v>
      </c>
      <c r="FR18" s="2">
        <v>-25.122821782178217</v>
      </c>
      <c r="FS18" s="2">
        <v>-25.229752475247523</v>
      </c>
      <c r="FT18" s="2">
        <v>-25.336683168316831</v>
      </c>
      <c r="FU18" s="2">
        <v>-25.443613861386137</v>
      </c>
      <c r="FV18" s="2">
        <v>-25.550544554455445</v>
      </c>
      <c r="FW18" s="2">
        <v>-25.657475247524754</v>
      </c>
      <c r="FX18" s="2">
        <v>-25.76440594059406</v>
      </c>
      <c r="FY18" s="2">
        <v>-25.871287128712872</v>
      </c>
      <c r="FZ18" s="2">
        <v>-25.974257425742575</v>
      </c>
      <c r="GA18" s="2">
        <v>-26.077227722772278</v>
      </c>
      <c r="GB18" s="2">
        <v>-26.180198019801978</v>
      </c>
      <c r="GC18" s="2">
        <v>-26.283168316831684</v>
      </c>
      <c r="GD18" s="2">
        <v>-26.386138613861387</v>
      </c>
      <c r="GE18" s="2">
        <v>-26.48910891089109</v>
      </c>
      <c r="GF18" s="2">
        <v>-26.59207920792079</v>
      </c>
      <c r="GG18" s="2">
        <v>-26.693370508054521</v>
      </c>
      <c r="GH18" s="2">
        <v>-26.79250309789343</v>
      </c>
      <c r="GI18" s="2">
        <v>-26.891635687732339</v>
      </c>
      <c r="GJ18" s="2">
        <v>-26.990768277571249</v>
      </c>
      <c r="GK18" s="2">
        <v>-27.089900867410158</v>
      </c>
      <c r="GL18" s="2">
        <v>-27.189033457249067</v>
      </c>
      <c r="GM18" s="2">
        <v>-27.28816604708798</v>
      </c>
      <c r="GN18" s="2">
        <v>-27.387298636926889</v>
      </c>
      <c r="GO18" s="2">
        <v>-27.486431226765799</v>
      </c>
      <c r="GP18" s="2">
        <v>-27.585563816604708</v>
      </c>
      <c r="GQ18" s="2">
        <v>-27.683267326732672</v>
      </c>
      <c r="GR18" s="2">
        <v>-27.778316831683167</v>
      </c>
      <c r="GS18" s="2">
        <v>-27.873366336633666</v>
      </c>
      <c r="GT18" s="2">
        <v>-27.971683168316833</v>
      </c>
      <c r="GU18" s="2">
        <v>-28.07069306930693</v>
      </c>
      <c r="GV18" s="2">
        <v>-28.168514851485149</v>
      </c>
      <c r="GW18" s="2">
        <v>-28.263564356435644</v>
      </c>
      <c r="GX18" s="2">
        <v>-28.358613861386139</v>
      </c>
      <c r="GY18" s="2"/>
      <c r="GZ18" s="2"/>
      <c r="HA18" s="2"/>
      <c r="HB18" s="2"/>
      <c r="HC18" s="2"/>
      <c r="HD18" s="2"/>
      <c r="HE18" s="2"/>
    </row>
    <row r="19" spans="1:213" ht="21.75" thickBot="1" x14ac:dyDescent="0.3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CL19" s="2"/>
      <c r="CM19" s="2"/>
      <c r="CQ19" s="8">
        <v>111.17455</v>
      </c>
      <c r="CR19" s="8">
        <v>-2.7781E-5</v>
      </c>
      <c r="CS19" s="4">
        <f t="shared" si="0"/>
        <v>384.32454999999999</v>
      </c>
      <c r="CT19" s="9">
        <f>Таблица1[[#This Row],[DSC/(mW/mg)]]</f>
        <v>-2.7781E-5</v>
      </c>
      <c r="DO19" s="3"/>
      <c r="DP19" s="4"/>
      <c r="DQ19" s="4"/>
      <c r="DR19" s="4"/>
      <c r="DS19" s="4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</row>
    <row r="20" spans="1:213" ht="21.75" thickBot="1" x14ac:dyDescent="0.3">
      <c r="A20" s="3"/>
      <c r="CL20" s="42" t="s">
        <v>7</v>
      </c>
      <c r="CM20" s="43">
        <f>CZ1</f>
        <v>550</v>
      </c>
      <c r="CQ20" s="8">
        <v>113.24796000000001</v>
      </c>
      <c r="CR20" s="8">
        <v>-3.0844999999999999E-4</v>
      </c>
      <c r="CS20" s="4">
        <f t="shared" si="0"/>
        <v>386.39796000000001</v>
      </c>
      <c r="CT20" s="9">
        <f>Таблица1[[#This Row],[DSC/(mW/mg)]]</f>
        <v>-3.0844999999999999E-4</v>
      </c>
      <c r="DO20" s="3"/>
      <c r="DP20" s="4"/>
      <c r="DQ20" s="4"/>
      <c r="DR20" s="4"/>
      <c r="DS20" s="4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</row>
    <row r="21" spans="1:213" ht="21.75" thickBot="1" x14ac:dyDescent="0.3">
      <c r="A21" s="3"/>
      <c r="CL21" s="6">
        <f>CM20</f>
        <v>550</v>
      </c>
      <c r="CM21" s="25">
        <f>MIN($A$3:$CJ$63)*100</f>
        <v>-6636</v>
      </c>
      <c r="CN21" s="2"/>
      <c r="CQ21" s="8">
        <v>115.32137</v>
      </c>
      <c r="CR21" s="8">
        <v>-5.4635999999999997E-4</v>
      </c>
      <c r="CS21" s="4">
        <f t="shared" si="0"/>
        <v>388.47136999999998</v>
      </c>
      <c r="CT21" s="9">
        <f>Таблица1[[#This Row],[DSC/(mW/mg)]]</f>
        <v>-5.4635999999999997E-4</v>
      </c>
      <c r="DO21" s="3"/>
      <c r="DP21" s="4"/>
      <c r="DQ21" s="4"/>
      <c r="DR21" s="4"/>
      <c r="DS21" s="4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</row>
    <row r="22" spans="1:213" ht="21.75" thickBot="1" x14ac:dyDescent="0.3">
      <c r="A22" s="3"/>
      <c r="CL22" s="5">
        <f>CM20</f>
        <v>550</v>
      </c>
      <c r="CM22" s="25">
        <v>10</v>
      </c>
      <c r="CQ22" s="8">
        <v>117.39476999999999</v>
      </c>
      <c r="CR22" s="8">
        <v>-7.7561000000000004E-4</v>
      </c>
      <c r="CS22" s="4">
        <f t="shared" si="0"/>
        <v>390.54476999999997</v>
      </c>
      <c r="CT22" s="9">
        <f>Таблица1[[#This Row],[DSC/(mW/mg)]]</f>
        <v>-7.7561000000000004E-4</v>
      </c>
      <c r="DO22" s="3"/>
      <c r="DP22" s="4"/>
      <c r="DQ22" s="4"/>
      <c r="DR22" s="4"/>
      <c r="DS22" s="4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</row>
    <row r="23" spans="1:213" ht="21.75" thickBot="1" x14ac:dyDescent="0.3">
      <c r="A23" s="3"/>
      <c r="CL23" s="2"/>
      <c r="CM23" s="2"/>
      <c r="CQ23" s="8">
        <v>119.46818</v>
      </c>
      <c r="CR23" s="8">
        <v>-8.4776999999999997E-4</v>
      </c>
      <c r="CS23" s="4">
        <f t="shared" si="0"/>
        <v>392.61818</v>
      </c>
      <c r="CT23" s="9">
        <f>Таблица1[[#This Row],[DSC/(mW/mg)]]</f>
        <v>-8.4776999999999997E-4</v>
      </c>
      <c r="DO23" s="3"/>
      <c r="DP23" s="4"/>
      <c r="DQ23" s="4"/>
      <c r="DR23" s="4"/>
      <c r="DS23" s="4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</row>
    <row r="24" spans="1:213" ht="21.75" thickBot="1" x14ac:dyDescent="0.3">
      <c r="A24" s="3"/>
      <c r="CL24" s="44" t="s">
        <v>8</v>
      </c>
      <c r="CM24" s="45">
        <f>DA1</f>
        <v>365</v>
      </c>
      <c r="CQ24" s="8">
        <v>121.54159</v>
      </c>
      <c r="CR24" s="8">
        <v>-1.0444E-3</v>
      </c>
      <c r="CS24" s="4">
        <f t="shared" si="0"/>
        <v>394.69158999999996</v>
      </c>
      <c r="CT24" s="9">
        <f>Таблица1[[#This Row],[DSC/(mW/mg)]]</f>
        <v>-1.0444E-3</v>
      </c>
      <c r="DO24" s="3"/>
      <c r="DP24" s="4"/>
      <c r="DQ24" s="4"/>
      <c r="DR24" s="4"/>
      <c r="DS24" s="4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</row>
    <row r="25" spans="1:213" ht="21.75" thickBot="1" x14ac:dyDescent="0.3">
      <c r="A25" s="3"/>
      <c r="CL25" s="6">
        <f>CM24</f>
        <v>365</v>
      </c>
      <c r="CM25" s="25">
        <f>MIN($A$3:$CJ$63)*100</f>
        <v>-6636</v>
      </c>
      <c r="CQ25" s="8">
        <v>123.61499999999999</v>
      </c>
      <c r="CR25" s="8">
        <v>-1.3052999999999999E-3</v>
      </c>
      <c r="CS25" s="4">
        <f t="shared" si="0"/>
        <v>396.76499999999999</v>
      </c>
      <c r="CT25" s="9">
        <f>Таблица1[[#This Row],[DSC/(mW/mg)]]</f>
        <v>-1.3052999999999999E-3</v>
      </c>
      <c r="DO25" s="3"/>
      <c r="DP25" s="4"/>
      <c r="DQ25" s="4"/>
      <c r="DR25" s="4"/>
      <c r="DS25" s="4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</row>
    <row r="26" spans="1:213" ht="21.75" thickBot="1" x14ac:dyDescent="0.3">
      <c r="A26" s="3"/>
      <c r="CL26" s="5">
        <f>CM24</f>
        <v>365</v>
      </c>
      <c r="CM26" s="25">
        <v>10</v>
      </c>
      <c r="CQ26" s="8">
        <v>125.68841</v>
      </c>
      <c r="CR26" s="8">
        <v>-1.4786999999999999E-3</v>
      </c>
      <c r="CS26" s="4">
        <f t="shared" si="0"/>
        <v>398.83840999999995</v>
      </c>
      <c r="CT26" s="9">
        <f>Таблица1[[#This Row],[DSC/(mW/mg)]]</f>
        <v>-1.4786999999999999E-3</v>
      </c>
      <c r="DO26" s="3"/>
      <c r="DP26" s="4"/>
      <c r="DQ26" s="4"/>
      <c r="DR26" s="4"/>
      <c r="DS26" s="4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</row>
    <row r="27" spans="1:213" ht="21.75" thickBot="1" x14ac:dyDescent="0.3">
      <c r="A27" s="3"/>
      <c r="CL27" s="2"/>
      <c r="CM27" s="2"/>
      <c r="CQ27" s="8">
        <v>127.76182</v>
      </c>
      <c r="CR27" s="8">
        <v>-1.6512E-3</v>
      </c>
      <c r="CS27" s="4">
        <f t="shared" si="0"/>
        <v>400.91181999999998</v>
      </c>
      <c r="CT27" s="9">
        <f>Таблица1[[#This Row],[DSC/(mW/mg)]]</f>
        <v>-1.6512E-3</v>
      </c>
      <c r="DO27" s="3"/>
      <c r="DP27" s="4"/>
      <c r="DQ27" s="4"/>
      <c r="DR27" s="4"/>
      <c r="DS27" s="4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</row>
    <row r="28" spans="1:213" ht="21.75" thickBot="1" x14ac:dyDescent="0.3">
      <c r="A28" s="3"/>
      <c r="CL28" s="46" t="s">
        <v>9</v>
      </c>
      <c r="CM28" s="47">
        <f>DB1</f>
        <v>425</v>
      </c>
      <c r="CQ28" s="8">
        <v>129.83523</v>
      </c>
      <c r="CR28" s="8">
        <v>-1.4816E-3</v>
      </c>
      <c r="CS28" s="4">
        <f t="shared" si="0"/>
        <v>402.98523</v>
      </c>
      <c r="CT28" s="9">
        <f>Таблица1[[#This Row],[DSC/(mW/mg)]]</f>
        <v>-1.4816E-3</v>
      </c>
      <c r="DO28" s="3"/>
      <c r="DP28" s="4"/>
      <c r="DQ28" s="4"/>
      <c r="DR28" s="4"/>
      <c r="DS28" s="4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</row>
    <row r="29" spans="1:213" ht="21.75" thickBot="1" x14ac:dyDescent="0.3">
      <c r="A29" s="3"/>
      <c r="CL29" s="6">
        <f>CM28</f>
        <v>425</v>
      </c>
      <c r="CM29" s="25">
        <f>MIN($A$3:$CJ$63)*100</f>
        <v>-6636</v>
      </c>
      <c r="CQ29" s="8">
        <v>131.90863999999999</v>
      </c>
      <c r="CR29" s="8">
        <v>-1.5667000000000001E-3</v>
      </c>
      <c r="CS29" s="4">
        <f t="shared" si="0"/>
        <v>405.05863999999997</v>
      </c>
      <c r="CT29" s="9">
        <f>Таблица1[[#This Row],[DSC/(mW/mg)]]</f>
        <v>-1.5667000000000001E-3</v>
      </c>
      <c r="DO29" s="3"/>
      <c r="DP29" s="4"/>
      <c r="DQ29" s="4"/>
      <c r="DR29" s="4"/>
      <c r="DS29" s="4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</row>
    <row r="30" spans="1:213" ht="21.75" thickBot="1" x14ac:dyDescent="0.3">
      <c r="A30" s="3"/>
      <c r="CL30" s="5">
        <f>CM28</f>
        <v>425</v>
      </c>
      <c r="CM30" s="25">
        <v>10</v>
      </c>
      <c r="CQ30" s="8">
        <v>133.98204999999999</v>
      </c>
      <c r="CR30" s="8">
        <v>-1.8919E-3</v>
      </c>
      <c r="CS30" s="4">
        <f t="shared" si="0"/>
        <v>407.13204999999994</v>
      </c>
      <c r="CT30" s="9">
        <f>Таблица1[[#This Row],[DSC/(mW/mg)]]</f>
        <v>-1.8919E-3</v>
      </c>
      <c r="DO30" s="3"/>
      <c r="DP30" s="4"/>
      <c r="DQ30" s="4"/>
      <c r="DR30" s="4"/>
      <c r="DS30" s="4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</row>
    <row r="31" spans="1:213" ht="21.75" thickBot="1" x14ac:dyDescent="0.3">
      <c r="A31" s="3"/>
      <c r="CL31" s="2"/>
      <c r="CM31" s="2"/>
      <c r="CQ31" s="8">
        <v>136.05546000000001</v>
      </c>
      <c r="CR31" s="8">
        <v>-2.1052000000000002E-3</v>
      </c>
      <c r="CS31" s="4">
        <f t="shared" si="0"/>
        <v>409.20546000000002</v>
      </c>
      <c r="CT31" s="9">
        <f>Таблица1[[#This Row],[DSC/(mW/mg)]]</f>
        <v>-2.1052000000000002E-3</v>
      </c>
      <c r="DO31" s="3"/>
      <c r="DP31" s="4"/>
      <c r="DQ31" s="4"/>
      <c r="DR31" s="4"/>
      <c r="DS31" s="4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</row>
    <row r="32" spans="1:213" ht="21.75" thickBot="1" x14ac:dyDescent="0.3">
      <c r="A32" s="3" t="s">
        <v>49</v>
      </c>
      <c r="B32">
        <v>1</v>
      </c>
      <c r="C32" s="2">
        <v>1</v>
      </c>
      <c r="D32" s="2">
        <v>1</v>
      </c>
      <c r="E32" s="2">
        <v>1</v>
      </c>
      <c r="F32" s="2">
        <v>1</v>
      </c>
      <c r="G32" s="2">
        <v>1</v>
      </c>
      <c r="H32" s="2">
        <v>1</v>
      </c>
      <c r="I32" s="2">
        <v>1</v>
      </c>
      <c r="J32" s="2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  <c r="P32" s="2">
        <v>1</v>
      </c>
      <c r="Q32" s="2">
        <v>1</v>
      </c>
      <c r="R32" s="2">
        <v>1</v>
      </c>
      <c r="S32" s="2">
        <v>1</v>
      </c>
      <c r="T32" s="2">
        <v>1</v>
      </c>
      <c r="U32" s="2">
        <v>1</v>
      </c>
      <c r="V32" s="2">
        <v>1</v>
      </c>
      <c r="W32" s="2">
        <v>1</v>
      </c>
      <c r="X32" s="2">
        <v>1</v>
      </c>
      <c r="Y32" s="2">
        <v>1</v>
      </c>
      <c r="Z32" s="2">
        <v>1</v>
      </c>
      <c r="AA32" s="2">
        <v>1</v>
      </c>
      <c r="AB32" s="2">
        <v>1</v>
      </c>
      <c r="AC32" s="2">
        <v>1</v>
      </c>
      <c r="AD32" s="2">
        <v>1</v>
      </c>
      <c r="AE32" s="2">
        <v>1</v>
      </c>
      <c r="AF32" s="2">
        <v>1</v>
      </c>
      <c r="AG32" s="2">
        <v>1</v>
      </c>
      <c r="AH32" s="2">
        <v>1</v>
      </c>
      <c r="AI32" s="2">
        <v>1</v>
      </c>
      <c r="AJ32" s="2">
        <v>1</v>
      </c>
      <c r="AK32" s="2">
        <v>1</v>
      </c>
      <c r="AL32" s="2">
        <v>1</v>
      </c>
      <c r="AM32" s="2">
        <v>1</v>
      </c>
      <c r="AN32" s="2">
        <v>1</v>
      </c>
      <c r="AO32" s="2">
        <v>1</v>
      </c>
      <c r="AP32" s="2">
        <v>1</v>
      </c>
      <c r="AQ32" s="2">
        <v>1</v>
      </c>
      <c r="AR32" s="2">
        <v>1</v>
      </c>
      <c r="AS32" s="2">
        <v>1</v>
      </c>
      <c r="AT32" s="2">
        <v>1</v>
      </c>
      <c r="AU32" s="2">
        <v>1</v>
      </c>
      <c r="AV32" s="2">
        <v>1</v>
      </c>
      <c r="AW32" s="2">
        <v>1</v>
      </c>
      <c r="AX32" s="2">
        <v>1</v>
      </c>
      <c r="AY32" s="2">
        <v>1</v>
      </c>
      <c r="AZ32" s="2">
        <v>1</v>
      </c>
      <c r="BA32" s="2">
        <v>1</v>
      </c>
      <c r="BB32" s="2">
        <v>1</v>
      </c>
      <c r="BC32" s="2">
        <v>1</v>
      </c>
      <c r="BD32" s="2">
        <v>1</v>
      </c>
      <c r="BE32" s="2">
        <v>1</v>
      </c>
      <c r="BF32" s="2">
        <v>1</v>
      </c>
      <c r="BG32" s="2">
        <v>1</v>
      </c>
      <c r="BH32" s="2">
        <v>1</v>
      </c>
      <c r="BI32" s="2">
        <v>1</v>
      </c>
      <c r="BJ32" s="2">
        <v>1</v>
      </c>
      <c r="BK32" s="2">
        <v>1</v>
      </c>
      <c r="BL32" s="2">
        <v>1</v>
      </c>
      <c r="BM32" s="2">
        <v>1</v>
      </c>
      <c r="BN32" s="2">
        <v>1</v>
      </c>
      <c r="BO32" s="2">
        <v>1</v>
      </c>
      <c r="BP32" s="2">
        <v>1</v>
      </c>
      <c r="BQ32" s="2">
        <v>1</v>
      </c>
      <c r="BR32" s="2">
        <v>1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2">
        <v>1</v>
      </c>
      <c r="BY32" s="2">
        <v>1</v>
      </c>
      <c r="BZ32" s="2">
        <v>1</v>
      </c>
      <c r="CA32" s="2">
        <v>1</v>
      </c>
      <c r="CB32" s="2">
        <v>1</v>
      </c>
      <c r="CC32" s="2">
        <v>1</v>
      </c>
      <c r="CD32" s="2">
        <v>1</v>
      </c>
      <c r="CE32" s="2">
        <v>1</v>
      </c>
      <c r="CF32" s="2">
        <v>1</v>
      </c>
      <c r="CG32" s="2">
        <v>1</v>
      </c>
      <c r="CH32" s="2">
        <v>1</v>
      </c>
      <c r="CI32" s="2">
        <v>1</v>
      </c>
      <c r="CJ32" s="2">
        <v>1</v>
      </c>
      <c r="CL32" s="48" t="s">
        <v>10</v>
      </c>
      <c r="CM32" s="49">
        <f>DC1</f>
        <v>770</v>
      </c>
      <c r="CQ32" s="8">
        <v>138.12887000000001</v>
      </c>
      <c r="CR32" s="8">
        <v>-2.1262999999999998E-3</v>
      </c>
      <c r="CS32" s="4">
        <f t="shared" si="0"/>
        <v>411.27886999999998</v>
      </c>
      <c r="CT32" s="9">
        <f>Таблица1[[#This Row],[DSC/(mW/mg)]]</f>
        <v>-2.1262999999999998E-3</v>
      </c>
      <c r="DO32" s="3"/>
      <c r="DP32" s="4"/>
      <c r="DQ32" s="4"/>
      <c r="DR32" s="4"/>
      <c r="DS32" s="4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</row>
    <row r="33" spans="1:213" ht="27.75" thickTop="1" thickBot="1" x14ac:dyDescent="0.3">
      <c r="A33" s="1"/>
      <c r="B33" s="1">
        <v>273.10000000000002</v>
      </c>
      <c r="C33" s="1">
        <v>293.3</v>
      </c>
      <c r="D33" s="1">
        <v>313.5</v>
      </c>
      <c r="E33" s="1">
        <v>333.7</v>
      </c>
      <c r="F33" s="1">
        <v>353.9</v>
      </c>
      <c r="G33" s="1">
        <v>374.1</v>
      </c>
      <c r="H33" s="1">
        <v>394.3</v>
      </c>
      <c r="I33" s="1">
        <v>414.5</v>
      </c>
      <c r="J33" s="1">
        <v>434.7</v>
      </c>
      <c r="K33" s="1">
        <v>515.4</v>
      </c>
      <c r="L33" s="1">
        <v>535.6</v>
      </c>
      <c r="M33" s="1">
        <v>555.79999999999995</v>
      </c>
      <c r="N33" s="1">
        <v>576</v>
      </c>
      <c r="O33" s="1">
        <v>596.20000000000005</v>
      </c>
      <c r="P33" s="1">
        <v>616.4</v>
      </c>
      <c r="Q33" s="1">
        <v>636.6</v>
      </c>
      <c r="R33" s="1">
        <v>656.8</v>
      </c>
      <c r="S33" s="1">
        <v>677</v>
      </c>
      <c r="T33" s="1">
        <v>757.7</v>
      </c>
      <c r="U33" s="1">
        <v>777.9</v>
      </c>
      <c r="V33" s="1">
        <v>798.1</v>
      </c>
      <c r="W33" s="1">
        <v>818.3</v>
      </c>
      <c r="X33" s="1">
        <v>838.5</v>
      </c>
      <c r="Y33" s="1">
        <v>919.2</v>
      </c>
      <c r="Z33" s="1">
        <v>939.4</v>
      </c>
      <c r="AA33" s="1">
        <v>959.6</v>
      </c>
      <c r="AB33" s="1">
        <v>979.8</v>
      </c>
      <c r="AC33" s="1">
        <v>1000</v>
      </c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L33" s="6">
        <f>CM32</f>
        <v>770</v>
      </c>
      <c r="CM33" s="25">
        <f>MIN($A$3:$CJ$63)*100</f>
        <v>-6636</v>
      </c>
      <c r="CQ33" s="8">
        <v>140.20228</v>
      </c>
      <c r="CR33" s="8">
        <v>-2.1497E-3</v>
      </c>
      <c r="CS33" s="4">
        <f t="shared" si="0"/>
        <v>413.35227999999995</v>
      </c>
      <c r="CT33" s="9">
        <f>Таблица1[[#This Row],[DSC/(mW/mg)]]</f>
        <v>-2.1497E-3</v>
      </c>
      <c r="DC33" s="14"/>
      <c r="DF33" s="15"/>
      <c r="DO33" s="2"/>
      <c r="DP33" s="4"/>
      <c r="DQ33" s="4"/>
      <c r="DR33" s="4"/>
      <c r="DS33" s="4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</row>
    <row r="34" spans="1:213" ht="27.75" thickTop="1" thickBot="1" x14ac:dyDescent="0.35">
      <c r="A34" s="3" t="s">
        <v>17</v>
      </c>
      <c r="B34" s="32">
        <v>1.4885E-9</v>
      </c>
      <c r="C34" s="32">
        <v>2.6960999999999998E-9</v>
      </c>
      <c r="D34" s="32">
        <v>6.4316E-9</v>
      </c>
      <c r="E34" s="32">
        <v>7.9884000000000002E-9</v>
      </c>
      <c r="F34" s="32">
        <v>1.5031000000000001E-8</v>
      </c>
      <c r="G34" s="32">
        <v>1.9553E-8</v>
      </c>
      <c r="H34" s="32">
        <v>2.0324000000000001E-8</v>
      </c>
      <c r="I34" s="32">
        <v>1.1984999999999999E-8</v>
      </c>
      <c r="J34" s="32">
        <v>5.9535000000000002E-9</v>
      </c>
      <c r="K34" s="32">
        <v>2.8796000000000002E-29</v>
      </c>
      <c r="L34" s="32">
        <v>0</v>
      </c>
      <c r="M34" s="32">
        <v>0</v>
      </c>
      <c r="N34" s="32">
        <v>0</v>
      </c>
      <c r="O34" s="32">
        <v>0</v>
      </c>
      <c r="P34" s="32">
        <v>0</v>
      </c>
      <c r="Q34" s="32">
        <v>0</v>
      </c>
      <c r="R34" s="32">
        <v>0</v>
      </c>
      <c r="S34" s="32">
        <v>0</v>
      </c>
      <c r="T34" s="32">
        <v>0</v>
      </c>
      <c r="U34" s="32">
        <v>0</v>
      </c>
      <c r="V34" s="32">
        <v>0</v>
      </c>
      <c r="W34" s="32">
        <v>0</v>
      </c>
      <c r="X34" s="32">
        <v>0</v>
      </c>
      <c r="Y34" s="32">
        <v>0</v>
      </c>
      <c r="Z34" s="32">
        <v>0</v>
      </c>
      <c r="AA34" s="32">
        <v>0</v>
      </c>
      <c r="AB34" s="32">
        <v>0</v>
      </c>
      <c r="AC34" s="32">
        <v>0</v>
      </c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L34" s="5">
        <f>CM32</f>
        <v>770</v>
      </c>
      <c r="CM34" s="25">
        <v>10</v>
      </c>
      <c r="CQ34" s="8">
        <v>142.27569</v>
      </c>
      <c r="CR34" s="8">
        <v>-2.1757999999999999E-3</v>
      </c>
      <c r="CS34" s="4">
        <f t="shared" si="0"/>
        <v>415.42568999999997</v>
      </c>
      <c r="CT34" s="9">
        <f>Таблица1[[#This Row],[DSC/(mW/mg)]]</f>
        <v>-2.1757999999999999E-3</v>
      </c>
      <c r="DF34" s="16"/>
      <c r="DO34" s="3" t="s">
        <v>32</v>
      </c>
      <c r="DP34" s="4">
        <v>290</v>
      </c>
      <c r="DQ34" s="4">
        <v>298</v>
      </c>
      <c r="DR34" s="4">
        <v>306</v>
      </c>
      <c r="DS34" s="4">
        <v>314</v>
      </c>
      <c r="DT34" s="2">
        <v>322</v>
      </c>
      <c r="DU34" s="2">
        <v>330</v>
      </c>
      <c r="DV34" s="2">
        <v>338</v>
      </c>
      <c r="DW34" s="2">
        <v>346</v>
      </c>
      <c r="DX34" s="2">
        <v>354</v>
      </c>
      <c r="DY34" s="2">
        <v>362</v>
      </c>
      <c r="DZ34" s="2">
        <v>370</v>
      </c>
      <c r="EA34" s="2">
        <v>378</v>
      </c>
      <c r="EB34" s="2">
        <v>386</v>
      </c>
      <c r="EC34" s="2">
        <v>394</v>
      </c>
      <c r="ED34" s="2">
        <v>402</v>
      </c>
      <c r="EE34" s="2">
        <v>410</v>
      </c>
      <c r="EF34" s="2">
        <v>418</v>
      </c>
      <c r="EG34" s="2">
        <v>426</v>
      </c>
      <c r="EH34" s="2">
        <v>434</v>
      </c>
      <c r="EI34" s="2">
        <v>442</v>
      </c>
      <c r="EJ34" s="2">
        <v>450</v>
      </c>
      <c r="EK34" s="2">
        <v>458</v>
      </c>
      <c r="EL34" s="2">
        <v>466</v>
      </c>
      <c r="EM34" s="2">
        <v>474</v>
      </c>
      <c r="EN34" s="2">
        <v>482</v>
      </c>
      <c r="EO34" s="2">
        <v>490</v>
      </c>
      <c r="EP34" s="2">
        <v>498</v>
      </c>
      <c r="EQ34" s="2">
        <v>506</v>
      </c>
      <c r="ER34" s="2">
        <v>514</v>
      </c>
      <c r="ES34" s="2">
        <v>522</v>
      </c>
      <c r="ET34" s="2">
        <v>530</v>
      </c>
      <c r="EU34" s="2">
        <v>538</v>
      </c>
      <c r="EV34" s="2">
        <v>546</v>
      </c>
      <c r="EW34" s="2">
        <v>554</v>
      </c>
      <c r="EX34" s="2">
        <v>562</v>
      </c>
      <c r="EY34" s="2">
        <v>570</v>
      </c>
      <c r="EZ34" s="2">
        <v>578</v>
      </c>
      <c r="FA34" s="2">
        <v>586</v>
      </c>
      <c r="FB34" s="2">
        <v>594</v>
      </c>
      <c r="FC34" s="2">
        <v>602</v>
      </c>
      <c r="FD34" s="2">
        <v>610</v>
      </c>
      <c r="FE34" s="2">
        <v>618</v>
      </c>
      <c r="FF34" s="2">
        <v>626</v>
      </c>
      <c r="FG34" s="2">
        <v>634</v>
      </c>
      <c r="FH34" s="2">
        <v>642</v>
      </c>
      <c r="FI34" s="2">
        <v>650</v>
      </c>
      <c r="FJ34" s="2">
        <v>658</v>
      </c>
      <c r="FK34" s="2">
        <v>666</v>
      </c>
      <c r="FL34" s="2">
        <v>674</v>
      </c>
      <c r="FM34" s="2">
        <v>682</v>
      </c>
      <c r="FN34" s="2">
        <v>690</v>
      </c>
      <c r="FO34" s="2">
        <v>698</v>
      </c>
      <c r="FP34" s="2">
        <v>706</v>
      </c>
      <c r="FQ34" s="2">
        <v>714</v>
      </c>
      <c r="FR34" s="2">
        <v>722</v>
      </c>
      <c r="FS34" s="2">
        <v>730</v>
      </c>
      <c r="FT34" s="2">
        <v>738</v>
      </c>
      <c r="FU34" s="2">
        <v>746</v>
      </c>
      <c r="FV34" s="2">
        <v>754</v>
      </c>
      <c r="FW34" s="2">
        <v>762</v>
      </c>
      <c r="FX34" s="2">
        <v>770</v>
      </c>
      <c r="FY34" s="2">
        <v>778</v>
      </c>
      <c r="FZ34" s="2">
        <v>786</v>
      </c>
      <c r="GA34" s="2">
        <v>794</v>
      </c>
      <c r="GB34" s="2">
        <v>802</v>
      </c>
      <c r="GC34" s="2">
        <v>810</v>
      </c>
      <c r="GD34" s="2">
        <v>818</v>
      </c>
      <c r="GE34" s="2">
        <v>826</v>
      </c>
      <c r="GF34" s="2">
        <v>834</v>
      </c>
      <c r="GG34" s="2">
        <v>842</v>
      </c>
      <c r="GH34" s="2">
        <v>850</v>
      </c>
      <c r="GI34" s="2">
        <v>858</v>
      </c>
      <c r="GJ34" s="2">
        <v>866</v>
      </c>
      <c r="GK34" s="2">
        <v>874</v>
      </c>
      <c r="GL34" s="2">
        <v>882</v>
      </c>
      <c r="GM34" s="2">
        <v>890</v>
      </c>
      <c r="GN34" s="2">
        <v>898</v>
      </c>
      <c r="GO34" s="2">
        <v>906</v>
      </c>
      <c r="GP34" s="2">
        <v>914</v>
      </c>
      <c r="GQ34" s="2">
        <v>922</v>
      </c>
      <c r="GR34" s="2">
        <v>930</v>
      </c>
      <c r="GS34" s="2">
        <v>938</v>
      </c>
      <c r="GT34" s="2">
        <v>946</v>
      </c>
      <c r="GU34" s="2">
        <v>954</v>
      </c>
      <c r="GV34" s="2">
        <v>962</v>
      </c>
      <c r="GW34" s="2">
        <v>970</v>
      </c>
      <c r="GX34" s="2">
        <v>978</v>
      </c>
      <c r="GY34" s="2">
        <v>986</v>
      </c>
      <c r="GZ34" s="2">
        <v>994</v>
      </c>
      <c r="HA34" s="2"/>
      <c r="HB34" s="2"/>
      <c r="HC34" s="2"/>
      <c r="HD34" s="2"/>
      <c r="HE34" s="2"/>
    </row>
    <row r="35" spans="1:213" ht="21.75" thickBot="1" x14ac:dyDescent="0.35">
      <c r="A35" s="3" t="s">
        <v>18</v>
      </c>
      <c r="B35" s="32">
        <v>0</v>
      </c>
      <c r="C35" s="32">
        <v>0</v>
      </c>
      <c r="D35" s="32">
        <v>0</v>
      </c>
      <c r="E35" s="32">
        <v>0</v>
      </c>
      <c r="F35" s="32">
        <v>0</v>
      </c>
      <c r="G35" s="32">
        <v>0</v>
      </c>
      <c r="H35" s="32">
        <v>0</v>
      </c>
      <c r="I35" s="32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R35" s="32">
        <v>0</v>
      </c>
      <c r="S35" s="32">
        <v>0</v>
      </c>
      <c r="T35" s="32">
        <v>1.3754E-36</v>
      </c>
      <c r="U35" s="32">
        <v>1.2316E-27</v>
      </c>
      <c r="V35" s="32">
        <v>9.9036E-20</v>
      </c>
      <c r="W35" s="32">
        <v>3.6288E-12</v>
      </c>
      <c r="X35" s="32">
        <v>8.1276000000000003E-7</v>
      </c>
      <c r="Y35" s="32">
        <v>4.5038000000000001E-4</v>
      </c>
      <c r="Z35" s="32">
        <v>3.2380000000000001E-4</v>
      </c>
      <c r="AA35" s="32">
        <v>1.5102E-4</v>
      </c>
      <c r="AB35" s="32">
        <v>7.6592000000000001E-5</v>
      </c>
      <c r="AC35" s="32">
        <v>3.7290999999999999E-5</v>
      </c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L35" s="2"/>
      <c r="CM35" s="2"/>
      <c r="CQ35" s="8">
        <v>144.34908999999999</v>
      </c>
      <c r="CR35" s="8">
        <v>-2.1513999999999999E-3</v>
      </c>
      <c r="CS35" s="4">
        <f t="shared" si="0"/>
        <v>417.49908999999997</v>
      </c>
      <c r="CT35" s="9">
        <f>Таблица1[[#This Row],[DSC/(mW/mg)]]</f>
        <v>-2.1513999999999999E-3</v>
      </c>
      <c r="DO35" s="3" t="s">
        <v>17</v>
      </c>
      <c r="DP35" s="4">
        <v>-38.899603960396036</v>
      </c>
      <c r="DQ35" s="4">
        <v>-38.110247524752474</v>
      </c>
      <c r="DR35" s="4">
        <v>-37.361732673267326</v>
      </c>
      <c r="DS35" s="4">
        <v>-36.618910891089108</v>
      </c>
      <c r="DT35" s="2">
        <v>-35.961485148514846</v>
      </c>
      <c r="DU35" s="2">
        <v>-35.304059405940592</v>
      </c>
      <c r="DV35" s="2">
        <v>-34.693465346534651</v>
      </c>
      <c r="DW35" s="2">
        <v>-34.123168316831681</v>
      </c>
      <c r="DX35" s="2">
        <v>-33.55391089108911</v>
      </c>
      <c r="DY35" s="2">
        <v>-33.066782178217821</v>
      </c>
      <c r="DZ35" s="2">
        <v>-32.579653465346532</v>
      </c>
      <c r="EA35" s="2">
        <v>-32.125539603960398</v>
      </c>
      <c r="EB35" s="2">
        <v>-31.706133663366337</v>
      </c>
      <c r="EC35" s="2">
        <v>-31.28672772277228</v>
      </c>
      <c r="ED35" s="2">
        <v>-30.923356435643566</v>
      </c>
      <c r="EE35" s="2">
        <v>-30.562168316831684</v>
      </c>
      <c r="EF35" s="2">
        <v>-30.231648514851486</v>
      </c>
      <c r="EG35" s="2">
        <v>-29.940559405940594</v>
      </c>
      <c r="EH35" s="2">
        <v>-29.649470297029701</v>
      </c>
      <c r="EI35" s="2">
        <v>-29.555794299876084</v>
      </c>
      <c r="EJ35" s="2">
        <v>-29.481048327137547</v>
      </c>
      <c r="EK35" s="2">
        <v>-29.406302354399006</v>
      </c>
      <c r="EL35" s="2">
        <v>-29.331556381660469</v>
      </c>
      <c r="EM35" s="2">
        <v>-29.256810408921933</v>
      </c>
      <c r="EN35" s="2">
        <v>-29.182064436183396</v>
      </c>
      <c r="EO35" s="2">
        <v>-29.107318463444859</v>
      </c>
      <c r="EP35" s="2">
        <v>-29.032572490706322</v>
      </c>
      <c r="EQ35" s="2">
        <v>-28.957826517967781</v>
      </c>
      <c r="ER35" s="2">
        <v>-28.883080545229245</v>
      </c>
      <c r="ES35" s="2">
        <v>-28.945475247524755</v>
      </c>
      <c r="ET35" s="2">
        <v>-29.036960396039603</v>
      </c>
      <c r="EU35" s="2">
        <v>-29.137118811881187</v>
      </c>
      <c r="EV35" s="2">
        <v>-29.257514851485148</v>
      </c>
      <c r="EW35" s="2">
        <v>-29.377910891089112</v>
      </c>
      <c r="EX35" s="2">
        <v>-29.501069306930695</v>
      </c>
      <c r="EY35" s="2">
        <v>-29.625029702970298</v>
      </c>
      <c r="EZ35" s="2">
        <v>-29.750970297029703</v>
      </c>
      <c r="FA35" s="2">
        <v>-29.882851485148514</v>
      </c>
      <c r="FB35" s="2">
        <v>-30.014732673267329</v>
      </c>
      <c r="FC35" s="2">
        <v>-30.147762376237626</v>
      </c>
      <c r="FD35" s="2">
        <v>-30.281227722772279</v>
      </c>
      <c r="FE35" s="2">
        <v>-30.414138613861386</v>
      </c>
      <c r="FF35" s="2">
        <v>-30.544831683168315</v>
      </c>
      <c r="FG35" s="2">
        <v>-30.675524752475244</v>
      </c>
      <c r="FH35" s="2">
        <v>-30.808891089108908</v>
      </c>
      <c r="FI35" s="2">
        <v>-30.943544554455446</v>
      </c>
      <c r="FJ35" s="2">
        <v>-31.078613861386138</v>
      </c>
      <c r="FK35" s="2">
        <v>-31.216039603960397</v>
      </c>
      <c r="FL35" s="2">
        <v>-31.353465346534655</v>
      </c>
      <c r="FM35" s="2">
        <v>-31.495210656753407</v>
      </c>
      <c r="FN35" s="2">
        <v>-31.639547707558862</v>
      </c>
      <c r="FO35" s="2">
        <v>-31.783884758364312</v>
      </c>
      <c r="FP35" s="2">
        <v>-31.928221809169763</v>
      </c>
      <c r="FQ35" s="2">
        <v>-32.072558859975217</v>
      </c>
      <c r="FR35" s="2">
        <v>-32.216895910780664</v>
      </c>
      <c r="FS35" s="2">
        <v>-32.361232961586119</v>
      </c>
      <c r="FT35" s="2">
        <v>-32.505570012391573</v>
      </c>
      <c r="FU35" s="2">
        <v>-32.64990706319702</v>
      </c>
      <c r="FV35" s="2">
        <v>-32.794244114002474</v>
      </c>
      <c r="FW35" s="2">
        <v>-32.929757425742572</v>
      </c>
      <c r="FX35" s="2">
        <v>-33.057678217821781</v>
      </c>
      <c r="FY35" s="2">
        <v>-33.185638613861386</v>
      </c>
      <c r="FZ35" s="2">
        <v>-33.316727722772278</v>
      </c>
      <c r="GA35" s="2">
        <v>-33.44781683168317</v>
      </c>
      <c r="GB35" s="2">
        <v>-33.57697524752475</v>
      </c>
      <c r="GC35" s="2">
        <v>-33.70410396039604</v>
      </c>
      <c r="GD35" s="2">
        <v>-33.831232673267323</v>
      </c>
      <c r="GE35" s="2">
        <v>-33.954930693069308</v>
      </c>
      <c r="GF35" s="2">
        <v>-34.078495049504951</v>
      </c>
      <c r="GG35" s="2">
        <v>-34.191413878562578</v>
      </c>
      <c r="GH35" s="2">
        <v>-34.290645600991326</v>
      </c>
      <c r="GI35" s="2">
        <v>-34.38987732342008</v>
      </c>
      <c r="GJ35" s="2">
        <v>-34.489109045848828</v>
      </c>
      <c r="GK35" s="2">
        <v>-34.588340768277575</v>
      </c>
      <c r="GL35" s="2">
        <v>-34.687572490706323</v>
      </c>
      <c r="GM35" s="2">
        <v>-34.786804213135071</v>
      </c>
      <c r="GN35" s="2">
        <v>-34.886035935563818</v>
      </c>
      <c r="GO35" s="2">
        <v>-34.985267657992566</v>
      </c>
      <c r="GP35" s="2">
        <v>-35.084499380421313</v>
      </c>
      <c r="GQ35" s="2">
        <v>-35.188366336633663</v>
      </c>
      <c r="GR35" s="2">
        <v>-35.30084158415842</v>
      </c>
      <c r="GS35" s="2">
        <v>-35.413316831683169</v>
      </c>
      <c r="GT35" s="2">
        <v>-35.52611881188119</v>
      </c>
      <c r="GU35" s="2">
        <v>-35.638990099009902</v>
      </c>
      <c r="GV35" s="2">
        <v>-35.750673267326739</v>
      </c>
      <c r="GW35" s="2">
        <v>-35.859584158415842</v>
      </c>
      <c r="GX35" s="2">
        <v>-35.968495049504952</v>
      </c>
      <c r="GY35" s="2">
        <v>-36.080475247524753</v>
      </c>
      <c r="GZ35" s="2">
        <v>-36.193346534653465</v>
      </c>
      <c r="HA35" s="2"/>
      <c r="HB35" s="2"/>
      <c r="HC35" s="2"/>
      <c r="HD35" s="2"/>
      <c r="HE35" s="2"/>
    </row>
    <row r="36" spans="1:213" ht="27" thickBot="1" x14ac:dyDescent="0.35">
      <c r="A36" s="3" t="s">
        <v>21</v>
      </c>
      <c r="B36" s="32">
        <v>0</v>
      </c>
      <c r="C36" s="32">
        <v>5.3673999999999998E-31</v>
      </c>
      <c r="D36" s="32">
        <v>8.7909999999999999E-23</v>
      </c>
      <c r="E36" s="32">
        <v>2.1659000000000001E-19</v>
      </c>
      <c r="F36" s="32">
        <v>1.5101999999999999E-17</v>
      </c>
      <c r="G36" s="32">
        <v>8.1085000000000003E-17</v>
      </c>
      <c r="H36" s="32">
        <v>3.2773E-16</v>
      </c>
      <c r="I36" s="32">
        <v>4.3337000000000002E-15</v>
      </c>
      <c r="J36" s="32">
        <v>9.7760999999999991E-13</v>
      </c>
      <c r="K36" s="32">
        <v>7.1665999999999996E-9</v>
      </c>
      <c r="L36" s="32">
        <v>9.619E-9</v>
      </c>
      <c r="M36" s="32">
        <v>1.5732999999999999E-8</v>
      </c>
      <c r="N36" s="32">
        <v>1.0646999999999999E-8</v>
      </c>
      <c r="O36" s="32">
        <v>1.1835E-8</v>
      </c>
      <c r="P36" s="32">
        <v>1.2272000000000001E-8</v>
      </c>
      <c r="Q36" s="32">
        <v>1.2878E-8</v>
      </c>
      <c r="R36" s="32">
        <v>1.4869000000000001E-8</v>
      </c>
      <c r="S36" s="32">
        <v>1.3575000000000001E-8</v>
      </c>
      <c r="T36" s="32">
        <v>3.4117E-8</v>
      </c>
      <c r="U36" s="32">
        <v>3.8187000000000003E-8</v>
      </c>
      <c r="V36" s="32">
        <v>2.5558E-8</v>
      </c>
      <c r="W36" s="32">
        <v>1.9358E-8</v>
      </c>
      <c r="X36" s="32">
        <v>1.9697E-23</v>
      </c>
      <c r="Y36" s="32">
        <v>1.8587000000000001E-20</v>
      </c>
      <c r="Z36" s="32">
        <v>6.0575999999999994E-20</v>
      </c>
      <c r="AA36" s="32">
        <v>1.5035000000000001E-19</v>
      </c>
      <c r="AB36" s="32">
        <v>3.0188E-19</v>
      </c>
      <c r="AC36" s="32">
        <v>5.5668999999999996E-19</v>
      </c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L36" s="50" t="s">
        <v>11</v>
      </c>
      <c r="CM36" s="51">
        <f>DD1</f>
        <v>1000</v>
      </c>
      <c r="CQ36" s="8">
        <v>146.42250000000001</v>
      </c>
      <c r="CR36" s="8">
        <v>-2.4826000000000002E-3</v>
      </c>
      <c r="CS36" s="4">
        <f t="shared" si="0"/>
        <v>419.57249999999999</v>
      </c>
      <c r="CT36" s="9">
        <f>Таблица1[[#This Row],[DSC/(mW/mg)]]</f>
        <v>-2.4826000000000002E-3</v>
      </c>
      <c r="DF36" s="17"/>
      <c r="DO36" s="3" t="s">
        <v>18</v>
      </c>
      <c r="DP36" s="4">
        <v>-62.678811881188125</v>
      </c>
      <c r="DQ36" s="4">
        <v>-60.98742574257426</v>
      </c>
      <c r="DR36" s="4">
        <v>-59.331980198019806</v>
      </c>
      <c r="DS36" s="4">
        <v>-57.676534653465346</v>
      </c>
      <c r="DT36" s="2">
        <v>-56.021089108910893</v>
      </c>
      <c r="DU36" s="2">
        <v>-54.365643564356432</v>
      </c>
      <c r="DV36" s="2">
        <v>-52.722970297029704</v>
      </c>
      <c r="DW36" s="2">
        <v>-51.091287128712864</v>
      </c>
      <c r="DX36" s="2">
        <v>-49.460544554455439</v>
      </c>
      <c r="DY36" s="2">
        <v>-47.904108910891082</v>
      </c>
      <c r="DZ36" s="2">
        <v>-46.347673267326734</v>
      </c>
      <c r="EA36" s="2">
        <v>-44.845297029702969</v>
      </c>
      <c r="EB36" s="2">
        <v>-43.399752475247524</v>
      </c>
      <c r="EC36" s="2">
        <v>-41.954207920792079</v>
      </c>
      <c r="ED36" s="2">
        <v>-40.634455445544553</v>
      </c>
      <c r="EE36" s="2">
        <v>-39.319603960396037</v>
      </c>
      <c r="EF36" s="2">
        <v>-38.065396039603961</v>
      </c>
      <c r="EG36" s="2">
        <v>-36.889158415841585</v>
      </c>
      <c r="EH36" s="2">
        <v>-35.712920792079203</v>
      </c>
      <c r="EI36" s="2">
        <v>-34.752453531598512</v>
      </c>
      <c r="EJ36" s="2">
        <v>-33.81267657992565</v>
      </c>
      <c r="EK36" s="2">
        <v>-32.872899628252789</v>
      </c>
      <c r="EL36" s="2">
        <v>-31.933122676579924</v>
      </c>
      <c r="EM36" s="2">
        <v>-30.993345724907059</v>
      </c>
      <c r="EN36" s="2">
        <v>-30.053568773234197</v>
      </c>
      <c r="EO36" s="2">
        <v>-29.113791821561335</v>
      </c>
      <c r="EP36" s="2">
        <v>-28.174014869888474</v>
      </c>
      <c r="EQ36" s="2">
        <v>-27.234237918215609</v>
      </c>
      <c r="ER36" s="2">
        <v>-26.294460966542747</v>
      </c>
      <c r="ES36" s="2">
        <v>-25.453663366336631</v>
      </c>
      <c r="ET36" s="2">
        <v>-24.633861386138612</v>
      </c>
      <c r="EU36" s="2">
        <v>-23.827128712871289</v>
      </c>
      <c r="EV36" s="2">
        <v>-23.050891089108909</v>
      </c>
      <c r="EW36" s="2">
        <v>-22.274653465346532</v>
      </c>
      <c r="EX36" s="2">
        <v>-21.529108910891086</v>
      </c>
      <c r="EY36" s="2">
        <v>-20.792475247524749</v>
      </c>
      <c r="EZ36" s="2">
        <v>-20.066732673267325</v>
      </c>
      <c r="FA36" s="2">
        <v>-19.373663366336633</v>
      </c>
      <c r="FB36" s="2">
        <v>-18.680594059405941</v>
      </c>
      <c r="FC36" s="2">
        <v>-18.013366336633663</v>
      </c>
      <c r="FD36" s="2">
        <v>-17.355940594059405</v>
      </c>
      <c r="FE36" s="2">
        <v>-16.706435643564355</v>
      </c>
      <c r="FF36" s="2">
        <v>-16.088613861386136</v>
      </c>
      <c r="FG36" s="2">
        <v>-15.470792079207921</v>
      </c>
      <c r="FH36" s="2">
        <v>-14.877029702970297</v>
      </c>
      <c r="FI36" s="2">
        <v>-14.294851485148513</v>
      </c>
      <c r="FJ36" s="2">
        <v>-13.721584158415839</v>
      </c>
      <c r="FK36" s="2">
        <v>-13.198811881188117</v>
      </c>
      <c r="FL36" s="2">
        <v>-12.676039603960396</v>
      </c>
      <c r="FM36" s="2">
        <v>-12.288612143742256</v>
      </c>
      <c r="FN36" s="2">
        <v>-11.982391573729863</v>
      </c>
      <c r="FO36" s="2">
        <v>-11.676171003717473</v>
      </c>
      <c r="FP36" s="2">
        <v>-11.369950433705082</v>
      </c>
      <c r="FQ36" s="2">
        <v>-11.063729863692689</v>
      </c>
      <c r="FR36" s="2">
        <v>-10.757509293680299</v>
      </c>
      <c r="FS36" s="2">
        <v>-10.451288723667908</v>
      </c>
      <c r="FT36" s="2">
        <v>-10.145068153655515</v>
      </c>
      <c r="FU36" s="2">
        <v>-9.8388475836431244</v>
      </c>
      <c r="FV36" s="2">
        <v>-9.5326270136307336</v>
      </c>
      <c r="FW36" s="2">
        <v>-9.2852029702970302</v>
      </c>
      <c r="FX36" s="2">
        <v>-9.0883712871287123</v>
      </c>
      <c r="FY36" s="2">
        <v>-8.8917079207920793</v>
      </c>
      <c r="FZ36" s="2">
        <v>-8.7083415841584149</v>
      </c>
      <c r="GA36" s="2">
        <v>-8.5249752475247522</v>
      </c>
      <c r="GB36" s="2">
        <v>-8.3474009900990094</v>
      </c>
      <c r="GC36" s="2">
        <v>-8.1759158415841586</v>
      </c>
      <c r="GD36" s="2">
        <v>-8.0044306930693061</v>
      </c>
      <c r="GE36" s="2">
        <v>-7.8546732673267323</v>
      </c>
      <c r="GF36" s="2">
        <v>-7.7057623762376233</v>
      </c>
      <c r="GG36" s="2">
        <v>-7.6341003717472118</v>
      </c>
      <c r="GH36" s="2">
        <v>-7.6617583643122673</v>
      </c>
      <c r="GI36" s="2">
        <v>-7.6894163568773228</v>
      </c>
      <c r="GJ36" s="2">
        <v>-7.7170743494423792</v>
      </c>
      <c r="GK36" s="2">
        <v>-7.7447323420074348</v>
      </c>
      <c r="GL36" s="2">
        <v>-7.7723903345724903</v>
      </c>
      <c r="GM36" s="2">
        <v>-7.8000483271375458</v>
      </c>
      <c r="GN36" s="2">
        <v>-7.8277063197026022</v>
      </c>
      <c r="GO36" s="2">
        <v>-7.8553643122676577</v>
      </c>
      <c r="GP36" s="2">
        <v>-7.8830223048327133</v>
      </c>
      <c r="GQ36" s="2">
        <v>-7.9104257425742572</v>
      </c>
      <c r="GR36" s="2">
        <v>-7.9373564356435642</v>
      </c>
      <c r="GS36" s="2">
        <v>-7.964287128712872</v>
      </c>
      <c r="GT36" s="2">
        <v>-7.9905643564356437</v>
      </c>
      <c r="GU36" s="2">
        <v>-8.0167029702970307</v>
      </c>
      <c r="GV36" s="2">
        <v>-8.0428415841584169</v>
      </c>
      <c r="GW36" s="2">
        <v>-8.068980198019803</v>
      </c>
      <c r="GX36" s="2">
        <v>-8.0951188118811892</v>
      </c>
      <c r="GY36" s="2">
        <v>-8.1209504950495059</v>
      </c>
      <c r="GZ36" s="2">
        <v>-8.1466930693069308</v>
      </c>
      <c r="HA36" s="2"/>
      <c r="HB36" s="2"/>
      <c r="HC36" s="2"/>
      <c r="HD36" s="2"/>
      <c r="HE36" s="2"/>
    </row>
    <row r="37" spans="1:213" ht="21.75" thickBot="1" x14ac:dyDescent="0.35">
      <c r="A37" s="3" t="s">
        <v>22</v>
      </c>
      <c r="B37" s="32">
        <v>1.2947999999999999E-9</v>
      </c>
      <c r="C37" s="32">
        <v>1.9966000000000001E-10</v>
      </c>
      <c r="D37" s="32">
        <v>1.3767000000000001E-13</v>
      </c>
      <c r="E37" s="32">
        <v>2.0532000000000002E-21</v>
      </c>
      <c r="F37" s="32">
        <v>3.1104000000000002E-32</v>
      </c>
      <c r="G37" s="32">
        <v>0</v>
      </c>
      <c r="H37" s="32">
        <v>0</v>
      </c>
      <c r="I37" s="32">
        <v>0</v>
      </c>
      <c r="J37" s="32">
        <v>0</v>
      </c>
      <c r="K37" s="32">
        <v>0</v>
      </c>
      <c r="L37" s="32">
        <v>0</v>
      </c>
      <c r="M37" s="32">
        <v>0</v>
      </c>
      <c r="N37" s="32">
        <v>0</v>
      </c>
      <c r="O37" s="32">
        <v>0</v>
      </c>
      <c r="P37" s="32">
        <v>0</v>
      </c>
      <c r="Q37" s="32">
        <v>0</v>
      </c>
      <c r="R37" s="32">
        <v>0</v>
      </c>
      <c r="S37" s="32">
        <v>0</v>
      </c>
      <c r="T37" s="32">
        <v>0</v>
      </c>
      <c r="U37" s="32">
        <v>0</v>
      </c>
      <c r="V37" s="32">
        <v>0</v>
      </c>
      <c r="W37" s="32">
        <v>0</v>
      </c>
      <c r="X37" s="32">
        <v>0</v>
      </c>
      <c r="Y37" s="32">
        <v>0</v>
      </c>
      <c r="Z37" s="32">
        <v>0</v>
      </c>
      <c r="AA37" s="32">
        <v>0</v>
      </c>
      <c r="AB37" s="32">
        <v>0</v>
      </c>
      <c r="AC37" s="32">
        <v>0</v>
      </c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  <c r="CF37" s="32"/>
      <c r="CG37" s="32"/>
      <c r="CH37" s="32"/>
      <c r="CI37" s="32"/>
      <c r="CJ37" s="32"/>
      <c r="CL37" s="6">
        <f>CM36</f>
        <v>1000</v>
      </c>
      <c r="CM37" s="25">
        <f>MIN($A$3:$CJ$63)*100</f>
        <v>-6636</v>
      </c>
      <c r="CQ37" s="8">
        <v>148.49591000000001</v>
      </c>
      <c r="CR37" s="8">
        <v>-2.9348999999999998E-3</v>
      </c>
      <c r="CS37" s="4">
        <f t="shared" si="0"/>
        <v>421.64590999999996</v>
      </c>
      <c r="CT37" s="9">
        <f>Таблица1[[#This Row],[DSC/(mW/mg)]]</f>
        <v>-2.9348999999999998E-3</v>
      </c>
      <c r="DO37" s="3" t="s">
        <v>21</v>
      </c>
      <c r="DP37" s="4">
        <v>-22.547673267326733</v>
      </c>
      <c r="DQ37" s="4">
        <v>-22.166188118811881</v>
      </c>
      <c r="DR37" s="4">
        <v>-21.85331683168317</v>
      </c>
      <c r="DS37" s="4">
        <v>-21.551584158415839</v>
      </c>
      <c r="DT37" s="2">
        <v>-21.416930693069304</v>
      </c>
      <c r="DU37" s="2">
        <v>-21.282277227722773</v>
      </c>
      <c r="DV37" s="2">
        <v>-21.217871287128713</v>
      </c>
      <c r="DW37" s="2">
        <v>-21.21391089108911</v>
      </c>
      <c r="DX37" s="2">
        <v>-21.210891089108912</v>
      </c>
      <c r="DY37" s="2">
        <v>-21.282178217821784</v>
      </c>
      <c r="DZ37" s="2">
        <v>-21.353465346534655</v>
      </c>
      <c r="EA37" s="2">
        <v>-21.438267326732674</v>
      </c>
      <c r="EB37" s="2">
        <v>-21.537277227722772</v>
      </c>
      <c r="EC37" s="2">
        <v>-21.636287128712873</v>
      </c>
      <c r="ED37" s="2">
        <v>-21.73529702970297</v>
      </c>
      <c r="EE37" s="2">
        <v>-21.834306930693071</v>
      </c>
      <c r="EF37" s="2">
        <v>-21.928118811881188</v>
      </c>
      <c r="EG37" s="2">
        <v>-22.015247524752475</v>
      </c>
      <c r="EH37" s="2">
        <v>-22.102376237623762</v>
      </c>
      <c r="EI37" s="2">
        <v>-22.180557620817844</v>
      </c>
      <c r="EJ37" s="2">
        <v>-22.257881040892194</v>
      </c>
      <c r="EK37" s="2">
        <v>-22.335204460966544</v>
      </c>
      <c r="EL37" s="2">
        <v>-22.412527881040891</v>
      </c>
      <c r="EM37" s="2">
        <v>-22.489851301115241</v>
      </c>
      <c r="EN37" s="2">
        <v>-22.567174721189591</v>
      </c>
      <c r="EO37" s="2">
        <v>-22.644498141263941</v>
      </c>
      <c r="EP37" s="2">
        <v>-22.721821561338292</v>
      </c>
      <c r="EQ37" s="2">
        <v>-22.799144981412638</v>
      </c>
      <c r="ER37" s="2">
        <v>-22.876468401486989</v>
      </c>
      <c r="ES37" s="2">
        <v>-22.974950495049505</v>
      </c>
      <c r="ET37" s="2">
        <v>-23.077920792079208</v>
      </c>
      <c r="EU37" s="2">
        <v>-23.184455445544554</v>
      </c>
      <c r="EV37" s="2">
        <v>-23.299306930693071</v>
      </c>
      <c r="EW37" s="2">
        <v>-23.414158415841587</v>
      </c>
      <c r="EX37" s="2">
        <v>-23.525940594059406</v>
      </c>
      <c r="EY37" s="2">
        <v>-23.636831683168317</v>
      </c>
      <c r="EZ37" s="2">
        <v>-23.748712871287129</v>
      </c>
      <c r="FA37" s="2">
        <v>-23.863564356435642</v>
      </c>
      <c r="FB37" s="2">
        <v>-23.978415841584159</v>
      </c>
      <c r="FC37" s="2">
        <v>-24.093267326732676</v>
      </c>
      <c r="FD37" s="2">
        <v>-24.208118811881189</v>
      </c>
      <c r="FE37" s="2">
        <v>-24.322178217821783</v>
      </c>
      <c r="FF37" s="2">
        <v>-24.433069306930694</v>
      </c>
      <c r="FG37" s="2">
        <v>-24.543960396039601</v>
      </c>
      <c r="FH37" s="2">
        <v>-24.654851485148512</v>
      </c>
      <c r="FI37" s="2">
        <v>-24.765742574257423</v>
      </c>
      <c r="FJ37" s="2">
        <v>-24.875445544554456</v>
      </c>
      <c r="FK37" s="2">
        <v>-24.978415841584159</v>
      </c>
      <c r="FL37" s="2">
        <v>-25.081386138613862</v>
      </c>
      <c r="FM37" s="2">
        <v>-25.179479553903345</v>
      </c>
      <c r="FN37" s="2">
        <v>-25.274646840148698</v>
      </c>
      <c r="FO37" s="2">
        <v>-25.369814126394051</v>
      </c>
      <c r="FP37" s="2">
        <v>-25.464981412639403</v>
      </c>
      <c r="FQ37" s="2">
        <v>-25.560148698884756</v>
      </c>
      <c r="FR37" s="2">
        <v>-25.655315985130109</v>
      </c>
      <c r="FS37" s="2">
        <v>-25.750483271375465</v>
      </c>
      <c r="FT37" s="2">
        <v>-25.845650557620818</v>
      </c>
      <c r="FU37" s="2">
        <v>-25.940817843866171</v>
      </c>
      <c r="FV37" s="2">
        <v>-26.035985130111523</v>
      </c>
      <c r="FW37" s="2">
        <v>-26.135346534653465</v>
      </c>
      <c r="FX37" s="2">
        <v>-26.238316831683168</v>
      </c>
      <c r="FY37" s="2">
        <v>-26.341336633663367</v>
      </c>
      <c r="FZ37" s="2">
        <v>-26.448267326732672</v>
      </c>
      <c r="GA37" s="2">
        <v>-26.555198019801981</v>
      </c>
      <c r="GB37" s="2">
        <v>-26.660198019801978</v>
      </c>
      <c r="GC37" s="2">
        <v>-26.763168316831685</v>
      </c>
      <c r="GD37" s="2">
        <v>-26.866138613861388</v>
      </c>
      <c r="GE37" s="2">
        <v>-26.96529702970297</v>
      </c>
      <c r="GF37" s="2">
        <v>-27.064306930693071</v>
      </c>
      <c r="GG37" s="2">
        <v>-27.155997521685254</v>
      </c>
      <c r="GH37" s="2">
        <v>-27.238277571251551</v>
      </c>
      <c r="GI37" s="2">
        <v>-27.320557620817844</v>
      </c>
      <c r="GJ37" s="2">
        <v>-27.402837670384137</v>
      </c>
      <c r="GK37" s="2">
        <v>-27.485117719950434</v>
      </c>
      <c r="GL37" s="2">
        <v>-27.567397769516727</v>
      </c>
      <c r="GM37" s="2">
        <v>-27.649677819083024</v>
      </c>
      <c r="GN37" s="2">
        <v>-27.731957868649317</v>
      </c>
      <c r="GO37" s="2">
        <v>-27.814237918215614</v>
      </c>
      <c r="GP37" s="2">
        <v>-27.896517967781907</v>
      </c>
      <c r="GQ37" s="2">
        <v>-27.983267326732673</v>
      </c>
      <c r="GR37" s="2">
        <v>-28.078316831683168</v>
      </c>
      <c r="GS37" s="2">
        <v>-28.173366336633666</v>
      </c>
      <c r="GT37" s="2">
        <v>-28.268415841584158</v>
      </c>
      <c r="GU37" s="2">
        <v>-28.363465346534653</v>
      </c>
      <c r="GV37" s="2">
        <v>-28.457326732673266</v>
      </c>
      <c r="GW37" s="2">
        <v>-28.548415841584159</v>
      </c>
      <c r="GX37" s="2">
        <v>-28.639504950495049</v>
      </c>
      <c r="GY37" s="2">
        <v>-28.733663366336632</v>
      </c>
      <c r="GZ37" s="2">
        <v>-28.828712871287127</v>
      </c>
      <c r="HA37" s="2"/>
      <c r="HB37" s="2"/>
      <c r="HC37" s="2"/>
      <c r="HD37" s="2"/>
      <c r="HE37" s="2"/>
    </row>
    <row r="38" spans="1:213" ht="27" thickBot="1" x14ac:dyDescent="0.35">
      <c r="A38" s="3" t="s">
        <v>23</v>
      </c>
      <c r="B38" s="32">
        <v>4.4248999999999997E-2</v>
      </c>
      <c r="C38" s="32">
        <v>4.3611999999999998E-2</v>
      </c>
      <c r="D38" s="32">
        <v>4.1993000000000003E-2</v>
      </c>
      <c r="E38" s="32">
        <v>3.9691999999999998E-2</v>
      </c>
      <c r="F38" s="32">
        <v>3.7877000000000001E-2</v>
      </c>
      <c r="G38" s="32">
        <v>3.6935999999999997E-2</v>
      </c>
      <c r="H38" s="32">
        <v>3.6459999999999999E-2</v>
      </c>
      <c r="I38" s="32">
        <v>3.5982E-2</v>
      </c>
      <c r="J38" s="32">
        <v>3.5087E-2</v>
      </c>
      <c r="K38" s="32">
        <v>2.8146999999999998E-2</v>
      </c>
      <c r="L38" s="32">
        <v>2.7380999999999999E-2</v>
      </c>
      <c r="M38" s="32">
        <v>2.7005000000000001E-2</v>
      </c>
      <c r="N38" s="32">
        <v>2.6828000000000001E-2</v>
      </c>
      <c r="O38" s="32">
        <v>2.674E-2</v>
      </c>
      <c r="P38" s="32">
        <v>2.6667E-2</v>
      </c>
      <c r="Q38" s="32">
        <v>2.6468999999999999E-2</v>
      </c>
      <c r="R38" s="32">
        <v>2.5611999999999999E-2</v>
      </c>
      <c r="S38" s="32">
        <v>2.2405999999999999E-2</v>
      </c>
      <c r="T38" s="32">
        <v>6.3489999999999998E-4</v>
      </c>
      <c r="U38" s="32">
        <v>1.8310000000000001E-4</v>
      </c>
      <c r="V38" s="32">
        <v>5.3794E-5</v>
      </c>
      <c r="W38" s="32">
        <v>1.6172E-5</v>
      </c>
      <c r="X38" s="32">
        <v>4.8161000000000004E-6</v>
      </c>
      <c r="Y38" s="32">
        <v>3.2899E-9</v>
      </c>
      <c r="Z38" s="32">
        <v>5.6190999999999998E-10</v>
      </c>
      <c r="AA38" s="32">
        <v>1.0075E-10</v>
      </c>
      <c r="AB38" s="32">
        <v>1.8944999999999999E-11</v>
      </c>
      <c r="AC38" s="32">
        <v>3.7295999999999998E-12</v>
      </c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L38" s="5">
        <f>CM36</f>
        <v>1000</v>
      </c>
      <c r="CM38" s="25">
        <v>10</v>
      </c>
      <c r="CQ38" s="8">
        <v>150.56932</v>
      </c>
      <c r="CR38" s="8">
        <v>-3.7724999999999998E-3</v>
      </c>
      <c r="CS38" s="4">
        <f t="shared" si="0"/>
        <v>423.71931999999998</v>
      </c>
      <c r="CT38" s="9">
        <f>Таблица1[[#This Row],[DSC/(mW/mg)]]</f>
        <v>-3.7724999999999998E-3</v>
      </c>
      <c r="DF38" s="18"/>
      <c r="DO38" s="3" t="s">
        <v>22</v>
      </c>
      <c r="DP38" s="4">
        <v>-61.447277227722779</v>
      </c>
      <c r="DQ38" s="4">
        <v>-60.276435643564362</v>
      </c>
      <c r="DR38" s="4">
        <v>-59.2150495049505</v>
      </c>
      <c r="DS38" s="4">
        <v>-58.17049504950495</v>
      </c>
      <c r="DT38" s="2">
        <v>-57.378415841584157</v>
      </c>
      <c r="DU38" s="2">
        <v>-56.586336633663365</v>
      </c>
      <c r="DV38" s="2">
        <v>-55.911336633663367</v>
      </c>
      <c r="DW38" s="2">
        <v>-55.337079207920794</v>
      </c>
      <c r="DX38" s="2">
        <v>-54.764801980198023</v>
      </c>
      <c r="DY38" s="2">
        <v>-54.348960396039608</v>
      </c>
      <c r="DZ38" s="2">
        <v>-53.933118811881187</v>
      </c>
      <c r="EA38" s="2">
        <v>-53.563806930693069</v>
      </c>
      <c r="EB38" s="2">
        <v>-53.243410891089113</v>
      </c>
      <c r="EC38" s="2">
        <v>-52.923014851485149</v>
      </c>
      <c r="ED38" s="2">
        <v>-52.658653465346539</v>
      </c>
      <c r="EE38" s="2">
        <v>-52.396475247524755</v>
      </c>
      <c r="EF38" s="2">
        <v>-52.159767326732677</v>
      </c>
      <c r="EG38" s="2">
        <v>-51.955806930693072</v>
      </c>
      <c r="EH38" s="2">
        <v>-51.751846534653467</v>
      </c>
      <c r="EI38" s="2">
        <v>-51.736351920693927</v>
      </c>
      <c r="EJ38" s="2">
        <v>-51.738929368029744</v>
      </c>
      <c r="EK38" s="2">
        <v>-51.741506815365554</v>
      </c>
      <c r="EL38" s="2">
        <v>-51.744084262701364</v>
      </c>
      <c r="EM38" s="2">
        <v>-51.746661710037181</v>
      </c>
      <c r="EN38" s="2">
        <v>-51.74923915737299</v>
      </c>
      <c r="EO38" s="2">
        <v>-51.7518166047088</v>
      </c>
      <c r="EP38" s="2">
        <v>-51.754394052044617</v>
      </c>
      <c r="EQ38" s="2">
        <v>-51.756971499380427</v>
      </c>
      <c r="ER38" s="2">
        <v>-51.759548946716237</v>
      </c>
      <c r="ES38" s="2">
        <v>-51.92042574257426</v>
      </c>
      <c r="ET38" s="2">
        <v>-52.114881188118808</v>
      </c>
      <c r="EU38" s="2">
        <v>-52.321574257425738</v>
      </c>
      <c r="EV38" s="2">
        <v>-52.556821782178218</v>
      </c>
      <c r="EW38" s="2">
        <v>-52.792069306930692</v>
      </c>
      <c r="EX38" s="2">
        <v>-53.027009900990095</v>
      </c>
      <c r="EY38" s="2">
        <v>-53.261861386138612</v>
      </c>
      <c r="EZ38" s="2">
        <v>-53.499683168316828</v>
      </c>
      <c r="FA38" s="2">
        <v>-53.74641584158416</v>
      </c>
      <c r="FB38" s="2">
        <v>-53.993148514851491</v>
      </c>
      <c r="FC38" s="2">
        <v>-54.241029702970302</v>
      </c>
      <c r="FD38" s="2">
        <v>-54.489346534653471</v>
      </c>
      <c r="FE38" s="2">
        <v>-54.736316831683169</v>
      </c>
      <c r="FF38" s="2">
        <v>-54.977900990099009</v>
      </c>
      <c r="FG38" s="2">
        <v>-55.219485148514849</v>
      </c>
      <c r="FH38" s="2">
        <v>-55.463742574257424</v>
      </c>
      <c r="FI38" s="2">
        <v>-55.709287128712873</v>
      </c>
      <c r="FJ38" s="2">
        <v>-55.954059405940598</v>
      </c>
      <c r="FK38" s="2">
        <v>-56.194455445544556</v>
      </c>
      <c r="FL38" s="2">
        <v>-56.434851485148521</v>
      </c>
      <c r="FM38" s="2">
        <v>-56.674690210656756</v>
      </c>
      <c r="FN38" s="2">
        <v>-56.914194547707559</v>
      </c>
      <c r="FO38" s="2">
        <v>-57.15369888475837</v>
      </c>
      <c r="FP38" s="2">
        <v>-57.393203221809173</v>
      </c>
      <c r="FQ38" s="2">
        <v>-57.632707558859977</v>
      </c>
      <c r="FR38" s="2">
        <v>-57.87221189591078</v>
      </c>
      <c r="FS38" s="2">
        <v>-58.111716232961584</v>
      </c>
      <c r="FT38" s="2">
        <v>-58.351220570012387</v>
      </c>
      <c r="FU38" s="2">
        <v>-58.590724907063191</v>
      </c>
      <c r="FV38" s="2">
        <v>-58.830229244113994</v>
      </c>
      <c r="FW38" s="2">
        <v>-59.065103960396037</v>
      </c>
      <c r="FX38" s="2">
        <v>-59.295995049504953</v>
      </c>
      <c r="FY38" s="2">
        <v>-59.526975247524753</v>
      </c>
      <c r="FZ38" s="2">
        <v>-59.764995049504954</v>
      </c>
      <c r="GA38" s="2">
        <v>-60.003014851485148</v>
      </c>
      <c r="GB38" s="2">
        <v>-60.237173267326732</v>
      </c>
      <c r="GC38" s="2">
        <v>-60.467272277227728</v>
      </c>
      <c r="GD38" s="2">
        <v>-60.697371287128718</v>
      </c>
      <c r="GE38" s="2">
        <v>-60.920227722772282</v>
      </c>
      <c r="GF38" s="2">
        <v>-61.142801980198023</v>
      </c>
      <c r="GG38" s="2">
        <v>-61.347411400247829</v>
      </c>
      <c r="GH38" s="2">
        <v>-61.528923172242877</v>
      </c>
      <c r="GI38" s="2">
        <v>-61.710434944237917</v>
      </c>
      <c r="GJ38" s="2">
        <v>-61.891946716232958</v>
      </c>
      <c r="GK38" s="2">
        <v>-62.073458488228006</v>
      </c>
      <c r="GL38" s="2">
        <v>-62.254970260223047</v>
      </c>
      <c r="GM38" s="2">
        <v>-62.436482032218088</v>
      </c>
      <c r="GN38" s="2">
        <v>-62.617993804213135</v>
      </c>
      <c r="GO38" s="2">
        <v>-62.799505576208176</v>
      </c>
      <c r="GP38" s="2">
        <v>-62.981017348203217</v>
      </c>
      <c r="GQ38" s="2">
        <v>-63.171633663366336</v>
      </c>
      <c r="GR38" s="2">
        <v>-63.379158415841587</v>
      </c>
      <c r="GS38" s="2">
        <v>-63.586683168316839</v>
      </c>
      <c r="GT38" s="2">
        <v>-63.794534653465348</v>
      </c>
      <c r="GU38" s="2">
        <v>-64.002455445544555</v>
      </c>
      <c r="GV38" s="2">
        <v>-64.207999999999998</v>
      </c>
      <c r="GW38" s="2">
        <v>-64.408000000000001</v>
      </c>
      <c r="GX38" s="2">
        <v>-64.608000000000004</v>
      </c>
      <c r="GY38" s="2">
        <v>-64.814138613861388</v>
      </c>
      <c r="GZ38" s="2">
        <v>-65.022059405940595</v>
      </c>
      <c r="HA38" s="2"/>
      <c r="HB38" s="2"/>
      <c r="HC38" s="2"/>
      <c r="HD38" s="2"/>
      <c r="HE38" s="2"/>
    </row>
    <row r="39" spans="1:213" ht="21.75" thickBot="1" x14ac:dyDescent="0.35">
      <c r="A39" s="3" t="s">
        <v>24</v>
      </c>
      <c r="B39" s="32">
        <v>0</v>
      </c>
      <c r="C39" s="32">
        <v>0</v>
      </c>
      <c r="D39" s="32">
        <v>0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32">
        <v>0</v>
      </c>
      <c r="K39" s="32">
        <v>6.6561E-27</v>
      </c>
      <c r="L39" s="32">
        <v>8.2350999999999999E-25</v>
      </c>
      <c r="M39" s="32">
        <v>7.7073000000000005E-23</v>
      </c>
      <c r="N39" s="32">
        <v>5.503E-21</v>
      </c>
      <c r="O39" s="32">
        <v>3.0452000000000001E-19</v>
      </c>
      <c r="P39" s="32">
        <v>1.33E-17</v>
      </c>
      <c r="Q39" s="32">
        <v>4.6479999999999998E-16</v>
      </c>
      <c r="R39" s="32">
        <v>1.2888E-14</v>
      </c>
      <c r="S39" s="32">
        <v>2.6198999999999998E-13</v>
      </c>
      <c r="T39" s="32">
        <v>4.2234000000000001E-10</v>
      </c>
      <c r="U39" s="32">
        <v>1.4507E-9</v>
      </c>
      <c r="V39" s="32">
        <v>4.5695999999999996E-9</v>
      </c>
      <c r="W39" s="32">
        <v>1.3325E-8</v>
      </c>
      <c r="X39" s="32">
        <v>3.4411999999999997E-8</v>
      </c>
      <c r="Y39" s="32">
        <v>4.3562000000000003E-8</v>
      </c>
      <c r="Z39" s="32">
        <v>4.3579000000000003E-8</v>
      </c>
      <c r="AA39" s="32">
        <v>4.3140000000000001E-8</v>
      </c>
      <c r="AB39" s="32">
        <v>4.2320999999999999E-8</v>
      </c>
      <c r="AC39" s="32">
        <v>4.1180000000000002E-8</v>
      </c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L39" s="2"/>
      <c r="CM39" s="2"/>
      <c r="CQ39" s="8">
        <v>152.64273</v>
      </c>
      <c r="CR39" s="8">
        <v>-4.3981999999999997E-3</v>
      </c>
      <c r="CS39" s="4">
        <f t="shared" si="0"/>
        <v>425.79273000000001</v>
      </c>
      <c r="CT39" s="9">
        <f>Таблица1[[#This Row],[DSC/(mW/mg)]]</f>
        <v>-4.3981999999999997E-3</v>
      </c>
      <c r="DO39" s="3" t="s">
        <v>23</v>
      </c>
      <c r="DP39" s="4">
        <v>-193.00064356435647</v>
      </c>
      <c r="DQ39" s="4">
        <v>-188.4734158415842</v>
      </c>
      <c r="DR39" s="4">
        <v>-184.22391089108913</v>
      </c>
      <c r="DS39" s="4">
        <v>-180.00782178217824</v>
      </c>
      <c r="DT39" s="2">
        <v>-176.29297029702971</v>
      </c>
      <c r="DU39" s="2">
        <v>-172.57811881188121</v>
      </c>
      <c r="DV39" s="2">
        <v>-169.09955445544554</v>
      </c>
      <c r="DW39" s="2">
        <v>-165.82430693069307</v>
      </c>
      <c r="DX39" s="2">
        <v>-162.55376237623761</v>
      </c>
      <c r="DY39" s="2">
        <v>-159.65475247524751</v>
      </c>
      <c r="DZ39" s="2">
        <v>-156.75574257425743</v>
      </c>
      <c r="EA39" s="2">
        <v>-154.00539603960397</v>
      </c>
      <c r="EB39" s="2">
        <v>-151.41133663366335</v>
      </c>
      <c r="EC39" s="2">
        <v>-148.81727722772277</v>
      </c>
      <c r="ED39" s="2">
        <v>-146.47480198019801</v>
      </c>
      <c r="EE39" s="2">
        <v>-144.14212871287128</v>
      </c>
      <c r="EF39" s="2">
        <v>-141.91514851485147</v>
      </c>
      <c r="EG39" s="2">
        <v>-139.8240594059406</v>
      </c>
      <c r="EH39" s="2">
        <v>-137.73297029702971</v>
      </c>
      <c r="EI39" s="2">
        <v>-136.04657992565058</v>
      </c>
      <c r="EJ39" s="2">
        <v>-134.39899628252789</v>
      </c>
      <c r="EK39" s="2">
        <v>-132.7514126394052</v>
      </c>
      <c r="EL39" s="2">
        <v>-131.10382899628254</v>
      </c>
      <c r="EM39" s="2">
        <v>-129.45624535315986</v>
      </c>
      <c r="EN39" s="2">
        <v>-127.80866171003719</v>
      </c>
      <c r="EO39" s="2">
        <v>-126.1610780669145</v>
      </c>
      <c r="EP39" s="2">
        <v>-124.51349442379183</v>
      </c>
      <c r="EQ39" s="2">
        <v>-122.86591078066914</v>
      </c>
      <c r="ER39" s="2">
        <v>-121.21832713754647</v>
      </c>
      <c r="ES39" s="2">
        <v>-119.83217821782178</v>
      </c>
      <c r="ET39" s="2">
        <v>-118.50148514851485</v>
      </c>
      <c r="EU39" s="2">
        <v>-117.20762376237623</v>
      </c>
      <c r="EV39" s="2">
        <v>-115.99970297029704</v>
      </c>
      <c r="EW39" s="2">
        <v>-114.79178217821783</v>
      </c>
      <c r="EX39" s="2">
        <v>-113.6360396039604</v>
      </c>
      <c r="EY39" s="2">
        <v>-112.49544554455444</v>
      </c>
      <c r="EZ39" s="2">
        <v>-111.37960396039603</v>
      </c>
      <c r="FA39" s="2">
        <v>-110.3380198019802</v>
      </c>
      <c r="FB39" s="2">
        <v>-109.29643564356435</v>
      </c>
      <c r="FC39" s="2">
        <v>-108.30653465346535</v>
      </c>
      <c r="FD39" s="2">
        <v>-107.33623762376237</v>
      </c>
      <c r="FE39" s="2">
        <v>-106.37940594059405</v>
      </c>
      <c r="FF39" s="2">
        <v>-105.47643564356436</v>
      </c>
      <c r="FG39" s="2">
        <v>-104.57346534653466</v>
      </c>
      <c r="FH39" s="2">
        <v>-103.71861386138615</v>
      </c>
      <c r="FI39" s="2">
        <v>-102.8869306930693</v>
      </c>
      <c r="FJ39" s="2">
        <v>-102.06950495049504</v>
      </c>
      <c r="FK39" s="2">
        <v>-101.33287128712871</v>
      </c>
      <c r="FL39" s="2">
        <v>-100.59623762376238</v>
      </c>
      <c r="FM39" s="2">
        <v>-100.11566294919454</v>
      </c>
      <c r="FN39" s="2">
        <v>-99.788723667905813</v>
      </c>
      <c r="FO39" s="2">
        <v>-99.461784386617097</v>
      </c>
      <c r="FP39" s="2">
        <v>-99.134845105328367</v>
      </c>
      <c r="FQ39" s="2">
        <v>-98.807905824039651</v>
      </c>
      <c r="FR39" s="2">
        <v>-98.48096654275092</v>
      </c>
      <c r="FS39" s="2">
        <v>-98.154027261462204</v>
      </c>
      <c r="FT39" s="2">
        <v>-97.827087980173474</v>
      </c>
      <c r="FU39" s="2">
        <v>-97.500148698884757</v>
      </c>
      <c r="FV39" s="2">
        <v>-97.173209417596027</v>
      </c>
      <c r="FW39" s="2">
        <v>-96.976445544554451</v>
      </c>
      <c r="FX39" s="2">
        <v>-96.891693069306925</v>
      </c>
      <c r="FY39" s="2">
        <v>-96.807425742574253</v>
      </c>
      <c r="FZ39" s="2">
        <v>-96.761485148514851</v>
      </c>
      <c r="GA39" s="2">
        <v>-96.715544554455434</v>
      </c>
      <c r="GB39" s="2">
        <v>-96.675396039603953</v>
      </c>
      <c r="GC39" s="2">
        <v>-96.641336633663357</v>
      </c>
      <c r="GD39" s="2">
        <v>-96.607277227722761</v>
      </c>
      <c r="GE39" s="2">
        <v>-96.605237623762378</v>
      </c>
      <c r="GF39" s="2">
        <v>-96.604445544554451</v>
      </c>
      <c r="GG39" s="2">
        <v>-96.736193308550185</v>
      </c>
      <c r="GH39" s="2">
        <v>-97.038349442379186</v>
      </c>
      <c r="GI39" s="2">
        <v>-97.340505576208173</v>
      </c>
      <c r="GJ39" s="2">
        <v>-97.642661710037174</v>
      </c>
      <c r="GK39" s="2">
        <v>-97.944817843866161</v>
      </c>
      <c r="GL39" s="2">
        <v>-98.246973977695163</v>
      </c>
      <c r="GM39" s="2">
        <v>-98.54913011152415</v>
      </c>
      <c r="GN39" s="2">
        <v>-98.851286245353151</v>
      </c>
      <c r="GO39" s="2">
        <v>-99.153442379182138</v>
      </c>
      <c r="GP39" s="2">
        <v>-99.45559851301114</v>
      </c>
      <c r="GQ39" s="2">
        <v>-99.770653465346527</v>
      </c>
      <c r="GR39" s="2">
        <v>-100.10966336633663</v>
      </c>
      <c r="GS39" s="2">
        <v>-100.44867326732674</v>
      </c>
      <c r="GT39" s="2">
        <v>-100.78637623762377</v>
      </c>
      <c r="GU39" s="2">
        <v>-101.12380198019801</v>
      </c>
      <c r="GV39" s="2">
        <v>-101.45766336633662</v>
      </c>
      <c r="GW39" s="2">
        <v>-101.78320792079208</v>
      </c>
      <c r="GX39" s="2">
        <v>-102.10875247524753</v>
      </c>
      <c r="GY39" s="2">
        <v>-102.44289108910891</v>
      </c>
      <c r="GZ39" s="2">
        <v>-102.77952475247524</v>
      </c>
      <c r="HA39" s="2"/>
      <c r="HB39" s="2"/>
      <c r="HC39" s="2"/>
      <c r="HD39" s="2"/>
      <c r="HE39" s="2"/>
    </row>
    <row r="40" spans="1:213" ht="27" thickBot="1" x14ac:dyDescent="0.35">
      <c r="A40" s="3" t="s">
        <v>33</v>
      </c>
      <c r="B40" s="32">
        <v>0</v>
      </c>
      <c r="C40" s="32">
        <v>0</v>
      </c>
      <c r="D40" s="32">
        <v>0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32">
        <v>0</v>
      </c>
      <c r="K40" s="32">
        <v>2.7964E-31</v>
      </c>
      <c r="L40" s="32">
        <v>2.5344999999999999E-29</v>
      </c>
      <c r="M40" s="32">
        <v>1.7465999999999999E-27</v>
      </c>
      <c r="N40" s="32">
        <v>9.2809999999999994E-26</v>
      </c>
      <c r="O40" s="32">
        <v>3.8725000000000001E-24</v>
      </c>
      <c r="P40" s="32">
        <v>1.2931E-22</v>
      </c>
      <c r="Q40" s="32">
        <v>3.5094999999999998E-21</v>
      </c>
      <c r="R40" s="32">
        <v>7.7528000000000002E-20</v>
      </c>
      <c r="S40" s="32">
        <v>1.3379999999999999E-18</v>
      </c>
      <c r="T40" s="32">
        <v>5.6282000000000002E-15</v>
      </c>
      <c r="U40" s="32">
        <v>2.9783000000000003E-14</v>
      </c>
      <c r="V40" s="32">
        <v>1.4412E-13</v>
      </c>
      <c r="W40" s="32">
        <v>6.4215999999999996E-13</v>
      </c>
      <c r="X40" s="32">
        <v>2.5725000000000002E-12</v>
      </c>
      <c r="Y40" s="32">
        <v>7.2448999999999997E-11</v>
      </c>
      <c r="Z40" s="32">
        <v>1.5230999999999999E-10</v>
      </c>
      <c r="AA40" s="32">
        <v>3.1018999999999999E-10</v>
      </c>
      <c r="AB40" s="32">
        <v>6.1314000000000001E-10</v>
      </c>
      <c r="AC40" s="32">
        <v>1.1785E-9</v>
      </c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  <c r="CF40" s="32"/>
      <c r="CG40" s="32"/>
      <c r="CH40" s="32"/>
      <c r="CI40" s="32"/>
      <c r="CJ40" s="32"/>
      <c r="CL40" s="52" t="s">
        <v>12</v>
      </c>
      <c r="CM40" s="53">
        <f>DE1</f>
        <v>1000</v>
      </c>
      <c r="CQ40" s="8">
        <v>154.71614</v>
      </c>
      <c r="CR40" s="8">
        <v>-4.1811000000000001E-3</v>
      </c>
      <c r="CS40" s="4">
        <f t="shared" si="0"/>
        <v>427.86613999999997</v>
      </c>
      <c r="CT40" s="9">
        <f>Таблица1[[#This Row],[DSC/(mW/mg)]]</f>
        <v>-4.1811000000000001E-3</v>
      </c>
      <c r="DF40" s="18"/>
      <c r="DO40" s="3" t="s">
        <v>24</v>
      </c>
      <c r="DP40" s="4">
        <v>-147.90529702970298</v>
      </c>
      <c r="DQ40" s="4">
        <v>-144.14103960396042</v>
      </c>
      <c r="DR40" s="4">
        <v>-140.51727722772279</v>
      </c>
      <c r="DS40" s="4">
        <v>-136.90465346534654</v>
      </c>
      <c r="DT40" s="2">
        <v>-133.4591089108911</v>
      </c>
      <c r="DU40" s="2">
        <v>-130.01356435643567</v>
      </c>
      <c r="DV40" s="2">
        <v>-126.66381188118812</v>
      </c>
      <c r="DW40" s="2">
        <v>-123.39648514851484</v>
      </c>
      <c r="DX40" s="2">
        <v>-120.13198019801978</v>
      </c>
      <c r="DY40" s="2">
        <v>-117.09039603960395</v>
      </c>
      <c r="DZ40" s="2">
        <v>-114.04881188118812</v>
      </c>
      <c r="EA40" s="2">
        <v>-111.12886138613861</v>
      </c>
      <c r="EB40" s="2">
        <v>-108.33678217821782</v>
      </c>
      <c r="EC40" s="2">
        <v>-105.54470297029704</v>
      </c>
      <c r="ED40" s="2">
        <v>-103.00420792079208</v>
      </c>
      <c r="EE40" s="2">
        <v>-100.47351485148515</v>
      </c>
      <c r="EF40" s="2">
        <v>-98.058910891089113</v>
      </c>
      <c r="EG40" s="2">
        <v>-95.793564356435638</v>
      </c>
      <c r="EH40" s="2">
        <v>-93.528217821782178</v>
      </c>
      <c r="EI40" s="2">
        <v>-91.68546468401486</v>
      </c>
      <c r="EJ40" s="2">
        <v>-89.883234200743487</v>
      </c>
      <c r="EK40" s="2">
        <v>-88.081003717472115</v>
      </c>
      <c r="EL40" s="2">
        <v>-86.278773234200742</v>
      </c>
      <c r="EM40" s="2">
        <v>-84.476542750929369</v>
      </c>
      <c r="EN40" s="2">
        <v>-82.674312267657996</v>
      </c>
      <c r="EO40" s="2">
        <v>-80.872081784386609</v>
      </c>
      <c r="EP40" s="2">
        <v>-79.069851301115236</v>
      </c>
      <c r="EQ40" s="2">
        <v>-77.267620817843863</v>
      </c>
      <c r="ER40" s="2">
        <v>-75.46539033457249</v>
      </c>
      <c r="ES40" s="2">
        <v>-73.882277227722767</v>
      </c>
      <c r="ET40" s="2">
        <v>-72.345643564356436</v>
      </c>
      <c r="EU40" s="2">
        <v>-70.838712871287129</v>
      </c>
      <c r="EV40" s="2">
        <v>-69.401089108910881</v>
      </c>
      <c r="EW40" s="2">
        <v>-67.963465346534647</v>
      </c>
      <c r="EX40" s="2">
        <v>-66.584158415841571</v>
      </c>
      <c r="EY40" s="2">
        <v>-65.221782178217808</v>
      </c>
      <c r="EZ40" s="2">
        <v>-63.882178217821775</v>
      </c>
      <c r="FA40" s="2">
        <v>-62.610891089108904</v>
      </c>
      <c r="FB40" s="2">
        <v>-61.33960396039604</v>
      </c>
      <c r="FC40" s="2">
        <v>-60.12</v>
      </c>
      <c r="FD40" s="2">
        <v>-58.919999999999995</v>
      </c>
      <c r="FE40" s="2">
        <v>-57.735049504950489</v>
      </c>
      <c r="FF40" s="2">
        <v>-56.610297029702963</v>
      </c>
      <c r="FG40" s="2">
        <v>-55.485544554455444</v>
      </c>
      <c r="FH40" s="2">
        <v>-54.408910891089107</v>
      </c>
      <c r="FI40" s="2">
        <v>-53.355445544554449</v>
      </c>
      <c r="FJ40" s="2">
        <v>-52.318613861386133</v>
      </c>
      <c r="FK40" s="2">
        <v>-51.376039603960393</v>
      </c>
      <c r="FL40" s="2">
        <v>-50.433465346534653</v>
      </c>
      <c r="FM40" s="2">
        <v>-49.756703841387854</v>
      </c>
      <c r="FN40" s="2">
        <v>-49.239429987608425</v>
      </c>
      <c r="FO40" s="2">
        <v>-48.722156133828996</v>
      </c>
      <c r="FP40" s="2">
        <v>-48.204882280049567</v>
      </c>
      <c r="FQ40" s="2">
        <v>-47.687608426270131</v>
      </c>
      <c r="FR40" s="2">
        <v>-47.170334572490702</v>
      </c>
      <c r="FS40" s="2">
        <v>-46.653060718711274</v>
      </c>
      <c r="FT40" s="2">
        <v>-46.135786864931845</v>
      </c>
      <c r="FU40" s="2">
        <v>-45.618513011152416</v>
      </c>
      <c r="FV40" s="2">
        <v>-45.101239157372987</v>
      </c>
      <c r="FW40" s="2">
        <v>-44.705752475247522</v>
      </c>
      <c r="FX40" s="2">
        <v>-44.415059405940589</v>
      </c>
      <c r="FY40" s="2">
        <v>-44.124752475247526</v>
      </c>
      <c r="FZ40" s="2">
        <v>-43.864950495049506</v>
      </c>
      <c r="GA40" s="2">
        <v>-43.605148514851479</v>
      </c>
      <c r="GB40" s="2">
        <v>-43.354999999999997</v>
      </c>
      <c r="GC40" s="2">
        <v>-43.114999999999995</v>
      </c>
      <c r="GD40" s="2">
        <v>-42.875</v>
      </c>
      <c r="GE40" s="2">
        <v>-42.674643564356437</v>
      </c>
      <c r="GF40" s="2">
        <v>-42.475831683168323</v>
      </c>
      <c r="GG40" s="2">
        <v>-42.424198265179683</v>
      </c>
      <c r="GH40" s="2">
        <v>-42.561794299876084</v>
      </c>
      <c r="GI40" s="2">
        <v>-42.699390334572492</v>
      </c>
      <c r="GJ40" s="2">
        <v>-42.836986369268899</v>
      </c>
      <c r="GK40" s="2">
        <v>-42.9745824039653</v>
      </c>
      <c r="GL40" s="2">
        <v>-43.112178438661708</v>
      </c>
      <c r="GM40" s="2">
        <v>-43.249774473358116</v>
      </c>
      <c r="GN40" s="2">
        <v>-43.387370508054516</v>
      </c>
      <c r="GO40" s="2">
        <v>-43.524966542750924</v>
      </c>
      <c r="GP40" s="2">
        <v>-43.662562577447332</v>
      </c>
      <c r="GQ40" s="2">
        <v>-43.804118811881182</v>
      </c>
      <c r="GR40" s="2">
        <v>-43.953029702970298</v>
      </c>
      <c r="GS40" s="2">
        <v>-44.101940594059407</v>
      </c>
      <c r="GT40" s="2">
        <v>-44.249544554455447</v>
      </c>
      <c r="GU40" s="2">
        <v>-44.396871287128711</v>
      </c>
      <c r="GV40" s="2">
        <v>-44.5430099009901</v>
      </c>
      <c r="GW40" s="2">
        <v>-44.686376237623762</v>
      </c>
      <c r="GX40" s="2">
        <v>-44.82974257425743</v>
      </c>
      <c r="GY40" s="2">
        <v>-44.975564356435648</v>
      </c>
      <c r="GZ40" s="2">
        <v>-45.122099009900992</v>
      </c>
      <c r="HA40" s="2"/>
      <c r="HB40" s="2"/>
      <c r="HC40" s="2"/>
      <c r="HD40" s="2"/>
      <c r="HE40" s="2"/>
    </row>
    <row r="41" spans="1:213" ht="21.75" thickBot="1" x14ac:dyDescent="0.35">
      <c r="A41" s="3" t="s">
        <v>25</v>
      </c>
      <c r="B41" s="32">
        <v>0.2</v>
      </c>
      <c r="C41" s="32">
        <v>0.2</v>
      </c>
      <c r="D41" s="32">
        <v>0.2</v>
      </c>
      <c r="E41" s="32">
        <v>0.2</v>
      </c>
      <c r="F41" s="32">
        <v>0.2</v>
      </c>
      <c r="G41" s="32">
        <v>0.2</v>
      </c>
      <c r="H41" s="32">
        <v>0.2</v>
      </c>
      <c r="I41" s="32">
        <v>0.2</v>
      </c>
      <c r="J41" s="32">
        <v>0.2</v>
      </c>
      <c r="K41" s="32">
        <v>0.2</v>
      </c>
      <c r="L41" s="32">
        <v>0.2</v>
      </c>
      <c r="M41" s="32">
        <v>0.2</v>
      </c>
      <c r="N41" s="32">
        <v>0.2</v>
      </c>
      <c r="O41" s="32">
        <v>0.2</v>
      </c>
      <c r="P41" s="32">
        <v>0.2</v>
      </c>
      <c r="Q41" s="32">
        <v>0.2</v>
      </c>
      <c r="R41" s="32">
        <v>0.2</v>
      </c>
      <c r="S41" s="32">
        <v>0.2</v>
      </c>
      <c r="T41" s="32">
        <v>0.2</v>
      </c>
      <c r="U41" s="32">
        <v>0.2</v>
      </c>
      <c r="V41" s="32">
        <v>0.2</v>
      </c>
      <c r="W41" s="32">
        <v>0.2</v>
      </c>
      <c r="X41" s="32">
        <v>0.2</v>
      </c>
      <c r="Y41" s="32">
        <v>0.2</v>
      </c>
      <c r="Z41" s="32">
        <v>0.2</v>
      </c>
      <c r="AA41" s="32">
        <v>0.2</v>
      </c>
      <c r="AB41" s="32">
        <v>0.2</v>
      </c>
      <c r="AC41" s="32">
        <v>0.2</v>
      </c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L41" s="6">
        <f>CM40</f>
        <v>1000</v>
      </c>
      <c r="CM41" s="25">
        <f>MIN($A$3:$CJ$63)*100</f>
        <v>-6636</v>
      </c>
      <c r="CQ41" s="8">
        <v>156.78954999999999</v>
      </c>
      <c r="CR41" s="8">
        <v>-4.1352000000000003E-3</v>
      </c>
      <c r="CS41" s="4">
        <f t="shared" si="0"/>
        <v>429.93954999999994</v>
      </c>
      <c r="CT41" s="9">
        <f>Таблица1[[#This Row],[DSC/(mW/mg)]]</f>
        <v>-4.1352000000000003E-3</v>
      </c>
      <c r="DO41" s="3" t="s">
        <v>33</v>
      </c>
      <c r="DP41" s="4">
        <v>-62.678811881188125</v>
      </c>
      <c r="DQ41" s="4">
        <v>-60.98742574257426</v>
      </c>
      <c r="DR41" s="4">
        <v>-59.331980198019806</v>
      </c>
      <c r="DS41" s="4">
        <v>-57.676534653465346</v>
      </c>
      <c r="DT41" s="2">
        <v>-56.021089108910893</v>
      </c>
      <c r="DU41" s="2">
        <v>-54.365643564356432</v>
      </c>
      <c r="DV41" s="2">
        <v>-52.722970297029704</v>
      </c>
      <c r="DW41" s="2">
        <v>-51.091287128712864</v>
      </c>
      <c r="DX41" s="2">
        <v>-49.460544554455439</v>
      </c>
      <c r="DY41" s="2">
        <v>-47.904108910891082</v>
      </c>
      <c r="DZ41" s="2">
        <v>-46.347673267326734</v>
      </c>
      <c r="EA41" s="2">
        <v>-44.845297029702969</v>
      </c>
      <c r="EB41" s="2">
        <v>-43.399752475247524</v>
      </c>
      <c r="EC41" s="2">
        <v>-41.954207920792079</v>
      </c>
      <c r="ED41" s="2">
        <v>-40.634455445544553</v>
      </c>
      <c r="EE41" s="2">
        <v>-39.319603960396037</v>
      </c>
      <c r="EF41" s="2">
        <v>-38.065396039603961</v>
      </c>
      <c r="EG41" s="2">
        <v>-36.889158415841585</v>
      </c>
      <c r="EH41" s="2">
        <v>-35.712920792079203</v>
      </c>
      <c r="EI41" s="2">
        <v>-34.752453531598512</v>
      </c>
      <c r="EJ41" s="2">
        <v>-33.81267657992565</v>
      </c>
      <c r="EK41" s="2">
        <v>-32.872899628252789</v>
      </c>
      <c r="EL41" s="2">
        <v>-31.933122676579924</v>
      </c>
      <c r="EM41" s="2">
        <v>-30.993345724907059</v>
      </c>
      <c r="EN41" s="2">
        <v>-30.053568773234197</v>
      </c>
      <c r="EO41" s="2">
        <v>-29.113791821561335</v>
      </c>
      <c r="EP41" s="2">
        <v>-28.174014869888474</v>
      </c>
      <c r="EQ41" s="2">
        <v>-27.234237918215609</v>
      </c>
      <c r="ER41" s="2">
        <v>-26.294460966542747</v>
      </c>
      <c r="ES41" s="2">
        <v>-25.453663366336631</v>
      </c>
      <c r="ET41" s="2">
        <v>-24.633861386138612</v>
      </c>
      <c r="EU41" s="2">
        <v>-23.827128712871289</v>
      </c>
      <c r="EV41" s="2">
        <v>-23.050891089108909</v>
      </c>
      <c r="EW41" s="2">
        <v>-22.274653465346532</v>
      </c>
      <c r="EX41" s="2">
        <v>-21.529108910891086</v>
      </c>
      <c r="EY41" s="2">
        <v>-20.792475247524749</v>
      </c>
      <c r="EZ41" s="2">
        <v>-20.066732673267325</v>
      </c>
      <c r="FA41" s="2">
        <v>-19.373663366336633</v>
      </c>
      <c r="FB41" s="2">
        <v>-18.680594059405941</v>
      </c>
      <c r="FC41" s="2">
        <v>-18.013366336633663</v>
      </c>
      <c r="FD41" s="2">
        <v>-17.355940594059405</v>
      </c>
      <c r="FE41" s="2">
        <v>-16.706435643564355</v>
      </c>
      <c r="FF41" s="2">
        <v>-16.088613861386136</v>
      </c>
      <c r="FG41" s="2">
        <v>-15.470792079207921</v>
      </c>
      <c r="FH41" s="2">
        <v>-14.877029702970297</v>
      </c>
      <c r="FI41" s="2">
        <v>-14.294851485148513</v>
      </c>
      <c r="FJ41" s="2">
        <v>-13.721584158415839</v>
      </c>
      <c r="FK41" s="2">
        <v>-13.198811881188117</v>
      </c>
      <c r="FL41" s="2">
        <v>-12.676039603960396</v>
      </c>
      <c r="FM41" s="2">
        <v>-12.288612143742256</v>
      </c>
      <c r="FN41" s="2">
        <v>-11.982391573729863</v>
      </c>
      <c r="FO41" s="2">
        <v>-11.676171003717473</v>
      </c>
      <c r="FP41" s="2">
        <v>-11.369950433705082</v>
      </c>
      <c r="FQ41" s="2">
        <v>-11.063729863692689</v>
      </c>
      <c r="FR41" s="2">
        <v>-10.757509293680299</v>
      </c>
      <c r="FS41" s="2">
        <v>-10.451288723667908</v>
      </c>
      <c r="FT41" s="2">
        <v>-10.145068153655515</v>
      </c>
      <c r="FU41" s="2">
        <v>-9.8388475836431244</v>
      </c>
      <c r="FV41" s="2">
        <v>-9.5326270136307336</v>
      </c>
      <c r="FW41" s="2">
        <v>-9.2852029702970302</v>
      </c>
      <c r="FX41" s="2">
        <v>-9.0883712871287123</v>
      </c>
      <c r="FY41" s="2">
        <v>-8.8917079207920793</v>
      </c>
      <c r="FZ41" s="2">
        <v>-8.7083415841584149</v>
      </c>
      <c r="GA41" s="2">
        <v>-8.5249752475247522</v>
      </c>
      <c r="GB41" s="2">
        <v>-8.3474009900990094</v>
      </c>
      <c r="GC41" s="2">
        <v>-8.1759158415841586</v>
      </c>
      <c r="GD41" s="2">
        <v>-8.0044306930693061</v>
      </c>
      <c r="GE41" s="2">
        <v>-7.8546732673267323</v>
      </c>
      <c r="GF41" s="2">
        <v>-7.7057623762376233</v>
      </c>
      <c r="GG41" s="2">
        <v>-7.6341003717472118</v>
      </c>
      <c r="GH41" s="2">
        <v>-7.6617583643122673</v>
      </c>
      <c r="GI41" s="2">
        <v>-7.6894163568773228</v>
      </c>
      <c r="GJ41" s="2">
        <v>-7.7170743494423792</v>
      </c>
      <c r="GK41" s="2">
        <v>-7.7447323420074348</v>
      </c>
      <c r="GL41" s="2">
        <v>-7.7723903345724903</v>
      </c>
      <c r="GM41" s="2">
        <v>-7.8000483271375458</v>
      </c>
      <c r="GN41" s="2">
        <v>-7.8277063197026022</v>
      </c>
      <c r="GO41" s="2">
        <v>-7.8553643122676577</v>
      </c>
      <c r="GP41" s="2">
        <v>-7.8830223048327133</v>
      </c>
      <c r="GQ41" s="2">
        <v>-7.9104257425742572</v>
      </c>
      <c r="GR41" s="2">
        <v>-7.9373564356435642</v>
      </c>
      <c r="GS41" s="2">
        <v>-7.964287128712872</v>
      </c>
      <c r="GT41" s="2">
        <v>-7.9905643564356437</v>
      </c>
      <c r="GU41" s="2">
        <v>-8.0167029702970307</v>
      </c>
      <c r="GV41" s="2">
        <v>-8.0428415841584169</v>
      </c>
      <c r="GW41" s="2">
        <v>-8.068980198019803</v>
      </c>
      <c r="GX41" s="2">
        <v>-8.0951188118811892</v>
      </c>
      <c r="GY41" s="2">
        <v>-8.1209504950495059</v>
      </c>
      <c r="GZ41" s="2">
        <v>-8.1466930693069308</v>
      </c>
      <c r="HA41" s="2"/>
      <c r="HB41" s="2"/>
      <c r="HC41" s="2"/>
      <c r="HD41" s="2"/>
      <c r="HE41" s="2"/>
    </row>
    <row r="42" spans="1:213" ht="27" thickBot="1" x14ac:dyDescent="0.35">
      <c r="A42" s="3" t="s">
        <v>34</v>
      </c>
      <c r="B42" s="32">
        <v>7.8411999999999996E-2</v>
      </c>
      <c r="C42" s="32">
        <v>7.3134000000000005E-2</v>
      </c>
      <c r="D42" s="32">
        <v>5.8986999999999998E-2</v>
      </c>
      <c r="E42" s="32">
        <v>3.6919E-2</v>
      </c>
      <c r="F42" s="32">
        <v>1.7676999999999998E-2</v>
      </c>
      <c r="G42" s="32">
        <v>7.2598999999999997E-3</v>
      </c>
      <c r="H42" s="32">
        <v>2.8917999999999999E-3</v>
      </c>
      <c r="I42" s="32">
        <v>1.1887E-3</v>
      </c>
      <c r="J42" s="32">
        <v>5.1097000000000002E-4</v>
      </c>
      <c r="K42" s="32">
        <v>9.0981000000000002E-6</v>
      </c>
      <c r="L42" s="32">
        <v>2.4572E-6</v>
      </c>
      <c r="M42" s="32">
        <v>6.5054999999999996E-7</v>
      </c>
      <c r="N42" s="32">
        <v>1.7638E-7</v>
      </c>
      <c r="O42" s="32">
        <v>4.9921000000000001E-8</v>
      </c>
      <c r="P42" s="32">
        <v>1.4844E-8</v>
      </c>
      <c r="Q42" s="32">
        <v>4.6448000000000003E-9</v>
      </c>
      <c r="R42" s="32">
        <v>1.5360000000000001E-9</v>
      </c>
      <c r="S42" s="32">
        <v>5.4651999999999999E-10</v>
      </c>
      <c r="T42" s="32">
        <v>1.4317E-11</v>
      </c>
      <c r="U42" s="32">
        <v>5.8701999999999998E-12</v>
      </c>
      <c r="V42" s="32">
        <v>2.4643999999999999E-12</v>
      </c>
      <c r="W42" s="32">
        <v>1.0603E-12</v>
      </c>
      <c r="X42" s="32">
        <v>4.7526999999999995E-13</v>
      </c>
      <c r="Y42" s="32">
        <v>3.0937000000000002E-14</v>
      </c>
      <c r="Z42" s="32">
        <v>1.5379E-14</v>
      </c>
      <c r="AA42" s="32">
        <v>7.7425999999999992E-15</v>
      </c>
      <c r="AB42" s="32">
        <v>3.9498999999999998E-15</v>
      </c>
      <c r="AC42" s="32">
        <v>2.0417E-15</v>
      </c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  <c r="CF42" s="32"/>
      <c r="CG42" s="32"/>
      <c r="CH42" s="32"/>
      <c r="CI42" s="32"/>
      <c r="CJ42" s="32"/>
      <c r="CL42" s="5">
        <f>CM40</f>
        <v>1000</v>
      </c>
      <c r="CM42" s="25">
        <v>10</v>
      </c>
      <c r="CQ42" s="8">
        <v>158.86295999999999</v>
      </c>
      <c r="CR42" s="8">
        <v>-4.0423000000000004E-3</v>
      </c>
      <c r="CS42" s="4">
        <f t="shared" si="0"/>
        <v>432.01295999999996</v>
      </c>
      <c r="CT42" s="9">
        <f>Таблица1[[#This Row],[DSC/(mW/mg)]]</f>
        <v>-4.0423000000000004E-3</v>
      </c>
      <c r="DF42" s="19"/>
      <c r="DO42" s="3" t="s">
        <v>25</v>
      </c>
      <c r="DP42" s="4">
        <v>-18.811633663366337</v>
      </c>
      <c r="DQ42" s="4">
        <v>-18.807673267326731</v>
      </c>
      <c r="DR42" s="4">
        <v>-18.803712871287129</v>
      </c>
      <c r="DS42" s="4">
        <v>-18.800247524752475</v>
      </c>
      <c r="DT42" s="2">
        <v>-18.804207920792081</v>
      </c>
      <c r="DU42" s="2">
        <v>-18.808168316831683</v>
      </c>
      <c r="DV42" s="2">
        <v>-18.812128712871285</v>
      </c>
      <c r="DW42" s="2">
        <v>-18.816089108910891</v>
      </c>
      <c r="DX42" s="2">
        <v>-18.820099009900989</v>
      </c>
      <c r="DY42" s="2">
        <v>-18.828019801980197</v>
      </c>
      <c r="DZ42" s="2">
        <v>-18.835940594059405</v>
      </c>
      <c r="EA42" s="2">
        <v>-18.845792079207921</v>
      </c>
      <c r="EB42" s="2">
        <v>-18.857673267326732</v>
      </c>
      <c r="EC42" s="2">
        <v>-18.869554455445545</v>
      </c>
      <c r="ED42" s="2">
        <v>-18.881435643564355</v>
      </c>
      <c r="EE42" s="2">
        <v>-18.893316831683169</v>
      </c>
      <c r="EF42" s="2">
        <v>-18.905198019801979</v>
      </c>
      <c r="EG42" s="2">
        <v>-18.917079207920793</v>
      </c>
      <c r="EH42" s="2">
        <v>-18.928960396039603</v>
      </c>
      <c r="EI42" s="2">
        <v>-18.941759603469642</v>
      </c>
      <c r="EJ42" s="2">
        <v>-18.954646840148698</v>
      </c>
      <c r="EK42" s="2">
        <v>-18.967534076827757</v>
      </c>
      <c r="EL42" s="2">
        <v>-18.980421313506813</v>
      </c>
      <c r="EM42" s="2">
        <v>-18.993308550185873</v>
      </c>
      <c r="EN42" s="2">
        <v>-19.006195786864932</v>
      </c>
      <c r="EO42" s="2">
        <v>-19.019083023543988</v>
      </c>
      <c r="EP42" s="2">
        <v>-19.031970260223048</v>
      </c>
      <c r="EQ42" s="2">
        <v>-19.044857496902104</v>
      </c>
      <c r="ER42" s="2">
        <v>-19.057744733581163</v>
      </c>
      <c r="ES42" s="2">
        <v>-19.073069306930691</v>
      </c>
      <c r="ET42" s="2">
        <v>-19.08891089108911</v>
      </c>
      <c r="EU42" s="2">
        <v>-19.104752475247526</v>
      </c>
      <c r="EV42" s="2">
        <v>-19.120594059405942</v>
      </c>
      <c r="EW42" s="2">
        <v>-19.136435643564358</v>
      </c>
      <c r="EX42" s="2">
        <v>-19.152277227722774</v>
      </c>
      <c r="EY42" s="2">
        <v>-19.16811881188119</v>
      </c>
      <c r="EZ42" s="2">
        <v>-19.183960396039602</v>
      </c>
      <c r="FA42" s="2">
        <v>-19.199801980198018</v>
      </c>
      <c r="FB42" s="2">
        <v>-19.215643564356434</v>
      </c>
      <c r="FC42" s="2">
        <v>-19.231485148514849</v>
      </c>
      <c r="FD42" s="2">
        <v>-19.247326732673269</v>
      </c>
      <c r="FE42" s="2">
        <v>-19.263168316831685</v>
      </c>
      <c r="FF42" s="2">
        <v>-19.279009900990101</v>
      </c>
      <c r="FG42" s="2">
        <v>-19.294851485148516</v>
      </c>
      <c r="FH42" s="2">
        <v>-19.310693069306932</v>
      </c>
      <c r="FI42" s="2">
        <v>-19.326534653465348</v>
      </c>
      <c r="FJ42" s="2">
        <v>-19.341782178217823</v>
      </c>
      <c r="FK42" s="2">
        <v>-19.353663366336633</v>
      </c>
      <c r="FL42" s="2">
        <v>-19.365544554455447</v>
      </c>
      <c r="FM42" s="2">
        <v>-19.373717472118962</v>
      </c>
      <c r="FN42" s="2">
        <v>-19.379665427509295</v>
      </c>
      <c r="FO42" s="2">
        <v>-19.385613382899628</v>
      </c>
      <c r="FP42" s="2">
        <v>-19.391561338289964</v>
      </c>
      <c r="FQ42" s="2">
        <v>-19.397509293680297</v>
      </c>
      <c r="FR42" s="2">
        <v>-19.403457249070634</v>
      </c>
      <c r="FS42" s="2">
        <v>-19.409405204460967</v>
      </c>
      <c r="FT42" s="2">
        <v>-19.4153531598513</v>
      </c>
      <c r="FU42" s="2">
        <v>-19.421301115241636</v>
      </c>
      <c r="FV42" s="2">
        <v>-19.427249070631969</v>
      </c>
      <c r="FW42" s="2">
        <v>-19.438514851485149</v>
      </c>
      <c r="FX42" s="2">
        <v>-19.454356435643565</v>
      </c>
      <c r="FY42" s="2">
        <v>-19.47019801980198</v>
      </c>
      <c r="FZ42" s="2">
        <v>-19.486039603960396</v>
      </c>
      <c r="GA42" s="2">
        <v>-19.501881188118812</v>
      </c>
      <c r="GB42" s="2">
        <v>-19.517722772277228</v>
      </c>
      <c r="GC42" s="2">
        <v>-19.533564356435644</v>
      </c>
      <c r="GD42" s="2">
        <v>-19.54940594059406</v>
      </c>
      <c r="GE42" s="2">
        <v>-19.565247524752476</v>
      </c>
      <c r="GF42" s="2">
        <v>-19.581089108910891</v>
      </c>
      <c r="GG42" s="2">
        <v>-19.596505576208177</v>
      </c>
      <c r="GH42" s="2">
        <v>-19.611375464684013</v>
      </c>
      <c r="GI42" s="2">
        <v>-19.626245353159852</v>
      </c>
      <c r="GJ42" s="2">
        <v>-19.641115241635688</v>
      </c>
      <c r="GK42" s="2">
        <v>-19.655985130111524</v>
      </c>
      <c r="GL42" s="2">
        <v>-19.670855018587361</v>
      </c>
      <c r="GM42" s="2">
        <v>-19.685724907063197</v>
      </c>
      <c r="GN42" s="2">
        <v>-19.700594795539033</v>
      </c>
      <c r="GO42" s="2">
        <v>-19.715464684014869</v>
      </c>
      <c r="GP42" s="2">
        <v>-19.730334572490705</v>
      </c>
      <c r="GQ42" s="2">
        <v>-19.744158415841582</v>
      </c>
      <c r="GR42" s="2">
        <v>-19.756039603960396</v>
      </c>
      <c r="GS42" s="2">
        <v>-19.767920792079206</v>
      </c>
      <c r="GT42" s="2">
        <v>-19.783069306930692</v>
      </c>
      <c r="GU42" s="2">
        <v>-19.798910891089108</v>
      </c>
      <c r="GV42" s="2">
        <v>-19.814752475247523</v>
      </c>
      <c r="GW42" s="2">
        <v>-19.830594059405939</v>
      </c>
      <c r="GX42" s="2">
        <v>-19.846435643564359</v>
      </c>
      <c r="GY42" s="2">
        <v>-19.85920792079208</v>
      </c>
      <c r="GZ42" s="2">
        <v>-19.871089108910891</v>
      </c>
      <c r="HA42" s="2"/>
      <c r="HB42" s="2"/>
      <c r="HC42" s="2"/>
      <c r="HD42" s="2"/>
      <c r="HE42" s="2"/>
    </row>
    <row r="43" spans="1:213" ht="21.75" thickBot="1" x14ac:dyDescent="0.35">
      <c r="A43" s="3" t="s">
        <v>35</v>
      </c>
      <c r="B43" s="32">
        <v>8.1587000000000007E-2</v>
      </c>
      <c r="C43" s="32">
        <v>8.6863999999999997E-2</v>
      </c>
      <c r="D43" s="32">
        <v>0.10101</v>
      </c>
      <c r="E43" s="32">
        <v>0.12306</v>
      </c>
      <c r="F43" s="32">
        <v>0.14222000000000001</v>
      </c>
      <c r="G43" s="32">
        <v>0.15229999999999999</v>
      </c>
      <c r="H43" s="32">
        <v>0.15537999999999999</v>
      </c>
      <c r="I43" s="32">
        <v>0.15296000000000001</v>
      </c>
      <c r="J43" s="32">
        <v>0.14297000000000001</v>
      </c>
      <c r="K43" s="32">
        <v>3.1546999999999999E-2</v>
      </c>
      <c r="L43" s="32">
        <v>1.5650000000000001E-2</v>
      </c>
      <c r="M43" s="32">
        <v>7.5123999999999998E-3</v>
      </c>
      <c r="N43" s="32">
        <v>3.6213999999999999E-3</v>
      </c>
      <c r="O43" s="32">
        <v>1.7830999999999999E-3</v>
      </c>
      <c r="P43" s="32">
        <v>9.0233000000000002E-4</v>
      </c>
      <c r="Q43" s="32">
        <v>4.7019E-4</v>
      </c>
      <c r="R43" s="32">
        <v>2.5291000000000002E-4</v>
      </c>
      <c r="S43" s="32">
        <v>1.4166E-4</v>
      </c>
      <c r="T43" s="32">
        <v>1.8465E-5</v>
      </c>
      <c r="U43" s="32">
        <v>1.1285E-5</v>
      </c>
      <c r="V43" s="32">
        <v>6.9963999999999996E-6</v>
      </c>
      <c r="W43" s="32">
        <v>4.4017999999999999E-6</v>
      </c>
      <c r="X43" s="32">
        <v>2.8312999999999999E-6</v>
      </c>
      <c r="Y43" s="32">
        <v>6.1798000000000003E-7</v>
      </c>
      <c r="Z43" s="32">
        <v>4.2137000000000002E-7</v>
      </c>
      <c r="AA43" s="32">
        <v>2.8955E-7</v>
      </c>
      <c r="AB43" s="32">
        <v>2.0053999999999999E-7</v>
      </c>
      <c r="AC43" s="32">
        <v>1.3997E-7</v>
      </c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Q43" s="8">
        <v>160.93637000000001</v>
      </c>
      <c r="CR43" s="8">
        <v>-4.1993999999999998E-3</v>
      </c>
      <c r="CS43" s="4">
        <f t="shared" si="0"/>
        <v>434.08636999999999</v>
      </c>
      <c r="CT43" s="9">
        <f>Таблица1[[#This Row],[DSC/(mW/mg)]]</f>
        <v>-4.1993999999999998E-3</v>
      </c>
      <c r="DO43" s="3" t="s">
        <v>34</v>
      </c>
      <c r="DP43" s="4">
        <v>-61.447277227722779</v>
      </c>
      <c r="DQ43" s="4">
        <v>-60.276435643564362</v>
      </c>
      <c r="DR43" s="4">
        <v>-59.2150495049505</v>
      </c>
      <c r="DS43" s="4">
        <v>-58.17049504950495</v>
      </c>
      <c r="DT43" s="2">
        <v>-57.378415841584157</v>
      </c>
      <c r="DU43" s="2">
        <v>-56.586336633663365</v>
      </c>
      <c r="DV43" s="2">
        <v>-55.911336633663367</v>
      </c>
      <c r="DW43" s="2">
        <v>-55.337079207920794</v>
      </c>
      <c r="DX43" s="2">
        <v>-54.764801980198023</v>
      </c>
      <c r="DY43" s="2">
        <v>-54.348960396039608</v>
      </c>
      <c r="DZ43" s="2">
        <v>-53.933118811881187</v>
      </c>
      <c r="EA43" s="2">
        <v>-53.563806930693069</v>
      </c>
      <c r="EB43" s="2">
        <v>-53.243410891089113</v>
      </c>
      <c r="EC43" s="2">
        <v>-52.923014851485149</v>
      </c>
      <c r="ED43" s="2">
        <v>-52.658653465346539</v>
      </c>
      <c r="EE43" s="2">
        <v>-52.396475247524755</v>
      </c>
      <c r="EF43" s="2">
        <v>-52.159767326732677</v>
      </c>
      <c r="EG43" s="2">
        <v>-51.955806930693072</v>
      </c>
      <c r="EH43" s="2">
        <v>-51.751846534653467</v>
      </c>
      <c r="EI43" s="2">
        <v>-51.736351920693927</v>
      </c>
      <c r="EJ43" s="2">
        <v>-51.738929368029744</v>
      </c>
      <c r="EK43" s="2">
        <v>-51.741506815365554</v>
      </c>
      <c r="EL43" s="2">
        <v>-51.744084262701364</v>
      </c>
      <c r="EM43" s="2">
        <v>-51.746661710037181</v>
      </c>
      <c r="EN43" s="2">
        <v>-51.74923915737299</v>
      </c>
      <c r="EO43" s="2">
        <v>-51.7518166047088</v>
      </c>
      <c r="EP43" s="2">
        <v>-51.754394052044617</v>
      </c>
      <c r="EQ43" s="2">
        <v>-51.756971499380427</v>
      </c>
      <c r="ER43" s="2">
        <v>-51.759548946716237</v>
      </c>
      <c r="ES43" s="2">
        <v>-51.92042574257426</v>
      </c>
      <c r="ET43" s="2">
        <v>-52.114881188118808</v>
      </c>
      <c r="EU43" s="2">
        <v>-52.321574257425738</v>
      </c>
      <c r="EV43" s="2">
        <v>-52.556821782178218</v>
      </c>
      <c r="EW43" s="2">
        <v>-52.792069306930692</v>
      </c>
      <c r="EX43" s="2">
        <v>-53.027009900990095</v>
      </c>
      <c r="EY43" s="2">
        <v>-53.261861386138612</v>
      </c>
      <c r="EZ43" s="2">
        <v>-53.499683168316828</v>
      </c>
      <c r="FA43" s="2">
        <v>-53.74641584158416</v>
      </c>
      <c r="FB43" s="2">
        <v>-53.993148514851491</v>
      </c>
      <c r="FC43" s="2">
        <v>-54.241029702970302</v>
      </c>
      <c r="FD43" s="2">
        <v>-54.489346534653471</v>
      </c>
      <c r="FE43" s="2">
        <v>-54.736316831683169</v>
      </c>
      <c r="FF43" s="2">
        <v>-54.977900990099009</v>
      </c>
      <c r="FG43" s="2">
        <v>-55.219485148514849</v>
      </c>
      <c r="FH43" s="2">
        <v>-55.463742574257424</v>
      </c>
      <c r="FI43" s="2">
        <v>-55.709287128712873</v>
      </c>
      <c r="FJ43" s="2">
        <v>-55.954059405940598</v>
      </c>
      <c r="FK43" s="2">
        <v>-56.194455445544556</v>
      </c>
      <c r="FL43" s="2">
        <v>-56.434851485148521</v>
      </c>
      <c r="FM43" s="2">
        <v>-56.674690210656756</v>
      </c>
      <c r="FN43" s="2">
        <v>-56.914194547707559</v>
      </c>
      <c r="FO43" s="2">
        <v>-57.15369888475837</v>
      </c>
      <c r="FP43" s="2">
        <v>-57.393203221809173</v>
      </c>
      <c r="FQ43" s="2">
        <v>-57.632707558859977</v>
      </c>
      <c r="FR43" s="2">
        <v>-57.87221189591078</v>
      </c>
      <c r="FS43" s="2">
        <v>-58.111716232961584</v>
      </c>
      <c r="FT43" s="2">
        <v>-58.351220570012387</v>
      </c>
      <c r="FU43" s="2">
        <v>-58.590724907063191</v>
      </c>
      <c r="FV43" s="2">
        <v>-58.830229244113994</v>
      </c>
      <c r="FW43" s="2">
        <v>-59.065103960396037</v>
      </c>
      <c r="FX43" s="2">
        <v>-59.295995049504953</v>
      </c>
      <c r="FY43" s="2">
        <v>-59.526975247524753</v>
      </c>
      <c r="FZ43" s="2">
        <v>-59.764995049504954</v>
      </c>
      <c r="GA43" s="2">
        <v>-60.003014851485148</v>
      </c>
      <c r="GB43" s="2">
        <v>-60.237173267326732</v>
      </c>
      <c r="GC43" s="2">
        <v>-60.467272277227728</v>
      </c>
      <c r="GD43" s="2">
        <v>-60.697371287128718</v>
      </c>
      <c r="GE43" s="2">
        <v>-60.920227722772282</v>
      </c>
      <c r="GF43" s="2">
        <v>-61.142801980198023</v>
      </c>
      <c r="GG43" s="2">
        <v>-61.347411400247829</v>
      </c>
      <c r="GH43" s="2">
        <v>-61.528923172242877</v>
      </c>
      <c r="GI43" s="2">
        <v>-61.710434944237917</v>
      </c>
      <c r="GJ43" s="2">
        <v>-61.891946716232958</v>
      </c>
      <c r="GK43" s="2">
        <v>-62.073458488228006</v>
      </c>
      <c r="GL43" s="2">
        <v>-62.254970260223047</v>
      </c>
      <c r="GM43" s="2">
        <v>-62.436482032218088</v>
      </c>
      <c r="GN43" s="2">
        <v>-62.617993804213135</v>
      </c>
      <c r="GO43" s="2">
        <v>-62.799505576208176</v>
      </c>
      <c r="GP43" s="2">
        <v>-62.981017348203217</v>
      </c>
      <c r="GQ43" s="2">
        <v>-63.171633663366336</v>
      </c>
      <c r="GR43" s="2">
        <v>-63.379158415841587</v>
      </c>
      <c r="GS43" s="2">
        <v>-63.586683168316839</v>
      </c>
      <c r="GT43" s="2">
        <v>-63.794534653465348</v>
      </c>
      <c r="GU43" s="2">
        <v>-64.002455445544555</v>
      </c>
      <c r="GV43" s="2">
        <v>-64.207999999999998</v>
      </c>
      <c r="GW43" s="2">
        <v>-64.408000000000001</v>
      </c>
      <c r="GX43" s="2">
        <v>-64.608000000000004</v>
      </c>
      <c r="GY43" s="2">
        <v>-64.814138613861388</v>
      </c>
      <c r="GZ43" s="2">
        <v>-65.022059405940595</v>
      </c>
      <c r="HA43" s="2"/>
      <c r="HB43" s="2"/>
      <c r="HC43" s="2"/>
      <c r="HD43" s="2"/>
      <c r="HE43" s="2"/>
    </row>
    <row r="44" spans="1:213" ht="21.75" thickBot="1" x14ac:dyDescent="0.35">
      <c r="A44" s="3" t="s">
        <v>36</v>
      </c>
      <c r="B44" s="32">
        <v>3.5750999999999998E-2</v>
      </c>
      <c r="C44" s="32">
        <v>3.6387000000000003E-2</v>
      </c>
      <c r="D44" s="32">
        <v>3.8006999999999999E-2</v>
      </c>
      <c r="E44" s="32">
        <v>4.0307999999999997E-2</v>
      </c>
      <c r="F44" s="32">
        <v>4.2123000000000001E-2</v>
      </c>
      <c r="G44" s="32">
        <v>4.3063999999999998E-2</v>
      </c>
      <c r="H44" s="32">
        <v>4.3540000000000002E-2</v>
      </c>
      <c r="I44" s="32">
        <v>4.4018000000000002E-2</v>
      </c>
      <c r="J44" s="32">
        <v>4.4913000000000002E-2</v>
      </c>
      <c r="K44" s="32">
        <v>5.1853000000000003E-2</v>
      </c>
      <c r="L44" s="32">
        <v>5.2618999999999999E-2</v>
      </c>
      <c r="M44" s="32">
        <v>5.2995E-2</v>
      </c>
      <c r="N44" s="32">
        <v>5.3170000000000002E-2</v>
      </c>
      <c r="O44" s="32">
        <v>5.3247000000000003E-2</v>
      </c>
      <c r="P44" s="32">
        <v>5.3247999999999997E-2</v>
      </c>
      <c r="Q44" s="32">
        <v>5.3064E-2</v>
      </c>
      <c r="R44" s="32">
        <v>5.2088000000000002E-2</v>
      </c>
      <c r="S44" s="32">
        <v>4.8049000000000001E-2</v>
      </c>
      <c r="T44" s="32">
        <v>2.0374E-3</v>
      </c>
      <c r="U44" s="32">
        <v>5.976E-4</v>
      </c>
      <c r="V44" s="32">
        <v>1.7788E-4</v>
      </c>
      <c r="W44" s="32">
        <v>5.4218000000000002E-5</v>
      </c>
      <c r="X44" s="32">
        <v>1.6365999999999999E-5</v>
      </c>
      <c r="Y44" s="32">
        <v>1.0673000000000001E-8</v>
      </c>
      <c r="Z44" s="32">
        <v>1.8103E-9</v>
      </c>
      <c r="AA44" s="32">
        <v>3.2268000000000002E-10</v>
      </c>
      <c r="AB44" s="32">
        <v>6.0386000000000002E-11</v>
      </c>
      <c r="AC44" s="32">
        <v>1.184E-11</v>
      </c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Q44" s="8">
        <v>163.00978000000001</v>
      </c>
      <c r="CR44" s="8">
        <v>-4.8647999999999999E-3</v>
      </c>
      <c r="CS44" s="4">
        <f t="shared" si="0"/>
        <v>436.15977999999996</v>
      </c>
      <c r="CT44" s="9">
        <f>Таблица1[[#This Row],[DSC/(mW/mg)]]</f>
        <v>-4.8647999999999999E-3</v>
      </c>
      <c r="DO44" s="3" t="s">
        <v>35</v>
      </c>
      <c r="DP44" s="4">
        <v>-38.899603960396036</v>
      </c>
      <c r="DQ44" s="4">
        <v>-38.110247524752474</v>
      </c>
      <c r="DR44" s="4">
        <v>-37.361732673267326</v>
      </c>
      <c r="DS44" s="4">
        <v>-36.618910891089108</v>
      </c>
      <c r="DT44" s="2">
        <v>-35.961485148514846</v>
      </c>
      <c r="DU44" s="2">
        <v>-35.304059405940592</v>
      </c>
      <c r="DV44" s="2">
        <v>-34.693465346534651</v>
      </c>
      <c r="DW44" s="2">
        <v>-34.123168316831681</v>
      </c>
      <c r="DX44" s="2">
        <v>-33.55391089108911</v>
      </c>
      <c r="DY44" s="2">
        <v>-33.066782178217821</v>
      </c>
      <c r="DZ44" s="2">
        <v>-32.579653465346532</v>
      </c>
      <c r="EA44" s="2">
        <v>-32.125539603960398</v>
      </c>
      <c r="EB44" s="2">
        <v>-31.706133663366337</v>
      </c>
      <c r="EC44" s="2">
        <v>-31.28672772277228</v>
      </c>
      <c r="ED44" s="2">
        <v>-30.923356435643566</v>
      </c>
      <c r="EE44" s="2">
        <v>-30.562168316831684</v>
      </c>
      <c r="EF44" s="2">
        <v>-30.231648514851486</v>
      </c>
      <c r="EG44" s="2">
        <v>-29.940559405940594</v>
      </c>
      <c r="EH44" s="2">
        <v>-29.649470297029701</v>
      </c>
      <c r="EI44" s="2">
        <v>-29.555794299876084</v>
      </c>
      <c r="EJ44" s="2">
        <v>-29.481048327137547</v>
      </c>
      <c r="EK44" s="2">
        <v>-29.406302354399006</v>
      </c>
      <c r="EL44" s="2">
        <v>-29.331556381660469</v>
      </c>
      <c r="EM44" s="2">
        <v>-29.256810408921933</v>
      </c>
      <c r="EN44" s="2">
        <v>-29.182064436183396</v>
      </c>
      <c r="EO44" s="2">
        <v>-29.107318463444859</v>
      </c>
      <c r="EP44" s="2">
        <v>-29.032572490706322</v>
      </c>
      <c r="EQ44" s="2">
        <v>-28.957826517967781</v>
      </c>
      <c r="ER44" s="2">
        <v>-28.883080545229245</v>
      </c>
      <c r="ES44" s="2">
        <v>-28.945475247524755</v>
      </c>
      <c r="ET44" s="2">
        <v>-29.036960396039603</v>
      </c>
      <c r="EU44" s="2">
        <v>-29.137118811881187</v>
      </c>
      <c r="EV44" s="2">
        <v>-29.257514851485148</v>
      </c>
      <c r="EW44" s="2">
        <v>-29.377910891089112</v>
      </c>
      <c r="EX44" s="2">
        <v>-29.501069306930695</v>
      </c>
      <c r="EY44" s="2">
        <v>-29.625029702970298</v>
      </c>
      <c r="EZ44" s="2">
        <v>-29.750970297029703</v>
      </c>
      <c r="FA44" s="2">
        <v>-29.882851485148514</v>
      </c>
      <c r="FB44" s="2">
        <v>-30.014732673267329</v>
      </c>
      <c r="FC44" s="2">
        <v>-30.147762376237626</v>
      </c>
      <c r="FD44" s="2">
        <v>-30.281227722772279</v>
      </c>
      <c r="FE44" s="2">
        <v>-30.414138613861386</v>
      </c>
      <c r="FF44" s="2">
        <v>-30.544831683168315</v>
      </c>
      <c r="FG44" s="2">
        <v>-30.675524752475244</v>
      </c>
      <c r="FH44" s="2">
        <v>-30.808891089108908</v>
      </c>
      <c r="FI44" s="2">
        <v>-30.943544554455446</v>
      </c>
      <c r="FJ44" s="2">
        <v>-31.078613861386138</v>
      </c>
      <c r="FK44" s="2">
        <v>-31.216039603960397</v>
      </c>
      <c r="FL44" s="2">
        <v>-31.353465346534655</v>
      </c>
      <c r="FM44" s="2">
        <v>-31.495210656753407</v>
      </c>
      <c r="FN44" s="2">
        <v>-31.639547707558862</v>
      </c>
      <c r="FO44" s="2">
        <v>-31.783884758364312</v>
      </c>
      <c r="FP44" s="2">
        <v>-31.928221809169763</v>
      </c>
      <c r="FQ44" s="2">
        <v>-32.072558859975217</v>
      </c>
      <c r="FR44" s="2">
        <v>-32.216895910780664</v>
      </c>
      <c r="FS44" s="2">
        <v>-32.361232961586119</v>
      </c>
      <c r="FT44" s="2">
        <v>-32.505570012391573</v>
      </c>
      <c r="FU44" s="2">
        <v>-32.64990706319702</v>
      </c>
      <c r="FV44" s="2">
        <v>-32.794244114002474</v>
      </c>
      <c r="FW44" s="2">
        <v>-32.929757425742572</v>
      </c>
      <c r="FX44" s="2">
        <v>-33.057678217821781</v>
      </c>
      <c r="FY44" s="2">
        <v>-33.185638613861386</v>
      </c>
      <c r="FZ44" s="2">
        <v>-33.316727722772278</v>
      </c>
      <c r="GA44" s="2">
        <v>-33.44781683168317</v>
      </c>
      <c r="GB44" s="2">
        <v>-33.57697524752475</v>
      </c>
      <c r="GC44" s="2">
        <v>-33.70410396039604</v>
      </c>
      <c r="GD44" s="2">
        <v>-33.831232673267323</v>
      </c>
      <c r="GE44" s="2">
        <v>-33.954930693069308</v>
      </c>
      <c r="GF44" s="2">
        <v>-34.078495049504951</v>
      </c>
      <c r="GG44" s="2">
        <v>-34.191413878562578</v>
      </c>
      <c r="GH44" s="2">
        <v>-34.290645600991326</v>
      </c>
      <c r="GI44" s="2">
        <v>-34.38987732342008</v>
      </c>
      <c r="GJ44" s="2">
        <v>-34.489109045848828</v>
      </c>
      <c r="GK44" s="2">
        <v>-34.588340768277575</v>
      </c>
      <c r="GL44" s="2">
        <v>-34.687572490706323</v>
      </c>
      <c r="GM44" s="2">
        <v>-34.786804213135071</v>
      </c>
      <c r="GN44" s="2">
        <v>-34.886035935563818</v>
      </c>
      <c r="GO44" s="2">
        <v>-34.985267657992566</v>
      </c>
      <c r="GP44" s="2">
        <v>-35.084499380421313</v>
      </c>
      <c r="GQ44" s="2">
        <v>-35.188366336633663</v>
      </c>
      <c r="GR44" s="2">
        <v>-35.30084158415842</v>
      </c>
      <c r="GS44" s="2">
        <v>-35.413316831683169</v>
      </c>
      <c r="GT44" s="2">
        <v>-35.52611881188119</v>
      </c>
      <c r="GU44" s="2">
        <v>-35.638990099009902</v>
      </c>
      <c r="GV44" s="2">
        <v>-35.750673267326739</v>
      </c>
      <c r="GW44" s="2">
        <v>-35.859584158415842</v>
      </c>
      <c r="GX44" s="2">
        <v>-35.968495049504952</v>
      </c>
      <c r="GY44" s="2">
        <v>-36.080475247524753</v>
      </c>
      <c r="GZ44" s="2">
        <v>-36.193346534653465</v>
      </c>
      <c r="HA44" s="2"/>
      <c r="HB44" s="2"/>
      <c r="HC44" s="2"/>
      <c r="HD44" s="2"/>
      <c r="HE44" s="2"/>
    </row>
    <row r="45" spans="1:213" ht="21.75" thickBot="1" x14ac:dyDescent="0.35">
      <c r="A45" s="3" t="s">
        <v>37</v>
      </c>
      <c r="B45" s="32">
        <v>2.3397999999999999E-28</v>
      </c>
      <c r="C45" s="32">
        <v>2.0742E-26</v>
      </c>
      <c r="D45" s="32">
        <v>1.6841000000000001E-24</v>
      </c>
      <c r="E45" s="32">
        <v>1.5773E-22</v>
      </c>
      <c r="F45" s="32">
        <v>1.5151E-20</v>
      </c>
      <c r="G45" s="32">
        <v>1.1999000000000001E-18</v>
      </c>
      <c r="H45" s="32">
        <v>6.8945999999999997E-17</v>
      </c>
      <c r="I45" s="32">
        <v>2.7437E-15</v>
      </c>
      <c r="J45" s="32">
        <v>7.4413999999999995E-14</v>
      </c>
      <c r="K45" s="32">
        <v>2.9067999999999999E-9</v>
      </c>
      <c r="L45" s="32">
        <v>2.8701E-8</v>
      </c>
      <c r="M45" s="32">
        <v>2.5057E-7</v>
      </c>
      <c r="N45" s="32">
        <v>1.9350000000000001E-6</v>
      </c>
      <c r="O45" s="32">
        <v>1.3294E-5</v>
      </c>
      <c r="P45" s="32">
        <v>8.1879999999999995E-5</v>
      </c>
      <c r="Q45" s="32">
        <v>4.5427999999999999E-4</v>
      </c>
      <c r="R45" s="32">
        <v>2.2480999999999998E-3</v>
      </c>
      <c r="S45" s="32">
        <v>9.3439000000000005E-3</v>
      </c>
      <c r="T45" s="32">
        <v>7.2410000000000002E-2</v>
      </c>
      <c r="U45" s="32">
        <v>7.1666999999999995E-2</v>
      </c>
      <c r="V45" s="32">
        <v>6.8749000000000005E-2</v>
      </c>
      <c r="W45" s="32">
        <v>6.4551999999999998E-2</v>
      </c>
      <c r="X45" s="32">
        <v>5.6475999999999998E-2</v>
      </c>
      <c r="Y45" s="32">
        <v>1.3301000000000001E-3</v>
      </c>
      <c r="Z45" s="32">
        <v>5.4418000000000001E-4</v>
      </c>
      <c r="AA45" s="32">
        <v>2.2824999999999999E-4</v>
      </c>
      <c r="AB45" s="32">
        <v>9.8068999999999999E-5</v>
      </c>
      <c r="AC45" s="32">
        <v>4.3111000000000001E-5</v>
      </c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  <c r="CF45" s="32"/>
      <c r="CG45" s="32"/>
      <c r="CH45" s="32"/>
      <c r="CI45" s="32"/>
      <c r="CJ45" s="32"/>
      <c r="CQ45" s="8">
        <v>165.08319</v>
      </c>
      <c r="CR45" s="8">
        <v>-4.8558000000000004E-3</v>
      </c>
      <c r="CS45" s="4">
        <f t="shared" si="0"/>
        <v>438.23318999999998</v>
      </c>
      <c r="CT45" s="9">
        <f>Таблица1[[#This Row],[DSC/(mW/mg)]]</f>
        <v>-4.8558000000000004E-3</v>
      </c>
      <c r="DO45" s="3" t="s">
        <v>36</v>
      </c>
      <c r="DP45" s="4">
        <v>-193.00064356435647</v>
      </c>
      <c r="DQ45" s="4">
        <v>-188.4734158415842</v>
      </c>
      <c r="DR45" s="4">
        <v>-184.22391089108913</v>
      </c>
      <c r="DS45" s="4">
        <v>-180.00782178217824</v>
      </c>
      <c r="DT45" s="2">
        <v>-176.29297029702971</v>
      </c>
      <c r="DU45" s="2">
        <v>-172.57811881188121</v>
      </c>
      <c r="DV45" s="2">
        <v>-169.09955445544554</v>
      </c>
      <c r="DW45" s="2">
        <v>-165.82430693069307</v>
      </c>
      <c r="DX45" s="2">
        <v>-162.55376237623761</v>
      </c>
      <c r="DY45" s="2">
        <v>-159.65475247524751</v>
      </c>
      <c r="DZ45" s="2">
        <v>-156.75574257425743</v>
      </c>
      <c r="EA45" s="2">
        <v>-154.00539603960397</v>
      </c>
      <c r="EB45" s="2">
        <v>-151.41133663366335</v>
      </c>
      <c r="EC45" s="2">
        <v>-148.81727722772277</v>
      </c>
      <c r="ED45" s="2">
        <v>-146.47480198019801</v>
      </c>
      <c r="EE45" s="2">
        <v>-144.14212871287128</v>
      </c>
      <c r="EF45" s="2">
        <v>-141.91514851485147</v>
      </c>
      <c r="EG45" s="2">
        <v>-139.8240594059406</v>
      </c>
      <c r="EH45" s="2">
        <v>-137.73297029702971</v>
      </c>
      <c r="EI45" s="2">
        <v>-136.04657992565058</v>
      </c>
      <c r="EJ45" s="2">
        <v>-134.39899628252789</v>
      </c>
      <c r="EK45" s="2">
        <v>-132.7514126394052</v>
      </c>
      <c r="EL45" s="2">
        <v>-131.10382899628254</v>
      </c>
      <c r="EM45" s="2">
        <v>-129.45624535315986</v>
      </c>
      <c r="EN45" s="2">
        <v>-127.80866171003719</v>
      </c>
      <c r="EO45" s="2">
        <v>-126.1610780669145</v>
      </c>
      <c r="EP45" s="2">
        <v>-124.51349442379183</v>
      </c>
      <c r="EQ45" s="2">
        <v>-122.86591078066914</v>
      </c>
      <c r="ER45" s="2">
        <v>-121.21832713754647</v>
      </c>
      <c r="ES45" s="2">
        <v>-119.83217821782178</v>
      </c>
      <c r="ET45" s="2">
        <v>-118.50148514851485</v>
      </c>
      <c r="EU45" s="2">
        <v>-117.20762376237623</v>
      </c>
      <c r="EV45" s="2">
        <v>-115.99970297029704</v>
      </c>
      <c r="EW45" s="2">
        <v>-114.79178217821783</v>
      </c>
      <c r="EX45" s="2">
        <v>-113.6360396039604</v>
      </c>
      <c r="EY45" s="2">
        <v>-112.49544554455444</v>
      </c>
      <c r="EZ45" s="2">
        <v>-111.37960396039603</v>
      </c>
      <c r="FA45" s="2">
        <v>-110.3380198019802</v>
      </c>
      <c r="FB45" s="2">
        <v>-109.29643564356435</v>
      </c>
      <c r="FC45" s="2">
        <v>-108.30653465346535</v>
      </c>
      <c r="FD45" s="2">
        <v>-107.33623762376237</v>
      </c>
      <c r="FE45" s="2">
        <v>-106.37940594059405</v>
      </c>
      <c r="FF45" s="2">
        <v>-105.47643564356436</v>
      </c>
      <c r="FG45" s="2">
        <v>-104.57346534653466</v>
      </c>
      <c r="FH45" s="2">
        <v>-103.71861386138615</v>
      </c>
      <c r="FI45" s="2">
        <v>-102.8869306930693</v>
      </c>
      <c r="FJ45" s="2">
        <v>-102.06950495049504</v>
      </c>
      <c r="FK45" s="2">
        <v>-101.33287128712871</v>
      </c>
      <c r="FL45" s="2">
        <v>-100.59623762376238</v>
      </c>
      <c r="FM45" s="2">
        <v>-100.11566294919454</v>
      </c>
      <c r="FN45" s="2">
        <v>-99.788723667905813</v>
      </c>
      <c r="FO45" s="2">
        <v>-99.461784386617097</v>
      </c>
      <c r="FP45" s="2">
        <v>-99.134845105328367</v>
      </c>
      <c r="FQ45" s="2">
        <v>-98.807905824039651</v>
      </c>
      <c r="FR45" s="2">
        <v>-98.48096654275092</v>
      </c>
      <c r="FS45" s="2">
        <v>-98.154027261462204</v>
      </c>
      <c r="FT45" s="2">
        <v>-97.827087980173474</v>
      </c>
      <c r="FU45" s="2">
        <v>-97.500148698884757</v>
      </c>
      <c r="FV45" s="2">
        <v>-97.173209417596027</v>
      </c>
      <c r="FW45" s="2">
        <v>-96.976445544554451</v>
      </c>
      <c r="FX45" s="2">
        <v>-96.891693069306925</v>
      </c>
      <c r="FY45" s="2">
        <v>-96.807425742574253</v>
      </c>
      <c r="FZ45" s="2">
        <v>-96.761485148514851</v>
      </c>
      <c r="GA45" s="2">
        <v>-96.715544554455434</v>
      </c>
      <c r="GB45" s="2">
        <v>-96.675396039603953</v>
      </c>
      <c r="GC45" s="2">
        <v>-96.641336633663357</v>
      </c>
      <c r="GD45" s="2">
        <v>-96.607277227722761</v>
      </c>
      <c r="GE45" s="2">
        <v>-96.605237623762378</v>
      </c>
      <c r="GF45" s="2">
        <v>-96.604445544554451</v>
      </c>
      <c r="GG45" s="2">
        <v>-96.736193308550185</v>
      </c>
      <c r="GH45" s="2">
        <v>-97.038349442379186</v>
      </c>
      <c r="GI45" s="2">
        <v>-97.340505576208173</v>
      </c>
      <c r="GJ45" s="2">
        <v>-97.642661710037174</v>
      </c>
      <c r="GK45" s="2">
        <v>-97.944817843866161</v>
      </c>
      <c r="GL45" s="2">
        <v>-98.246973977695163</v>
      </c>
      <c r="GM45" s="2">
        <v>-98.54913011152415</v>
      </c>
      <c r="GN45" s="2">
        <v>-98.851286245353151</v>
      </c>
      <c r="GO45" s="2">
        <v>-99.153442379182138</v>
      </c>
      <c r="GP45" s="2">
        <v>-99.45559851301114</v>
      </c>
      <c r="GQ45" s="2">
        <v>-99.770653465346527</v>
      </c>
      <c r="GR45" s="2">
        <v>-100.10966336633663</v>
      </c>
      <c r="GS45" s="2">
        <v>-100.44867326732674</v>
      </c>
      <c r="GT45" s="2">
        <v>-100.78637623762377</v>
      </c>
      <c r="GU45" s="2">
        <v>-101.12380198019801</v>
      </c>
      <c r="GV45" s="2">
        <v>-101.45766336633662</v>
      </c>
      <c r="GW45" s="2">
        <v>-101.78320792079208</v>
      </c>
      <c r="GX45" s="2">
        <v>-102.10875247524753</v>
      </c>
      <c r="GY45" s="2">
        <v>-102.44289108910891</v>
      </c>
      <c r="GZ45" s="2">
        <v>-102.77952475247524</v>
      </c>
      <c r="HA45" s="2"/>
      <c r="HB45" s="2"/>
      <c r="HC45" s="2"/>
      <c r="HD45" s="2"/>
      <c r="HE45" s="2"/>
    </row>
    <row r="46" spans="1:213" ht="21.75" thickBot="1" x14ac:dyDescent="0.35">
      <c r="A46" s="3" t="s">
        <v>38</v>
      </c>
      <c r="B46" s="32">
        <v>3.0460000000000001E-7</v>
      </c>
      <c r="C46" s="32">
        <v>7.9172999999999996E-7</v>
      </c>
      <c r="D46" s="32">
        <v>2.5660999999999999E-6</v>
      </c>
      <c r="E46" s="32">
        <v>1.0835999999999999E-5</v>
      </c>
      <c r="F46" s="32">
        <v>5.0284000000000002E-5</v>
      </c>
      <c r="G46" s="32">
        <v>2.2064E-4</v>
      </c>
      <c r="H46" s="32">
        <v>8.6361000000000001E-4</v>
      </c>
      <c r="I46" s="32">
        <v>2.9274000000000001E-3</v>
      </c>
      <c r="J46" s="32">
        <v>8.2600999999999994E-3</v>
      </c>
      <c r="K46" s="32">
        <v>6.4222000000000001E-2</v>
      </c>
      <c r="L46" s="32">
        <v>7.2174000000000002E-2</v>
      </c>
      <c r="M46" s="32">
        <v>7.6243000000000005E-2</v>
      </c>
      <c r="N46" s="32">
        <v>7.8188999999999995E-2</v>
      </c>
      <c r="O46" s="32">
        <v>7.9107999999999998E-2</v>
      </c>
      <c r="P46" s="32">
        <v>7.9548999999999995E-2</v>
      </c>
      <c r="Q46" s="32">
        <v>7.9765000000000003E-2</v>
      </c>
      <c r="R46" s="32">
        <v>7.9874000000000001E-2</v>
      </c>
      <c r="S46" s="32">
        <v>7.9929E-2</v>
      </c>
      <c r="T46" s="32">
        <v>7.9991000000000007E-2</v>
      </c>
      <c r="U46" s="32">
        <v>7.9993999999999996E-2</v>
      </c>
      <c r="V46" s="32">
        <v>7.9995999999999998E-2</v>
      </c>
      <c r="W46" s="32">
        <v>7.9998E-2</v>
      </c>
      <c r="X46" s="32">
        <v>7.9913999999999999E-2</v>
      </c>
      <c r="Y46" s="32">
        <v>7.7256000000000005E-2</v>
      </c>
      <c r="Z46" s="32">
        <v>7.6824000000000003E-2</v>
      </c>
      <c r="AA46" s="32">
        <v>7.6387999999999998E-2</v>
      </c>
      <c r="AB46" s="32">
        <v>7.5944999999999999E-2</v>
      </c>
      <c r="AC46" s="32">
        <v>7.5490000000000002E-2</v>
      </c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CH46" s="32"/>
      <c r="CI46" s="32"/>
      <c r="CJ46" s="32"/>
      <c r="CQ46" s="8">
        <v>167.1566</v>
      </c>
      <c r="CR46" s="8">
        <v>-4.8113000000000001E-3</v>
      </c>
      <c r="CS46" s="4">
        <f t="shared" si="0"/>
        <v>440.3066</v>
      </c>
      <c r="CT46" s="9">
        <f>Таблица1[[#This Row],[DSC/(mW/mg)]]</f>
        <v>-4.8113000000000001E-3</v>
      </c>
      <c r="DO46" s="3" t="s">
        <v>37</v>
      </c>
      <c r="DP46" s="4">
        <v>-147.90529702970298</v>
      </c>
      <c r="DQ46" s="4">
        <v>-144.14103960396042</v>
      </c>
      <c r="DR46" s="4">
        <v>-140.51727722772279</v>
      </c>
      <c r="DS46" s="4">
        <v>-136.90465346534654</v>
      </c>
      <c r="DT46" s="2">
        <v>-133.4591089108911</v>
      </c>
      <c r="DU46" s="2">
        <v>-130.01356435643567</v>
      </c>
      <c r="DV46" s="2">
        <v>-126.66381188118812</v>
      </c>
      <c r="DW46" s="2">
        <v>-123.39648514851484</v>
      </c>
      <c r="DX46" s="2">
        <v>-120.13198019801978</v>
      </c>
      <c r="DY46" s="2">
        <v>-117.09039603960395</v>
      </c>
      <c r="DZ46" s="2">
        <v>-114.04881188118812</v>
      </c>
      <c r="EA46" s="2">
        <v>-111.12886138613861</v>
      </c>
      <c r="EB46" s="2">
        <v>-108.33678217821782</v>
      </c>
      <c r="EC46" s="2">
        <v>-105.54470297029704</v>
      </c>
      <c r="ED46" s="2">
        <v>-103.00420792079208</v>
      </c>
      <c r="EE46" s="2">
        <v>-100.47351485148515</v>
      </c>
      <c r="EF46" s="2">
        <v>-98.058910891089113</v>
      </c>
      <c r="EG46" s="2">
        <v>-95.793564356435638</v>
      </c>
      <c r="EH46" s="2">
        <v>-93.528217821782178</v>
      </c>
      <c r="EI46" s="2">
        <v>-91.68546468401486</v>
      </c>
      <c r="EJ46" s="2">
        <v>-89.883234200743487</v>
      </c>
      <c r="EK46" s="2">
        <v>-88.081003717472115</v>
      </c>
      <c r="EL46" s="2">
        <v>-86.278773234200742</v>
      </c>
      <c r="EM46" s="2">
        <v>-84.476542750929369</v>
      </c>
      <c r="EN46" s="2">
        <v>-82.674312267657996</v>
      </c>
      <c r="EO46" s="2">
        <v>-80.872081784386609</v>
      </c>
      <c r="EP46" s="2">
        <v>-79.069851301115236</v>
      </c>
      <c r="EQ46" s="2">
        <v>-77.267620817843863</v>
      </c>
      <c r="ER46" s="2">
        <v>-75.46539033457249</v>
      </c>
      <c r="ES46" s="2">
        <v>-73.882277227722767</v>
      </c>
      <c r="ET46" s="2">
        <v>-72.345643564356436</v>
      </c>
      <c r="EU46" s="2">
        <v>-70.838712871287129</v>
      </c>
      <c r="EV46" s="2">
        <v>-69.401089108910881</v>
      </c>
      <c r="EW46" s="2">
        <v>-67.963465346534647</v>
      </c>
      <c r="EX46" s="2">
        <v>-66.584158415841571</v>
      </c>
      <c r="EY46" s="2">
        <v>-65.221782178217808</v>
      </c>
      <c r="EZ46" s="2">
        <v>-63.882178217821775</v>
      </c>
      <c r="FA46" s="2">
        <v>-62.610891089108904</v>
      </c>
      <c r="FB46" s="2">
        <v>-61.33960396039604</v>
      </c>
      <c r="FC46" s="2">
        <v>-60.12</v>
      </c>
      <c r="FD46" s="2">
        <v>-58.919999999999995</v>
      </c>
      <c r="FE46" s="2">
        <v>-57.735049504950489</v>
      </c>
      <c r="FF46" s="2">
        <v>-56.610297029702963</v>
      </c>
      <c r="FG46" s="2">
        <v>-55.485544554455444</v>
      </c>
      <c r="FH46" s="2">
        <v>-54.408910891089107</v>
      </c>
      <c r="FI46" s="2">
        <v>-53.355445544554449</v>
      </c>
      <c r="FJ46" s="2">
        <v>-52.318613861386133</v>
      </c>
      <c r="FK46" s="2">
        <v>-51.376039603960393</v>
      </c>
      <c r="FL46" s="2">
        <v>-50.433465346534653</v>
      </c>
      <c r="FM46" s="2">
        <v>-49.756703841387854</v>
      </c>
      <c r="FN46" s="2">
        <v>-49.239429987608425</v>
      </c>
      <c r="FO46" s="2">
        <v>-48.722156133828996</v>
      </c>
      <c r="FP46" s="2">
        <v>-48.204882280049567</v>
      </c>
      <c r="FQ46" s="2">
        <v>-47.687608426270131</v>
      </c>
      <c r="FR46" s="2">
        <v>-47.170334572490702</v>
      </c>
      <c r="FS46" s="2">
        <v>-46.653060718711274</v>
      </c>
      <c r="FT46" s="2">
        <v>-46.135786864931845</v>
      </c>
      <c r="FU46" s="2">
        <v>-45.618513011152416</v>
      </c>
      <c r="FV46" s="2">
        <v>-45.101239157372987</v>
      </c>
      <c r="FW46" s="2">
        <v>-44.705752475247522</v>
      </c>
      <c r="FX46" s="2">
        <v>-44.415059405940589</v>
      </c>
      <c r="FY46" s="2">
        <v>-44.124752475247526</v>
      </c>
      <c r="FZ46" s="2">
        <v>-43.864950495049506</v>
      </c>
      <c r="GA46" s="2">
        <v>-43.605148514851479</v>
      </c>
      <c r="GB46" s="2">
        <v>-43.354999999999997</v>
      </c>
      <c r="GC46" s="2">
        <v>-43.114999999999995</v>
      </c>
      <c r="GD46" s="2">
        <v>-42.875</v>
      </c>
      <c r="GE46" s="2">
        <v>-42.674643564356437</v>
      </c>
      <c r="GF46" s="2">
        <v>-42.475831683168323</v>
      </c>
      <c r="GG46" s="2">
        <v>-42.424198265179683</v>
      </c>
      <c r="GH46" s="2">
        <v>-42.561794299876084</v>
      </c>
      <c r="GI46" s="2">
        <v>-42.699390334572492</v>
      </c>
      <c r="GJ46" s="2">
        <v>-42.836986369268899</v>
      </c>
      <c r="GK46" s="2">
        <v>-42.9745824039653</v>
      </c>
      <c r="GL46" s="2">
        <v>-43.112178438661708</v>
      </c>
      <c r="GM46" s="2">
        <v>-43.249774473358116</v>
      </c>
      <c r="GN46" s="2">
        <v>-43.387370508054516</v>
      </c>
      <c r="GO46" s="2">
        <v>-43.524966542750924</v>
      </c>
      <c r="GP46" s="2">
        <v>-43.662562577447332</v>
      </c>
      <c r="GQ46" s="2">
        <v>-43.804118811881182</v>
      </c>
      <c r="GR46" s="2">
        <v>-43.953029702970298</v>
      </c>
      <c r="GS46" s="2">
        <v>-44.101940594059407</v>
      </c>
      <c r="GT46" s="2">
        <v>-44.249544554455447</v>
      </c>
      <c r="GU46" s="2">
        <v>-44.396871287128711</v>
      </c>
      <c r="GV46" s="2">
        <v>-44.5430099009901</v>
      </c>
      <c r="GW46" s="2">
        <v>-44.686376237623762</v>
      </c>
      <c r="GX46" s="2">
        <v>-44.82974257425743</v>
      </c>
      <c r="GY46" s="2">
        <v>-44.975564356435648</v>
      </c>
      <c r="GZ46" s="2">
        <v>-45.122099009900992</v>
      </c>
      <c r="HA46" s="2"/>
      <c r="HB46" s="2"/>
      <c r="HC46" s="2"/>
      <c r="HD46" s="2"/>
      <c r="HE46" s="2"/>
    </row>
    <row r="47" spans="1:213" ht="15" customHeight="1" thickBot="1" x14ac:dyDescent="0.35">
      <c r="A47" s="3" t="s">
        <v>39</v>
      </c>
      <c r="B47" s="32">
        <v>4.0423000000000001E-28</v>
      </c>
      <c r="C47" s="32">
        <v>3.3478E-26</v>
      </c>
      <c r="D47" s="32">
        <v>2.3753E-24</v>
      </c>
      <c r="E47" s="32">
        <v>1.739E-22</v>
      </c>
      <c r="F47" s="32">
        <v>1.1968000000000001E-20</v>
      </c>
      <c r="G47" s="32">
        <v>6.5977999999999999E-19</v>
      </c>
      <c r="H47" s="32">
        <v>2.6876000000000001E-17</v>
      </c>
      <c r="I47" s="32">
        <v>7.9278000000000004E-16</v>
      </c>
      <c r="J47" s="32">
        <v>1.6945000000000001E-14</v>
      </c>
      <c r="K47" s="32">
        <v>3.7249000000000002E-10</v>
      </c>
      <c r="L47" s="32">
        <v>3.1746000000000002E-9</v>
      </c>
      <c r="M47" s="32">
        <v>2.3831E-8</v>
      </c>
      <c r="N47" s="32">
        <v>1.5837999999999999E-7</v>
      </c>
      <c r="O47" s="32">
        <v>9.3872999999999999E-7</v>
      </c>
      <c r="P47" s="32">
        <v>5.0003999999999996E-6</v>
      </c>
      <c r="Q47" s="32">
        <v>2.4079000000000001E-5</v>
      </c>
      <c r="R47" s="32">
        <v>1.0474E-4</v>
      </c>
      <c r="S47" s="32">
        <v>4.0225999999999999E-4</v>
      </c>
      <c r="T47" s="32">
        <v>9.8355999999999999E-3</v>
      </c>
      <c r="U47" s="32">
        <v>1.5105E-2</v>
      </c>
      <c r="V47" s="32">
        <v>2.2039E-2</v>
      </c>
      <c r="W47" s="32">
        <v>3.0755000000000001E-2</v>
      </c>
      <c r="X47" s="32">
        <v>3.986E-2</v>
      </c>
      <c r="Y47" s="32">
        <v>1.4336E-2</v>
      </c>
      <c r="Z47" s="32">
        <v>1.0671E-2</v>
      </c>
      <c r="AA47" s="32">
        <v>7.8063999999999998E-3</v>
      </c>
      <c r="AB47" s="32">
        <v>5.6091999999999999E-3</v>
      </c>
      <c r="AC47" s="32">
        <v>3.9562E-3</v>
      </c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L47" s="2"/>
      <c r="CM47" s="2"/>
      <c r="CN47" s="2"/>
      <c r="CQ47" s="8">
        <v>169.23</v>
      </c>
      <c r="CR47" s="8">
        <v>-5.7551E-3</v>
      </c>
      <c r="CS47" s="4">
        <f t="shared" si="0"/>
        <v>442.38</v>
      </c>
      <c r="CT47" s="9">
        <f>Таблица1[[#This Row],[DSC/(mW/mg)]]</f>
        <v>-5.7551E-3</v>
      </c>
      <c r="DO47" s="3" t="s">
        <v>38</v>
      </c>
      <c r="DP47" s="4">
        <v>-16.351930693069306</v>
      </c>
      <c r="DQ47" s="4">
        <v>-15.944059405940594</v>
      </c>
      <c r="DR47" s="4">
        <v>-15.508415841584158</v>
      </c>
      <c r="DS47" s="4">
        <v>-15.067326732673267</v>
      </c>
      <c r="DT47" s="2">
        <v>-14.544554455445544</v>
      </c>
      <c r="DU47" s="2">
        <v>-14.021782178217821</v>
      </c>
      <c r="DV47" s="2">
        <v>-13.475594059405939</v>
      </c>
      <c r="DW47" s="2">
        <v>-12.909257425742572</v>
      </c>
      <c r="DX47" s="2">
        <v>-12.343019801980196</v>
      </c>
      <c r="DY47" s="2">
        <v>-11.784603960396039</v>
      </c>
      <c r="DZ47" s="2">
        <v>-11.226188118811882</v>
      </c>
      <c r="EA47" s="2">
        <v>-10.687272277227724</v>
      </c>
      <c r="EB47" s="2">
        <v>-10.168856435643566</v>
      </c>
      <c r="EC47" s="2">
        <v>-9.6504405940594076</v>
      </c>
      <c r="ED47" s="2">
        <v>-9.188059405940594</v>
      </c>
      <c r="EE47" s="2">
        <v>-8.7278613861386134</v>
      </c>
      <c r="EF47" s="2">
        <v>-8.3035297029702964</v>
      </c>
      <c r="EG47" s="2">
        <v>-7.9253118811881187</v>
      </c>
      <c r="EH47" s="2">
        <v>-7.5470940594059401</v>
      </c>
      <c r="EI47" s="2">
        <v>-7.37523667905824</v>
      </c>
      <c r="EJ47" s="2">
        <v>-7.2231672862453529</v>
      </c>
      <c r="EK47" s="2">
        <v>-7.0710978934324658</v>
      </c>
      <c r="EL47" s="2">
        <v>-6.9190285006195786</v>
      </c>
      <c r="EM47" s="2">
        <v>-6.7669591078066915</v>
      </c>
      <c r="EN47" s="2">
        <v>-6.6148897149938044</v>
      </c>
      <c r="EO47" s="2">
        <v>-6.4628203221809173</v>
      </c>
      <c r="EP47" s="2">
        <v>-6.3107509293680302</v>
      </c>
      <c r="EQ47" s="2">
        <v>-6.1586815365551431</v>
      </c>
      <c r="ER47" s="2">
        <v>-6.006612143742255</v>
      </c>
      <c r="ES47" s="2">
        <v>-5.9705247524752476</v>
      </c>
      <c r="ET47" s="2">
        <v>-5.9590396039603961</v>
      </c>
      <c r="EU47" s="2">
        <v>-5.9526633663366333</v>
      </c>
      <c r="EV47" s="2">
        <v>-5.9582079207920788</v>
      </c>
      <c r="EW47" s="2">
        <v>-5.9637524752475244</v>
      </c>
      <c r="EX47" s="2">
        <v>-5.9751287128712871</v>
      </c>
      <c r="EY47" s="2">
        <v>-5.9881980198019802</v>
      </c>
      <c r="EZ47" s="2">
        <v>-6.0022574257425747</v>
      </c>
      <c r="FA47" s="2">
        <v>-6.0192871287128717</v>
      </c>
      <c r="FB47" s="2">
        <v>-6.0363168316831688</v>
      </c>
      <c r="FC47" s="2">
        <v>-6.0544950495049505</v>
      </c>
      <c r="FD47" s="2">
        <v>-6.0731089108910892</v>
      </c>
      <c r="FE47" s="2">
        <v>-6.091960396039604</v>
      </c>
      <c r="FF47" s="2">
        <v>-6.1117623762376239</v>
      </c>
      <c r="FG47" s="2">
        <v>-6.1315643564356437</v>
      </c>
      <c r="FH47" s="2">
        <v>-6.1540396039603964</v>
      </c>
      <c r="FI47" s="2">
        <v>-6.1778019801980202</v>
      </c>
      <c r="FJ47" s="2">
        <v>-6.2031683168316833</v>
      </c>
      <c r="FK47" s="2">
        <v>-6.2376237623762378</v>
      </c>
      <c r="FL47" s="2">
        <v>-6.2720792079207923</v>
      </c>
      <c r="FM47" s="2">
        <v>-6.3157311028500622</v>
      </c>
      <c r="FN47" s="2">
        <v>-6.364900867410161</v>
      </c>
      <c r="FO47" s="2">
        <v>-6.4140706319702598</v>
      </c>
      <c r="FP47" s="2">
        <v>-6.4632403965303595</v>
      </c>
      <c r="FQ47" s="2">
        <v>-6.5124101610904583</v>
      </c>
      <c r="FR47" s="2">
        <v>-6.5615799256505571</v>
      </c>
      <c r="FS47" s="2">
        <v>-6.6107496902106568</v>
      </c>
      <c r="FT47" s="2">
        <v>-6.6599194547707556</v>
      </c>
      <c r="FU47" s="2">
        <v>-6.7090892193308544</v>
      </c>
      <c r="FV47" s="2">
        <v>-6.7582589838909533</v>
      </c>
      <c r="FW47" s="2">
        <v>-6.7944108910891083</v>
      </c>
      <c r="FX47" s="2">
        <v>-6.8193613861386142</v>
      </c>
      <c r="FY47" s="2">
        <v>-6.8443019801980203</v>
      </c>
      <c r="FZ47" s="2">
        <v>-6.8684603960396045</v>
      </c>
      <c r="GA47" s="2">
        <v>-6.8926188118811886</v>
      </c>
      <c r="GB47" s="2">
        <v>-6.9167772277227728</v>
      </c>
      <c r="GC47" s="2">
        <v>-6.940935643564357</v>
      </c>
      <c r="GD47" s="2">
        <v>-6.9650940594059412</v>
      </c>
      <c r="GE47" s="2">
        <v>-6.9896336633663365</v>
      </c>
      <c r="GF47" s="2">
        <v>-7.0141881188118811</v>
      </c>
      <c r="GG47" s="2">
        <v>-7.0354163568773229</v>
      </c>
      <c r="GH47" s="2">
        <v>-7.0523680297397764</v>
      </c>
      <c r="GI47" s="2">
        <v>-7.0693197026022299</v>
      </c>
      <c r="GJ47" s="2">
        <v>-7.0862713754646833</v>
      </c>
      <c r="GK47" s="2">
        <v>-7.1032230483271368</v>
      </c>
      <c r="GL47" s="2">
        <v>-7.1201747211895912</v>
      </c>
      <c r="GM47" s="2">
        <v>-7.1371263940520446</v>
      </c>
      <c r="GN47" s="2">
        <v>-7.1540780669144981</v>
      </c>
      <c r="GO47" s="2">
        <v>-7.1710297397769516</v>
      </c>
      <c r="GP47" s="2">
        <v>-7.187981412639405</v>
      </c>
      <c r="GQ47" s="2">
        <v>-7.2050990099009899</v>
      </c>
      <c r="GR47" s="2">
        <v>-7.2225247524752474</v>
      </c>
      <c r="GS47" s="2">
        <v>-7.2399504950495057</v>
      </c>
      <c r="GT47" s="2">
        <v>-7.2577029702970304</v>
      </c>
      <c r="GU47" s="2">
        <v>-7.2755247524752482</v>
      </c>
      <c r="GV47" s="2">
        <v>-7.2933465346534652</v>
      </c>
      <c r="GW47" s="2">
        <v>-7.311168316831683</v>
      </c>
      <c r="GX47" s="2">
        <v>-7.3289900990099008</v>
      </c>
      <c r="GY47" s="2">
        <v>-7.3468118811881187</v>
      </c>
      <c r="GZ47" s="2">
        <v>-7.3646336633663365</v>
      </c>
      <c r="HA47" s="2"/>
      <c r="HB47" s="2"/>
      <c r="HC47" s="2"/>
      <c r="HD47" s="2"/>
      <c r="HE47" s="2"/>
    </row>
    <row r="48" spans="1:213" ht="15" customHeight="1" thickBot="1" x14ac:dyDescent="0.35">
      <c r="A48" s="3" t="s">
        <v>40</v>
      </c>
      <c r="B48" s="32">
        <v>1.8857999999999998E-9</v>
      </c>
      <c r="C48" s="32">
        <v>6.4452999999999997E-9</v>
      </c>
      <c r="D48" s="32">
        <v>1.5402999999999999E-8</v>
      </c>
      <c r="E48" s="32">
        <v>2.4473E-8</v>
      </c>
      <c r="F48" s="32">
        <v>2.7333000000000001E-8</v>
      </c>
      <c r="G48" s="32">
        <v>2.4652000000000001E-8</v>
      </c>
      <c r="H48" s="32">
        <v>2.0415999999999999E-8</v>
      </c>
      <c r="I48" s="32">
        <v>1.6866E-8</v>
      </c>
      <c r="J48" s="32">
        <v>1.4732000000000001E-8</v>
      </c>
      <c r="K48" s="32">
        <v>1.2278000000000001E-8</v>
      </c>
      <c r="L48" s="32">
        <v>1.0916E-8</v>
      </c>
      <c r="M48" s="32">
        <v>9.3466000000000008E-9</v>
      </c>
      <c r="N48" s="32">
        <v>7.8566000000000004E-9</v>
      </c>
      <c r="O48" s="32">
        <v>6.5510999999999998E-9</v>
      </c>
      <c r="P48" s="32">
        <v>5.4476999999999997E-9</v>
      </c>
      <c r="Q48" s="32">
        <v>4.5377000000000002E-9</v>
      </c>
      <c r="R48" s="32">
        <v>3.8261000000000003E-9</v>
      </c>
      <c r="S48" s="32">
        <v>3.3694E-9</v>
      </c>
      <c r="T48" s="32">
        <v>2.4995999999999999E-9</v>
      </c>
      <c r="U48" s="32">
        <v>2.1214000000000001E-9</v>
      </c>
      <c r="V48" s="32">
        <v>1.7939E-9</v>
      </c>
      <c r="W48" s="32">
        <v>1.5189E-9</v>
      </c>
      <c r="X48" s="32">
        <v>1.2981999999999999E-9</v>
      </c>
      <c r="Y48" s="32">
        <v>7.3192999999999997E-10</v>
      </c>
      <c r="Z48" s="32">
        <v>6.1770000000000005E-10</v>
      </c>
      <c r="AA48" s="32">
        <v>5.2130000000000005E-10</v>
      </c>
      <c r="AB48" s="32">
        <v>4.4019999999999999E-10</v>
      </c>
      <c r="AC48" s="32">
        <v>3.7200000000000001E-10</v>
      </c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  <c r="CF48" s="32"/>
      <c r="CG48" s="32"/>
      <c r="CH48" s="32"/>
      <c r="CI48" s="32"/>
      <c r="CJ48" s="32"/>
      <c r="CL48" s="2"/>
      <c r="CM48" s="2"/>
      <c r="CN48" s="2"/>
      <c r="CQ48" s="8">
        <v>171.30341000000001</v>
      </c>
      <c r="CR48" s="8">
        <v>-6.5393999999999999E-3</v>
      </c>
      <c r="CS48" s="4">
        <f t="shared" si="0"/>
        <v>444.45340999999996</v>
      </c>
      <c r="CT48" s="9">
        <f>Таблица1[[#This Row],[DSC/(mW/mg)]]</f>
        <v>-6.5393999999999999E-3</v>
      </c>
      <c r="DO48" s="3" t="s">
        <v>39</v>
      </c>
      <c r="DP48" s="4">
        <v>-62.678811881188125</v>
      </c>
      <c r="DQ48" s="4">
        <v>-60.98742574257426</v>
      </c>
      <c r="DR48" s="4">
        <v>-59.331980198019806</v>
      </c>
      <c r="DS48" s="4">
        <v>-57.676534653465346</v>
      </c>
      <c r="DT48" s="2">
        <v>-56.021089108910893</v>
      </c>
      <c r="DU48" s="2">
        <v>-54.365643564356432</v>
      </c>
      <c r="DV48" s="2">
        <v>-52.722970297029704</v>
      </c>
      <c r="DW48" s="2">
        <v>-51.091287128712864</v>
      </c>
      <c r="DX48" s="2">
        <v>-49.460544554455439</v>
      </c>
      <c r="DY48" s="2">
        <v>-47.904108910891082</v>
      </c>
      <c r="DZ48" s="2">
        <v>-46.347673267326734</v>
      </c>
      <c r="EA48" s="2">
        <v>-44.845297029702969</v>
      </c>
      <c r="EB48" s="2">
        <v>-43.399752475247524</v>
      </c>
      <c r="EC48" s="2">
        <v>-41.954207920792079</v>
      </c>
      <c r="ED48" s="2">
        <v>-40.634455445544553</v>
      </c>
      <c r="EE48" s="2">
        <v>-39.319603960396037</v>
      </c>
      <c r="EF48" s="2">
        <v>-38.065396039603961</v>
      </c>
      <c r="EG48" s="2">
        <v>-36.889158415841585</v>
      </c>
      <c r="EH48" s="2">
        <v>-35.712920792079203</v>
      </c>
      <c r="EI48" s="2">
        <v>-34.752453531598512</v>
      </c>
      <c r="EJ48" s="2">
        <v>-33.81267657992565</v>
      </c>
      <c r="EK48" s="2">
        <v>-32.872899628252789</v>
      </c>
      <c r="EL48" s="2">
        <v>-31.933122676579924</v>
      </c>
      <c r="EM48" s="2">
        <v>-30.993345724907059</v>
      </c>
      <c r="EN48" s="2">
        <v>-30.053568773234197</v>
      </c>
      <c r="EO48" s="2">
        <v>-29.113791821561335</v>
      </c>
      <c r="EP48" s="2">
        <v>-28.174014869888474</v>
      </c>
      <c r="EQ48" s="2">
        <v>-27.234237918215609</v>
      </c>
      <c r="ER48" s="2">
        <v>-26.294460966542747</v>
      </c>
      <c r="ES48" s="2">
        <v>-25.453663366336631</v>
      </c>
      <c r="ET48" s="2">
        <v>-24.633861386138612</v>
      </c>
      <c r="EU48" s="2">
        <v>-23.827128712871289</v>
      </c>
      <c r="EV48" s="2">
        <v>-23.050891089108909</v>
      </c>
      <c r="EW48" s="2">
        <v>-22.274653465346532</v>
      </c>
      <c r="EX48" s="2">
        <v>-21.529108910891086</v>
      </c>
      <c r="EY48" s="2">
        <v>-20.792475247524749</v>
      </c>
      <c r="EZ48" s="2">
        <v>-20.066732673267325</v>
      </c>
      <c r="FA48" s="2">
        <v>-19.373663366336633</v>
      </c>
      <c r="FB48" s="2">
        <v>-18.680594059405941</v>
      </c>
      <c r="FC48" s="2">
        <v>-18.013366336633663</v>
      </c>
      <c r="FD48" s="2">
        <v>-17.355940594059405</v>
      </c>
      <c r="FE48" s="2">
        <v>-16.706435643564355</v>
      </c>
      <c r="FF48" s="2">
        <v>-16.088613861386136</v>
      </c>
      <c r="FG48" s="2">
        <v>-15.470792079207921</v>
      </c>
      <c r="FH48" s="2">
        <v>-14.877029702970297</v>
      </c>
      <c r="FI48" s="2">
        <v>-14.294851485148513</v>
      </c>
      <c r="FJ48" s="2">
        <v>-13.721584158415839</v>
      </c>
      <c r="FK48" s="2">
        <v>-13.198811881188117</v>
      </c>
      <c r="FL48" s="2">
        <v>-12.676039603960396</v>
      </c>
      <c r="FM48" s="2">
        <v>-12.288612143742256</v>
      </c>
      <c r="FN48" s="2">
        <v>-11.982391573729863</v>
      </c>
      <c r="FO48" s="2">
        <v>-11.676171003717473</v>
      </c>
      <c r="FP48" s="2">
        <v>-11.369950433705082</v>
      </c>
      <c r="FQ48" s="2">
        <v>-11.063729863692689</v>
      </c>
      <c r="FR48" s="2">
        <v>-10.757509293680299</v>
      </c>
      <c r="FS48" s="2">
        <v>-10.451288723667908</v>
      </c>
      <c r="FT48" s="2">
        <v>-10.145068153655515</v>
      </c>
      <c r="FU48" s="2">
        <v>-9.8388475836431244</v>
      </c>
      <c r="FV48" s="2">
        <v>-9.5326270136307336</v>
      </c>
      <c r="FW48" s="2">
        <v>-9.2852029702970302</v>
      </c>
      <c r="FX48" s="2">
        <v>-9.0883712871287123</v>
      </c>
      <c r="FY48" s="2">
        <v>-8.8917079207920793</v>
      </c>
      <c r="FZ48" s="2">
        <v>-8.7083415841584149</v>
      </c>
      <c r="GA48" s="2">
        <v>-8.5249752475247522</v>
      </c>
      <c r="GB48" s="2">
        <v>-8.3474009900990094</v>
      </c>
      <c r="GC48" s="2">
        <v>-8.1759158415841586</v>
      </c>
      <c r="GD48" s="2">
        <v>-8.0044306930693061</v>
      </c>
      <c r="GE48" s="2">
        <v>-7.8546732673267323</v>
      </c>
      <c r="GF48" s="2">
        <v>-7.7057623762376233</v>
      </c>
      <c r="GG48" s="2">
        <v>-7.6341003717472118</v>
      </c>
      <c r="GH48" s="2">
        <v>-7.6617583643122673</v>
      </c>
      <c r="GI48" s="2">
        <v>-7.6894163568773228</v>
      </c>
      <c r="GJ48" s="2">
        <v>-7.7170743494423792</v>
      </c>
      <c r="GK48" s="2">
        <v>-7.7447323420074348</v>
      </c>
      <c r="GL48" s="2">
        <v>-7.7723903345724903</v>
      </c>
      <c r="GM48" s="2">
        <v>-7.8000483271375458</v>
      </c>
      <c r="GN48" s="2">
        <v>-7.8277063197026022</v>
      </c>
      <c r="GO48" s="2">
        <v>-7.8553643122676577</v>
      </c>
      <c r="GP48" s="2">
        <v>-7.8830223048327133</v>
      </c>
      <c r="GQ48" s="2">
        <v>-7.9104257425742572</v>
      </c>
      <c r="GR48" s="2">
        <v>-7.9373564356435642</v>
      </c>
      <c r="GS48" s="2">
        <v>-7.964287128712872</v>
      </c>
      <c r="GT48" s="2">
        <v>-7.9905643564356437</v>
      </c>
      <c r="GU48" s="2">
        <v>-8.0167029702970307</v>
      </c>
      <c r="GV48" s="2">
        <v>-8.0428415841584169</v>
      </c>
      <c r="GW48" s="2">
        <v>-8.068980198019803</v>
      </c>
      <c r="GX48" s="2">
        <v>-8.0951188118811892</v>
      </c>
      <c r="GY48" s="2">
        <v>-8.1209504950495059</v>
      </c>
      <c r="GZ48" s="2">
        <v>-8.1466930693069308</v>
      </c>
      <c r="HA48" s="2"/>
      <c r="HB48" s="2"/>
      <c r="HC48" s="2"/>
      <c r="HD48" s="2"/>
      <c r="HE48" s="2"/>
    </row>
    <row r="49" spans="1:213" ht="15" customHeight="1" thickBot="1" x14ac:dyDescent="0.35">
      <c r="A49" s="3" t="s">
        <v>41</v>
      </c>
      <c r="B49" s="32">
        <v>4.3467000000000001E-10</v>
      </c>
      <c r="C49" s="32">
        <v>1.7279E-9</v>
      </c>
      <c r="D49" s="32">
        <v>4.7159000000000002E-9</v>
      </c>
      <c r="E49" s="32">
        <v>8.4282000000000003E-9</v>
      </c>
      <c r="F49" s="32">
        <v>1.0452999999999999E-8</v>
      </c>
      <c r="G49" s="32">
        <v>1.0357999999999999E-8</v>
      </c>
      <c r="H49" s="32">
        <v>9.3366999999999998E-9</v>
      </c>
      <c r="I49" s="32">
        <v>8.3278999999999997E-9</v>
      </c>
      <c r="J49" s="32">
        <v>7.7996000000000002E-9</v>
      </c>
      <c r="K49" s="32">
        <v>7.6445999999999998E-9</v>
      </c>
      <c r="L49" s="32">
        <v>6.7225000000000003E-9</v>
      </c>
      <c r="M49" s="32">
        <v>5.6904999999999997E-9</v>
      </c>
      <c r="N49" s="32">
        <v>4.7269000000000003E-9</v>
      </c>
      <c r="O49" s="32">
        <v>3.8939000000000004E-9</v>
      </c>
      <c r="P49" s="32">
        <v>3.1985000000000001E-9</v>
      </c>
      <c r="Q49" s="32">
        <v>2.6313999999999998E-9</v>
      </c>
      <c r="R49" s="32">
        <v>2.1913000000000001E-9</v>
      </c>
      <c r="S49" s="32">
        <v>1.9058999999999998E-9</v>
      </c>
      <c r="T49" s="32">
        <v>1.3460999999999999E-9</v>
      </c>
      <c r="U49" s="32">
        <v>1.1288000000000001E-9</v>
      </c>
      <c r="V49" s="32">
        <v>9.432100000000001E-10</v>
      </c>
      <c r="W49" s="32">
        <v>7.8925000000000004E-10</v>
      </c>
      <c r="X49" s="32">
        <v>6.6673000000000003E-10</v>
      </c>
      <c r="Y49" s="32">
        <v>3.5906999999999998E-10</v>
      </c>
      <c r="Z49" s="32">
        <v>2.9964999999999999E-10</v>
      </c>
      <c r="AA49" s="32">
        <v>2.5007999999999998E-10</v>
      </c>
      <c r="AB49" s="32">
        <v>2.0885000000000001E-10</v>
      </c>
      <c r="AC49" s="32">
        <v>1.7455999999999999E-10</v>
      </c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CH49" s="32"/>
      <c r="CI49" s="32"/>
      <c r="CJ49" s="32"/>
      <c r="CL49" s="2"/>
      <c r="CM49" s="2"/>
      <c r="CN49" s="2"/>
      <c r="CQ49" s="8">
        <v>173.37682000000001</v>
      </c>
      <c r="CR49" s="8">
        <v>-7.1002000000000001E-3</v>
      </c>
      <c r="CS49" s="4">
        <f t="shared" si="0"/>
        <v>446.52681999999999</v>
      </c>
      <c r="CT49" s="9">
        <f>Таблица1[[#This Row],[DSC/(mW/mg)]]</f>
        <v>-7.1002000000000001E-3</v>
      </c>
      <c r="DO49" s="3" t="s">
        <v>40</v>
      </c>
      <c r="DP49" s="4">
        <v>-22.547673267326733</v>
      </c>
      <c r="DQ49" s="4">
        <v>-22.166188118811881</v>
      </c>
      <c r="DR49" s="4">
        <v>-21.85331683168317</v>
      </c>
      <c r="DS49" s="4">
        <v>-21.551584158415839</v>
      </c>
      <c r="DT49" s="2">
        <v>-21.416930693069304</v>
      </c>
      <c r="DU49" s="2">
        <v>-21.282277227722773</v>
      </c>
      <c r="DV49" s="2">
        <v>-21.217871287128713</v>
      </c>
      <c r="DW49" s="2">
        <v>-21.21391089108911</v>
      </c>
      <c r="DX49" s="2">
        <v>-21.210891089108912</v>
      </c>
      <c r="DY49" s="2">
        <v>-21.282178217821784</v>
      </c>
      <c r="DZ49" s="2">
        <v>-21.353465346534655</v>
      </c>
      <c r="EA49" s="2">
        <v>-21.438267326732674</v>
      </c>
      <c r="EB49" s="2">
        <v>-21.537277227722772</v>
      </c>
      <c r="EC49" s="2">
        <v>-21.636287128712873</v>
      </c>
      <c r="ED49" s="2">
        <v>-21.73529702970297</v>
      </c>
      <c r="EE49" s="2">
        <v>-21.834306930693071</v>
      </c>
      <c r="EF49" s="2">
        <v>-21.928118811881188</v>
      </c>
      <c r="EG49" s="2">
        <v>-22.015247524752475</v>
      </c>
      <c r="EH49" s="2">
        <v>-22.102376237623762</v>
      </c>
      <c r="EI49" s="2">
        <v>-22.180557620817844</v>
      </c>
      <c r="EJ49" s="2">
        <v>-22.257881040892194</v>
      </c>
      <c r="EK49" s="2">
        <v>-22.335204460966544</v>
      </c>
      <c r="EL49" s="2">
        <v>-22.412527881040891</v>
      </c>
      <c r="EM49" s="2">
        <v>-22.489851301115241</v>
      </c>
      <c r="EN49" s="2">
        <v>-22.567174721189591</v>
      </c>
      <c r="EO49" s="2">
        <v>-22.644498141263941</v>
      </c>
      <c r="EP49" s="2">
        <v>-22.721821561338292</v>
      </c>
      <c r="EQ49" s="2">
        <v>-22.799144981412638</v>
      </c>
      <c r="ER49" s="2">
        <v>-22.876468401486989</v>
      </c>
      <c r="ES49" s="2">
        <v>-22.974950495049505</v>
      </c>
      <c r="ET49" s="2">
        <v>-23.077920792079208</v>
      </c>
      <c r="EU49" s="2">
        <v>-23.184455445544554</v>
      </c>
      <c r="EV49" s="2">
        <v>-23.299306930693071</v>
      </c>
      <c r="EW49" s="2">
        <v>-23.414158415841587</v>
      </c>
      <c r="EX49" s="2">
        <v>-23.525940594059406</v>
      </c>
      <c r="EY49" s="2">
        <v>-23.636831683168317</v>
      </c>
      <c r="EZ49" s="2">
        <v>-23.748712871287129</v>
      </c>
      <c r="FA49" s="2">
        <v>-23.863564356435642</v>
      </c>
      <c r="FB49" s="2">
        <v>-23.978415841584159</v>
      </c>
      <c r="FC49" s="2">
        <v>-24.093267326732676</v>
      </c>
      <c r="FD49" s="2">
        <v>-24.208118811881189</v>
      </c>
      <c r="FE49" s="2">
        <v>-24.322178217821783</v>
      </c>
      <c r="FF49" s="2">
        <v>-24.433069306930694</v>
      </c>
      <c r="FG49" s="2">
        <v>-24.543960396039601</v>
      </c>
      <c r="FH49" s="2">
        <v>-24.654851485148512</v>
      </c>
      <c r="FI49" s="2">
        <v>-24.765742574257423</v>
      </c>
      <c r="FJ49" s="2">
        <v>-24.875445544554456</v>
      </c>
      <c r="FK49" s="2">
        <v>-24.978415841584159</v>
      </c>
      <c r="FL49" s="2">
        <v>-25.081386138613862</v>
      </c>
      <c r="FM49" s="2">
        <v>-25.179479553903345</v>
      </c>
      <c r="FN49" s="2">
        <v>-25.274646840148698</v>
      </c>
      <c r="FO49" s="2">
        <v>-25.369814126394051</v>
      </c>
      <c r="FP49" s="2">
        <v>-25.464981412639403</v>
      </c>
      <c r="FQ49" s="2">
        <v>-25.560148698884756</v>
      </c>
      <c r="FR49" s="2">
        <v>-25.655315985130109</v>
      </c>
      <c r="FS49" s="2">
        <v>-25.750483271375465</v>
      </c>
      <c r="FT49" s="2">
        <v>-25.845650557620818</v>
      </c>
      <c r="FU49" s="2">
        <v>-25.940817843866171</v>
      </c>
      <c r="FV49" s="2">
        <v>-26.035985130111523</v>
      </c>
      <c r="FW49" s="2">
        <v>-26.135346534653465</v>
      </c>
      <c r="FX49" s="2">
        <v>-26.238316831683168</v>
      </c>
      <c r="FY49" s="2">
        <v>-26.341336633663367</v>
      </c>
      <c r="FZ49" s="2">
        <v>-26.448267326732672</v>
      </c>
      <c r="GA49" s="2">
        <v>-26.555198019801981</v>
      </c>
      <c r="GB49" s="2">
        <v>-26.660198019801978</v>
      </c>
      <c r="GC49" s="2">
        <v>-26.763168316831685</v>
      </c>
      <c r="GD49" s="2">
        <v>-26.866138613861388</v>
      </c>
      <c r="GE49" s="2">
        <v>-26.96529702970297</v>
      </c>
      <c r="GF49" s="2">
        <v>-27.064306930693071</v>
      </c>
      <c r="GG49" s="2">
        <v>-27.155997521685254</v>
      </c>
      <c r="GH49" s="2">
        <v>-27.238277571251551</v>
      </c>
      <c r="GI49" s="2">
        <v>-27.320557620817844</v>
      </c>
      <c r="GJ49" s="2">
        <v>-27.402837670384137</v>
      </c>
      <c r="GK49" s="2">
        <v>-27.485117719950434</v>
      </c>
      <c r="GL49" s="2">
        <v>-27.567397769516727</v>
      </c>
      <c r="GM49" s="2">
        <v>-27.649677819083024</v>
      </c>
      <c r="GN49" s="2">
        <v>-27.731957868649317</v>
      </c>
      <c r="GO49" s="2">
        <v>-27.814237918215614</v>
      </c>
      <c r="GP49" s="2">
        <v>-27.896517967781907</v>
      </c>
      <c r="GQ49" s="2">
        <v>-27.983267326732673</v>
      </c>
      <c r="GR49" s="2">
        <v>-28.078316831683168</v>
      </c>
      <c r="GS49" s="2">
        <v>-28.173366336633666</v>
      </c>
      <c r="GT49" s="2">
        <v>-28.268415841584158</v>
      </c>
      <c r="GU49" s="2">
        <v>-28.363465346534653</v>
      </c>
      <c r="GV49" s="2">
        <v>-28.457326732673266</v>
      </c>
      <c r="GW49" s="2">
        <v>-28.548415841584159</v>
      </c>
      <c r="GX49" s="2">
        <v>-28.639504950495049</v>
      </c>
      <c r="GY49" s="2">
        <v>-28.733663366336632</v>
      </c>
      <c r="GZ49" s="2">
        <v>-28.828712871287127</v>
      </c>
      <c r="HA49" s="2"/>
      <c r="HB49" s="2"/>
      <c r="HC49" s="2"/>
      <c r="HD49" s="2"/>
      <c r="HE49" s="2"/>
    </row>
    <row r="50" spans="1:213" ht="15" customHeight="1" thickBot="1" x14ac:dyDescent="0.35">
      <c r="A50" s="3" t="s">
        <v>42</v>
      </c>
      <c r="B50" s="32">
        <v>1.5883E-3</v>
      </c>
      <c r="C50" s="32">
        <v>6.8672999999999998E-3</v>
      </c>
      <c r="D50" s="32">
        <v>2.1017999999999998E-2</v>
      </c>
      <c r="E50" s="32">
        <v>4.3103000000000002E-2</v>
      </c>
      <c r="F50" s="32">
        <v>6.2424E-2</v>
      </c>
      <c r="G50" s="32">
        <v>7.3180999999999996E-2</v>
      </c>
      <c r="H50" s="32">
        <v>7.8835000000000002E-2</v>
      </c>
      <c r="I50" s="32">
        <v>8.4666000000000005E-2</v>
      </c>
      <c r="J50" s="32">
        <v>9.6008999999999997E-2</v>
      </c>
      <c r="K50" s="32">
        <v>0.20843</v>
      </c>
      <c r="L50" s="32">
        <v>0.22434999999999999</v>
      </c>
      <c r="M50" s="32">
        <v>0.23249</v>
      </c>
      <c r="N50" s="32">
        <v>0.23638000000000001</v>
      </c>
      <c r="O50" s="32">
        <v>0.23824000000000001</v>
      </c>
      <c r="P50" s="32">
        <v>0.23927000000000001</v>
      </c>
      <c r="Q50" s="32">
        <v>0.24046999999999999</v>
      </c>
      <c r="R50" s="32">
        <v>0.24440000000000001</v>
      </c>
      <c r="S50" s="32">
        <v>0.25914999999999999</v>
      </c>
      <c r="T50" s="32">
        <v>0.39955000000000002</v>
      </c>
      <c r="U50" s="32">
        <v>0.40598000000000001</v>
      </c>
      <c r="V50" s="32">
        <v>0.41055000000000003</v>
      </c>
      <c r="W50" s="32">
        <v>0.41522999999999999</v>
      </c>
      <c r="X50" s="32">
        <v>0.42346</v>
      </c>
      <c r="Y50" s="32">
        <v>0.47866999999999998</v>
      </c>
      <c r="Z50" s="32">
        <v>0.47946</v>
      </c>
      <c r="AA50" s="32">
        <v>0.47976999999999997</v>
      </c>
      <c r="AB50" s="32">
        <v>0.47989999999999999</v>
      </c>
      <c r="AC50" s="32">
        <v>0.47996</v>
      </c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  <c r="CF50" s="32"/>
      <c r="CG50" s="32"/>
      <c r="CH50" s="32"/>
      <c r="CI50" s="32"/>
      <c r="CJ50" s="32"/>
      <c r="CL50" s="2"/>
      <c r="CM50" s="2"/>
      <c r="CN50" s="2"/>
      <c r="CQ50" s="8">
        <v>175.45023</v>
      </c>
      <c r="CR50" s="8">
        <v>-8.1025000000000003E-3</v>
      </c>
      <c r="CS50" s="4">
        <f t="shared" si="0"/>
        <v>448.60023000000001</v>
      </c>
      <c r="CT50" s="9">
        <f>Таблица1[[#This Row],[DSC/(mW/mg)]]</f>
        <v>-8.1025000000000003E-3</v>
      </c>
      <c r="DO50" s="3" t="s">
        <v>41</v>
      </c>
      <c r="DP50" s="4">
        <v>-22.547673267326733</v>
      </c>
      <c r="DQ50" s="4">
        <v>-22.166188118811881</v>
      </c>
      <c r="DR50" s="4">
        <v>-21.85331683168317</v>
      </c>
      <c r="DS50" s="4">
        <v>-21.551584158415839</v>
      </c>
      <c r="DT50" s="2">
        <v>-21.416930693069304</v>
      </c>
      <c r="DU50" s="2">
        <v>-21.282277227722773</v>
      </c>
      <c r="DV50" s="2">
        <v>-21.217871287128713</v>
      </c>
      <c r="DW50" s="2">
        <v>-21.21391089108911</v>
      </c>
      <c r="DX50" s="2">
        <v>-21.210891089108912</v>
      </c>
      <c r="DY50" s="2">
        <v>-21.282178217821784</v>
      </c>
      <c r="DZ50" s="2">
        <v>-21.353465346534655</v>
      </c>
      <c r="EA50" s="2">
        <v>-21.438267326732674</v>
      </c>
      <c r="EB50" s="2">
        <v>-21.537277227722772</v>
      </c>
      <c r="EC50" s="2">
        <v>-21.636287128712873</v>
      </c>
      <c r="ED50" s="2">
        <v>-21.73529702970297</v>
      </c>
      <c r="EE50" s="2">
        <v>-21.834306930693071</v>
      </c>
      <c r="EF50" s="2">
        <v>-21.928118811881188</v>
      </c>
      <c r="EG50" s="2">
        <v>-22.015247524752475</v>
      </c>
      <c r="EH50" s="2">
        <v>-22.102376237623762</v>
      </c>
      <c r="EI50" s="2">
        <v>-22.180557620817844</v>
      </c>
      <c r="EJ50" s="2">
        <v>-22.257881040892194</v>
      </c>
      <c r="EK50" s="2">
        <v>-22.335204460966544</v>
      </c>
      <c r="EL50" s="2">
        <v>-22.412527881040891</v>
      </c>
      <c r="EM50" s="2">
        <v>-22.489851301115241</v>
      </c>
      <c r="EN50" s="2">
        <v>-22.567174721189591</v>
      </c>
      <c r="EO50" s="2">
        <v>-22.644498141263941</v>
      </c>
      <c r="EP50" s="2">
        <v>-22.721821561338292</v>
      </c>
      <c r="EQ50" s="2">
        <v>-22.799144981412638</v>
      </c>
      <c r="ER50" s="2">
        <v>-22.876468401486989</v>
      </c>
      <c r="ES50" s="2">
        <v>-22.974950495049505</v>
      </c>
      <c r="ET50" s="2">
        <v>-23.077920792079208</v>
      </c>
      <c r="EU50" s="2">
        <v>-23.184455445544554</v>
      </c>
      <c r="EV50" s="2">
        <v>-23.299306930693071</v>
      </c>
      <c r="EW50" s="2">
        <v>-23.414158415841587</v>
      </c>
      <c r="EX50" s="2">
        <v>-23.525940594059406</v>
      </c>
      <c r="EY50" s="2">
        <v>-23.636831683168317</v>
      </c>
      <c r="EZ50" s="2">
        <v>-23.748712871287129</v>
      </c>
      <c r="FA50" s="2">
        <v>-23.863564356435642</v>
      </c>
      <c r="FB50" s="2">
        <v>-23.978415841584159</v>
      </c>
      <c r="FC50" s="2">
        <v>-24.093267326732676</v>
      </c>
      <c r="FD50" s="2">
        <v>-24.208118811881189</v>
      </c>
      <c r="FE50" s="2">
        <v>-24.322178217821783</v>
      </c>
      <c r="FF50" s="2">
        <v>-24.433069306930694</v>
      </c>
      <c r="FG50" s="2">
        <v>-24.543960396039601</v>
      </c>
      <c r="FH50" s="2">
        <v>-24.654851485148512</v>
      </c>
      <c r="FI50" s="2">
        <v>-24.765742574257423</v>
      </c>
      <c r="FJ50" s="2">
        <v>-24.875445544554456</v>
      </c>
      <c r="FK50" s="2">
        <v>-24.978415841584159</v>
      </c>
      <c r="FL50" s="2">
        <v>-25.081386138613862</v>
      </c>
      <c r="FM50" s="2">
        <v>-25.179479553903345</v>
      </c>
      <c r="FN50" s="2">
        <v>-25.274646840148698</v>
      </c>
      <c r="FO50" s="2">
        <v>-25.369814126394051</v>
      </c>
      <c r="FP50" s="2">
        <v>-25.464981412639403</v>
      </c>
      <c r="FQ50" s="2">
        <v>-25.560148698884756</v>
      </c>
      <c r="FR50" s="2">
        <v>-25.655315985130109</v>
      </c>
      <c r="FS50" s="2">
        <v>-25.750483271375465</v>
      </c>
      <c r="FT50" s="2">
        <v>-25.845650557620818</v>
      </c>
      <c r="FU50" s="2">
        <v>-25.940817843866171</v>
      </c>
      <c r="FV50" s="2">
        <v>-26.035985130111523</v>
      </c>
      <c r="FW50" s="2">
        <v>-26.135346534653465</v>
      </c>
      <c r="FX50" s="2">
        <v>-26.238316831683168</v>
      </c>
      <c r="FY50" s="2">
        <v>-26.341336633663367</v>
      </c>
      <c r="FZ50" s="2">
        <v>-26.448267326732672</v>
      </c>
      <c r="GA50" s="2">
        <v>-26.555198019801981</v>
      </c>
      <c r="GB50" s="2">
        <v>-26.660198019801978</v>
      </c>
      <c r="GC50" s="2">
        <v>-26.763168316831685</v>
      </c>
      <c r="GD50" s="2">
        <v>-26.866138613861388</v>
      </c>
      <c r="GE50" s="2">
        <v>-26.96529702970297</v>
      </c>
      <c r="GF50" s="2">
        <v>-27.064306930693071</v>
      </c>
      <c r="GG50" s="2">
        <v>-27.155997521685254</v>
      </c>
      <c r="GH50" s="2">
        <v>-27.238277571251551</v>
      </c>
      <c r="GI50" s="2">
        <v>-27.320557620817844</v>
      </c>
      <c r="GJ50" s="2">
        <v>-27.402837670384137</v>
      </c>
      <c r="GK50" s="2">
        <v>-27.485117719950434</v>
      </c>
      <c r="GL50" s="2">
        <v>-27.567397769516727</v>
      </c>
      <c r="GM50" s="2">
        <v>-27.649677819083024</v>
      </c>
      <c r="GN50" s="2">
        <v>-27.731957868649317</v>
      </c>
      <c r="GO50" s="2">
        <v>-27.814237918215614</v>
      </c>
      <c r="GP50" s="2">
        <v>-27.896517967781907</v>
      </c>
      <c r="GQ50" s="2">
        <v>-27.983267326732673</v>
      </c>
      <c r="GR50" s="2">
        <v>-28.078316831683168</v>
      </c>
      <c r="GS50" s="2">
        <v>-28.173366336633666</v>
      </c>
      <c r="GT50" s="2">
        <v>-28.268415841584158</v>
      </c>
      <c r="GU50" s="2">
        <v>-28.363465346534653</v>
      </c>
      <c r="GV50" s="2">
        <v>-28.457326732673266</v>
      </c>
      <c r="GW50" s="2">
        <v>-28.548415841584159</v>
      </c>
      <c r="GX50" s="2">
        <v>-28.639504950495049</v>
      </c>
      <c r="GY50" s="2">
        <v>-28.733663366336632</v>
      </c>
      <c r="GZ50" s="2">
        <v>-28.828712871287127</v>
      </c>
      <c r="HA50" s="2"/>
      <c r="HB50" s="2"/>
      <c r="HC50" s="2"/>
      <c r="HD50" s="2"/>
      <c r="HE50" s="2"/>
    </row>
    <row r="51" spans="1:213" ht="15" customHeight="1" thickBot="1" x14ac:dyDescent="0.35">
      <c r="A51" s="3" t="s">
        <v>43</v>
      </c>
      <c r="B51" s="32">
        <v>4.8220999999999998E-12</v>
      </c>
      <c r="C51" s="32">
        <v>2.6835E-11</v>
      </c>
      <c r="D51" s="32">
        <v>9.8888000000000003E-11</v>
      </c>
      <c r="E51" s="32">
        <v>2.3156E-10</v>
      </c>
      <c r="F51" s="32">
        <v>3.6692000000000001E-10</v>
      </c>
      <c r="G51" s="32">
        <v>4.5460999999999999E-10</v>
      </c>
      <c r="H51" s="32">
        <v>5.0307999999999998E-10</v>
      </c>
      <c r="I51" s="32">
        <v>5.4215000000000004E-10</v>
      </c>
      <c r="J51" s="32">
        <v>6.0499999999999998E-10</v>
      </c>
      <c r="K51" s="32">
        <v>1.0715999999999999E-9</v>
      </c>
      <c r="L51" s="32">
        <v>1.0692E-9</v>
      </c>
      <c r="M51" s="32">
        <v>1.0197999999999999E-9</v>
      </c>
      <c r="N51" s="32">
        <v>9.4844000000000009E-10</v>
      </c>
      <c r="O51" s="32">
        <v>8.6978999999999995E-10</v>
      </c>
      <c r="P51" s="32">
        <v>7.9120000000000002E-10</v>
      </c>
      <c r="Q51" s="32">
        <v>7.1740000000000002E-10</v>
      </c>
      <c r="R51" s="32">
        <v>6.5553999999999999E-10</v>
      </c>
      <c r="S51" s="32">
        <v>6.2310000000000005E-10</v>
      </c>
      <c r="T51" s="32">
        <v>6.0626000000000003E-10</v>
      </c>
      <c r="U51" s="32">
        <v>5.4663E-10</v>
      </c>
      <c r="V51" s="32">
        <v>4.8986E-10</v>
      </c>
      <c r="W51" s="32">
        <v>4.3852999999999998E-10</v>
      </c>
      <c r="X51" s="32">
        <v>3.9540999999999998E-10</v>
      </c>
      <c r="Y51" s="32">
        <v>2.7087000000000002E-10</v>
      </c>
      <c r="Z51" s="32">
        <v>2.3897E-10</v>
      </c>
      <c r="AA51" s="32">
        <v>2.1051999999999999E-10</v>
      </c>
      <c r="AB51" s="32">
        <v>1.8528000000000001E-10</v>
      </c>
      <c r="AC51" s="32">
        <v>1.6297000000000001E-10</v>
      </c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32"/>
      <c r="CI51" s="32"/>
      <c r="CJ51" s="32"/>
      <c r="CL51" s="2"/>
      <c r="CM51" s="2"/>
      <c r="CN51" s="2"/>
      <c r="CQ51" s="8">
        <v>177.52364</v>
      </c>
      <c r="CR51" s="8">
        <v>-9.6153000000000002E-3</v>
      </c>
      <c r="CS51" s="4">
        <f t="shared" si="0"/>
        <v>450.67363999999998</v>
      </c>
      <c r="CT51" s="9">
        <f>Таблица1[[#This Row],[DSC/(mW/mg)]]</f>
        <v>-9.6153000000000002E-3</v>
      </c>
      <c r="DO51" s="3" t="s">
        <v>42</v>
      </c>
      <c r="DP51" s="4">
        <v>-22.547673267326733</v>
      </c>
      <c r="DQ51" s="4">
        <v>-22.166188118811881</v>
      </c>
      <c r="DR51" s="4">
        <v>-21.85331683168317</v>
      </c>
      <c r="DS51" s="4">
        <v>-21.551584158415839</v>
      </c>
      <c r="DT51" s="2">
        <v>-21.416930693069304</v>
      </c>
      <c r="DU51" s="2">
        <v>-21.282277227722773</v>
      </c>
      <c r="DV51" s="2">
        <v>-21.217871287128713</v>
      </c>
      <c r="DW51" s="2">
        <v>-21.21391089108911</v>
      </c>
      <c r="DX51" s="2">
        <v>-21.210891089108912</v>
      </c>
      <c r="DY51" s="2">
        <v>-21.282178217821784</v>
      </c>
      <c r="DZ51" s="2">
        <v>-21.353465346534655</v>
      </c>
      <c r="EA51" s="2">
        <v>-21.438267326732674</v>
      </c>
      <c r="EB51" s="2">
        <v>-21.537277227722772</v>
      </c>
      <c r="EC51" s="2">
        <v>-21.636287128712873</v>
      </c>
      <c r="ED51" s="2">
        <v>-21.73529702970297</v>
      </c>
      <c r="EE51" s="2">
        <v>-21.834306930693071</v>
      </c>
      <c r="EF51" s="2">
        <v>-21.928118811881188</v>
      </c>
      <c r="EG51" s="2">
        <v>-22.015247524752475</v>
      </c>
      <c r="EH51" s="2">
        <v>-22.102376237623762</v>
      </c>
      <c r="EI51" s="2">
        <v>-22.180557620817844</v>
      </c>
      <c r="EJ51" s="2">
        <v>-22.257881040892194</v>
      </c>
      <c r="EK51" s="2">
        <v>-22.335204460966544</v>
      </c>
      <c r="EL51" s="2">
        <v>-22.412527881040891</v>
      </c>
      <c r="EM51" s="2">
        <v>-22.489851301115241</v>
      </c>
      <c r="EN51" s="2">
        <v>-22.567174721189591</v>
      </c>
      <c r="EO51" s="2">
        <v>-22.644498141263941</v>
      </c>
      <c r="EP51" s="2">
        <v>-22.721821561338292</v>
      </c>
      <c r="EQ51" s="2">
        <v>-22.799144981412638</v>
      </c>
      <c r="ER51" s="2">
        <v>-22.876468401486989</v>
      </c>
      <c r="ES51" s="2">
        <v>-22.974950495049505</v>
      </c>
      <c r="ET51" s="2">
        <v>-23.077920792079208</v>
      </c>
      <c r="EU51" s="2">
        <v>-23.184455445544554</v>
      </c>
      <c r="EV51" s="2">
        <v>-23.299306930693071</v>
      </c>
      <c r="EW51" s="2">
        <v>-23.414158415841587</v>
      </c>
      <c r="EX51" s="2">
        <v>-23.525940594059406</v>
      </c>
      <c r="EY51" s="2">
        <v>-23.636831683168317</v>
      </c>
      <c r="EZ51" s="2">
        <v>-23.748712871287129</v>
      </c>
      <c r="FA51" s="2">
        <v>-23.863564356435642</v>
      </c>
      <c r="FB51" s="2">
        <v>-23.978415841584159</v>
      </c>
      <c r="FC51" s="2">
        <v>-24.093267326732676</v>
      </c>
      <c r="FD51" s="2">
        <v>-24.208118811881189</v>
      </c>
      <c r="FE51" s="2">
        <v>-24.322178217821783</v>
      </c>
      <c r="FF51" s="2">
        <v>-24.433069306930694</v>
      </c>
      <c r="FG51" s="2">
        <v>-24.543960396039601</v>
      </c>
      <c r="FH51" s="2">
        <v>-24.654851485148512</v>
      </c>
      <c r="FI51" s="2">
        <v>-24.765742574257423</v>
      </c>
      <c r="FJ51" s="2">
        <v>-24.875445544554456</v>
      </c>
      <c r="FK51" s="2">
        <v>-24.978415841584159</v>
      </c>
      <c r="FL51" s="2">
        <v>-25.081386138613862</v>
      </c>
      <c r="FM51" s="2">
        <v>-25.179479553903345</v>
      </c>
      <c r="FN51" s="2">
        <v>-25.274646840148698</v>
      </c>
      <c r="FO51" s="2">
        <v>-25.369814126394051</v>
      </c>
      <c r="FP51" s="2">
        <v>-25.464981412639403</v>
      </c>
      <c r="FQ51" s="2">
        <v>-25.560148698884756</v>
      </c>
      <c r="FR51" s="2">
        <v>-25.655315985130109</v>
      </c>
      <c r="FS51" s="2">
        <v>-25.750483271375465</v>
      </c>
      <c r="FT51" s="2">
        <v>-25.845650557620818</v>
      </c>
      <c r="FU51" s="2">
        <v>-25.940817843866171</v>
      </c>
      <c r="FV51" s="2">
        <v>-26.035985130111523</v>
      </c>
      <c r="FW51" s="2">
        <v>-26.135346534653465</v>
      </c>
      <c r="FX51" s="2">
        <v>-26.238316831683168</v>
      </c>
      <c r="FY51" s="2">
        <v>-26.341336633663367</v>
      </c>
      <c r="FZ51" s="2">
        <v>-26.448267326732672</v>
      </c>
      <c r="GA51" s="2">
        <v>-26.555198019801981</v>
      </c>
      <c r="GB51" s="2">
        <v>-26.660198019801978</v>
      </c>
      <c r="GC51" s="2">
        <v>-26.763168316831685</v>
      </c>
      <c r="GD51" s="2">
        <v>-26.866138613861388</v>
      </c>
      <c r="GE51" s="2">
        <v>-26.96529702970297</v>
      </c>
      <c r="GF51" s="2">
        <v>-27.064306930693071</v>
      </c>
      <c r="GG51" s="2">
        <v>-27.155997521685254</v>
      </c>
      <c r="GH51" s="2">
        <v>-27.238277571251551</v>
      </c>
      <c r="GI51" s="2">
        <v>-27.320557620817844</v>
      </c>
      <c r="GJ51" s="2">
        <v>-27.402837670384137</v>
      </c>
      <c r="GK51" s="2">
        <v>-27.485117719950434</v>
      </c>
      <c r="GL51" s="2">
        <v>-27.567397769516727</v>
      </c>
      <c r="GM51" s="2">
        <v>-27.649677819083024</v>
      </c>
      <c r="GN51" s="2">
        <v>-27.731957868649317</v>
      </c>
      <c r="GO51" s="2">
        <v>-27.814237918215614</v>
      </c>
      <c r="GP51" s="2">
        <v>-27.896517967781907</v>
      </c>
      <c r="GQ51" s="2">
        <v>-27.983267326732673</v>
      </c>
      <c r="GR51" s="2">
        <v>-28.078316831683168</v>
      </c>
      <c r="GS51" s="2">
        <v>-28.173366336633666</v>
      </c>
      <c r="GT51" s="2">
        <v>-28.268415841584158</v>
      </c>
      <c r="GU51" s="2">
        <v>-28.363465346534653</v>
      </c>
      <c r="GV51" s="2">
        <v>-28.457326732673266</v>
      </c>
      <c r="GW51" s="2">
        <v>-28.548415841584159</v>
      </c>
      <c r="GX51" s="2">
        <v>-28.639504950495049</v>
      </c>
      <c r="GY51" s="2">
        <v>-28.733663366336632</v>
      </c>
      <c r="GZ51" s="2">
        <v>-28.828712871287127</v>
      </c>
      <c r="HA51" s="2"/>
      <c r="HB51" s="2"/>
      <c r="HC51" s="2"/>
      <c r="HD51" s="2"/>
      <c r="HE51" s="2"/>
    </row>
    <row r="52" spans="1:213" ht="15" customHeight="1" thickBot="1" x14ac:dyDescent="0.35">
      <c r="A52" s="3" t="s">
        <v>44</v>
      </c>
      <c r="B52" s="32">
        <v>3.0460000000000001E-7</v>
      </c>
      <c r="C52" s="32">
        <v>7.9172999999999996E-7</v>
      </c>
      <c r="D52" s="32">
        <v>2.5660999999999999E-6</v>
      </c>
      <c r="E52" s="32">
        <v>1.0835999999999999E-5</v>
      </c>
      <c r="F52" s="32">
        <v>5.0284000000000002E-5</v>
      </c>
      <c r="G52" s="32">
        <v>2.2064E-4</v>
      </c>
      <c r="H52" s="32">
        <v>8.6361000000000001E-4</v>
      </c>
      <c r="I52" s="32">
        <v>2.9274000000000001E-3</v>
      </c>
      <c r="J52" s="32">
        <v>8.2600999999999994E-3</v>
      </c>
      <c r="K52" s="32">
        <v>6.4222000000000001E-2</v>
      </c>
      <c r="L52" s="32">
        <v>7.2174000000000002E-2</v>
      </c>
      <c r="M52" s="32">
        <v>7.6243000000000005E-2</v>
      </c>
      <c r="N52" s="32">
        <v>7.8188999999999995E-2</v>
      </c>
      <c r="O52" s="32">
        <v>7.9107999999999998E-2</v>
      </c>
      <c r="P52" s="32">
        <v>7.9548999999999995E-2</v>
      </c>
      <c r="Q52" s="32">
        <v>7.9765000000000003E-2</v>
      </c>
      <c r="R52" s="32">
        <v>7.9874000000000001E-2</v>
      </c>
      <c r="S52" s="32">
        <v>7.9929E-2</v>
      </c>
      <c r="T52" s="32">
        <v>7.9991000000000007E-2</v>
      </c>
      <c r="U52" s="32">
        <v>7.9993999999999996E-2</v>
      </c>
      <c r="V52" s="32">
        <v>7.9995999999999998E-2</v>
      </c>
      <c r="W52" s="32">
        <v>7.9998E-2</v>
      </c>
      <c r="X52" s="32">
        <v>7.9913999999999999E-2</v>
      </c>
      <c r="Y52" s="32">
        <v>7.7256000000000005E-2</v>
      </c>
      <c r="Z52" s="32">
        <v>7.6824000000000003E-2</v>
      </c>
      <c r="AA52" s="32">
        <v>7.6387999999999998E-2</v>
      </c>
      <c r="AB52" s="32">
        <v>7.5944999999999999E-2</v>
      </c>
      <c r="AC52" s="32">
        <v>7.5490000000000002E-2</v>
      </c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L52" s="2"/>
      <c r="CM52" s="2"/>
      <c r="CN52" s="2"/>
      <c r="CQ52" s="8">
        <v>179.59705</v>
      </c>
      <c r="CR52" s="8">
        <v>-1.0995E-2</v>
      </c>
      <c r="CS52" s="4">
        <f t="shared" si="0"/>
        <v>452.74704999999994</v>
      </c>
      <c r="CT52" s="9">
        <f>Таблица1[[#This Row],[DSC/(mW/mg)]]</f>
        <v>-1.0995E-2</v>
      </c>
      <c r="DO52" s="3" t="s">
        <v>43</v>
      </c>
      <c r="DP52" s="4">
        <v>-22.547673267326733</v>
      </c>
      <c r="DQ52" s="4">
        <v>-22.166188118811881</v>
      </c>
      <c r="DR52" s="4">
        <v>-21.85331683168317</v>
      </c>
      <c r="DS52" s="4">
        <v>-21.551584158415839</v>
      </c>
      <c r="DT52" s="2">
        <v>-21.416930693069304</v>
      </c>
      <c r="DU52" s="2">
        <v>-21.282277227722773</v>
      </c>
      <c r="DV52" s="2">
        <v>-21.217871287128713</v>
      </c>
      <c r="DW52" s="2">
        <v>-21.21391089108911</v>
      </c>
      <c r="DX52" s="2">
        <v>-21.210891089108912</v>
      </c>
      <c r="DY52" s="2">
        <v>-21.282178217821784</v>
      </c>
      <c r="DZ52" s="2">
        <v>-21.353465346534655</v>
      </c>
      <c r="EA52" s="2">
        <v>-21.438267326732674</v>
      </c>
      <c r="EB52" s="2">
        <v>-21.537277227722772</v>
      </c>
      <c r="EC52" s="2">
        <v>-21.636287128712873</v>
      </c>
      <c r="ED52" s="2">
        <v>-21.73529702970297</v>
      </c>
      <c r="EE52" s="2">
        <v>-21.834306930693071</v>
      </c>
      <c r="EF52" s="2">
        <v>-21.928118811881188</v>
      </c>
      <c r="EG52" s="2">
        <v>-22.015247524752475</v>
      </c>
      <c r="EH52" s="2">
        <v>-22.102376237623762</v>
      </c>
      <c r="EI52" s="2">
        <v>-22.180557620817844</v>
      </c>
      <c r="EJ52" s="2">
        <v>-22.257881040892194</v>
      </c>
      <c r="EK52" s="2">
        <v>-22.335204460966544</v>
      </c>
      <c r="EL52" s="2">
        <v>-22.412527881040891</v>
      </c>
      <c r="EM52" s="2">
        <v>-22.489851301115241</v>
      </c>
      <c r="EN52" s="2">
        <v>-22.567174721189591</v>
      </c>
      <c r="EO52" s="2">
        <v>-22.644498141263941</v>
      </c>
      <c r="EP52" s="2">
        <v>-22.721821561338292</v>
      </c>
      <c r="EQ52" s="2">
        <v>-22.799144981412638</v>
      </c>
      <c r="ER52" s="2">
        <v>-22.876468401486989</v>
      </c>
      <c r="ES52" s="2">
        <v>-22.974950495049505</v>
      </c>
      <c r="ET52" s="2">
        <v>-23.077920792079208</v>
      </c>
      <c r="EU52" s="2">
        <v>-23.184455445544554</v>
      </c>
      <c r="EV52" s="2">
        <v>-23.299306930693071</v>
      </c>
      <c r="EW52" s="2">
        <v>-23.414158415841587</v>
      </c>
      <c r="EX52" s="2">
        <v>-23.525940594059406</v>
      </c>
      <c r="EY52" s="2">
        <v>-23.636831683168317</v>
      </c>
      <c r="EZ52" s="2">
        <v>-23.748712871287129</v>
      </c>
      <c r="FA52" s="2">
        <v>-23.863564356435642</v>
      </c>
      <c r="FB52" s="2">
        <v>-23.978415841584159</v>
      </c>
      <c r="FC52" s="2">
        <v>-24.093267326732676</v>
      </c>
      <c r="FD52" s="2">
        <v>-24.208118811881189</v>
      </c>
      <c r="FE52" s="2">
        <v>-24.322178217821783</v>
      </c>
      <c r="FF52" s="2">
        <v>-24.433069306930694</v>
      </c>
      <c r="FG52" s="2">
        <v>-24.543960396039601</v>
      </c>
      <c r="FH52" s="2">
        <v>-24.654851485148512</v>
      </c>
      <c r="FI52" s="2">
        <v>-24.765742574257423</v>
      </c>
      <c r="FJ52" s="2">
        <v>-24.875445544554456</v>
      </c>
      <c r="FK52" s="2">
        <v>-24.978415841584159</v>
      </c>
      <c r="FL52" s="2">
        <v>-25.081386138613862</v>
      </c>
      <c r="FM52" s="2">
        <v>-25.179479553903345</v>
      </c>
      <c r="FN52" s="2">
        <v>-25.274646840148698</v>
      </c>
      <c r="FO52" s="2">
        <v>-25.369814126394051</v>
      </c>
      <c r="FP52" s="2">
        <v>-25.464981412639403</v>
      </c>
      <c r="FQ52" s="2">
        <v>-25.560148698884756</v>
      </c>
      <c r="FR52" s="2">
        <v>-25.655315985130109</v>
      </c>
      <c r="FS52" s="2">
        <v>-25.750483271375465</v>
      </c>
      <c r="FT52" s="2">
        <v>-25.845650557620818</v>
      </c>
      <c r="FU52" s="2">
        <v>-25.940817843866171</v>
      </c>
      <c r="FV52" s="2">
        <v>-26.035985130111523</v>
      </c>
      <c r="FW52" s="2">
        <v>-26.135346534653465</v>
      </c>
      <c r="FX52" s="2">
        <v>-26.238316831683168</v>
      </c>
      <c r="FY52" s="2">
        <v>-26.341336633663367</v>
      </c>
      <c r="FZ52" s="2">
        <v>-26.448267326732672</v>
      </c>
      <c r="GA52" s="2">
        <v>-26.555198019801981</v>
      </c>
      <c r="GB52" s="2">
        <v>-26.660198019801978</v>
      </c>
      <c r="GC52" s="2">
        <v>-26.763168316831685</v>
      </c>
      <c r="GD52" s="2">
        <v>-26.866138613861388</v>
      </c>
      <c r="GE52" s="2">
        <v>-26.96529702970297</v>
      </c>
      <c r="GF52" s="2">
        <v>-27.064306930693071</v>
      </c>
      <c r="GG52" s="2">
        <v>-27.155997521685254</v>
      </c>
      <c r="GH52" s="2">
        <v>-27.238277571251551</v>
      </c>
      <c r="GI52" s="2">
        <v>-27.320557620817844</v>
      </c>
      <c r="GJ52" s="2">
        <v>-27.402837670384137</v>
      </c>
      <c r="GK52" s="2">
        <v>-27.485117719950434</v>
      </c>
      <c r="GL52" s="2">
        <v>-27.567397769516727</v>
      </c>
      <c r="GM52" s="2">
        <v>-27.649677819083024</v>
      </c>
      <c r="GN52" s="2">
        <v>-27.731957868649317</v>
      </c>
      <c r="GO52" s="2">
        <v>-27.814237918215614</v>
      </c>
      <c r="GP52" s="2">
        <v>-27.896517967781907</v>
      </c>
      <c r="GQ52" s="2">
        <v>-27.983267326732673</v>
      </c>
      <c r="GR52" s="2">
        <v>-28.078316831683168</v>
      </c>
      <c r="GS52" s="2">
        <v>-28.173366336633666</v>
      </c>
      <c r="GT52" s="2">
        <v>-28.268415841584158</v>
      </c>
      <c r="GU52" s="2">
        <v>-28.363465346534653</v>
      </c>
      <c r="GV52" s="2">
        <v>-28.457326732673266</v>
      </c>
      <c r="GW52" s="2">
        <v>-28.548415841584159</v>
      </c>
      <c r="GX52" s="2">
        <v>-28.639504950495049</v>
      </c>
      <c r="GY52" s="2">
        <v>-28.733663366336632</v>
      </c>
      <c r="GZ52" s="2">
        <v>-28.828712871287127</v>
      </c>
      <c r="HA52" s="2"/>
      <c r="HB52" s="2"/>
      <c r="HC52" s="2"/>
      <c r="HD52" s="2"/>
      <c r="HE52" s="2"/>
    </row>
    <row r="53" spans="1:213" ht="15" customHeight="1" thickBot="1" x14ac:dyDescent="0.35">
      <c r="A53" s="3" t="s">
        <v>45</v>
      </c>
      <c r="B53" s="32">
        <v>0</v>
      </c>
      <c r="C53" s="32">
        <v>0</v>
      </c>
      <c r="D53" s="32">
        <v>0</v>
      </c>
      <c r="E53" s="32">
        <v>0</v>
      </c>
      <c r="F53" s="32">
        <v>0</v>
      </c>
      <c r="G53" s="32">
        <v>0</v>
      </c>
      <c r="H53" s="32">
        <v>0</v>
      </c>
      <c r="I53" s="32">
        <v>0</v>
      </c>
      <c r="J53" s="32">
        <v>0</v>
      </c>
      <c r="K53" s="32">
        <v>0</v>
      </c>
      <c r="L53" s="32">
        <v>0</v>
      </c>
      <c r="M53" s="32">
        <v>0</v>
      </c>
      <c r="N53" s="32">
        <v>0</v>
      </c>
      <c r="O53" s="32">
        <v>0</v>
      </c>
      <c r="P53" s="32">
        <v>0</v>
      </c>
      <c r="Q53" s="32">
        <v>0</v>
      </c>
      <c r="R53" s="32">
        <v>0</v>
      </c>
      <c r="S53" s="32">
        <v>0</v>
      </c>
      <c r="T53" s="32">
        <v>8.4594000000000007E-30</v>
      </c>
      <c r="U53" s="32">
        <v>5.8909000000000003E-22</v>
      </c>
      <c r="V53" s="32">
        <v>6.6172000000000003E-15</v>
      </c>
      <c r="W53" s="32">
        <v>3.8591999999999999E-8</v>
      </c>
      <c r="X53" s="32">
        <v>7.1447999999999998E-3</v>
      </c>
      <c r="Y53" s="32">
        <v>0.14255000000000001</v>
      </c>
      <c r="Z53" s="32">
        <v>0.14792</v>
      </c>
      <c r="AA53" s="32">
        <v>0.15159</v>
      </c>
      <c r="AB53" s="32">
        <v>0.15412000000000001</v>
      </c>
      <c r="AC53" s="32">
        <v>0.15592</v>
      </c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32"/>
      <c r="CI53" s="32"/>
      <c r="CJ53" s="32"/>
      <c r="CL53" s="2"/>
      <c r="CM53" s="2"/>
      <c r="CN53" s="2"/>
      <c r="CQ53" s="8">
        <v>181.67045999999999</v>
      </c>
      <c r="CR53" s="8">
        <v>-1.1660999999999999E-2</v>
      </c>
      <c r="CS53" s="4">
        <f t="shared" si="0"/>
        <v>454.82045999999997</v>
      </c>
      <c r="CT53" s="9">
        <f>Таблица1[[#This Row],[DSC/(mW/mg)]]</f>
        <v>-1.1660999999999999E-2</v>
      </c>
      <c r="DO53" s="3" t="s">
        <v>44</v>
      </c>
      <c r="DP53" s="4">
        <v>-16.351930693069306</v>
      </c>
      <c r="DQ53" s="4">
        <v>-15.944059405940594</v>
      </c>
      <c r="DR53" s="4">
        <v>-15.508415841584158</v>
      </c>
      <c r="DS53" s="4">
        <v>-15.067326732673267</v>
      </c>
      <c r="DT53" s="2">
        <v>-14.544554455445544</v>
      </c>
      <c r="DU53" s="2">
        <v>-14.021782178217821</v>
      </c>
      <c r="DV53" s="2">
        <v>-13.475594059405939</v>
      </c>
      <c r="DW53" s="2">
        <v>-12.909257425742572</v>
      </c>
      <c r="DX53" s="2">
        <v>-12.343019801980196</v>
      </c>
      <c r="DY53" s="2">
        <v>-11.784603960396039</v>
      </c>
      <c r="DZ53" s="2">
        <v>-11.226188118811882</v>
      </c>
      <c r="EA53" s="2">
        <v>-10.687272277227724</v>
      </c>
      <c r="EB53" s="2">
        <v>-10.168856435643566</v>
      </c>
      <c r="EC53" s="2">
        <v>-9.6504405940594076</v>
      </c>
      <c r="ED53" s="2">
        <v>-9.188059405940594</v>
      </c>
      <c r="EE53" s="2">
        <v>-8.7278613861386134</v>
      </c>
      <c r="EF53" s="2">
        <v>-8.3035297029702964</v>
      </c>
      <c r="EG53" s="2">
        <v>-7.9253118811881187</v>
      </c>
      <c r="EH53" s="2">
        <v>-7.5470940594059401</v>
      </c>
      <c r="EI53" s="2">
        <v>-7.37523667905824</v>
      </c>
      <c r="EJ53" s="2">
        <v>-7.2231672862453529</v>
      </c>
      <c r="EK53" s="2">
        <v>-7.0710978934324658</v>
      </c>
      <c r="EL53" s="2">
        <v>-6.9190285006195786</v>
      </c>
      <c r="EM53" s="2">
        <v>-6.7669591078066915</v>
      </c>
      <c r="EN53" s="2">
        <v>-6.6148897149938044</v>
      </c>
      <c r="EO53" s="2">
        <v>-6.4628203221809173</v>
      </c>
      <c r="EP53" s="2">
        <v>-6.3107509293680302</v>
      </c>
      <c r="EQ53" s="2">
        <v>-6.1586815365551431</v>
      </c>
      <c r="ER53" s="2">
        <v>-6.006612143742255</v>
      </c>
      <c r="ES53" s="2">
        <v>-5.9705247524752476</v>
      </c>
      <c r="ET53" s="2">
        <v>-5.9590396039603961</v>
      </c>
      <c r="EU53" s="2">
        <v>-5.9526633663366333</v>
      </c>
      <c r="EV53" s="2">
        <v>-5.9582079207920788</v>
      </c>
      <c r="EW53" s="2">
        <v>-5.9637524752475244</v>
      </c>
      <c r="EX53" s="2">
        <v>-5.9751287128712871</v>
      </c>
      <c r="EY53" s="2">
        <v>-5.9881980198019802</v>
      </c>
      <c r="EZ53" s="2">
        <v>-6.0022574257425747</v>
      </c>
      <c r="FA53" s="2">
        <v>-6.0192871287128717</v>
      </c>
      <c r="FB53" s="2">
        <v>-6.0363168316831688</v>
      </c>
      <c r="FC53" s="2">
        <v>-6.0544950495049505</v>
      </c>
      <c r="FD53" s="2">
        <v>-6.0731089108910892</v>
      </c>
      <c r="FE53" s="2">
        <v>-6.091960396039604</v>
      </c>
      <c r="FF53" s="2">
        <v>-6.1117623762376239</v>
      </c>
      <c r="FG53" s="2">
        <v>-6.1315643564356437</v>
      </c>
      <c r="FH53" s="2">
        <v>-6.1540396039603964</v>
      </c>
      <c r="FI53" s="2">
        <v>-6.1778019801980202</v>
      </c>
      <c r="FJ53" s="2">
        <v>-6.2031683168316833</v>
      </c>
      <c r="FK53" s="2">
        <v>-6.2376237623762378</v>
      </c>
      <c r="FL53" s="2">
        <v>-6.2720792079207923</v>
      </c>
      <c r="FM53" s="2">
        <v>-6.3157311028500622</v>
      </c>
      <c r="FN53" s="2">
        <v>-6.364900867410161</v>
      </c>
      <c r="FO53" s="2">
        <v>-6.4140706319702598</v>
      </c>
      <c r="FP53" s="2">
        <v>-6.4632403965303595</v>
      </c>
      <c r="FQ53" s="2">
        <v>-6.5124101610904583</v>
      </c>
      <c r="FR53" s="2">
        <v>-6.5615799256505571</v>
      </c>
      <c r="FS53" s="2">
        <v>-6.6107496902106568</v>
      </c>
      <c r="FT53" s="2">
        <v>-6.6599194547707556</v>
      </c>
      <c r="FU53" s="2">
        <v>-6.7090892193308544</v>
      </c>
      <c r="FV53" s="2">
        <v>-6.7582589838909533</v>
      </c>
      <c r="FW53" s="2">
        <v>-6.7944108910891083</v>
      </c>
      <c r="FX53" s="2">
        <v>-6.8193613861386142</v>
      </c>
      <c r="FY53" s="2">
        <v>-6.8443019801980203</v>
      </c>
      <c r="FZ53" s="2">
        <v>-6.8684603960396045</v>
      </c>
      <c r="GA53" s="2">
        <v>-6.8926188118811886</v>
      </c>
      <c r="GB53" s="2">
        <v>-6.9167772277227728</v>
      </c>
      <c r="GC53" s="2">
        <v>-6.940935643564357</v>
      </c>
      <c r="GD53" s="2">
        <v>-6.9650940594059412</v>
      </c>
      <c r="GE53" s="2">
        <v>-6.9896336633663365</v>
      </c>
      <c r="GF53" s="2">
        <v>-7.0141881188118811</v>
      </c>
      <c r="GG53" s="2">
        <v>-7.0354163568773229</v>
      </c>
      <c r="GH53" s="2">
        <v>-7.0523680297397764</v>
      </c>
      <c r="GI53" s="2">
        <v>-7.0693197026022299</v>
      </c>
      <c r="GJ53" s="2">
        <v>-7.0862713754646833</v>
      </c>
      <c r="GK53" s="2">
        <v>-7.1032230483271368</v>
      </c>
      <c r="GL53" s="2">
        <v>-7.1201747211895912</v>
      </c>
      <c r="GM53" s="2">
        <v>-7.1371263940520446</v>
      </c>
      <c r="GN53" s="2">
        <v>-7.1540780669144981</v>
      </c>
      <c r="GO53" s="2">
        <v>-7.1710297397769516</v>
      </c>
      <c r="GP53" s="2">
        <v>-7.187981412639405</v>
      </c>
      <c r="GQ53" s="2">
        <v>-7.2050990099009899</v>
      </c>
      <c r="GR53" s="2">
        <v>-7.2225247524752474</v>
      </c>
      <c r="GS53" s="2">
        <v>-7.2399504950495057</v>
      </c>
      <c r="GT53" s="2">
        <v>-7.2577029702970304</v>
      </c>
      <c r="GU53" s="2">
        <v>-7.2755247524752482</v>
      </c>
      <c r="GV53" s="2">
        <v>-7.2933465346534652</v>
      </c>
      <c r="GW53" s="2">
        <v>-7.311168316831683</v>
      </c>
      <c r="GX53" s="2">
        <v>-7.3289900990099008</v>
      </c>
      <c r="GY53" s="2">
        <v>-7.3468118811881187</v>
      </c>
      <c r="GZ53" s="2">
        <v>-7.3646336633663365</v>
      </c>
      <c r="HA53" s="2"/>
      <c r="HB53" s="2"/>
      <c r="HC53" s="2"/>
      <c r="HD53" s="2"/>
      <c r="HE53" s="2"/>
    </row>
    <row r="54" spans="1:213" ht="15" customHeight="1" thickBot="1" x14ac:dyDescent="0.35">
      <c r="A54" s="3" t="s">
        <v>46</v>
      </c>
      <c r="B54" s="32">
        <v>0</v>
      </c>
      <c r="C54" s="32">
        <v>0</v>
      </c>
      <c r="D54" s="32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32">
        <v>0</v>
      </c>
      <c r="K54" s="32">
        <v>0</v>
      </c>
      <c r="L54" s="32">
        <v>0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9.4355000000000004E-31</v>
      </c>
      <c r="U54" s="32">
        <v>4.2505999999999999E-23</v>
      </c>
      <c r="V54" s="32">
        <v>3.1832999999999999E-16</v>
      </c>
      <c r="W54" s="32">
        <v>1.2669E-9</v>
      </c>
      <c r="X54" s="32">
        <v>1.6851E-4</v>
      </c>
      <c r="Y54" s="32">
        <v>5.4868E-3</v>
      </c>
      <c r="Z54" s="32">
        <v>6.352E-3</v>
      </c>
      <c r="AA54" s="32">
        <v>7.2240000000000004E-3</v>
      </c>
      <c r="AB54" s="32">
        <v>8.1103000000000008E-3</v>
      </c>
      <c r="AC54" s="32">
        <v>9.0189999999999992E-3</v>
      </c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L54" s="2"/>
      <c r="CM54" s="2"/>
      <c r="CN54" s="2"/>
      <c r="CQ54" s="8">
        <v>183.74386999999999</v>
      </c>
      <c r="CR54" s="8">
        <v>-1.2218E-2</v>
      </c>
      <c r="CS54" s="4">
        <f t="shared" si="0"/>
        <v>456.89386999999999</v>
      </c>
      <c r="CT54" s="9">
        <f>Таблица1[[#This Row],[DSC/(mW/mg)]]</f>
        <v>-1.2218E-2</v>
      </c>
      <c r="DO54" s="3" t="s">
        <v>45</v>
      </c>
      <c r="DP54" s="4">
        <v>-62.678811881188125</v>
      </c>
      <c r="DQ54" s="4">
        <v>-60.98742574257426</v>
      </c>
      <c r="DR54" s="4">
        <v>-59.331980198019806</v>
      </c>
      <c r="DS54" s="4">
        <v>-57.676534653465346</v>
      </c>
      <c r="DT54" s="2">
        <v>-56.021089108910893</v>
      </c>
      <c r="DU54" s="2">
        <v>-54.365643564356432</v>
      </c>
      <c r="DV54" s="2">
        <v>-52.722970297029704</v>
      </c>
      <c r="DW54" s="2">
        <v>-51.091287128712864</v>
      </c>
      <c r="DX54" s="2">
        <v>-49.460544554455439</v>
      </c>
      <c r="DY54" s="2">
        <v>-47.904108910891082</v>
      </c>
      <c r="DZ54" s="2">
        <v>-46.347673267326734</v>
      </c>
      <c r="EA54" s="2">
        <v>-44.845297029702969</v>
      </c>
      <c r="EB54" s="2">
        <v>-43.399752475247524</v>
      </c>
      <c r="EC54" s="2">
        <v>-41.954207920792079</v>
      </c>
      <c r="ED54" s="2">
        <v>-40.634455445544553</v>
      </c>
      <c r="EE54" s="2">
        <v>-39.319603960396037</v>
      </c>
      <c r="EF54" s="2">
        <v>-38.065396039603961</v>
      </c>
      <c r="EG54" s="2">
        <v>-36.889158415841585</v>
      </c>
      <c r="EH54" s="2">
        <v>-35.712920792079203</v>
      </c>
      <c r="EI54" s="2">
        <v>-34.752453531598512</v>
      </c>
      <c r="EJ54" s="2">
        <v>-33.81267657992565</v>
      </c>
      <c r="EK54" s="2">
        <v>-32.872899628252789</v>
      </c>
      <c r="EL54" s="2">
        <v>-31.933122676579924</v>
      </c>
      <c r="EM54" s="2">
        <v>-30.993345724907059</v>
      </c>
      <c r="EN54" s="2">
        <v>-30.053568773234197</v>
      </c>
      <c r="EO54" s="2">
        <v>-29.113791821561335</v>
      </c>
      <c r="EP54" s="2">
        <v>-28.174014869888474</v>
      </c>
      <c r="EQ54" s="2">
        <v>-27.234237918215609</v>
      </c>
      <c r="ER54" s="2">
        <v>-26.294460966542747</v>
      </c>
      <c r="ES54" s="2">
        <v>-25.453663366336631</v>
      </c>
      <c r="ET54" s="2">
        <v>-24.633861386138612</v>
      </c>
      <c r="EU54" s="2">
        <v>-23.827128712871289</v>
      </c>
      <c r="EV54" s="2">
        <v>-23.050891089108909</v>
      </c>
      <c r="EW54" s="2">
        <v>-22.274653465346532</v>
      </c>
      <c r="EX54" s="2">
        <v>-21.529108910891086</v>
      </c>
      <c r="EY54" s="2">
        <v>-20.792475247524749</v>
      </c>
      <c r="EZ54" s="2">
        <v>-20.066732673267325</v>
      </c>
      <c r="FA54" s="2">
        <v>-19.373663366336633</v>
      </c>
      <c r="FB54" s="2">
        <v>-18.680594059405941</v>
      </c>
      <c r="FC54" s="2">
        <v>-18.013366336633663</v>
      </c>
      <c r="FD54" s="2">
        <v>-17.355940594059405</v>
      </c>
      <c r="FE54" s="2">
        <v>-16.706435643564355</v>
      </c>
      <c r="FF54" s="2">
        <v>-16.088613861386136</v>
      </c>
      <c r="FG54" s="2">
        <v>-15.470792079207921</v>
      </c>
      <c r="FH54" s="2">
        <v>-14.877029702970297</v>
      </c>
      <c r="FI54" s="2">
        <v>-14.294851485148513</v>
      </c>
      <c r="FJ54" s="2">
        <v>-13.721584158415839</v>
      </c>
      <c r="FK54" s="2">
        <v>-13.198811881188117</v>
      </c>
      <c r="FL54" s="2">
        <v>-12.676039603960396</v>
      </c>
      <c r="FM54" s="2">
        <v>-12.288612143742256</v>
      </c>
      <c r="FN54" s="2">
        <v>-11.982391573729863</v>
      </c>
      <c r="FO54" s="2">
        <v>-11.676171003717473</v>
      </c>
      <c r="FP54" s="2">
        <v>-11.369950433705082</v>
      </c>
      <c r="FQ54" s="2">
        <v>-11.063729863692689</v>
      </c>
      <c r="FR54" s="2">
        <v>-10.757509293680299</v>
      </c>
      <c r="FS54" s="2">
        <v>-10.451288723667908</v>
      </c>
      <c r="FT54" s="2">
        <v>-10.145068153655515</v>
      </c>
      <c r="FU54" s="2">
        <v>-9.8388475836431244</v>
      </c>
      <c r="FV54" s="2">
        <v>-9.5326270136307336</v>
      </c>
      <c r="FW54" s="2">
        <v>-9.2852029702970302</v>
      </c>
      <c r="FX54" s="2">
        <v>-9.0883712871287123</v>
      </c>
      <c r="FY54" s="2">
        <v>-8.8917079207920793</v>
      </c>
      <c r="FZ54" s="2">
        <v>-8.7083415841584149</v>
      </c>
      <c r="GA54" s="2">
        <v>-8.5249752475247522</v>
      </c>
      <c r="GB54" s="2">
        <v>-8.3474009900990094</v>
      </c>
      <c r="GC54" s="2">
        <v>-8.1759158415841586</v>
      </c>
      <c r="GD54" s="2">
        <v>-8.0044306930693061</v>
      </c>
      <c r="GE54" s="2">
        <v>-7.8546732673267323</v>
      </c>
      <c r="GF54" s="2">
        <v>-7.7057623762376233</v>
      </c>
      <c r="GG54" s="2">
        <v>-7.6341003717472118</v>
      </c>
      <c r="GH54" s="2">
        <v>-7.6617583643122673</v>
      </c>
      <c r="GI54" s="2">
        <v>-7.6894163568773228</v>
      </c>
      <c r="GJ54" s="2">
        <v>-7.7170743494423792</v>
      </c>
      <c r="GK54" s="2">
        <v>-7.7447323420074348</v>
      </c>
      <c r="GL54" s="2">
        <v>-7.7723903345724903</v>
      </c>
      <c r="GM54" s="2">
        <v>-7.8000483271375458</v>
      </c>
      <c r="GN54" s="2">
        <v>-7.8277063197026022</v>
      </c>
      <c r="GO54" s="2">
        <v>-7.8553643122676577</v>
      </c>
      <c r="GP54" s="2">
        <v>-7.8830223048327133</v>
      </c>
      <c r="GQ54" s="2">
        <v>-7.9104257425742572</v>
      </c>
      <c r="GR54" s="2">
        <v>-7.9373564356435642</v>
      </c>
      <c r="GS54" s="2">
        <v>-7.964287128712872</v>
      </c>
      <c r="GT54" s="2">
        <v>-7.9905643564356437</v>
      </c>
      <c r="GU54" s="2">
        <v>-8.0167029702970307</v>
      </c>
      <c r="GV54" s="2">
        <v>-8.0428415841584169</v>
      </c>
      <c r="GW54" s="2">
        <v>-8.068980198019803</v>
      </c>
      <c r="GX54" s="2">
        <v>-8.0951188118811892</v>
      </c>
      <c r="GY54" s="2">
        <v>-8.1209504950495059</v>
      </c>
      <c r="GZ54" s="2">
        <v>-8.1466930693069308</v>
      </c>
      <c r="HA54" s="2"/>
      <c r="HB54" s="2"/>
      <c r="HC54" s="2"/>
      <c r="HD54" s="2"/>
      <c r="HE54" s="2"/>
    </row>
    <row r="55" spans="1:213" ht="15" customHeight="1" thickBot="1" x14ac:dyDescent="0.35">
      <c r="A55" s="3" t="s">
        <v>28</v>
      </c>
      <c r="B55" s="32">
        <v>-18.82</v>
      </c>
      <c r="C55" s="32">
        <v>-18.809999999999999</v>
      </c>
      <c r="D55" s="32">
        <v>-18.8</v>
      </c>
      <c r="E55" s="32">
        <v>-18.809999999999999</v>
      </c>
      <c r="F55" s="32">
        <v>-18.82</v>
      </c>
      <c r="G55" s="32">
        <v>-18.84</v>
      </c>
      <c r="H55" s="32">
        <v>-18.87</v>
      </c>
      <c r="I55" s="32">
        <v>-18.899999999999999</v>
      </c>
      <c r="J55" s="32">
        <v>-18.93</v>
      </c>
      <c r="K55" s="32">
        <v>-19.059999999999999</v>
      </c>
      <c r="L55" s="32">
        <v>-19.100000000000001</v>
      </c>
      <c r="M55" s="32">
        <v>-19.14</v>
      </c>
      <c r="N55" s="32">
        <v>-19.18</v>
      </c>
      <c r="O55" s="32">
        <v>-19.22</v>
      </c>
      <c r="P55" s="32">
        <v>-19.260000000000002</v>
      </c>
      <c r="Q55" s="32">
        <v>-19.3</v>
      </c>
      <c r="R55" s="32">
        <v>-19.34</v>
      </c>
      <c r="S55" s="32">
        <v>-19.37</v>
      </c>
      <c r="T55" s="32">
        <v>-19.43</v>
      </c>
      <c r="U55" s="32">
        <v>-19.47</v>
      </c>
      <c r="V55" s="32">
        <v>-19.510000000000002</v>
      </c>
      <c r="W55" s="32">
        <v>-19.55</v>
      </c>
      <c r="X55" s="32">
        <v>-19.59</v>
      </c>
      <c r="Y55" s="32">
        <v>-19.739999999999998</v>
      </c>
      <c r="Z55" s="32">
        <v>-19.77</v>
      </c>
      <c r="AA55" s="32">
        <v>-19.809999999999999</v>
      </c>
      <c r="AB55" s="32">
        <v>-19.850000000000001</v>
      </c>
      <c r="AC55" s="32">
        <v>-19.88</v>
      </c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L55" s="2"/>
      <c r="CM55" s="2"/>
      <c r="CN55" s="2"/>
      <c r="CQ55" s="8">
        <v>185.81728000000001</v>
      </c>
      <c r="CR55" s="8">
        <v>-1.2746E-2</v>
      </c>
      <c r="CS55" s="4">
        <f t="shared" si="0"/>
        <v>458.96727999999996</v>
      </c>
      <c r="CT55" s="9">
        <f>Таблица1[[#This Row],[DSC/(mW/mg)]]</f>
        <v>-1.2746E-2</v>
      </c>
      <c r="DO55" s="3" t="s">
        <v>46</v>
      </c>
      <c r="DP55" s="4">
        <v>-16.351930693069306</v>
      </c>
      <c r="DQ55" s="4">
        <v>-15.944059405940594</v>
      </c>
      <c r="DR55" s="4">
        <v>-15.508415841584158</v>
      </c>
      <c r="DS55" s="4">
        <v>-15.067326732673267</v>
      </c>
      <c r="DT55" s="2">
        <v>-14.544554455445544</v>
      </c>
      <c r="DU55" s="2">
        <v>-14.021782178217821</v>
      </c>
      <c r="DV55" s="2">
        <v>-13.475594059405939</v>
      </c>
      <c r="DW55" s="2">
        <v>-12.909257425742572</v>
      </c>
      <c r="DX55" s="2">
        <v>-12.343019801980196</v>
      </c>
      <c r="DY55" s="2">
        <v>-11.784603960396039</v>
      </c>
      <c r="DZ55" s="2">
        <v>-11.226188118811882</v>
      </c>
      <c r="EA55" s="2">
        <v>-10.687272277227724</v>
      </c>
      <c r="EB55" s="2">
        <v>-10.168856435643566</v>
      </c>
      <c r="EC55" s="2">
        <v>-9.6504405940594076</v>
      </c>
      <c r="ED55" s="2">
        <v>-9.188059405940594</v>
      </c>
      <c r="EE55" s="2">
        <v>-8.7278613861386134</v>
      </c>
      <c r="EF55" s="2">
        <v>-8.3035297029702964</v>
      </c>
      <c r="EG55" s="2">
        <v>-7.9253118811881187</v>
      </c>
      <c r="EH55" s="2">
        <v>-7.5470940594059401</v>
      </c>
      <c r="EI55" s="2">
        <v>-7.37523667905824</v>
      </c>
      <c r="EJ55" s="2">
        <v>-7.2231672862453529</v>
      </c>
      <c r="EK55" s="2">
        <v>-7.0710978934324658</v>
      </c>
      <c r="EL55" s="2">
        <v>-6.9190285006195786</v>
      </c>
      <c r="EM55" s="2">
        <v>-6.7669591078066915</v>
      </c>
      <c r="EN55" s="2">
        <v>-6.6148897149938044</v>
      </c>
      <c r="EO55" s="2">
        <v>-6.4628203221809173</v>
      </c>
      <c r="EP55" s="2">
        <v>-6.3107509293680302</v>
      </c>
      <c r="EQ55" s="2">
        <v>-6.1586815365551431</v>
      </c>
      <c r="ER55" s="2">
        <v>-6.006612143742255</v>
      </c>
      <c r="ES55" s="2">
        <v>-5.9705247524752476</v>
      </c>
      <c r="ET55" s="2">
        <v>-5.9590396039603961</v>
      </c>
      <c r="EU55" s="2">
        <v>-5.9526633663366333</v>
      </c>
      <c r="EV55" s="2">
        <v>-5.9582079207920788</v>
      </c>
      <c r="EW55" s="2">
        <v>-5.9637524752475244</v>
      </c>
      <c r="EX55" s="2">
        <v>-5.9751287128712871</v>
      </c>
      <c r="EY55" s="2">
        <v>-5.9881980198019802</v>
      </c>
      <c r="EZ55" s="2">
        <v>-6.0022574257425747</v>
      </c>
      <c r="FA55" s="2">
        <v>-6.0192871287128717</v>
      </c>
      <c r="FB55" s="2">
        <v>-6.0363168316831688</v>
      </c>
      <c r="FC55" s="2">
        <v>-6.0544950495049505</v>
      </c>
      <c r="FD55" s="2">
        <v>-6.0731089108910892</v>
      </c>
      <c r="FE55" s="2">
        <v>-6.091960396039604</v>
      </c>
      <c r="FF55" s="2">
        <v>-6.1117623762376239</v>
      </c>
      <c r="FG55" s="2">
        <v>-6.1315643564356437</v>
      </c>
      <c r="FH55" s="2">
        <v>-6.1540396039603964</v>
      </c>
      <c r="FI55" s="2">
        <v>-6.1778019801980202</v>
      </c>
      <c r="FJ55" s="2">
        <v>-6.2031683168316833</v>
      </c>
      <c r="FK55" s="2">
        <v>-6.2376237623762378</v>
      </c>
      <c r="FL55" s="2">
        <v>-6.2720792079207923</v>
      </c>
      <c r="FM55" s="2">
        <v>-6.3157311028500622</v>
      </c>
      <c r="FN55" s="2">
        <v>-6.364900867410161</v>
      </c>
      <c r="FO55" s="2">
        <v>-6.4140706319702598</v>
      </c>
      <c r="FP55" s="2">
        <v>-6.4632403965303595</v>
      </c>
      <c r="FQ55" s="2">
        <v>-6.5124101610904583</v>
      </c>
      <c r="FR55" s="2">
        <v>-6.5615799256505571</v>
      </c>
      <c r="FS55" s="2">
        <v>-6.6107496902106568</v>
      </c>
      <c r="FT55" s="2">
        <v>-6.6599194547707556</v>
      </c>
      <c r="FU55" s="2">
        <v>-6.7090892193308544</v>
      </c>
      <c r="FV55" s="2">
        <v>-6.7582589838909533</v>
      </c>
      <c r="FW55" s="2">
        <v>-6.7944108910891083</v>
      </c>
      <c r="FX55" s="2">
        <v>-6.8193613861386142</v>
      </c>
      <c r="FY55" s="2">
        <v>-6.8443019801980203</v>
      </c>
      <c r="FZ55" s="2">
        <v>-6.8684603960396045</v>
      </c>
      <c r="GA55" s="2">
        <v>-6.8926188118811886</v>
      </c>
      <c r="GB55" s="2">
        <v>-6.9167772277227728</v>
      </c>
      <c r="GC55" s="2">
        <v>-6.940935643564357</v>
      </c>
      <c r="GD55" s="2">
        <v>-6.9650940594059412</v>
      </c>
      <c r="GE55" s="2">
        <v>-6.9896336633663365</v>
      </c>
      <c r="GF55" s="2">
        <v>-7.0141881188118811</v>
      </c>
      <c r="GG55" s="2">
        <v>-7.0354163568773229</v>
      </c>
      <c r="GH55" s="2">
        <v>-7.0523680297397764</v>
      </c>
      <c r="GI55" s="2">
        <v>-7.0693197026022299</v>
      </c>
      <c r="GJ55" s="2">
        <v>-7.0862713754646833</v>
      </c>
      <c r="GK55" s="2">
        <v>-7.1032230483271368</v>
      </c>
      <c r="GL55" s="2">
        <v>-7.1201747211895912</v>
      </c>
      <c r="GM55" s="2">
        <v>-7.1371263940520446</v>
      </c>
      <c r="GN55" s="2">
        <v>-7.1540780669144981</v>
      </c>
      <c r="GO55" s="2">
        <v>-7.1710297397769516</v>
      </c>
      <c r="GP55" s="2">
        <v>-7.187981412639405</v>
      </c>
      <c r="GQ55" s="2">
        <v>-7.2050990099009899</v>
      </c>
      <c r="GR55" s="2">
        <v>-7.2225247524752474</v>
      </c>
      <c r="GS55" s="2">
        <v>-7.2399504950495057</v>
      </c>
      <c r="GT55" s="2">
        <v>-7.2577029702970304</v>
      </c>
      <c r="GU55" s="2">
        <v>-7.2755247524752482</v>
      </c>
      <c r="GV55" s="2">
        <v>-7.2933465346534652</v>
      </c>
      <c r="GW55" s="2">
        <v>-7.311168316831683</v>
      </c>
      <c r="GX55" s="2">
        <v>-7.3289900990099008</v>
      </c>
      <c r="GY55" s="2">
        <v>-7.3468118811881187</v>
      </c>
      <c r="GZ55" s="2">
        <v>-7.3646336633663365</v>
      </c>
      <c r="HA55" s="2"/>
      <c r="HB55" s="2"/>
      <c r="HC55" s="2"/>
      <c r="HD55" s="2"/>
      <c r="HE55" s="2"/>
    </row>
    <row r="56" spans="1:213" ht="15" customHeight="1" thickBot="1" x14ac:dyDescent="0.35">
      <c r="A56" s="3" t="s">
        <v>29</v>
      </c>
      <c r="B56" s="32">
        <v>-66.36</v>
      </c>
      <c r="C56" s="32">
        <v>-61.96</v>
      </c>
      <c r="D56" s="32">
        <v>-57.78</v>
      </c>
      <c r="E56" s="32">
        <v>-53.6</v>
      </c>
      <c r="F56" s="32">
        <v>-49.48</v>
      </c>
      <c r="G56" s="32">
        <v>-45.55</v>
      </c>
      <c r="H56" s="32">
        <v>-41.9</v>
      </c>
      <c r="I56" s="32">
        <v>-38.58</v>
      </c>
      <c r="J56" s="32">
        <v>-35.61</v>
      </c>
      <c r="K56" s="32">
        <v>-26.13</v>
      </c>
      <c r="L56" s="32">
        <v>-24.06</v>
      </c>
      <c r="M56" s="32">
        <v>-22.1</v>
      </c>
      <c r="N56" s="32">
        <v>-20.239999999999998</v>
      </c>
      <c r="O56" s="32">
        <v>-18.489999999999998</v>
      </c>
      <c r="P56" s="32">
        <v>-16.829999999999998</v>
      </c>
      <c r="Q56" s="32">
        <v>-15.27</v>
      </c>
      <c r="R56" s="32">
        <v>-13.8</v>
      </c>
      <c r="S56" s="32">
        <v>-12.48</v>
      </c>
      <c r="T56" s="32">
        <v>-9.391</v>
      </c>
      <c r="U56" s="32">
        <v>-8.8940000000000001</v>
      </c>
      <c r="V56" s="32">
        <v>-8.4309999999999992</v>
      </c>
      <c r="W56" s="32">
        <v>-7.9980000000000002</v>
      </c>
      <c r="X56" s="32">
        <v>-7.6219999999999999</v>
      </c>
      <c r="Y56" s="32">
        <v>-7.9009999999999998</v>
      </c>
      <c r="Z56" s="32">
        <v>-7.9690000000000003</v>
      </c>
      <c r="AA56" s="32">
        <v>-8.0350000000000001</v>
      </c>
      <c r="AB56" s="32">
        <v>-8.1010000000000009</v>
      </c>
      <c r="AC56" s="32">
        <v>-8.1660000000000004</v>
      </c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L56" s="2"/>
      <c r="CM56" s="2"/>
      <c r="CN56" s="2"/>
      <c r="CQ56" s="8">
        <v>187.89069000000001</v>
      </c>
      <c r="CR56" s="8">
        <v>-1.2775E-2</v>
      </c>
      <c r="CS56" s="4">
        <f t="shared" si="0"/>
        <v>461.04068999999998</v>
      </c>
      <c r="CT56" s="9">
        <f>Таблица1[[#This Row],[DSC/(mW/mg)]]</f>
        <v>-1.2775E-2</v>
      </c>
      <c r="DO56" s="3" t="s">
        <v>28</v>
      </c>
      <c r="DP56" s="4">
        <v>-18.811633663366337</v>
      </c>
      <c r="DQ56" s="4">
        <v>-18.807673267326731</v>
      </c>
      <c r="DR56" s="4">
        <v>-18.803712871287129</v>
      </c>
      <c r="DS56" s="4">
        <v>-18.800247524752475</v>
      </c>
      <c r="DT56" s="2">
        <v>-18.804207920792081</v>
      </c>
      <c r="DU56" s="2">
        <v>-18.808168316831683</v>
      </c>
      <c r="DV56" s="2">
        <v>-18.812128712871285</v>
      </c>
      <c r="DW56" s="2">
        <v>-18.816089108910891</v>
      </c>
      <c r="DX56" s="2">
        <v>-18.820099009900989</v>
      </c>
      <c r="DY56" s="2">
        <v>-18.828019801980197</v>
      </c>
      <c r="DZ56" s="2">
        <v>-18.835940594059405</v>
      </c>
      <c r="EA56" s="2">
        <v>-18.845792079207921</v>
      </c>
      <c r="EB56" s="2">
        <v>-18.857673267326732</v>
      </c>
      <c r="EC56" s="2">
        <v>-18.869554455445545</v>
      </c>
      <c r="ED56" s="2">
        <v>-18.881435643564355</v>
      </c>
      <c r="EE56" s="2">
        <v>-18.893316831683169</v>
      </c>
      <c r="EF56" s="2">
        <v>-18.905198019801979</v>
      </c>
      <c r="EG56" s="2">
        <v>-18.917079207920793</v>
      </c>
      <c r="EH56" s="2">
        <v>-18.928960396039603</v>
      </c>
      <c r="EI56" s="2">
        <v>-18.941759603469642</v>
      </c>
      <c r="EJ56" s="2">
        <v>-18.954646840148698</v>
      </c>
      <c r="EK56" s="2">
        <v>-18.967534076827757</v>
      </c>
      <c r="EL56" s="2">
        <v>-18.980421313506813</v>
      </c>
      <c r="EM56" s="2">
        <v>-18.993308550185873</v>
      </c>
      <c r="EN56" s="2">
        <v>-19.006195786864932</v>
      </c>
      <c r="EO56" s="2">
        <v>-19.019083023543988</v>
      </c>
      <c r="EP56" s="2">
        <v>-19.031970260223048</v>
      </c>
      <c r="EQ56" s="2">
        <v>-19.044857496902104</v>
      </c>
      <c r="ER56" s="2">
        <v>-19.057744733581163</v>
      </c>
      <c r="ES56" s="2">
        <v>-19.073069306930691</v>
      </c>
      <c r="ET56" s="2">
        <v>-19.08891089108911</v>
      </c>
      <c r="EU56" s="2">
        <v>-19.104752475247526</v>
      </c>
      <c r="EV56" s="2">
        <v>-19.120594059405942</v>
      </c>
      <c r="EW56" s="2">
        <v>-19.136435643564358</v>
      </c>
      <c r="EX56" s="2">
        <v>-19.152277227722774</v>
      </c>
      <c r="EY56" s="2">
        <v>-19.16811881188119</v>
      </c>
      <c r="EZ56" s="2">
        <v>-19.183960396039602</v>
      </c>
      <c r="FA56" s="2">
        <v>-19.199801980198018</v>
      </c>
      <c r="FB56" s="2">
        <v>-19.215643564356434</v>
      </c>
      <c r="FC56" s="2">
        <v>-19.231485148514849</v>
      </c>
      <c r="FD56" s="2">
        <v>-19.247326732673269</v>
      </c>
      <c r="FE56" s="2">
        <v>-19.263168316831685</v>
      </c>
      <c r="FF56" s="2">
        <v>-19.279009900990101</v>
      </c>
      <c r="FG56" s="2">
        <v>-19.294851485148516</v>
      </c>
      <c r="FH56" s="2">
        <v>-19.310693069306932</v>
      </c>
      <c r="FI56" s="2">
        <v>-19.326534653465348</v>
      </c>
      <c r="FJ56" s="2">
        <v>-19.341782178217823</v>
      </c>
      <c r="FK56" s="2">
        <v>-19.353663366336633</v>
      </c>
      <c r="FL56" s="2">
        <v>-19.365544554455447</v>
      </c>
      <c r="FM56" s="2">
        <v>-19.373717472118962</v>
      </c>
      <c r="FN56" s="2">
        <v>-19.379665427509295</v>
      </c>
      <c r="FO56" s="2">
        <v>-19.385613382899628</v>
      </c>
      <c r="FP56" s="2">
        <v>-19.391561338289964</v>
      </c>
      <c r="FQ56" s="2">
        <v>-19.397509293680297</v>
      </c>
      <c r="FR56" s="2">
        <v>-19.403457249070634</v>
      </c>
      <c r="FS56" s="2">
        <v>-19.409405204460967</v>
      </c>
      <c r="FT56" s="2">
        <v>-19.4153531598513</v>
      </c>
      <c r="FU56" s="2">
        <v>-19.421301115241636</v>
      </c>
      <c r="FV56" s="2">
        <v>-19.427249070631969</v>
      </c>
      <c r="FW56" s="2">
        <v>-19.438514851485149</v>
      </c>
      <c r="FX56" s="2">
        <v>-19.454356435643565</v>
      </c>
      <c r="FY56" s="2">
        <v>-19.47019801980198</v>
      </c>
      <c r="FZ56" s="2">
        <v>-19.486039603960396</v>
      </c>
      <c r="GA56" s="2">
        <v>-19.501881188118812</v>
      </c>
      <c r="GB56" s="2">
        <v>-19.517722772277228</v>
      </c>
      <c r="GC56" s="2">
        <v>-19.533564356435644</v>
      </c>
      <c r="GD56" s="2">
        <v>-19.54940594059406</v>
      </c>
      <c r="GE56" s="2">
        <v>-19.565247524752476</v>
      </c>
      <c r="GF56" s="2">
        <v>-19.581089108910891</v>
      </c>
      <c r="GG56" s="2">
        <v>-19.596505576208177</v>
      </c>
      <c r="GH56" s="2">
        <v>-19.611375464684013</v>
      </c>
      <c r="GI56" s="2">
        <v>-19.626245353159852</v>
      </c>
      <c r="GJ56" s="2">
        <v>-19.641115241635688</v>
      </c>
      <c r="GK56" s="2">
        <v>-19.655985130111524</v>
      </c>
      <c r="GL56" s="2">
        <v>-19.670855018587361</v>
      </c>
      <c r="GM56" s="2">
        <v>-19.685724907063197</v>
      </c>
      <c r="GN56" s="2">
        <v>-19.700594795539033</v>
      </c>
      <c r="GO56" s="2">
        <v>-19.715464684014869</v>
      </c>
      <c r="GP56" s="2">
        <v>-19.730334572490705</v>
      </c>
      <c r="GQ56" s="2">
        <v>-19.744158415841582</v>
      </c>
      <c r="GR56" s="2">
        <v>-19.756039603960396</v>
      </c>
      <c r="GS56" s="2">
        <v>-19.767920792079206</v>
      </c>
      <c r="GT56" s="2">
        <v>-19.783069306930692</v>
      </c>
      <c r="GU56" s="2">
        <v>-19.798910891089108</v>
      </c>
      <c r="GV56" s="2">
        <v>-19.814752475247523</v>
      </c>
      <c r="GW56" s="2">
        <v>-19.830594059405939</v>
      </c>
      <c r="GX56" s="2">
        <v>-19.846435643564359</v>
      </c>
      <c r="GY56" s="2">
        <v>-19.85920792079208</v>
      </c>
      <c r="GZ56" s="2">
        <v>-19.871089108910891</v>
      </c>
      <c r="HA56" s="2"/>
      <c r="HB56" s="2"/>
      <c r="HC56" s="2"/>
      <c r="HD56" s="2"/>
      <c r="HE56" s="2"/>
    </row>
    <row r="57" spans="1:213" ht="15" customHeight="1" thickBot="1" x14ac:dyDescent="0.35">
      <c r="A57" s="3" t="s">
        <v>30</v>
      </c>
      <c r="B57" s="32">
        <v>-17.13</v>
      </c>
      <c r="C57" s="32">
        <v>-16.2</v>
      </c>
      <c r="D57" s="32">
        <v>-15.1</v>
      </c>
      <c r="E57" s="32">
        <v>-13.78</v>
      </c>
      <c r="F57" s="32">
        <v>-12.35</v>
      </c>
      <c r="G57" s="32">
        <v>-10.94</v>
      </c>
      <c r="H57" s="32">
        <v>-9.6310000000000002</v>
      </c>
      <c r="I57" s="32">
        <v>-8.4689999999999994</v>
      </c>
      <c r="J57" s="32">
        <v>-7.5140000000000002</v>
      </c>
      <c r="K57" s="32">
        <v>-5.98</v>
      </c>
      <c r="L57" s="32">
        <v>-5.9509999999999996</v>
      </c>
      <c r="M57" s="32">
        <v>-5.9649999999999999</v>
      </c>
      <c r="N57" s="32">
        <v>-5.9980000000000002</v>
      </c>
      <c r="O57" s="32">
        <v>-6.0410000000000004</v>
      </c>
      <c r="P57" s="32">
        <v>-6.0880000000000001</v>
      </c>
      <c r="Q57" s="32">
        <v>-6.1379999999999999</v>
      </c>
      <c r="R57" s="32">
        <v>-6.1980000000000004</v>
      </c>
      <c r="S57" s="32">
        <v>-6.2850000000000001</v>
      </c>
      <c r="T57" s="32">
        <v>-6.7809999999999997</v>
      </c>
      <c r="U57" s="32">
        <v>-6.8440000000000003</v>
      </c>
      <c r="V57" s="32">
        <v>-6.9050000000000002</v>
      </c>
      <c r="W57" s="32">
        <v>-6.9660000000000002</v>
      </c>
      <c r="X57" s="32">
        <v>-7.0279999999999996</v>
      </c>
      <c r="Y57" s="32">
        <v>-7.1989999999999998</v>
      </c>
      <c r="Z57" s="32">
        <v>-7.2430000000000003</v>
      </c>
      <c r="AA57" s="32">
        <v>-7.2880000000000003</v>
      </c>
      <c r="AB57" s="32">
        <v>-7.3330000000000002</v>
      </c>
      <c r="AC57" s="32">
        <v>-7.3780000000000001</v>
      </c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  <c r="CF57" s="32"/>
      <c r="CG57" s="32"/>
      <c r="CH57" s="32"/>
      <c r="CI57" s="32"/>
      <c r="CJ57" s="32"/>
      <c r="CL57" s="2"/>
      <c r="CM57" s="2"/>
      <c r="CN57" s="2"/>
      <c r="CQ57" s="8">
        <v>189.9641</v>
      </c>
      <c r="CR57" s="8">
        <v>-1.221E-2</v>
      </c>
      <c r="CS57" s="4">
        <f t="shared" si="0"/>
        <v>463.11410000000001</v>
      </c>
      <c r="CT57" s="9">
        <f>Таблица1[[#This Row],[DSC/(mW/mg)]]</f>
        <v>-1.221E-2</v>
      </c>
      <c r="DO57" s="3" t="s">
        <v>29</v>
      </c>
      <c r="DP57" s="4">
        <v>-62.678811881188125</v>
      </c>
      <c r="DQ57" s="4">
        <v>-60.98742574257426</v>
      </c>
      <c r="DR57" s="4">
        <v>-59.331980198019806</v>
      </c>
      <c r="DS57" s="4">
        <v>-57.676534653465346</v>
      </c>
      <c r="DT57" s="2">
        <v>-56.021089108910893</v>
      </c>
      <c r="DU57" s="2">
        <v>-54.365643564356432</v>
      </c>
      <c r="DV57" s="2">
        <v>-52.722970297029704</v>
      </c>
      <c r="DW57" s="2">
        <v>-51.091287128712864</v>
      </c>
      <c r="DX57" s="2">
        <v>-49.460544554455439</v>
      </c>
      <c r="DY57" s="2">
        <v>-47.904108910891082</v>
      </c>
      <c r="DZ57" s="2">
        <v>-46.347673267326734</v>
      </c>
      <c r="EA57" s="2">
        <v>-44.845297029702969</v>
      </c>
      <c r="EB57" s="2">
        <v>-43.399752475247524</v>
      </c>
      <c r="EC57" s="2">
        <v>-41.954207920792079</v>
      </c>
      <c r="ED57" s="2">
        <v>-40.634455445544553</v>
      </c>
      <c r="EE57" s="2">
        <v>-39.319603960396037</v>
      </c>
      <c r="EF57" s="2">
        <v>-38.065396039603961</v>
      </c>
      <c r="EG57" s="2">
        <v>-36.889158415841585</v>
      </c>
      <c r="EH57" s="2">
        <v>-35.712920792079203</v>
      </c>
      <c r="EI57" s="2">
        <v>-34.752453531598512</v>
      </c>
      <c r="EJ57" s="2">
        <v>-33.81267657992565</v>
      </c>
      <c r="EK57" s="2">
        <v>-32.872899628252789</v>
      </c>
      <c r="EL57" s="2">
        <v>-31.933122676579924</v>
      </c>
      <c r="EM57" s="2">
        <v>-30.993345724907059</v>
      </c>
      <c r="EN57" s="2">
        <v>-30.053568773234197</v>
      </c>
      <c r="EO57" s="2">
        <v>-29.113791821561335</v>
      </c>
      <c r="EP57" s="2">
        <v>-28.174014869888474</v>
      </c>
      <c r="EQ57" s="2">
        <v>-27.234237918215609</v>
      </c>
      <c r="ER57" s="2">
        <v>-26.294460966542747</v>
      </c>
      <c r="ES57" s="2">
        <v>-25.453663366336631</v>
      </c>
      <c r="ET57" s="2">
        <v>-24.633861386138612</v>
      </c>
      <c r="EU57" s="2">
        <v>-23.827128712871289</v>
      </c>
      <c r="EV57" s="2">
        <v>-23.050891089108909</v>
      </c>
      <c r="EW57" s="2">
        <v>-22.274653465346532</v>
      </c>
      <c r="EX57" s="2">
        <v>-21.529108910891086</v>
      </c>
      <c r="EY57" s="2">
        <v>-20.792475247524749</v>
      </c>
      <c r="EZ57" s="2">
        <v>-20.066732673267325</v>
      </c>
      <c r="FA57" s="2">
        <v>-19.373663366336633</v>
      </c>
      <c r="FB57" s="2">
        <v>-18.680594059405941</v>
      </c>
      <c r="FC57" s="2">
        <v>-18.013366336633663</v>
      </c>
      <c r="FD57" s="2">
        <v>-17.355940594059405</v>
      </c>
      <c r="FE57" s="2">
        <v>-16.706435643564355</v>
      </c>
      <c r="FF57" s="2">
        <v>-16.088613861386136</v>
      </c>
      <c r="FG57" s="2">
        <v>-15.470792079207921</v>
      </c>
      <c r="FH57" s="2">
        <v>-14.877029702970297</v>
      </c>
      <c r="FI57" s="2">
        <v>-14.294851485148513</v>
      </c>
      <c r="FJ57" s="2">
        <v>-13.721584158415839</v>
      </c>
      <c r="FK57" s="2">
        <v>-13.198811881188117</v>
      </c>
      <c r="FL57" s="2">
        <v>-12.676039603960396</v>
      </c>
      <c r="FM57" s="2">
        <v>-12.288612143742256</v>
      </c>
      <c r="FN57" s="2">
        <v>-11.982391573729863</v>
      </c>
      <c r="FO57" s="2">
        <v>-11.676171003717473</v>
      </c>
      <c r="FP57" s="2">
        <v>-11.369950433705082</v>
      </c>
      <c r="FQ57" s="2">
        <v>-11.063729863692689</v>
      </c>
      <c r="FR57" s="2">
        <v>-10.757509293680299</v>
      </c>
      <c r="FS57" s="2">
        <v>-10.451288723667908</v>
      </c>
      <c r="FT57" s="2">
        <v>-10.145068153655515</v>
      </c>
      <c r="FU57" s="2">
        <v>-9.8388475836431244</v>
      </c>
      <c r="FV57" s="2">
        <v>-9.5326270136307336</v>
      </c>
      <c r="FW57" s="2">
        <v>-9.2852029702970302</v>
      </c>
      <c r="FX57" s="2">
        <v>-9.0883712871287123</v>
      </c>
      <c r="FY57" s="2">
        <v>-8.8917079207920793</v>
      </c>
      <c r="FZ57" s="2">
        <v>-8.7083415841584149</v>
      </c>
      <c r="GA57" s="2">
        <v>-8.5249752475247522</v>
      </c>
      <c r="GB57" s="2">
        <v>-8.3474009900990094</v>
      </c>
      <c r="GC57" s="2">
        <v>-8.1759158415841586</v>
      </c>
      <c r="GD57" s="2">
        <v>-8.0044306930693061</v>
      </c>
      <c r="GE57" s="2">
        <v>-7.8546732673267323</v>
      </c>
      <c r="GF57" s="2">
        <v>-7.7057623762376233</v>
      </c>
      <c r="GG57" s="2">
        <v>-7.6341003717472118</v>
      </c>
      <c r="GH57" s="2">
        <v>-7.6617583643122673</v>
      </c>
      <c r="GI57" s="2">
        <v>-7.6894163568773228</v>
      </c>
      <c r="GJ57" s="2">
        <v>-7.7170743494423792</v>
      </c>
      <c r="GK57" s="2">
        <v>-7.7447323420074348</v>
      </c>
      <c r="GL57" s="2">
        <v>-7.7723903345724903</v>
      </c>
      <c r="GM57" s="2">
        <v>-7.8000483271375458</v>
      </c>
      <c r="GN57" s="2">
        <v>-7.8277063197026022</v>
      </c>
      <c r="GO57" s="2">
        <v>-7.8553643122676577</v>
      </c>
      <c r="GP57" s="2">
        <v>-7.8830223048327133</v>
      </c>
      <c r="GQ57" s="2">
        <v>-7.9104257425742572</v>
      </c>
      <c r="GR57" s="2">
        <v>-7.9373564356435642</v>
      </c>
      <c r="GS57" s="2">
        <v>-7.964287128712872</v>
      </c>
      <c r="GT57" s="2">
        <v>-7.9905643564356437</v>
      </c>
      <c r="GU57" s="2">
        <v>-8.0167029702970307</v>
      </c>
      <c r="GV57" s="2">
        <v>-8.0428415841584169</v>
      </c>
      <c r="GW57" s="2">
        <v>-8.068980198019803</v>
      </c>
      <c r="GX57" s="2">
        <v>-8.0951188118811892</v>
      </c>
      <c r="GY57" s="2">
        <v>-8.1209504950495059</v>
      </c>
      <c r="GZ57" s="2">
        <v>-8.1466930693069308</v>
      </c>
      <c r="HA57" s="2"/>
      <c r="HB57" s="2"/>
      <c r="HC57" s="2"/>
      <c r="HD57" s="2"/>
      <c r="HE57" s="2"/>
    </row>
    <row r="58" spans="1:213" ht="15" customHeight="1" thickBot="1" x14ac:dyDescent="0.35">
      <c r="A58" s="3" t="s">
        <v>31</v>
      </c>
      <c r="B58" s="32">
        <v>-23.56</v>
      </c>
      <c r="C58" s="32">
        <v>-22.35</v>
      </c>
      <c r="D58" s="32">
        <v>-21.56</v>
      </c>
      <c r="E58" s="32">
        <v>-21.22</v>
      </c>
      <c r="F58" s="32">
        <v>-21.21</v>
      </c>
      <c r="G58" s="32">
        <v>-21.39</v>
      </c>
      <c r="H58" s="32">
        <v>-21.64</v>
      </c>
      <c r="I58" s="32">
        <v>-21.89</v>
      </c>
      <c r="J58" s="32">
        <v>-22.11</v>
      </c>
      <c r="K58" s="32">
        <v>-22.89</v>
      </c>
      <c r="L58" s="32">
        <v>-23.15</v>
      </c>
      <c r="M58" s="32">
        <v>-23.44</v>
      </c>
      <c r="N58" s="32">
        <v>-23.72</v>
      </c>
      <c r="O58" s="32">
        <v>-24.01</v>
      </c>
      <c r="P58" s="32">
        <v>-24.3</v>
      </c>
      <c r="Q58" s="32">
        <v>-24.58</v>
      </c>
      <c r="R58" s="32">
        <v>-24.86</v>
      </c>
      <c r="S58" s="32">
        <v>-25.12</v>
      </c>
      <c r="T58" s="32">
        <v>-26.08</v>
      </c>
      <c r="U58" s="32">
        <v>-26.34</v>
      </c>
      <c r="V58" s="32">
        <v>-26.61</v>
      </c>
      <c r="W58" s="32">
        <v>-26.87</v>
      </c>
      <c r="X58" s="32">
        <v>-27.12</v>
      </c>
      <c r="Y58" s="32">
        <v>-27.95</v>
      </c>
      <c r="Z58" s="32">
        <v>-28.19</v>
      </c>
      <c r="AA58" s="32">
        <v>-28.43</v>
      </c>
      <c r="AB58" s="32">
        <v>-28.66</v>
      </c>
      <c r="AC58" s="32">
        <v>-28.9</v>
      </c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  <c r="CF58" s="32"/>
      <c r="CG58" s="32"/>
      <c r="CH58" s="32"/>
      <c r="CI58" s="32"/>
      <c r="CJ58" s="32"/>
      <c r="CL58" s="2"/>
      <c r="CM58" s="2"/>
      <c r="CN58" s="2"/>
      <c r="CQ58" s="8">
        <v>192.03751</v>
      </c>
      <c r="CR58" s="8">
        <v>-1.1128000000000001E-2</v>
      </c>
      <c r="CS58" s="4">
        <f t="shared" si="0"/>
        <v>465.18750999999997</v>
      </c>
      <c r="CT58" s="9">
        <f>Таблица1[[#This Row],[DSC/(mW/mg)]]</f>
        <v>-1.1128000000000001E-2</v>
      </c>
      <c r="DO58" s="3" t="s">
        <v>30</v>
      </c>
      <c r="DP58" s="4">
        <v>-16.351930693069306</v>
      </c>
      <c r="DQ58" s="4">
        <v>-15.944059405940594</v>
      </c>
      <c r="DR58" s="4">
        <v>-15.508415841584158</v>
      </c>
      <c r="DS58" s="4">
        <v>-15.067326732673267</v>
      </c>
      <c r="DT58" s="2">
        <v>-14.544554455445544</v>
      </c>
      <c r="DU58" s="2">
        <v>-14.021782178217821</v>
      </c>
      <c r="DV58" s="2">
        <v>-13.475594059405939</v>
      </c>
      <c r="DW58" s="2">
        <v>-12.909257425742572</v>
      </c>
      <c r="DX58" s="2">
        <v>-12.343019801980196</v>
      </c>
      <c r="DY58" s="2">
        <v>-11.784603960396039</v>
      </c>
      <c r="DZ58" s="2">
        <v>-11.226188118811882</v>
      </c>
      <c r="EA58" s="2">
        <v>-10.687272277227724</v>
      </c>
      <c r="EB58" s="2">
        <v>-10.168856435643566</v>
      </c>
      <c r="EC58" s="2">
        <v>-9.6504405940594076</v>
      </c>
      <c r="ED58" s="2">
        <v>-9.188059405940594</v>
      </c>
      <c r="EE58" s="2">
        <v>-8.7278613861386134</v>
      </c>
      <c r="EF58" s="2">
        <v>-8.3035297029702964</v>
      </c>
      <c r="EG58" s="2">
        <v>-7.9253118811881187</v>
      </c>
      <c r="EH58" s="2">
        <v>-7.5470940594059401</v>
      </c>
      <c r="EI58" s="2">
        <v>-7.37523667905824</v>
      </c>
      <c r="EJ58" s="2">
        <v>-7.2231672862453529</v>
      </c>
      <c r="EK58" s="2">
        <v>-7.0710978934324658</v>
      </c>
      <c r="EL58" s="2">
        <v>-6.9190285006195786</v>
      </c>
      <c r="EM58" s="2">
        <v>-6.7669591078066915</v>
      </c>
      <c r="EN58" s="2">
        <v>-6.6148897149938044</v>
      </c>
      <c r="EO58" s="2">
        <v>-6.4628203221809173</v>
      </c>
      <c r="EP58" s="2">
        <v>-6.3107509293680302</v>
      </c>
      <c r="EQ58" s="2">
        <v>-6.1586815365551431</v>
      </c>
      <c r="ER58" s="2">
        <v>-6.006612143742255</v>
      </c>
      <c r="ES58" s="2">
        <v>-5.9705247524752476</v>
      </c>
      <c r="ET58" s="2">
        <v>-5.9590396039603961</v>
      </c>
      <c r="EU58" s="2">
        <v>-5.9526633663366333</v>
      </c>
      <c r="EV58" s="2">
        <v>-5.9582079207920788</v>
      </c>
      <c r="EW58" s="2">
        <v>-5.9637524752475244</v>
      </c>
      <c r="EX58" s="2">
        <v>-5.9751287128712871</v>
      </c>
      <c r="EY58" s="2">
        <v>-5.9881980198019802</v>
      </c>
      <c r="EZ58" s="2">
        <v>-6.0022574257425747</v>
      </c>
      <c r="FA58" s="2">
        <v>-6.0192871287128717</v>
      </c>
      <c r="FB58" s="2">
        <v>-6.0363168316831688</v>
      </c>
      <c r="FC58" s="2">
        <v>-6.0544950495049505</v>
      </c>
      <c r="FD58" s="2">
        <v>-6.0731089108910892</v>
      </c>
      <c r="FE58" s="2">
        <v>-6.091960396039604</v>
      </c>
      <c r="FF58" s="2">
        <v>-6.1117623762376239</v>
      </c>
      <c r="FG58" s="2">
        <v>-6.1315643564356437</v>
      </c>
      <c r="FH58" s="2">
        <v>-6.1540396039603964</v>
      </c>
      <c r="FI58" s="2">
        <v>-6.1778019801980202</v>
      </c>
      <c r="FJ58" s="2">
        <v>-6.2031683168316833</v>
      </c>
      <c r="FK58" s="2">
        <v>-6.2376237623762378</v>
      </c>
      <c r="FL58" s="2">
        <v>-6.2720792079207923</v>
      </c>
      <c r="FM58" s="2">
        <v>-6.3157311028500622</v>
      </c>
      <c r="FN58" s="2">
        <v>-6.364900867410161</v>
      </c>
      <c r="FO58" s="2">
        <v>-6.4140706319702598</v>
      </c>
      <c r="FP58" s="2">
        <v>-6.4632403965303595</v>
      </c>
      <c r="FQ58" s="2">
        <v>-6.5124101610904583</v>
      </c>
      <c r="FR58" s="2">
        <v>-6.5615799256505571</v>
      </c>
      <c r="FS58" s="2">
        <v>-6.6107496902106568</v>
      </c>
      <c r="FT58" s="2">
        <v>-6.6599194547707556</v>
      </c>
      <c r="FU58" s="2">
        <v>-6.7090892193308544</v>
      </c>
      <c r="FV58" s="2">
        <v>-6.7582589838909533</v>
      </c>
      <c r="FW58" s="2">
        <v>-6.7944108910891083</v>
      </c>
      <c r="FX58" s="2">
        <v>-6.8193613861386142</v>
      </c>
      <c r="FY58" s="2">
        <v>-6.8443019801980203</v>
      </c>
      <c r="FZ58" s="2">
        <v>-6.8684603960396045</v>
      </c>
      <c r="GA58" s="2">
        <v>-6.8926188118811886</v>
      </c>
      <c r="GB58" s="2">
        <v>-6.9167772277227728</v>
      </c>
      <c r="GC58" s="2">
        <v>-6.940935643564357</v>
      </c>
      <c r="GD58" s="2">
        <v>-6.9650940594059412</v>
      </c>
      <c r="GE58" s="2">
        <v>-6.9896336633663365</v>
      </c>
      <c r="GF58" s="2">
        <v>-7.0141881188118811</v>
      </c>
      <c r="GG58" s="2">
        <v>-7.0354163568773229</v>
      </c>
      <c r="GH58" s="2">
        <v>-7.0523680297397764</v>
      </c>
      <c r="GI58" s="2">
        <v>-7.0693197026022299</v>
      </c>
      <c r="GJ58" s="2">
        <v>-7.0862713754646833</v>
      </c>
      <c r="GK58" s="2">
        <v>-7.1032230483271368</v>
      </c>
      <c r="GL58" s="2">
        <v>-7.1201747211895912</v>
      </c>
      <c r="GM58" s="2">
        <v>-7.1371263940520446</v>
      </c>
      <c r="GN58" s="2">
        <v>-7.1540780669144981</v>
      </c>
      <c r="GO58" s="2">
        <v>-7.1710297397769516</v>
      </c>
      <c r="GP58" s="2">
        <v>-7.187981412639405</v>
      </c>
      <c r="GQ58" s="2">
        <v>-7.2050990099009899</v>
      </c>
      <c r="GR58" s="2">
        <v>-7.2225247524752474</v>
      </c>
      <c r="GS58" s="2">
        <v>-7.2399504950495057</v>
      </c>
      <c r="GT58" s="2">
        <v>-7.2577029702970304</v>
      </c>
      <c r="GU58" s="2">
        <v>-7.2755247524752482</v>
      </c>
      <c r="GV58" s="2">
        <v>-7.2933465346534652</v>
      </c>
      <c r="GW58" s="2">
        <v>-7.311168316831683</v>
      </c>
      <c r="GX58" s="2">
        <v>-7.3289900990099008</v>
      </c>
      <c r="GY58" s="2">
        <v>-7.3468118811881187</v>
      </c>
      <c r="GZ58" s="2">
        <v>-7.3646336633663365</v>
      </c>
      <c r="HA58" s="2"/>
      <c r="HB58" s="2"/>
      <c r="HC58" s="2"/>
      <c r="HD58" s="2"/>
      <c r="HE58" s="2"/>
    </row>
    <row r="59" spans="1:213" ht="15" customHeight="1" thickBot="1" x14ac:dyDescent="0.35">
      <c r="A59" s="3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L59" s="2"/>
      <c r="CM59" s="2"/>
      <c r="CN59" s="2"/>
      <c r="CQ59" s="8">
        <v>194.11091999999999</v>
      </c>
      <c r="CR59" s="8">
        <v>-9.5762E-3</v>
      </c>
      <c r="CS59" s="4">
        <f t="shared" si="0"/>
        <v>467.26091999999994</v>
      </c>
      <c r="CT59" s="9">
        <f>Таблица1[[#This Row],[DSC/(mW/mg)]]</f>
        <v>-9.5762E-3</v>
      </c>
      <c r="DO59" s="3" t="s">
        <v>31</v>
      </c>
      <c r="DP59" s="4">
        <v>-22.547673267326733</v>
      </c>
      <c r="DQ59" s="4">
        <v>-22.166188118811881</v>
      </c>
      <c r="DR59" s="4">
        <v>-21.85331683168317</v>
      </c>
      <c r="DS59" s="4">
        <v>-21.551584158415839</v>
      </c>
      <c r="DT59" s="2">
        <v>-21.416930693069304</v>
      </c>
      <c r="DU59" s="2">
        <v>-21.282277227722773</v>
      </c>
      <c r="DV59" s="2">
        <v>-21.217871287128713</v>
      </c>
      <c r="DW59" s="2">
        <v>-21.21391089108911</v>
      </c>
      <c r="DX59" s="2">
        <v>-21.210891089108912</v>
      </c>
      <c r="DY59" s="2">
        <v>-21.282178217821784</v>
      </c>
      <c r="DZ59" s="2">
        <v>-21.353465346534655</v>
      </c>
      <c r="EA59" s="2">
        <v>-21.438267326732674</v>
      </c>
      <c r="EB59" s="2">
        <v>-21.537277227722772</v>
      </c>
      <c r="EC59" s="2">
        <v>-21.636287128712873</v>
      </c>
      <c r="ED59" s="2">
        <v>-21.73529702970297</v>
      </c>
      <c r="EE59" s="2">
        <v>-21.834306930693071</v>
      </c>
      <c r="EF59" s="2">
        <v>-21.928118811881188</v>
      </c>
      <c r="EG59" s="2">
        <v>-22.015247524752475</v>
      </c>
      <c r="EH59" s="2">
        <v>-22.102376237623762</v>
      </c>
      <c r="EI59" s="2">
        <v>-22.180557620817844</v>
      </c>
      <c r="EJ59" s="2">
        <v>-22.257881040892194</v>
      </c>
      <c r="EK59" s="2">
        <v>-22.335204460966544</v>
      </c>
      <c r="EL59" s="2">
        <v>-22.412527881040891</v>
      </c>
      <c r="EM59" s="2">
        <v>-22.489851301115241</v>
      </c>
      <c r="EN59" s="2">
        <v>-22.567174721189591</v>
      </c>
      <c r="EO59" s="2">
        <v>-22.644498141263941</v>
      </c>
      <c r="EP59" s="2">
        <v>-22.721821561338292</v>
      </c>
      <c r="EQ59" s="2">
        <v>-22.799144981412638</v>
      </c>
      <c r="ER59" s="2">
        <v>-22.876468401486989</v>
      </c>
      <c r="ES59" s="2">
        <v>-22.974950495049505</v>
      </c>
      <c r="ET59" s="2">
        <v>-23.077920792079208</v>
      </c>
      <c r="EU59" s="2">
        <v>-23.184455445544554</v>
      </c>
      <c r="EV59" s="2">
        <v>-23.299306930693071</v>
      </c>
      <c r="EW59" s="2">
        <v>-23.414158415841587</v>
      </c>
      <c r="EX59" s="2">
        <v>-23.525940594059406</v>
      </c>
      <c r="EY59" s="2">
        <v>-23.636831683168317</v>
      </c>
      <c r="EZ59" s="2">
        <v>-23.748712871287129</v>
      </c>
      <c r="FA59" s="2">
        <v>-23.863564356435642</v>
      </c>
      <c r="FB59" s="2">
        <v>-23.978415841584159</v>
      </c>
      <c r="FC59" s="2">
        <v>-24.093267326732676</v>
      </c>
      <c r="FD59" s="2">
        <v>-24.208118811881189</v>
      </c>
      <c r="FE59" s="2">
        <v>-24.322178217821783</v>
      </c>
      <c r="FF59" s="2">
        <v>-24.433069306930694</v>
      </c>
      <c r="FG59" s="2">
        <v>-24.543960396039601</v>
      </c>
      <c r="FH59" s="2">
        <v>-24.654851485148512</v>
      </c>
      <c r="FI59" s="2">
        <v>-24.765742574257423</v>
      </c>
      <c r="FJ59" s="2">
        <v>-24.875445544554456</v>
      </c>
      <c r="FK59" s="2">
        <v>-24.978415841584159</v>
      </c>
      <c r="FL59" s="2">
        <v>-25.081386138613862</v>
      </c>
      <c r="FM59" s="2">
        <v>-25.179479553903345</v>
      </c>
      <c r="FN59" s="2">
        <v>-25.274646840148698</v>
      </c>
      <c r="FO59" s="2">
        <v>-25.369814126394051</v>
      </c>
      <c r="FP59" s="2">
        <v>-25.464981412639403</v>
      </c>
      <c r="FQ59" s="2">
        <v>-25.560148698884756</v>
      </c>
      <c r="FR59" s="2">
        <v>-25.655315985130109</v>
      </c>
      <c r="FS59" s="2">
        <v>-25.750483271375465</v>
      </c>
      <c r="FT59" s="2">
        <v>-25.845650557620818</v>
      </c>
      <c r="FU59" s="2">
        <v>-25.940817843866171</v>
      </c>
      <c r="FV59" s="2">
        <v>-26.035985130111523</v>
      </c>
      <c r="FW59" s="2">
        <v>-26.135346534653465</v>
      </c>
      <c r="FX59" s="2">
        <v>-26.238316831683168</v>
      </c>
      <c r="FY59" s="2">
        <v>-26.341336633663367</v>
      </c>
      <c r="FZ59" s="2">
        <v>-26.448267326732672</v>
      </c>
      <c r="GA59" s="2">
        <v>-26.555198019801981</v>
      </c>
      <c r="GB59" s="2">
        <v>-26.660198019801978</v>
      </c>
      <c r="GC59" s="2">
        <v>-26.763168316831685</v>
      </c>
      <c r="GD59" s="2">
        <v>-26.866138613861388</v>
      </c>
      <c r="GE59" s="2">
        <v>-26.96529702970297</v>
      </c>
      <c r="GF59" s="2">
        <v>-27.064306930693071</v>
      </c>
      <c r="GG59" s="2">
        <v>-27.155997521685254</v>
      </c>
      <c r="GH59" s="2">
        <v>-27.238277571251551</v>
      </c>
      <c r="GI59" s="2">
        <v>-27.320557620817844</v>
      </c>
      <c r="GJ59" s="2">
        <v>-27.402837670384137</v>
      </c>
      <c r="GK59" s="2">
        <v>-27.485117719950434</v>
      </c>
      <c r="GL59" s="2">
        <v>-27.567397769516727</v>
      </c>
      <c r="GM59" s="2">
        <v>-27.649677819083024</v>
      </c>
      <c r="GN59" s="2">
        <v>-27.731957868649317</v>
      </c>
      <c r="GO59" s="2">
        <v>-27.814237918215614</v>
      </c>
      <c r="GP59" s="2">
        <v>-27.896517967781907</v>
      </c>
      <c r="GQ59" s="2">
        <v>-27.983267326732673</v>
      </c>
      <c r="GR59" s="2">
        <v>-28.078316831683168</v>
      </c>
      <c r="GS59" s="2">
        <v>-28.173366336633666</v>
      </c>
      <c r="GT59" s="2">
        <v>-28.268415841584158</v>
      </c>
      <c r="GU59" s="2">
        <v>-28.363465346534653</v>
      </c>
      <c r="GV59" s="2">
        <v>-28.457326732673266</v>
      </c>
      <c r="GW59" s="2">
        <v>-28.548415841584159</v>
      </c>
      <c r="GX59" s="2">
        <v>-28.639504950495049</v>
      </c>
      <c r="GY59" s="2">
        <v>-28.733663366336632</v>
      </c>
      <c r="GZ59" s="2">
        <v>-28.828712871287127</v>
      </c>
      <c r="HA59" s="2"/>
      <c r="HB59" s="2"/>
      <c r="HC59" s="2"/>
      <c r="HD59" s="2"/>
      <c r="HE59" s="2"/>
    </row>
    <row r="60" spans="1:213" ht="15" customHeight="1" thickBot="1" x14ac:dyDescent="0.35">
      <c r="A60" s="3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L60" s="2"/>
      <c r="CM60" s="2"/>
      <c r="CN60" s="2"/>
      <c r="CQ60" s="8">
        <v>196.18432000000001</v>
      </c>
      <c r="CR60" s="8">
        <v>-7.5396999999999999E-3</v>
      </c>
      <c r="CS60" s="4">
        <f t="shared" si="0"/>
        <v>469.33431999999999</v>
      </c>
      <c r="CT60" s="9">
        <f>Таблица1[[#This Row],[DSC/(mW/mg)]]</f>
        <v>-7.5396999999999999E-3</v>
      </c>
      <c r="DO60" s="3"/>
      <c r="DP60" s="4"/>
      <c r="DQ60" s="4"/>
      <c r="DR60" s="4"/>
      <c r="DS60" s="4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</row>
    <row r="61" spans="1:213" ht="15" customHeight="1" thickBot="1" x14ac:dyDescent="0.35">
      <c r="A61" s="3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L61" s="2"/>
      <c r="CM61" s="2"/>
      <c r="CN61" s="2"/>
      <c r="CQ61" s="8">
        <v>198.25773000000001</v>
      </c>
      <c r="CR61" s="8">
        <v>-5.2142999999999998E-3</v>
      </c>
      <c r="CS61" s="4">
        <f t="shared" si="0"/>
        <v>471.40773000000002</v>
      </c>
      <c r="CT61" s="9">
        <f>Таблица1[[#This Row],[DSC/(mW/mg)]]</f>
        <v>-5.2142999999999998E-3</v>
      </c>
      <c r="DO61" s="3"/>
      <c r="DP61" s="4"/>
      <c r="DQ61" s="4"/>
      <c r="DR61" s="4"/>
      <c r="DS61" s="4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</row>
    <row r="62" spans="1:213" ht="15" customHeight="1" thickBot="1" x14ac:dyDescent="0.35">
      <c r="A62" s="3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L62" s="2"/>
      <c r="CM62" s="2"/>
      <c r="CN62" s="2"/>
      <c r="CQ62" s="8">
        <v>200.33114</v>
      </c>
      <c r="CR62" s="8">
        <v>-2.5349000000000001E-3</v>
      </c>
      <c r="CS62" s="4">
        <f t="shared" si="0"/>
        <v>473.48113999999998</v>
      </c>
      <c r="CT62" s="9">
        <f>Таблица1[[#This Row],[DSC/(mW/mg)]]</f>
        <v>-2.5349000000000001E-3</v>
      </c>
      <c r="DO62" s="3"/>
      <c r="DP62" s="4"/>
      <c r="DQ62" s="4"/>
      <c r="DR62" s="4"/>
      <c r="DS62" s="4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</row>
    <row r="63" spans="1:213" ht="21.75" thickBot="1" x14ac:dyDescent="0.35">
      <c r="A63" s="3" t="s">
        <v>50</v>
      </c>
      <c r="B63" s="32">
        <v>1</v>
      </c>
      <c r="C63" s="32">
        <v>1</v>
      </c>
      <c r="D63" s="32">
        <v>1</v>
      </c>
      <c r="E63" s="32">
        <v>1</v>
      </c>
      <c r="F63" s="32">
        <v>1</v>
      </c>
      <c r="G63" s="32">
        <v>1</v>
      </c>
      <c r="H63" s="32">
        <v>1</v>
      </c>
      <c r="I63" s="32">
        <v>1</v>
      </c>
      <c r="J63" s="32">
        <v>1</v>
      </c>
      <c r="K63" s="32">
        <v>1</v>
      </c>
      <c r="L63" s="32">
        <v>1</v>
      </c>
      <c r="M63" s="32">
        <v>1</v>
      </c>
      <c r="N63" s="32">
        <v>1</v>
      </c>
      <c r="O63" s="32">
        <v>1</v>
      </c>
      <c r="P63" s="32">
        <v>1</v>
      </c>
      <c r="Q63" s="32">
        <v>1</v>
      </c>
      <c r="R63" s="32">
        <v>1</v>
      </c>
      <c r="S63" s="32">
        <v>1</v>
      </c>
      <c r="T63" s="32">
        <v>1</v>
      </c>
      <c r="U63" s="32">
        <v>1</v>
      </c>
      <c r="V63" s="32">
        <v>1</v>
      </c>
      <c r="W63" s="32">
        <v>1</v>
      </c>
      <c r="X63" s="32">
        <v>1</v>
      </c>
      <c r="Y63" s="32">
        <v>1</v>
      </c>
      <c r="Z63" s="32">
        <v>1</v>
      </c>
      <c r="AA63" s="32">
        <v>1</v>
      </c>
      <c r="AB63" s="32">
        <v>1</v>
      </c>
      <c r="AC63" s="32">
        <v>1</v>
      </c>
      <c r="AD63" s="32">
        <v>1</v>
      </c>
      <c r="AE63" s="32">
        <v>1</v>
      </c>
      <c r="AF63" s="32">
        <v>1</v>
      </c>
      <c r="AG63" s="32">
        <v>1</v>
      </c>
      <c r="AH63" s="32">
        <v>1</v>
      </c>
      <c r="AI63" s="32">
        <v>1</v>
      </c>
      <c r="AJ63" s="32">
        <v>1</v>
      </c>
      <c r="AK63" s="32">
        <v>1</v>
      </c>
      <c r="AL63" s="32">
        <v>1</v>
      </c>
      <c r="AM63" s="32">
        <v>1</v>
      </c>
      <c r="AN63" s="32">
        <v>1</v>
      </c>
      <c r="AO63" s="32">
        <v>1</v>
      </c>
      <c r="AP63" s="32">
        <v>1</v>
      </c>
      <c r="AQ63" s="32">
        <v>1</v>
      </c>
      <c r="AR63" s="32">
        <v>1</v>
      </c>
      <c r="AS63" s="32">
        <v>1</v>
      </c>
      <c r="AT63" s="32">
        <v>1</v>
      </c>
      <c r="AU63" s="32">
        <v>1</v>
      </c>
      <c r="AV63" s="32">
        <v>1</v>
      </c>
      <c r="AW63" s="32">
        <v>1</v>
      </c>
      <c r="AX63" s="32">
        <v>1</v>
      </c>
      <c r="AY63" s="32">
        <v>1</v>
      </c>
      <c r="AZ63" s="32">
        <v>1</v>
      </c>
      <c r="BA63" s="32">
        <v>1</v>
      </c>
      <c r="BB63" s="32">
        <v>1</v>
      </c>
      <c r="BC63" s="32">
        <v>1</v>
      </c>
      <c r="BD63" s="32">
        <v>1</v>
      </c>
      <c r="BE63" s="32">
        <v>1</v>
      </c>
      <c r="BF63" s="32">
        <v>1</v>
      </c>
      <c r="BG63" s="32">
        <v>1</v>
      </c>
      <c r="BH63" s="32">
        <v>1</v>
      </c>
      <c r="BI63" s="32">
        <v>1</v>
      </c>
      <c r="BJ63" s="32">
        <v>1</v>
      </c>
      <c r="BK63" s="32">
        <v>1</v>
      </c>
      <c r="BL63" s="32">
        <v>1</v>
      </c>
      <c r="BM63" s="32">
        <v>1</v>
      </c>
      <c r="BN63" s="32">
        <v>1</v>
      </c>
      <c r="BO63" s="32">
        <v>1</v>
      </c>
      <c r="BP63" s="32">
        <v>1</v>
      </c>
      <c r="BQ63" s="32">
        <v>1</v>
      </c>
      <c r="BR63" s="32">
        <v>1</v>
      </c>
      <c r="BS63" s="32">
        <v>1</v>
      </c>
      <c r="BT63" s="32">
        <v>1</v>
      </c>
      <c r="BU63" s="32">
        <v>1</v>
      </c>
      <c r="BV63" s="32">
        <v>1</v>
      </c>
      <c r="BW63" s="32">
        <v>1</v>
      </c>
      <c r="BX63" s="32">
        <v>1</v>
      </c>
      <c r="BY63" s="32">
        <v>1</v>
      </c>
      <c r="BZ63" s="32">
        <v>1</v>
      </c>
      <c r="CA63" s="32">
        <v>1</v>
      </c>
      <c r="CB63" s="32">
        <v>1</v>
      </c>
      <c r="CC63" s="32">
        <v>1</v>
      </c>
      <c r="CD63" s="32">
        <v>1</v>
      </c>
      <c r="CE63" s="32">
        <v>1</v>
      </c>
      <c r="CF63" s="32">
        <v>1</v>
      </c>
      <c r="CG63" s="32">
        <v>1</v>
      </c>
      <c r="CH63" s="32">
        <v>1</v>
      </c>
      <c r="CI63" s="32">
        <v>1</v>
      </c>
      <c r="CJ63" s="32">
        <v>1</v>
      </c>
      <c r="CL63" s="2"/>
      <c r="CM63" s="2"/>
      <c r="CN63" s="2"/>
      <c r="CQ63" s="8">
        <v>202.40455</v>
      </c>
      <c r="CR63" s="8">
        <v>-4.6265999999999999E-4</v>
      </c>
      <c r="CS63" s="4">
        <f t="shared" si="0"/>
        <v>475.55454999999995</v>
      </c>
      <c r="CT63" s="9">
        <f>Таблица1[[#This Row],[DSC/(mW/mg)]]</f>
        <v>-4.6265999999999999E-4</v>
      </c>
      <c r="DO63" s="3" t="s">
        <v>2</v>
      </c>
      <c r="DP63" s="2">
        <v>1</v>
      </c>
      <c r="DQ63" s="2">
        <v>1</v>
      </c>
      <c r="DR63" s="2">
        <v>1</v>
      </c>
      <c r="DS63" s="2">
        <v>1</v>
      </c>
      <c r="DT63" s="2">
        <v>1</v>
      </c>
      <c r="DU63" s="2">
        <v>1</v>
      </c>
      <c r="DV63" s="2">
        <v>1</v>
      </c>
      <c r="DW63" s="2">
        <v>1</v>
      </c>
      <c r="DX63" s="2">
        <v>1</v>
      </c>
      <c r="DY63" s="2">
        <v>1</v>
      </c>
      <c r="DZ63" s="2">
        <v>1</v>
      </c>
      <c r="EA63" s="2">
        <v>1</v>
      </c>
      <c r="EB63" s="2">
        <v>1</v>
      </c>
      <c r="EC63" s="2">
        <v>1</v>
      </c>
      <c r="ED63" s="2">
        <v>1</v>
      </c>
      <c r="EE63" s="2">
        <v>1</v>
      </c>
      <c r="EF63" s="2">
        <v>1</v>
      </c>
      <c r="EG63" s="2">
        <v>1</v>
      </c>
      <c r="EH63" s="2">
        <v>1</v>
      </c>
      <c r="EI63" s="2">
        <v>1</v>
      </c>
      <c r="EJ63" s="2">
        <v>1</v>
      </c>
      <c r="EK63" s="2">
        <v>1</v>
      </c>
      <c r="EL63" s="2">
        <v>1</v>
      </c>
      <c r="EM63" s="2">
        <v>1</v>
      </c>
      <c r="EN63" s="2">
        <v>1</v>
      </c>
      <c r="EO63" s="2">
        <v>1</v>
      </c>
      <c r="EP63" s="2">
        <v>1</v>
      </c>
      <c r="EQ63" s="2">
        <v>1</v>
      </c>
      <c r="ER63" s="2">
        <v>1</v>
      </c>
      <c r="ES63" s="2">
        <v>1</v>
      </c>
      <c r="ET63" s="2">
        <v>1</v>
      </c>
      <c r="EU63" s="2">
        <v>1</v>
      </c>
      <c r="EV63" s="2">
        <v>1</v>
      </c>
      <c r="EW63" s="2">
        <v>1</v>
      </c>
      <c r="EX63" s="2">
        <v>1</v>
      </c>
      <c r="EY63" s="2">
        <v>1</v>
      </c>
      <c r="EZ63" s="2">
        <v>1</v>
      </c>
      <c r="FA63" s="2">
        <v>1</v>
      </c>
      <c r="FB63" s="2">
        <v>1</v>
      </c>
      <c r="FC63" s="2">
        <v>1</v>
      </c>
      <c r="FD63" s="2">
        <v>1</v>
      </c>
      <c r="FE63" s="2">
        <v>1</v>
      </c>
      <c r="FF63" s="2">
        <v>1</v>
      </c>
      <c r="FG63" s="2">
        <v>1</v>
      </c>
      <c r="FH63" s="2">
        <v>1</v>
      </c>
      <c r="FI63" s="2">
        <v>1</v>
      </c>
      <c r="FJ63" s="2">
        <v>1</v>
      </c>
      <c r="FK63" s="2">
        <v>1</v>
      </c>
      <c r="FL63" s="2">
        <v>1</v>
      </c>
      <c r="FM63" s="2">
        <v>1</v>
      </c>
      <c r="FN63" s="2">
        <v>1</v>
      </c>
      <c r="FO63" s="2">
        <v>1</v>
      </c>
      <c r="FP63" s="2">
        <v>1</v>
      </c>
      <c r="FQ63" s="2">
        <v>1</v>
      </c>
      <c r="FR63" s="2">
        <v>1</v>
      </c>
      <c r="FS63" s="2">
        <v>1</v>
      </c>
      <c r="FT63" s="2">
        <v>1</v>
      </c>
      <c r="FU63" s="2">
        <v>1</v>
      </c>
      <c r="FV63" s="2">
        <v>1</v>
      </c>
      <c r="FW63" s="2">
        <v>1</v>
      </c>
      <c r="FX63" s="2">
        <v>1</v>
      </c>
      <c r="FY63" s="2">
        <v>1</v>
      </c>
      <c r="FZ63" s="2">
        <v>1</v>
      </c>
      <c r="GA63" s="2">
        <v>1</v>
      </c>
      <c r="GB63" s="2">
        <v>1</v>
      </c>
      <c r="GC63" s="2">
        <v>1</v>
      </c>
      <c r="GD63" s="2">
        <v>1</v>
      </c>
      <c r="GE63" s="2">
        <v>1</v>
      </c>
      <c r="GF63" s="2">
        <v>1</v>
      </c>
      <c r="GG63" s="2">
        <v>1</v>
      </c>
      <c r="GH63" s="2">
        <v>1</v>
      </c>
      <c r="GI63" s="2">
        <v>1</v>
      </c>
      <c r="GJ63" s="2">
        <v>1</v>
      </c>
      <c r="GK63" s="2">
        <v>1</v>
      </c>
      <c r="GL63" s="2">
        <v>1</v>
      </c>
      <c r="GM63" s="2">
        <v>1</v>
      </c>
      <c r="GN63" s="2">
        <v>1</v>
      </c>
      <c r="GO63" s="2">
        <v>1</v>
      </c>
      <c r="GP63" s="2">
        <v>1</v>
      </c>
      <c r="GQ63" s="2">
        <v>1</v>
      </c>
      <c r="GR63" s="2">
        <v>1</v>
      </c>
      <c r="GS63" s="2">
        <v>1</v>
      </c>
      <c r="GT63" s="2">
        <v>1</v>
      </c>
      <c r="GU63" s="2">
        <v>1</v>
      </c>
      <c r="GV63" s="2">
        <v>1</v>
      </c>
      <c r="GW63" s="2">
        <v>1</v>
      </c>
      <c r="GX63" s="2">
        <v>1</v>
      </c>
      <c r="GY63" s="2">
        <v>1</v>
      </c>
      <c r="GZ63" s="2">
        <v>1</v>
      </c>
    </row>
    <row r="64" spans="1:213" x14ac:dyDescent="0.25">
      <c r="CL64" s="2"/>
      <c r="CM64" s="2"/>
      <c r="CN64" s="2"/>
      <c r="CQ64" s="8">
        <v>204.47796</v>
      </c>
      <c r="CR64" s="8">
        <v>1.6896000000000001E-3</v>
      </c>
      <c r="CS64" s="4">
        <f t="shared" si="0"/>
        <v>477.62795999999997</v>
      </c>
      <c r="CT64" s="9">
        <f>Таблица1[[#This Row],[DSC/(mW/mg)]]</f>
        <v>1.6896000000000001E-3</v>
      </c>
    </row>
    <row r="65" spans="90:98" x14ac:dyDescent="0.25">
      <c r="CL65" s="2"/>
      <c r="CM65" s="2"/>
      <c r="CN65" s="2"/>
      <c r="CQ65" s="8">
        <v>206.55136999999999</v>
      </c>
      <c r="CR65" s="8">
        <v>3.5959999999999998E-3</v>
      </c>
      <c r="CS65" s="4">
        <f t="shared" si="0"/>
        <v>479.70137</v>
      </c>
      <c r="CT65" s="9">
        <f>Таблица1[[#This Row],[DSC/(mW/mg)]]</f>
        <v>3.5959999999999998E-3</v>
      </c>
    </row>
    <row r="66" spans="90:98" x14ac:dyDescent="0.25">
      <c r="CL66" s="2"/>
      <c r="CM66" s="2"/>
      <c r="CN66" s="2"/>
      <c r="CQ66" s="8">
        <v>208.62477999999999</v>
      </c>
      <c r="CR66" s="8">
        <v>4.6579000000000004E-3</v>
      </c>
      <c r="CS66" s="4">
        <f t="shared" si="0"/>
        <v>481.77477999999996</v>
      </c>
      <c r="CT66" s="9">
        <f>Таблица1[[#This Row],[DSC/(mW/mg)]]</f>
        <v>4.6579000000000004E-3</v>
      </c>
    </row>
    <row r="67" spans="90:98" x14ac:dyDescent="0.25">
      <c r="CQ67" s="8">
        <v>210.69819000000001</v>
      </c>
      <c r="CR67" s="8">
        <v>5.4463000000000003E-3</v>
      </c>
      <c r="CS67" s="4">
        <f t="shared" ref="CS67:CS130" si="1">CQ67+273.15</f>
        <v>483.84818999999999</v>
      </c>
      <c r="CT67" s="9">
        <f>Таблица1[[#This Row],[DSC/(mW/mg)]]</f>
        <v>5.4463000000000003E-3</v>
      </c>
    </row>
    <row r="68" spans="90:98" x14ac:dyDescent="0.25">
      <c r="CQ68" s="8">
        <v>212.77160000000001</v>
      </c>
      <c r="CR68" s="8">
        <v>5.8062000000000001E-3</v>
      </c>
      <c r="CS68" s="4">
        <f t="shared" si="1"/>
        <v>485.92160000000001</v>
      </c>
      <c r="CT68" s="9">
        <f>Таблица1[[#This Row],[DSC/(mW/mg)]]</f>
        <v>5.8062000000000001E-3</v>
      </c>
    </row>
    <row r="69" spans="90:98" x14ac:dyDescent="0.25">
      <c r="CQ69" s="8">
        <v>214.84501</v>
      </c>
      <c r="CR69" s="8">
        <v>6.0255999999999999E-3</v>
      </c>
      <c r="CS69" s="4">
        <f t="shared" si="1"/>
        <v>487.99500999999998</v>
      </c>
      <c r="CT69" s="9">
        <f>Таблица1[[#This Row],[DSC/(mW/mg)]]</f>
        <v>6.0255999999999999E-3</v>
      </c>
    </row>
    <row r="70" spans="90:98" x14ac:dyDescent="0.25">
      <c r="CQ70" s="8">
        <v>216.91842</v>
      </c>
      <c r="CR70" s="8">
        <v>5.7486999999999998E-3</v>
      </c>
      <c r="CS70" s="4">
        <f t="shared" si="1"/>
        <v>490.06841999999995</v>
      </c>
      <c r="CT70" s="9">
        <f>Таблица1[[#This Row],[DSC/(mW/mg)]]</f>
        <v>5.7486999999999998E-3</v>
      </c>
    </row>
    <row r="71" spans="90:98" x14ac:dyDescent="0.25">
      <c r="CQ71" s="8">
        <v>218.99182999999999</v>
      </c>
      <c r="CR71" s="8">
        <v>5.1034000000000001E-3</v>
      </c>
      <c r="CS71" s="4">
        <f t="shared" si="1"/>
        <v>492.14182999999997</v>
      </c>
      <c r="CT71" s="9">
        <f>Таблица1[[#This Row],[DSC/(mW/mg)]]</f>
        <v>5.1034000000000001E-3</v>
      </c>
    </row>
    <row r="72" spans="90:98" x14ac:dyDescent="0.25">
      <c r="CQ72" s="8">
        <v>221.06523000000001</v>
      </c>
      <c r="CR72" s="8">
        <v>4.0086000000000002E-3</v>
      </c>
      <c r="CS72" s="4">
        <f t="shared" si="1"/>
        <v>494.21523000000002</v>
      </c>
      <c r="CT72" s="9">
        <f>Таблица1[[#This Row],[DSC/(mW/mg)]]</f>
        <v>4.0086000000000002E-3</v>
      </c>
    </row>
    <row r="73" spans="90:98" x14ac:dyDescent="0.25">
      <c r="CQ73" s="8">
        <v>223.13864000000001</v>
      </c>
      <c r="CR73" s="8">
        <v>2.9112000000000001E-3</v>
      </c>
      <c r="CS73" s="4">
        <f t="shared" si="1"/>
        <v>496.28863999999999</v>
      </c>
      <c r="CT73" s="9">
        <f>Таблица1[[#This Row],[DSC/(mW/mg)]]</f>
        <v>2.9112000000000001E-3</v>
      </c>
    </row>
    <row r="74" spans="90:98" x14ac:dyDescent="0.25">
      <c r="CQ74" s="8">
        <v>225.21205</v>
      </c>
      <c r="CR74" s="8">
        <v>2.3008999999999998E-3</v>
      </c>
      <c r="CS74" s="4">
        <f t="shared" si="1"/>
        <v>498.36204999999995</v>
      </c>
      <c r="CT74" s="9">
        <f>Таблица1[[#This Row],[DSC/(mW/mg)]]</f>
        <v>2.3008999999999998E-3</v>
      </c>
    </row>
    <row r="75" spans="90:98" x14ac:dyDescent="0.25">
      <c r="CQ75" s="8">
        <v>227.28546</v>
      </c>
      <c r="CR75" s="8">
        <v>1.7565E-3</v>
      </c>
      <c r="CS75" s="4">
        <f t="shared" si="1"/>
        <v>500.43545999999998</v>
      </c>
      <c r="CT75" s="9">
        <f>Таблица1[[#This Row],[DSC/(mW/mg)]]</f>
        <v>1.7565E-3</v>
      </c>
    </row>
    <row r="76" spans="90:98" x14ac:dyDescent="0.25">
      <c r="CQ76" s="8">
        <v>229.35887</v>
      </c>
      <c r="CR76" s="8">
        <v>1.1249999999999999E-3</v>
      </c>
      <c r="CS76" s="4">
        <f t="shared" si="1"/>
        <v>502.50887</v>
      </c>
      <c r="CT76" s="9">
        <f>Таблица1[[#This Row],[DSC/(mW/mg)]]</f>
        <v>1.1249999999999999E-3</v>
      </c>
    </row>
    <row r="77" spans="90:98" x14ac:dyDescent="0.25">
      <c r="CQ77" s="8">
        <v>231.43227999999999</v>
      </c>
      <c r="CR77" s="8">
        <v>1.6872E-4</v>
      </c>
      <c r="CS77" s="4">
        <f t="shared" si="1"/>
        <v>504.58227999999997</v>
      </c>
      <c r="CT77" s="9">
        <f>Таблица1[[#This Row],[DSC/(mW/mg)]]</f>
        <v>1.6872E-4</v>
      </c>
    </row>
    <row r="78" spans="90:98" x14ac:dyDescent="0.25">
      <c r="CQ78" s="8">
        <v>233.50568999999999</v>
      </c>
      <c r="CR78" s="8">
        <v>-7.1186999999999997E-4</v>
      </c>
      <c r="CS78" s="4">
        <f t="shared" si="1"/>
        <v>506.65568999999994</v>
      </c>
      <c r="CT78" s="9">
        <f>Таблица1[[#This Row],[DSC/(mW/mg)]]</f>
        <v>-7.1186999999999997E-4</v>
      </c>
    </row>
    <row r="79" spans="90:98" x14ac:dyDescent="0.25">
      <c r="CQ79" s="8">
        <v>235.57910000000001</v>
      </c>
      <c r="CR79" s="8">
        <v>-1.6360000000000001E-3</v>
      </c>
      <c r="CS79" s="4">
        <f t="shared" si="1"/>
        <v>508.72910000000002</v>
      </c>
      <c r="CT79" s="9">
        <f>Таблица1[[#This Row],[DSC/(mW/mg)]]</f>
        <v>-1.6360000000000001E-3</v>
      </c>
    </row>
    <row r="80" spans="90:98" x14ac:dyDescent="0.25">
      <c r="CQ80" s="8">
        <v>237.65251000000001</v>
      </c>
      <c r="CR80" s="8">
        <v>-2.6270999999999998E-3</v>
      </c>
      <c r="CS80" s="4">
        <f t="shared" si="1"/>
        <v>510.80250999999998</v>
      </c>
      <c r="CT80" s="9">
        <f>Таблица1[[#This Row],[DSC/(mW/mg)]]</f>
        <v>-2.6270999999999998E-3</v>
      </c>
    </row>
    <row r="81" spans="95:98" x14ac:dyDescent="0.25">
      <c r="CQ81" s="8">
        <v>239.72592</v>
      </c>
      <c r="CR81" s="8">
        <v>-3.1678000000000001E-3</v>
      </c>
      <c r="CS81" s="4">
        <f t="shared" si="1"/>
        <v>512.87591999999995</v>
      </c>
      <c r="CT81" s="9">
        <f>Таблица1[[#This Row],[DSC/(mW/mg)]]</f>
        <v>-3.1678000000000001E-3</v>
      </c>
    </row>
    <row r="82" spans="95:98" x14ac:dyDescent="0.25">
      <c r="CQ82" s="8">
        <v>241.79933</v>
      </c>
      <c r="CR82" s="8">
        <v>-3.1402000000000001E-3</v>
      </c>
      <c r="CS82" s="4">
        <f t="shared" si="1"/>
        <v>514.94932999999992</v>
      </c>
      <c r="CT82" s="9">
        <f>Таблица1[[#This Row],[DSC/(mW/mg)]]</f>
        <v>-3.1402000000000001E-3</v>
      </c>
    </row>
    <row r="83" spans="95:98" x14ac:dyDescent="0.25">
      <c r="CQ83" s="8">
        <v>243.87273999999999</v>
      </c>
      <c r="CR83" s="8">
        <v>-2.4215E-3</v>
      </c>
      <c r="CS83" s="4">
        <f t="shared" si="1"/>
        <v>517.02274</v>
      </c>
      <c r="CT83" s="9">
        <f>Таблица1[[#This Row],[DSC/(mW/mg)]]</f>
        <v>-2.4215E-3</v>
      </c>
    </row>
    <row r="84" spans="95:98" x14ac:dyDescent="0.25">
      <c r="CQ84" s="8">
        <v>245.94614999999999</v>
      </c>
      <c r="CR84" s="8">
        <v>-1.4038E-3</v>
      </c>
      <c r="CS84" s="4">
        <f t="shared" si="1"/>
        <v>519.09614999999997</v>
      </c>
      <c r="CT84" s="9">
        <f>Таблица1[[#This Row],[DSC/(mW/mg)]]</f>
        <v>-1.4038E-3</v>
      </c>
    </row>
    <row r="85" spans="95:98" x14ac:dyDescent="0.25">
      <c r="CQ85" s="8">
        <v>248.01955000000001</v>
      </c>
      <c r="CR85" s="8">
        <v>-3.5899E-4</v>
      </c>
      <c r="CS85" s="4">
        <f t="shared" si="1"/>
        <v>521.16954999999996</v>
      </c>
      <c r="CT85" s="9">
        <f>Таблица1[[#This Row],[DSC/(mW/mg)]]</f>
        <v>-3.5899E-4</v>
      </c>
    </row>
    <row r="86" spans="95:98" x14ac:dyDescent="0.25">
      <c r="CQ86" s="8">
        <v>250.09296000000001</v>
      </c>
      <c r="CR86" s="8">
        <v>2.2981999999999999E-4</v>
      </c>
      <c r="CS86" s="4">
        <f t="shared" si="1"/>
        <v>523.24296000000004</v>
      </c>
      <c r="CT86" s="9">
        <f>Таблица1[[#This Row],[DSC/(mW/mg)]]</f>
        <v>2.2981999999999999E-4</v>
      </c>
    </row>
    <row r="87" spans="95:98" x14ac:dyDescent="0.25">
      <c r="CQ87" s="8">
        <v>252.16637</v>
      </c>
      <c r="CR87" s="8">
        <v>-1.4095000000000001E-4</v>
      </c>
      <c r="CS87" s="4">
        <f t="shared" si="1"/>
        <v>525.31637000000001</v>
      </c>
      <c r="CT87" s="9">
        <f>Таблица1[[#This Row],[DSC/(mW/mg)]]</f>
        <v>-1.4095000000000001E-4</v>
      </c>
    </row>
    <row r="88" spans="95:98" x14ac:dyDescent="0.25">
      <c r="CQ88" s="8">
        <v>254.23978</v>
      </c>
      <c r="CR88" s="8">
        <v>-3.4564000000000001E-3</v>
      </c>
      <c r="CS88" s="4">
        <f t="shared" si="1"/>
        <v>527.38977999999997</v>
      </c>
      <c r="CT88" s="9">
        <f>Таблица1[[#This Row],[DSC/(mW/mg)]]</f>
        <v>-3.4564000000000001E-3</v>
      </c>
    </row>
    <row r="89" spans="95:98" x14ac:dyDescent="0.25">
      <c r="CQ89" s="8">
        <v>256.31319000000002</v>
      </c>
      <c r="CR89" s="8">
        <v>-3.7897999999999999E-3</v>
      </c>
      <c r="CS89" s="4">
        <f t="shared" si="1"/>
        <v>529.46318999999994</v>
      </c>
      <c r="CT89" s="9">
        <f>Таблица1[[#This Row],[DSC/(mW/mg)]]</f>
        <v>-3.7897999999999999E-3</v>
      </c>
    </row>
    <row r="90" spans="95:98" x14ac:dyDescent="0.25">
      <c r="CQ90" s="8">
        <v>258.38659999999999</v>
      </c>
      <c r="CR90" s="8">
        <v>-3.0734999999999998E-3</v>
      </c>
      <c r="CS90" s="4">
        <f t="shared" si="1"/>
        <v>531.53659999999991</v>
      </c>
      <c r="CT90" s="9">
        <f>Таблица1[[#This Row],[DSC/(mW/mg)]]</f>
        <v>-3.0734999999999998E-3</v>
      </c>
    </row>
    <row r="91" spans="95:98" x14ac:dyDescent="0.25">
      <c r="CQ91" s="8">
        <v>260.46001000000001</v>
      </c>
      <c r="CR91" s="8">
        <v>-2.4139999999999999E-3</v>
      </c>
      <c r="CS91" s="4">
        <f t="shared" si="1"/>
        <v>533.61000999999999</v>
      </c>
      <c r="CT91" s="9">
        <f>Таблица1[[#This Row],[DSC/(mW/mg)]]</f>
        <v>-2.4139999999999999E-3</v>
      </c>
    </row>
    <row r="92" spans="95:98" x14ac:dyDescent="0.25">
      <c r="CQ92" s="8">
        <v>262.53341999999998</v>
      </c>
      <c r="CR92" s="8">
        <v>-1.8862E-3</v>
      </c>
      <c r="CS92" s="4">
        <f t="shared" si="1"/>
        <v>535.68341999999996</v>
      </c>
      <c r="CT92" s="9">
        <f>Таблица1[[#This Row],[DSC/(mW/mg)]]</f>
        <v>-1.8862E-3</v>
      </c>
    </row>
    <row r="93" spans="95:98" x14ac:dyDescent="0.25">
      <c r="CQ93" s="8">
        <v>264.60683</v>
      </c>
      <c r="CR93" s="8">
        <v>-1.3529E-3</v>
      </c>
      <c r="CS93" s="4">
        <f t="shared" si="1"/>
        <v>537.75683000000004</v>
      </c>
      <c r="CT93" s="9">
        <f>Таблица1[[#This Row],[DSC/(mW/mg)]]</f>
        <v>-1.3529E-3</v>
      </c>
    </row>
    <row r="94" spans="95:98" x14ac:dyDescent="0.25">
      <c r="CQ94" s="8">
        <v>266.68024000000003</v>
      </c>
      <c r="CR94" s="8">
        <v>-1.4012E-3</v>
      </c>
      <c r="CS94" s="4">
        <f t="shared" si="1"/>
        <v>539.83024</v>
      </c>
      <c r="CT94" s="9">
        <f>Таблица1[[#This Row],[DSC/(mW/mg)]]</f>
        <v>-1.4012E-3</v>
      </c>
    </row>
    <row r="95" spans="95:98" x14ac:dyDescent="0.25">
      <c r="CQ95" s="8">
        <v>268.75364999999999</v>
      </c>
      <c r="CR95" s="8">
        <v>-1.9012E-3</v>
      </c>
      <c r="CS95" s="4">
        <f t="shared" si="1"/>
        <v>541.90364999999997</v>
      </c>
      <c r="CT95" s="9">
        <f>Таблица1[[#This Row],[DSC/(mW/mg)]]</f>
        <v>-1.9012E-3</v>
      </c>
    </row>
    <row r="96" spans="95:98" x14ac:dyDescent="0.25">
      <c r="CQ96" s="8">
        <v>270.82706000000002</v>
      </c>
      <c r="CR96" s="8">
        <v>-1.67E-3</v>
      </c>
      <c r="CS96" s="4">
        <f t="shared" si="1"/>
        <v>543.97705999999994</v>
      </c>
      <c r="CT96" s="9">
        <f>Таблица1[[#This Row],[DSC/(mW/mg)]]</f>
        <v>-1.67E-3</v>
      </c>
    </row>
    <row r="97" spans="95:98" x14ac:dyDescent="0.25">
      <c r="CQ97" s="8">
        <v>272.90046000000001</v>
      </c>
      <c r="CR97" s="8">
        <v>-8.7814000000000002E-4</v>
      </c>
      <c r="CS97" s="4">
        <f t="shared" si="1"/>
        <v>546.05045999999993</v>
      </c>
      <c r="CT97" s="9">
        <f>Таблица1[[#This Row],[DSC/(mW/mg)]]</f>
        <v>-8.7814000000000002E-4</v>
      </c>
    </row>
    <row r="98" spans="95:98" x14ac:dyDescent="0.25">
      <c r="CQ98" s="8">
        <v>274.97386999999998</v>
      </c>
      <c r="CR98" s="8">
        <v>6.8658000000000006E-5</v>
      </c>
      <c r="CS98" s="4">
        <f t="shared" si="1"/>
        <v>548.1238699999999</v>
      </c>
      <c r="CT98" s="9">
        <f>Таблица1[[#This Row],[DSC/(mW/mg)]]</f>
        <v>6.8658000000000006E-5</v>
      </c>
    </row>
    <row r="99" spans="95:98" x14ac:dyDescent="0.25">
      <c r="CQ99" s="8">
        <v>277.04728</v>
      </c>
      <c r="CR99" s="8">
        <v>7.6769000000000002E-4</v>
      </c>
      <c r="CS99" s="4">
        <f t="shared" si="1"/>
        <v>550.19727999999998</v>
      </c>
      <c r="CT99" s="9">
        <f>Таблица1[[#This Row],[DSC/(mW/mg)]]</f>
        <v>7.6769000000000002E-4</v>
      </c>
    </row>
    <row r="100" spans="95:98" x14ac:dyDescent="0.25">
      <c r="CQ100" s="8">
        <v>279.12069000000002</v>
      </c>
      <c r="CR100" s="8">
        <v>3.6390000000000001E-4</v>
      </c>
      <c r="CS100" s="4">
        <f t="shared" si="1"/>
        <v>552.27069000000006</v>
      </c>
      <c r="CT100" s="9">
        <f>Таблица1[[#This Row],[DSC/(mW/mg)]]</f>
        <v>3.6390000000000001E-4</v>
      </c>
    </row>
    <row r="101" spans="95:98" x14ac:dyDescent="0.25">
      <c r="CQ101" s="8">
        <v>281.19409999999999</v>
      </c>
      <c r="CR101" s="8">
        <v>-2.0445000000000001E-4</v>
      </c>
      <c r="CS101" s="4">
        <f t="shared" si="1"/>
        <v>554.34410000000003</v>
      </c>
      <c r="CT101" s="9">
        <f>Таблица1[[#This Row],[DSC/(mW/mg)]]</f>
        <v>-2.0445000000000001E-4</v>
      </c>
    </row>
    <row r="102" spans="95:98" x14ac:dyDescent="0.25">
      <c r="CQ102" s="8">
        <v>283.26751000000002</v>
      </c>
      <c r="CR102" s="8">
        <v>2.4287000000000001E-4</v>
      </c>
      <c r="CS102" s="4">
        <f t="shared" si="1"/>
        <v>556.41750999999999</v>
      </c>
      <c r="CT102" s="9">
        <f>Таблица1[[#This Row],[DSC/(mW/mg)]]</f>
        <v>2.4287000000000001E-4</v>
      </c>
    </row>
    <row r="103" spans="95:98" x14ac:dyDescent="0.25">
      <c r="CQ103" s="8">
        <v>285.34091999999998</v>
      </c>
      <c r="CR103" s="8">
        <v>6.5258000000000004E-4</v>
      </c>
      <c r="CS103" s="4">
        <f t="shared" si="1"/>
        <v>558.49091999999996</v>
      </c>
      <c r="CT103" s="9">
        <f>Таблица1[[#This Row],[DSC/(mW/mg)]]</f>
        <v>6.5258000000000004E-4</v>
      </c>
    </row>
    <row r="104" spans="95:98" x14ac:dyDescent="0.25">
      <c r="CQ104" s="8">
        <v>287.41433000000001</v>
      </c>
      <c r="CR104" s="8">
        <v>3.4143999999999998E-4</v>
      </c>
      <c r="CS104" s="4">
        <f t="shared" si="1"/>
        <v>560.56432999999993</v>
      </c>
      <c r="CT104" s="9">
        <f>Таблица1[[#This Row],[DSC/(mW/mg)]]</f>
        <v>3.4143999999999998E-4</v>
      </c>
    </row>
    <row r="105" spans="95:98" x14ac:dyDescent="0.25">
      <c r="CQ105" s="8">
        <v>289.48773999999997</v>
      </c>
      <c r="CR105" s="8">
        <v>-3.6936E-4</v>
      </c>
      <c r="CS105" s="4">
        <f t="shared" si="1"/>
        <v>562.63773999999989</v>
      </c>
      <c r="CT105" s="9">
        <f>Таблица1[[#This Row],[DSC/(mW/mg)]]</f>
        <v>-3.6936E-4</v>
      </c>
    </row>
    <row r="106" spans="95:98" x14ac:dyDescent="0.25">
      <c r="CQ106" s="8">
        <v>291.56115</v>
      </c>
      <c r="CR106" s="8">
        <v>-9.2369000000000001E-4</v>
      </c>
      <c r="CS106" s="4">
        <f t="shared" si="1"/>
        <v>564.71114999999998</v>
      </c>
      <c r="CT106" s="9">
        <f>Таблица1[[#This Row],[DSC/(mW/mg)]]</f>
        <v>-9.2369000000000001E-4</v>
      </c>
    </row>
    <row r="107" spans="95:98" x14ac:dyDescent="0.25">
      <c r="CQ107" s="8">
        <v>293.63456000000002</v>
      </c>
      <c r="CR107" s="8">
        <v>-1.2909E-3</v>
      </c>
      <c r="CS107" s="4">
        <f t="shared" si="1"/>
        <v>566.78456000000006</v>
      </c>
      <c r="CT107" s="9">
        <f>Таблица1[[#This Row],[DSC/(mW/mg)]]</f>
        <v>-1.2909E-3</v>
      </c>
    </row>
    <row r="108" spans="95:98" x14ac:dyDescent="0.25">
      <c r="CQ108" s="8">
        <v>295.70796999999999</v>
      </c>
      <c r="CR108" s="8">
        <v>-1.4071999999999999E-3</v>
      </c>
      <c r="CS108" s="4">
        <f t="shared" si="1"/>
        <v>568.85797000000002</v>
      </c>
      <c r="CT108" s="9">
        <f>Таблица1[[#This Row],[DSC/(mW/mg)]]</f>
        <v>-1.4071999999999999E-3</v>
      </c>
    </row>
    <row r="109" spans="95:98" x14ac:dyDescent="0.25">
      <c r="CQ109" s="8">
        <v>297.78138000000001</v>
      </c>
      <c r="CR109" s="8">
        <v>-1.2121E-3</v>
      </c>
      <c r="CS109" s="4">
        <f t="shared" si="1"/>
        <v>570.93137999999999</v>
      </c>
      <c r="CT109" s="9">
        <f>Таблица1[[#This Row],[DSC/(mW/mg)]]</f>
        <v>-1.2121E-3</v>
      </c>
    </row>
    <row r="110" spans="95:98" x14ac:dyDescent="0.25">
      <c r="CQ110" s="8">
        <v>299.85478000000001</v>
      </c>
      <c r="CR110" s="8">
        <v>-6.5207999999999998E-4</v>
      </c>
      <c r="CS110" s="4">
        <f t="shared" si="1"/>
        <v>573.00477999999998</v>
      </c>
      <c r="CT110" s="9">
        <f>Таблица1[[#This Row],[DSC/(mW/mg)]]</f>
        <v>-6.5207999999999998E-4</v>
      </c>
    </row>
    <row r="111" spans="95:98" x14ac:dyDescent="0.25">
      <c r="CQ111" s="8">
        <v>301.92818999999997</v>
      </c>
      <c r="CR111" s="8">
        <v>-2.4386999999999999E-5</v>
      </c>
      <c r="CS111" s="4">
        <f t="shared" si="1"/>
        <v>575.07818999999995</v>
      </c>
      <c r="CT111" s="9">
        <f>Таблица1[[#This Row],[DSC/(mW/mg)]]</f>
        <v>-2.4386999999999999E-5</v>
      </c>
    </row>
    <row r="112" spans="95:98" x14ac:dyDescent="0.25">
      <c r="CQ112" s="8">
        <v>304.0016</v>
      </c>
      <c r="CR112" s="8">
        <v>9.5611000000000003E-4</v>
      </c>
      <c r="CS112" s="4">
        <f t="shared" si="1"/>
        <v>577.15159999999992</v>
      </c>
      <c r="CT112" s="9">
        <f>Таблица1[[#This Row],[DSC/(mW/mg)]]</f>
        <v>9.5611000000000003E-4</v>
      </c>
    </row>
    <row r="113" spans="95:98" x14ac:dyDescent="0.25">
      <c r="CQ113" s="8">
        <v>306.07501000000002</v>
      </c>
      <c r="CR113" s="8">
        <v>2.3300999999999999E-3</v>
      </c>
      <c r="CS113" s="4">
        <f t="shared" si="1"/>
        <v>579.22501</v>
      </c>
      <c r="CT113" s="9">
        <f>Таблица1[[#This Row],[DSC/(mW/mg)]]</f>
        <v>2.3300999999999999E-3</v>
      </c>
    </row>
    <row r="114" spans="95:98" x14ac:dyDescent="0.25">
      <c r="CQ114" s="8">
        <v>308.14841999999999</v>
      </c>
      <c r="CR114" s="8">
        <v>3.3877E-3</v>
      </c>
      <c r="CS114" s="4">
        <f t="shared" si="1"/>
        <v>581.29841999999996</v>
      </c>
      <c r="CT114" s="9">
        <f>Таблица1[[#This Row],[DSC/(mW/mg)]]</f>
        <v>3.3877E-3</v>
      </c>
    </row>
    <row r="115" spans="95:98" x14ac:dyDescent="0.25">
      <c r="CQ115" s="8">
        <v>310.22183000000001</v>
      </c>
      <c r="CR115" s="8">
        <v>4.9237999999999999E-3</v>
      </c>
      <c r="CS115" s="4">
        <f t="shared" si="1"/>
        <v>583.37183000000005</v>
      </c>
      <c r="CT115" s="9">
        <f>Таблица1[[#This Row],[DSC/(mW/mg)]]</f>
        <v>4.9237999999999999E-3</v>
      </c>
    </row>
    <row r="116" spans="95:98" x14ac:dyDescent="0.25">
      <c r="CQ116" s="8">
        <v>312.29523999999998</v>
      </c>
      <c r="CR116" s="8">
        <v>6.7739000000000002E-3</v>
      </c>
      <c r="CS116" s="4">
        <f t="shared" si="1"/>
        <v>585.44524000000001</v>
      </c>
      <c r="CT116" s="9">
        <f>Таблица1[[#This Row],[DSC/(mW/mg)]]</f>
        <v>6.7739000000000002E-3</v>
      </c>
    </row>
    <row r="117" spans="95:98" x14ac:dyDescent="0.25">
      <c r="CQ117" s="8">
        <v>314.36865</v>
      </c>
      <c r="CR117" s="8">
        <v>9.3147999999999998E-3</v>
      </c>
      <c r="CS117" s="4">
        <f t="shared" si="1"/>
        <v>587.51864999999998</v>
      </c>
      <c r="CT117" s="9">
        <f>Таблица1[[#This Row],[DSC/(mW/mg)]]</f>
        <v>9.3147999999999998E-3</v>
      </c>
    </row>
    <row r="118" spans="95:98" x14ac:dyDescent="0.25">
      <c r="CQ118" s="8">
        <v>316.44206000000003</v>
      </c>
      <c r="CR118" s="8">
        <v>1.1592999999999999E-2</v>
      </c>
      <c r="CS118" s="4">
        <f t="shared" si="1"/>
        <v>589.59205999999995</v>
      </c>
      <c r="CT118" s="9">
        <f>Таблица1[[#This Row],[DSC/(mW/mg)]]</f>
        <v>1.1592999999999999E-2</v>
      </c>
    </row>
    <row r="119" spans="95:98" x14ac:dyDescent="0.25">
      <c r="CQ119" s="8">
        <v>318.51546999999999</v>
      </c>
      <c r="CR119" s="8">
        <v>1.4577E-2</v>
      </c>
      <c r="CS119" s="4">
        <f t="shared" si="1"/>
        <v>591.66546999999991</v>
      </c>
      <c r="CT119" s="9">
        <f>Таблица1[[#This Row],[DSC/(mW/mg)]]</f>
        <v>1.4577E-2</v>
      </c>
    </row>
    <row r="120" spans="95:98" x14ac:dyDescent="0.25">
      <c r="CQ120" s="8">
        <v>320.58888000000002</v>
      </c>
      <c r="CR120" s="8">
        <v>1.7627E-2</v>
      </c>
      <c r="CS120" s="4">
        <f t="shared" si="1"/>
        <v>593.73887999999999</v>
      </c>
      <c r="CT120" s="9">
        <f>Таблица1[[#This Row],[DSC/(mW/mg)]]</f>
        <v>1.7627E-2</v>
      </c>
    </row>
    <row r="121" spans="95:98" x14ac:dyDescent="0.25">
      <c r="CQ121" s="8">
        <v>322.66228999999998</v>
      </c>
      <c r="CR121" s="8">
        <v>2.0802000000000001E-2</v>
      </c>
      <c r="CS121" s="4">
        <f t="shared" si="1"/>
        <v>595.81228999999996</v>
      </c>
      <c r="CT121" s="9">
        <f>Таблица1[[#This Row],[DSC/(mW/mg)]]</f>
        <v>2.0802000000000001E-2</v>
      </c>
    </row>
    <row r="122" spans="95:98" x14ac:dyDescent="0.25">
      <c r="CQ122" s="8">
        <v>324.73570000000001</v>
      </c>
      <c r="CR122" s="8">
        <v>2.2173999999999999E-2</v>
      </c>
      <c r="CS122" s="4">
        <f t="shared" si="1"/>
        <v>597.88570000000004</v>
      </c>
      <c r="CT122" s="9">
        <f>Таблица1[[#This Row],[DSC/(mW/mg)]]</f>
        <v>2.2173999999999999E-2</v>
      </c>
    </row>
    <row r="123" spans="95:98" x14ac:dyDescent="0.25">
      <c r="CQ123" s="8">
        <v>326.8091</v>
      </c>
      <c r="CR123" s="8">
        <v>2.2442E-2</v>
      </c>
      <c r="CS123" s="4">
        <f t="shared" si="1"/>
        <v>599.95910000000003</v>
      </c>
      <c r="CT123" s="9">
        <f>Таблица1[[#This Row],[DSC/(mW/mg)]]</f>
        <v>2.2442E-2</v>
      </c>
    </row>
    <row r="124" spans="95:98" x14ac:dyDescent="0.25">
      <c r="CQ124" s="8">
        <v>328.88251000000002</v>
      </c>
      <c r="CR124" s="8">
        <v>2.2075999999999998E-2</v>
      </c>
      <c r="CS124" s="4">
        <f t="shared" si="1"/>
        <v>602.03251</v>
      </c>
      <c r="CT124" s="9">
        <f>Таблица1[[#This Row],[DSC/(mW/mg)]]</f>
        <v>2.2075999999999998E-2</v>
      </c>
    </row>
    <row r="125" spans="95:98" x14ac:dyDescent="0.25">
      <c r="CQ125" s="8">
        <v>330.95591999999999</v>
      </c>
      <c r="CR125" s="8">
        <v>2.1378999999999999E-2</v>
      </c>
      <c r="CS125" s="4">
        <f t="shared" si="1"/>
        <v>604.10591999999997</v>
      </c>
      <c r="CT125" s="9">
        <f>Таблица1[[#This Row],[DSC/(mW/mg)]]</f>
        <v>2.1378999999999999E-2</v>
      </c>
    </row>
    <row r="126" spans="95:98" x14ac:dyDescent="0.25">
      <c r="CQ126" s="8">
        <v>333.02933000000002</v>
      </c>
      <c r="CR126" s="8">
        <v>2.1089E-2</v>
      </c>
      <c r="CS126" s="4">
        <f t="shared" si="1"/>
        <v>606.17932999999994</v>
      </c>
      <c r="CT126" s="9">
        <f>Таблица1[[#This Row],[DSC/(mW/mg)]]</f>
        <v>2.1089E-2</v>
      </c>
    </row>
    <row r="127" spans="95:98" x14ac:dyDescent="0.25">
      <c r="CQ127" s="8">
        <v>335.10273999999998</v>
      </c>
      <c r="CR127" s="8">
        <v>2.0761999999999999E-2</v>
      </c>
      <c r="CS127" s="4">
        <f t="shared" si="1"/>
        <v>608.2527399999999</v>
      </c>
      <c r="CT127" s="9">
        <f>Таблица1[[#This Row],[DSC/(mW/mg)]]</f>
        <v>2.0761999999999999E-2</v>
      </c>
    </row>
    <row r="128" spans="95:98" x14ac:dyDescent="0.25">
      <c r="CQ128" s="8">
        <v>337.17615000000001</v>
      </c>
      <c r="CR128" s="8">
        <v>2.069E-2</v>
      </c>
      <c r="CS128" s="4">
        <f t="shared" si="1"/>
        <v>610.32614999999998</v>
      </c>
      <c r="CT128" s="9">
        <f>Таблица1[[#This Row],[DSC/(mW/mg)]]</f>
        <v>2.069E-2</v>
      </c>
    </row>
    <row r="129" spans="95:98" x14ac:dyDescent="0.25">
      <c r="CQ129" s="8">
        <v>339.24955999999997</v>
      </c>
      <c r="CR129" s="8">
        <v>2.1392000000000001E-2</v>
      </c>
      <c r="CS129" s="4">
        <f t="shared" si="1"/>
        <v>612.39955999999995</v>
      </c>
      <c r="CT129" s="9">
        <f>Таблица1[[#This Row],[DSC/(mW/mg)]]</f>
        <v>2.1392000000000001E-2</v>
      </c>
    </row>
    <row r="130" spans="95:98" x14ac:dyDescent="0.25">
      <c r="CQ130" s="8">
        <v>341.32297</v>
      </c>
      <c r="CR130" s="8">
        <v>2.2034999999999999E-2</v>
      </c>
      <c r="CS130" s="4">
        <f t="shared" si="1"/>
        <v>614.47297000000003</v>
      </c>
      <c r="CT130" s="9">
        <f>Таблица1[[#This Row],[DSC/(mW/mg)]]</f>
        <v>2.2034999999999999E-2</v>
      </c>
    </row>
    <row r="131" spans="95:98" x14ac:dyDescent="0.25">
      <c r="CQ131" s="8">
        <v>343.39638000000002</v>
      </c>
      <c r="CR131" s="8">
        <v>2.2877000000000002E-2</v>
      </c>
      <c r="CS131" s="4">
        <f t="shared" ref="CS131:CS194" si="2">CQ131+273.15</f>
        <v>616.54638</v>
      </c>
      <c r="CT131" s="9">
        <f>Таблица1[[#This Row],[DSC/(mW/mg)]]</f>
        <v>2.2877000000000002E-2</v>
      </c>
    </row>
    <row r="132" spans="95:98" x14ac:dyDescent="0.25">
      <c r="CQ132" s="8">
        <v>345.46978999999999</v>
      </c>
      <c r="CR132" s="8">
        <v>2.2953000000000001E-2</v>
      </c>
      <c r="CS132" s="4">
        <f t="shared" si="2"/>
        <v>618.61978999999997</v>
      </c>
      <c r="CT132" s="9">
        <f>Таблица1[[#This Row],[DSC/(mW/mg)]]</f>
        <v>2.2953000000000001E-2</v>
      </c>
    </row>
    <row r="133" spans="95:98" x14ac:dyDescent="0.25">
      <c r="CQ133" s="8">
        <v>347.54320000000001</v>
      </c>
      <c r="CR133" s="8">
        <v>2.2362E-2</v>
      </c>
      <c r="CS133" s="4">
        <f t="shared" si="2"/>
        <v>620.69319999999993</v>
      </c>
      <c r="CT133" s="9">
        <f>Таблица1[[#This Row],[DSC/(mW/mg)]]</f>
        <v>2.2362E-2</v>
      </c>
    </row>
    <row r="134" spans="95:98" x14ac:dyDescent="0.25">
      <c r="CQ134" s="8">
        <v>349.61660999999998</v>
      </c>
      <c r="CR134" s="8">
        <v>2.1454000000000001E-2</v>
      </c>
      <c r="CS134" s="4">
        <f t="shared" si="2"/>
        <v>622.7666099999999</v>
      </c>
      <c r="CT134" s="9">
        <f>Таблица1[[#This Row],[DSC/(mW/mg)]]</f>
        <v>2.1454000000000001E-2</v>
      </c>
    </row>
    <row r="135" spans="95:98" x14ac:dyDescent="0.25">
      <c r="CQ135" s="8">
        <v>351.69000999999997</v>
      </c>
      <c r="CR135" s="8">
        <v>2.0941000000000001E-2</v>
      </c>
      <c r="CS135" s="4">
        <f t="shared" si="2"/>
        <v>624.84000999999989</v>
      </c>
      <c r="CT135" s="9">
        <f>Таблица1[[#This Row],[DSC/(mW/mg)]]</f>
        <v>2.0941000000000001E-2</v>
      </c>
    </row>
    <row r="136" spans="95:98" x14ac:dyDescent="0.25">
      <c r="CQ136" s="8">
        <v>353.76342</v>
      </c>
      <c r="CR136" s="8">
        <v>2.0534E-2</v>
      </c>
      <c r="CS136" s="4">
        <f t="shared" si="2"/>
        <v>626.91341999999997</v>
      </c>
      <c r="CT136" s="9">
        <f>Таблица1[[#This Row],[DSC/(mW/mg)]]</f>
        <v>2.0534E-2</v>
      </c>
    </row>
    <row r="137" spans="95:98" x14ac:dyDescent="0.25">
      <c r="CQ137" s="8">
        <v>355.83683000000002</v>
      </c>
      <c r="CR137" s="8">
        <v>2.0129999999999999E-2</v>
      </c>
      <c r="CS137" s="4">
        <f t="shared" si="2"/>
        <v>628.98683000000005</v>
      </c>
      <c r="CT137" s="9">
        <f>Таблица1[[#This Row],[DSC/(mW/mg)]]</f>
        <v>2.0129999999999999E-2</v>
      </c>
    </row>
    <row r="138" spans="95:98" x14ac:dyDescent="0.25">
      <c r="CQ138" s="8">
        <v>357.91023999999999</v>
      </c>
      <c r="CR138" s="8">
        <v>1.9737000000000001E-2</v>
      </c>
      <c r="CS138" s="4">
        <f t="shared" si="2"/>
        <v>631.06024000000002</v>
      </c>
      <c r="CT138" s="9">
        <f>Таблица1[[#This Row],[DSC/(mW/mg)]]</f>
        <v>1.9737000000000001E-2</v>
      </c>
    </row>
    <row r="139" spans="95:98" x14ac:dyDescent="0.25">
      <c r="CQ139" s="8">
        <v>359.98365000000001</v>
      </c>
      <c r="CR139" s="8">
        <v>1.8452E-2</v>
      </c>
      <c r="CS139" s="4">
        <f t="shared" si="2"/>
        <v>633.13364999999999</v>
      </c>
      <c r="CT139" s="9">
        <f>Таблица1[[#This Row],[DSC/(mW/mg)]]</f>
        <v>1.8452E-2</v>
      </c>
    </row>
    <row r="140" spans="95:98" x14ac:dyDescent="0.25">
      <c r="CQ140" s="8">
        <v>362.05705999999998</v>
      </c>
      <c r="CR140" s="8">
        <v>1.6028000000000001E-2</v>
      </c>
      <c r="CS140" s="4">
        <f t="shared" si="2"/>
        <v>635.20705999999996</v>
      </c>
      <c r="CT140" s="9">
        <f>Таблица1[[#This Row],[DSC/(mW/mg)]]</f>
        <v>1.6028000000000001E-2</v>
      </c>
    </row>
    <row r="141" spans="95:98" x14ac:dyDescent="0.25">
      <c r="CQ141" s="8">
        <v>364.13047</v>
      </c>
      <c r="CR141" s="8">
        <v>1.3504E-2</v>
      </c>
      <c r="CS141" s="4">
        <f t="shared" si="2"/>
        <v>637.28046999999992</v>
      </c>
      <c r="CT141" s="9">
        <f>Таблица1[[#This Row],[DSC/(mW/mg)]]</f>
        <v>1.3504E-2</v>
      </c>
    </row>
    <row r="142" spans="95:98" x14ac:dyDescent="0.25">
      <c r="CQ142" s="8">
        <v>366.20388000000003</v>
      </c>
      <c r="CR142" s="8">
        <v>1.0876E-2</v>
      </c>
      <c r="CS142" s="4">
        <f t="shared" si="2"/>
        <v>639.35388</v>
      </c>
      <c r="CT142" s="9">
        <f>Таблица1[[#This Row],[DSC/(mW/mg)]]</f>
        <v>1.0876E-2</v>
      </c>
    </row>
    <row r="143" spans="95:98" x14ac:dyDescent="0.25">
      <c r="CQ143" s="8">
        <v>368.27728999999999</v>
      </c>
      <c r="CR143" s="8">
        <v>1.0087E-2</v>
      </c>
      <c r="CS143" s="4">
        <f t="shared" si="2"/>
        <v>641.42728999999997</v>
      </c>
      <c r="CT143" s="9">
        <f>Таблица1[[#This Row],[DSC/(mW/mg)]]</f>
        <v>1.0087E-2</v>
      </c>
    </row>
    <row r="144" spans="95:98" x14ac:dyDescent="0.25">
      <c r="CQ144" s="8">
        <v>370.35070000000002</v>
      </c>
      <c r="CR144" s="8">
        <v>1.5138E-2</v>
      </c>
      <c r="CS144" s="4">
        <f t="shared" si="2"/>
        <v>643.50070000000005</v>
      </c>
      <c r="CT144" s="9">
        <f>Таблица1[[#This Row],[DSC/(mW/mg)]]</f>
        <v>1.5138E-2</v>
      </c>
    </row>
    <row r="145" spans="95:98" x14ac:dyDescent="0.25">
      <c r="CQ145" s="8">
        <v>372.42410999999998</v>
      </c>
      <c r="CR145" s="8">
        <v>2.0508999999999999E-2</v>
      </c>
      <c r="CS145" s="4">
        <f t="shared" si="2"/>
        <v>645.57411000000002</v>
      </c>
      <c r="CT145" s="9">
        <f>Таблица1[[#This Row],[DSC/(mW/mg)]]</f>
        <v>2.0508999999999999E-2</v>
      </c>
    </row>
    <row r="146" spans="95:98" x14ac:dyDescent="0.25">
      <c r="CQ146" s="8">
        <v>374.49752000000001</v>
      </c>
      <c r="CR146" s="8">
        <v>2.3071000000000001E-2</v>
      </c>
      <c r="CS146" s="4">
        <f t="shared" si="2"/>
        <v>647.64751999999999</v>
      </c>
      <c r="CT146" s="9">
        <f>Таблица1[[#This Row],[DSC/(mW/mg)]]</f>
        <v>2.3071000000000001E-2</v>
      </c>
    </row>
    <row r="147" spans="95:98" x14ac:dyDescent="0.25">
      <c r="CQ147" s="8">
        <v>376.57092999999998</v>
      </c>
      <c r="CR147" s="8">
        <v>2.4261999999999999E-2</v>
      </c>
      <c r="CS147" s="4">
        <f t="shared" si="2"/>
        <v>649.72092999999995</v>
      </c>
      <c r="CT147" s="9">
        <f>Таблица1[[#This Row],[DSC/(mW/mg)]]</f>
        <v>2.4261999999999999E-2</v>
      </c>
    </row>
    <row r="148" spans="95:98" x14ac:dyDescent="0.25">
      <c r="CQ148" s="8">
        <v>378.64433000000002</v>
      </c>
      <c r="CR148" s="8">
        <v>2.5409000000000001E-2</v>
      </c>
      <c r="CS148" s="4">
        <f t="shared" si="2"/>
        <v>651.79432999999995</v>
      </c>
      <c r="CT148" s="9">
        <f>Таблица1[[#This Row],[DSC/(mW/mg)]]</f>
        <v>2.5409000000000001E-2</v>
      </c>
    </row>
    <row r="149" spans="95:98" x14ac:dyDescent="0.25">
      <c r="CQ149" s="8">
        <v>380.71773999999999</v>
      </c>
      <c r="CR149" s="8">
        <v>2.6655999999999999E-2</v>
      </c>
      <c r="CS149" s="4">
        <f t="shared" si="2"/>
        <v>653.86773999999991</v>
      </c>
      <c r="CT149" s="9">
        <f>Таблица1[[#This Row],[DSC/(mW/mg)]]</f>
        <v>2.6655999999999999E-2</v>
      </c>
    </row>
    <row r="150" spans="95:98" x14ac:dyDescent="0.25">
      <c r="CQ150" s="8">
        <v>382.79115000000002</v>
      </c>
      <c r="CR150" s="8">
        <v>2.7541E-2</v>
      </c>
      <c r="CS150" s="4">
        <f t="shared" si="2"/>
        <v>655.94114999999999</v>
      </c>
      <c r="CT150" s="9">
        <f>Таблица1[[#This Row],[DSC/(mW/mg)]]</f>
        <v>2.7541E-2</v>
      </c>
    </row>
    <row r="151" spans="95:98" x14ac:dyDescent="0.25">
      <c r="CQ151" s="8">
        <v>384.86455999999998</v>
      </c>
      <c r="CR151" s="8">
        <v>2.7906E-2</v>
      </c>
      <c r="CS151" s="4">
        <f t="shared" si="2"/>
        <v>658.01455999999996</v>
      </c>
      <c r="CT151" s="9">
        <f>Таблица1[[#This Row],[DSC/(mW/mg)]]</f>
        <v>2.7906E-2</v>
      </c>
    </row>
    <row r="152" spans="95:98" x14ac:dyDescent="0.25">
      <c r="CQ152" s="8">
        <v>386.93797000000001</v>
      </c>
      <c r="CR152" s="8">
        <v>2.8284E-2</v>
      </c>
      <c r="CS152" s="4">
        <f t="shared" si="2"/>
        <v>660.08797000000004</v>
      </c>
      <c r="CT152" s="9">
        <f>Таблица1[[#This Row],[DSC/(mW/mg)]]</f>
        <v>2.8284E-2</v>
      </c>
    </row>
    <row r="153" spans="95:98" x14ac:dyDescent="0.25">
      <c r="CQ153" s="8">
        <v>389.01137999999997</v>
      </c>
      <c r="CR153" s="8">
        <v>2.9002E-2</v>
      </c>
      <c r="CS153" s="4">
        <f t="shared" si="2"/>
        <v>662.16138000000001</v>
      </c>
      <c r="CT153" s="9">
        <f>Таблица1[[#This Row],[DSC/(mW/mg)]]</f>
        <v>2.9002E-2</v>
      </c>
    </row>
    <row r="154" spans="95:98" x14ac:dyDescent="0.25">
      <c r="CQ154" s="8">
        <v>391.08479</v>
      </c>
      <c r="CR154" s="8">
        <v>2.9845E-2</v>
      </c>
      <c r="CS154" s="4">
        <f t="shared" si="2"/>
        <v>664.23478999999998</v>
      </c>
      <c r="CT154" s="9">
        <f>Таблица1[[#This Row],[DSC/(mW/mg)]]</f>
        <v>2.9845E-2</v>
      </c>
    </row>
    <row r="155" spans="95:98" x14ac:dyDescent="0.25">
      <c r="CQ155" s="8">
        <v>393.15820000000002</v>
      </c>
      <c r="CR155" s="8">
        <v>3.0657E-2</v>
      </c>
      <c r="CS155" s="4">
        <f t="shared" si="2"/>
        <v>666.30819999999994</v>
      </c>
      <c r="CT155" s="9">
        <f>Таблица1[[#This Row],[DSC/(mW/mg)]]</f>
        <v>3.0657E-2</v>
      </c>
    </row>
    <row r="156" spans="95:98" x14ac:dyDescent="0.25">
      <c r="CQ156" s="8">
        <v>395.23160999999999</v>
      </c>
      <c r="CR156" s="8">
        <v>3.1799000000000001E-2</v>
      </c>
      <c r="CS156" s="4">
        <f t="shared" si="2"/>
        <v>668.38160999999991</v>
      </c>
      <c r="CT156" s="9">
        <f>Таблица1[[#This Row],[DSC/(mW/mg)]]</f>
        <v>3.1799000000000001E-2</v>
      </c>
    </row>
    <row r="157" spans="95:98" x14ac:dyDescent="0.25">
      <c r="CQ157" s="8">
        <v>397.30502000000001</v>
      </c>
      <c r="CR157" s="8">
        <v>3.2411000000000002E-2</v>
      </c>
      <c r="CS157" s="4">
        <f t="shared" si="2"/>
        <v>670.45501999999999</v>
      </c>
      <c r="CT157" s="9">
        <f>Таблица1[[#This Row],[DSC/(mW/mg)]]</f>
        <v>3.2411000000000002E-2</v>
      </c>
    </row>
    <row r="158" spans="95:98" x14ac:dyDescent="0.25">
      <c r="CQ158" s="8">
        <v>399.37842999999998</v>
      </c>
      <c r="CR158" s="8">
        <v>3.3244999999999997E-2</v>
      </c>
      <c r="CS158" s="4">
        <f t="shared" si="2"/>
        <v>672.52842999999996</v>
      </c>
      <c r="CT158" s="9">
        <f>Таблица1[[#This Row],[DSC/(mW/mg)]]</f>
        <v>3.3244999999999997E-2</v>
      </c>
    </row>
    <row r="159" spans="95:98" x14ac:dyDescent="0.25">
      <c r="CQ159" s="8">
        <v>401.45184</v>
      </c>
      <c r="CR159" s="8">
        <v>3.3774999999999999E-2</v>
      </c>
      <c r="CS159" s="4">
        <f t="shared" si="2"/>
        <v>674.60184000000004</v>
      </c>
      <c r="CT159" s="9">
        <f>Таблица1[[#This Row],[DSC/(mW/mg)]]</f>
        <v>3.3774999999999999E-2</v>
      </c>
    </row>
    <row r="160" spans="95:98" x14ac:dyDescent="0.25">
      <c r="CQ160" s="8">
        <v>403.52524</v>
      </c>
      <c r="CR160" s="8">
        <v>3.3782E-2</v>
      </c>
      <c r="CS160" s="4">
        <f t="shared" si="2"/>
        <v>676.67524000000003</v>
      </c>
      <c r="CT160" s="9">
        <f>Таблица1[[#This Row],[DSC/(mW/mg)]]</f>
        <v>3.3782E-2</v>
      </c>
    </row>
    <row r="161" spans="95:98" x14ac:dyDescent="0.25">
      <c r="CQ161" s="8">
        <v>405.59865000000002</v>
      </c>
      <c r="CR161" s="8">
        <v>3.3091000000000002E-2</v>
      </c>
      <c r="CS161" s="4">
        <f t="shared" si="2"/>
        <v>678.74865</v>
      </c>
      <c r="CT161" s="9">
        <f>Таблица1[[#This Row],[DSC/(mW/mg)]]</f>
        <v>3.3091000000000002E-2</v>
      </c>
    </row>
    <row r="162" spans="95:98" x14ac:dyDescent="0.25">
      <c r="CQ162" s="8">
        <v>407.67205999999999</v>
      </c>
      <c r="CR162" s="8">
        <v>3.0720999999999998E-2</v>
      </c>
      <c r="CS162" s="4">
        <f t="shared" si="2"/>
        <v>680.82205999999996</v>
      </c>
      <c r="CT162" s="9">
        <f>Таблица1[[#This Row],[DSC/(mW/mg)]]</f>
        <v>3.0720999999999998E-2</v>
      </c>
    </row>
    <row r="163" spans="95:98" x14ac:dyDescent="0.25">
      <c r="CQ163" s="8">
        <v>409.74547000000001</v>
      </c>
      <c r="CR163" s="8">
        <v>2.6116E-2</v>
      </c>
      <c r="CS163" s="4">
        <f t="shared" si="2"/>
        <v>682.89546999999993</v>
      </c>
      <c r="CT163" s="9">
        <f>Таблица1[[#This Row],[DSC/(mW/mg)]]</f>
        <v>2.6116E-2</v>
      </c>
    </row>
    <row r="164" spans="95:98" x14ac:dyDescent="0.25">
      <c r="CQ164" s="8">
        <v>411.81887999999998</v>
      </c>
      <c r="CR164" s="8">
        <v>1.8658999999999999E-2</v>
      </c>
      <c r="CS164" s="4">
        <f t="shared" si="2"/>
        <v>684.9688799999999</v>
      </c>
      <c r="CT164" s="9">
        <f>Таблица1[[#This Row],[DSC/(mW/mg)]]</f>
        <v>1.8658999999999999E-2</v>
      </c>
    </row>
    <row r="165" spans="95:98" x14ac:dyDescent="0.25">
      <c r="CQ165" s="8">
        <v>413.89229</v>
      </c>
      <c r="CR165" s="8">
        <v>1.1646999999999999E-2</v>
      </c>
      <c r="CS165" s="4">
        <f t="shared" si="2"/>
        <v>687.04228999999998</v>
      </c>
      <c r="CT165" s="9">
        <f>Таблица1[[#This Row],[DSC/(mW/mg)]]</f>
        <v>1.1646999999999999E-2</v>
      </c>
    </row>
    <row r="166" spans="95:98" x14ac:dyDescent="0.25">
      <c r="CQ166" s="8">
        <v>415.96570000000003</v>
      </c>
      <c r="CR166" s="8">
        <v>1.3672E-2</v>
      </c>
      <c r="CS166" s="4">
        <f t="shared" si="2"/>
        <v>689.11570000000006</v>
      </c>
      <c r="CT166" s="9">
        <f>Таблица1[[#This Row],[DSC/(mW/mg)]]</f>
        <v>1.3672E-2</v>
      </c>
    </row>
    <row r="167" spans="95:98" x14ac:dyDescent="0.25">
      <c r="CQ167" s="8">
        <v>418.03910999999999</v>
      </c>
      <c r="CR167" s="8">
        <v>2.1013E-2</v>
      </c>
      <c r="CS167" s="4">
        <f t="shared" si="2"/>
        <v>691.18911000000003</v>
      </c>
      <c r="CT167" s="9">
        <f>Таблица1[[#This Row],[DSC/(mW/mg)]]</f>
        <v>2.1013E-2</v>
      </c>
    </row>
    <row r="168" spans="95:98" x14ac:dyDescent="0.25">
      <c r="CQ168" s="8">
        <v>420.11252000000002</v>
      </c>
      <c r="CR168" s="8">
        <v>2.7303999999999998E-2</v>
      </c>
      <c r="CS168" s="4">
        <f t="shared" si="2"/>
        <v>693.26251999999999</v>
      </c>
      <c r="CT168" s="9">
        <f>Таблица1[[#This Row],[DSC/(mW/mg)]]</f>
        <v>2.7303999999999998E-2</v>
      </c>
    </row>
    <row r="169" spans="95:98" x14ac:dyDescent="0.25">
      <c r="CQ169" s="8">
        <v>422.18592999999998</v>
      </c>
      <c r="CR169" s="8">
        <v>3.1760999999999998E-2</v>
      </c>
      <c r="CS169" s="4">
        <f t="shared" si="2"/>
        <v>695.33592999999996</v>
      </c>
      <c r="CT169" s="9">
        <f>Таблица1[[#This Row],[DSC/(mW/mg)]]</f>
        <v>3.1760999999999998E-2</v>
      </c>
    </row>
    <row r="170" spans="95:98" x14ac:dyDescent="0.25">
      <c r="CQ170" s="8">
        <v>424.25934000000001</v>
      </c>
      <c r="CR170" s="8">
        <v>3.3765000000000003E-2</v>
      </c>
      <c r="CS170" s="4">
        <f t="shared" si="2"/>
        <v>697.40933999999993</v>
      </c>
      <c r="CT170" s="9">
        <f>Таблица1[[#This Row],[DSC/(mW/mg)]]</f>
        <v>3.3765000000000003E-2</v>
      </c>
    </row>
    <row r="171" spans="95:98" x14ac:dyDescent="0.25">
      <c r="CQ171" s="8">
        <v>426.33274999999998</v>
      </c>
      <c r="CR171" s="8">
        <v>3.4438999999999997E-2</v>
      </c>
      <c r="CS171" s="4">
        <f t="shared" si="2"/>
        <v>699.4827499999999</v>
      </c>
      <c r="CT171" s="9">
        <f>Таблица1[[#This Row],[DSC/(mW/mg)]]</f>
        <v>3.4438999999999997E-2</v>
      </c>
    </row>
    <row r="172" spans="95:98" x14ac:dyDescent="0.25">
      <c r="CQ172" s="8">
        <v>428.40616</v>
      </c>
      <c r="CR172" s="8">
        <v>3.3723999999999997E-2</v>
      </c>
      <c r="CS172" s="4">
        <f t="shared" si="2"/>
        <v>701.55615999999998</v>
      </c>
      <c r="CT172" s="9">
        <f>Таблица1[[#This Row],[DSC/(mW/mg)]]</f>
        <v>3.3723999999999997E-2</v>
      </c>
    </row>
    <row r="173" spans="95:98" x14ac:dyDescent="0.25">
      <c r="CQ173" s="8">
        <v>430.47955999999999</v>
      </c>
      <c r="CR173" s="8">
        <v>3.4322999999999999E-2</v>
      </c>
      <c r="CS173" s="4">
        <f t="shared" si="2"/>
        <v>703.62955999999997</v>
      </c>
      <c r="CT173" s="9">
        <f>Таблица1[[#This Row],[DSC/(mW/mg)]]</f>
        <v>3.4322999999999999E-2</v>
      </c>
    </row>
    <row r="174" spans="95:98" x14ac:dyDescent="0.25">
      <c r="CQ174" s="8">
        <v>432.55297000000002</v>
      </c>
      <c r="CR174" s="8">
        <v>3.3305000000000001E-2</v>
      </c>
      <c r="CS174" s="4">
        <f t="shared" si="2"/>
        <v>705.70297000000005</v>
      </c>
      <c r="CT174" s="9">
        <f>Таблица1[[#This Row],[DSC/(mW/mg)]]</f>
        <v>3.3305000000000001E-2</v>
      </c>
    </row>
    <row r="175" spans="95:98" x14ac:dyDescent="0.25">
      <c r="CQ175" s="8">
        <v>434.62637999999998</v>
      </c>
      <c r="CR175" s="8">
        <v>2.5937999999999999E-2</v>
      </c>
      <c r="CS175" s="4">
        <f t="shared" si="2"/>
        <v>707.77638000000002</v>
      </c>
      <c r="CT175" s="9">
        <f>Таблица1[[#This Row],[DSC/(mW/mg)]]</f>
        <v>2.5937999999999999E-2</v>
      </c>
    </row>
    <row r="176" spans="95:98" x14ac:dyDescent="0.25">
      <c r="CQ176" s="8">
        <v>436.69979000000001</v>
      </c>
      <c r="CR176" s="8">
        <v>1.6688999999999999E-2</v>
      </c>
      <c r="CS176" s="4">
        <f t="shared" si="2"/>
        <v>709.84978999999998</v>
      </c>
      <c r="CT176" s="9">
        <f>Таблица1[[#This Row],[DSC/(mW/mg)]]</f>
        <v>1.6688999999999999E-2</v>
      </c>
    </row>
    <row r="177" spans="95:98" x14ac:dyDescent="0.25">
      <c r="CQ177" s="8">
        <v>438.77319999999997</v>
      </c>
      <c r="CR177" s="8">
        <v>1.0517E-2</v>
      </c>
      <c r="CS177" s="4">
        <f t="shared" si="2"/>
        <v>711.92319999999995</v>
      </c>
      <c r="CT177" s="9">
        <f>Таблица1[[#This Row],[DSC/(mW/mg)]]</f>
        <v>1.0517E-2</v>
      </c>
    </row>
    <row r="178" spans="95:98" x14ac:dyDescent="0.25">
      <c r="CQ178" s="8">
        <v>440.84661</v>
      </c>
      <c r="CR178" s="8">
        <v>3.8398999999999998E-3</v>
      </c>
      <c r="CS178" s="4">
        <f t="shared" si="2"/>
        <v>713.99660999999992</v>
      </c>
      <c r="CT178" s="9">
        <f>Таблица1[[#This Row],[DSC/(mW/mg)]]</f>
        <v>3.8398999999999998E-3</v>
      </c>
    </row>
    <row r="179" spans="95:98" x14ac:dyDescent="0.25">
      <c r="CQ179" s="8">
        <v>442.92002000000002</v>
      </c>
      <c r="CR179" s="8">
        <v>-3.5831999999999999E-3</v>
      </c>
      <c r="CS179" s="4">
        <f t="shared" si="2"/>
        <v>716.07002</v>
      </c>
      <c r="CT179" s="9">
        <f>Таблица1[[#This Row],[DSC/(mW/mg)]]</f>
        <v>-3.5831999999999999E-3</v>
      </c>
    </row>
    <row r="180" spans="95:98" x14ac:dyDescent="0.25">
      <c r="CQ180" s="8">
        <v>444.99342999999999</v>
      </c>
      <c r="CR180" s="8">
        <v>-1.3009E-2</v>
      </c>
      <c r="CS180" s="4">
        <f t="shared" si="2"/>
        <v>718.14342999999997</v>
      </c>
      <c r="CT180" s="9">
        <f>Таблица1[[#This Row],[DSC/(mW/mg)]]</f>
        <v>-1.3009E-2</v>
      </c>
    </row>
    <row r="181" spans="95:98" x14ac:dyDescent="0.25">
      <c r="CQ181" s="8">
        <v>447.06684000000001</v>
      </c>
      <c r="CR181" s="8">
        <v>-2.2519000000000001E-2</v>
      </c>
      <c r="CS181" s="4">
        <f t="shared" si="2"/>
        <v>720.21684000000005</v>
      </c>
      <c r="CT181" s="9">
        <f>Таблица1[[#This Row],[DSC/(mW/mg)]]</f>
        <v>-2.2519000000000001E-2</v>
      </c>
    </row>
    <row r="182" spans="95:98" x14ac:dyDescent="0.25">
      <c r="CQ182" s="8">
        <v>449.14024999999998</v>
      </c>
      <c r="CR182" s="8">
        <v>-3.1684999999999998E-2</v>
      </c>
      <c r="CS182" s="4">
        <f t="shared" si="2"/>
        <v>722.29025000000001</v>
      </c>
      <c r="CT182" s="9">
        <f>Таблица1[[#This Row],[DSC/(mW/mg)]]</f>
        <v>-3.1684999999999998E-2</v>
      </c>
    </row>
    <row r="183" spans="95:98" x14ac:dyDescent="0.25">
      <c r="CQ183" s="8">
        <v>451.21366</v>
      </c>
      <c r="CR183" s="8">
        <v>-4.2206E-2</v>
      </c>
      <c r="CS183" s="4">
        <f t="shared" si="2"/>
        <v>724.36365999999998</v>
      </c>
      <c r="CT183" s="9">
        <f>Таблица1[[#This Row],[DSC/(mW/mg)]]</f>
        <v>-4.2206E-2</v>
      </c>
    </row>
    <row r="184" spans="95:98" x14ac:dyDescent="0.25">
      <c r="CQ184" s="8">
        <v>453.28707000000003</v>
      </c>
      <c r="CR184" s="8">
        <v>-5.5406999999999998E-2</v>
      </c>
      <c r="CS184" s="4">
        <f t="shared" si="2"/>
        <v>726.43706999999995</v>
      </c>
      <c r="CT184" s="9">
        <f>Таблица1[[#This Row],[DSC/(mW/mg)]]</f>
        <v>-5.5406999999999998E-2</v>
      </c>
    </row>
    <row r="185" spans="95:98" x14ac:dyDescent="0.25">
      <c r="CQ185" s="8">
        <v>455.36047000000002</v>
      </c>
      <c r="CR185" s="8">
        <v>-7.1279999999999996E-2</v>
      </c>
      <c r="CS185" s="4">
        <f t="shared" si="2"/>
        <v>728.51046999999994</v>
      </c>
      <c r="CT185" s="9">
        <f>Таблица1[[#This Row],[DSC/(mW/mg)]]</f>
        <v>-7.1279999999999996E-2</v>
      </c>
    </row>
    <row r="186" spans="95:98" x14ac:dyDescent="0.25">
      <c r="CQ186" s="8">
        <v>457.43387999999999</v>
      </c>
      <c r="CR186" s="8">
        <v>-8.7263999999999994E-2</v>
      </c>
      <c r="CS186" s="4">
        <f t="shared" si="2"/>
        <v>730.58387999999991</v>
      </c>
      <c r="CT186" s="9">
        <f>Таблица1[[#This Row],[DSC/(mW/mg)]]</f>
        <v>-8.7263999999999994E-2</v>
      </c>
    </row>
    <row r="187" spans="95:98" x14ac:dyDescent="0.25">
      <c r="CQ187" s="8">
        <v>459.50729000000001</v>
      </c>
      <c r="CR187" s="8">
        <v>-0.10074</v>
      </c>
      <c r="CS187" s="4">
        <f t="shared" si="2"/>
        <v>732.65728999999999</v>
      </c>
      <c r="CT187" s="9">
        <f>Таблица1[[#This Row],[DSC/(mW/mg)]]</f>
        <v>-0.10074</v>
      </c>
    </row>
    <row r="188" spans="95:98" x14ac:dyDescent="0.25">
      <c r="CQ188" s="8">
        <v>461.58069999999998</v>
      </c>
      <c r="CR188" s="8">
        <v>-0.1074</v>
      </c>
      <c r="CS188" s="4">
        <f t="shared" si="2"/>
        <v>734.73069999999996</v>
      </c>
      <c r="CT188" s="9">
        <f>Таблица1[[#This Row],[DSC/(mW/mg)]]</f>
        <v>-0.1074</v>
      </c>
    </row>
    <row r="189" spans="95:98" x14ac:dyDescent="0.25">
      <c r="CQ189" s="8">
        <v>463.65411</v>
      </c>
      <c r="CR189" s="8">
        <v>-0.10607999999999999</v>
      </c>
      <c r="CS189" s="4">
        <f t="shared" si="2"/>
        <v>736.80411000000004</v>
      </c>
      <c r="CT189" s="9">
        <f>Таблица1[[#This Row],[DSC/(mW/mg)]]</f>
        <v>-0.10607999999999999</v>
      </c>
    </row>
    <row r="190" spans="95:98" x14ac:dyDescent="0.25">
      <c r="CQ190" s="8">
        <v>465.72752000000003</v>
      </c>
      <c r="CR190" s="8">
        <v>-9.8447000000000007E-2</v>
      </c>
      <c r="CS190" s="4">
        <f t="shared" si="2"/>
        <v>738.87752</v>
      </c>
      <c r="CT190" s="9">
        <f>Таблица1[[#This Row],[DSC/(mW/mg)]]</f>
        <v>-9.8447000000000007E-2</v>
      </c>
    </row>
    <row r="191" spans="95:98" x14ac:dyDescent="0.25">
      <c r="CQ191" s="8">
        <v>467.80092999999999</v>
      </c>
      <c r="CR191" s="8">
        <v>-8.6611999999999995E-2</v>
      </c>
      <c r="CS191" s="4">
        <f t="shared" si="2"/>
        <v>740.95092999999997</v>
      </c>
      <c r="CT191" s="9">
        <f>Таблица1[[#This Row],[DSC/(mW/mg)]]</f>
        <v>-8.6611999999999995E-2</v>
      </c>
    </row>
    <row r="192" spans="95:98" x14ac:dyDescent="0.25">
      <c r="CQ192" s="8">
        <v>469.87434000000002</v>
      </c>
      <c r="CR192" s="8">
        <v>-7.0509000000000002E-2</v>
      </c>
      <c r="CS192" s="4">
        <f t="shared" si="2"/>
        <v>743.02433999999994</v>
      </c>
      <c r="CT192" s="9">
        <f>Таблица1[[#This Row],[DSC/(mW/mg)]]</f>
        <v>-7.0509000000000002E-2</v>
      </c>
    </row>
    <row r="193" spans="95:98" x14ac:dyDescent="0.25">
      <c r="CQ193" s="8">
        <v>471.94774999999998</v>
      </c>
      <c r="CR193" s="8">
        <v>-5.4210000000000001E-2</v>
      </c>
      <c r="CS193" s="4">
        <f t="shared" si="2"/>
        <v>745.09774999999991</v>
      </c>
      <c r="CT193" s="9">
        <f>Таблица1[[#This Row],[DSC/(mW/mg)]]</f>
        <v>-5.4210000000000001E-2</v>
      </c>
    </row>
    <row r="194" spans="95:98" x14ac:dyDescent="0.25">
      <c r="CQ194" s="8">
        <v>474.02116000000001</v>
      </c>
      <c r="CR194" s="8">
        <v>-3.7939000000000001E-2</v>
      </c>
      <c r="CS194" s="4">
        <f t="shared" si="2"/>
        <v>747.17115999999999</v>
      </c>
      <c r="CT194" s="9">
        <f>Таблица1[[#This Row],[DSC/(mW/mg)]]</f>
        <v>-3.7939000000000001E-2</v>
      </c>
    </row>
    <row r="195" spans="95:98" x14ac:dyDescent="0.25">
      <c r="CQ195" s="8">
        <v>476.09456999999998</v>
      </c>
      <c r="CR195" s="8">
        <v>-2.3976000000000001E-2</v>
      </c>
      <c r="CS195" s="4">
        <f t="shared" ref="CS195:CS223" si="3">CQ195+273.15</f>
        <v>749.24456999999995</v>
      </c>
      <c r="CT195" s="9">
        <f>Таблица1[[#This Row],[DSC/(mW/mg)]]</f>
        <v>-2.3976000000000001E-2</v>
      </c>
    </row>
    <row r="196" spans="95:98" x14ac:dyDescent="0.25">
      <c r="CQ196" s="8">
        <v>478.16798</v>
      </c>
      <c r="CR196" s="8">
        <v>-1.2618000000000001E-2</v>
      </c>
      <c r="CS196" s="4">
        <f t="shared" si="3"/>
        <v>751.31798000000003</v>
      </c>
      <c r="CT196" s="9">
        <f>Таблица1[[#This Row],[DSC/(mW/mg)]]</f>
        <v>-1.2618000000000001E-2</v>
      </c>
    </row>
    <row r="197" spans="95:98" x14ac:dyDescent="0.25">
      <c r="CQ197" s="8">
        <v>480.24139000000002</v>
      </c>
      <c r="CR197" s="8">
        <v>-2.8376999999999999E-3</v>
      </c>
      <c r="CS197" s="4">
        <f t="shared" si="3"/>
        <v>753.39139</v>
      </c>
      <c r="CT197" s="9">
        <f>Таблица1[[#This Row],[DSC/(mW/mg)]]</f>
        <v>-2.8376999999999999E-3</v>
      </c>
    </row>
    <row r="198" spans="95:98" x14ac:dyDescent="0.25">
      <c r="CQ198" s="8">
        <v>482.31479000000002</v>
      </c>
      <c r="CR198" s="8">
        <v>4.6141000000000003E-3</v>
      </c>
      <c r="CS198" s="4">
        <f t="shared" si="3"/>
        <v>755.46478999999999</v>
      </c>
      <c r="CT198" s="9">
        <f>Таблица1[[#This Row],[DSC/(mW/mg)]]</f>
        <v>4.6141000000000003E-3</v>
      </c>
    </row>
    <row r="199" spans="95:98" x14ac:dyDescent="0.25">
      <c r="CQ199" s="8">
        <v>484.38819999999998</v>
      </c>
      <c r="CR199" s="8">
        <v>1.0253E-2</v>
      </c>
      <c r="CS199" s="4">
        <f t="shared" si="3"/>
        <v>757.53819999999996</v>
      </c>
      <c r="CT199" s="9">
        <f>Таблица1[[#This Row],[DSC/(mW/mg)]]</f>
        <v>1.0253E-2</v>
      </c>
    </row>
    <row r="200" spans="95:98" x14ac:dyDescent="0.25">
      <c r="CQ200" s="8">
        <v>486.46161000000001</v>
      </c>
      <c r="CR200" s="8">
        <v>1.5035E-2</v>
      </c>
      <c r="CS200" s="4">
        <f t="shared" si="3"/>
        <v>759.61160999999993</v>
      </c>
      <c r="CT200" s="9">
        <f>Таблица1[[#This Row],[DSC/(mW/mg)]]</f>
        <v>1.5035E-2</v>
      </c>
    </row>
    <row r="201" spans="95:98" x14ac:dyDescent="0.25">
      <c r="CQ201" s="8">
        <v>488.53501999999997</v>
      </c>
      <c r="CR201" s="8">
        <v>1.9606999999999999E-2</v>
      </c>
      <c r="CS201" s="4">
        <f t="shared" si="3"/>
        <v>761.68501999999989</v>
      </c>
      <c r="CT201" s="9">
        <f>Таблица1[[#This Row],[DSC/(mW/mg)]]</f>
        <v>1.9606999999999999E-2</v>
      </c>
    </row>
    <row r="202" spans="95:98" x14ac:dyDescent="0.25">
      <c r="CQ202" s="8">
        <v>490.60843</v>
      </c>
      <c r="CR202" s="8">
        <v>2.2721000000000002E-2</v>
      </c>
      <c r="CS202" s="4">
        <f t="shared" si="3"/>
        <v>763.75842999999998</v>
      </c>
      <c r="CT202" s="9">
        <f>Таблица1[[#This Row],[DSC/(mW/mg)]]</f>
        <v>2.2721000000000002E-2</v>
      </c>
    </row>
    <row r="203" spans="95:98" x14ac:dyDescent="0.25">
      <c r="CQ203" s="8">
        <v>492.68184000000002</v>
      </c>
      <c r="CR203" s="8">
        <v>2.2889E-2</v>
      </c>
      <c r="CS203" s="4">
        <f t="shared" si="3"/>
        <v>765.83184000000006</v>
      </c>
      <c r="CT203" s="9">
        <f>Таблица1[[#This Row],[DSC/(mW/mg)]]</f>
        <v>2.2889E-2</v>
      </c>
    </row>
    <row r="204" spans="95:98" x14ac:dyDescent="0.25">
      <c r="CQ204" s="8">
        <v>494.75524999999999</v>
      </c>
      <c r="CR204" s="8">
        <v>2.3549E-2</v>
      </c>
      <c r="CS204" s="4">
        <f t="shared" si="3"/>
        <v>767.90525000000002</v>
      </c>
      <c r="CT204" s="9">
        <f>Таблица1[[#This Row],[DSC/(mW/mg)]]</f>
        <v>2.3549E-2</v>
      </c>
    </row>
    <row r="205" spans="95:98" x14ac:dyDescent="0.25">
      <c r="CQ205" s="8">
        <v>496.82866000000001</v>
      </c>
      <c r="CR205" s="8">
        <v>2.4455999999999999E-2</v>
      </c>
      <c r="CS205" s="4">
        <f t="shared" si="3"/>
        <v>769.97865999999999</v>
      </c>
      <c r="CT205" s="9">
        <f>Таблица1[[#This Row],[DSC/(mW/mg)]]</f>
        <v>2.4455999999999999E-2</v>
      </c>
    </row>
    <row r="206" spans="95:98" x14ac:dyDescent="0.25">
      <c r="CQ206" s="8">
        <v>498.90206999999998</v>
      </c>
      <c r="CR206" s="8">
        <v>2.5031000000000001E-2</v>
      </c>
      <c r="CS206" s="4">
        <f t="shared" si="3"/>
        <v>772.05206999999996</v>
      </c>
      <c r="CT206" s="9">
        <f>Таблица1[[#This Row],[DSC/(mW/mg)]]</f>
        <v>2.5031000000000001E-2</v>
      </c>
    </row>
    <row r="207" spans="95:98" x14ac:dyDescent="0.25">
      <c r="CQ207" s="8">
        <v>500.97548</v>
      </c>
      <c r="CR207" s="8">
        <v>2.5138000000000001E-2</v>
      </c>
      <c r="CS207" s="4">
        <f t="shared" si="3"/>
        <v>774.12547999999992</v>
      </c>
      <c r="CT207" s="9">
        <f>Таблица1[[#This Row],[DSC/(mW/mg)]]</f>
        <v>2.5138000000000001E-2</v>
      </c>
    </row>
    <row r="208" spans="95:98" x14ac:dyDescent="0.25">
      <c r="CQ208" s="8">
        <v>503.04888999999997</v>
      </c>
      <c r="CR208" s="8">
        <v>2.5266E-2</v>
      </c>
      <c r="CS208" s="4">
        <f t="shared" si="3"/>
        <v>776.19888999999989</v>
      </c>
      <c r="CT208" s="9">
        <f>Таблица1[[#This Row],[DSC/(mW/mg)]]</f>
        <v>2.5266E-2</v>
      </c>
    </row>
    <row r="209" spans="95:98" x14ac:dyDescent="0.25">
      <c r="CQ209" s="8">
        <v>505.1223</v>
      </c>
      <c r="CR209" s="8">
        <v>2.5977E-2</v>
      </c>
      <c r="CS209" s="4">
        <f t="shared" si="3"/>
        <v>778.27229999999997</v>
      </c>
      <c r="CT209" s="9">
        <f>Таблица1[[#This Row],[DSC/(mW/mg)]]</f>
        <v>2.5977E-2</v>
      </c>
    </row>
    <row r="210" spans="95:98" x14ac:dyDescent="0.25">
      <c r="CQ210" s="8">
        <v>507.19569999999999</v>
      </c>
      <c r="CR210" s="8">
        <v>2.6904000000000001E-2</v>
      </c>
      <c r="CS210" s="4">
        <f t="shared" si="3"/>
        <v>780.34569999999997</v>
      </c>
      <c r="CT210" s="9">
        <f>Таблица1[[#This Row],[DSC/(mW/mg)]]</f>
        <v>2.6904000000000001E-2</v>
      </c>
    </row>
    <row r="211" spans="95:98" x14ac:dyDescent="0.25">
      <c r="CQ211" s="8">
        <v>509.26911000000001</v>
      </c>
      <c r="CR211" s="8">
        <v>2.7431000000000001E-2</v>
      </c>
      <c r="CS211" s="4">
        <f t="shared" si="3"/>
        <v>782.41911000000005</v>
      </c>
      <c r="CT211" s="9">
        <f>Таблица1[[#This Row],[DSC/(mW/mg)]]</f>
        <v>2.7431000000000001E-2</v>
      </c>
    </row>
    <row r="212" spans="95:98" x14ac:dyDescent="0.25">
      <c r="CQ212" s="8">
        <v>511.34251999999998</v>
      </c>
      <c r="CR212" s="8">
        <v>2.7965E-2</v>
      </c>
      <c r="CS212" s="4">
        <f t="shared" si="3"/>
        <v>784.49252000000001</v>
      </c>
      <c r="CT212" s="9">
        <f>Таблица1[[#This Row],[DSC/(mW/mg)]]</f>
        <v>2.7965E-2</v>
      </c>
    </row>
    <row r="213" spans="95:98" x14ac:dyDescent="0.25">
      <c r="CQ213" s="8">
        <v>513.41593</v>
      </c>
      <c r="CR213" s="8">
        <v>2.9020000000000001E-2</v>
      </c>
      <c r="CS213" s="4">
        <f t="shared" si="3"/>
        <v>786.56592999999998</v>
      </c>
      <c r="CT213" s="9">
        <f>Таблица1[[#This Row],[DSC/(mW/mg)]]</f>
        <v>2.9020000000000001E-2</v>
      </c>
    </row>
    <row r="214" spans="95:98" x14ac:dyDescent="0.25">
      <c r="CQ214" s="8">
        <v>515.48933999999997</v>
      </c>
      <c r="CR214" s="8">
        <v>3.1153E-2</v>
      </c>
      <c r="CS214" s="4">
        <f t="shared" si="3"/>
        <v>788.63933999999995</v>
      </c>
      <c r="CT214" s="9">
        <f>Таблица1[[#This Row],[DSC/(mW/mg)]]</f>
        <v>3.1153E-2</v>
      </c>
    </row>
    <row r="215" spans="95:98" x14ac:dyDescent="0.25">
      <c r="CQ215" s="8">
        <v>517.56275000000005</v>
      </c>
      <c r="CR215" s="8">
        <v>3.3321000000000003E-2</v>
      </c>
      <c r="CS215" s="4">
        <f t="shared" si="3"/>
        <v>790.71275000000003</v>
      </c>
      <c r="CT215" s="9">
        <f>Таблица1[[#This Row],[DSC/(mW/mg)]]</f>
        <v>3.3321000000000003E-2</v>
      </c>
    </row>
    <row r="216" spans="95:98" x14ac:dyDescent="0.25">
      <c r="CQ216" s="8">
        <v>519.63616000000002</v>
      </c>
      <c r="CR216" s="8">
        <v>3.7428999999999997E-2</v>
      </c>
      <c r="CS216" s="4">
        <f t="shared" si="3"/>
        <v>792.78616</v>
      </c>
      <c r="CT216" s="9">
        <f>Таблица1[[#This Row],[DSC/(mW/mg)]]</f>
        <v>3.7428999999999997E-2</v>
      </c>
    </row>
    <row r="217" spans="95:98" x14ac:dyDescent="0.25">
      <c r="CQ217" s="8">
        <v>521.70956999999999</v>
      </c>
      <c r="CR217" s="8">
        <v>4.5753000000000002E-2</v>
      </c>
      <c r="CS217" s="4">
        <f t="shared" si="3"/>
        <v>794.85956999999996</v>
      </c>
      <c r="CT217" s="9">
        <f>Таблица1[[#This Row],[DSC/(mW/mg)]]</f>
        <v>4.5753000000000002E-2</v>
      </c>
    </row>
    <row r="218" spans="95:98" x14ac:dyDescent="0.25">
      <c r="CQ218" s="8">
        <v>523.78297999999995</v>
      </c>
      <c r="CR218" s="8">
        <v>6.3245999999999997E-2</v>
      </c>
      <c r="CS218" s="4">
        <f t="shared" si="3"/>
        <v>796.93297999999993</v>
      </c>
      <c r="CT218" s="9">
        <f>Таблица1[[#This Row],[DSC/(mW/mg)]]</f>
        <v>6.3245999999999997E-2</v>
      </c>
    </row>
    <row r="219" spans="95:98" x14ac:dyDescent="0.25">
      <c r="CQ219" s="8">
        <v>525.85639000000003</v>
      </c>
      <c r="CR219" s="8">
        <v>9.5348000000000002E-2</v>
      </c>
      <c r="CS219" s="4">
        <f t="shared" si="3"/>
        <v>799.00639000000001</v>
      </c>
      <c r="CT219" s="9">
        <f>Таблица1[[#This Row],[DSC/(mW/mg)]]</f>
        <v>9.5348000000000002E-2</v>
      </c>
    </row>
    <row r="220" spans="95:98" x14ac:dyDescent="0.25">
      <c r="CQ220" s="8">
        <v>527.9298</v>
      </c>
      <c r="CR220" s="8">
        <v>0.10724</v>
      </c>
      <c r="CS220" s="4">
        <f t="shared" si="3"/>
        <v>801.07979999999998</v>
      </c>
      <c r="CT220" s="9">
        <f>Таблица1[[#This Row],[DSC/(mW/mg)]]</f>
        <v>0.10724</v>
      </c>
    </row>
    <row r="221" spans="95:98" x14ac:dyDescent="0.25">
      <c r="CQ221" s="8">
        <v>530.00320999999997</v>
      </c>
      <c r="CR221" s="8">
        <v>8.5355E-2</v>
      </c>
      <c r="CS221" s="4">
        <f t="shared" si="3"/>
        <v>803.15320999999994</v>
      </c>
      <c r="CT221" s="9">
        <f>Таблица1[[#This Row],[DSC/(mW/mg)]]</f>
        <v>8.5355E-2</v>
      </c>
    </row>
    <row r="222" spans="95:98" x14ac:dyDescent="0.25">
      <c r="CQ222" s="8">
        <v>532.07662000000005</v>
      </c>
      <c r="CR222" s="8">
        <v>8.7378999999999998E-2</v>
      </c>
      <c r="CS222" s="4">
        <f t="shared" si="3"/>
        <v>805.22662000000003</v>
      </c>
      <c r="CT222" s="9">
        <f>Таблица1[[#This Row],[DSC/(mW/mg)]]</f>
        <v>8.7378999999999998E-2</v>
      </c>
    </row>
    <row r="223" spans="95:98" x14ac:dyDescent="0.25">
      <c r="CQ223" s="8">
        <v>534.15002000000004</v>
      </c>
      <c r="CR223" s="8">
        <v>0.13400999999999999</v>
      </c>
      <c r="CS223" s="4">
        <f t="shared" si="3"/>
        <v>807.30002000000002</v>
      </c>
      <c r="CT223" s="9">
        <f>Таблица1[[#This Row],[DSC/(mW/mg)]]</f>
        <v>0.13400999999999999</v>
      </c>
    </row>
    <row r="224" spans="95:98" x14ac:dyDescent="0.25">
      <c r="CQ224" s="8"/>
      <c r="CR224" s="8"/>
      <c r="CS224" s="4"/>
      <c r="CT224" s="9"/>
    </row>
    <row r="225" spans="95:98" x14ac:dyDescent="0.25">
      <c r="CQ225" s="8"/>
      <c r="CR225" s="8"/>
      <c r="CS225" s="4"/>
      <c r="CT225" s="9"/>
    </row>
    <row r="226" spans="95:98" x14ac:dyDescent="0.25">
      <c r="CQ226" s="8"/>
      <c r="CR226" s="8"/>
      <c r="CS226" s="4"/>
      <c r="CT226" s="9"/>
    </row>
    <row r="227" spans="95:98" x14ac:dyDescent="0.25">
      <c r="CQ227" s="8"/>
      <c r="CR227" s="8"/>
      <c r="CS227" s="4"/>
      <c r="CT227" s="9"/>
    </row>
    <row r="228" spans="95:98" x14ac:dyDescent="0.25">
      <c r="CQ228" s="8"/>
      <c r="CR228" s="8"/>
      <c r="CS228" s="4"/>
      <c r="CT228" s="9"/>
    </row>
    <row r="229" spans="95:98" x14ac:dyDescent="0.25">
      <c r="CQ229" s="8"/>
      <c r="CR229" s="8"/>
      <c r="CS229" s="4"/>
      <c r="CT229" s="9"/>
    </row>
    <row r="230" spans="95:98" x14ac:dyDescent="0.25">
      <c r="CQ230" s="8"/>
      <c r="CR230" s="8"/>
      <c r="CS230" s="4"/>
      <c r="CT230" s="9"/>
    </row>
    <row r="231" spans="95:98" x14ac:dyDescent="0.25">
      <c r="CQ231" s="8"/>
      <c r="CR231" s="8"/>
      <c r="CS231" s="4"/>
      <c r="CT231" s="9"/>
    </row>
    <row r="232" spans="95:98" x14ac:dyDescent="0.25">
      <c r="CQ232" s="8"/>
      <c r="CR232" s="8"/>
      <c r="CS232" s="4"/>
      <c r="CT232" s="9"/>
    </row>
    <row r="233" spans="95:98" x14ac:dyDescent="0.25">
      <c r="CQ233" s="8"/>
      <c r="CR233" s="8"/>
      <c r="CS233" s="4"/>
      <c r="CT233" s="9"/>
    </row>
    <row r="234" spans="95:98" x14ac:dyDescent="0.25">
      <c r="CQ234" s="8"/>
      <c r="CR234" s="8"/>
      <c r="CS234" s="4"/>
      <c r="CT234" s="9"/>
    </row>
    <row r="235" spans="95:98" x14ac:dyDescent="0.25">
      <c r="CQ235" s="8"/>
      <c r="CR235" s="8"/>
      <c r="CS235" s="4"/>
      <c r="CT235" s="9"/>
    </row>
    <row r="236" spans="95:98" x14ac:dyDescent="0.25">
      <c r="CQ236" s="8"/>
      <c r="CR236" s="8"/>
      <c r="CS236" s="4"/>
      <c r="CT236" s="9"/>
    </row>
    <row r="237" spans="95:98" x14ac:dyDescent="0.25">
      <c r="CQ237" s="8"/>
      <c r="CR237" s="8"/>
      <c r="CS237" s="4"/>
      <c r="CT237" s="9"/>
    </row>
    <row r="238" spans="95:98" x14ac:dyDescent="0.25">
      <c r="CQ238" s="8"/>
      <c r="CR238" s="8"/>
      <c r="CS238" s="4"/>
      <c r="CT238" s="9"/>
    </row>
    <row r="239" spans="95:98" x14ac:dyDescent="0.25">
      <c r="CQ239" s="8"/>
      <c r="CR239" s="8"/>
      <c r="CS239" s="4"/>
      <c r="CT239" s="9"/>
    </row>
    <row r="240" spans="95:98" x14ac:dyDescent="0.25">
      <c r="CQ240" s="8"/>
      <c r="CR240" s="8"/>
      <c r="CS240" s="4"/>
      <c r="CT240" s="9"/>
    </row>
    <row r="241" spans="95:98" x14ac:dyDescent="0.25">
      <c r="CQ241" s="8"/>
      <c r="CR241" s="8"/>
      <c r="CS241" s="4"/>
      <c r="CT241" s="9"/>
    </row>
    <row r="242" spans="95:98" x14ac:dyDescent="0.25">
      <c r="CQ242" s="8"/>
      <c r="CR242" s="8"/>
      <c r="CS242" s="4"/>
      <c r="CT242" s="9"/>
    </row>
    <row r="243" spans="95:98" x14ac:dyDescent="0.25">
      <c r="CQ243" s="8"/>
      <c r="CR243" s="8"/>
      <c r="CS243" s="4"/>
      <c r="CT243" s="9"/>
    </row>
    <row r="244" spans="95:98" x14ac:dyDescent="0.25">
      <c r="CQ244" s="8"/>
      <c r="CR244" s="8"/>
      <c r="CS244" s="4"/>
      <c r="CT244" s="9"/>
    </row>
    <row r="245" spans="95:98" x14ac:dyDescent="0.25">
      <c r="CQ245" s="8"/>
      <c r="CR245" s="8"/>
      <c r="CS245" s="4"/>
      <c r="CT245" s="9"/>
    </row>
    <row r="246" spans="95:98" x14ac:dyDescent="0.25">
      <c r="CQ246" s="8"/>
      <c r="CR246" s="8"/>
      <c r="CS246" s="4"/>
      <c r="CT246" s="9"/>
    </row>
    <row r="247" spans="95:98" x14ac:dyDescent="0.25">
      <c r="CQ247" s="8"/>
      <c r="CR247" s="8"/>
      <c r="CS247" s="4"/>
      <c r="CT247" s="9"/>
    </row>
    <row r="248" spans="95:98" x14ac:dyDescent="0.25">
      <c r="CQ248" s="8"/>
      <c r="CR248" s="8"/>
      <c r="CS248" s="4"/>
      <c r="CT248" s="9"/>
    </row>
    <row r="249" spans="95:98" x14ac:dyDescent="0.25">
      <c r="CQ249" s="8"/>
      <c r="CR249" s="8"/>
      <c r="CS249" s="4"/>
      <c r="CT249" s="9"/>
    </row>
    <row r="250" spans="95:98" x14ac:dyDescent="0.25">
      <c r="CQ250" s="8"/>
      <c r="CR250" s="8"/>
      <c r="CS250" s="4"/>
      <c r="CT250" s="9"/>
    </row>
    <row r="251" spans="95:98" x14ac:dyDescent="0.25">
      <c r="CQ251" s="8"/>
      <c r="CR251" s="8"/>
      <c r="CS251" s="4"/>
      <c r="CT251" s="9"/>
    </row>
    <row r="252" spans="95:98" x14ac:dyDescent="0.25">
      <c r="CQ252" s="8"/>
      <c r="CR252" s="8"/>
      <c r="CS252" s="4"/>
      <c r="CT252" s="9"/>
    </row>
  </sheetData>
  <conditionalFormatting sqref="CS254:CS600 CS3:CS252">
    <cfRule type="cellIs" dxfId="13" priority="32" operator="lessThanOrEqual">
      <formula>$CM$4</formula>
    </cfRule>
    <cfRule type="cellIs" dxfId="12" priority="33" operator="lessThanOrEqual">
      <formula>$CM$8</formula>
    </cfRule>
    <cfRule type="cellIs" dxfId="11" priority="34" operator="lessThanOrEqual">
      <formula>$CM$12</formula>
    </cfRule>
    <cfRule type="cellIs" dxfId="10" priority="35" operator="lessThanOrEqual">
      <formula>$CM$16</formula>
    </cfRule>
    <cfRule type="cellIs" dxfId="9" priority="36" operator="lessThanOrEqual">
      <formula>$CM$20</formula>
    </cfRule>
    <cfRule type="cellIs" dxfId="8" priority="37" operator="lessThanOrEqual">
      <formula>$CM$24</formula>
    </cfRule>
    <cfRule type="cellIs" dxfId="7" priority="38" operator="lessThanOrEqual">
      <formula>$CM$28</formula>
    </cfRule>
    <cfRule type="cellIs" dxfId="6" priority="39" operator="lessThanOrEqual">
      <formula>$CM$32</formula>
    </cfRule>
    <cfRule type="cellIs" dxfId="5" priority="40" operator="lessThanOrEqual">
      <formula>$CM$36</formula>
    </cfRule>
    <cfRule type="cellIs" dxfId="4" priority="41" operator="lessThanOrEqual">
      <formula>$CM$40</formula>
    </cfRule>
  </conditionalFormatting>
  <pageMargins left="3.937007874015748E-2" right="3.937007874015748E-2" top="0.35433070866141736" bottom="0.15748031496062992" header="0" footer="0"/>
  <pageSetup paperSize="9"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ap_temp">
                <anchor moveWithCells="1" sizeWithCells="1">
                  <from>
                    <xdr:col>88</xdr:col>
                    <xdr:colOff>314325</xdr:colOff>
                    <xdr:row>0</xdr:row>
                    <xdr:rowOff>28575</xdr:rowOff>
                  </from>
                  <to>
                    <xdr:col>89</xdr:col>
                    <xdr:colOff>1038225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ancel_temp">
                <anchor moveWithCells="1" sizeWithCells="1">
                  <from>
                    <xdr:col>90</xdr:col>
                    <xdr:colOff>38100</xdr:colOff>
                    <xdr:row>0</xdr:row>
                    <xdr:rowOff>28575</xdr:rowOff>
                  </from>
                  <to>
                    <xdr:col>90</xdr:col>
                    <xdr:colOff>1028700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Diap_eng">
                <anchor moveWithCells="1" sizeWithCells="1">
                  <from>
                    <xdr:col>91</xdr:col>
                    <xdr:colOff>57150</xdr:colOff>
                    <xdr:row>0</xdr:row>
                    <xdr:rowOff>19050</xdr:rowOff>
                  </from>
                  <to>
                    <xdr:col>91</xdr:col>
                    <xdr:colOff>1009650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Cancel_eng">
                <anchor moveWithCells="1" sizeWithCells="1">
                  <from>
                    <xdr:col>92</xdr:col>
                    <xdr:colOff>19050</xdr:colOff>
                    <xdr:row>0</xdr:row>
                    <xdr:rowOff>19050</xdr:rowOff>
                  </from>
                  <to>
                    <xdr:col>92</xdr:col>
                    <xdr:colOff>1019175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2F9CE-AA65-425F-9307-8EA5E2EEF78F}">
  <sheetPr codeName="Лист3"/>
  <dimension ref="A1:B251"/>
  <sheetViews>
    <sheetView topLeftCell="A194" zoomScale="130" zoomScaleNormal="130" workbookViewId="0">
      <selection activeCell="H199" sqref="H199"/>
    </sheetView>
  </sheetViews>
  <sheetFormatPr defaultRowHeight="15" x14ac:dyDescent="0.25"/>
  <cols>
    <col min="1" max="1" width="16.5703125" bestFit="1" customWidth="1"/>
  </cols>
  <sheetData>
    <row r="1" spans="1:2" x14ac:dyDescent="0.25">
      <c r="A1" s="2" t="s">
        <v>13</v>
      </c>
      <c r="B1" s="2" t="s">
        <v>51</v>
      </c>
    </row>
    <row r="2" spans="1:2" x14ac:dyDescent="0.25">
      <c r="A2" s="2">
        <v>78</v>
      </c>
      <c r="B2" s="35">
        <v>2.9711E-3</v>
      </c>
    </row>
    <row r="3" spans="1:2" x14ac:dyDescent="0.25">
      <c r="A3" s="2">
        <v>80.073409999999996</v>
      </c>
      <c r="B3" s="35">
        <v>2.9986000000000001E-3</v>
      </c>
    </row>
    <row r="4" spans="1:2" x14ac:dyDescent="0.25">
      <c r="A4" s="2">
        <v>82.146820000000005</v>
      </c>
      <c r="B4" s="35">
        <v>3.3343000000000001E-3</v>
      </c>
    </row>
    <row r="5" spans="1:2" x14ac:dyDescent="0.25">
      <c r="A5" s="2">
        <v>84.220230000000001</v>
      </c>
      <c r="B5" s="35">
        <v>3.0276999999999999E-3</v>
      </c>
    </row>
    <row r="6" spans="1:2" x14ac:dyDescent="0.25">
      <c r="A6" s="2">
        <v>86.293639999999996</v>
      </c>
      <c r="B6" s="35">
        <v>2.6516999999999999E-3</v>
      </c>
    </row>
    <row r="7" spans="1:2" x14ac:dyDescent="0.25">
      <c r="A7" s="2">
        <v>88.367050000000006</v>
      </c>
      <c r="B7" s="35">
        <v>2.4903E-3</v>
      </c>
    </row>
    <row r="8" spans="1:2" x14ac:dyDescent="0.25">
      <c r="A8" s="2">
        <v>90.440460000000002</v>
      </c>
      <c r="B8" s="35">
        <v>2.2788000000000001E-3</v>
      </c>
    </row>
    <row r="9" spans="1:2" x14ac:dyDescent="0.25">
      <c r="A9" s="2">
        <v>92.513859999999994</v>
      </c>
      <c r="B9" s="35">
        <v>2.1300999999999998E-3</v>
      </c>
    </row>
    <row r="10" spans="1:2" x14ac:dyDescent="0.25">
      <c r="A10" s="2">
        <v>94.587270000000004</v>
      </c>
      <c r="B10" s="35">
        <v>2.0141999999999998E-3</v>
      </c>
    </row>
    <row r="11" spans="1:2" x14ac:dyDescent="0.25">
      <c r="A11" s="2">
        <v>96.660679999999999</v>
      </c>
      <c r="B11" s="35">
        <v>1.6239E-3</v>
      </c>
    </row>
    <row r="12" spans="1:2" x14ac:dyDescent="0.25">
      <c r="A12" s="2">
        <v>98.734089999999995</v>
      </c>
      <c r="B12" s="35">
        <v>1.2273E-3</v>
      </c>
    </row>
    <row r="13" spans="1:2" x14ac:dyDescent="0.25">
      <c r="A13" s="2">
        <v>100.8075</v>
      </c>
      <c r="B13" s="35">
        <v>9.1744000000000005E-4</v>
      </c>
    </row>
    <row r="14" spans="1:2" x14ac:dyDescent="0.25">
      <c r="A14" s="2">
        <v>102.88091</v>
      </c>
      <c r="B14" s="35">
        <v>7.0991000000000001E-4</v>
      </c>
    </row>
    <row r="15" spans="1:2" x14ac:dyDescent="0.25">
      <c r="A15" s="2">
        <v>104.95432</v>
      </c>
      <c r="B15" s="35">
        <v>4.1054999999999998E-4</v>
      </c>
    </row>
    <row r="16" spans="1:2" x14ac:dyDescent="0.25">
      <c r="A16" s="2">
        <v>107.02773000000001</v>
      </c>
      <c r="B16" s="35">
        <v>3.8482000000000002E-4</v>
      </c>
    </row>
    <row r="17" spans="1:2" x14ac:dyDescent="0.25">
      <c r="A17" s="2">
        <v>109.10114</v>
      </c>
      <c r="B17" s="35">
        <v>2.1685000000000001E-4</v>
      </c>
    </row>
    <row r="18" spans="1:2" x14ac:dyDescent="0.25">
      <c r="A18" s="2">
        <v>111.17455</v>
      </c>
      <c r="B18" s="35">
        <v>-2.7781E-5</v>
      </c>
    </row>
    <row r="19" spans="1:2" x14ac:dyDescent="0.25">
      <c r="A19" s="2">
        <v>113.24796000000001</v>
      </c>
      <c r="B19" s="35">
        <v>-3.0844999999999999E-4</v>
      </c>
    </row>
    <row r="20" spans="1:2" x14ac:dyDescent="0.25">
      <c r="A20" s="2">
        <v>115.32137</v>
      </c>
      <c r="B20" s="35">
        <v>-5.4635999999999997E-4</v>
      </c>
    </row>
    <row r="21" spans="1:2" x14ac:dyDescent="0.25">
      <c r="A21" s="2">
        <v>117.39476999999999</v>
      </c>
      <c r="B21" s="35">
        <v>-7.7561000000000004E-4</v>
      </c>
    </row>
    <row r="22" spans="1:2" x14ac:dyDescent="0.25">
      <c r="A22" s="2">
        <v>119.46818</v>
      </c>
      <c r="B22" s="35">
        <v>-8.4776999999999997E-4</v>
      </c>
    </row>
    <row r="23" spans="1:2" x14ac:dyDescent="0.25">
      <c r="A23" s="2">
        <v>121.54159</v>
      </c>
      <c r="B23" s="35">
        <v>-1.0444E-3</v>
      </c>
    </row>
    <row r="24" spans="1:2" x14ac:dyDescent="0.25">
      <c r="A24" s="2">
        <v>123.61499999999999</v>
      </c>
      <c r="B24" s="35">
        <v>-1.3052999999999999E-3</v>
      </c>
    </row>
    <row r="25" spans="1:2" x14ac:dyDescent="0.25">
      <c r="A25" s="2">
        <v>125.68841</v>
      </c>
      <c r="B25" s="35">
        <v>-1.4786999999999999E-3</v>
      </c>
    </row>
    <row r="26" spans="1:2" x14ac:dyDescent="0.25">
      <c r="A26" s="2">
        <v>127.76182</v>
      </c>
      <c r="B26" s="35">
        <v>-1.6512E-3</v>
      </c>
    </row>
    <row r="27" spans="1:2" x14ac:dyDescent="0.25">
      <c r="A27" s="2">
        <v>129.83523</v>
      </c>
      <c r="B27" s="35">
        <v>-1.4816E-3</v>
      </c>
    </row>
    <row r="28" spans="1:2" x14ac:dyDescent="0.25">
      <c r="A28" s="2">
        <v>131.90863999999999</v>
      </c>
      <c r="B28" s="35">
        <v>-1.5667000000000001E-3</v>
      </c>
    </row>
    <row r="29" spans="1:2" x14ac:dyDescent="0.25">
      <c r="A29" s="2">
        <v>133.98204999999999</v>
      </c>
      <c r="B29" s="35">
        <v>-1.8919E-3</v>
      </c>
    </row>
    <row r="30" spans="1:2" x14ac:dyDescent="0.25">
      <c r="A30" s="2">
        <v>136.05546000000001</v>
      </c>
      <c r="B30" s="35">
        <v>-2.1052000000000002E-3</v>
      </c>
    </row>
    <row r="31" spans="1:2" x14ac:dyDescent="0.25">
      <c r="A31" s="2">
        <v>138.12887000000001</v>
      </c>
      <c r="B31" s="35">
        <v>-2.1262999999999998E-3</v>
      </c>
    </row>
    <row r="32" spans="1:2" x14ac:dyDescent="0.25">
      <c r="A32" s="2">
        <v>140.20228</v>
      </c>
      <c r="B32" s="35">
        <v>-2.1497E-3</v>
      </c>
    </row>
    <row r="33" spans="1:2" x14ac:dyDescent="0.25">
      <c r="A33" s="2">
        <v>142.27569</v>
      </c>
      <c r="B33" s="35">
        <v>-2.1757999999999999E-3</v>
      </c>
    </row>
    <row r="34" spans="1:2" x14ac:dyDescent="0.25">
      <c r="A34" s="2">
        <v>144.34908999999999</v>
      </c>
      <c r="B34" s="35">
        <v>-2.1513999999999999E-3</v>
      </c>
    </row>
    <row r="35" spans="1:2" x14ac:dyDescent="0.25">
      <c r="A35" s="2">
        <v>146.42250000000001</v>
      </c>
      <c r="B35" s="35">
        <v>-2.4826000000000002E-3</v>
      </c>
    </row>
    <row r="36" spans="1:2" x14ac:dyDescent="0.25">
      <c r="A36" s="2">
        <v>148.49591000000001</v>
      </c>
      <c r="B36" s="35">
        <v>-2.9348999999999998E-3</v>
      </c>
    </row>
    <row r="37" spans="1:2" x14ac:dyDescent="0.25">
      <c r="A37" s="2">
        <v>150.56932</v>
      </c>
      <c r="B37" s="35">
        <v>-3.7724999999999998E-3</v>
      </c>
    </row>
    <row r="38" spans="1:2" x14ac:dyDescent="0.25">
      <c r="A38" s="2">
        <v>152.64273</v>
      </c>
      <c r="B38" s="35">
        <v>-4.3981999999999997E-3</v>
      </c>
    </row>
    <row r="39" spans="1:2" x14ac:dyDescent="0.25">
      <c r="A39" s="2">
        <v>154.71614</v>
      </c>
      <c r="B39" s="35">
        <v>-4.1811000000000001E-3</v>
      </c>
    </row>
    <row r="40" spans="1:2" x14ac:dyDescent="0.25">
      <c r="A40" s="2">
        <v>156.78954999999999</v>
      </c>
      <c r="B40" s="35">
        <v>-4.1352000000000003E-3</v>
      </c>
    </row>
    <row r="41" spans="1:2" x14ac:dyDescent="0.25">
      <c r="A41" s="2">
        <v>158.86295999999999</v>
      </c>
      <c r="B41" s="35">
        <v>-4.0423000000000004E-3</v>
      </c>
    </row>
    <row r="42" spans="1:2" x14ac:dyDescent="0.25">
      <c r="A42" s="2">
        <v>160.93637000000001</v>
      </c>
      <c r="B42" s="35">
        <v>-4.1993999999999998E-3</v>
      </c>
    </row>
    <row r="43" spans="1:2" x14ac:dyDescent="0.25">
      <c r="A43" s="2">
        <v>163.00978000000001</v>
      </c>
      <c r="B43" s="35">
        <v>-4.8647999999999999E-3</v>
      </c>
    </row>
    <row r="44" spans="1:2" x14ac:dyDescent="0.25">
      <c r="A44" s="2">
        <v>165.08319</v>
      </c>
      <c r="B44" s="35">
        <v>-4.8558000000000004E-3</v>
      </c>
    </row>
    <row r="45" spans="1:2" x14ac:dyDescent="0.25">
      <c r="A45" s="2">
        <v>167.1566</v>
      </c>
      <c r="B45" s="35">
        <v>-4.8113000000000001E-3</v>
      </c>
    </row>
    <row r="46" spans="1:2" x14ac:dyDescent="0.25">
      <c r="A46" s="2">
        <v>169.23</v>
      </c>
      <c r="B46" s="35">
        <v>-5.7551E-3</v>
      </c>
    </row>
    <row r="47" spans="1:2" x14ac:dyDescent="0.25">
      <c r="A47" s="2">
        <v>171.30341000000001</v>
      </c>
      <c r="B47" s="35">
        <v>-6.5393999999999999E-3</v>
      </c>
    </row>
    <row r="48" spans="1:2" x14ac:dyDescent="0.25">
      <c r="A48" s="2">
        <v>173.37682000000001</v>
      </c>
      <c r="B48" s="35">
        <v>-7.1002000000000001E-3</v>
      </c>
    </row>
    <row r="49" spans="1:2" x14ac:dyDescent="0.25">
      <c r="A49" s="2">
        <v>175.45023</v>
      </c>
      <c r="B49" s="35">
        <v>-8.1025000000000003E-3</v>
      </c>
    </row>
    <row r="50" spans="1:2" x14ac:dyDescent="0.25">
      <c r="A50" s="2">
        <v>177.52364</v>
      </c>
      <c r="B50" s="35">
        <v>-9.6153000000000002E-3</v>
      </c>
    </row>
    <row r="51" spans="1:2" x14ac:dyDescent="0.25">
      <c r="A51" s="2">
        <v>179.59705</v>
      </c>
      <c r="B51" s="35">
        <v>-1.0995E-2</v>
      </c>
    </row>
    <row r="52" spans="1:2" x14ac:dyDescent="0.25">
      <c r="A52" s="2">
        <v>181.67045999999999</v>
      </c>
      <c r="B52" s="35">
        <v>-1.1660999999999999E-2</v>
      </c>
    </row>
    <row r="53" spans="1:2" x14ac:dyDescent="0.25">
      <c r="A53" s="2">
        <v>183.74386999999999</v>
      </c>
      <c r="B53" s="35">
        <v>-1.2218E-2</v>
      </c>
    </row>
    <row r="54" spans="1:2" x14ac:dyDescent="0.25">
      <c r="A54" s="2">
        <v>185.81728000000001</v>
      </c>
      <c r="B54" s="35">
        <v>-1.2746E-2</v>
      </c>
    </row>
    <row r="55" spans="1:2" x14ac:dyDescent="0.25">
      <c r="A55" s="2">
        <v>187.89069000000001</v>
      </c>
      <c r="B55" s="35">
        <v>-1.2775E-2</v>
      </c>
    </row>
    <row r="56" spans="1:2" x14ac:dyDescent="0.25">
      <c r="A56" s="2">
        <v>189.9641</v>
      </c>
      <c r="B56" s="35">
        <v>-1.221E-2</v>
      </c>
    </row>
    <row r="57" spans="1:2" x14ac:dyDescent="0.25">
      <c r="A57" s="2">
        <v>192.03751</v>
      </c>
      <c r="B57" s="35">
        <v>-1.1128000000000001E-2</v>
      </c>
    </row>
    <row r="58" spans="1:2" x14ac:dyDescent="0.25">
      <c r="A58" s="2">
        <v>194.11091999999999</v>
      </c>
      <c r="B58" s="35">
        <v>-9.5762E-3</v>
      </c>
    </row>
    <row r="59" spans="1:2" x14ac:dyDescent="0.25">
      <c r="A59" s="2">
        <v>196.18432000000001</v>
      </c>
      <c r="B59" s="35">
        <v>-7.5396999999999999E-3</v>
      </c>
    </row>
    <row r="60" spans="1:2" x14ac:dyDescent="0.25">
      <c r="A60" s="2">
        <v>198.25773000000001</v>
      </c>
      <c r="B60" s="35">
        <v>-5.2142999999999998E-3</v>
      </c>
    </row>
    <row r="61" spans="1:2" x14ac:dyDescent="0.25">
      <c r="A61" s="2">
        <v>200.33114</v>
      </c>
      <c r="B61" s="35">
        <v>-2.5349000000000001E-3</v>
      </c>
    </row>
    <row r="62" spans="1:2" x14ac:dyDescent="0.25">
      <c r="A62" s="2">
        <v>202.40455</v>
      </c>
      <c r="B62" s="35">
        <v>-4.6265999999999999E-4</v>
      </c>
    </row>
    <row r="63" spans="1:2" x14ac:dyDescent="0.25">
      <c r="A63" s="2">
        <v>204.47796</v>
      </c>
      <c r="B63" s="35">
        <v>1.6896000000000001E-3</v>
      </c>
    </row>
    <row r="64" spans="1:2" x14ac:dyDescent="0.25">
      <c r="A64" s="2">
        <v>206.55136999999999</v>
      </c>
      <c r="B64" s="35">
        <v>3.5959999999999998E-3</v>
      </c>
    </row>
    <row r="65" spans="1:2" x14ac:dyDescent="0.25">
      <c r="A65" s="2">
        <v>208.62477999999999</v>
      </c>
      <c r="B65" s="35">
        <v>4.6579000000000004E-3</v>
      </c>
    </row>
    <row r="66" spans="1:2" x14ac:dyDescent="0.25">
      <c r="A66" s="2">
        <v>210.69819000000001</v>
      </c>
      <c r="B66" s="35">
        <v>5.4463000000000003E-3</v>
      </c>
    </row>
    <row r="67" spans="1:2" x14ac:dyDescent="0.25">
      <c r="A67" s="2">
        <v>212.77160000000001</v>
      </c>
      <c r="B67" s="35">
        <v>5.8062000000000001E-3</v>
      </c>
    </row>
    <row r="68" spans="1:2" x14ac:dyDescent="0.25">
      <c r="A68" s="2">
        <v>214.84501</v>
      </c>
      <c r="B68" s="35">
        <v>6.0255999999999999E-3</v>
      </c>
    </row>
    <row r="69" spans="1:2" x14ac:dyDescent="0.25">
      <c r="A69" s="2">
        <v>216.91842</v>
      </c>
      <c r="B69" s="35">
        <v>5.7486999999999998E-3</v>
      </c>
    </row>
    <row r="70" spans="1:2" x14ac:dyDescent="0.25">
      <c r="A70" s="2">
        <v>218.99182999999999</v>
      </c>
      <c r="B70" s="35">
        <v>5.1034000000000001E-3</v>
      </c>
    </row>
    <row r="71" spans="1:2" x14ac:dyDescent="0.25">
      <c r="A71" s="2">
        <v>221.06523000000001</v>
      </c>
      <c r="B71" s="35">
        <v>4.0086000000000002E-3</v>
      </c>
    </row>
    <row r="72" spans="1:2" x14ac:dyDescent="0.25">
      <c r="A72" s="2">
        <v>223.13864000000001</v>
      </c>
      <c r="B72" s="35">
        <v>2.9112000000000001E-3</v>
      </c>
    </row>
    <row r="73" spans="1:2" x14ac:dyDescent="0.25">
      <c r="A73" s="2">
        <v>225.21205</v>
      </c>
      <c r="B73" s="35">
        <v>2.3008999999999998E-3</v>
      </c>
    </row>
    <row r="74" spans="1:2" x14ac:dyDescent="0.25">
      <c r="A74" s="2">
        <v>227.28546</v>
      </c>
      <c r="B74" s="35">
        <v>1.7565E-3</v>
      </c>
    </row>
    <row r="75" spans="1:2" x14ac:dyDescent="0.25">
      <c r="A75" s="2">
        <v>229.35887</v>
      </c>
      <c r="B75" s="35">
        <v>1.1249999999999999E-3</v>
      </c>
    </row>
    <row r="76" spans="1:2" x14ac:dyDescent="0.25">
      <c r="A76" s="2">
        <v>231.43227999999999</v>
      </c>
      <c r="B76" s="35">
        <v>1.6872E-4</v>
      </c>
    </row>
    <row r="77" spans="1:2" x14ac:dyDescent="0.25">
      <c r="A77" s="2">
        <v>233.50568999999999</v>
      </c>
      <c r="B77" s="35">
        <v>-7.1186999999999997E-4</v>
      </c>
    </row>
    <row r="78" spans="1:2" x14ac:dyDescent="0.25">
      <c r="A78" s="2">
        <v>235.57910000000001</v>
      </c>
      <c r="B78" s="35">
        <v>-1.6360000000000001E-3</v>
      </c>
    </row>
    <row r="79" spans="1:2" x14ac:dyDescent="0.25">
      <c r="A79" s="2">
        <v>237.65251000000001</v>
      </c>
      <c r="B79" s="35">
        <v>-2.6270999999999998E-3</v>
      </c>
    </row>
    <row r="80" spans="1:2" x14ac:dyDescent="0.25">
      <c r="A80" s="2">
        <v>239.72592</v>
      </c>
      <c r="B80" s="35">
        <v>-3.1678000000000001E-3</v>
      </c>
    </row>
    <row r="81" spans="1:2" x14ac:dyDescent="0.25">
      <c r="A81" s="2">
        <v>241.79933</v>
      </c>
      <c r="B81" s="35">
        <v>-3.1402000000000001E-3</v>
      </c>
    </row>
    <row r="82" spans="1:2" x14ac:dyDescent="0.25">
      <c r="A82" s="2">
        <v>243.87273999999999</v>
      </c>
      <c r="B82" s="35">
        <v>-2.4215E-3</v>
      </c>
    </row>
    <row r="83" spans="1:2" x14ac:dyDescent="0.25">
      <c r="A83" s="2">
        <v>245.94614999999999</v>
      </c>
      <c r="B83" s="35">
        <v>-1.4038E-3</v>
      </c>
    </row>
    <row r="84" spans="1:2" x14ac:dyDescent="0.25">
      <c r="A84" s="2">
        <v>248.01955000000001</v>
      </c>
      <c r="B84" s="35">
        <v>-3.5899E-4</v>
      </c>
    </row>
    <row r="85" spans="1:2" x14ac:dyDescent="0.25">
      <c r="A85" s="2">
        <v>250.09296000000001</v>
      </c>
      <c r="B85" s="35">
        <v>2.2981999999999999E-4</v>
      </c>
    </row>
    <row r="86" spans="1:2" x14ac:dyDescent="0.25">
      <c r="A86" s="2">
        <v>252.16637</v>
      </c>
      <c r="B86" s="35">
        <v>-1.4095000000000001E-4</v>
      </c>
    </row>
    <row r="87" spans="1:2" x14ac:dyDescent="0.25">
      <c r="A87" s="2">
        <v>254.23978</v>
      </c>
      <c r="B87" s="35">
        <v>-3.4564000000000001E-3</v>
      </c>
    </row>
    <row r="88" spans="1:2" x14ac:dyDescent="0.25">
      <c r="A88" s="2">
        <v>256.31319000000002</v>
      </c>
      <c r="B88" s="35">
        <v>-3.7897999999999999E-3</v>
      </c>
    </row>
    <row r="89" spans="1:2" x14ac:dyDescent="0.25">
      <c r="A89" s="2">
        <v>258.38659999999999</v>
      </c>
      <c r="B89" s="35">
        <v>-3.0734999999999998E-3</v>
      </c>
    </row>
    <row r="90" spans="1:2" x14ac:dyDescent="0.25">
      <c r="A90" s="2">
        <v>260.46001000000001</v>
      </c>
      <c r="B90" s="35">
        <v>-2.4139999999999999E-3</v>
      </c>
    </row>
    <row r="91" spans="1:2" x14ac:dyDescent="0.25">
      <c r="A91" s="2">
        <v>262.53341999999998</v>
      </c>
      <c r="B91" s="35">
        <v>-1.8862E-3</v>
      </c>
    </row>
    <row r="92" spans="1:2" x14ac:dyDescent="0.25">
      <c r="A92" s="2">
        <v>264.60683</v>
      </c>
      <c r="B92" s="35">
        <v>-1.3529E-3</v>
      </c>
    </row>
    <row r="93" spans="1:2" x14ac:dyDescent="0.25">
      <c r="A93" s="2">
        <v>266.68024000000003</v>
      </c>
      <c r="B93" s="35">
        <v>-1.4012E-3</v>
      </c>
    </row>
    <row r="94" spans="1:2" x14ac:dyDescent="0.25">
      <c r="A94" s="2">
        <v>268.75364999999999</v>
      </c>
      <c r="B94" s="35">
        <v>-1.9012E-3</v>
      </c>
    </row>
    <row r="95" spans="1:2" x14ac:dyDescent="0.25">
      <c r="A95" s="2">
        <v>270.82706000000002</v>
      </c>
      <c r="B95" s="35">
        <v>-1.67E-3</v>
      </c>
    </row>
    <row r="96" spans="1:2" x14ac:dyDescent="0.25">
      <c r="A96" s="2">
        <v>272.90046000000001</v>
      </c>
      <c r="B96" s="35">
        <v>-8.7814000000000002E-4</v>
      </c>
    </row>
    <row r="97" spans="1:2" x14ac:dyDescent="0.25">
      <c r="A97" s="2">
        <v>274.97386999999998</v>
      </c>
      <c r="B97" s="35">
        <v>6.8658000000000006E-5</v>
      </c>
    </row>
    <row r="98" spans="1:2" x14ac:dyDescent="0.25">
      <c r="A98" s="2">
        <v>277.04728</v>
      </c>
      <c r="B98" s="35">
        <v>7.6769000000000002E-4</v>
      </c>
    </row>
    <row r="99" spans="1:2" x14ac:dyDescent="0.25">
      <c r="A99" s="2">
        <v>279.12069000000002</v>
      </c>
      <c r="B99" s="35">
        <v>3.6390000000000001E-4</v>
      </c>
    </row>
    <row r="100" spans="1:2" x14ac:dyDescent="0.25">
      <c r="A100" s="2">
        <v>281.19409999999999</v>
      </c>
      <c r="B100" s="35">
        <v>-2.0445000000000001E-4</v>
      </c>
    </row>
    <row r="101" spans="1:2" x14ac:dyDescent="0.25">
      <c r="A101" s="2">
        <v>283.26751000000002</v>
      </c>
      <c r="B101" s="35">
        <v>2.4287000000000001E-4</v>
      </c>
    </row>
    <row r="102" spans="1:2" x14ac:dyDescent="0.25">
      <c r="A102" s="2">
        <v>285.34091999999998</v>
      </c>
      <c r="B102" s="35">
        <v>6.5258000000000004E-4</v>
      </c>
    </row>
    <row r="103" spans="1:2" x14ac:dyDescent="0.25">
      <c r="A103" s="2">
        <v>287.41433000000001</v>
      </c>
      <c r="B103" s="35">
        <v>3.4143999999999998E-4</v>
      </c>
    </row>
    <row r="104" spans="1:2" x14ac:dyDescent="0.25">
      <c r="A104" s="2">
        <v>289.48773999999997</v>
      </c>
      <c r="B104" s="35">
        <v>-3.6936E-4</v>
      </c>
    </row>
    <row r="105" spans="1:2" x14ac:dyDescent="0.25">
      <c r="A105" s="2">
        <v>291.56115</v>
      </c>
      <c r="B105" s="35">
        <v>-9.2369000000000001E-4</v>
      </c>
    </row>
    <row r="106" spans="1:2" x14ac:dyDescent="0.25">
      <c r="A106" s="2">
        <v>293.63456000000002</v>
      </c>
      <c r="B106" s="35">
        <v>-1.2909E-3</v>
      </c>
    </row>
    <row r="107" spans="1:2" x14ac:dyDescent="0.25">
      <c r="A107" s="2">
        <v>295.70796999999999</v>
      </c>
      <c r="B107" s="35">
        <v>-1.4071999999999999E-3</v>
      </c>
    </row>
    <row r="108" spans="1:2" x14ac:dyDescent="0.25">
      <c r="A108" s="2">
        <v>297.78138000000001</v>
      </c>
      <c r="B108" s="35">
        <v>-1.2121E-3</v>
      </c>
    </row>
    <row r="109" spans="1:2" x14ac:dyDescent="0.25">
      <c r="A109" s="2">
        <v>299.85478000000001</v>
      </c>
      <c r="B109" s="35">
        <v>-6.5207999999999998E-4</v>
      </c>
    </row>
    <row r="110" spans="1:2" x14ac:dyDescent="0.25">
      <c r="A110" s="2">
        <v>301.92818999999997</v>
      </c>
      <c r="B110" s="35">
        <v>-2.4386999999999999E-5</v>
      </c>
    </row>
    <row r="111" spans="1:2" x14ac:dyDescent="0.25">
      <c r="A111" s="2">
        <v>304.0016</v>
      </c>
      <c r="B111" s="35">
        <v>9.5611000000000003E-4</v>
      </c>
    </row>
    <row r="112" spans="1:2" x14ac:dyDescent="0.25">
      <c r="A112" s="2">
        <v>306.07501000000002</v>
      </c>
      <c r="B112" s="35">
        <v>2.3300999999999999E-3</v>
      </c>
    </row>
    <row r="113" spans="1:2" x14ac:dyDescent="0.25">
      <c r="A113" s="2">
        <v>308.14841999999999</v>
      </c>
      <c r="B113" s="35">
        <v>3.3877E-3</v>
      </c>
    </row>
    <row r="114" spans="1:2" x14ac:dyDescent="0.25">
      <c r="A114" s="2">
        <v>310.22183000000001</v>
      </c>
      <c r="B114" s="35">
        <v>4.9237999999999999E-3</v>
      </c>
    </row>
    <row r="115" spans="1:2" x14ac:dyDescent="0.25">
      <c r="A115" s="2">
        <v>312.29523999999998</v>
      </c>
      <c r="B115" s="35">
        <v>6.7739000000000002E-3</v>
      </c>
    </row>
    <row r="116" spans="1:2" x14ac:dyDescent="0.25">
      <c r="A116" s="2">
        <v>314.36865</v>
      </c>
      <c r="B116" s="35">
        <v>9.3147999999999998E-3</v>
      </c>
    </row>
    <row r="117" spans="1:2" x14ac:dyDescent="0.25">
      <c r="A117" s="2">
        <v>316.44206000000003</v>
      </c>
      <c r="B117" s="35">
        <v>1.1592999999999999E-2</v>
      </c>
    </row>
    <row r="118" spans="1:2" x14ac:dyDescent="0.25">
      <c r="A118" s="2">
        <v>318.51546999999999</v>
      </c>
      <c r="B118" s="35">
        <v>1.4577E-2</v>
      </c>
    </row>
    <row r="119" spans="1:2" x14ac:dyDescent="0.25">
      <c r="A119" s="2">
        <v>320.58888000000002</v>
      </c>
      <c r="B119" s="35">
        <v>1.7627E-2</v>
      </c>
    </row>
    <row r="120" spans="1:2" x14ac:dyDescent="0.25">
      <c r="A120" s="2">
        <v>322.66228999999998</v>
      </c>
      <c r="B120" s="35">
        <v>2.0802000000000001E-2</v>
      </c>
    </row>
    <row r="121" spans="1:2" x14ac:dyDescent="0.25">
      <c r="A121" s="2">
        <v>324.73570000000001</v>
      </c>
      <c r="B121" s="35">
        <v>2.2173999999999999E-2</v>
      </c>
    </row>
    <row r="122" spans="1:2" x14ac:dyDescent="0.25">
      <c r="A122" s="2">
        <v>326.8091</v>
      </c>
      <c r="B122" s="35">
        <v>2.2442E-2</v>
      </c>
    </row>
    <row r="123" spans="1:2" x14ac:dyDescent="0.25">
      <c r="A123" s="2">
        <v>328.88251000000002</v>
      </c>
      <c r="B123" s="35">
        <v>2.2075999999999998E-2</v>
      </c>
    </row>
    <row r="124" spans="1:2" x14ac:dyDescent="0.25">
      <c r="A124" s="2">
        <v>330.95591999999999</v>
      </c>
      <c r="B124" s="35">
        <v>2.1378999999999999E-2</v>
      </c>
    </row>
    <row r="125" spans="1:2" x14ac:dyDescent="0.25">
      <c r="A125" s="2">
        <v>333.02933000000002</v>
      </c>
      <c r="B125" s="35">
        <v>2.1089E-2</v>
      </c>
    </row>
    <row r="126" spans="1:2" x14ac:dyDescent="0.25">
      <c r="A126" s="2">
        <v>335.10273999999998</v>
      </c>
      <c r="B126" s="35">
        <v>2.0761999999999999E-2</v>
      </c>
    </row>
    <row r="127" spans="1:2" x14ac:dyDescent="0.25">
      <c r="A127" s="2">
        <v>337.17615000000001</v>
      </c>
      <c r="B127" s="35">
        <v>2.069E-2</v>
      </c>
    </row>
    <row r="128" spans="1:2" x14ac:dyDescent="0.25">
      <c r="A128" s="2">
        <v>339.24955999999997</v>
      </c>
      <c r="B128" s="35">
        <v>2.1392000000000001E-2</v>
      </c>
    </row>
    <row r="129" spans="1:2" x14ac:dyDescent="0.25">
      <c r="A129" s="2">
        <v>341.32297</v>
      </c>
      <c r="B129" s="35">
        <v>2.2034999999999999E-2</v>
      </c>
    </row>
    <row r="130" spans="1:2" x14ac:dyDescent="0.25">
      <c r="A130" s="2">
        <v>343.39638000000002</v>
      </c>
      <c r="B130" s="35">
        <v>2.2877000000000002E-2</v>
      </c>
    </row>
    <row r="131" spans="1:2" x14ac:dyDescent="0.25">
      <c r="A131" s="2">
        <v>345.46978999999999</v>
      </c>
      <c r="B131" s="35">
        <v>2.2953000000000001E-2</v>
      </c>
    </row>
    <row r="132" spans="1:2" x14ac:dyDescent="0.25">
      <c r="A132" s="2">
        <v>347.54320000000001</v>
      </c>
      <c r="B132" s="35">
        <v>2.2362E-2</v>
      </c>
    </row>
    <row r="133" spans="1:2" x14ac:dyDescent="0.25">
      <c r="A133" s="2">
        <v>349.61660999999998</v>
      </c>
      <c r="B133" s="35">
        <v>2.1454000000000001E-2</v>
      </c>
    </row>
    <row r="134" spans="1:2" x14ac:dyDescent="0.25">
      <c r="A134" s="2">
        <v>351.69000999999997</v>
      </c>
      <c r="B134" s="35">
        <v>2.0941000000000001E-2</v>
      </c>
    </row>
    <row r="135" spans="1:2" x14ac:dyDescent="0.25">
      <c r="A135" s="2">
        <v>353.76342</v>
      </c>
      <c r="B135" s="35">
        <v>2.0534E-2</v>
      </c>
    </row>
    <row r="136" spans="1:2" x14ac:dyDescent="0.25">
      <c r="A136" s="2">
        <v>355.83683000000002</v>
      </c>
      <c r="B136" s="35">
        <v>2.0129999999999999E-2</v>
      </c>
    </row>
    <row r="137" spans="1:2" x14ac:dyDescent="0.25">
      <c r="A137" s="2">
        <v>357.91023999999999</v>
      </c>
      <c r="B137" s="35">
        <v>1.9737000000000001E-2</v>
      </c>
    </row>
    <row r="138" spans="1:2" x14ac:dyDescent="0.25">
      <c r="A138" s="2">
        <v>359.98365000000001</v>
      </c>
      <c r="B138" s="35">
        <v>1.8452E-2</v>
      </c>
    </row>
    <row r="139" spans="1:2" x14ac:dyDescent="0.25">
      <c r="A139" s="2">
        <v>362.05705999999998</v>
      </c>
      <c r="B139" s="35">
        <v>1.6028000000000001E-2</v>
      </c>
    </row>
    <row r="140" spans="1:2" x14ac:dyDescent="0.25">
      <c r="A140" s="2">
        <v>364.13047</v>
      </c>
      <c r="B140" s="35">
        <v>1.3504E-2</v>
      </c>
    </row>
    <row r="141" spans="1:2" x14ac:dyDescent="0.25">
      <c r="A141" s="2">
        <v>366.20388000000003</v>
      </c>
      <c r="B141" s="35">
        <v>1.0876E-2</v>
      </c>
    </row>
    <row r="142" spans="1:2" x14ac:dyDescent="0.25">
      <c r="A142" s="2">
        <v>368.27728999999999</v>
      </c>
      <c r="B142" s="35">
        <v>1.0087E-2</v>
      </c>
    </row>
    <row r="143" spans="1:2" x14ac:dyDescent="0.25">
      <c r="A143" s="2">
        <v>370.35070000000002</v>
      </c>
      <c r="B143" s="35">
        <v>1.5138E-2</v>
      </c>
    </row>
    <row r="144" spans="1:2" x14ac:dyDescent="0.25">
      <c r="A144" s="2">
        <v>372.42410999999998</v>
      </c>
      <c r="B144" s="35">
        <v>2.0508999999999999E-2</v>
      </c>
    </row>
    <row r="145" spans="1:2" x14ac:dyDescent="0.25">
      <c r="A145" s="2">
        <v>374.49752000000001</v>
      </c>
      <c r="B145" s="35">
        <v>2.3071000000000001E-2</v>
      </c>
    </row>
    <row r="146" spans="1:2" x14ac:dyDescent="0.25">
      <c r="A146" s="2">
        <v>376.57092999999998</v>
      </c>
      <c r="B146" s="35">
        <v>2.4261999999999999E-2</v>
      </c>
    </row>
    <row r="147" spans="1:2" x14ac:dyDescent="0.25">
      <c r="A147" s="2">
        <v>378.64433000000002</v>
      </c>
      <c r="B147" s="35">
        <v>2.5409000000000001E-2</v>
      </c>
    </row>
    <row r="148" spans="1:2" x14ac:dyDescent="0.25">
      <c r="A148" s="2">
        <v>380.71773999999999</v>
      </c>
      <c r="B148" s="35">
        <v>2.6655999999999999E-2</v>
      </c>
    </row>
    <row r="149" spans="1:2" x14ac:dyDescent="0.25">
      <c r="A149" s="2">
        <v>382.79115000000002</v>
      </c>
      <c r="B149" s="35">
        <v>2.7541E-2</v>
      </c>
    </row>
    <row r="150" spans="1:2" x14ac:dyDescent="0.25">
      <c r="A150" s="2">
        <v>384.86455999999998</v>
      </c>
      <c r="B150" s="35">
        <v>2.7906E-2</v>
      </c>
    </row>
    <row r="151" spans="1:2" x14ac:dyDescent="0.25">
      <c r="A151" s="2">
        <v>386.93797000000001</v>
      </c>
      <c r="B151" s="35">
        <v>2.8284E-2</v>
      </c>
    </row>
    <row r="152" spans="1:2" x14ac:dyDescent="0.25">
      <c r="A152" s="2">
        <v>389.01137999999997</v>
      </c>
      <c r="B152" s="35">
        <v>2.9002E-2</v>
      </c>
    </row>
    <row r="153" spans="1:2" x14ac:dyDescent="0.25">
      <c r="A153" s="2">
        <v>391.08479</v>
      </c>
      <c r="B153" s="35">
        <v>2.9845E-2</v>
      </c>
    </row>
    <row r="154" spans="1:2" x14ac:dyDescent="0.25">
      <c r="A154" s="2">
        <v>393.15820000000002</v>
      </c>
      <c r="B154" s="35">
        <v>3.0657E-2</v>
      </c>
    </row>
    <row r="155" spans="1:2" x14ac:dyDescent="0.25">
      <c r="A155" s="2">
        <v>395.23160999999999</v>
      </c>
      <c r="B155" s="35">
        <v>3.1799000000000001E-2</v>
      </c>
    </row>
    <row r="156" spans="1:2" x14ac:dyDescent="0.25">
      <c r="A156" s="2">
        <v>397.30502000000001</v>
      </c>
      <c r="B156" s="35">
        <v>3.2411000000000002E-2</v>
      </c>
    </row>
    <row r="157" spans="1:2" x14ac:dyDescent="0.25">
      <c r="A157" s="2">
        <v>399.37842999999998</v>
      </c>
      <c r="B157" s="35">
        <v>3.3244999999999997E-2</v>
      </c>
    </row>
    <row r="158" spans="1:2" x14ac:dyDescent="0.25">
      <c r="A158" s="2">
        <v>401.45184</v>
      </c>
      <c r="B158" s="35">
        <v>3.3774999999999999E-2</v>
      </c>
    </row>
    <row r="159" spans="1:2" x14ac:dyDescent="0.25">
      <c r="A159" s="2">
        <v>403.52524</v>
      </c>
      <c r="B159" s="35">
        <v>3.3782E-2</v>
      </c>
    </row>
    <row r="160" spans="1:2" x14ac:dyDescent="0.25">
      <c r="A160" s="2">
        <v>405.59865000000002</v>
      </c>
      <c r="B160" s="35">
        <v>3.3091000000000002E-2</v>
      </c>
    </row>
    <row r="161" spans="1:2" x14ac:dyDescent="0.25">
      <c r="A161" s="2">
        <v>407.67205999999999</v>
      </c>
      <c r="B161" s="35">
        <v>3.0720999999999998E-2</v>
      </c>
    </row>
    <row r="162" spans="1:2" x14ac:dyDescent="0.25">
      <c r="A162" s="2">
        <v>409.74547000000001</v>
      </c>
      <c r="B162" s="35">
        <v>2.6116E-2</v>
      </c>
    </row>
    <row r="163" spans="1:2" x14ac:dyDescent="0.25">
      <c r="A163" s="2">
        <v>411.81887999999998</v>
      </c>
      <c r="B163" s="35">
        <v>1.8658999999999999E-2</v>
      </c>
    </row>
    <row r="164" spans="1:2" x14ac:dyDescent="0.25">
      <c r="A164" s="2">
        <v>413.89229</v>
      </c>
      <c r="B164" s="35">
        <v>1.1646999999999999E-2</v>
      </c>
    </row>
    <row r="165" spans="1:2" x14ac:dyDescent="0.25">
      <c r="A165" s="2">
        <v>415.96570000000003</v>
      </c>
      <c r="B165" s="35">
        <v>1.3672E-2</v>
      </c>
    </row>
    <row r="166" spans="1:2" x14ac:dyDescent="0.25">
      <c r="A166" s="2">
        <v>418.03910999999999</v>
      </c>
      <c r="B166" s="35">
        <v>2.1013E-2</v>
      </c>
    </row>
    <row r="167" spans="1:2" x14ac:dyDescent="0.25">
      <c r="A167" s="2">
        <v>420.11252000000002</v>
      </c>
      <c r="B167" s="35">
        <v>2.7303999999999998E-2</v>
      </c>
    </row>
    <row r="168" spans="1:2" x14ac:dyDescent="0.25">
      <c r="A168" s="2">
        <v>422.18592999999998</v>
      </c>
      <c r="B168" s="35">
        <v>3.1760999999999998E-2</v>
      </c>
    </row>
    <row r="169" spans="1:2" x14ac:dyDescent="0.25">
      <c r="A169" s="2">
        <v>424.25934000000001</v>
      </c>
      <c r="B169" s="35">
        <v>3.3765000000000003E-2</v>
      </c>
    </row>
    <row r="170" spans="1:2" x14ac:dyDescent="0.25">
      <c r="A170" s="2">
        <v>426.33274999999998</v>
      </c>
      <c r="B170" s="35">
        <v>3.4438999999999997E-2</v>
      </c>
    </row>
    <row r="171" spans="1:2" x14ac:dyDescent="0.25">
      <c r="A171" s="2">
        <v>428.40616</v>
      </c>
      <c r="B171" s="35">
        <v>3.3723999999999997E-2</v>
      </c>
    </row>
    <row r="172" spans="1:2" x14ac:dyDescent="0.25">
      <c r="A172" s="2">
        <v>430.47955999999999</v>
      </c>
      <c r="B172" s="35">
        <v>3.4322999999999999E-2</v>
      </c>
    </row>
    <row r="173" spans="1:2" x14ac:dyDescent="0.25">
      <c r="A173" s="2">
        <v>432.55297000000002</v>
      </c>
      <c r="B173" s="35">
        <v>3.3305000000000001E-2</v>
      </c>
    </row>
    <row r="174" spans="1:2" x14ac:dyDescent="0.25">
      <c r="A174" s="2">
        <v>434.62637999999998</v>
      </c>
      <c r="B174" s="35">
        <v>2.5937999999999999E-2</v>
      </c>
    </row>
    <row r="175" spans="1:2" x14ac:dyDescent="0.25">
      <c r="A175" s="2">
        <v>436.69979000000001</v>
      </c>
      <c r="B175" s="35">
        <v>1.6688999999999999E-2</v>
      </c>
    </row>
    <row r="176" spans="1:2" x14ac:dyDescent="0.25">
      <c r="A176" s="2">
        <v>438.77319999999997</v>
      </c>
      <c r="B176" s="35">
        <v>1.0517E-2</v>
      </c>
    </row>
    <row r="177" spans="1:2" x14ac:dyDescent="0.25">
      <c r="A177" s="2">
        <v>440.84661</v>
      </c>
      <c r="B177" s="35">
        <v>3.8398999999999998E-3</v>
      </c>
    </row>
    <row r="178" spans="1:2" x14ac:dyDescent="0.25">
      <c r="A178" s="2">
        <v>442.92002000000002</v>
      </c>
      <c r="B178" s="35">
        <v>-3.5831999999999999E-3</v>
      </c>
    </row>
    <row r="179" spans="1:2" x14ac:dyDescent="0.25">
      <c r="A179" s="2">
        <v>444.99342999999999</v>
      </c>
      <c r="B179" s="35">
        <v>-1.3009E-2</v>
      </c>
    </row>
    <row r="180" spans="1:2" x14ac:dyDescent="0.25">
      <c r="A180" s="2">
        <v>447.06684000000001</v>
      </c>
      <c r="B180" s="35">
        <v>-2.2519000000000001E-2</v>
      </c>
    </row>
    <row r="181" spans="1:2" x14ac:dyDescent="0.25">
      <c r="A181" s="2">
        <v>449.14024999999998</v>
      </c>
      <c r="B181" s="35">
        <v>-3.1684999999999998E-2</v>
      </c>
    </row>
    <row r="182" spans="1:2" x14ac:dyDescent="0.25">
      <c r="A182" s="2">
        <v>451.21366</v>
      </c>
      <c r="B182" s="35">
        <v>-4.2206E-2</v>
      </c>
    </row>
    <row r="183" spans="1:2" x14ac:dyDescent="0.25">
      <c r="A183" s="2">
        <v>453.28707000000003</v>
      </c>
      <c r="B183" s="35">
        <v>-5.5406999999999998E-2</v>
      </c>
    </row>
    <row r="184" spans="1:2" x14ac:dyDescent="0.25">
      <c r="A184" s="2">
        <v>455.36047000000002</v>
      </c>
      <c r="B184" s="35">
        <v>-7.1279999999999996E-2</v>
      </c>
    </row>
    <row r="185" spans="1:2" x14ac:dyDescent="0.25">
      <c r="A185" s="2">
        <v>457.43387999999999</v>
      </c>
      <c r="B185" s="35">
        <v>-8.7263999999999994E-2</v>
      </c>
    </row>
    <row r="186" spans="1:2" x14ac:dyDescent="0.25">
      <c r="A186" s="2">
        <v>459.50729000000001</v>
      </c>
      <c r="B186" s="2">
        <v>-0.10074</v>
      </c>
    </row>
    <row r="187" spans="1:2" x14ac:dyDescent="0.25">
      <c r="A187" s="2">
        <v>461.58069999999998</v>
      </c>
      <c r="B187" s="2">
        <v>-0.1074</v>
      </c>
    </row>
    <row r="188" spans="1:2" x14ac:dyDescent="0.25">
      <c r="A188" s="2">
        <v>463.65411</v>
      </c>
      <c r="B188" s="2">
        <v>-0.10607999999999999</v>
      </c>
    </row>
    <row r="189" spans="1:2" x14ac:dyDescent="0.25">
      <c r="A189" s="2">
        <v>465.72752000000003</v>
      </c>
      <c r="B189" s="35">
        <v>-9.8447000000000007E-2</v>
      </c>
    </row>
    <row r="190" spans="1:2" x14ac:dyDescent="0.25">
      <c r="A190" s="2">
        <v>467.80092999999999</v>
      </c>
      <c r="B190" s="35">
        <v>-8.6611999999999995E-2</v>
      </c>
    </row>
    <row r="191" spans="1:2" x14ac:dyDescent="0.25">
      <c r="A191" s="2">
        <v>469.87434000000002</v>
      </c>
      <c r="B191" s="35">
        <v>-7.0509000000000002E-2</v>
      </c>
    </row>
    <row r="192" spans="1:2" x14ac:dyDescent="0.25">
      <c r="A192" s="2">
        <v>471.94774999999998</v>
      </c>
      <c r="B192" s="35">
        <v>-5.4210000000000001E-2</v>
      </c>
    </row>
    <row r="193" spans="1:2" x14ac:dyDescent="0.25">
      <c r="A193" s="2">
        <v>474.02116000000001</v>
      </c>
      <c r="B193" s="35">
        <v>-3.7939000000000001E-2</v>
      </c>
    </row>
    <row r="194" spans="1:2" x14ac:dyDescent="0.25">
      <c r="A194" s="2">
        <v>476.09456999999998</v>
      </c>
      <c r="B194" s="35">
        <v>-2.3976000000000001E-2</v>
      </c>
    </row>
    <row r="195" spans="1:2" x14ac:dyDescent="0.25">
      <c r="A195" s="2">
        <v>478.16798</v>
      </c>
      <c r="B195" s="35">
        <v>-1.2618000000000001E-2</v>
      </c>
    </row>
    <row r="196" spans="1:2" x14ac:dyDescent="0.25">
      <c r="A196" s="2">
        <v>480.24139000000002</v>
      </c>
      <c r="B196" s="35">
        <v>-2.8376999999999999E-3</v>
      </c>
    </row>
    <row r="197" spans="1:2" x14ac:dyDescent="0.25">
      <c r="A197" s="2">
        <v>482.31479000000002</v>
      </c>
      <c r="B197" s="35">
        <v>4.6141000000000003E-3</v>
      </c>
    </row>
    <row r="198" spans="1:2" x14ac:dyDescent="0.25">
      <c r="A198" s="2">
        <v>484.38819999999998</v>
      </c>
      <c r="B198" s="35">
        <v>1.0253E-2</v>
      </c>
    </row>
    <row r="199" spans="1:2" x14ac:dyDescent="0.25">
      <c r="A199" s="2">
        <v>486.46161000000001</v>
      </c>
      <c r="B199" s="35">
        <v>1.5035E-2</v>
      </c>
    </row>
    <row r="200" spans="1:2" x14ac:dyDescent="0.25">
      <c r="A200" s="2">
        <v>488.53501999999997</v>
      </c>
      <c r="B200" s="35">
        <v>1.9606999999999999E-2</v>
      </c>
    </row>
    <row r="201" spans="1:2" x14ac:dyDescent="0.25">
      <c r="A201" s="2">
        <v>490.60843</v>
      </c>
      <c r="B201" s="35">
        <v>2.2721000000000002E-2</v>
      </c>
    </row>
    <row r="202" spans="1:2" x14ac:dyDescent="0.25">
      <c r="A202" s="2">
        <v>492.68184000000002</v>
      </c>
      <c r="B202" s="35">
        <v>2.2889E-2</v>
      </c>
    </row>
    <row r="203" spans="1:2" x14ac:dyDescent="0.25">
      <c r="A203" s="2">
        <v>494.75524999999999</v>
      </c>
      <c r="B203" s="35">
        <v>2.3549E-2</v>
      </c>
    </row>
    <row r="204" spans="1:2" x14ac:dyDescent="0.25">
      <c r="A204" s="2">
        <v>496.82866000000001</v>
      </c>
      <c r="B204" s="35">
        <v>2.4455999999999999E-2</v>
      </c>
    </row>
    <row r="205" spans="1:2" x14ac:dyDescent="0.25">
      <c r="A205" s="2">
        <v>498.90206999999998</v>
      </c>
      <c r="B205" s="35">
        <v>2.5031000000000001E-2</v>
      </c>
    </row>
    <row r="206" spans="1:2" x14ac:dyDescent="0.25">
      <c r="A206" s="2">
        <v>500.97548</v>
      </c>
      <c r="B206" s="35">
        <v>2.5138000000000001E-2</v>
      </c>
    </row>
    <row r="207" spans="1:2" x14ac:dyDescent="0.25">
      <c r="A207" s="2">
        <v>503.04888999999997</v>
      </c>
      <c r="B207" s="35">
        <v>2.5266E-2</v>
      </c>
    </row>
    <row r="208" spans="1:2" x14ac:dyDescent="0.25">
      <c r="A208" s="2">
        <v>505.1223</v>
      </c>
      <c r="B208" s="35">
        <v>2.5977E-2</v>
      </c>
    </row>
    <row r="209" spans="1:2" x14ac:dyDescent="0.25">
      <c r="A209" s="2">
        <v>507.19569999999999</v>
      </c>
      <c r="B209" s="35">
        <v>2.6904000000000001E-2</v>
      </c>
    </row>
    <row r="210" spans="1:2" x14ac:dyDescent="0.25">
      <c r="A210" s="2">
        <v>509.26911000000001</v>
      </c>
      <c r="B210" s="35">
        <v>2.7431000000000001E-2</v>
      </c>
    </row>
    <row r="211" spans="1:2" x14ac:dyDescent="0.25">
      <c r="A211" s="2">
        <v>511.34251999999998</v>
      </c>
      <c r="B211" s="35">
        <v>2.7965E-2</v>
      </c>
    </row>
    <row r="212" spans="1:2" x14ac:dyDescent="0.25">
      <c r="A212" s="2">
        <v>513.41593</v>
      </c>
      <c r="B212" s="35">
        <v>2.9020000000000001E-2</v>
      </c>
    </row>
    <row r="213" spans="1:2" x14ac:dyDescent="0.25">
      <c r="A213" s="2">
        <v>515.48933999999997</v>
      </c>
      <c r="B213" s="35">
        <v>3.1153E-2</v>
      </c>
    </row>
    <row r="214" spans="1:2" x14ac:dyDescent="0.25">
      <c r="A214" s="2">
        <v>517.56275000000005</v>
      </c>
      <c r="B214" s="35">
        <v>3.3321000000000003E-2</v>
      </c>
    </row>
    <row r="215" spans="1:2" x14ac:dyDescent="0.25">
      <c r="A215" s="2">
        <v>519.63616000000002</v>
      </c>
      <c r="B215" s="35">
        <v>3.7428999999999997E-2</v>
      </c>
    </row>
    <row r="216" spans="1:2" x14ac:dyDescent="0.25">
      <c r="A216" s="2">
        <v>521.70956999999999</v>
      </c>
      <c r="B216" s="35">
        <v>4.5753000000000002E-2</v>
      </c>
    </row>
    <row r="217" spans="1:2" x14ac:dyDescent="0.25">
      <c r="A217" s="2">
        <v>523.78297999999995</v>
      </c>
      <c r="B217" s="35">
        <v>6.3245999999999997E-2</v>
      </c>
    </row>
    <row r="218" spans="1:2" x14ac:dyDescent="0.25">
      <c r="A218" s="2">
        <v>525.85639000000003</v>
      </c>
      <c r="B218" s="35">
        <v>9.5348000000000002E-2</v>
      </c>
    </row>
    <row r="219" spans="1:2" x14ac:dyDescent="0.25">
      <c r="A219" s="2">
        <v>527.9298</v>
      </c>
      <c r="B219" s="2">
        <v>0.10724</v>
      </c>
    </row>
    <row r="220" spans="1:2" x14ac:dyDescent="0.25">
      <c r="A220" s="2">
        <v>530.00320999999997</v>
      </c>
      <c r="B220" s="35">
        <v>8.5355E-2</v>
      </c>
    </row>
    <row r="221" spans="1:2" x14ac:dyDescent="0.25">
      <c r="A221" s="2">
        <v>532.07662000000005</v>
      </c>
      <c r="B221" s="35">
        <v>8.7378999999999998E-2</v>
      </c>
    </row>
    <row r="222" spans="1:2" x14ac:dyDescent="0.25">
      <c r="A222" s="2">
        <v>534.15002000000004</v>
      </c>
      <c r="B222" s="2">
        <v>0.13400999999999999</v>
      </c>
    </row>
    <row r="223" spans="1:2" x14ac:dyDescent="0.25">
      <c r="A223" s="9"/>
    </row>
    <row r="224" spans="1:2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20-20-60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cp:lastPrinted>2021-03-16T21:06:32Z</cp:lastPrinted>
  <dcterms:created xsi:type="dcterms:W3CDTF">2015-06-05T18:17:20Z</dcterms:created>
  <dcterms:modified xsi:type="dcterms:W3CDTF">2021-03-21T12:09:51Z</dcterms:modified>
</cp:coreProperties>
</file>