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642A2E6B-9FD1-457A-BD4C-DAF9B6918A89}" xr6:coauthVersionLast="46" xr6:coauthVersionMax="46" xr10:uidLastSave="{00000000-0000-0000-0000-000000000000}"/>
  <bookViews>
    <workbookView xWindow="2868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  <sheet name="S" sheetId="13" r:id="rId7"/>
    <sheet name="F" sheetId="14" r:id="rId8"/>
    <sheet name="A" sheetId="15" r:id="rId9"/>
    <sheet name="A2" sheetId="16" r:id="rId10"/>
  </sheets>
  <functionGroups builtInGroupCount="19"/>
  <externalReferences>
    <externalReference r:id="rId11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4" l="1"/>
  <c r="C41" i="4"/>
  <c r="D41" i="4"/>
  <c r="A41" i="4"/>
  <c r="D34" i="11" l="1"/>
  <c r="D35" i="11"/>
  <c r="D36" i="11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D41" i="12" a="1"/>
  <c r="D41" i="12" s="1"/>
  <c r="C41" i="12" a="1"/>
  <c r="C41" i="12" s="1"/>
  <c r="B41" i="12" a="1"/>
  <c r="B41" i="12" s="1"/>
  <c r="A41" i="12" a="1"/>
  <c r="A41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D41" i="11" a="1"/>
  <c r="D41" i="11" s="1"/>
  <c r="C41" i="11" a="1"/>
  <c r="C41" i="11" s="1"/>
  <c r="B41" i="11" a="1"/>
  <c r="B41" i="11" s="1"/>
  <c r="A41" i="11" a="1"/>
  <c r="A41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AK36" i="11"/>
  <c r="AJ35" i="11"/>
  <c r="AE34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B2" i="2"/>
  <c r="B1" i="2" s="1"/>
  <c r="A2" i="11" s="1"/>
  <c r="A114" i="11" s="1"/>
  <c r="A115" i="11" s="1"/>
  <c r="A22" i="7"/>
  <c r="A2" i="12" l="1"/>
  <c r="A114" i="12" s="1"/>
  <c r="A115" i="12" s="1"/>
  <c r="A49" i="8"/>
  <c r="A58" i="8"/>
  <c r="A57" i="8"/>
  <c r="AC36" i="12"/>
  <c r="A50" i="8"/>
  <c r="A42" i="8"/>
  <c r="BA3" i="12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Q106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W91" i="12"/>
  <c r="W83" i="12"/>
  <c r="AF92" i="12"/>
  <c r="M105" i="12"/>
  <c r="I90" i="12"/>
  <c r="S82" i="12"/>
  <c r="X90" i="12"/>
  <c r="F84" i="12"/>
  <c r="Y96" i="12"/>
  <c r="K83" i="12"/>
  <c r="S97" i="12"/>
  <c r="X91" i="12"/>
  <c r="Z86" i="12"/>
  <c r="AD83" i="12"/>
  <c r="N94" i="12"/>
  <c r="AL86" i="12"/>
  <c r="W84" i="12"/>
  <c r="G82" i="12"/>
  <c r="I97" i="12"/>
  <c r="Z85" i="12"/>
  <c r="T81" i="12"/>
  <c r="U95" i="12"/>
  <c r="N90" i="12"/>
  <c r="U87" i="12"/>
  <c r="Y80" i="12"/>
  <c r="AD90" i="12"/>
  <c r="AG87" i="12"/>
  <c r="M85" i="12"/>
  <c r="AJ82" i="12"/>
  <c r="G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U104" i="11"/>
  <c r="X102" i="11"/>
  <c r="M101" i="11"/>
  <c r="AG96" i="11"/>
  <c r="S106" i="11"/>
  <c r="S94" i="11"/>
  <c r="AF93" i="11"/>
  <c r="U84" i="11"/>
  <c r="P101" i="11"/>
  <c r="AF103" i="11"/>
  <c r="W94" i="11"/>
  <c r="Q91" i="11"/>
  <c r="S88" i="11"/>
  <c r="M85" i="11"/>
  <c r="H101" i="11"/>
  <c r="N94" i="11"/>
  <c r="H91" i="11"/>
  <c r="Z88" i="11"/>
  <c r="N86" i="11"/>
  <c r="X83" i="11"/>
  <c r="F108" i="11"/>
  <c r="W98" i="11"/>
  <c r="M94" i="11"/>
  <c r="O91" i="11"/>
  <c r="K89" i="11"/>
  <c r="G87" i="11"/>
  <c r="K85" i="11"/>
  <c r="G83" i="11"/>
  <c r="AJ107" i="11"/>
  <c r="F100" i="11"/>
  <c r="V95" i="11"/>
  <c r="R93" i="11"/>
  <c r="V91" i="11"/>
  <c r="Z89" i="11"/>
  <c r="AD87" i="11"/>
  <c r="AH85" i="11"/>
  <c r="AL83" i="11"/>
  <c r="AJ92" i="11"/>
  <c r="T84" i="11"/>
  <c r="AL80" i="11"/>
  <c r="P89" i="11"/>
  <c r="AF82" i="11"/>
  <c r="M80" i="11"/>
  <c r="AF86" i="11"/>
  <c r="Z81" i="11"/>
  <c r="V92" i="11"/>
  <c r="AL84" i="11"/>
  <c r="AI80" i="11"/>
  <c r="AL89" i="11"/>
  <c r="Z82" i="11"/>
  <c r="J80" i="11"/>
  <c r="L87" i="11"/>
  <c r="AH81" i="11"/>
  <c r="L92" i="11"/>
  <c r="AB84" i="11"/>
  <c r="AF80" i="11"/>
  <c r="G80" i="11"/>
  <c r="V84" i="11"/>
  <c r="AI82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AD88" i="11" l="1"/>
  <c r="L91" i="11"/>
  <c r="G82" i="11"/>
  <c r="J81" i="11"/>
  <c r="V85" i="11"/>
  <c r="F93" i="11"/>
  <c r="J82" i="11"/>
  <c r="F88" i="11"/>
  <c r="R80" i="11"/>
  <c r="T83" i="11"/>
  <c r="AF90" i="11"/>
  <c r="M81" i="11"/>
  <c r="AF85" i="11"/>
  <c r="P93" i="11"/>
  <c r="O82" i="11"/>
  <c r="Z87" i="11"/>
  <c r="U80" i="11"/>
  <c r="J83" i="11"/>
  <c r="J90" i="11"/>
  <c r="H81" i="11"/>
  <c r="N85" i="11"/>
  <c r="T82" i="11"/>
  <c r="H84" i="11"/>
  <c r="L86" i="11"/>
  <c r="AL87" i="11"/>
  <c r="AH89" i="11"/>
  <c r="AD91" i="11"/>
  <c r="Z93" i="11"/>
  <c r="AL95" i="11"/>
  <c r="AL100" i="11"/>
  <c r="S81" i="11"/>
  <c r="O83" i="11"/>
  <c r="S85" i="11"/>
  <c r="O87" i="11"/>
  <c r="S89" i="11"/>
  <c r="AE91" i="11"/>
  <c r="U94" i="11"/>
  <c r="P99" i="11"/>
  <c r="AB81" i="11"/>
  <c r="AF83" i="11"/>
  <c r="V86" i="11"/>
  <c r="L89" i="11"/>
  <c r="AF91" i="11"/>
  <c r="AD94" i="11"/>
  <c r="AH102" i="11"/>
  <c r="U85" i="11"/>
  <c r="AA88" i="11"/>
  <c r="K92" i="11"/>
  <c r="L95" i="11"/>
  <c r="T105" i="11"/>
  <c r="AJ103" i="11"/>
  <c r="AE85" i="11"/>
  <c r="AA96" i="11"/>
  <c r="X97" i="11"/>
  <c r="O108" i="11"/>
  <c r="AK98" i="11"/>
  <c r="I103" i="11"/>
  <c r="AB104" i="11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M102" i="11"/>
  <c r="I100" i="11"/>
  <c r="M98" i="11"/>
  <c r="I96" i="11"/>
  <c r="H108" i="11"/>
  <c r="T106" i="11"/>
  <c r="P104" i="11"/>
  <c r="AB102" i="11"/>
  <c r="X100" i="11"/>
  <c r="AJ98" i="11"/>
  <c r="AC107" i="11"/>
  <c r="Y105" i="11"/>
  <c r="AC103" i="11"/>
  <c r="Y101" i="11"/>
  <c r="AC99" i="11"/>
  <c r="Y97" i="11"/>
  <c r="AC95" i="11"/>
  <c r="V102" i="11"/>
  <c r="N96" i="11"/>
  <c r="Y93" i="11"/>
  <c r="AC91" i="11"/>
  <c r="Y89" i="11"/>
  <c r="AC87" i="11"/>
  <c r="Y85" i="11"/>
  <c r="T107" i="11"/>
  <c r="AD100" i="11"/>
  <c r="Q95" i="11"/>
  <c r="P107" i="11"/>
  <c r="AF99" i="11"/>
  <c r="P95" i="11"/>
  <c r="G93" i="11"/>
  <c r="K91" i="11"/>
  <c r="G89" i="11"/>
  <c r="K87" i="11"/>
  <c r="G85" i="11"/>
  <c r="K83" i="11"/>
  <c r="AD108" i="11"/>
  <c r="V100" i="11"/>
  <c r="AD95" i="11"/>
  <c r="V108" i="11"/>
  <c r="L101" i="11"/>
  <c r="V96" i="11"/>
  <c r="AK93" i="11"/>
  <c r="AG91" i="11"/>
  <c r="AK89" i="11"/>
  <c r="AG87" i="11"/>
  <c r="AK85" i="11"/>
  <c r="AG83" i="11"/>
  <c r="N100" i="11"/>
  <c r="Y95" i="11"/>
  <c r="AB93" i="11"/>
  <c r="X91" i="11"/>
  <c r="AJ89" i="11"/>
  <c r="AF87" i="11"/>
  <c r="F86" i="11"/>
  <c r="J84" i="11"/>
  <c r="N82" i="11"/>
  <c r="L105" i="11"/>
  <c r="F98" i="11"/>
  <c r="AC94" i="11"/>
  <c r="Y92" i="11"/>
  <c r="AC90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R81" i="11"/>
  <c r="O80" i="11"/>
  <c r="U81" i="11"/>
  <c r="P86" i="11"/>
  <c r="I80" i="11"/>
  <c r="X82" i="11"/>
  <c r="AL88" i="11"/>
  <c r="AJ84" i="11"/>
  <c r="Z91" i="11"/>
  <c r="Y81" i="11"/>
  <c r="Z86" i="11"/>
  <c r="L80" i="11"/>
  <c r="AE82" i="11"/>
  <c r="T88" i="11"/>
  <c r="AC80" i="11"/>
  <c r="Z83" i="11"/>
  <c r="AJ91" i="11"/>
  <c r="Q81" i="11"/>
  <c r="H86" i="11"/>
  <c r="AB82" i="11"/>
  <c r="P84" i="11"/>
  <c r="T86" i="11"/>
  <c r="H88" i="11"/>
  <c r="L90" i="11"/>
  <c r="AL91" i="11"/>
  <c r="AH93" i="11"/>
  <c r="P96" i="11"/>
  <c r="AF101" i="11"/>
  <c r="AA81" i="11"/>
  <c r="W83" i="11"/>
  <c r="AA85" i="11"/>
  <c r="W87" i="11"/>
  <c r="AA89" i="11"/>
  <c r="I92" i="11"/>
  <c r="AK94" i="11"/>
  <c r="J100" i="11"/>
  <c r="AJ81" i="11"/>
  <c r="R84" i="11"/>
  <c r="AD86" i="11"/>
  <c r="T89" i="11"/>
  <c r="J92" i="11"/>
  <c r="AL94" i="11"/>
  <c r="AB103" i="11"/>
  <c r="G86" i="11"/>
  <c r="M89" i="11"/>
  <c r="S92" i="11"/>
  <c r="AB95" i="11"/>
  <c r="AD93" i="11"/>
  <c r="X105" i="11"/>
  <c r="AI87" i="11"/>
  <c r="L103" i="11"/>
  <c r="AJ105" i="11"/>
  <c r="V99" i="11"/>
  <c r="AG100" i="11"/>
  <c r="M105" i="11"/>
  <c r="P106" i="11"/>
  <c r="U108" i="11"/>
  <c r="Z80" i="11"/>
  <c r="M83" i="11"/>
  <c r="P85" i="11"/>
  <c r="S82" i="11"/>
  <c r="AG81" i="11"/>
  <c r="J87" i="11"/>
  <c r="Q80" i="11"/>
  <c r="R83" i="11"/>
  <c r="AF89" i="11"/>
  <c r="AH80" i="11"/>
  <c r="AD85" i="11"/>
  <c r="T92" i="11"/>
  <c r="AL81" i="11"/>
  <c r="T87" i="11"/>
  <c r="T80" i="11"/>
  <c r="I83" i="11"/>
  <c r="N89" i="11"/>
  <c r="AK80" i="11"/>
  <c r="N84" i="11"/>
  <c r="AD92" i="11"/>
  <c r="AD81" i="11"/>
  <c r="AH87" i="11"/>
  <c r="AJ82" i="11"/>
  <c r="X84" i="11"/>
  <c r="AB86" i="11"/>
  <c r="P88" i="11"/>
  <c r="T90" i="11"/>
  <c r="H92" i="11"/>
  <c r="L94" i="11"/>
  <c r="AF96" i="11"/>
  <c r="Z102" i="11"/>
  <c r="AI81" i="11"/>
  <c r="AE83" i="11"/>
  <c r="AI85" i="11"/>
  <c r="AE87" i="11"/>
  <c r="AI89" i="11"/>
  <c r="Q92" i="11"/>
  <c r="H95" i="11"/>
  <c r="AD102" i="11"/>
  <c r="F82" i="11"/>
  <c r="Z84" i="11"/>
  <c r="H87" i="11"/>
  <c r="AB89" i="11"/>
  <c r="R92" i="11"/>
  <c r="S96" i="11"/>
  <c r="P105" i="11"/>
  <c r="O86" i="11"/>
  <c r="U89" i="11"/>
  <c r="AA92" i="11"/>
  <c r="AL96" i="11"/>
  <c r="H94" i="11"/>
  <c r="O81" i="11"/>
  <c r="AE89" i="11"/>
  <c r="O84" i="11"/>
  <c r="O96" i="11"/>
  <c r="R101" i="11"/>
  <c r="AK102" i="11"/>
  <c r="I107" i="11"/>
  <c r="T108" i="11"/>
  <c r="X89" i="11"/>
  <c r="F92" i="11"/>
  <c r="AJ87" i="11"/>
  <c r="H82" i="11"/>
  <c r="AJ88" i="11"/>
  <c r="Y80" i="11"/>
  <c r="AJ83" i="11"/>
  <c r="Z90" i="11"/>
  <c r="L81" i="11"/>
  <c r="X86" i="11"/>
  <c r="N93" i="11"/>
  <c r="L82" i="11"/>
  <c r="N88" i="11"/>
  <c r="AB80" i="11"/>
  <c r="Y83" i="11"/>
  <c r="H90" i="11"/>
  <c r="G81" i="11"/>
  <c r="H85" i="11"/>
  <c r="F80" i="11"/>
  <c r="R82" i="11"/>
  <c r="AB88" i="11"/>
  <c r="F83" i="11"/>
  <c r="AF84" i="11"/>
  <c r="AJ86" i="11"/>
  <c r="X88" i="11"/>
  <c r="AB90" i="11"/>
  <c r="P92" i="11"/>
  <c r="T94" i="11"/>
  <c r="J97" i="11"/>
  <c r="T103" i="11"/>
  <c r="M82" i="11"/>
  <c r="I84" i="11"/>
  <c r="M86" i="11"/>
  <c r="I88" i="11"/>
  <c r="M90" i="11"/>
  <c r="AG92" i="11"/>
  <c r="X95" i="11"/>
  <c r="X103" i="11"/>
  <c r="V82" i="11"/>
  <c r="AH84" i="11"/>
  <c r="P87" i="11"/>
  <c r="F90" i="11"/>
  <c r="AH92" i="11"/>
  <c r="AI96" i="11"/>
  <c r="J106" i="11"/>
  <c r="W86" i="11"/>
  <c r="G90" i="11"/>
  <c r="M93" i="11"/>
  <c r="P97" i="11"/>
  <c r="X94" i="11"/>
  <c r="AE81" i="11"/>
  <c r="AI91" i="11"/>
  <c r="S86" i="11"/>
  <c r="S98" i="11"/>
  <c r="N103" i="11"/>
  <c r="AG104" i="11"/>
  <c r="J95" i="11"/>
  <c r="U96" i="11"/>
  <c r="AE80" i="11"/>
  <c r="AC83" i="11"/>
  <c r="AF81" i="11"/>
  <c r="H80" i="11"/>
  <c r="W82" i="11"/>
  <c r="AD89" i="11"/>
  <c r="AG80" i="11"/>
  <c r="AD84" i="11"/>
  <c r="T91" i="11"/>
  <c r="X81" i="11"/>
  <c r="R87" i="11"/>
  <c r="K80" i="11"/>
  <c r="AA82" i="11"/>
  <c r="H89" i="11"/>
  <c r="AJ80" i="11"/>
  <c r="L84" i="11"/>
  <c r="AH91" i="11"/>
  <c r="P81" i="11"/>
  <c r="AH86" i="11"/>
  <c r="N80" i="11"/>
  <c r="AH82" i="11"/>
  <c r="V89" i="11"/>
  <c r="N83" i="11"/>
  <c r="J85" i="11"/>
  <c r="F87" i="11"/>
  <c r="AF88" i="11"/>
  <c r="AJ90" i="11"/>
  <c r="X92" i="11"/>
  <c r="AB94" i="11"/>
  <c r="Z97" i="11"/>
  <c r="N104" i="11"/>
  <c r="U82" i="11"/>
  <c r="Q84" i="11"/>
  <c r="U86" i="11"/>
  <c r="Q88" i="11"/>
  <c r="U90" i="11"/>
  <c r="K93" i="11"/>
  <c r="AH96" i="11"/>
  <c r="R104" i="11"/>
  <c r="AD82" i="11"/>
  <c r="T85" i="11"/>
  <c r="X87" i="11"/>
  <c r="N90" i="11"/>
  <c r="L93" i="11"/>
  <c r="M97" i="11"/>
  <c r="K84" i="11"/>
  <c r="I87" i="11"/>
  <c r="O90" i="11"/>
  <c r="U93" i="11"/>
  <c r="AF97" i="11"/>
  <c r="H96" i="11"/>
  <c r="Q82" i="11"/>
  <c r="AE93" i="11"/>
  <c r="O88" i="11"/>
  <c r="O100" i="11"/>
  <c r="J105" i="11"/>
  <c r="AK106" i="11"/>
  <c r="F97" i="11"/>
  <c r="Q98" i="11"/>
  <c r="R90" i="11"/>
  <c r="J86" i="11"/>
  <c r="P80" i="11"/>
  <c r="Q83" i="11"/>
  <c r="X90" i="11"/>
  <c r="K81" i="11"/>
  <c r="X85" i="11"/>
  <c r="N92" i="11"/>
  <c r="AK81" i="11"/>
  <c r="L88" i="11"/>
  <c r="S80" i="11"/>
  <c r="U83" i="11"/>
  <c r="AH90" i="11"/>
  <c r="F81" i="11"/>
  <c r="F85" i="11"/>
  <c r="AB92" i="11"/>
  <c r="AC81" i="11"/>
  <c r="AB87" i="11"/>
  <c r="V80" i="11"/>
  <c r="L83" i="11"/>
  <c r="P90" i="11"/>
  <c r="V83" i="11"/>
  <c r="R85" i="11"/>
  <c r="N87" i="11"/>
  <c r="J89" i="11"/>
  <c r="F91" i="11"/>
  <c r="AF92" i="11"/>
  <c r="AJ94" i="11"/>
  <c r="V98" i="11"/>
  <c r="H105" i="11"/>
  <c r="AC82" i="11"/>
  <c r="Y84" i="11"/>
  <c r="AC86" i="11"/>
  <c r="Y88" i="11"/>
  <c r="AK90" i="11"/>
  <c r="S93" i="11"/>
  <c r="L97" i="11"/>
  <c r="F106" i="11"/>
  <c r="AL82" i="11"/>
  <c r="AB85" i="11"/>
  <c r="J88" i="11"/>
  <c r="V90" i="11"/>
  <c r="AJ93" i="11"/>
  <c r="G98" i="11"/>
  <c r="S84" i="11"/>
  <c r="Q87" i="11"/>
  <c r="W90" i="11"/>
  <c r="G94" i="11"/>
  <c r="AD98" i="11"/>
  <c r="R97" i="11"/>
  <c r="S83" i="11"/>
  <c r="Z96" i="11"/>
  <c r="S90" i="11"/>
  <c r="S102" i="11"/>
  <c r="F107" i="11"/>
  <c r="AG108" i="11"/>
  <c r="AF98" i="11"/>
  <c r="U100" i="11"/>
  <c r="W80" i="11"/>
  <c r="I81" i="11"/>
  <c r="AL92" i="11"/>
  <c r="X80" i="11"/>
  <c r="AH83" i="11"/>
  <c r="R91" i="11"/>
  <c r="V81" i="11"/>
  <c r="R86" i="11"/>
  <c r="H93" i="11"/>
  <c r="K82" i="11"/>
  <c r="F89" i="11"/>
  <c r="AA80" i="11"/>
  <c r="F84" i="11"/>
  <c r="AB91" i="11"/>
  <c r="N81" i="11"/>
  <c r="AL85" i="11"/>
  <c r="V93" i="11"/>
  <c r="P82" i="11"/>
  <c r="V88" i="11"/>
  <c r="AD80" i="11"/>
  <c r="AB83" i="11"/>
  <c r="J91" i="11"/>
  <c r="AD83" i="11"/>
  <c r="Z85" i="11"/>
  <c r="V87" i="11"/>
  <c r="R89" i="11"/>
  <c r="N91" i="11"/>
  <c r="J93" i="11"/>
  <c r="F95" i="11"/>
  <c r="L99" i="11"/>
  <c r="AH106" i="11"/>
  <c r="AK82" i="11"/>
  <c r="AG84" i="11"/>
  <c r="AK86" i="11"/>
  <c r="AG88" i="11"/>
  <c r="G91" i="11"/>
  <c r="AI93" i="11"/>
  <c r="AB97" i="11"/>
  <c r="AL106" i="11"/>
  <c r="P83" i="11"/>
  <c r="AJ85" i="11"/>
  <c r="R88" i="11"/>
  <c r="AL90" i="11"/>
  <c r="F94" i="11"/>
  <c r="Z98" i="11"/>
  <c r="AA84" i="11"/>
  <c r="K88" i="11"/>
  <c r="I91" i="11"/>
  <c r="O94" i="11"/>
  <c r="F102" i="11"/>
  <c r="L98" i="11"/>
  <c r="AI83" i="11"/>
  <c r="N102" i="11"/>
  <c r="O92" i="11"/>
  <c r="O104" i="11"/>
  <c r="AF108" i="11"/>
  <c r="I99" i="11"/>
  <c r="AJ100" i="11"/>
  <c r="Q102" i="11"/>
  <c r="BA4" i="12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Y43" i="8" s="1"/>
  <c r="P74" i="11"/>
  <c r="K69" i="11"/>
  <c r="G26" i="8" s="1"/>
  <c r="I41" i="12"/>
  <c r="Y41" i="12"/>
  <c r="M41" i="12"/>
  <c r="AK62" i="12"/>
  <c r="AG51" i="8" s="1"/>
  <c r="AG67" i="12"/>
  <c r="AC56" i="8" s="1"/>
  <c r="AA56" i="12"/>
  <c r="AF74" i="11"/>
  <c r="K56" i="12"/>
  <c r="U61" i="12"/>
  <c r="Q50" i="8" s="1"/>
  <c r="AG71" i="12"/>
  <c r="AC60" i="8" s="1"/>
  <c r="X49" i="11"/>
  <c r="T6" i="8" s="1"/>
  <c r="AG49" i="12"/>
  <c r="AC38" i="8" s="1"/>
  <c r="Q41" i="12"/>
  <c r="X73" i="1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W68" i="12"/>
  <c r="S57" i="8" s="1"/>
  <c r="AJ67" i="12"/>
  <c r="AF56" i="8" s="1"/>
  <c r="J60" i="12"/>
  <c r="F49" i="8" s="1"/>
  <c r="L41" i="12"/>
  <c r="F62" i="12"/>
  <c r="B51" i="8" s="1"/>
  <c r="AI57" i="11"/>
  <c r="F41" i="11"/>
  <c r="O65" i="12"/>
  <c r="K54" i="8" s="1"/>
  <c r="Q73" i="12"/>
  <c r="M62" i="8" s="1"/>
  <c r="R59" i="12"/>
  <c r="N48" i="8" s="1"/>
  <c r="AD57" i="11"/>
  <c r="X64" i="11"/>
  <c r="T21" i="8" s="1"/>
  <c r="AC60" i="12"/>
  <c r="Y49" i="8" s="1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B50" i="8" s="1"/>
  <c r="L64" i="12"/>
  <c r="H53" i="8" s="1"/>
  <c r="AB60" i="12"/>
  <c r="X49" i="8" s="1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43" i="8" s="1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O49" i="8" s="1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F47" i="12"/>
  <c r="AB36" i="8" s="1"/>
  <c r="AF51" i="12"/>
  <c r="AB40" i="8" s="1"/>
  <c r="AF55" i="12"/>
  <c r="AB44" i="8" s="1"/>
  <c r="AF54" i="12"/>
  <c r="AB43" i="8" s="1"/>
  <c r="AF60" i="12"/>
  <c r="AB49" i="8" s="1"/>
  <c r="AF70" i="12"/>
  <c r="AB59" i="8" s="1"/>
  <c r="AF74" i="12"/>
  <c r="AB63" i="8" s="1"/>
  <c r="AF49" i="12"/>
  <c r="AB38" i="8" s="1"/>
  <c r="AF53" i="12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B54" i="8" s="1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V49" i="8" s="1"/>
  <c r="U60" i="12"/>
  <c r="Q49" i="8" s="1"/>
  <c r="H41" i="12"/>
  <c r="O57" i="12"/>
  <c r="K46" i="8" s="1"/>
  <c r="W41" i="12"/>
  <c r="M60" i="12"/>
  <c r="I49" i="8" s="1"/>
  <c r="K54" i="12"/>
  <c r="G43" i="8" s="1"/>
  <c r="K55" i="12"/>
  <c r="G44" i="8" s="1"/>
  <c r="K47" i="12"/>
  <c r="G36" i="8" s="1"/>
  <c r="K62" i="12"/>
  <c r="G51" i="8" s="1"/>
  <c r="K49" i="12"/>
  <c r="G38" i="8" s="1"/>
  <c r="K53" i="12"/>
  <c r="K48" i="12"/>
  <c r="G37" i="8" s="1"/>
  <c r="K64" i="12"/>
  <c r="G53" i="8" s="1"/>
  <c r="K68" i="12"/>
  <c r="G57" i="8" s="1"/>
  <c r="K46" i="12"/>
  <c r="G35" i="8" s="1"/>
  <c r="K60" i="12"/>
  <c r="G49" i="8" s="1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S49" i="8" s="1"/>
  <c r="AF59" i="12"/>
  <c r="AB48" i="8" s="1"/>
  <c r="P53" i="12"/>
  <c r="F49" i="12"/>
  <c r="B38" i="8" s="1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AL41" i="11"/>
  <c r="X70" i="11"/>
  <c r="T27" i="8" s="1"/>
  <c r="X62" i="11"/>
  <c r="T19" i="8" s="1"/>
  <c r="AA63" i="12"/>
  <c r="W52" i="8" s="1"/>
  <c r="Z56" i="12"/>
  <c r="K63" i="12"/>
  <c r="G52" i="8" s="1"/>
  <c r="W57" i="12"/>
  <c r="S46" i="8" s="1"/>
  <c r="R46" i="12"/>
  <c r="N35" i="8" s="1"/>
  <c r="R54" i="12"/>
  <c r="N43" i="8" s="1"/>
  <c r="R50" i="12"/>
  <c r="N39" i="8" s="1"/>
  <c r="R58" i="12"/>
  <c r="N47" i="8" s="1"/>
  <c r="R41" i="12"/>
  <c r="R53" i="12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X47" i="12"/>
  <c r="T36" i="8" s="1"/>
  <c r="X55" i="12"/>
  <c r="T44" i="8" s="1"/>
  <c r="X68" i="12"/>
  <c r="T57" i="8" s="1"/>
  <c r="X70" i="12"/>
  <c r="T59" i="8" s="1"/>
  <c r="X74" i="12"/>
  <c r="T63" i="8" s="1"/>
  <c r="X54" i="12"/>
  <c r="T43" i="8" s="1"/>
  <c r="X51" i="12"/>
  <c r="T40" i="8" s="1"/>
  <c r="X53" i="12"/>
  <c r="X60" i="12"/>
  <c r="T49" i="8" s="1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H56" i="12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U49" i="8" s="1"/>
  <c r="AG55" i="12"/>
  <c r="AC44" i="8" s="1"/>
  <c r="F53" i="12"/>
  <c r="AE49" i="12"/>
  <c r="AA38" i="8" s="1"/>
  <c r="Q47" i="12"/>
  <c r="M36" i="8" s="1"/>
  <c r="AE54" i="12"/>
  <c r="AA43" i="8" s="1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J46" i="12"/>
  <c r="F35" i="8" s="1"/>
  <c r="J52" i="12"/>
  <c r="F41" i="8" s="1"/>
  <c r="J54" i="12"/>
  <c r="F43" i="8" s="1"/>
  <c r="J51" i="12"/>
  <c r="F40" i="8" s="1"/>
  <c r="J50" i="12"/>
  <c r="F39" i="8" s="1"/>
  <c r="J58" i="12"/>
  <c r="F47" i="8" s="1"/>
  <c r="J41" i="12"/>
  <c r="J53" i="12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P47" i="12"/>
  <c r="L36" i="8" s="1"/>
  <c r="P54" i="12"/>
  <c r="L43" i="8" s="1"/>
  <c r="P51" i="12"/>
  <c r="L40" i="8" s="1"/>
  <c r="P60" i="12"/>
  <c r="L49" i="8" s="1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B60" i="8" s="1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B52" i="8" s="1"/>
  <c r="AE63" i="12"/>
  <c r="AA52" i="8" s="1"/>
  <c r="Z61" i="12"/>
  <c r="V50" i="8" s="1"/>
  <c r="AC61" i="12"/>
  <c r="Y50" i="8" s="1"/>
  <c r="P61" i="12"/>
  <c r="L50" i="8" s="1"/>
  <c r="F59" i="12"/>
  <c r="B48" i="8" s="1"/>
  <c r="AH59" i="12"/>
  <c r="AD48" i="8" s="1"/>
  <c r="Y57" i="12"/>
  <c r="U46" i="8" s="1"/>
  <c r="AA57" i="12"/>
  <c r="W46" i="8" s="1"/>
  <c r="AL57" i="12"/>
  <c r="AH46" i="8" s="1"/>
  <c r="R56" i="12"/>
  <c r="T57" i="12"/>
  <c r="P46" i="8" s="1"/>
  <c r="G41" i="12"/>
  <c r="M57" i="12"/>
  <c r="I46" i="8" s="1"/>
  <c r="AD58" i="12"/>
  <c r="Z47" i="8" s="1"/>
  <c r="AD41" i="12"/>
  <c r="AD54" i="12"/>
  <c r="Z43" i="8" s="1"/>
  <c r="AD62" i="12"/>
  <c r="Z51" i="8" s="1"/>
  <c r="AD52" i="12"/>
  <c r="Z41" i="8" s="1"/>
  <c r="AD47" i="12"/>
  <c r="Z36" i="8" s="1"/>
  <c r="AD55" i="12"/>
  <c r="Z44" i="8" s="1"/>
  <c r="AD60" i="12"/>
  <c r="Z49" i="8" s="1"/>
  <c r="AD74" i="12"/>
  <c r="Z63" i="8" s="1"/>
  <c r="AD68" i="12"/>
  <c r="Z57" i="8" s="1"/>
  <c r="AD49" i="12"/>
  <c r="Z38" i="8" s="1"/>
  <c r="AD53" i="12"/>
  <c r="AD56" i="12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J54" i="12"/>
  <c r="AF43" i="8" s="1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J55" i="12"/>
  <c r="AF44" i="8" s="1"/>
  <c r="AJ46" i="12"/>
  <c r="AF35" i="8" s="1"/>
  <c r="AJ51" i="12"/>
  <c r="AF40" i="8" s="1"/>
  <c r="AJ60" i="12"/>
  <c r="AF49" i="8" s="1"/>
  <c r="AJ66" i="12"/>
  <c r="AF55" i="8" s="1"/>
  <c r="AJ70" i="12"/>
  <c r="AF59" i="8" s="1"/>
  <c r="AJ74" i="12"/>
  <c r="AF63" i="8" s="1"/>
  <c r="F74" i="12"/>
  <c r="B63" i="8" s="1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O43" i="8" s="1"/>
  <c r="X46" i="12"/>
  <c r="T35" i="8" s="1"/>
  <c r="O74" i="11"/>
  <c r="X68" i="11"/>
  <c r="T25" i="8" s="1"/>
  <c r="AA66" i="11"/>
  <c r="W23" i="8" s="1"/>
  <c r="S63" i="12"/>
  <c r="O52" i="8" s="1"/>
  <c r="AH60" i="12"/>
  <c r="AD49" i="8" s="1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U43" i="8" s="1"/>
  <c r="Y50" i="12"/>
  <c r="U39" i="8" s="1"/>
  <c r="Y53" i="12"/>
  <c r="Y55" i="12"/>
  <c r="U44" i="8" s="1"/>
  <c r="Y56" i="12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E47" i="12"/>
  <c r="AA36" i="8" s="1"/>
  <c r="AE55" i="12"/>
  <c r="AA44" i="8" s="1"/>
  <c r="AE53" i="12"/>
  <c r="AE60" i="12"/>
  <c r="AA49" i="8" s="1"/>
  <c r="AK64" i="12"/>
  <c r="AG53" i="8" s="1"/>
  <c r="AK48" i="12"/>
  <c r="AG37" i="8" s="1"/>
  <c r="AK46" i="12"/>
  <c r="AG35" i="8" s="1"/>
  <c r="AK51" i="12"/>
  <c r="AG40" i="8" s="1"/>
  <c r="AK53" i="12"/>
  <c r="AK66" i="12"/>
  <c r="AG55" i="8" s="1"/>
  <c r="AK50" i="12"/>
  <c r="AG39" i="8" s="1"/>
  <c r="AK52" i="12"/>
  <c r="AG41" i="8" s="1"/>
  <c r="AK58" i="12"/>
  <c r="AG47" i="8" s="1"/>
  <c r="AK41" i="12"/>
  <c r="AK54" i="12"/>
  <c r="AG43" i="8" s="1"/>
  <c r="AK47" i="12"/>
  <c r="AG36" i="8" s="1"/>
  <c r="AK55" i="12"/>
  <c r="AG44" i="8" s="1"/>
  <c r="H53" i="12"/>
  <c r="H46" i="12"/>
  <c r="D35" i="8" s="1"/>
  <c r="H62" i="12"/>
  <c r="D51" i="8" s="1"/>
  <c r="H50" i="12"/>
  <c r="D39" i="8" s="1"/>
  <c r="H52" i="12"/>
  <c r="D41" i="8" s="1"/>
  <c r="H56" i="12"/>
  <c r="H47" i="12"/>
  <c r="D36" i="8" s="1"/>
  <c r="H55" i="12"/>
  <c r="D44" i="8" s="1"/>
  <c r="H54" i="12"/>
  <c r="D43" i="8" s="1"/>
  <c r="H51" i="12"/>
  <c r="D40" i="8" s="1"/>
  <c r="H60" i="12"/>
  <c r="D49" i="8" s="1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C56" i="12"/>
  <c r="V50" i="12"/>
  <c r="R39" i="8" s="1"/>
  <c r="V54" i="12"/>
  <c r="R43" i="8" s="1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R49" i="8" s="1"/>
  <c r="V52" i="12"/>
  <c r="R41" i="8" s="1"/>
  <c r="V49" i="12"/>
  <c r="R38" i="8" s="1"/>
  <c r="V53" i="12"/>
  <c r="V56" i="12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AB54" i="12"/>
  <c r="X43" i="8" s="1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M49" i="8" s="1"/>
  <c r="Q49" i="12"/>
  <c r="M38" i="8" s="1"/>
  <c r="Q70" i="12"/>
  <c r="M59" i="8" s="1"/>
  <c r="Q48" i="12"/>
  <c r="M37" i="8" s="1"/>
  <c r="Q52" i="12"/>
  <c r="M41" i="8" s="1"/>
  <c r="Q54" i="12"/>
  <c r="M43" i="8" s="1"/>
  <c r="Q58" i="12"/>
  <c r="M47" i="8" s="1"/>
  <c r="Q53" i="12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S43" i="8" s="1"/>
  <c r="W56" i="12"/>
  <c r="W47" i="12"/>
  <c r="S36" i="8" s="1"/>
  <c r="W53" i="12"/>
  <c r="W55" i="12"/>
  <c r="S44" i="8" s="1"/>
  <c r="W74" i="12"/>
  <c r="S63" i="8" s="1"/>
  <c r="AC62" i="12"/>
  <c r="Y51" i="8" s="1"/>
  <c r="AC49" i="12"/>
  <c r="Y38" i="8" s="1"/>
  <c r="AC53" i="12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J49" i="8" s="1"/>
  <c r="N62" i="12"/>
  <c r="J51" i="8" s="1"/>
  <c r="N54" i="12"/>
  <c r="J43" i="8" s="1"/>
  <c r="N49" i="12"/>
  <c r="J38" i="8" s="1"/>
  <c r="N53" i="12"/>
  <c r="N56" i="12"/>
  <c r="N64" i="12"/>
  <c r="J53" i="8" s="1"/>
  <c r="T46" i="12"/>
  <c r="P35" i="8" s="1"/>
  <c r="T60" i="12"/>
  <c r="P49" i="8" s="1"/>
  <c r="T50" i="12"/>
  <c r="P39" i="8" s="1"/>
  <c r="T58" i="12"/>
  <c r="P47" i="8" s="1"/>
  <c r="T56" i="12"/>
  <c r="T54" i="12"/>
  <c r="P43" i="8" s="1"/>
  <c r="T47" i="12"/>
  <c r="P36" i="8" s="1"/>
  <c r="T53" i="12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B61" i="8" s="1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T55" i="12"/>
  <c r="P44" i="8" s="1"/>
  <c r="W51" i="12"/>
  <c r="S40" i="8" s="1"/>
  <c r="AK49" i="12"/>
  <c r="AG38" i="8" s="1"/>
  <c r="Z54" i="12"/>
  <c r="V43" i="8" s="1"/>
  <c r="AH50" i="12"/>
  <c r="AD39" i="8" s="1"/>
  <c r="AB46" i="12"/>
  <c r="X35" i="8" s="1"/>
  <c r="X57" i="11"/>
  <c r="X53" i="11"/>
  <c r="T10" i="8" s="1"/>
  <c r="X60" i="11"/>
  <c r="T17" i="8" s="1"/>
  <c r="X66" i="11"/>
  <c r="T23" i="8" s="1"/>
  <c r="X58" i="11"/>
  <c r="T15" i="8" s="1"/>
  <c r="AK60" i="12"/>
  <c r="AG49" i="8" s="1"/>
  <c r="AB57" i="12"/>
  <c r="X46" i="8" s="1"/>
  <c r="I47" i="12"/>
  <c r="E36" i="8" s="1"/>
  <c r="I51" i="12"/>
  <c r="E40" i="8" s="1"/>
  <c r="I60" i="12"/>
  <c r="E49" i="8" s="1"/>
  <c r="I68" i="12"/>
  <c r="E57" i="8" s="1"/>
  <c r="I70" i="12"/>
  <c r="E59" i="8" s="1"/>
  <c r="I54" i="12"/>
  <c r="E43" i="8" s="1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I72" i="12"/>
  <c r="E61" i="8" s="1"/>
  <c r="I50" i="12"/>
  <c r="E39" i="8" s="1"/>
  <c r="I62" i="12"/>
  <c r="E51" i="8" s="1"/>
  <c r="O51" i="12"/>
  <c r="K40" i="8" s="1"/>
  <c r="O61" i="12"/>
  <c r="K50" i="8" s="1"/>
  <c r="O60" i="12"/>
  <c r="K49" i="8" s="1"/>
  <c r="O49" i="12"/>
  <c r="K38" i="8" s="1"/>
  <c r="O53" i="12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K43" i="8" s="1"/>
  <c r="O62" i="12"/>
  <c r="K51" i="8" s="1"/>
  <c r="O72" i="12"/>
  <c r="K61" i="8" s="1"/>
  <c r="O52" i="12"/>
  <c r="K41" i="8" s="1"/>
  <c r="O56" i="12"/>
  <c r="U52" i="12"/>
  <c r="Q41" i="8" s="1"/>
  <c r="U54" i="12"/>
  <c r="Q43" i="8" s="1"/>
  <c r="U47" i="12"/>
  <c r="Q36" i="8" s="1"/>
  <c r="U55" i="12"/>
  <c r="Q44" i="8" s="1"/>
  <c r="U62" i="12"/>
  <c r="Q51" i="8" s="1"/>
  <c r="U49" i="12"/>
  <c r="Q38" i="8" s="1"/>
  <c r="U53" i="12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B37" i="8" s="1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Y51" i="12"/>
  <c r="U40" i="8" s="1"/>
  <c r="K58" i="12"/>
  <c r="G47" i="8" s="1"/>
  <c r="AJ50" i="12"/>
  <c r="AF39" i="8" s="1"/>
  <c r="V46" i="12"/>
  <c r="R35" i="8" s="1"/>
  <c r="X74" i="1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C49" i="8" s="1"/>
  <c r="G49" i="12"/>
  <c r="C38" i="8" s="1"/>
  <c r="G48" i="12"/>
  <c r="C37" i="8" s="1"/>
  <c r="G58" i="12"/>
  <c r="C47" i="8" s="1"/>
  <c r="G53" i="12"/>
  <c r="G64" i="12"/>
  <c r="C53" i="8" s="1"/>
  <c r="G46" i="12"/>
  <c r="C35" i="8" s="1"/>
  <c r="G54" i="12"/>
  <c r="C43" i="8" s="1"/>
  <c r="G50" i="12"/>
  <c r="C39" i="8" s="1"/>
  <c r="G62" i="12"/>
  <c r="C51" i="8" s="1"/>
  <c r="G72" i="12"/>
  <c r="C61" i="8" s="1"/>
  <c r="M54" i="12"/>
  <c r="I43" i="8" s="1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M46" i="12"/>
  <c r="I35" i="8" s="1"/>
  <c r="M66" i="12"/>
  <c r="I55" i="8" s="1"/>
  <c r="M70" i="12"/>
  <c r="I59" i="8" s="1"/>
  <c r="M50" i="12"/>
  <c r="I39" i="8" s="1"/>
  <c r="F73" i="12"/>
  <c r="B62" i="8" s="1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B58" i="8" s="1"/>
  <c r="Q69" i="12"/>
  <c r="M58" i="8" s="1"/>
  <c r="F67" i="12"/>
  <c r="B56" i="8" s="1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B46" i="8" s="1"/>
  <c r="AF57" i="12"/>
  <c r="AB46" i="8" s="1"/>
  <c r="X41" i="12"/>
  <c r="R60" i="12"/>
  <c r="N49" i="8" s="1"/>
  <c r="AA62" i="12"/>
  <c r="W51" i="8" s="1"/>
  <c r="AA49" i="12"/>
  <c r="W38" i="8" s="1"/>
  <c r="AA53" i="12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W49" i="8" s="1"/>
  <c r="AA66" i="12"/>
  <c r="W55" i="8" s="1"/>
  <c r="AA50" i="12"/>
  <c r="W39" i="8" s="1"/>
  <c r="AA58" i="12"/>
  <c r="W47" i="8" s="1"/>
  <c r="AA72" i="12"/>
  <c r="W61" i="8" s="1"/>
  <c r="AA54" i="12"/>
  <c r="W43" i="8" s="1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G56" i="12"/>
  <c r="AG54" i="12"/>
  <c r="AC43" i="8" s="1"/>
  <c r="AG47" i="12"/>
  <c r="AC36" i="8" s="1"/>
  <c r="AG51" i="12"/>
  <c r="AC40" i="8" s="1"/>
  <c r="AG60" i="12"/>
  <c r="AC49" i="8" s="1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B53" i="8" s="1"/>
  <c r="S53" i="12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B47" i="8" s="1"/>
  <c r="F54" i="12"/>
  <c r="B43" i="8" s="1"/>
  <c r="AL50" i="12"/>
  <c r="AH39" i="8" s="1"/>
  <c r="AL70" i="12"/>
  <c r="AH59" i="8" s="1"/>
  <c r="F68" i="12"/>
  <c r="B57" i="8" s="1"/>
  <c r="AI68" i="12"/>
  <c r="AE57" i="8" s="1"/>
  <c r="AL66" i="12"/>
  <c r="AH55" i="8" s="1"/>
  <c r="F60" i="12"/>
  <c r="B49" i="8" s="1"/>
  <c r="AI55" i="12"/>
  <c r="AE44" i="8" s="1"/>
  <c r="F55" i="12"/>
  <c r="B44" i="8" s="1"/>
  <c r="F51" i="12"/>
  <c r="B40" i="8" s="1"/>
  <c r="L47" i="12"/>
  <c r="H36" i="8" s="1"/>
  <c r="F47" i="12"/>
  <c r="B36" i="8" s="1"/>
  <c r="AL58" i="12"/>
  <c r="AH47" i="8" s="1"/>
  <c r="AI54" i="12"/>
  <c r="AE43" i="8" s="1"/>
  <c r="AL46" i="12"/>
  <c r="AH35" i="8" s="1"/>
  <c r="AL51" i="12"/>
  <c r="AH40" i="8" s="1"/>
  <c r="AI58" i="12"/>
  <c r="AE47" i="8" s="1"/>
  <c r="L54" i="12"/>
  <c r="H43" i="8" s="1"/>
  <c r="AL48" i="12"/>
  <c r="AH37" i="8" s="1"/>
  <c r="AL64" i="12"/>
  <c r="AH53" i="8" s="1"/>
  <c r="L56" i="12"/>
  <c r="AL56" i="12"/>
  <c r="AL53" i="12"/>
  <c r="L51" i="12"/>
  <c r="H40" i="8" s="1"/>
  <c r="AL49" i="12"/>
  <c r="AH38" i="8" s="1"/>
  <c r="F41" i="12"/>
  <c r="L58" i="12"/>
  <c r="H47" i="8" s="1"/>
  <c r="AL54" i="12"/>
  <c r="AH43" i="8" s="1"/>
  <c r="F52" i="12"/>
  <c r="B41" i="8" s="1"/>
  <c r="AI50" i="12"/>
  <c r="AE39" i="8" s="1"/>
  <c r="AL68" i="12"/>
  <c r="AH57" i="8" s="1"/>
  <c r="AI66" i="12"/>
  <c r="AE55" i="8" s="1"/>
  <c r="AI60" i="12"/>
  <c r="AE49" i="8" s="1"/>
  <c r="AI51" i="12"/>
  <c r="AE40" i="8" s="1"/>
  <c r="L50" i="12"/>
  <c r="H39" i="8" s="1"/>
  <c r="F50" i="12"/>
  <c r="B39" i="8" s="1"/>
  <c r="AI46" i="12"/>
  <c r="AE35" i="8" s="1"/>
  <c r="F70" i="12"/>
  <c r="B59" i="8" s="1"/>
  <c r="AI70" i="12"/>
  <c r="AE59" i="8" s="1"/>
  <c r="L68" i="12"/>
  <c r="H57" i="8" s="1"/>
  <c r="L66" i="12"/>
  <c r="H55" i="8" s="1"/>
  <c r="F66" i="12"/>
  <c r="B55" i="8" s="1"/>
  <c r="L60" i="12"/>
  <c r="H49" i="8" s="1"/>
  <c r="AL60" i="12"/>
  <c r="AH49" i="8" s="1"/>
  <c r="AI63" i="12"/>
  <c r="AE52" i="8" s="1"/>
  <c r="AL55" i="12"/>
  <c r="AH44" i="8" s="1"/>
  <c r="AL47" i="12"/>
  <c r="AH36" i="8" s="1"/>
  <c r="L46" i="12"/>
  <c r="H35" i="8" s="1"/>
  <c r="F46" i="12"/>
  <c r="B35" i="8" s="1"/>
  <c r="AI64" i="12"/>
  <c r="AE53" i="8" s="1"/>
  <c r="L55" i="12"/>
  <c r="H44" i="8" s="1"/>
  <c r="AI53" i="12"/>
  <c r="T41" i="11"/>
  <c r="V63" i="11"/>
  <c r="R20" i="8" s="1"/>
  <c r="L57" i="1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AB55" i="11"/>
  <c r="X12" i="8" s="1"/>
  <c r="Z72" i="11"/>
  <c r="AH63" i="11"/>
  <c r="AD20" i="8" s="1"/>
  <c r="J57" i="11"/>
  <c r="AH54" i="11"/>
  <c r="AD11" i="8" s="1"/>
  <c r="J63" i="11"/>
  <c r="F20" i="8" s="1"/>
  <c r="AH49" i="11"/>
  <c r="AD6" i="8" s="1"/>
  <c r="AH67" i="11"/>
  <c r="AD24" i="8" s="1"/>
  <c r="AA57" i="1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K57" i="1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W41" i="11"/>
  <c r="AF69" i="11"/>
  <c r="AB26" i="8" s="1"/>
  <c r="AJ57" i="1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B7" i="8" s="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AA67" i="11"/>
  <c r="W24" i="8" s="1"/>
  <c r="K59" i="11"/>
  <c r="G16" i="8" s="1"/>
  <c r="G41" i="11"/>
  <c r="M64" i="11"/>
  <c r="I21" i="8" s="1"/>
  <c r="Y57" i="1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R47" i="1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O50" i="11"/>
  <c r="K7" i="8" s="1"/>
  <c r="O72" i="11"/>
  <c r="O63" i="11"/>
  <c r="K20" i="8" s="1"/>
  <c r="O64" i="11"/>
  <c r="K21" i="8" s="1"/>
  <c r="O57" i="11"/>
  <c r="O48" i="11"/>
  <c r="K5" i="8" s="1"/>
  <c r="O71" i="11"/>
  <c r="K28" i="8" s="1"/>
  <c r="O47" i="1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F49" i="11"/>
  <c r="B6" i="8" s="1"/>
  <c r="F69" i="11"/>
  <c r="B26" i="8" s="1"/>
  <c r="J69" i="11"/>
  <c r="F26" i="8" s="1"/>
  <c r="Z57" i="11"/>
  <c r="M57" i="11"/>
  <c r="AE57" i="1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AA7" i="8" s="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D7" i="8" s="1"/>
  <c r="H46" i="11"/>
  <c r="H55" i="11"/>
  <c r="D12" i="8" s="1"/>
  <c r="H61" i="11"/>
  <c r="D18" i="8" s="1"/>
  <c r="H54" i="11"/>
  <c r="D11" i="8" s="1"/>
  <c r="H67" i="11"/>
  <c r="D24" i="8" s="1"/>
  <c r="H47" i="1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C7" i="8" s="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V41" i="11"/>
  <c r="M56" i="11"/>
  <c r="M66" i="11"/>
  <c r="I23" i="8" s="1"/>
  <c r="M65" i="11"/>
  <c r="I22" i="8" s="1"/>
  <c r="M50" i="11"/>
  <c r="I7" i="8" s="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C57" i="11"/>
  <c r="AB47" i="1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N56" i="11"/>
  <c r="N71" i="11"/>
  <c r="J28" i="8" s="1"/>
  <c r="N68" i="11"/>
  <c r="J25" i="8" s="1"/>
  <c r="N72" i="11"/>
  <c r="N46" i="11"/>
  <c r="N47" i="1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N54" i="11"/>
  <c r="J11" i="8" s="1"/>
  <c r="N57" i="1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L69" i="11"/>
  <c r="H26" i="8" s="1"/>
  <c r="V69" i="11"/>
  <c r="R26" i="8" s="1"/>
  <c r="AH69" i="11"/>
  <c r="AD26" i="8" s="1"/>
  <c r="AL57" i="1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F7" i="8" s="1"/>
  <c r="AJ47" i="1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S7" i="8" s="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H57" i="11"/>
  <c r="AF46" i="11"/>
  <c r="AF64" i="11"/>
  <c r="AB21" i="8" s="1"/>
  <c r="AF66" i="11"/>
  <c r="AB23" i="8" s="1"/>
  <c r="AF72" i="1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X7" i="8" s="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M7" i="8" s="1"/>
  <c r="Q73" i="11"/>
  <c r="Q57" i="1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U47" i="1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L41" i="11"/>
  <c r="AG61" i="11"/>
  <c r="AC18" i="8" s="1"/>
  <c r="AG62" i="11"/>
  <c r="AC19" i="8" s="1"/>
  <c r="AG60" i="11"/>
  <c r="AC17" i="8" s="1"/>
  <c r="AG69" i="11"/>
  <c r="AC26" i="8" s="1"/>
  <c r="AG47" i="1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V57" i="1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U7" i="8" s="1"/>
  <c r="P48" i="11"/>
  <c r="L5" i="8" s="1"/>
  <c r="Z59" i="11"/>
  <c r="V16" i="8" s="1"/>
  <c r="AC47" i="11"/>
  <c r="Q47" i="11"/>
  <c r="AL49" i="11"/>
  <c r="AH6" i="8" s="1"/>
  <c r="AK50" i="11"/>
  <c r="AG7" i="8" s="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G57" i="1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N7" i="8" s="1"/>
  <c r="AC53" i="11"/>
  <c r="Y10" i="8" s="1"/>
  <c r="G71" i="11"/>
  <c r="C28" i="8" s="1"/>
  <c r="AI55" i="11"/>
  <c r="AE12" i="8" s="1"/>
  <c r="AJ46" i="11"/>
  <c r="AF57" i="11"/>
  <c r="L50" i="11"/>
  <c r="H7" i="8" s="1"/>
  <c r="U74" i="11"/>
  <c r="S69" i="11"/>
  <c r="O26" i="8" s="1"/>
  <c r="T57" i="1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P7" i="8" s="1"/>
  <c r="J48" i="11"/>
  <c r="F5" i="8" s="1"/>
  <c r="U48" i="11"/>
  <c r="Q5" i="8" s="1"/>
  <c r="X48" i="11"/>
  <c r="T5" i="8" s="1"/>
  <c r="AI51" i="11"/>
  <c r="AE8" i="8" s="1"/>
  <c r="Z47" i="11"/>
  <c r="R73" i="11"/>
  <c r="N41" i="11"/>
  <c r="R55" i="11"/>
  <c r="N12" i="8" s="1"/>
  <c r="U46" i="11"/>
  <c r="AI46" i="11"/>
  <c r="R72" i="11"/>
  <c r="T72" i="1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AC7" i="8" s="1"/>
  <c r="X50" i="11"/>
  <c r="T7" i="8" s="1"/>
  <c r="K48" i="11"/>
  <c r="G5" i="8" s="1"/>
  <c r="S64" i="11"/>
  <c r="O21" i="8" s="1"/>
  <c r="T56" i="11"/>
  <c r="Z65" i="11"/>
  <c r="V22" i="8" s="1"/>
  <c r="R51" i="11"/>
  <c r="N8" i="8" s="1"/>
  <c r="AI47" i="11"/>
  <c r="AI73" i="11"/>
  <c r="Z53" i="11"/>
  <c r="V10" i="8" s="1"/>
  <c r="S71" i="11"/>
  <c r="O28" i="8" s="1"/>
  <c r="X47" i="11"/>
  <c r="J46" i="11"/>
  <c r="I46" i="11"/>
  <c r="T46" i="11"/>
  <c r="AI65" i="11"/>
  <c r="AE22" i="8" s="1"/>
  <c r="AG72" i="11"/>
  <c r="X72" i="11"/>
  <c r="I50" i="11"/>
  <c r="E7" i="8" s="1"/>
  <c r="K50" i="11"/>
  <c r="G7" i="8" s="1"/>
  <c r="S48" i="11"/>
  <c r="O5" i="8" s="1"/>
  <c r="S57" i="1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AA71" i="11"/>
  <c r="W28" i="8" s="1"/>
  <c r="AG71" i="11"/>
  <c r="AC28" i="8" s="1"/>
  <c r="U55" i="11"/>
  <c r="Q12" i="8" s="1"/>
  <c r="K55" i="11"/>
  <c r="G12" i="8" s="1"/>
  <c r="K72" i="11"/>
  <c r="S50" i="11"/>
  <c r="O7" i="8" s="1"/>
  <c r="U50" i="11"/>
  <c r="Q7" i="8" s="1"/>
  <c r="AA48" i="11"/>
  <c r="W5" i="8" s="1"/>
  <c r="Y72" i="11"/>
  <c r="S72" i="1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5" i="4"/>
  <c r="D36" i="4"/>
  <c r="D37" i="4"/>
  <c r="D34" i="4"/>
  <c r="U14" i="8" l="1"/>
  <c r="Y114" i="11"/>
  <c r="T4" i="8"/>
  <c r="X115" i="11"/>
  <c r="AE4" i="8"/>
  <c r="AI115" i="11"/>
  <c r="V4" i="8"/>
  <c r="Z115" i="11"/>
  <c r="AB14" i="8"/>
  <c r="AF114" i="11"/>
  <c r="M4" i="8"/>
  <c r="Q115" i="11"/>
  <c r="E4" i="8"/>
  <c r="I115" i="11"/>
  <c r="C4" i="8"/>
  <c r="G115" i="11"/>
  <c r="V14" i="8"/>
  <c r="Z114" i="11"/>
  <c r="L4" i="8"/>
  <c r="P115" i="11"/>
  <c r="L14" i="8"/>
  <c r="P114" i="11"/>
  <c r="G4" i="8"/>
  <c r="K115" i="11"/>
  <c r="O14" i="8"/>
  <c r="S114" i="11"/>
  <c r="R14" i="8"/>
  <c r="V114" i="11"/>
  <c r="AC4" i="8"/>
  <c r="AG115" i="11"/>
  <c r="S4" i="8"/>
  <c r="W115" i="11"/>
  <c r="Z4" i="8"/>
  <c r="AD115" i="11"/>
  <c r="Y14" i="8"/>
  <c r="AC114" i="11"/>
  <c r="K14" i="8"/>
  <c r="O114" i="11"/>
  <c r="N4" i="8"/>
  <c r="R115" i="11"/>
  <c r="S14" i="8"/>
  <c r="W114" i="11"/>
  <c r="U4" i="8"/>
  <c r="Y115" i="11"/>
  <c r="F14" i="8"/>
  <c r="J114" i="11"/>
  <c r="T14" i="8"/>
  <c r="X114" i="11"/>
  <c r="F4" i="8"/>
  <c r="J115" i="11"/>
  <c r="E14" i="8"/>
  <c r="I114" i="11"/>
  <c r="Q4" i="8"/>
  <c r="U115" i="11"/>
  <c r="M14" i="8"/>
  <c r="Q114" i="11"/>
  <c r="AF4" i="8"/>
  <c r="AJ115" i="11"/>
  <c r="AD14" i="8"/>
  <c r="AH114" i="11"/>
  <c r="N14" i="8"/>
  <c r="R114" i="11"/>
  <c r="G14" i="8"/>
  <c r="K114" i="11"/>
  <c r="H14" i="8"/>
  <c r="L114" i="11"/>
  <c r="AE14" i="8"/>
  <c r="AI114" i="11"/>
  <c r="P14" i="8"/>
  <c r="T114" i="11"/>
  <c r="Q14" i="8"/>
  <c r="U114" i="11"/>
  <c r="AG14" i="8"/>
  <c r="AK114" i="11"/>
  <c r="H4" i="8"/>
  <c r="L115" i="11"/>
  <c r="J14" i="8"/>
  <c r="N114" i="11"/>
  <c r="X4" i="8"/>
  <c r="AB115" i="11"/>
  <c r="C14" i="8"/>
  <c r="G114" i="11"/>
  <c r="D14" i="8"/>
  <c r="H114" i="11"/>
  <c r="AB4" i="8"/>
  <c r="AF115" i="11"/>
  <c r="AC14" i="8"/>
  <c r="AG114" i="11"/>
  <c r="AG4" i="8"/>
  <c r="AK115" i="11"/>
  <c r="AK116" i="11" s="1"/>
  <c r="W14" i="8"/>
  <c r="AA114" i="11"/>
  <c r="AA4" i="8"/>
  <c r="AE115" i="11"/>
  <c r="X14" i="8"/>
  <c r="AB114" i="11"/>
  <c r="AH4" i="8"/>
  <c r="AL115" i="11"/>
  <c r="AH14" i="8"/>
  <c r="AL114" i="11"/>
  <c r="AA14" i="8"/>
  <c r="AE114" i="11"/>
  <c r="O4" i="8"/>
  <c r="S115" i="11"/>
  <c r="I4" i="8"/>
  <c r="M115" i="11"/>
  <c r="Z14" i="8"/>
  <c r="AD114" i="11"/>
  <c r="Y4" i="8"/>
  <c r="AC115" i="11"/>
  <c r="W4" i="8"/>
  <c r="AA115" i="11"/>
  <c r="J4" i="8"/>
  <c r="N115" i="11"/>
  <c r="R4" i="8"/>
  <c r="V115" i="11"/>
  <c r="V116" i="11" s="1"/>
  <c r="D4" i="8"/>
  <c r="H115" i="11"/>
  <c r="I14" i="8"/>
  <c r="M114" i="11"/>
  <c r="K4" i="8"/>
  <c r="O115" i="11"/>
  <c r="P4" i="8"/>
  <c r="T115" i="11"/>
  <c r="AF14" i="8"/>
  <c r="AJ114" i="11"/>
  <c r="AD4" i="8"/>
  <c r="AH115" i="11"/>
  <c r="B4" i="8"/>
  <c r="F115" i="11"/>
  <c r="B14" i="8"/>
  <c r="F114" i="11"/>
  <c r="G36" i="4"/>
  <c r="O36" i="4"/>
  <c r="W36" i="4"/>
  <c r="AE36" i="4"/>
  <c r="H36" i="4"/>
  <c r="P36" i="4"/>
  <c r="X36" i="4"/>
  <c r="AF36" i="4"/>
  <c r="U36" i="4"/>
  <c r="AD36" i="4"/>
  <c r="I36" i="4"/>
  <c r="Q36" i="4"/>
  <c r="Y36" i="4"/>
  <c r="AG36" i="4"/>
  <c r="AC36" i="4"/>
  <c r="N36" i="4"/>
  <c r="J36" i="4"/>
  <c r="R36" i="4"/>
  <c r="Z36" i="4"/>
  <c r="AH36" i="4"/>
  <c r="E36" i="4"/>
  <c r="V36" i="4"/>
  <c r="K36" i="4"/>
  <c r="S36" i="4"/>
  <c r="AA36" i="4"/>
  <c r="AI36" i="4"/>
  <c r="L36" i="4"/>
  <c r="T36" i="4"/>
  <c r="AB36" i="4"/>
  <c r="M36" i="4"/>
  <c r="F36" i="4"/>
  <c r="E34" i="4"/>
  <c r="M34" i="4"/>
  <c r="U34" i="4"/>
  <c r="AC34" i="4"/>
  <c r="AB34" i="4"/>
  <c r="F34" i="4"/>
  <c r="N34" i="4"/>
  <c r="V34" i="4"/>
  <c r="AD34" i="4"/>
  <c r="AI34" i="4"/>
  <c r="T34" i="4"/>
  <c r="G34" i="4"/>
  <c r="O34" i="4"/>
  <c r="W34" i="4"/>
  <c r="AE34" i="4"/>
  <c r="AA34" i="4"/>
  <c r="H34" i="4"/>
  <c r="P34" i="4"/>
  <c r="X34" i="4"/>
  <c r="AF34" i="4"/>
  <c r="K34" i="4"/>
  <c r="I34" i="4"/>
  <c r="Q34" i="4"/>
  <c r="Y34" i="4"/>
  <c r="AG34" i="4"/>
  <c r="J34" i="4"/>
  <c r="R34" i="4"/>
  <c r="Z34" i="4"/>
  <c r="AH34" i="4"/>
  <c r="S34" i="4"/>
  <c r="L34" i="4"/>
  <c r="F35" i="4"/>
  <c r="N35" i="4"/>
  <c r="V35" i="4"/>
  <c r="AD35" i="4"/>
  <c r="L35" i="4"/>
  <c r="G35" i="4"/>
  <c r="O35" i="4"/>
  <c r="W35" i="4"/>
  <c r="AE35" i="4"/>
  <c r="AC35" i="4"/>
  <c r="H35" i="4"/>
  <c r="P35" i="4"/>
  <c r="X35" i="4"/>
  <c r="AF35" i="4"/>
  <c r="AB35" i="4"/>
  <c r="M35" i="4"/>
  <c r="I35" i="4"/>
  <c r="Q35" i="4"/>
  <c r="Y35" i="4"/>
  <c r="AG35" i="4"/>
  <c r="Z35" i="4"/>
  <c r="E35" i="4"/>
  <c r="J35" i="4"/>
  <c r="R35" i="4"/>
  <c r="AH35" i="4"/>
  <c r="T35" i="4"/>
  <c r="U35" i="4"/>
  <c r="K35" i="4"/>
  <c r="S35" i="4"/>
  <c r="AA35" i="4"/>
  <c r="AI35" i="4"/>
  <c r="AA13" i="8"/>
  <c r="AH3" i="8"/>
  <c r="Q13" i="8"/>
  <c r="E3" i="8"/>
  <c r="H3" i="8"/>
  <c r="AD3" i="8"/>
  <c r="X3" i="8"/>
  <c r="P3" i="8"/>
  <c r="X13" i="8"/>
  <c r="S3" i="8"/>
  <c r="F3" i="8"/>
  <c r="P13" i="8"/>
  <c r="AE3" i="8"/>
  <c r="W13" i="8"/>
  <c r="K13" i="8"/>
  <c r="Y3" i="8"/>
  <c r="L13" i="8"/>
  <c r="C13" i="8"/>
  <c r="Z3" i="8"/>
  <c r="AD13" i="8"/>
  <c r="V13" i="8"/>
  <c r="Q3" i="8"/>
  <c r="M13" i="8"/>
  <c r="AA3" i="8"/>
  <c r="AH13" i="8"/>
  <c r="AB3" i="8"/>
  <c r="S13" i="8"/>
  <c r="J13" i="8"/>
  <c r="D3" i="8"/>
  <c r="T3" i="8"/>
  <c r="T13" i="8"/>
  <c r="AG13" i="8"/>
  <c r="I3" i="8"/>
  <c r="I13" i="8"/>
  <c r="R3" i="8"/>
  <c r="U13" i="8"/>
  <c r="Z13" i="8"/>
  <c r="Y13" i="8"/>
  <c r="K3" i="8"/>
  <c r="AF3" i="8"/>
  <c r="O3" i="8"/>
  <c r="G3" i="8"/>
  <c r="F13" i="8"/>
  <c r="AE13" i="8"/>
  <c r="C3" i="8"/>
  <c r="N13" i="8"/>
  <c r="AF13" i="8"/>
  <c r="AC13" i="8"/>
  <c r="E13" i="8"/>
  <c r="AG3" i="8"/>
  <c r="M3" i="8"/>
  <c r="D13" i="8"/>
  <c r="L3" i="8"/>
  <c r="R13" i="8"/>
  <c r="O13" i="8"/>
  <c r="AC3" i="8"/>
  <c r="W3" i="8"/>
  <c r="AB13" i="8"/>
  <c r="H13" i="8"/>
  <c r="G13" i="8"/>
  <c r="N3" i="8"/>
  <c r="J3" i="8"/>
  <c r="U3" i="8"/>
  <c r="V3" i="8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6" i="12"/>
  <c r="P45" i="8"/>
  <c r="T114" i="12"/>
  <c r="S42" i="8"/>
  <c r="W115" i="12"/>
  <c r="W116" i="12"/>
  <c r="X45" i="8"/>
  <c r="AB114" i="12"/>
  <c r="AA42" i="8"/>
  <c r="AE115" i="12"/>
  <c r="AE117" i="12" s="1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F114" i="12"/>
  <c r="B42" i="8"/>
  <c r="B45" i="8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AL35" i="4"/>
  <c r="AK35" i="4"/>
  <c r="AJ35" i="4"/>
  <c r="AL36" i="4"/>
  <c r="AK36" i="4"/>
  <c r="AJ36" i="4"/>
  <c r="AL34" i="4"/>
  <c r="AK34" i="4"/>
  <c r="AJ34" i="4"/>
  <c r="AH116" i="11" l="1"/>
  <c r="AC116" i="11"/>
  <c r="S116" i="11"/>
  <c r="AF116" i="11"/>
  <c r="Y116" i="11"/>
  <c r="L116" i="11"/>
  <c r="T116" i="11"/>
  <c r="O116" i="11"/>
  <c r="N116" i="11"/>
  <c r="P116" i="11"/>
  <c r="W116" i="11"/>
  <c r="AA116" i="11"/>
  <c r="AB116" i="11"/>
  <c r="R116" i="11"/>
  <c r="H116" i="11"/>
  <c r="AL116" i="11"/>
  <c r="J116" i="11"/>
  <c r="G116" i="11"/>
  <c r="Z116" i="11"/>
  <c r="K116" i="11"/>
  <c r="AE116" i="11"/>
  <c r="U116" i="11"/>
  <c r="AG116" i="11"/>
  <c r="I116" i="11"/>
  <c r="AI116" i="11"/>
  <c r="Q116" i="11"/>
  <c r="X116" i="11"/>
  <c r="M116" i="11"/>
  <c r="AJ116" i="11"/>
  <c r="AD116" i="11"/>
  <c r="I117" i="12"/>
  <c r="J117" i="12"/>
  <c r="V117" i="12"/>
  <c r="AI117" i="12"/>
  <c r="Y117" i="12"/>
  <c r="G117" i="12"/>
  <c r="AD117" i="12"/>
  <c r="P117" i="12"/>
  <c r="L117" i="12"/>
  <c r="N117" i="12"/>
  <c r="O117" i="12"/>
  <c r="AK117" i="12"/>
  <c r="H117" i="12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F37" i="4"/>
  <c r="F57" i="4" s="1"/>
  <c r="E37" i="4"/>
  <c r="F46" i="4" l="1"/>
  <c r="B114" i="12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M73" i="8" s="1"/>
  <c r="X52" i="4"/>
  <c r="AF52" i="4"/>
  <c r="AB73" i="8" s="1"/>
  <c r="AJ52" i="4"/>
  <c r="AF73" i="8" s="1"/>
  <c r="Y52" i="4"/>
  <c r="U73" i="8" s="1"/>
  <c r="V52" i="4"/>
  <c r="R73" i="8" s="1"/>
  <c r="AB52" i="4"/>
  <c r="X73" i="8" s="1"/>
  <c r="P52" i="4"/>
  <c r="L73" i="8" s="1"/>
  <c r="AG52" i="4"/>
  <c r="AC73" i="8" s="1"/>
  <c r="AH52" i="4"/>
  <c r="AA52" i="4"/>
  <c r="W73" i="8" s="1"/>
  <c r="AC52" i="4"/>
  <c r="Y73" i="8" s="1"/>
  <c r="H52" i="4"/>
  <c r="D73" i="8" s="1"/>
  <c r="AK52" i="4"/>
  <c r="AG73" i="8" s="1"/>
  <c r="G52" i="4"/>
  <c r="C73" i="8" s="1"/>
  <c r="L52" i="4"/>
  <c r="H73" i="8" s="1"/>
  <c r="AE52" i="4"/>
  <c r="AA73" i="8" s="1"/>
  <c r="K52" i="4"/>
  <c r="T52" i="4"/>
  <c r="P73" i="8" s="1"/>
  <c r="S52" i="4"/>
  <c r="O73" i="8" s="1"/>
  <c r="O52" i="4"/>
  <c r="K73" i="8" s="1"/>
  <c r="U52" i="4"/>
  <c r="Q73" i="8" s="1"/>
  <c r="I52" i="4"/>
  <c r="E73" i="8" s="1"/>
  <c r="M52" i="4"/>
  <c r="I73" i="8" s="1"/>
  <c r="AL52" i="4"/>
  <c r="AH73" i="8" s="1"/>
  <c r="Z52" i="4"/>
  <c r="N52" i="4"/>
  <c r="J73" i="8" s="1"/>
  <c r="AD52" i="4"/>
  <c r="Z73" i="8" s="1"/>
  <c r="W52" i="4"/>
  <c r="S73" i="8" s="1"/>
  <c r="R52" i="4"/>
  <c r="N73" i="8" s="1"/>
  <c r="J52" i="4"/>
  <c r="F73" i="8" s="1"/>
  <c r="AI52" i="4"/>
  <c r="AE73" i="8" s="1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C77" i="8" s="1"/>
  <c r="AH56" i="4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F79" i="8" s="1"/>
  <c r="Y58" i="4"/>
  <c r="P58" i="4"/>
  <c r="L79" i="8" s="1"/>
  <c r="U58" i="4"/>
  <c r="Q79" i="8" s="1"/>
  <c r="AG58" i="4"/>
  <c r="AC79" i="8" s="1"/>
  <c r="AH58" i="4"/>
  <c r="AD79" i="8" s="1"/>
  <c r="AA58" i="4"/>
  <c r="W79" i="8" s="1"/>
  <c r="H58" i="4"/>
  <c r="D79" i="8" s="1"/>
  <c r="AK58" i="4"/>
  <c r="AG79" i="8" s="1"/>
  <c r="N58" i="4"/>
  <c r="G58" i="4"/>
  <c r="C79" i="8" s="1"/>
  <c r="T58" i="4"/>
  <c r="P79" i="8" s="1"/>
  <c r="K58" i="4"/>
  <c r="G79" i="8" s="1"/>
  <c r="Z58" i="4"/>
  <c r="V79" i="8" s="1"/>
  <c r="AC58" i="4"/>
  <c r="Y79" i="8" s="1"/>
  <c r="Q58" i="4"/>
  <c r="M79" i="8" s="1"/>
  <c r="V58" i="4"/>
  <c r="R79" i="8" s="1"/>
  <c r="S58" i="4"/>
  <c r="AL58" i="4"/>
  <c r="AH79" i="8" s="1"/>
  <c r="O58" i="4"/>
  <c r="K79" i="8" s="1"/>
  <c r="AF58" i="4"/>
  <c r="AB79" i="8" s="1"/>
  <c r="AB58" i="4"/>
  <c r="X79" i="8" s="1"/>
  <c r="I58" i="4"/>
  <c r="E79" i="8" s="1"/>
  <c r="L58" i="4"/>
  <c r="H79" i="8" s="1"/>
  <c r="W58" i="4"/>
  <c r="S79" i="8" s="1"/>
  <c r="X58" i="4"/>
  <c r="AD58" i="4"/>
  <c r="Z79" i="8" s="1"/>
  <c r="R58" i="4"/>
  <c r="N79" i="8" s="1"/>
  <c r="J58" i="4"/>
  <c r="F79" i="8" s="1"/>
  <c r="AI58" i="4"/>
  <c r="AE79" i="8" s="1"/>
  <c r="M58" i="4"/>
  <c r="I79" i="8" s="1"/>
  <c r="AE58" i="4"/>
  <c r="AA79" i="8" s="1"/>
  <c r="Q60" i="4"/>
  <c r="M81" i="8" s="1"/>
  <c r="V60" i="4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Q81" i="8" s="1"/>
  <c r="AG60" i="4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D85" i="8" s="1"/>
  <c r="AK64" i="4"/>
  <c r="AG85" i="8" s="1"/>
  <c r="AA64" i="4"/>
  <c r="W85" i="8" s="1"/>
  <c r="H64" i="4"/>
  <c r="D85" i="8" s="1"/>
  <c r="K64" i="4"/>
  <c r="G85" i="8" s="1"/>
  <c r="N64" i="4"/>
  <c r="J85" i="8" s="1"/>
  <c r="G64" i="4"/>
  <c r="C85" i="8" s="1"/>
  <c r="Z64" i="4"/>
  <c r="V85" i="8" s="1"/>
  <c r="V64" i="4"/>
  <c r="R85" i="8" s="1"/>
  <c r="U64" i="4"/>
  <c r="Q85" i="8" s="1"/>
  <c r="Q64" i="4"/>
  <c r="M85" i="8" s="1"/>
  <c r="L64" i="4"/>
  <c r="H85" i="8" s="1"/>
  <c r="AJ64" i="4"/>
  <c r="AF85" i="8" s="1"/>
  <c r="T64" i="4"/>
  <c r="P85" i="8" s="1"/>
  <c r="X64" i="4"/>
  <c r="T85" i="8" s="1"/>
  <c r="Y64" i="4"/>
  <c r="U85" i="8" s="1"/>
  <c r="I64" i="4"/>
  <c r="E85" i="8" s="1"/>
  <c r="W64" i="4"/>
  <c r="AC64" i="4"/>
  <c r="Y85" i="8" s="1"/>
  <c r="M64" i="4"/>
  <c r="I85" i="8" s="1"/>
  <c r="S64" i="4"/>
  <c r="O85" i="8" s="1"/>
  <c r="R64" i="4"/>
  <c r="N85" i="8" s="1"/>
  <c r="J64" i="4"/>
  <c r="F85" i="8" s="1"/>
  <c r="AI64" i="4"/>
  <c r="AE85" i="8" s="1"/>
  <c r="AL64" i="4"/>
  <c r="AH85" i="8" s="1"/>
  <c r="AE64" i="4"/>
  <c r="AF64" i="4"/>
  <c r="AB85" i="8" s="1"/>
  <c r="O64" i="4"/>
  <c r="K85" i="8" s="1"/>
  <c r="AG64" i="4"/>
  <c r="AC85" i="8" s="1"/>
  <c r="P64" i="4"/>
  <c r="L85" i="8" s="1"/>
  <c r="AD64" i="4"/>
  <c r="Z85" i="8" s="1"/>
  <c r="AB64" i="4"/>
  <c r="X85" i="8" s="1"/>
  <c r="Y66" i="4"/>
  <c r="T66" i="4"/>
  <c r="P87" i="8" s="1"/>
  <c r="P66" i="4"/>
  <c r="Z66" i="4"/>
  <c r="AG66" i="4"/>
  <c r="AA66" i="4"/>
  <c r="H66" i="4"/>
  <c r="AC66" i="4"/>
  <c r="N66" i="4"/>
  <c r="AJ66" i="4"/>
  <c r="K66" i="4"/>
  <c r="G66" i="4"/>
  <c r="V66" i="4"/>
  <c r="U66" i="4"/>
  <c r="Q66" i="4"/>
  <c r="AH66" i="4"/>
  <c r="L66" i="4"/>
  <c r="S66" i="4"/>
  <c r="O87" i="8" s="1"/>
  <c r="O66" i="4"/>
  <c r="R66" i="4"/>
  <c r="I66" i="4"/>
  <c r="AL66" i="4"/>
  <c r="W66" i="4"/>
  <c r="AD66" i="4"/>
  <c r="M66" i="4"/>
  <c r="J66" i="4"/>
  <c r="F87" i="8" s="1"/>
  <c r="AI66" i="4"/>
  <c r="AK66" i="4"/>
  <c r="X66" i="4"/>
  <c r="AF66" i="4"/>
  <c r="AB66" i="4"/>
  <c r="AE66" i="4"/>
  <c r="Q68" i="4"/>
  <c r="M89" i="8" s="1"/>
  <c r="AH68" i="4"/>
  <c r="AD89" i="8" s="1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L89" i="8" s="1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AD91" i="8" s="1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T91" i="8" s="1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W91" i="8" s="1"/>
  <c r="G70" i="4"/>
  <c r="C91" i="8" s="1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W93" i="8" s="1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M93" i="8" s="1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D93" i="8" s="1"/>
  <c r="AB72" i="4"/>
  <c r="X93" i="8" s="1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U95" i="8" s="1"/>
  <c r="T74" i="4"/>
  <c r="P95" i="8" s="1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Y95" i="8" s="1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H95" i="8" s="1"/>
  <c r="S74" i="4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X95" i="8" s="1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O68" i="8" s="1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L70" i="8" s="1"/>
  <c r="L49" i="4"/>
  <c r="H70" i="8" s="1"/>
  <c r="AG49" i="4"/>
  <c r="AC70" i="8" s="1"/>
  <c r="AH49" i="4"/>
  <c r="AD70" i="8" s="1"/>
  <c r="AA49" i="4"/>
  <c r="W70" i="8" s="1"/>
  <c r="AC49" i="4"/>
  <c r="Y70" i="8" s="1"/>
  <c r="H49" i="4"/>
  <c r="D70" i="8" s="1"/>
  <c r="AK49" i="4"/>
  <c r="AG70" i="8" s="1"/>
  <c r="T49" i="4"/>
  <c r="P70" i="8" s="1"/>
  <c r="Z49" i="4"/>
  <c r="V70" i="8" s="1"/>
  <c r="U49" i="4"/>
  <c r="Q70" i="8" s="1"/>
  <c r="N49" i="4"/>
  <c r="J70" i="8" s="1"/>
  <c r="Q49" i="4"/>
  <c r="M70" i="8" s="1"/>
  <c r="K49" i="4"/>
  <c r="G70" i="8" s="1"/>
  <c r="X49" i="4"/>
  <c r="T70" i="8" s="1"/>
  <c r="AF49" i="4"/>
  <c r="AB70" i="8" s="1"/>
  <c r="V49" i="4"/>
  <c r="R70" i="8" s="1"/>
  <c r="G49" i="4"/>
  <c r="C70" i="8" s="1"/>
  <c r="S49" i="4"/>
  <c r="O70" i="8" s="1"/>
  <c r="AD49" i="4"/>
  <c r="Z70" i="8" s="1"/>
  <c r="I49" i="4"/>
  <c r="E70" i="8" s="1"/>
  <c r="M49" i="4"/>
  <c r="I70" i="8" s="1"/>
  <c r="AJ49" i="4"/>
  <c r="AF70" i="8" s="1"/>
  <c r="W49" i="4"/>
  <c r="S70" i="8" s="1"/>
  <c r="AB49" i="4"/>
  <c r="X70" i="8" s="1"/>
  <c r="R49" i="4"/>
  <c r="N70" i="8" s="1"/>
  <c r="J49" i="4"/>
  <c r="F70" i="8" s="1"/>
  <c r="AI49" i="4"/>
  <c r="AE70" i="8" s="1"/>
  <c r="AE49" i="4"/>
  <c r="AA70" i="8" s="1"/>
  <c r="Y49" i="4"/>
  <c r="U70" i="8" s="1"/>
  <c r="AL49" i="4"/>
  <c r="AH70" i="8" s="1"/>
  <c r="O49" i="4"/>
  <c r="K70" i="8" s="1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P74" i="8" s="1"/>
  <c r="Z53" i="4"/>
  <c r="V74" i="8" s="1"/>
  <c r="U53" i="4"/>
  <c r="Q74" i="8" s="1"/>
  <c r="Q53" i="4"/>
  <c r="M74" i="8" s="1"/>
  <c r="V53" i="4"/>
  <c r="R74" i="8" s="1"/>
  <c r="X53" i="4"/>
  <c r="T74" i="8" s="1"/>
  <c r="AF53" i="4"/>
  <c r="AB74" i="8" s="1"/>
  <c r="AJ53" i="4"/>
  <c r="AF74" i="8" s="1"/>
  <c r="Y53" i="4"/>
  <c r="U74" i="8" s="1"/>
  <c r="P53" i="4"/>
  <c r="L74" i="8" s="1"/>
  <c r="L53" i="4"/>
  <c r="H74" i="8" s="1"/>
  <c r="AG53" i="4"/>
  <c r="AC74" i="8" s="1"/>
  <c r="AH53" i="4"/>
  <c r="AD74" i="8" s="1"/>
  <c r="AA53" i="4"/>
  <c r="W74" i="8" s="1"/>
  <c r="AC53" i="4"/>
  <c r="Y74" i="8" s="1"/>
  <c r="H53" i="4"/>
  <c r="D74" i="8" s="1"/>
  <c r="AK53" i="4"/>
  <c r="AG74" i="8" s="1"/>
  <c r="N53" i="4"/>
  <c r="J74" i="8" s="1"/>
  <c r="R53" i="4"/>
  <c r="N74" i="8" s="1"/>
  <c r="J53" i="4"/>
  <c r="F74" i="8" s="1"/>
  <c r="AI53" i="4"/>
  <c r="AE74" i="8" s="1"/>
  <c r="AD53" i="4"/>
  <c r="Z74" i="8" s="1"/>
  <c r="AL53" i="4"/>
  <c r="AH74" i="8" s="1"/>
  <c r="AE53" i="4"/>
  <c r="AA74" i="8" s="1"/>
  <c r="G53" i="4"/>
  <c r="C74" i="8" s="1"/>
  <c r="S53" i="4"/>
  <c r="O74" i="8" s="1"/>
  <c r="O53" i="4"/>
  <c r="K74" i="8" s="1"/>
  <c r="I53" i="4"/>
  <c r="E74" i="8" s="1"/>
  <c r="K53" i="4"/>
  <c r="G74" i="8" s="1"/>
  <c r="M53" i="4"/>
  <c r="I74" i="8" s="1"/>
  <c r="AB53" i="4"/>
  <c r="X74" i="8" s="1"/>
  <c r="W53" i="4"/>
  <c r="S74" i="8" s="1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U57" i="4"/>
  <c r="AC57" i="4"/>
  <c r="L57" i="4"/>
  <c r="AG57" i="4"/>
  <c r="AH57" i="4"/>
  <c r="AA57" i="4"/>
  <c r="H57" i="4"/>
  <c r="AK57" i="4"/>
  <c r="N57" i="4"/>
  <c r="T57" i="4"/>
  <c r="Z57" i="4"/>
  <c r="Q57" i="4"/>
  <c r="K57" i="4"/>
  <c r="V57" i="4"/>
  <c r="X57" i="4"/>
  <c r="AF57" i="4"/>
  <c r="AB57" i="4"/>
  <c r="I57" i="4"/>
  <c r="W57" i="4"/>
  <c r="AJ57" i="4"/>
  <c r="G57" i="4"/>
  <c r="AD57" i="4"/>
  <c r="R57" i="4"/>
  <c r="J57" i="4"/>
  <c r="AI57" i="4"/>
  <c r="M57" i="4"/>
  <c r="AE57" i="4"/>
  <c r="S57" i="4"/>
  <c r="Y57" i="4"/>
  <c r="AL57" i="4"/>
  <c r="O57" i="4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AF84" i="8" s="1"/>
  <c r="H63" i="4"/>
  <c r="D84" i="8" s="1"/>
  <c r="AG63" i="4"/>
  <c r="AC84" i="8" s="1"/>
  <c r="Z63" i="4"/>
  <c r="V84" i="8" s="1"/>
  <c r="AC63" i="4"/>
  <c r="Y84" i="8" s="1"/>
  <c r="AD63" i="4"/>
  <c r="Z84" i="8" s="1"/>
  <c r="T63" i="4"/>
  <c r="P84" i="8" s="1"/>
  <c r="Q63" i="4"/>
  <c r="M84" i="8" s="1"/>
  <c r="AK63" i="4"/>
  <c r="AG84" i="8" s="1"/>
  <c r="X63" i="4"/>
  <c r="T84" i="8" s="1"/>
  <c r="AF63" i="4"/>
  <c r="AB84" i="8" s="1"/>
  <c r="Y63" i="4"/>
  <c r="U84" i="8" s="1"/>
  <c r="V63" i="4"/>
  <c r="R84" i="8" s="1"/>
  <c r="U63" i="4"/>
  <c r="Q84" i="8" s="1"/>
  <c r="P63" i="4"/>
  <c r="L84" i="8" s="1"/>
  <c r="W63" i="4"/>
  <c r="S84" i="8" s="1"/>
  <c r="AH63" i="4"/>
  <c r="AD84" i="8" s="1"/>
  <c r="AA63" i="4"/>
  <c r="W84" i="8" s="1"/>
  <c r="S63" i="4"/>
  <c r="O84" i="8" s="1"/>
  <c r="R63" i="4"/>
  <c r="N84" i="8" s="1"/>
  <c r="M63" i="4"/>
  <c r="I84" i="8" s="1"/>
  <c r="J63" i="4"/>
  <c r="F84" i="8" s="1"/>
  <c r="AI63" i="4"/>
  <c r="AE84" i="8" s="1"/>
  <c r="K63" i="4"/>
  <c r="G84" i="8" s="1"/>
  <c r="AE63" i="4"/>
  <c r="AA84" i="8" s="1"/>
  <c r="L63" i="4"/>
  <c r="H84" i="8" s="1"/>
  <c r="AB63" i="4"/>
  <c r="X84" i="8" s="1"/>
  <c r="O63" i="4"/>
  <c r="K84" i="8" s="1"/>
  <c r="N63" i="4"/>
  <c r="J84" i="8" s="1"/>
  <c r="G63" i="4"/>
  <c r="C84" i="8" s="1"/>
  <c r="I63" i="4"/>
  <c r="E84" i="8" s="1"/>
  <c r="AL63" i="4"/>
  <c r="AH84" i="8" s="1"/>
  <c r="AG65" i="4"/>
  <c r="P65" i="4"/>
  <c r="AC65" i="4"/>
  <c r="AH65" i="4"/>
  <c r="AK65" i="4"/>
  <c r="AA65" i="4"/>
  <c r="H65" i="4"/>
  <c r="N65" i="4"/>
  <c r="AD65" i="4"/>
  <c r="T65" i="4"/>
  <c r="Z65" i="4"/>
  <c r="K65" i="4"/>
  <c r="V65" i="4"/>
  <c r="U65" i="4"/>
  <c r="Q65" i="4"/>
  <c r="AJ65" i="4"/>
  <c r="X65" i="4"/>
  <c r="AF65" i="4"/>
  <c r="Y65" i="4"/>
  <c r="AB65" i="4"/>
  <c r="I65" i="4"/>
  <c r="W65" i="4"/>
  <c r="M65" i="4"/>
  <c r="G65" i="4"/>
  <c r="S65" i="4"/>
  <c r="R65" i="4"/>
  <c r="J65" i="4"/>
  <c r="AI65" i="4"/>
  <c r="L65" i="4"/>
  <c r="AL65" i="4"/>
  <c r="AE65" i="4"/>
  <c r="O65" i="4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BA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114" i="4"/>
  <c r="A115" i="4" s="1"/>
  <c r="A83" i="4"/>
  <c r="F49" i="4"/>
  <c r="B70" i="8" s="1"/>
  <c r="A87" i="4"/>
  <c r="F53" i="4"/>
  <c r="B74" i="8" s="1"/>
  <c r="A80" i="4"/>
  <c r="A84" i="4"/>
  <c r="F50" i="4"/>
  <c r="A88" i="4"/>
  <c r="F54" i="4"/>
  <c r="A90" i="4"/>
  <c r="AE77" i="8"/>
  <c r="AD77" i="8"/>
  <c r="V77" i="8"/>
  <c r="E77" i="8"/>
  <c r="F56" i="4"/>
  <c r="A94" i="4"/>
  <c r="S81" i="8"/>
  <c r="R81" i="8"/>
  <c r="F60" i="4"/>
  <c r="B81" i="8" s="1"/>
  <c r="I81" i="8"/>
  <c r="AC81" i="8"/>
  <c r="A82" i="4"/>
  <c r="F48" i="4"/>
  <c r="A86" i="4"/>
  <c r="G73" i="8"/>
  <c r="AD73" i="8"/>
  <c r="V73" i="8"/>
  <c r="T73" i="8"/>
  <c r="F52" i="4"/>
  <c r="B73" i="8" s="1"/>
  <c r="A92" i="4"/>
  <c r="J79" i="8"/>
  <c r="F58" i="4"/>
  <c r="B79" i="8" s="1"/>
  <c r="O79" i="8"/>
  <c r="U79" i="8"/>
  <c r="T79" i="8"/>
  <c r="A91" i="4"/>
  <c r="F47" i="4"/>
  <c r="B68" i="8" s="1"/>
  <c r="A96" i="4"/>
  <c r="AB83" i="8"/>
  <c r="L83" i="8"/>
  <c r="C83" i="8"/>
  <c r="Z83" i="8"/>
  <c r="F62" i="4"/>
  <c r="B83" i="8" s="1"/>
  <c r="A98" i="4"/>
  <c r="S85" i="8"/>
  <c r="AA85" i="8"/>
  <c r="F64" i="4"/>
  <c r="B85" i="8" s="1"/>
  <c r="A100" i="4"/>
  <c r="AF87" i="8"/>
  <c r="F66" i="4"/>
  <c r="A102" i="4"/>
  <c r="O89" i="8"/>
  <c r="F68" i="4"/>
  <c r="B89" i="8" s="1"/>
  <c r="R89" i="8"/>
  <c r="A104" i="4"/>
  <c r="F70" i="4"/>
  <c r="B91" i="8" s="1"/>
  <c r="F91" i="8"/>
  <c r="A106" i="4"/>
  <c r="AB93" i="8"/>
  <c r="F72" i="4"/>
  <c r="B93" i="8" s="1"/>
  <c r="A108" i="4"/>
  <c r="O95" i="8"/>
  <c r="F74" i="4"/>
  <c r="B95" i="8" s="1"/>
  <c r="F59" i="4"/>
  <c r="B80" i="8" s="1"/>
  <c r="F51" i="4"/>
  <c r="A81" i="4"/>
  <c r="A85" i="4"/>
  <c r="A89" i="4"/>
  <c r="A93" i="4"/>
  <c r="A95" i="4"/>
  <c r="F61" i="4"/>
  <c r="B82" i="8" s="1"/>
  <c r="A97" i="4"/>
  <c r="F63" i="4"/>
  <c r="B84" i="8" s="1"/>
  <c r="A99" i="4"/>
  <c r="F65" i="4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K78" i="8" l="1"/>
  <c r="N78" i="8"/>
  <c r="T78" i="8"/>
  <c r="D78" i="8"/>
  <c r="AA87" i="8"/>
  <c r="Z87" i="8"/>
  <c r="AD87" i="8"/>
  <c r="Y87" i="8"/>
  <c r="AH78" i="8"/>
  <c r="Z78" i="8"/>
  <c r="R78" i="8"/>
  <c r="W78" i="8"/>
  <c r="X87" i="8"/>
  <c r="S87" i="8"/>
  <c r="M87" i="8"/>
  <c r="D87" i="8"/>
  <c r="U78" i="8"/>
  <c r="C78" i="8"/>
  <c r="G78" i="8"/>
  <c r="AD78" i="8"/>
  <c r="AB87" i="8"/>
  <c r="AH87" i="8"/>
  <c r="Q87" i="8"/>
  <c r="W87" i="8"/>
  <c r="O78" i="8"/>
  <c r="AF78" i="8"/>
  <c r="M78" i="8"/>
  <c r="AC78" i="8"/>
  <c r="T87" i="8"/>
  <c r="E87" i="8"/>
  <c r="R87" i="8"/>
  <c r="AC87" i="8"/>
  <c r="AA78" i="8"/>
  <c r="S78" i="8"/>
  <c r="V78" i="8"/>
  <c r="H78" i="8"/>
  <c r="AG87" i="8"/>
  <c r="N87" i="8"/>
  <c r="C87" i="8"/>
  <c r="V87" i="8"/>
  <c r="I78" i="8"/>
  <c r="E78" i="8"/>
  <c r="P78" i="8"/>
  <c r="Y78" i="8"/>
  <c r="AE87" i="8"/>
  <c r="K87" i="8"/>
  <c r="G87" i="8"/>
  <c r="L87" i="8"/>
  <c r="AE78" i="8"/>
  <c r="X78" i="8"/>
  <c r="J78" i="8"/>
  <c r="Q78" i="8"/>
  <c r="F78" i="8"/>
  <c r="AB78" i="8"/>
  <c r="AG78" i="8"/>
  <c r="L78" i="8"/>
  <c r="I87" i="8"/>
  <c r="H87" i="8"/>
  <c r="J87" i="8"/>
  <c r="U87" i="8"/>
  <c r="B87" i="8"/>
  <c r="B78" i="8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P41" i="4" l="1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R115" i="4" s="1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J115" i="4" s="1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AK115" i="4" s="1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O115" i="4" s="1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L115" i="4" l="1"/>
  <c r="AH115" i="4"/>
  <c r="AL116" i="4"/>
  <c r="N116" i="4"/>
  <c r="AC115" i="4"/>
  <c r="AI115" i="4"/>
  <c r="V116" i="4"/>
  <c r="N115" i="4"/>
  <c r="AJ115" i="4"/>
  <c r="AA116" i="4"/>
  <c r="X116" i="4"/>
  <c r="V115" i="4"/>
  <c r="AE115" i="4"/>
  <c r="N114" i="4"/>
  <c r="T114" i="4"/>
  <c r="T116" i="4"/>
  <c r="K115" i="4"/>
  <c r="J114" i="4"/>
  <c r="J116" i="4"/>
  <c r="H115" i="4"/>
  <c r="AK114" i="4"/>
  <c r="I115" i="4"/>
  <c r="U116" i="4"/>
  <c r="L114" i="4"/>
  <c r="L116" i="4"/>
  <c r="AI114" i="4"/>
  <c r="AI116" i="4"/>
  <c r="AF114" i="4"/>
  <c r="AF116" i="4"/>
  <c r="X114" i="4"/>
  <c r="AD116" i="4"/>
  <c r="AC116" i="4"/>
  <c r="AG115" i="4"/>
  <c r="U114" i="4"/>
  <c r="M116" i="4"/>
  <c r="AB115" i="4"/>
  <c r="S114" i="4"/>
  <c r="S116" i="4"/>
  <c r="P114" i="4"/>
  <c r="P116" i="4"/>
  <c r="AA114" i="4"/>
  <c r="AK116" i="4"/>
  <c r="U115" i="4"/>
  <c r="AL114" i="4"/>
  <c r="T115" i="4"/>
  <c r="K114" i="4"/>
  <c r="K116" i="4"/>
  <c r="AG116" i="4"/>
  <c r="H114" i="4"/>
  <c r="H116" i="4"/>
  <c r="AE114" i="4"/>
  <c r="AE116" i="4"/>
  <c r="AD114" i="4"/>
  <c r="AC114" i="4"/>
  <c r="G115" i="4"/>
  <c r="AD115" i="4"/>
  <c r="M114" i="4"/>
  <c r="L115" i="4"/>
  <c r="AH114" i="4"/>
  <c r="AH116" i="4"/>
  <c r="Y114" i="4"/>
  <c r="Y116" i="4"/>
  <c r="AF115" i="4"/>
  <c r="W114" i="4"/>
  <c r="W116" i="4"/>
  <c r="AG114" i="4"/>
  <c r="Y115" i="4"/>
  <c r="W115" i="4"/>
  <c r="Q115" i="4"/>
  <c r="AJ114" i="4"/>
  <c r="AJ116" i="4"/>
  <c r="AA115" i="4"/>
  <c r="Z114" i="4"/>
  <c r="Z116" i="4"/>
  <c r="Q114" i="4"/>
  <c r="Q116" i="4"/>
  <c r="X115" i="4"/>
  <c r="O114" i="4"/>
  <c r="O116" i="4"/>
  <c r="Z115" i="4"/>
  <c r="M115" i="4"/>
  <c r="V114" i="4"/>
  <c r="AB114" i="4"/>
  <c r="AB116" i="4"/>
  <c r="S115" i="4"/>
  <c r="R114" i="4"/>
  <c r="R116" i="4"/>
  <c r="I114" i="4"/>
  <c r="I116" i="4"/>
  <c r="P115" i="4"/>
  <c r="G114" i="4"/>
  <c r="G116" i="4"/>
  <c r="F115" i="4"/>
  <c r="F114" i="4"/>
  <c r="F116" i="4"/>
  <c r="C114" i="4"/>
  <c r="V117" i="4" l="1"/>
  <c r="AL117" i="4"/>
  <c r="AA117" i="4"/>
  <c r="S118" i="4"/>
  <c r="AL118" i="4"/>
  <c r="N118" i="4"/>
  <c r="N117" i="4"/>
  <c r="V118" i="4"/>
  <c r="Z117" i="4"/>
  <c r="Z118" i="4"/>
  <c r="AA118" i="4"/>
  <c r="X117" i="4"/>
  <c r="X118" i="4"/>
  <c r="J117" i="4"/>
  <c r="J118" i="4"/>
  <c r="R117" i="4"/>
  <c r="R118" i="4"/>
  <c r="O117" i="4"/>
  <c r="AJ117" i="4"/>
  <c r="AJ118" i="4"/>
  <c r="P117" i="4"/>
  <c r="P118" i="4"/>
  <c r="AC117" i="4"/>
  <c r="AC118" i="4"/>
  <c r="AE117" i="4"/>
  <c r="AE118" i="4"/>
  <c r="AD118" i="4"/>
  <c r="AD117" i="4"/>
  <c r="L117" i="4"/>
  <c r="L118" i="4"/>
  <c r="W117" i="4"/>
  <c r="W118" i="4"/>
  <c r="T117" i="4"/>
  <c r="T118" i="4"/>
  <c r="AH118" i="4"/>
  <c r="AH117" i="4"/>
  <c r="G117" i="4"/>
  <c r="G118" i="4"/>
  <c r="AB117" i="4"/>
  <c r="AB118" i="4"/>
  <c r="Q117" i="4"/>
  <c r="Q118" i="4"/>
  <c r="H117" i="4"/>
  <c r="H118" i="4"/>
  <c r="O118" i="4"/>
  <c r="S117" i="4"/>
  <c r="U118" i="4"/>
  <c r="U117" i="4"/>
  <c r="AK117" i="4"/>
  <c r="AK118" i="4"/>
  <c r="AI117" i="4"/>
  <c r="AI118" i="4"/>
  <c r="Y118" i="4"/>
  <c r="Y117" i="4"/>
  <c r="AG117" i="4"/>
  <c r="AG118" i="4"/>
  <c r="M117" i="4"/>
  <c r="M118" i="4"/>
  <c r="AF117" i="4"/>
  <c r="AF118" i="4"/>
  <c r="I118" i="4"/>
  <c r="I117" i="4"/>
  <c r="K117" i="4"/>
  <c r="K118" i="4"/>
  <c r="B114" i="4"/>
  <c r="F117" i="4"/>
  <c r="F118" i="4"/>
  <c r="B115" i="4"/>
  <c r="V119" i="4" l="1"/>
  <c r="AL119" i="4"/>
  <c r="AA119" i="4"/>
  <c r="S119" i="4"/>
  <c r="N119" i="4"/>
  <c r="Z119" i="4"/>
  <c r="X119" i="4"/>
  <c r="U119" i="4"/>
  <c r="J119" i="4"/>
  <c r="M119" i="4"/>
  <c r="AK119" i="4"/>
  <c r="K119" i="4"/>
  <c r="Q119" i="4"/>
  <c r="T119" i="4"/>
  <c r="AE119" i="4"/>
  <c r="AH119" i="4"/>
  <c r="AD119" i="4"/>
  <c r="AI119" i="4"/>
  <c r="H119" i="4"/>
  <c r="AJ119" i="4"/>
  <c r="G119" i="4"/>
  <c r="L119" i="4"/>
  <c r="P119" i="4"/>
  <c r="AF119" i="4"/>
  <c r="O119" i="4"/>
  <c r="AG119" i="4"/>
  <c r="R119" i="4"/>
  <c r="I119" i="4"/>
  <c r="Y119" i="4"/>
  <c r="AB119" i="4"/>
  <c r="W119" i="4"/>
  <c r="AC119" i="4"/>
  <c r="F119" i="4"/>
  <c r="E122" i="4" a="1"/>
  <c r="V135" i="4" s="1"/>
  <c r="E129" i="4" l="1"/>
  <c r="T126" i="4"/>
  <c r="AE129" i="4"/>
  <c r="S124" i="4"/>
  <c r="Y133" i="4"/>
  <c r="I122" i="4"/>
  <c r="P135" i="4"/>
  <c r="I131" i="4"/>
  <c r="AC123" i="4"/>
  <c r="F127" i="4"/>
  <c r="Z126" i="4"/>
  <c r="O126" i="4"/>
  <c r="AG131" i="4"/>
  <c r="AE122" i="4"/>
  <c r="Q122" i="4"/>
  <c r="AD127" i="4"/>
  <c r="AJ127" i="4"/>
  <c r="X126" i="4"/>
  <c r="AL135" i="4"/>
  <c r="AK134" i="4"/>
  <c r="G133" i="4"/>
  <c r="AF124" i="4"/>
  <c r="U128" i="4"/>
  <c r="U132" i="4"/>
  <c r="E132" i="4"/>
  <c r="AL133" i="4"/>
  <c r="E131" i="4"/>
  <c r="I130" i="4"/>
  <c r="Z124" i="4"/>
  <c r="AF126" i="4"/>
  <c r="S135" i="4"/>
  <c r="AJ128" i="4"/>
  <c r="Z122" i="4"/>
  <c r="AL126" i="4"/>
  <c r="V128" i="4"/>
  <c r="R123" i="4"/>
  <c r="AE133" i="4"/>
  <c r="AK131" i="4"/>
  <c r="G127" i="4"/>
  <c r="AC133" i="4"/>
  <c r="Q128" i="4"/>
  <c r="AA124" i="4"/>
  <c r="AA127" i="4"/>
  <c r="K129" i="4"/>
  <c r="AA122" i="4"/>
  <c r="M134" i="4"/>
  <c r="N135" i="4"/>
  <c r="O131" i="4"/>
  <c r="K134" i="4"/>
  <c r="T135" i="4"/>
  <c r="AB135" i="4"/>
  <c r="P124" i="4"/>
  <c r="T134" i="4"/>
  <c r="E130" i="4"/>
  <c r="R129" i="4"/>
  <c r="N122" i="4"/>
  <c r="P128" i="4"/>
  <c r="Q127" i="4"/>
  <c r="M135" i="4"/>
  <c r="W133" i="4"/>
  <c r="Q135" i="4"/>
  <c r="AC125" i="4"/>
  <c r="N131" i="4"/>
  <c r="AH130" i="4"/>
  <c r="Q132" i="4"/>
  <c r="O132" i="4"/>
  <c r="AA129" i="4"/>
  <c r="E128" i="4"/>
  <c r="R128" i="4"/>
  <c r="I123" i="4"/>
  <c r="Z135" i="4"/>
  <c r="P131" i="4"/>
  <c r="F128" i="4"/>
  <c r="AJ129" i="4"/>
  <c r="AF123" i="4"/>
  <c r="AL131" i="4"/>
  <c r="AC132" i="4"/>
  <c r="J132" i="4"/>
  <c r="P134" i="4"/>
  <c r="AD130" i="4"/>
  <c r="X134" i="4"/>
  <c r="J130" i="4"/>
  <c r="V134" i="4"/>
  <c r="R130" i="4"/>
  <c r="F129" i="4"/>
  <c r="T123" i="4"/>
  <c r="AG133" i="4"/>
  <c r="AL124" i="4"/>
  <c r="Y135" i="4"/>
  <c r="E134" i="4"/>
  <c r="S128" i="4"/>
  <c r="K135" i="4"/>
  <c r="S129" i="4"/>
  <c r="K130" i="4"/>
  <c r="AF125" i="4"/>
  <c r="E122" i="4"/>
  <c r="Y126" i="4"/>
  <c r="AL125" i="4"/>
  <c r="M123" i="4"/>
  <c r="AB125" i="4"/>
  <c r="H132" i="4"/>
  <c r="Y131" i="4"/>
  <c r="AL134" i="4"/>
  <c r="AG124" i="4"/>
  <c r="S134" i="4"/>
  <c r="AH131" i="4"/>
  <c r="T132" i="4"/>
  <c r="AI131" i="4"/>
  <c r="U126" i="4"/>
  <c r="Y122" i="4"/>
  <c r="X135" i="4"/>
  <c r="X127" i="4"/>
  <c r="I129" i="4"/>
  <c r="K127" i="4"/>
  <c r="G129" i="4"/>
  <c r="W132" i="4"/>
  <c r="M128" i="4"/>
  <c r="P132" i="4"/>
  <c r="T133" i="4"/>
  <c r="G135" i="4"/>
  <c r="N124" i="4"/>
  <c r="P126" i="4"/>
  <c r="S125" i="4"/>
  <c r="Z132" i="4"/>
  <c r="AE125" i="4"/>
  <c r="AJ133" i="4"/>
  <c r="O135" i="4"/>
  <c r="J134" i="4"/>
  <c r="AJ130" i="4"/>
  <c r="P125" i="4"/>
  <c r="AC135" i="4"/>
  <c r="Z130" i="4"/>
  <c r="V125" i="4"/>
  <c r="AI135" i="4"/>
  <c r="O130" i="4"/>
  <c r="N134" i="4"/>
  <c r="U124" i="4"/>
  <c r="G132" i="4"/>
  <c r="P133" i="4"/>
  <c r="R132" i="4"/>
  <c r="AC128" i="4"/>
  <c r="V133" i="4"/>
  <c r="AI128" i="4"/>
  <c r="Y134" i="4"/>
  <c r="Q125" i="4"/>
  <c r="J125" i="4"/>
  <c r="AF134" i="4"/>
  <c r="H122" i="4"/>
  <c r="S127" i="4"/>
  <c r="AA123" i="4"/>
  <c r="X122" i="4"/>
  <c r="U123" i="4"/>
  <c r="AI134" i="4"/>
  <c r="M129" i="4"/>
  <c r="T129" i="4"/>
  <c r="AH133" i="4"/>
  <c r="N128" i="4"/>
  <c r="O122" i="4"/>
  <c r="V130" i="4"/>
  <c r="Q131" i="4"/>
  <c r="W135" i="4"/>
  <c r="K122" i="4"/>
  <c r="AF132" i="4"/>
  <c r="AL130" i="4"/>
  <c r="R125" i="4"/>
  <c r="V132" i="4"/>
  <c r="R127" i="4"/>
  <c r="AB123" i="4"/>
  <c r="AK135" i="4"/>
  <c r="I134" i="4"/>
  <c r="AC124" i="4"/>
  <c r="AH123" i="4"/>
  <c r="L135" i="4"/>
  <c r="S133" i="4"/>
  <c r="X123" i="4"/>
  <c r="R135" i="4"/>
  <c r="P122" i="4"/>
  <c r="X124" i="4"/>
  <c r="N130" i="4"/>
  <c r="AJ124" i="4"/>
  <c r="K126" i="4"/>
  <c r="AE124" i="4"/>
  <c r="J128" i="4"/>
  <c r="AA131" i="4"/>
  <c r="F134" i="4"/>
  <c r="AF131" i="4"/>
  <c r="AI129" i="4"/>
  <c r="V126" i="4"/>
  <c r="N126" i="4"/>
  <c r="H135" i="4"/>
  <c r="J126" i="4"/>
  <c r="Q123" i="4"/>
  <c r="AI126" i="4"/>
  <c r="R122" i="4"/>
  <c r="Q129" i="4"/>
  <c r="AE134" i="4"/>
  <c r="S123" i="4"/>
  <c r="W123" i="4"/>
  <c r="T130" i="4"/>
  <c r="AB133" i="4"/>
  <c r="U125" i="4"/>
  <c r="AI123" i="4"/>
  <c r="AJ126" i="4"/>
  <c r="AK127" i="4"/>
  <c r="G122" i="4"/>
  <c r="J123" i="4"/>
  <c r="AE135" i="4"/>
  <c r="AG127" i="4"/>
  <c r="U122" i="4"/>
  <c r="AH132" i="4"/>
  <c r="N127" i="4"/>
  <c r="R134" i="4"/>
  <c r="F133" i="4"/>
  <c r="T127" i="4"/>
  <c r="AD123" i="4"/>
  <c r="R126" i="4"/>
  <c r="AG126" i="4"/>
  <c r="R131" i="4"/>
  <c r="AE126" i="4"/>
  <c r="O123" i="4"/>
  <c r="H131" i="4"/>
  <c r="AK126" i="4"/>
  <c r="L124" i="4"/>
  <c r="AJ125" i="4"/>
  <c r="W131" i="4"/>
  <c r="Z128" i="4"/>
  <c r="O127" i="4"/>
  <c r="AC122" i="4"/>
  <c r="AL128" i="4"/>
  <c r="E135" i="4"/>
  <c r="L132" i="4"/>
  <c r="AC134" i="4"/>
  <c r="E133" i="4"/>
  <c r="AG132" i="4"/>
  <c r="AF127" i="4"/>
  <c r="AF122" i="4"/>
  <c r="X131" i="4"/>
  <c r="AJ131" i="4"/>
  <c r="AJ122" i="4"/>
  <c r="AH135" i="4"/>
  <c r="M125" i="4"/>
  <c r="AB126" i="4"/>
  <c r="AH124" i="4"/>
  <c r="AB130" i="4"/>
  <c r="AC131" i="4"/>
  <c r="Y129" i="4"/>
  <c r="M122" i="4"/>
  <c r="K125" i="4"/>
  <c r="AC129" i="4"/>
  <c r="Q124" i="4"/>
  <c r="AD134" i="4"/>
  <c r="AJ132" i="4"/>
  <c r="O124" i="4"/>
  <c r="AJ134" i="4"/>
  <c r="P129" i="4"/>
  <c r="Z125" i="4"/>
  <c r="I124" i="4"/>
  <c r="G131" i="4"/>
  <c r="N133" i="4"/>
  <c r="O134" i="4"/>
  <c r="U129" i="4"/>
  <c r="AL132" i="4"/>
  <c r="U134" i="4"/>
  <c r="AH129" i="4"/>
  <c r="J135" i="4"/>
  <c r="AH134" i="4"/>
  <c r="L122" i="4"/>
  <c r="K123" i="4"/>
  <c r="J124" i="4"/>
  <c r="I125" i="4"/>
  <c r="H126" i="4"/>
  <c r="AD132" i="4"/>
  <c r="AK133" i="4"/>
  <c r="F122" i="4"/>
  <c r="E123" i="4"/>
  <c r="AL123" i="4"/>
  <c r="O133" i="4"/>
  <c r="V124" i="4"/>
  <c r="AK124" i="4"/>
  <c r="AG130" i="4"/>
  <c r="AD133" i="4"/>
  <c r="T128" i="4"/>
  <c r="AE128" i="4"/>
  <c r="AJ135" i="4"/>
  <c r="I127" i="4"/>
  <c r="Y130" i="4"/>
  <c r="L130" i="4"/>
  <c r="P130" i="4"/>
  <c r="W125" i="4"/>
  <c r="K133" i="4"/>
  <c r="R124" i="4"/>
  <c r="AB122" i="4"/>
  <c r="AG134" i="4"/>
  <c r="AA134" i="4"/>
  <c r="T124" i="4"/>
  <c r="AA130" i="4"/>
  <c r="AB129" i="4"/>
  <c r="K131" i="4"/>
  <c r="S131" i="4"/>
  <c r="AA133" i="4"/>
  <c r="AI127" i="4"/>
  <c r="G126" i="4"/>
  <c r="AB132" i="4"/>
  <c r="F123" i="4"/>
  <c r="Y127" i="4"/>
  <c r="L123" i="4"/>
  <c r="G123" i="4"/>
  <c r="N132" i="4"/>
  <c r="U133" i="4"/>
  <c r="AB134" i="4"/>
  <c r="AA135" i="4"/>
  <c r="W122" i="4"/>
  <c r="V123" i="4"/>
  <c r="K124" i="4"/>
  <c r="S122" i="4"/>
  <c r="Z123" i="4"/>
  <c r="Y124" i="4"/>
  <c r="X125" i="4"/>
  <c r="W126" i="4"/>
  <c r="V127" i="4"/>
  <c r="AB128" i="4"/>
  <c r="AG122" i="4"/>
  <c r="AK128" i="4"/>
  <c r="Z134" i="4"/>
  <c r="AG135" i="4"/>
  <c r="AK122" i="4"/>
  <c r="AJ123" i="4"/>
  <c r="AI124" i="4"/>
  <c r="AH125" i="4"/>
  <c r="AD126" i="4"/>
  <c r="F132" i="4"/>
  <c r="H123" i="4"/>
  <c r="AK132" i="4"/>
  <c r="AI122" i="4"/>
  <c r="H124" i="4"/>
  <c r="G125" i="4"/>
  <c r="F126" i="4"/>
  <c r="E127" i="4"/>
  <c r="AL127" i="4"/>
  <c r="AF129" i="4"/>
  <c r="M132" i="4"/>
  <c r="V122" i="4"/>
  <c r="E125" i="4"/>
  <c r="I133" i="4"/>
  <c r="U127" i="4"/>
  <c r="O129" i="4"/>
  <c r="Q134" i="4"/>
  <c r="AK130" i="4"/>
  <c r="AI130" i="4"/>
  <c r="Y125" i="4"/>
  <c r="AK123" i="4"/>
  <c r="AG123" i="4"/>
  <c r="H125" i="4"/>
  <c r="U135" i="4"/>
  <c r="W129" i="4"/>
  <c r="AA125" i="4"/>
  <c r="AF128" i="4"/>
  <c r="AF130" i="4"/>
  <c r="AH122" i="4"/>
  <c r="G124" i="4"/>
  <c r="N125" i="4"/>
  <c r="M126" i="4"/>
  <c r="L127" i="4"/>
  <c r="K128" i="4"/>
  <c r="J129" i="4"/>
  <c r="AH126" i="4"/>
  <c r="G128" i="4"/>
  <c r="N129" i="4"/>
  <c r="M130" i="4"/>
  <c r="L131" i="4"/>
  <c r="K132" i="4"/>
  <c r="J133" i="4"/>
  <c r="AF135" i="4"/>
  <c r="E124" i="4"/>
  <c r="L125" i="4"/>
  <c r="S126" i="4"/>
  <c r="Z127" i="4"/>
  <c r="Y128" i="4"/>
  <c r="X129" i="4"/>
  <c r="W130" i="4"/>
  <c r="V131" i="4"/>
  <c r="Q133" i="4"/>
  <c r="E126" i="4"/>
  <c r="I126" i="4"/>
  <c r="P127" i="4"/>
  <c r="W128" i="4"/>
  <c r="AD129" i="4"/>
  <c r="AC130" i="4"/>
  <c r="AB131" i="4"/>
  <c r="AA132" i="4"/>
  <c r="Z133" i="4"/>
  <c r="P123" i="4"/>
  <c r="W124" i="4"/>
  <c r="AD125" i="4"/>
  <c r="AC126" i="4"/>
  <c r="AB127" i="4"/>
  <c r="AA128" i="4"/>
  <c r="Z129" i="4"/>
  <c r="AC127" i="4"/>
  <c r="F125" i="4"/>
  <c r="AI125" i="4"/>
  <c r="T125" i="4"/>
  <c r="AA126" i="4"/>
  <c r="AH127" i="4"/>
  <c r="AG128" i="4"/>
  <c r="AE130" i="4"/>
  <c r="AD131" i="4"/>
  <c r="H128" i="4"/>
  <c r="AE132" i="4"/>
  <c r="AL129" i="4"/>
  <c r="H130" i="4"/>
  <c r="M127" i="4"/>
  <c r="L133" i="4"/>
  <c r="O125" i="4"/>
  <c r="AD135" i="4"/>
  <c r="M131" i="4"/>
  <c r="AF133" i="4"/>
  <c r="X128" i="4"/>
  <c r="J122" i="4"/>
  <c r="L134" i="4"/>
  <c r="AE127" i="4"/>
  <c r="L128" i="4"/>
  <c r="Y123" i="4"/>
  <c r="F130" i="4"/>
  <c r="AG125" i="4"/>
  <c r="Q130" i="4"/>
  <c r="L126" i="4"/>
  <c r="AB124" i="4"/>
  <c r="H134" i="4"/>
  <c r="AE131" i="4"/>
  <c r="AD122" i="4"/>
  <c r="F124" i="4"/>
  <c r="AE123" i="4"/>
  <c r="T122" i="4"/>
  <c r="AI132" i="4"/>
  <c r="U131" i="4"/>
  <c r="M133" i="4"/>
  <c r="AH128" i="4"/>
  <c r="N123" i="4"/>
  <c r="AL122" i="4"/>
  <c r="AI133" i="4"/>
  <c r="X132" i="4"/>
  <c r="W127" i="4"/>
  <c r="AD124" i="4"/>
  <c r="AK125" i="4"/>
  <c r="J127" i="4"/>
  <c r="I128" i="4"/>
  <c r="H129" i="4"/>
  <c r="G130" i="4"/>
  <c r="F131" i="4"/>
  <c r="AD128" i="4"/>
  <c r="AK129" i="4"/>
  <c r="J131" i="4"/>
  <c r="I132" i="4"/>
  <c r="H133" i="4"/>
  <c r="G134" i="4"/>
  <c r="F135" i="4"/>
  <c r="I135" i="4"/>
  <c r="M124" i="4"/>
  <c r="H127" i="4"/>
  <c r="O128" i="4"/>
  <c r="V129" i="4"/>
  <c r="U130" i="4"/>
  <c r="T131" i="4"/>
  <c r="S132" i="4"/>
  <c r="R133" i="4"/>
  <c r="X130" i="4"/>
  <c r="AG129" i="4"/>
  <c r="Q126" i="4"/>
  <c r="L129" i="4"/>
  <c r="S130" i="4"/>
  <c r="Z131" i="4"/>
  <c r="Y132" i="4"/>
  <c r="X133" i="4"/>
  <c r="W134" i="4"/>
  <c r="E122" i="11" a="1"/>
  <c r="AD127" i="11" s="1"/>
  <c r="B115" i="11"/>
  <c r="B114" i="11"/>
  <c r="F129" i="11" l="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<sst xmlns="http://schemas.openxmlformats.org/spreadsheetml/2006/main" count="321" uniqueCount="100">
  <si>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</si>
  <si>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</si>
  <si>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</si>
  <si>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</si>
  <si>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</si>
  <si>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</si>
  <si>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</si>
  <si>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</si>
  <si>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</si>
  <si>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</si>
  <si>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</si>
  <si>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</si>
  <si>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</si>
  <si>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</si>
  <si>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</si>
  <si>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</si>
  <si>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</si>
  <si>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</si>
  <si>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</si>
  <si>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</si>
  <si>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</si>
  <si>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</si>
  <si>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</si>
  <si>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</si>
  <si>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</si>
  <si>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</si>
  <si>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</si>
  <si>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</si>
  <si>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</si>
  <si>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</si>
  <si>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</si>
  <si>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</si>
  <si>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</si>
  <si>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</si>
  <si>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</si>
  <si>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</si>
  <si>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*Se[m]</t>
  </si>
  <si>
    <t>*Ge[c]</t>
  </si>
  <si>
    <t>*GeSe</t>
  </si>
  <si>
    <t>*Ge</t>
  </si>
  <si>
    <t>(l)GeSe</t>
  </si>
  <si>
    <t>Ga2Se3</t>
  </si>
  <si>
    <t>*GeSe2</t>
  </si>
  <si>
    <t>Ga2Se</t>
  </si>
  <si>
    <t>Se3</t>
  </si>
  <si>
    <t>Se4</t>
  </si>
  <si>
    <t>Se5</t>
  </si>
  <si>
    <t>Se6</t>
  </si>
  <si>
    <t>Se8</t>
  </si>
  <si>
    <t>Se2</t>
  </si>
  <si>
    <t>Se7</t>
  </si>
  <si>
    <t>(l)GeSe2</t>
  </si>
  <si>
    <t xml:space="preserve">Раствор 3 (жид): </t>
  </si>
  <si>
    <t xml:space="preserve">Раствор 3 + газовая без Ar: 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</si>
  <si>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</si>
  <si>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</si>
  <si>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*Ga[l]</t>
  </si>
  <si>
    <t>(DGeSe</t>
  </si>
  <si>
    <r>
      <t>Temperature,</t>
    </r>
    <r>
      <rPr>
        <sz val="8"/>
        <rFont val="Arial"/>
        <family val="2"/>
        <charset val="204"/>
      </rPr>
      <t>К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</si>
  <si>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</si>
  <si>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</si>
  <si>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</si>
  <si>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Se</t>
    </r>
    <r>
      <rPr>
        <vertAlign val="subscript"/>
        <sz val="8"/>
        <rFont val="Arial"/>
        <family val="2"/>
        <charset val="204"/>
      </rPr>
      <t>2</t>
    </r>
  </si>
  <si>
    <t>Vapor</t>
  </si>
  <si>
    <t>Convergence</t>
  </si>
  <si>
    <t>(1)Ge</t>
  </si>
  <si>
    <t>(1)Ga</t>
  </si>
  <si>
    <t>(1)Se</t>
  </si>
  <si>
    <t>(1)Se[a]</t>
  </si>
  <si>
    <t>(1)Se[m]</t>
  </si>
  <si>
    <t>(1)Se[r]</t>
  </si>
  <si>
    <t>(1)Geic]</t>
  </si>
  <si>
    <t>(3)Ga[1]</t>
  </si>
  <si>
    <t>(3)Ge[1]</t>
  </si>
  <si>
    <t>(3)Se[1]</t>
  </si>
  <si>
    <t>So1ution #1</t>
  </si>
  <si>
    <t>So1ution #2</t>
  </si>
  <si>
    <t>So1ution #3</t>
  </si>
  <si>
    <t>*Ga[1]</t>
  </si>
  <si>
    <t>(1)GeSe2</t>
  </si>
  <si>
    <t>(1)Ga2Se3</t>
  </si>
  <si>
    <t>(1)Ga2Se</t>
  </si>
  <si>
    <t>Temperature,К</t>
  </si>
  <si>
    <t>P1+P3+газ без Ar</t>
  </si>
  <si>
    <r>
      <t>Temperature,</t>
    </r>
    <r>
      <rPr>
        <sz val="8"/>
        <rFont val="Arial"/>
        <family val="2"/>
        <charset val="204"/>
      </rPr>
      <t xml:space="preserve">К </t>
    </r>
    <r>
      <rPr>
        <sz val="8"/>
        <rFont val="Arial"/>
        <family val="2"/>
        <charset val="204"/>
      </rPr>
      <t>Pressure, at</t>
    </r>
  </si>
  <si>
    <r>
      <t>Se</t>
    </r>
    <r>
      <rPr>
        <vertAlign val="subscript"/>
        <sz val="8"/>
        <rFont val="Arial"/>
        <family val="2"/>
        <charset val="204"/>
      </rPr>
      <t>3</t>
    </r>
  </si>
  <si>
    <r>
      <t>Se</t>
    </r>
    <r>
      <rPr>
        <vertAlign val="subscript"/>
        <sz val="8"/>
        <rFont val="Arial"/>
        <family val="2"/>
        <charset val="204"/>
      </rPr>
      <t>4</t>
    </r>
  </si>
  <si>
    <r>
      <t>Se</t>
    </r>
    <r>
      <rPr>
        <vertAlign val="subscript"/>
        <sz val="8"/>
        <rFont val="Arial"/>
        <family val="2"/>
        <charset val="204"/>
      </rPr>
      <t>5</t>
    </r>
  </si>
  <si>
    <r>
      <t>Se</t>
    </r>
    <r>
      <rPr>
        <vertAlign val="subscript"/>
        <sz val="8"/>
        <rFont val="Arial"/>
        <family val="2"/>
        <charset val="204"/>
      </rPr>
      <t>6</t>
    </r>
  </si>
  <si>
    <r>
      <t>Se</t>
    </r>
    <r>
      <rPr>
        <vertAlign val="subscript"/>
        <sz val="8"/>
        <rFont val="Arial"/>
        <family val="2"/>
        <charset val="204"/>
      </rPr>
      <t>8</t>
    </r>
  </si>
  <si>
    <t>*Se[1]</t>
  </si>
  <si>
    <t>(1)Ga[1]</t>
  </si>
  <si>
    <t>(1)Ge[1]</t>
  </si>
  <si>
    <t>(1)Se[1]</t>
  </si>
  <si>
    <t>Temperature,К Pressure, at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</si>
  <si>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</si>
  <si>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(1)Ga1U</t>
  </si>
  <si>
    <t>*Ga2Se</t>
  </si>
  <si>
    <t>(1)Ga[l]</t>
  </si>
  <si>
    <t>(1)Ge[l]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</si>
</sst>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9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</cellStyleXfs>
  <cellXfs count="147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23" fillId="0" borderId="0" xfId="0" applyNumberFormat="1" applyFont="1" applyFill="1" applyBorder="1" applyAlignment="1" applyProtection="1">
      <alignment vertical="top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/>
    </xf>
    <xf numFmtId="0" fontId="13" fillId="0" borderId="28" xfId="0" applyNumberFormat="1" applyFont="1" applyFill="1" applyBorder="1" applyAlignment="1" applyProtection="1">
      <alignment horizontal="center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justify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23" fillId="0" borderId="0" xfId="0" applyNumberFormat="1" applyFont="1" applyFill="1" applyBorder="1" applyAlignment="1" applyProtection="1">
      <alignment vertical="top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23" fillId="0" borderId="0" xfId="0" applyNumberFormat="1" applyFont="1" applyFill="1" applyBorder="1" applyAlignment="1" applyProtection="1">
      <alignment vertical="top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28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28" xfId="0" applyNumberFormat="1" applyFont="1" applyFill="1" applyBorder="1" applyAlignment="1" applyProtection="1">
      <alignment vertical="center" wrapText="1"/>
    </xf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8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4" xr:uid="{810E17FE-2F7B-4E62-B173-29B9F2A26C86}"/>
  </cellStyles>
  <dxfs count="1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-503.47251364700008</c:v>
                </c:pt>
                <c:pt idx="1">
                  <c:v>-508.7578001765001</c:v>
                </c:pt>
                <c:pt idx="2">
                  <c:v>-514.43773722000014</c:v>
                </c:pt>
                <c:pt idx="3">
                  <c:v>-520.87526656000011</c:v>
                </c:pt>
                <c:pt idx="4">
                  <c:v>-527.89458640850012</c:v>
                </c:pt>
                <c:pt idx="5">
                  <c:v>-535.47510174900015</c:v>
                </c:pt>
                <c:pt idx="6">
                  <c:v>-543.42224552130017</c:v>
                </c:pt>
                <c:pt idx="7">
                  <c:v>-551.66807551150009</c:v>
                </c:pt>
                <c:pt idx="8">
                  <c:v>-560.46310677315</c:v>
                </c:pt>
                <c:pt idx="9">
                  <c:v>-603.58213287390004</c:v>
                </c:pt>
                <c:pt idx="10">
                  <c:v>-616.59053119040004</c:v>
                </c:pt>
                <c:pt idx="11">
                  <c:v>-629.92643211890004</c:v>
                </c:pt>
                <c:pt idx="12">
                  <c:v>-643.69714924799996</c:v>
                </c:pt>
                <c:pt idx="13">
                  <c:v>-657.78138233720006</c:v>
                </c:pt>
                <c:pt idx="14">
                  <c:v>-672.07957966080005</c:v>
                </c:pt>
                <c:pt idx="15">
                  <c:v>-686.56171090769999</c:v>
                </c:pt>
                <c:pt idx="16">
                  <c:v>-701.47897763200001</c:v>
                </c:pt>
                <c:pt idx="17">
                  <c:v>-717.18963279250011</c:v>
                </c:pt>
                <c:pt idx="18">
                  <c:v>-798.7449965635501</c:v>
                </c:pt>
                <c:pt idx="19">
                  <c:v>-821.86317446894998</c:v>
                </c:pt>
                <c:pt idx="20">
                  <c:v>-845.37247698605006</c:v>
                </c:pt>
                <c:pt idx="21">
                  <c:v>-869.59477503885</c:v>
                </c:pt>
                <c:pt idx="22">
                  <c:v>-894.07510500750016</c:v>
                </c:pt>
                <c:pt idx="23">
                  <c:v>-1010.3735967312001</c:v>
                </c:pt>
                <c:pt idx="24">
                  <c:v>-1049.7085339664</c:v>
                </c:pt>
                <c:pt idx="25">
                  <c:v>-1081.1686619164</c:v>
                </c:pt>
                <c:pt idx="26">
                  <c:v>-1103.9277354582</c:v>
                </c:pt>
                <c:pt idx="27">
                  <c:v>-1135.6165820000001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6272321428571428E-2"/>
          <c:y val="7.3209491520351416E-2"/>
          <c:w val="0.91061071428571427"/>
          <c:h val="0.77107340657712931"/>
        </c:manualLayout>
      </c:layout>
      <c:scatterChart>
        <c:scatterStyle val="lineMarker"/>
        <c:varyColors val="0"/>
        <c:ser>
          <c:idx val="5"/>
          <c:order val="5"/>
          <c:tx>
            <c:strRef>
              <c:f>ALL!$E$9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8.5431999999999994E-2</c:v>
                </c:pt>
                <c:pt idx="1">
                  <c:v>8.4527000000000005E-2</c:v>
                </c:pt>
                <c:pt idx="2">
                  <c:v>8.2286999999999999E-2</c:v>
                </c:pt>
                <c:pt idx="3">
                  <c:v>7.9214999999999994E-2</c:v>
                </c:pt>
                <c:pt idx="4">
                  <c:v>7.6876E-2</c:v>
                </c:pt>
                <c:pt idx="5">
                  <c:v>7.5688000000000005E-2</c:v>
                </c:pt>
                <c:pt idx="6">
                  <c:v>7.5059000000000001E-2</c:v>
                </c:pt>
                <c:pt idx="7">
                  <c:v>7.4338000000000001E-2</c:v>
                </c:pt>
                <c:pt idx="8">
                  <c:v>7.2926000000000005E-2</c:v>
                </c:pt>
                <c:pt idx="9">
                  <c:v>6.2204000000000002E-2</c:v>
                </c:pt>
                <c:pt idx="10">
                  <c:v>6.1057E-2</c:v>
                </c:pt>
                <c:pt idx="11">
                  <c:v>6.0498999999999997E-2</c:v>
                </c:pt>
                <c:pt idx="12">
                  <c:v>6.0235999999999998E-2</c:v>
                </c:pt>
                <c:pt idx="13">
                  <c:v>6.0097999999999999E-2</c:v>
                </c:pt>
                <c:pt idx="14">
                  <c:v>5.9941000000000001E-2</c:v>
                </c:pt>
                <c:pt idx="15">
                  <c:v>5.9381000000000003E-2</c:v>
                </c:pt>
                <c:pt idx="16">
                  <c:v>5.6876999999999997E-2</c:v>
                </c:pt>
                <c:pt idx="17">
                  <c:v>4.7982999999999998E-2</c:v>
                </c:pt>
                <c:pt idx="18">
                  <c:v>1.1642E-3</c:v>
                </c:pt>
                <c:pt idx="19">
                  <c:v>3.3662999999999998E-4</c:v>
                </c:pt>
                <c:pt idx="20">
                  <c:v>9.9456000000000005E-5</c:v>
                </c:pt>
                <c:pt idx="21">
                  <c:v>3.0136000000000001E-5</c:v>
                </c:pt>
                <c:pt idx="22">
                  <c:v>7.3228999999999998E-6</c:v>
                </c:pt>
                <c:pt idx="23">
                  <c:v>5.0723000000000004E-9</c:v>
                </c:pt>
                <c:pt idx="24">
                  <c:v>8.6951000000000003E-10</c:v>
                </c:pt>
                <c:pt idx="25">
                  <c:v>1.5648999999999999E-10</c:v>
                </c:pt>
                <c:pt idx="26">
                  <c:v>2.9546000000000002E-11</c:v>
                </c:pt>
                <c:pt idx="27">
                  <c:v>5.8409999999999999E-12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5.4365000000000002E-31</c:v>
                </c:pt>
                <c:pt idx="10">
                  <c:v>4.9639000000000001E-29</c:v>
                </c:pt>
                <c:pt idx="11">
                  <c:v>3.4342999999999997E-27</c:v>
                </c:pt>
                <c:pt idx="12">
                  <c:v>1.8284000000000001E-25</c:v>
                </c:pt>
                <c:pt idx="13">
                  <c:v>7.6348000000000001E-24</c:v>
                </c:pt>
                <c:pt idx="14">
                  <c:v>2.5483999999999998E-22</c:v>
                </c:pt>
                <c:pt idx="15">
                  <c:v>6.8866999999999999E-21</c:v>
                </c:pt>
                <c:pt idx="16">
                  <c:v>1.4899000000000001E-19</c:v>
                </c:pt>
                <c:pt idx="17">
                  <c:v>2.3925999999999999E-18</c:v>
                </c:pt>
                <c:pt idx="18">
                  <c:v>7.3604999999999996E-15</c:v>
                </c:pt>
                <c:pt idx="19">
                  <c:v>3.8893999999999998E-14</c:v>
                </c:pt>
                <c:pt idx="20">
                  <c:v>1.8881000000000001E-13</c:v>
                </c:pt>
                <c:pt idx="21">
                  <c:v>8.4590999999999998E-13</c:v>
                </c:pt>
                <c:pt idx="22">
                  <c:v>2.6030000000000001E-12</c:v>
                </c:pt>
                <c:pt idx="23">
                  <c:v>7.3739999999999996E-11</c:v>
                </c:pt>
                <c:pt idx="24">
                  <c:v>1.5532000000000001E-10</c:v>
                </c:pt>
                <c:pt idx="25">
                  <c:v>3.1694999999999998E-10</c:v>
                </c:pt>
                <c:pt idx="26">
                  <c:v>6.2784999999999996E-10</c:v>
                </c:pt>
                <c:pt idx="27">
                  <c:v>1.2095E-9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2.2262000000000001E-36</c:v>
                </c:pt>
                <c:pt idx="5">
                  <c:v>1.4680999999999999E-34</c:v>
                </c:pt>
                <c:pt idx="6">
                  <c:v>5.8709E-33</c:v>
                </c:pt>
                <c:pt idx="7">
                  <c:v>1.6074000000000001E-31</c:v>
                </c:pt>
                <c:pt idx="8">
                  <c:v>3.2920000000000001E-30</c:v>
                </c:pt>
                <c:pt idx="9">
                  <c:v>5.0846E-26</c:v>
                </c:pt>
                <c:pt idx="10">
                  <c:v>3.2642999999999998E-25</c:v>
                </c:pt>
                <c:pt idx="11">
                  <c:v>1.7789999999999999E-24</c:v>
                </c:pt>
                <c:pt idx="12">
                  <c:v>8.4295000000000007E-24</c:v>
                </c:pt>
                <c:pt idx="13">
                  <c:v>3.5349999999999998E-23</c:v>
                </c:pt>
                <c:pt idx="14">
                  <c:v>1.3302999999999999E-22</c:v>
                </c:pt>
                <c:pt idx="15">
                  <c:v>4.5461000000000002E-22</c:v>
                </c:pt>
                <c:pt idx="16">
                  <c:v>1.4277000000000001E-21</c:v>
                </c:pt>
                <c:pt idx="17">
                  <c:v>4.1799000000000001E-21</c:v>
                </c:pt>
                <c:pt idx="18">
                  <c:v>1.567E-19</c:v>
                </c:pt>
                <c:pt idx="19">
                  <c:v>3.3299999999999998E-19</c:v>
                </c:pt>
                <c:pt idx="20">
                  <c:v>6.7433000000000004E-19</c:v>
                </c:pt>
                <c:pt idx="21">
                  <c:v>1.3062999999999999E-18</c:v>
                </c:pt>
                <c:pt idx="22">
                  <c:v>2.7347999999999999E-18</c:v>
                </c:pt>
                <c:pt idx="23">
                  <c:v>2.7847000000000003E-17</c:v>
                </c:pt>
                <c:pt idx="24">
                  <c:v>4.4595999999999999E-17</c:v>
                </c:pt>
                <c:pt idx="25">
                  <c:v>6.9412E-17</c:v>
                </c:pt>
                <c:pt idx="26">
                  <c:v>1.0526E-16</c:v>
                </c:pt>
                <c:pt idx="27">
                  <c:v>1.5583000000000001E-16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2.0238000000000002E-31</c:v>
                      </c:pt>
                      <c:pt idx="9">
                        <c:v>1.0195E-19</c:v>
                      </c:pt>
                      <c:pt idx="10">
                        <c:v>7.8194E-20</c:v>
                      </c:pt>
                      <c:pt idx="11">
                        <c:v>1.9236999999999999E-19</c:v>
                      </c:pt>
                      <c:pt idx="12">
                        <c:v>3.5631000000000001E-19</c:v>
                      </c:pt>
                      <c:pt idx="13">
                        <c:v>5.9198999999999998E-19</c:v>
                      </c:pt>
                      <c:pt idx="14">
                        <c:v>6.7627999999999996E-19</c:v>
                      </c:pt>
                      <c:pt idx="15">
                        <c:v>8.9939999999999996E-20</c:v>
                      </c:pt>
                      <c:pt idx="16">
                        <c:v>4.7182000000000002E-20</c:v>
                      </c:pt>
                      <c:pt idx="17">
                        <c:v>7.3727999999999998E-22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1.7465999999999999E-9</c:v>
                      </c:pt>
                      <c:pt idx="1">
                        <c:v>3.1187E-9</c:v>
                      </c:pt>
                      <c:pt idx="2">
                        <c:v>4.9120000000000004E-9</c:v>
                      </c:pt>
                      <c:pt idx="3">
                        <c:v>5.1413E-9</c:v>
                      </c:pt>
                      <c:pt idx="4">
                        <c:v>8.3548000000000001E-9</c:v>
                      </c:pt>
                      <c:pt idx="5">
                        <c:v>6.6243E-9</c:v>
                      </c:pt>
                      <c:pt idx="6">
                        <c:v>5.5517999999999998E-9</c:v>
                      </c:pt>
                      <c:pt idx="7">
                        <c:v>8.1278000000000008E-9</c:v>
                      </c:pt>
                      <c:pt idx="8">
                        <c:v>2.7106000000000001E-9</c:v>
                      </c:pt>
                      <c:pt idx="9">
                        <c:v>1.0016E-27</c:v>
                      </c:pt>
                      <c:pt idx="10">
                        <c:v>6.4726999999999994E-36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2.5350000000000001E-33</c:v>
                      </c:pt>
                      <c:pt idx="19">
                        <c:v>6.1875999999999997E-24</c:v>
                      </c:pt>
                      <c:pt idx="20">
                        <c:v>3.2081999999999999E-15</c:v>
                      </c:pt>
                      <c:pt idx="21">
                        <c:v>4.8135999999999998E-10</c:v>
                      </c:pt>
                      <c:pt idx="22">
                        <c:v>1.1381E-4</c:v>
                      </c:pt>
                      <c:pt idx="23">
                        <c:v>9.3670999999999997E-3</c:v>
                      </c:pt>
                      <c:pt idx="24">
                        <c:v>6.8364999999999997E-3</c:v>
                      </c:pt>
                      <c:pt idx="25">
                        <c:v>4.8706000000000001E-3</c:v>
                      </c:pt>
                      <c:pt idx="26">
                        <c:v>3.3936000000000001E-3</c:v>
                      </c:pt>
                      <c:pt idx="27">
                        <c:v>2.3056999999999999E-3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2.0238000000000002E-31</c:v>
                      </c:pt>
                      <c:pt idx="9">
                        <c:v>1.0195E-19</c:v>
                      </c:pt>
                      <c:pt idx="10">
                        <c:v>7.8194E-20</c:v>
                      </c:pt>
                      <c:pt idx="11">
                        <c:v>1.9236999999999999E-19</c:v>
                      </c:pt>
                      <c:pt idx="12">
                        <c:v>3.5631000000000001E-19</c:v>
                      </c:pt>
                      <c:pt idx="13">
                        <c:v>5.9198999999999998E-19</c:v>
                      </c:pt>
                      <c:pt idx="14">
                        <c:v>6.7627999999999996E-19</c:v>
                      </c:pt>
                      <c:pt idx="15">
                        <c:v>8.9939999999999996E-20</c:v>
                      </c:pt>
                      <c:pt idx="16">
                        <c:v>4.7182000000000002E-20</c:v>
                      </c:pt>
                      <c:pt idx="17">
                        <c:v>7.3727999999999998E-22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CC3-45FD-9794-5F85E67C14B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1.0553E-32</c:v>
                      </c:pt>
                      <c:pt idx="2">
                        <c:v>5.9967999999999999E-25</c:v>
                      </c:pt>
                      <c:pt idx="3">
                        <c:v>7.394E-21</c:v>
                      </c:pt>
                      <c:pt idx="4">
                        <c:v>2.4273000000000002E-18</c:v>
                      </c:pt>
                      <c:pt idx="5">
                        <c:v>2.2218999999999999E-17</c:v>
                      </c:pt>
                      <c:pt idx="6">
                        <c:v>1.8018E-16</c:v>
                      </c:pt>
                      <c:pt idx="7">
                        <c:v>1.5621E-14</c:v>
                      </c:pt>
                      <c:pt idx="8">
                        <c:v>1.7854E-12</c:v>
                      </c:pt>
                      <c:pt idx="9">
                        <c:v>5.7444999999999998E-9</c:v>
                      </c:pt>
                      <c:pt idx="10">
                        <c:v>5.0760999999999999E-9</c:v>
                      </c:pt>
                      <c:pt idx="11">
                        <c:v>7.1047999999999997E-9</c:v>
                      </c:pt>
                      <c:pt idx="12">
                        <c:v>8.1356999999999995E-9</c:v>
                      </c:pt>
                      <c:pt idx="13">
                        <c:v>8.4486E-9</c:v>
                      </c:pt>
                      <c:pt idx="14">
                        <c:v>8.7772999999999995E-9</c:v>
                      </c:pt>
                      <c:pt idx="15">
                        <c:v>4.5932000000000002E-9</c:v>
                      </c:pt>
                      <c:pt idx="16">
                        <c:v>6.7450000000000002E-9</c:v>
                      </c:pt>
                      <c:pt idx="17">
                        <c:v>1.1172000000000001E-8</c:v>
                      </c:pt>
                      <c:pt idx="18">
                        <c:v>3.1079000000000003E-8</c:v>
                      </c:pt>
                      <c:pt idx="19">
                        <c:v>3.5956000000000001E-8</c:v>
                      </c:pt>
                      <c:pt idx="20">
                        <c:v>3.5671999999999997E-8</c:v>
                      </c:pt>
                      <c:pt idx="21">
                        <c:v>3.5401999999999999E-14</c:v>
                      </c:pt>
                      <c:pt idx="22">
                        <c:v>6.4792000000000002E-20</c:v>
                      </c:pt>
                      <c:pt idx="23">
                        <c:v>2.9942999999999999E-12</c:v>
                      </c:pt>
                      <c:pt idx="24">
                        <c:v>1.0896999999999999E-11</c:v>
                      </c:pt>
                      <c:pt idx="25">
                        <c:v>2.7919E-11</c:v>
                      </c:pt>
                      <c:pt idx="26">
                        <c:v>5.4146E-11</c:v>
                      </c:pt>
                      <c:pt idx="27">
                        <c:v>9.6280999999999998E-11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3.9077000000000001E-2</c:v>
                      </c:pt>
                      <c:pt idx="1">
                        <c:v>3.6067000000000002E-2</c:v>
                      </c:pt>
                      <c:pt idx="2">
                        <c:v>2.8340000000000001E-2</c:v>
                      </c:pt>
                      <c:pt idx="3">
                        <c:v>1.7041000000000001E-2</c:v>
                      </c:pt>
                      <c:pt idx="4">
                        <c:v>7.8682999999999999E-3</c:v>
                      </c:pt>
                      <c:pt idx="5">
                        <c:v>3.1664000000000002E-3</c:v>
                      </c:pt>
                      <c:pt idx="6">
                        <c:v>1.2509000000000001E-3</c:v>
                      </c:pt>
                      <c:pt idx="7">
                        <c:v>5.1292000000000004E-4</c:v>
                      </c:pt>
                      <c:pt idx="8">
                        <c:v>2.1997999999999999E-4</c:v>
                      </c:pt>
                      <c:pt idx="9">
                        <c:v>3.5777000000000001E-6</c:v>
                      </c:pt>
                      <c:pt idx="10">
                        <c:v>9.5000999999999997E-7</c:v>
                      </c:pt>
                      <c:pt idx="11">
                        <c:v>2.4928999999999998E-7</c:v>
                      </c:pt>
                      <c:pt idx="12">
                        <c:v>6.7297999999999998E-8</c:v>
                      </c:pt>
                      <c:pt idx="13">
                        <c:v>1.9011000000000001E-8</c:v>
                      </c:pt>
                      <c:pt idx="14">
                        <c:v>5.6513000000000001E-9</c:v>
                      </c:pt>
                      <c:pt idx="15">
                        <c:v>1.7740000000000001E-9</c:v>
                      </c:pt>
                      <c:pt idx="16">
                        <c:v>5.9667999999999995E-10</c:v>
                      </c:pt>
                      <c:pt idx="17">
                        <c:v>2.2494E-10</c:v>
                      </c:pt>
                      <c:pt idx="18">
                        <c:v>7.5118000000000004E-12</c:v>
                      </c:pt>
                      <c:pt idx="19">
                        <c:v>3.0874E-12</c:v>
                      </c:pt>
                      <c:pt idx="20">
                        <c:v>1.2951E-12</c:v>
                      </c:pt>
                      <c:pt idx="21">
                        <c:v>5.5600999999999997E-13</c:v>
                      </c:pt>
                      <c:pt idx="22">
                        <c:v>3.0509999999999998E-13</c:v>
                      </c:pt>
                      <c:pt idx="23">
                        <c:v>1.9696000000000001E-14</c:v>
                      </c:pt>
                      <c:pt idx="24">
                        <c:v>9.7579999999999996E-15</c:v>
                      </c:pt>
                      <c:pt idx="25">
                        <c:v>4.8955E-15</c:v>
                      </c:pt>
                      <c:pt idx="26">
                        <c:v>2.4885000000000001E-15</c:v>
                      </c:pt>
                      <c:pt idx="27">
                        <c:v>1.2815E-15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4.0923000000000001E-2</c:v>
                      </c:pt>
                      <c:pt idx="1">
                        <c:v>4.3931999999999999E-2</c:v>
                      </c:pt>
                      <c:pt idx="2">
                        <c:v>5.1657000000000002E-2</c:v>
                      </c:pt>
                      <c:pt idx="3">
                        <c:v>6.2947000000000003E-2</c:v>
                      </c:pt>
                      <c:pt idx="4">
                        <c:v>7.2073999999999999E-2</c:v>
                      </c:pt>
                      <c:pt idx="5">
                        <c:v>7.6577999999999993E-2</c:v>
                      </c:pt>
                      <c:pt idx="6">
                        <c:v>7.7748999999999999E-2</c:v>
                      </c:pt>
                      <c:pt idx="7">
                        <c:v>7.6125999999999999E-2</c:v>
                      </c:pt>
                      <c:pt idx="8">
                        <c:v>7.0459999999999995E-2</c:v>
                      </c:pt>
                      <c:pt idx="9">
                        <c:v>1.4163E-2</c:v>
                      </c:pt>
                      <c:pt idx="10">
                        <c:v>6.9236000000000002E-3</c:v>
                      </c:pt>
                      <c:pt idx="11">
                        <c:v>3.2981999999999998E-3</c:v>
                      </c:pt>
                      <c:pt idx="12">
                        <c:v>1.5841E-3</c:v>
                      </c:pt>
                      <c:pt idx="13">
                        <c:v>7.7862999999999999E-4</c:v>
                      </c:pt>
                      <c:pt idx="14">
                        <c:v>3.9383000000000002E-4</c:v>
                      </c:pt>
                      <c:pt idx="15">
                        <c:v>2.0551E-4</c:v>
                      </c:pt>
                      <c:pt idx="16">
                        <c:v>1.1147E-4</c:v>
                      </c:pt>
                      <c:pt idx="17">
                        <c:v>6.4268000000000002E-5</c:v>
                      </c:pt>
                      <c:pt idx="18">
                        <c:v>9.4575000000000005E-6</c:v>
                      </c:pt>
                      <c:pt idx="19">
                        <c:v>5.7868999999999996E-6</c:v>
                      </c:pt>
                      <c:pt idx="20">
                        <c:v>3.5862999999999999E-6</c:v>
                      </c:pt>
                      <c:pt idx="21">
                        <c:v>2.2539000000000001E-6</c:v>
                      </c:pt>
                      <c:pt idx="22">
                        <c:v>1.5931E-6</c:v>
                      </c:pt>
                      <c:pt idx="23">
                        <c:v>3.446E-7</c:v>
                      </c:pt>
                      <c:pt idx="24">
                        <c:v>2.3418E-7</c:v>
                      </c:pt>
                      <c:pt idx="25">
                        <c:v>1.6037E-7</c:v>
                      </c:pt>
                      <c:pt idx="26">
                        <c:v>1.1068E-7</c:v>
                      </c:pt>
                      <c:pt idx="27">
                        <c:v>7.6971999999999996E-8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3.4567000000000001E-2</c:v>
                      </c:pt>
                      <c:pt idx="1">
                        <c:v>3.5472999999999998E-2</c:v>
                      </c:pt>
                      <c:pt idx="2">
                        <c:v>3.7713000000000003E-2</c:v>
                      </c:pt>
                      <c:pt idx="3">
                        <c:v>4.0785000000000002E-2</c:v>
                      </c:pt>
                      <c:pt idx="4">
                        <c:v>4.3124000000000003E-2</c:v>
                      </c:pt>
                      <c:pt idx="5">
                        <c:v>4.4311999999999997E-2</c:v>
                      </c:pt>
                      <c:pt idx="6">
                        <c:v>4.4941000000000002E-2</c:v>
                      </c:pt>
                      <c:pt idx="7">
                        <c:v>4.5662000000000001E-2</c:v>
                      </c:pt>
                      <c:pt idx="8">
                        <c:v>4.7073999999999998E-2</c:v>
                      </c:pt>
                      <c:pt idx="9">
                        <c:v>5.7796E-2</c:v>
                      </c:pt>
                      <c:pt idx="10">
                        <c:v>5.8943000000000002E-2</c:v>
                      </c:pt>
                      <c:pt idx="11">
                        <c:v>5.9500999999999998E-2</c:v>
                      </c:pt>
                      <c:pt idx="12">
                        <c:v>5.9761000000000002E-2</c:v>
                      </c:pt>
                      <c:pt idx="13">
                        <c:v>5.9881999999999998E-2</c:v>
                      </c:pt>
                      <c:pt idx="14">
                        <c:v>5.9935000000000002E-2</c:v>
                      </c:pt>
                      <c:pt idx="15">
                        <c:v>5.9936000000000003E-2</c:v>
                      </c:pt>
                      <c:pt idx="16">
                        <c:v>5.9750999999999999E-2</c:v>
                      </c:pt>
                      <c:pt idx="17">
                        <c:v>5.8089000000000002E-2</c:v>
                      </c:pt>
                      <c:pt idx="18">
                        <c:v>3.2477999999999999E-3</c:v>
                      </c:pt>
                      <c:pt idx="19">
                        <c:v>9.6513999999999996E-4</c:v>
                      </c:pt>
                      <c:pt idx="20">
                        <c:v>2.9058000000000003E-4</c:v>
                      </c:pt>
                      <c:pt idx="21">
                        <c:v>8.9747999999999995E-5</c:v>
                      </c:pt>
                      <c:pt idx="22">
                        <c:v>2.1749000000000001E-5</c:v>
                      </c:pt>
                      <c:pt idx="23">
                        <c:v>1.4412E-8</c:v>
                      </c:pt>
                      <c:pt idx="24">
                        <c:v>2.4533999999999998E-9</c:v>
                      </c:pt>
                      <c:pt idx="25">
                        <c:v>4.3905E-10</c:v>
                      </c:pt>
                      <c:pt idx="26">
                        <c:v>8.2502000000000004E-11</c:v>
                      </c:pt>
                      <c:pt idx="27">
                        <c:v>1.6246999999999999E-11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2.2917999999999999E-28</c:v>
                      </c:pt>
                      <c:pt idx="1">
                        <c:v>2.1267000000000001E-26</c:v>
                      </c:pt>
                      <c:pt idx="2">
                        <c:v>1.8936000000000001E-24</c:v>
                      </c:pt>
                      <c:pt idx="3">
                        <c:v>1.9599E-22</c:v>
                      </c:pt>
                      <c:pt idx="4">
                        <c:v>2.0106000000000001E-20</c:v>
                      </c:pt>
                      <c:pt idx="5">
                        <c:v>1.6409000000000001E-18</c:v>
                      </c:pt>
                      <c:pt idx="6">
                        <c:v>9.5222999999999999E-17</c:v>
                      </c:pt>
                      <c:pt idx="7">
                        <c:v>3.7863E-15</c:v>
                      </c:pt>
                      <c:pt idx="8">
                        <c:v>1.0221E-13</c:v>
                      </c:pt>
                      <c:pt idx="9">
                        <c:v>4.2230999999999996E-9</c:v>
                      </c:pt>
                      <c:pt idx="10">
                        <c:v>4.2098999999999999E-8</c:v>
                      </c:pt>
                      <c:pt idx="11">
                        <c:v>3.6928999999999999E-7</c:v>
                      </c:pt>
                      <c:pt idx="12">
                        <c:v>2.8582E-6</c:v>
                      </c:pt>
                      <c:pt idx="13">
                        <c:v>1.9658000000000001E-5</c:v>
                      </c:pt>
                      <c:pt idx="14">
                        <c:v>1.2113E-4</c:v>
                      </c:pt>
                      <c:pt idx="15">
                        <c:v>6.7195000000000004E-4</c:v>
                      </c:pt>
                      <c:pt idx="16">
                        <c:v>3.3199000000000002E-3</c:v>
                      </c:pt>
                      <c:pt idx="17">
                        <c:v>1.3724E-2</c:v>
                      </c:pt>
                      <c:pt idx="18">
                        <c:v>0.11</c:v>
                      </c:pt>
                      <c:pt idx="19">
                        <c:v>0.11003</c:v>
                      </c:pt>
                      <c:pt idx="20">
                        <c:v>0.10685</c:v>
                      </c:pt>
                      <c:pt idx="21">
                        <c:v>0.10188999999999999</c:v>
                      </c:pt>
                      <c:pt idx="22">
                        <c:v>5.7660000000000003E-2</c:v>
                      </c:pt>
                      <c:pt idx="23">
                        <c:v>1.3778E-3</c:v>
                      </c:pt>
                      <c:pt idx="24">
                        <c:v>5.6581000000000003E-4</c:v>
                      </c:pt>
                      <c:pt idx="25">
                        <c:v>2.3829E-4</c:v>
                      </c:pt>
                      <c:pt idx="26">
                        <c:v>1.0283E-4</c:v>
                      </c:pt>
                      <c:pt idx="27">
                        <c:v>4.5411999999999998E-5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1.5377000000000001E-7</c:v>
                      </c:pt>
                      <c:pt idx="1">
                        <c:v>4.1064999999999999E-7</c:v>
                      </c:pt>
                      <c:pt idx="2">
                        <c:v>1.3969999999999999E-6</c:v>
                      </c:pt>
                      <c:pt idx="3">
                        <c:v>6.1423999999999998E-6</c:v>
                      </c:pt>
                      <c:pt idx="4">
                        <c:v>2.9011999999999999E-5</c:v>
                      </c:pt>
                      <c:pt idx="5">
                        <c:v>1.2789E-4</c:v>
                      </c:pt>
                      <c:pt idx="6">
                        <c:v>4.9987000000000002E-4</c:v>
                      </c:pt>
                      <c:pt idx="7">
                        <c:v>1.6804999999999999E-3</c:v>
                      </c:pt>
                      <c:pt idx="8">
                        <c:v>4.6601999999999998E-3</c:v>
                      </c:pt>
                      <c:pt idx="9">
                        <c:v>3.2917000000000002E-2</c:v>
                      </c:pt>
                      <c:pt idx="10">
                        <c:v>3.6538000000000001E-2</c:v>
                      </c:pt>
                      <c:pt idx="11">
                        <c:v>3.8351000000000003E-2</c:v>
                      </c:pt>
                      <c:pt idx="12">
                        <c:v>3.9208E-2</c:v>
                      </c:pt>
                      <c:pt idx="13">
                        <c:v>3.9611E-2</c:v>
                      </c:pt>
                      <c:pt idx="14">
                        <c:v>3.9802999999999998E-2</c:v>
                      </c:pt>
                      <c:pt idx="15">
                        <c:v>3.9897000000000002E-2</c:v>
                      </c:pt>
                      <c:pt idx="16">
                        <c:v>3.9944E-2</c:v>
                      </c:pt>
                      <c:pt idx="17">
                        <c:v>3.9967999999999997E-2</c:v>
                      </c:pt>
                      <c:pt idx="18">
                        <c:v>3.9995000000000003E-2</c:v>
                      </c:pt>
                      <c:pt idx="19">
                        <c:v>3.9996999999999998E-2</c:v>
                      </c:pt>
                      <c:pt idx="20">
                        <c:v>3.9997999999999999E-2</c:v>
                      </c:pt>
                      <c:pt idx="21">
                        <c:v>3.9999E-2</c:v>
                      </c:pt>
                      <c:pt idx="22">
                        <c:v>3.9412000000000003E-2</c:v>
                      </c:pt>
                      <c:pt idx="23">
                        <c:v>3.7732000000000002E-2</c:v>
                      </c:pt>
                      <c:pt idx="24">
                        <c:v>3.7059000000000002E-2</c:v>
                      </c:pt>
                      <c:pt idx="25">
                        <c:v>3.6719000000000002E-2</c:v>
                      </c:pt>
                      <c:pt idx="26">
                        <c:v>3.6719000000000002E-2</c:v>
                      </c:pt>
                      <c:pt idx="27">
                        <c:v>3.6373000000000003E-2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3.0705000000000001E-28</c:v>
                      </c:pt>
                      <c:pt idx="1">
                        <c:v>2.6313000000000001E-26</c:v>
                      </c:pt>
                      <c:pt idx="2">
                        <c:v>1.9971999999999999E-24</c:v>
                      </c:pt>
                      <c:pt idx="3">
                        <c:v>1.5682999999999999E-22</c:v>
                      </c:pt>
                      <c:pt idx="4">
                        <c:v>1.1272E-20</c:v>
                      </c:pt>
                      <c:pt idx="5">
                        <c:v>6.3320999999999996E-19</c:v>
                      </c:pt>
                      <c:pt idx="6">
                        <c:v>2.5942E-17</c:v>
                      </c:pt>
                      <c:pt idx="7">
                        <c:v>7.6415999999999998E-16</c:v>
                      </c:pt>
                      <c:pt idx="8">
                        <c:v>1.6257999999999999E-14</c:v>
                      </c:pt>
                      <c:pt idx="9">
                        <c:v>3.6524000000000002E-10</c:v>
                      </c:pt>
                      <c:pt idx="10">
                        <c:v>3.1234999999999998E-9</c:v>
                      </c:pt>
                      <c:pt idx="11">
                        <c:v>2.3485000000000002E-8</c:v>
                      </c:pt>
                      <c:pt idx="12">
                        <c:v>1.5619E-7</c:v>
                      </c:pt>
                      <c:pt idx="13">
                        <c:v>9.2608999999999995E-7</c:v>
                      </c:pt>
                      <c:pt idx="14">
                        <c:v>4.9347000000000004E-6</c:v>
                      </c:pt>
                      <c:pt idx="15">
                        <c:v>2.3788999999999999E-5</c:v>
                      </c:pt>
                      <c:pt idx="16">
                        <c:v>1.0397E-4</c:v>
                      </c:pt>
                      <c:pt idx="17">
                        <c:v>4.0607000000000002E-4</c:v>
                      </c:pt>
                      <c:pt idx="18">
                        <c:v>1.1181999999999999E-2</c:v>
                      </c:pt>
                      <c:pt idx="19">
                        <c:v>1.7329000000000001E-2</c:v>
                      </c:pt>
                      <c:pt idx="20">
                        <c:v>2.5510999999999999E-2</c:v>
                      </c:pt>
                      <c:pt idx="21">
                        <c:v>3.5986999999999998E-2</c:v>
                      </c:pt>
                      <c:pt idx="22">
                        <c:v>3.5250999999999998E-2</c:v>
                      </c:pt>
                      <c:pt idx="23">
                        <c:v>1.2779E-2</c:v>
                      </c:pt>
                      <c:pt idx="24">
                        <c:v>6.9867999999999996E-3</c:v>
                      </c:pt>
                      <c:pt idx="25">
                        <c:v>5.0317000000000001E-3</c:v>
                      </c:pt>
                      <c:pt idx="26">
                        <c:v>5.0317000000000001E-3</c:v>
                      </c:pt>
                      <c:pt idx="27">
                        <c:v>3.5576000000000002E-3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1.0965999999999999E-9</c:v>
                      </c:pt>
                      <c:pt idx="1">
                        <c:v>3.6921000000000001E-9</c:v>
                      </c:pt>
                      <c:pt idx="2">
                        <c:v>8.5473E-9</c:v>
                      </c:pt>
                      <c:pt idx="3">
                        <c:v>1.3043E-8</c:v>
                      </c:pt>
                      <c:pt idx="4">
                        <c:v>1.4094E-8</c:v>
                      </c:pt>
                      <c:pt idx="5">
                        <c:v>1.2493999999999999E-8</c:v>
                      </c:pt>
                      <c:pt idx="6">
                        <c:v>1.0293999999999999E-8</c:v>
                      </c:pt>
                      <c:pt idx="7">
                        <c:v>8.5355000000000006E-9</c:v>
                      </c:pt>
                      <c:pt idx="8">
                        <c:v>7.5341000000000003E-9</c:v>
                      </c:pt>
                      <c:pt idx="9">
                        <c:v>6.2337999999999997E-9</c:v>
                      </c:pt>
                      <c:pt idx="10">
                        <c:v>5.5016999999999997E-9</c:v>
                      </c:pt>
                      <c:pt idx="11">
                        <c:v>4.6917999999999999E-9</c:v>
                      </c:pt>
                      <c:pt idx="12">
                        <c:v>3.9359999999999996E-9</c:v>
                      </c:pt>
                      <c:pt idx="13">
                        <c:v>3.2794000000000001E-9</c:v>
                      </c:pt>
                      <c:pt idx="14">
                        <c:v>2.7289E-9</c:v>
                      </c:pt>
                      <c:pt idx="15">
                        <c:v>2.2864999999999999E-9</c:v>
                      </c:pt>
                      <c:pt idx="16">
                        <c:v>1.9831999999999999E-9</c:v>
                      </c:pt>
                      <c:pt idx="17">
                        <c:v>1.9241E-9</c:v>
                      </c:pt>
                      <c:pt idx="18">
                        <c:v>2.2318000000000001E-9</c:v>
                      </c:pt>
                      <c:pt idx="19">
                        <c:v>1.9126999999999998E-9</c:v>
                      </c:pt>
                      <c:pt idx="20">
                        <c:v>1.6253E-9</c:v>
                      </c:pt>
                      <c:pt idx="21">
                        <c:v>1.3817999999999999E-9</c:v>
                      </c:pt>
                      <c:pt idx="22">
                        <c:v>1.2945E-9</c:v>
                      </c:pt>
                      <c:pt idx="23">
                        <c:v>7.3185000000000001E-10</c:v>
                      </c:pt>
                      <c:pt idx="24">
                        <c:v>5.2128999999999996E-10</c:v>
                      </c:pt>
                      <c:pt idx="25">
                        <c:v>4.4019000000000001E-10</c:v>
                      </c:pt>
                      <c:pt idx="26">
                        <c:v>4.4019000000000001E-10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2.5274E-10</c:v>
                      </c:pt>
                      <c:pt idx="1">
                        <c:v>9.8982E-10</c:v>
                      </c:pt>
                      <c:pt idx="2">
                        <c:v>2.6168999999999999E-9</c:v>
                      </c:pt>
                      <c:pt idx="3">
                        <c:v>4.4917000000000001E-9</c:v>
                      </c:pt>
                      <c:pt idx="4">
                        <c:v>5.3905000000000004E-9</c:v>
                      </c:pt>
                      <c:pt idx="5">
                        <c:v>5.2493999999999997E-9</c:v>
                      </c:pt>
                      <c:pt idx="6">
                        <c:v>4.7075999999999997E-9</c:v>
                      </c:pt>
                      <c:pt idx="7">
                        <c:v>4.2145999999999999E-9</c:v>
                      </c:pt>
                      <c:pt idx="8">
                        <c:v>3.9888000000000001E-9</c:v>
                      </c:pt>
                      <c:pt idx="9">
                        <c:v>3.8814999999999999E-9</c:v>
                      </c:pt>
                      <c:pt idx="10">
                        <c:v>3.3883E-9</c:v>
                      </c:pt>
                      <c:pt idx="11">
                        <c:v>2.8564999999999998E-9</c:v>
                      </c:pt>
                      <c:pt idx="12">
                        <c:v>2.3681000000000001E-9</c:v>
                      </c:pt>
                      <c:pt idx="13">
                        <c:v>1.9492999999999999E-9</c:v>
                      </c:pt>
                      <c:pt idx="14">
                        <c:v>1.6021999999999999E-9</c:v>
                      </c:pt>
                      <c:pt idx="15">
                        <c:v>1.326E-9</c:v>
                      </c:pt>
                      <c:pt idx="16">
                        <c:v>1.1359E-9</c:v>
                      </c:pt>
                      <c:pt idx="17">
                        <c:v>1.0884000000000001E-9</c:v>
                      </c:pt>
                      <c:pt idx="18">
                        <c:v>1.202E-9</c:v>
                      </c:pt>
                      <c:pt idx="19">
                        <c:v>1.0177999999999999E-9</c:v>
                      </c:pt>
                      <c:pt idx="20">
                        <c:v>8.5457999999999996E-10</c:v>
                      </c:pt>
                      <c:pt idx="21">
                        <c:v>7.1800999999999998E-10</c:v>
                      </c:pt>
                      <c:pt idx="22">
                        <c:v>6.6482999999999997E-10</c:v>
                      </c:pt>
                      <c:pt idx="23">
                        <c:v>3.5903E-10</c:v>
                      </c:pt>
                      <c:pt idx="24">
                        <c:v>2.5007E-10</c:v>
                      </c:pt>
                      <c:pt idx="25">
                        <c:v>2.0884E-10</c:v>
                      </c:pt>
                      <c:pt idx="26">
                        <c:v>2.0884E-10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9.2352999999999999E-4</c:v>
                      </c:pt>
                      <c:pt idx="1">
                        <c:v>3.9338999999999997E-3</c:v>
                      </c:pt>
                      <c:pt idx="2">
                        <c:v>1.1663E-2</c:v>
                      </c:pt>
                      <c:pt idx="3">
                        <c:v>2.2970999999999998E-2</c:v>
                      </c:pt>
                      <c:pt idx="4">
                        <c:v>3.2190000000000003E-2</c:v>
                      </c:pt>
                      <c:pt idx="5">
                        <c:v>3.7088999999999997E-2</c:v>
                      </c:pt>
                      <c:pt idx="6">
                        <c:v>3.9749E-2</c:v>
                      </c:pt>
                      <c:pt idx="7">
                        <c:v>4.2847999999999997E-2</c:v>
                      </c:pt>
                      <c:pt idx="8">
                        <c:v>4.9099999999999998E-2</c:v>
                      </c:pt>
                      <c:pt idx="9">
                        <c:v>0.10582999999999999</c:v>
                      </c:pt>
                      <c:pt idx="10">
                        <c:v>0.11307</c:v>
                      </c:pt>
                      <c:pt idx="11">
                        <c:v>0.1167</c:v>
                      </c:pt>
                      <c:pt idx="12">
                        <c:v>0.11842</c:v>
                      </c:pt>
                      <c:pt idx="13">
                        <c:v>0.11926</c:v>
                      </c:pt>
                      <c:pt idx="14">
                        <c:v>0.11985999999999999</c:v>
                      </c:pt>
                      <c:pt idx="15">
                        <c:v>0.12117</c:v>
                      </c:pt>
                      <c:pt idx="16">
                        <c:v>0.12667999999999999</c:v>
                      </c:pt>
                      <c:pt idx="17">
                        <c:v>0.14799000000000001</c:v>
                      </c:pt>
                      <c:pt idx="18">
                        <c:v>0.35676000000000002</c:v>
                      </c:pt>
                      <c:pt idx="19">
                        <c:v>0.36606</c:v>
                      </c:pt>
                      <c:pt idx="20">
                        <c:v>0.37197000000000002</c:v>
                      </c:pt>
                      <c:pt idx="21">
                        <c:v>0.37774999999999997</c:v>
                      </c:pt>
                      <c:pt idx="22">
                        <c:v>0.42225000000000001</c:v>
                      </c:pt>
                      <c:pt idx="23">
                        <c:v>0.47861999999999999</c:v>
                      </c:pt>
                      <c:pt idx="24">
                        <c:v>0.47976000000000002</c:v>
                      </c:pt>
                      <c:pt idx="25">
                        <c:v>0.47989999999999999</c:v>
                      </c:pt>
                      <c:pt idx="26">
                        <c:v>0.47989999999999999</c:v>
                      </c:pt>
                      <c:pt idx="27">
                        <c:v>0.47994999999999999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2.8039000000000002E-12</c:v>
                      </c:pt>
                      <c:pt idx="1">
                        <c:v>1.5371999999999999E-11</c:v>
                      </c:pt>
                      <c:pt idx="2">
                        <c:v>5.4874000000000002E-11</c:v>
                      </c:pt>
                      <c:pt idx="3">
                        <c:v>1.2340999999999999E-10</c:v>
                      </c:pt>
                      <c:pt idx="4">
                        <c:v>1.8921000000000001E-10</c:v>
                      </c:pt>
                      <c:pt idx="5">
                        <c:v>2.304E-10</c:v>
                      </c:pt>
                      <c:pt idx="6">
                        <c:v>2.5365E-10</c:v>
                      </c:pt>
                      <c:pt idx="7">
                        <c:v>2.7437E-10</c:v>
                      </c:pt>
                      <c:pt idx="8">
                        <c:v>3.0941000000000002E-10</c:v>
                      </c:pt>
                      <c:pt idx="9">
                        <c:v>5.4411E-10</c:v>
                      </c:pt>
                      <c:pt idx="10">
                        <c:v>5.3889999999999997E-10</c:v>
                      </c:pt>
                      <c:pt idx="11">
                        <c:v>5.1189999999999996E-10</c:v>
                      </c:pt>
                      <c:pt idx="12">
                        <c:v>4.7514999999999996E-10</c:v>
                      </c:pt>
                      <c:pt idx="13">
                        <c:v>4.3540000000000002E-10</c:v>
                      </c:pt>
                      <c:pt idx="14">
                        <c:v>3.9633000000000002E-10</c:v>
                      </c:pt>
                      <c:pt idx="15">
                        <c:v>3.6149999999999999E-10</c:v>
                      </c:pt>
                      <c:pt idx="16">
                        <c:v>3.3980000000000001E-10</c:v>
                      </c:pt>
                      <c:pt idx="17">
                        <c:v>3.5583999999999998E-10</c:v>
                      </c:pt>
                      <c:pt idx="18">
                        <c:v>5.4133000000000003E-10</c:v>
                      </c:pt>
                      <c:pt idx="19">
                        <c:v>4.9287999999999996E-10</c:v>
                      </c:pt>
                      <c:pt idx="20">
                        <c:v>4.4383000000000001E-10</c:v>
                      </c:pt>
                      <c:pt idx="21">
                        <c:v>3.9894000000000002E-10</c:v>
                      </c:pt>
                      <c:pt idx="22">
                        <c:v>3.9428999999999999E-10</c:v>
                      </c:pt>
                      <c:pt idx="23">
                        <c:v>2.7084000000000002E-10</c:v>
                      </c:pt>
                      <c:pt idx="24">
                        <c:v>2.1051000000000001E-10</c:v>
                      </c:pt>
                      <c:pt idx="25">
                        <c:v>1.8528000000000001E-10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(1)Geic]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1.5377000000000001E-7</c:v>
                      </c:pt>
                      <c:pt idx="1">
                        <c:v>4.1064999999999999E-7</c:v>
                      </c:pt>
                      <c:pt idx="2">
                        <c:v>1.3969999999999999E-6</c:v>
                      </c:pt>
                      <c:pt idx="3">
                        <c:v>6.1423999999999998E-6</c:v>
                      </c:pt>
                      <c:pt idx="4">
                        <c:v>2.9011999999999999E-5</c:v>
                      </c:pt>
                      <c:pt idx="5">
                        <c:v>1.2789E-4</c:v>
                      </c:pt>
                      <c:pt idx="6">
                        <c:v>4.9987000000000002E-4</c:v>
                      </c:pt>
                      <c:pt idx="7">
                        <c:v>1.6804999999999999E-3</c:v>
                      </c:pt>
                      <c:pt idx="8">
                        <c:v>4.6601999999999998E-3</c:v>
                      </c:pt>
                      <c:pt idx="9">
                        <c:v>3.2917000000000002E-2</c:v>
                      </c:pt>
                      <c:pt idx="10">
                        <c:v>3.6538000000000001E-2</c:v>
                      </c:pt>
                      <c:pt idx="11">
                        <c:v>3.8351000000000003E-2</c:v>
                      </c:pt>
                      <c:pt idx="12">
                        <c:v>3.9208E-2</c:v>
                      </c:pt>
                      <c:pt idx="13">
                        <c:v>3.9611E-2</c:v>
                      </c:pt>
                      <c:pt idx="14">
                        <c:v>3.9802999999999998E-2</c:v>
                      </c:pt>
                      <c:pt idx="15">
                        <c:v>3.9897000000000002E-2</c:v>
                      </c:pt>
                      <c:pt idx="16">
                        <c:v>3.9944E-2</c:v>
                      </c:pt>
                      <c:pt idx="17">
                        <c:v>3.9967999999999997E-2</c:v>
                      </c:pt>
                      <c:pt idx="18">
                        <c:v>3.9995000000000003E-2</c:v>
                      </c:pt>
                      <c:pt idx="19">
                        <c:v>3.9996999999999998E-2</c:v>
                      </c:pt>
                      <c:pt idx="20">
                        <c:v>3.9997999999999999E-2</c:v>
                      </c:pt>
                      <c:pt idx="21">
                        <c:v>3.9999E-2</c:v>
                      </c:pt>
                      <c:pt idx="22">
                        <c:v>3.9412000000000003E-2</c:v>
                      </c:pt>
                      <c:pt idx="23">
                        <c:v>3.7732000000000002E-2</c:v>
                      </c:pt>
                      <c:pt idx="24">
                        <c:v>3.7059000000000002E-2</c:v>
                      </c:pt>
                      <c:pt idx="25">
                        <c:v>3.6719000000000002E-2</c:v>
                      </c:pt>
                      <c:pt idx="26">
                        <c:v>3.6719000000000002E-2</c:v>
                      </c:pt>
                      <c:pt idx="27">
                        <c:v>3.6373000000000003E-2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1.2435E-28</c:v>
                      </c:pt>
                      <c:pt idx="19">
                        <c:v>4.8073000000000002E-20</c:v>
                      </c:pt>
                      <c:pt idx="20">
                        <c:v>5.9552999999999999E-12</c:v>
                      </c:pt>
                      <c:pt idx="21">
                        <c:v>4.2954999999999998E-7</c:v>
                      </c:pt>
                      <c:pt idx="22">
                        <c:v>8.9257000000000003E-2</c:v>
                      </c:pt>
                      <c:pt idx="23">
                        <c:v>0.21510000000000001</c:v>
                      </c:pt>
                      <c:pt idx="24">
                        <c:v>0.22767000000000001</c:v>
                      </c:pt>
                      <c:pt idx="25">
                        <c:v>0.23136999999999999</c:v>
                      </c:pt>
                      <c:pt idx="26">
                        <c:v>0.23136999999999999</c:v>
                      </c:pt>
                      <c:pt idx="27">
                        <c:v>0.23405000000000001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(3)Ge[1]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6.0999000000000002E-30</c:v>
                      </c:pt>
                      <c:pt idx="19">
                        <c:v>1.5117999999999999E-21</c:v>
                      </c:pt>
                      <c:pt idx="20">
                        <c:v>1.2375E-13</c:v>
                      </c:pt>
                      <c:pt idx="21">
                        <c:v>6.0257E-9</c:v>
                      </c:pt>
                      <c:pt idx="22">
                        <c:v>1.1739999999999999E-3</c:v>
                      </c:pt>
                      <c:pt idx="23">
                        <c:v>4.5361999999999998E-3</c:v>
                      </c:pt>
                      <c:pt idx="24">
                        <c:v>5.8811999999999996E-3</c:v>
                      </c:pt>
                      <c:pt idx="25">
                        <c:v>6.5624000000000004E-3</c:v>
                      </c:pt>
                      <c:pt idx="26">
                        <c:v>6.5624000000000004E-3</c:v>
                      </c:pt>
                      <c:pt idx="27">
                        <c:v>7.2538999999999998E-3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(3)Se[1]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3.1106000000000001E-36</c:v>
                      </c:pt>
                      <c:pt idx="19">
                        <c:v>5.6790999999999999E-28</c:v>
                      </c:pt>
                      <c:pt idx="20">
                        <c:v>3.4210000000000003E-20</c:v>
                      </c:pt>
                      <c:pt idx="21">
                        <c:v>1.2351000000000001E-15</c:v>
                      </c:pt>
                      <c:pt idx="22">
                        <c:v>2.0084E-10</c:v>
                      </c:pt>
                      <c:pt idx="23">
                        <c:v>2.8795000000000002E-10</c:v>
                      </c:pt>
                      <c:pt idx="24">
                        <c:v>2.2090999999999999E-10</c:v>
                      </c:pt>
                      <c:pt idx="25">
                        <c:v>1.9096000000000001E-10</c:v>
                      </c:pt>
                      <c:pt idx="26">
                        <c:v>1.9096000000000001E-10</c:v>
                      </c:pt>
                      <c:pt idx="27">
                        <c:v>1.6429999999999999E-10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-18.98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>
                        <c:v>-18.97</c:v>
                      </c:pt>
                      <c:pt idx="5">
                        <c:v>-18.989999999999998</c:v>
                      </c:pt>
                      <c:pt idx="6">
                        <c:v>-19.02</c:v>
                      </c:pt>
                      <c:pt idx="7">
                        <c:v>-19.05</c:v>
                      </c:pt>
                      <c:pt idx="8">
                        <c:v>-19.079999999999998</c:v>
                      </c:pt>
                      <c:pt idx="9">
                        <c:v>-19.2</c:v>
                      </c:pt>
                      <c:pt idx="10">
                        <c:v>-19.23</c:v>
                      </c:pt>
                      <c:pt idx="11">
                        <c:v>-19.27</c:v>
                      </c:pt>
                      <c:pt idx="12">
                        <c:v>-19.309999999999999</c:v>
                      </c:pt>
                      <c:pt idx="13">
                        <c:v>-19.36</c:v>
                      </c:pt>
                      <c:pt idx="14">
                        <c:v>-19.399999999999999</c:v>
                      </c:pt>
                      <c:pt idx="15">
                        <c:v>-19.440000000000001</c:v>
                      </c:pt>
                      <c:pt idx="16">
                        <c:v>-19.47</c:v>
                      </c:pt>
                      <c:pt idx="17">
                        <c:v>-19.48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-19.809999999999999</c:v>
                      </c:pt>
                      <c:pt idx="25">
                        <c:v>-19.850000000000001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-66.099999999999994</c:v>
                      </c:pt>
                      <c:pt idx="1">
                        <c:v>-61.67</c:v>
                      </c:pt>
                      <c:pt idx="2">
                        <c:v>-57.42</c:v>
                      </c:pt>
                      <c:pt idx="3">
                        <c:v>-53.18</c:v>
                      </c:pt>
                      <c:pt idx="4">
                        <c:v>-49.01</c:v>
                      </c:pt>
                      <c:pt idx="5">
                        <c:v>-45.05</c:v>
                      </c:pt>
                      <c:pt idx="6">
                        <c:v>-41.4</c:v>
                      </c:pt>
                      <c:pt idx="7">
                        <c:v>-38.08</c:v>
                      </c:pt>
                      <c:pt idx="8">
                        <c:v>-35.11</c:v>
                      </c:pt>
                      <c:pt idx="9">
                        <c:v>-25.6</c:v>
                      </c:pt>
                      <c:pt idx="10">
                        <c:v>-23.53</c:v>
                      </c:pt>
                      <c:pt idx="11">
                        <c:v>-21.56</c:v>
                      </c:pt>
                      <c:pt idx="12">
                        <c:v>-19.7</c:v>
                      </c:pt>
                      <c:pt idx="13">
                        <c:v>-17.95</c:v>
                      </c:pt>
                      <c:pt idx="14">
                        <c:v>-16.29</c:v>
                      </c:pt>
                      <c:pt idx="15">
                        <c:v>-14.73</c:v>
                      </c:pt>
                      <c:pt idx="16">
                        <c:v>-13.28</c:v>
                      </c:pt>
                      <c:pt idx="17">
                        <c:v>-12.01</c:v>
                      </c:pt>
                      <c:pt idx="18">
                        <c:v>-9.1259999999999994</c:v>
                      </c:pt>
                      <c:pt idx="19">
                        <c:v>-8.6280000000000001</c:v>
                      </c:pt>
                      <c:pt idx="20">
                        <c:v>-8.1609999999999996</c:v>
                      </c:pt>
                      <c:pt idx="21">
                        <c:v>-7.7220000000000004</c:v>
                      </c:pt>
                      <c:pt idx="22">
                        <c:v>-7.61</c:v>
                      </c:pt>
                      <c:pt idx="23">
                        <c:v>-7.883</c:v>
                      </c:pt>
                      <c:pt idx="24">
                        <c:v>-8.0139999999999993</c:v>
                      </c:pt>
                      <c:pt idx="25">
                        <c:v>-8.077</c:v>
                      </c:pt>
                      <c:pt idx="26">
                        <c:v>-8.077</c:v>
                      </c:pt>
                      <c:pt idx="27">
                        <c:v>-8.14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-17.28</c:v>
                      </c:pt>
                      <c:pt idx="1">
                        <c:v>-16.32</c:v>
                      </c:pt>
                      <c:pt idx="2">
                        <c:v>-15.18</c:v>
                      </c:pt>
                      <c:pt idx="3">
                        <c:v>-13.82</c:v>
                      </c:pt>
                      <c:pt idx="4">
                        <c:v>-12.36</c:v>
                      </c:pt>
                      <c:pt idx="5">
                        <c:v>-10.95</c:v>
                      </c:pt>
                      <c:pt idx="6">
                        <c:v>-9.6379999999999999</c:v>
                      </c:pt>
                      <c:pt idx="7">
                        <c:v>-8.4860000000000007</c:v>
                      </c:pt>
                      <c:pt idx="8">
                        <c:v>-7.5510000000000002</c:v>
                      </c:pt>
                      <c:pt idx="9">
                        <c:v>-6.1029999999999998</c:v>
                      </c:pt>
                      <c:pt idx="10">
                        <c:v>-6.0819999999999999</c:v>
                      </c:pt>
                      <c:pt idx="11">
                        <c:v>-6.0990000000000002</c:v>
                      </c:pt>
                      <c:pt idx="12">
                        <c:v>-6.1340000000000003</c:v>
                      </c:pt>
                      <c:pt idx="13">
                        <c:v>-6.1779999999999999</c:v>
                      </c:pt>
                      <c:pt idx="14">
                        <c:v>-6.226</c:v>
                      </c:pt>
                      <c:pt idx="15">
                        <c:v>-6.2809999999999997</c:v>
                      </c:pt>
                      <c:pt idx="16">
                        <c:v>-6.36</c:v>
                      </c:pt>
                      <c:pt idx="17">
                        <c:v>-6.5149999999999997</c:v>
                      </c:pt>
                      <c:pt idx="18">
                        <c:v>-7.3369999999999997</c:v>
                      </c:pt>
                      <c:pt idx="19">
                        <c:v>-7.4089999999999998</c:v>
                      </c:pt>
                      <c:pt idx="20">
                        <c:v>-7.4740000000000002</c:v>
                      </c:pt>
                      <c:pt idx="21">
                        <c:v>-7.5410000000000004</c:v>
                      </c:pt>
                      <c:pt idx="22">
                        <c:v>-7.6</c:v>
                      </c:pt>
                      <c:pt idx="23">
                        <c:v>-7.7830000000000004</c:v>
                      </c:pt>
                      <c:pt idx="24">
                        <c:v>-7.8780000000000001</c:v>
                      </c:pt>
                      <c:pt idx="25">
                        <c:v>-7.9269999999999996</c:v>
                      </c:pt>
                      <c:pt idx="26">
                        <c:v>-7.9269999999999996</c:v>
                      </c:pt>
                      <c:pt idx="27">
                        <c:v>-7.976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-23.57</c:v>
                      </c:pt>
                      <c:pt idx="1">
                        <c:v>-22.38</c:v>
                      </c:pt>
                      <c:pt idx="2">
                        <c:v>-21.62</c:v>
                      </c:pt>
                      <c:pt idx="3">
                        <c:v>-21.32</c:v>
                      </c:pt>
                      <c:pt idx="4">
                        <c:v>-21.34</c:v>
                      </c:pt>
                      <c:pt idx="5">
                        <c:v>-21.53</c:v>
                      </c:pt>
                      <c:pt idx="6">
                        <c:v>-21.78</c:v>
                      </c:pt>
                      <c:pt idx="7">
                        <c:v>-22.03</c:v>
                      </c:pt>
                      <c:pt idx="8">
                        <c:v>-22.25</c:v>
                      </c:pt>
                      <c:pt idx="9">
                        <c:v>-23.02</c:v>
                      </c:pt>
                      <c:pt idx="10">
                        <c:v>-23.29</c:v>
                      </c:pt>
                      <c:pt idx="11">
                        <c:v>-23.57</c:v>
                      </c:pt>
                      <c:pt idx="12">
                        <c:v>-23.86</c:v>
                      </c:pt>
                      <c:pt idx="13">
                        <c:v>-24.15</c:v>
                      </c:pt>
                      <c:pt idx="14">
                        <c:v>-24.44</c:v>
                      </c:pt>
                      <c:pt idx="15">
                        <c:v>-24.72</c:v>
                      </c:pt>
                      <c:pt idx="16">
                        <c:v>-24.99</c:v>
                      </c:pt>
                      <c:pt idx="17">
                        <c:v>-25.22</c:v>
                      </c:pt>
                      <c:pt idx="18">
                        <c:v>-26.06</c:v>
                      </c:pt>
                      <c:pt idx="19">
                        <c:v>-26.32</c:v>
                      </c:pt>
                      <c:pt idx="20">
                        <c:v>-26.58</c:v>
                      </c:pt>
                      <c:pt idx="21">
                        <c:v>-26.85</c:v>
                      </c:pt>
                      <c:pt idx="22">
                        <c:v>-26.99</c:v>
                      </c:pt>
                      <c:pt idx="23">
                        <c:v>-27.82</c:v>
                      </c:pt>
                      <c:pt idx="24">
                        <c:v>-28.29</c:v>
                      </c:pt>
                      <c:pt idx="25">
                        <c:v>-28.53</c:v>
                      </c:pt>
                      <c:pt idx="26">
                        <c:v>-28.53</c:v>
                      </c:pt>
                      <c:pt idx="27">
                        <c:v>-28.76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-133.13363457565376</c:v>
                </c:pt>
                <c:pt idx="1">
                  <c:v>-139.10326147871839</c:v>
                </c:pt>
                <c:pt idx="2">
                  <c:v>-152.68618597186477</c:v>
                </c:pt>
                <c:pt idx="3">
                  <c:v>-171.93908209074115</c:v>
                </c:pt>
                <c:pt idx="4">
                  <c:v>-188.20890099920402</c:v>
                </c:pt>
                <c:pt idx="5">
                  <c:v>-198.44571416473318</c:v>
                </c:pt>
                <c:pt idx="6">
                  <c:v>-205.80007583577222</c:v>
                </c:pt>
                <c:pt idx="7">
                  <c:v>-214.47511663039913</c:v>
                </c:pt>
                <c:pt idx="8">
                  <c:v>-229.22514287958015</c:v>
                </c:pt>
                <c:pt idx="9">
                  <c:v>-349.5563393564039</c:v>
                </c:pt>
                <c:pt idx="10">
                  <c:v>-369.99264545741107</c:v>
                </c:pt>
                <c:pt idx="11">
                  <c:v>-384.77061266288393</c:v>
                </c:pt>
                <c:pt idx="12">
                  <c:v>-396.66010848168872</c:v>
                </c:pt>
                <c:pt idx="13">
                  <c:v>-407.26642083799237</c:v>
                </c:pt>
                <c:pt idx="14">
                  <c:v>-417.65416527765279</c:v>
                </c:pt>
                <c:pt idx="15">
                  <c:v>-429.78512898709681</c:v>
                </c:pt>
                <c:pt idx="16">
                  <c:v>-451.11480139657613</c:v>
                </c:pt>
                <c:pt idx="17">
                  <c:v>-503.03980798000754</c:v>
                </c:pt>
                <c:pt idx="18">
                  <c:v>-796.60151527500125</c:v>
                </c:pt>
                <c:pt idx="19">
                  <c:v>-822.73302684183943</c:v>
                </c:pt>
                <c:pt idx="20">
                  <c:v>-846.34354088873488</c:v>
                </c:pt>
                <c:pt idx="21">
                  <c:v>-869.84283024107538</c:v>
                </c:pt>
                <c:pt idx="22">
                  <c:v>-854.02093942382908</c:v>
                </c:pt>
                <c:pt idx="23">
                  <c:v>-895.68077996568695</c:v>
                </c:pt>
                <c:pt idx="24">
                  <c:v>-926.69223930697353</c:v>
                </c:pt>
                <c:pt idx="25">
                  <c:v>-952.44327877363605</c:v>
                </c:pt>
                <c:pt idx="26">
                  <c:v>-972.08170593607315</c:v>
                </c:pt>
                <c:pt idx="27">
                  <c:v>-998.75078950744785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-461.15385499700756</c:v>
                </c:pt>
                <c:pt idx="1">
                  <c:v>-466.30212942353387</c:v>
                </c:pt>
                <c:pt idx="2">
                  <c:v>-473.88338033103923</c:v>
                </c:pt>
                <c:pt idx="3">
                  <c:v>-483.88849543637969</c:v>
                </c:pt>
                <c:pt idx="4">
                  <c:v>-493.66476494528661</c:v>
                </c:pt>
                <c:pt idx="5">
                  <c:v>-501.92696733231992</c:v>
                </c:pt>
                <c:pt idx="6">
                  <c:v>-509.57840079243817</c:v>
                </c:pt>
                <c:pt idx="7">
                  <c:v>-518.17356576060854</c:v>
                </c:pt>
                <c:pt idx="8">
                  <c:v>-530.07678108301354</c:v>
                </c:pt>
                <c:pt idx="9">
                  <c:v>-616.69627562254254</c:v>
                </c:pt>
                <c:pt idx="10">
                  <c:v>-634.93834294558997</c:v>
                </c:pt>
                <c:pt idx="11">
                  <c:v>-649.97357207007519</c:v>
                </c:pt>
                <c:pt idx="12">
                  <c:v>-663.45543646997669</c:v>
                </c:pt>
                <c:pt idx="13">
                  <c:v>-676.25621235348967</c:v>
                </c:pt>
                <c:pt idx="14">
                  <c:v>-688.75912684065133</c:v>
                </c:pt>
                <c:pt idx="15">
                  <c:v>-701.18686473037735</c:v>
                </c:pt>
                <c:pt idx="16">
                  <c:v>-713.91101476771041</c:v>
                </c:pt>
                <c:pt idx="17">
                  <c:v>-727.39647886180558</c:v>
                </c:pt>
                <c:pt idx="18">
                  <c:v>-802.49539064179658</c:v>
                </c:pt>
                <c:pt idx="19">
                  <c:v>-824.47876368701998</c:v>
                </c:pt>
                <c:pt idx="20">
                  <c:v>-846.87185816828423</c:v>
                </c:pt>
                <c:pt idx="21">
                  <c:v>-870.00685036652931</c:v>
                </c:pt>
                <c:pt idx="22">
                  <c:v>-854.06186275696541</c:v>
                </c:pt>
                <c:pt idx="23">
                  <c:v>-895.68081205767521</c:v>
                </c:pt>
                <c:pt idx="24">
                  <c:v>-926.69224509833987</c:v>
                </c:pt>
                <c:pt idx="25">
                  <c:v>-952.44328000246765</c:v>
                </c:pt>
                <c:pt idx="26">
                  <c:v>-972.0817064844224</c:v>
                </c:pt>
                <c:pt idx="27">
                  <c:v>-998.75079023111334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-461.15385499700756</c:v>
                </c:pt>
                <c:pt idx="1">
                  <c:v>-466.30212942353387</c:v>
                </c:pt>
                <c:pt idx="2">
                  <c:v>-473.88338033103923</c:v>
                </c:pt>
                <c:pt idx="3">
                  <c:v>-483.88849543637969</c:v>
                </c:pt>
                <c:pt idx="4">
                  <c:v>-493.66476494528666</c:v>
                </c:pt>
                <c:pt idx="5">
                  <c:v>-501.92696733231998</c:v>
                </c:pt>
                <c:pt idx="6">
                  <c:v>-509.57840079243812</c:v>
                </c:pt>
                <c:pt idx="7">
                  <c:v>-518.17356576060854</c:v>
                </c:pt>
                <c:pt idx="8">
                  <c:v>-530.07678108301354</c:v>
                </c:pt>
                <c:pt idx="9">
                  <c:v>-616.69627562254254</c:v>
                </c:pt>
                <c:pt idx="10">
                  <c:v>-634.93834294558997</c:v>
                </c:pt>
                <c:pt idx="11">
                  <c:v>-649.97357207007531</c:v>
                </c:pt>
                <c:pt idx="12">
                  <c:v>-663.4554364699768</c:v>
                </c:pt>
                <c:pt idx="13">
                  <c:v>-676.25621235348967</c:v>
                </c:pt>
                <c:pt idx="14">
                  <c:v>-688.75912684065133</c:v>
                </c:pt>
                <c:pt idx="15">
                  <c:v>-701.18686473037724</c:v>
                </c:pt>
                <c:pt idx="16">
                  <c:v>-713.91101476771041</c:v>
                </c:pt>
                <c:pt idx="17">
                  <c:v>-727.39647886180558</c:v>
                </c:pt>
                <c:pt idx="18">
                  <c:v>-802.49539064179658</c:v>
                </c:pt>
                <c:pt idx="19">
                  <c:v>-824.47876368701998</c:v>
                </c:pt>
                <c:pt idx="20">
                  <c:v>-846.87185817102295</c:v>
                </c:pt>
                <c:pt idx="21">
                  <c:v>-870.00704100916801</c:v>
                </c:pt>
                <c:pt idx="22">
                  <c:v>-894.04276064003</c:v>
                </c:pt>
                <c:pt idx="23">
                  <c:v>-1005.9226787006012</c:v>
                </c:pt>
                <c:pt idx="24">
                  <c:v>-1048.4653162036345</c:v>
                </c:pt>
                <c:pt idx="25">
                  <c:v>-1080.1536879580401</c:v>
                </c:pt>
                <c:pt idx="26">
                  <c:v>-1102.4804744240535</c:v>
                </c:pt>
                <c:pt idx="27">
                  <c:v>-1134.7638233307052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-1135.6165820000001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-503.47251364700008</c:v>
                </c:pt>
                <c:pt idx="1">
                  <c:v>-508.7578001765001</c:v>
                </c:pt>
                <c:pt idx="2">
                  <c:v>-514.43773722000014</c:v>
                </c:pt>
                <c:pt idx="3">
                  <c:v>-520.87526656000011</c:v>
                </c:pt>
                <c:pt idx="4">
                  <c:v>-527.89458640850012</c:v>
                </c:pt>
                <c:pt idx="5">
                  <c:v>-535.47510174900015</c:v>
                </c:pt>
                <c:pt idx="6">
                  <c:v>-543.42224552130017</c:v>
                </c:pt>
                <c:pt idx="7">
                  <c:v>-551.66807551150009</c:v>
                </c:pt>
                <c:pt idx="8">
                  <c:v>-560.46310677315</c:v>
                </c:pt>
                <c:pt idx="9">
                  <c:v>-603.58213287390004</c:v>
                </c:pt>
                <c:pt idx="10">
                  <c:v>-616.59053119040004</c:v>
                </c:pt>
                <c:pt idx="11">
                  <c:v>-629.92643211890004</c:v>
                </c:pt>
                <c:pt idx="12">
                  <c:v>-643.69714924799996</c:v>
                </c:pt>
                <c:pt idx="13">
                  <c:v>-657.78138233720006</c:v>
                </c:pt>
                <c:pt idx="14">
                  <c:v>-672.07957966080005</c:v>
                </c:pt>
                <c:pt idx="15">
                  <c:v>-686.56171090769999</c:v>
                </c:pt>
                <c:pt idx="16">
                  <c:v>-701.47897763200001</c:v>
                </c:pt>
                <c:pt idx="17">
                  <c:v>-717.18963279250011</c:v>
                </c:pt>
                <c:pt idx="18">
                  <c:v>-798.7449965635501</c:v>
                </c:pt>
                <c:pt idx="19">
                  <c:v>-821.86317446894998</c:v>
                </c:pt>
                <c:pt idx="20">
                  <c:v>-845.37247698605006</c:v>
                </c:pt>
                <c:pt idx="21">
                  <c:v>-869.59477503885</c:v>
                </c:pt>
                <c:pt idx="22">
                  <c:v>-894.07510500750016</c:v>
                </c:pt>
                <c:pt idx="23">
                  <c:v>-1010.3735967312001</c:v>
                </c:pt>
                <c:pt idx="24">
                  <c:v>-1049.7085339664</c:v>
                </c:pt>
                <c:pt idx="25">
                  <c:v>-1081.1686619164</c:v>
                </c:pt>
                <c:pt idx="26">
                  <c:v>-1103.9277354582</c:v>
                </c:pt>
                <c:pt idx="27">
                  <c:v>-1135.6165820000001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-6.192657432914424E-26</c:v>
                      </c:pt>
                      <c:pt idx="19">
                        <c:v>-2.295950685355751E-17</c:v>
                      </c:pt>
                      <c:pt idx="20">
                        <c:v>-2.7387124451629889E-9</c:v>
                      </c:pt>
                      <c:pt idx="21">
                        <c:v>-1.9064263877626006E-4</c:v>
                      </c:pt>
                      <c:pt idx="22">
                        <c:v>-39.980897883064543</c:v>
                      </c:pt>
                      <c:pt idx="23">
                        <c:v>-110.24186664292597</c:v>
                      </c:pt>
                      <c:pt idx="24">
                        <c:v>-121.77307110529472</c:v>
                      </c:pt>
                      <c:pt idx="25">
                        <c:v>-127.71040795557241</c:v>
                      </c:pt>
                      <c:pt idx="26">
                        <c:v>-130.39876793963094</c:v>
                      </c:pt>
                      <c:pt idx="27">
                        <c:v>-136.01303309959204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-328.02022042135377</c:v>
                      </c:pt>
                      <c:pt idx="1">
                        <c:v>-327.19886794481545</c:v>
                      </c:pt>
                      <c:pt idx="2">
                        <c:v>-321.19719435917443</c:v>
                      </c:pt>
                      <c:pt idx="3">
                        <c:v>-311.9494133456385</c:v>
                      </c:pt>
                      <c:pt idx="4">
                        <c:v>-305.45586394608262</c:v>
                      </c:pt>
                      <c:pt idx="5">
                        <c:v>-303.48125316758677</c:v>
                      </c:pt>
                      <c:pt idx="6">
                        <c:v>-303.77832495666593</c:v>
                      </c:pt>
                      <c:pt idx="7">
                        <c:v>-303.69844913020938</c:v>
                      </c:pt>
                      <c:pt idx="8">
                        <c:v>-300.85163820343337</c:v>
                      </c:pt>
                      <c:pt idx="9">
                        <c:v>-267.1399362661387</c:v>
                      </c:pt>
                      <c:pt idx="10">
                        <c:v>-264.94569748817889</c:v>
                      </c:pt>
                      <c:pt idx="11">
                        <c:v>-265.20295940719126</c:v>
                      </c:pt>
                      <c:pt idx="12">
                        <c:v>-266.79532798828797</c:v>
                      </c:pt>
                      <c:pt idx="13">
                        <c:v>-268.9897915154973</c:v>
                      </c:pt>
                      <c:pt idx="14">
                        <c:v>-271.1049615629986</c:v>
                      </c:pt>
                      <c:pt idx="15">
                        <c:v>-271.40173574328054</c:v>
                      </c:pt>
                      <c:pt idx="16">
                        <c:v>-262.79621337113429</c:v>
                      </c:pt>
                      <c:pt idx="17">
                        <c:v>-224.35667088179801</c:v>
                      </c:pt>
                      <c:pt idx="18">
                        <c:v>-5.8938753667952755</c:v>
                      </c:pt>
                      <c:pt idx="19">
                        <c:v>-1.7457368451805173</c:v>
                      </c:pt>
                      <c:pt idx="20">
                        <c:v>-0.52831727954934393</c:v>
                      </c:pt>
                      <c:pt idx="21">
                        <c:v>-0.1640201254538784</c:v>
                      </c:pt>
                      <c:pt idx="22">
                        <c:v>-4.0923333136367035E-2</c:v>
                      </c:pt>
                      <c:pt idx="23">
                        <c:v>-3.2091988245072996E-5</c:v>
                      </c:pt>
                      <c:pt idx="24">
                        <c:v>-5.7913663404253592E-6</c:v>
                      </c:pt>
                      <c:pt idx="25">
                        <c:v>-1.2288315426471078E-6</c:v>
                      </c:pt>
                      <c:pt idx="26">
                        <c:v>-5.4834922285764367E-7</c:v>
                      </c:pt>
                      <c:pt idx="27">
                        <c:v>-7.2366549486476562E-7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-328.02022042135377</c:v>
                      </c:pt>
                      <c:pt idx="1">
                        <c:v>-327.19886794481545</c:v>
                      </c:pt>
                      <c:pt idx="2">
                        <c:v>-321.19719435917443</c:v>
                      </c:pt>
                      <c:pt idx="3">
                        <c:v>-311.9494133456385</c:v>
                      </c:pt>
                      <c:pt idx="4">
                        <c:v>-305.45586394608262</c:v>
                      </c:pt>
                      <c:pt idx="5">
                        <c:v>-303.48125316758677</c:v>
                      </c:pt>
                      <c:pt idx="6">
                        <c:v>-303.77832495666593</c:v>
                      </c:pt>
                      <c:pt idx="7">
                        <c:v>-303.69844913020938</c:v>
                      </c:pt>
                      <c:pt idx="8">
                        <c:v>-300.85163820343337</c:v>
                      </c:pt>
                      <c:pt idx="9">
                        <c:v>-267.1399362661387</c:v>
                      </c:pt>
                      <c:pt idx="10">
                        <c:v>-264.94569748817889</c:v>
                      </c:pt>
                      <c:pt idx="11">
                        <c:v>-265.20295940719126</c:v>
                      </c:pt>
                      <c:pt idx="12">
                        <c:v>-266.79532798828797</c:v>
                      </c:pt>
                      <c:pt idx="13">
                        <c:v>-268.9897915154973</c:v>
                      </c:pt>
                      <c:pt idx="14">
                        <c:v>-271.1049615629986</c:v>
                      </c:pt>
                      <c:pt idx="15">
                        <c:v>-271.40173574328054</c:v>
                      </c:pt>
                      <c:pt idx="16">
                        <c:v>-262.79621337113429</c:v>
                      </c:pt>
                      <c:pt idx="17">
                        <c:v>-224.35667088179801</c:v>
                      </c:pt>
                      <c:pt idx="18">
                        <c:v>-5.8938753667952755</c:v>
                      </c:pt>
                      <c:pt idx="19">
                        <c:v>-1.7457368451805173</c:v>
                      </c:pt>
                      <c:pt idx="20">
                        <c:v>-0.52831728228805641</c:v>
                      </c:pt>
                      <c:pt idx="21">
                        <c:v>-0.16421076809265467</c:v>
                      </c:pt>
                      <c:pt idx="22">
                        <c:v>-40.021821216200912</c:v>
                      </c:pt>
                      <c:pt idx="23">
                        <c:v>-110.24189873491422</c:v>
                      </c:pt>
                      <c:pt idx="24">
                        <c:v>-121.77307689666105</c:v>
                      </c:pt>
                      <c:pt idx="25">
                        <c:v>-127.71040918440394</c:v>
                      </c:pt>
                      <c:pt idx="26">
                        <c:v>-130.39876848798016</c:v>
                      </c:pt>
                      <c:pt idx="27">
                        <c:v>-136.01303382325753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2.0238000000000002E-31</c:v>
                </c:pt>
                <c:pt idx="9">
                  <c:v>1.0195E-19</c:v>
                </c:pt>
                <c:pt idx="10">
                  <c:v>7.8194E-20</c:v>
                </c:pt>
                <c:pt idx="11">
                  <c:v>1.9236999999999999E-19</c:v>
                </c:pt>
                <c:pt idx="12">
                  <c:v>3.5631000000000001E-19</c:v>
                </c:pt>
                <c:pt idx="13">
                  <c:v>5.9198999999999998E-19</c:v>
                </c:pt>
                <c:pt idx="14">
                  <c:v>6.7627999999999996E-19</c:v>
                </c:pt>
                <c:pt idx="15">
                  <c:v>8.9939999999999996E-20</c:v>
                </c:pt>
                <c:pt idx="16">
                  <c:v>4.7182000000000002E-20</c:v>
                </c:pt>
                <c:pt idx="17">
                  <c:v>7.3727999999999998E-22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1.7465999999999999E-9</c:v>
                </c:pt>
                <c:pt idx="1">
                  <c:v>3.1187E-9</c:v>
                </c:pt>
                <c:pt idx="2">
                  <c:v>4.9120000000000004E-9</c:v>
                </c:pt>
                <c:pt idx="3">
                  <c:v>5.1413E-9</c:v>
                </c:pt>
                <c:pt idx="4">
                  <c:v>8.3548000000000001E-9</c:v>
                </c:pt>
                <c:pt idx="5">
                  <c:v>6.6243E-9</c:v>
                </c:pt>
                <c:pt idx="6">
                  <c:v>5.5517999999999998E-9</c:v>
                </c:pt>
                <c:pt idx="7">
                  <c:v>8.1278000000000008E-9</c:v>
                </c:pt>
                <c:pt idx="8">
                  <c:v>2.7106000000000001E-9</c:v>
                </c:pt>
                <c:pt idx="9">
                  <c:v>1.0016E-27</c:v>
                </c:pt>
                <c:pt idx="10">
                  <c:v>6.4726999999999994E-36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2.5350000000000001E-33</c:v>
                </c:pt>
                <c:pt idx="19">
                  <c:v>6.1875999999999997E-24</c:v>
                </c:pt>
                <c:pt idx="20">
                  <c:v>3.2081999999999999E-15</c:v>
                </c:pt>
                <c:pt idx="21">
                  <c:v>4.8135999999999998E-10</c:v>
                </c:pt>
                <c:pt idx="22">
                  <c:v>1.1381E-4</c:v>
                </c:pt>
                <c:pt idx="23">
                  <c:v>9.3670999999999997E-3</c:v>
                </c:pt>
                <c:pt idx="24">
                  <c:v>6.8364999999999997E-3</c:v>
                </c:pt>
                <c:pt idx="25">
                  <c:v>4.8706000000000001E-3</c:v>
                </c:pt>
                <c:pt idx="26">
                  <c:v>3.3936000000000001E-3</c:v>
                </c:pt>
                <c:pt idx="27">
                  <c:v>2.3056999999999999E-3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2.0238000000000002E-31</c:v>
                </c:pt>
                <c:pt idx="9">
                  <c:v>1.0195E-19</c:v>
                </c:pt>
                <c:pt idx="10">
                  <c:v>7.8194E-20</c:v>
                </c:pt>
                <c:pt idx="11">
                  <c:v>1.9236999999999999E-19</c:v>
                </c:pt>
                <c:pt idx="12">
                  <c:v>3.5631000000000001E-19</c:v>
                </c:pt>
                <c:pt idx="13">
                  <c:v>5.9198999999999998E-19</c:v>
                </c:pt>
                <c:pt idx="14">
                  <c:v>6.7627999999999996E-19</c:v>
                </c:pt>
                <c:pt idx="15">
                  <c:v>8.9939999999999996E-20</c:v>
                </c:pt>
                <c:pt idx="16">
                  <c:v>4.7182000000000002E-20</c:v>
                </c:pt>
                <c:pt idx="17">
                  <c:v>7.3727999999999998E-22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0</c:v>
                </c:pt>
                <c:pt idx="1">
                  <c:v>1.0553E-32</c:v>
                </c:pt>
                <c:pt idx="2">
                  <c:v>5.9967999999999999E-25</c:v>
                </c:pt>
                <c:pt idx="3">
                  <c:v>7.394E-21</c:v>
                </c:pt>
                <c:pt idx="4">
                  <c:v>2.4273000000000002E-18</c:v>
                </c:pt>
                <c:pt idx="5">
                  <c:v>2.2218999999999999E-17</c:v>
                </c:pt>
                <c:pt idx="6">
                  <c:v>1.8018E-16</c:v>
                </c:pt>
                <c:pt idx="7">
                  <c:v>1.5621E-14</c:v>
                </c:pt>
                <c:pt idx="8">
                  <c:v>1.7854E-12</c:v>
                </c:pt>
                <c:pt idx="9">
                  <c:v>5.7444999999999998E-9</c:v>
                </c:pt>
                <c:pt idx="10">
                  <c:v>5.0760999999999999E-9</c:v>
                </c:pt>
                <c:pt idx="11">
                  <c:v>7.1047999999999997E-9</c:v>
                </c:pt>
                <c:pt idx="12">
                  <c:v>8.1356999999999995E-9</c:v>
                </c:pt>
                <c:pt idx="13">
                  <c:v>8.4486E-9</c:v>
                </c:pt>
                <c:pt idx="14">
                  <c:v>8.7772999999999995E-9</c:v>
                </c:pt>
                <c:pt idx="15">
                  <c:v>4.5932000000000002E-9</c:v>
                </c:pt>
                <c:pt idx="16">
                  <c:v>6.7450000000000002E-9</c:v>
                </c:pt>
                <c:pt idx="17">
                  <c:v>1.1172000000000001E-8</c:v>
                </c:pt>
                <c:pt idx="18">
                  <c:v>3.1079000000000003E-8</c:v>
                </c:pt>
                <c:pt idx="19">
                  <c:v>3.5956000000000001E-8</c:v>
                </c:pt>
                <c:pt idx="20">
                  <c:v>3.5671999999999997E-8</c:v>
                </c:pt>
                <c:pt idx="21">
                  <c:v>3.5401999999999999E-14</c:v>
                </c:pt>
                <c:pt idx="22">
                  <c:v>6.4792000000000002E-20</c:v>
                </c:pt>
                <c:pt idx="23">
                  <c:v>2.9942999999999999E-12</c:v>
                </c:pt>
                <c:pt idx="24">
                  <c:v>1.0896999999999999E-11</c:v>
                </c:pt>
                <c:pt idx="25">
                  <c:v>2.7919E-11</c:v>
                </c:pt>
                <c:pt idx="26">
                  <c:v>5.4146E-11</c:v>
                </c:pt>
                <c:pt idx="27">
                  <c:v>9.6280999999999998E-11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3.9077000000000001E-2</c:v>
                </c:pt>
                <c:pt idx="1">
                  <c:v>3.6067000000000002E-2</c:v>
                </c:pt>
                <c:pt idx="2">
                  <c:v>2.8340000000000001E-2</c:v>
                </c:pt>
                <c:pt idx="3">
                  <c:v>1.7041000000000001E-2</c:v>
                </c:pt>
                <c:pt idx="4">
                  <c:v>7.8682999999999999E-3</c:v>
                </c:pt>
                <c:pt idx="5">
                  <c:v>3.1664000000000002E-3</c:v>
                </c:pt>
                <c:pt idx="6">
                  <c:v>1.2509000000000001E-3</c:v>
                </c:pt>
                <c:pt idx="7">
                  <c:v>5.1292000000000004E-4</c:v>
                </c:pt>
                <c:pt idx="8">
                  <c:v>2.1997999999999999E-4</c:v>
                </c:pt>
                <c:pt idx="9">
                  <c:v>3.5777000000000001E-6</c:v>
                </c:pt>
                <c:pt idx="10">
                  <c:v>9.5000999999999997E-7</c:v>
                </c:pt>
                <c:pt idx="11">
                  <c:v>2.4928999999999998E-7</c:v>
                </c:pt>
                <c:pt idx="12">
                  <c:v>6.7297999999999998E-8</c:v>
                </c:pt>
                <c:pt idx="13">
                  <c:v>1.9011000000000001E-8</c:v>
                </c:pt>
                <c:pt idx="14">
                  <c:v>5.6513000000000001E-9</c:v>
                </c:pt>
                <c:pt idx="15">
                  <c:v>1.7740000000000001E-9</c:v>
                </c:pt>
                <c:pt idx="16">
                  <c:v>5.9667999999999995E-10</c:v>
                </c:pt>
                <c:pt idx="17">
                  <c:v>2.2494E-10</c:v>
                </c:pt>
                <c:pt idx="18">
                  <c:v>7.5118000000000004E-12</c:v>
                </c:pt>
                <c:pt idx="19">
                  <c:v>3.0874E-12</c:v>
                </c:pt>
                <c:pt idx="20">
                  <c:v>1.2951E-12</c:v>
                </c:pt>
                <c:pt idx="21">
                  <c:v>5.5600999999999997E-13</c:v>
                </c:pt>
                <c:pt idx="22">
                  <c:v>3.0509999999999998E-13</c:v>
                </c:pt>
                <c:pt idx="23">
                  <c:v>1.9696000000000001E-14</c:v>
                </c:pt>
                <c:pt idx="24">
                  <c:v>9.7579999999999996E-15</c:v>
                </c:pt>
                <c:pt idx="25">
                  <c:v>4.8955E-15</c:v>
                </c:pt>
                <c:pt idx="26">
                  <c:v>2.4885000000000001E-15</c:v>
                </c:pt>
                <c:pt idx="27">
                  <c:v>1.2815E-15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4.0923000000000001E-2</c:v>
                </c:pt>
                <c:pt idx="1">
                  <c:v>4.3931999999999999E-2</c:v>
                </c:pt>
                <c:pt idx="2">
                  <c:v>5.1657000000000002E-2</c:v>
                </c:pt>
                <c:pt idx="3">
                  <c:v>6.2947000000000003E-2</c:v>
                </c:pt>
                <c:pt idx="4">
                  <c:v>7.2073999999999999E-2</c:v>
                </c:pt>
                <c:pt idx="5">
                  <c:v>7.6577999999999993E-2</c:v>
                </c:pt>
                <c:pt idx="6">
                  <c:v>7.7748999999999999E-2</c:v>
                </c:pt>
                <c:pt idx="7">
                  <c:v>7.6125999999999999E-2</c:v>
                </c:pt>
                <c:pt idx="8">
                  <c:v>7.0459999999999995E-2</c:v>
                </c:pt>
                <c:pt idx="9">
                  <c:v>1.4163E-2</c:v>
                </c:pt>
                <c:pt idx="10">
                  <c:v>6.9236000000000002E-3</c:v>
                </c:pt>
                <c:pt idx="11">
                  <c:v>3.2981999999999998E-3</c:v>
                </c:pt>
                <c:pt idx="12">
                  <c:v>1.5841E-3</c:v>
                </c:pt>
                <c:pt idx="13">
                  <c:v>7.7862999999999999E-4</c:v>
                </c:pt>
                <c:pt idx="14">
                  <c:v>3.9383000000000002E-4</c:v>
                </c:pt>
                <c:pt idx="15">
                  <c:v>2.0551E-4</c:v>
                </c:pt>
                <c:pt idx="16">
                  <c:v>1.1147E-4</c:v>
                </c:pt>
                <c:pt idx="17">
                  <c:v>6.4268000000000002E-5</c:v>
                </c:pt>
                <c:pt idx="18">
                  <c:v>9.4575000000000005E-6</c:v>
                </c:pt>
                <c:pt idx="19">
                  <c:v>5.7868999999999996E-6</c:v>
                </c:pt>
                <c:pt idx="20">
                  <c:v>3.5862999999999999E-6</c:v>
                </c:pt>
                <c:pt idx="21">
                  <c:v>2.2539000000000001E-6</c:v>
                </c:pt>
                <c:pt idx="22">
                  <c:v>1.5931E-6</c:v>
                </c:pt>
                <c:pt idx="23">
                  <c:v>3.446E-7</c:v>
                </c:pt>
                <c:pt idx="24">
                  <c:v>2.3418E-7</c:v>
                </c:pt>
                <c:pt idx="25">
                  <c:v>1.6037E-7</c:v>
                </c:pt>
                <c:pt idx="26">
                  <c:v>1.1068E-7</c:v>
                </c:pt>
                <c:pt idx="27">
                  <c:v>7.6971999999999996E-8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3.4567000000000001E-2</c:v>
                </c:pt>
                <c:pt idx="1">
                  <c:v>3.5472999999999998E-2</c:v>
                </c:pt>
                <c:pt idx="2">
                  <c:v>3.7713000000000003E-2</c:v>
                </c:pt>
                <c:pt idx="3">
                  <c:v>4.0785000000000002E-2</c:v>
                </c:pt>
                <c:pt idx="4">
                  <c:v>4.3124000000000003E-2</c:v>
                </c:pt>
                <c:pt idx="5">
                  <c:v>4.4311999999999997E-2</c:v>
                </c:pt>
                <c:pt idx="6">
                  <c:v>4.4941000000000002E-2</c:v>
                </c:pt>
                <c:pt idx="7">
                  <c:v>4.5662000000000001E-2</c:v>
                </c:pt>
                <c:pt idx="8">
                  <c:v>4.7073999999999998E-2</c:v>
                </c:pt>
                <c:pt idx="9">
                  <c:v>5.7796E-2</c:v>
                </c:pt>
                <c:pt idx="10">
                  <c:v>5.8943000000000002E-2</c:v>
                </c:pt>
                <c:pt idx="11">
                  <c:v>5.9500999999999998E-2</c:v>
                </c:pt>
                <c:pt idx="12">
                  <c:v>5.9761000000000002E-2</c:v>
                </c:pt>
                <c:pt idx="13">
                  <c:v>5.9881999999999998E-2</c:v>
                </c:pt>
                <c:pt idx="14">
                  <c:v>5.9935000000000002E-2</c:v>
                </c:pt>
                <c:pt idx="15">
                  <c:v>5.9936000000000003E-2</c:v>
                </c:pt>
                <c:pt idx="16">
                  <c:v>5.9750999999999999E-2</c:v>
                </c:pt>
                <c:pt idx="17">
                  <c:v>5.8089000000000002E-2</c:v>
                </c:pt>
                <c:pt idx="18">
                  <c:v>3.2477999999999999E-3</c:v>
                </c:pt>
                <c:pt idx="19">
                  <c:v>9.6513999999999996E-4</c:v>
                </c:pt>
                <c:pt idx="20">
                  <c:v>2.9058000000000003E-4</c:v>
                </c:pt>
                <c:pt idx="21">
                  <c:v>8.9747999999999995E-5</c:v>
                </c:pt>
                <c:pt idx="22">
                  <c:v>2.1749000000000001E-5</c:v>
                </c:pt>
                <c:pt idx="23">
                  <c:v>1.4412E-8</c:v>
                </c:pt>
                <c:pt idx="24">
                  <c:v>2.4533999999999998E-9</c:v>
                </c:pt>
                <c:pt idx="25">
                  <c:v>4.3905E-10</c:v>
                </c:pt>
                <c:pt idx="26">
                  <c:v>8.2502000000000004E-11</c:v>
                </c:pt>
                <c:pt idx="27">
                  <c:v>1.6246999999999999E-11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2.2917999999999999E-28</c:v>
                </c:pt>
                <c:pt idx="1">
                  <c:v>2.1267000000000001E-26</c:v>
                </c:pt>
                <c:pt idx="2">
                  <c:v>1.8936000000000001E-24</c:v>
                </c:pt>
                <c:pt idx="3">
                  <c:v>1.9599E-22</c:v>
                </c:pt>
                <c:pt idx="4">
                  <c:v>2.0106000000000001E-20</c:v>
                </c:pt>
                <c:pt idx="5">
                  <c:v>1.6409000000000001E-18</c:v>
                </c:pt>
                <c:pt idx="6">
                  <c:v>9.5222999999999999E-17</c:v>
                </c:pt>
                <c:pt idx="7">
                  <c:v>3.7863E-15</c:v>
                </c:pt>
                <c:pt idx="8">
                  <c:v>1.0221E-13</c:v>
                </c:pt>
                <c:pt idx="9">
                  <c:v>4.2230999999999996E-9</c:v>
                </c:pt>
                <c:pt idx="10">
                  <c:v>4.2098999999999999E-8</c:v>
                </c:pt>
                <c:pt idx="11">
                  <c:v>3.6928999999999999E-7</c:v>
                </c:pt>
                <c:pt idx="12">
                  <c:v>2.8582E-6</c:v>
                </c:pt>
                <c:pt idx="13">
                  <c:v>1.9658000000000001E-5</c:v>
                </c:pt>
                <c:pt idx="14">
                  <c:v>1.2113E-4</c:v>
                </c:pt>
                <c:pt idx="15">
                  <c:v>6.7195000000000004E-4</c:v>
                </c:pt>
                <c:pt idx="16">
                  <c:v>3.3199000000000002E-3</c:v>
                </c:pt>
                <c:pt idx="17">
                  <c:v>1.3724E-2</c:v>
                </c:pt>
                <c:pt idx="18">
                  <c:v>0.11</c:v>
                </c:pt>
                <c:pt idx="19">
                  <c:v>0.11003</c:v>
                </c:pt>
                <c:pt idx="20">
                  <c:v>0.10685</c:v>
                </c:pt>
                <c:pt idx="21">
                  <c:v>0.10188999999999999</c:v>
                </c:pt>
                <c:pt idx="22">
                  <c:v>5.7660000000000003E-2</c:v>
                </c:pt>
                <c:pt idx="23">
                  <c:v>1.3778E-3</c:v>
                </c:pt>
                <c:pt idx="24">
                  <c:v>5.6581000000000003E-4</c:v>
                </c:pt>
                <c:pt idx="25">
                  <c:v>2.3829E-4</c:v>
                </c:pt>
                <c:pt idx="26">
                  <c:v>1.0283E-4</c:v>
                </c:pt>
                <c:pt idx="27">
                  <c:v>4.5411999999999998E-5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1.5377000000000001E-7</c:v>
                </c:pt>
                <c:pt idx="1">
                  <c:v>4.1064999999999999E-7</c:v>
                </c:pt>
                <c:pt idx="2">
                  <c:v>1.3969999999999999E-6</c:v>
                </c:pt>
                <c:pt idx="3">
                  <c:v>6.1423999999999998E-6</c:v>
                </c:pt>
                <c:pt idx="4">
                  <c:v>2.9011999999999999E-5</c:v>
                </c:pt>
                <c:pt idx="5">
                  <c:v>1.2789E-4</c:v>
                </c:pt>
                <c:pt idx="6">
                  <c:v>4.9987000000000002E-4</c:v>
                </c:pt>
                <c:pt idx="7">
                  <c:v>1.6804999999999999E-3</c:v>
                </c:pt>
                <c:pt idx="8">
                  <c:v>4.6601999999999998E-3</c:v>
                </c:pt>
                <c:pt idx="9">
                  <c:v>3.2917000000000002E-2</c:v>
                </c:pt>
                <c:pt idx="10">
                  <c:v>3.6538000000000001E-2</c:v>
                </c:pt>
                <c:pt idx="11">
                  <c:v>3.8351000000000003E-2</c:v>
                </c:pt>
                <c:pt idx="12">
                  <c:v>3.9208E-2</c:v>
                </c:pt>
                <c:pt idx="13">
                  <c:v>3.9611E-2</c:v>
                </c:pt>
                <c:pt idx="14">
                  <c:v>3.9802999999999998E-2</c:v>
                </c:pt>
                <c:pt idx="15">
                  <c:v>3.9897000000000002E-2</c:v>
                </c:pt>
                <c:pt idx="16">
                  <c:v>3.9944E-2</c:v>
                </c:pt>
                <c:pt idx="17">
                  <c:v>3.9967999999999997E-2</c:v>
                </c:pt>
                <c:pt idx="18">
                  <c:v>3.9995000000000003E-2</c:v>
                </c:pt>
                <c:pt idx="19">
                  <c:v>3.9996999999999998E-2</c:v>
                </c:pt>
                <c:pt idx="20">
                  <c:v>3.9997999999999999E-2</c:v>
                </c:pt>
                <c:pt idx="21">
                  <c:v>3.9999E-2</c:v>
                </c:pt>
                <c:pt idx="22">
                  <c:v>3.9412000000000003E-2</c:v>
                </c:pt>
                <c:pt idx="23">
                  <c:v>3.7732000000000002E-2</c:v>
                </c:pt>
                <c:pt idx="24">
                  <c:v>3.7059000000000002E-2</c:v>
                </c:pt>
                <c:pt idx="25">
                  <c:v>3.6719000000000002E-2</c:v>
                </c:pt>
                <c:pt idx="26">
                  <c:v>3.6719000000000002E-2</c:v>
                </c:pt>
                <c:pt idx="27">
                  <c:v>3.6373000000000003E-2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3.0705000000000001E-28</c:v>
                </c:pt>
                <c:pt idx="1">
                  <c:v>2.6313000000000001E-26</c:v>
                </c:pt>
                <c:pt idx="2">
                  <c:v>1.9971999999999999E-24</c:v>
                </c:pt>
                <c:pt idx="3">
                  <c:v>1.5682999999999999E-22</c:v>
                </c:pt>
                <c:pt idx="4">
                  <c:v>1.1272E-20</c:v>
                </c:pt>
                <c:pt idx="5">
                  <c:v>6.3320999999999996E-19</c:v>
                </c:pt>
                <c:pt idx="6">
                  <c:v>2.5942E-17</c:v>
                </c:pt>
                <c:pt idx="7">
                  <c:v>7.6415999999999998E-16</c:v>
                </c:pt>
                <c:pt idx="8">
                  <c:v>1.6257999999999999E-14</c:v>
                </c:pt>
                <c:pt idx="9">
                  <c:v>3.6524000000000002E-10</c:v>
                </c:pt>
                <c:pt idx="10">
                  <c:v>3.1234999999999998E-9</c:v>
                </c:pt>
                <c:pt idx="11">
                  <c:v>2.3485000000000002E-8</c:v>
                </c:pt>
                <c:pt idx="12">
                  <c:v>1.5619E-7</c:v>
                </c:pt>
                <c:pt idx="13">
                  <c:v>9.2608999999999995E-7</c:v>
                </c:pt>
                <c:pt idx="14">
                  <c:v>4.9347000000000004E-6</c:v>
                </c:pt>
                <c:pt idx="15">
                  <c:v>2.3788999999999999E-5</c:v>
                </c:pt>
                <c:pt idx="16">
                  <c:v>1.0397E-4</c:v>
                </c:pt>
                <c:pt idx="17">
                  <c:v>4.0607000000000002E-4</c:v>
                </c:pt>
                <c:pt idx="18">
                  <c:v>1.1181999999999999E-2</c:v>
                </c:pt>
                <c:pt idx="19">
                  <c:v>1.7329000000000001E-2</c:v>
                </c:pt>
                <c:pt idx="20">
                  <c:v>2.5510999999999999E-2</c:v>
                </c:pt>
                <c:pt idx="21">
                  <c:v>3.5986999999999998E-2</c:v>
                </c:pt>
                <c:pt idx="22">
                  <c:v>3.5250999999999998E-2</c:v>
                </c:pt>
                <c:pt idx="23">
                  <c:v>1.2779E-2</c:v>
                </c:pt>
                <c:pt idx="24">
                  <c:v>6.9867999999999996E-3</c:v>
                </c:pt>
                <c:pt idx="25">
                  <c:v>5.0317000000000001E-3</c:v>
                </c:pt>
                <c:pt idx="26">
                  <c:v>5.0317000000000001E-3</c:v>
                </c:pt>
                <c:pt idx="27">
                  <c:v>3.5576000000000002E-3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1.0965999999999999E-9</c:v>
                </c:pt>
                <c:pt idx="1">
                  <c:v>3.6921000000000001E-9</c:v>
                </c:pt>
                <c:pt idx="2">
                  <c:v>8.5473E-9</c:v>
                </c:pt>
                <c:pt idx="3">
                  <c:v>1.3043E-8</c:v>
                </c:pt>
                <c:pt idx="4">
                  <c:v>1.4094E-8</c:v>
                </c:pt>
                <c:pt idx="5">
                  <c:v>1.2493999999999999E-8</c:v>
                </c:pt>
                <c:pt idx="6">
                  <c:v>1.0293999999999999E-8</c:v>
                </c:pt>
                <c:pt idx="7">
                  <c:v>8.5355000000000006E-9</c:v>
                </c:pt>
                <c:pt idx="8">
                  <c:v>7.5341000000000003E-9</c:v>
                </c:pt>
                <c:pt idx="9">
                  <c:v>6.2337999999999997E-9</c:v>
                </c:pt>
                <c:pt idx="10">
                  <c:v>5.5016999999999997E-9</c:v>
                </c:pt>
                <c:pt idx="11">
                  <c:v>4.6917999999999999E-9</c:v>
                </c:pt>
                <c:pt idx="12">
                  <c:v>3.9359999999999996E-9</c:v>
                </c:pt>
                <c:pt idx="13">
                  <c:v>3.2794000000000001E-9</c:v>
                </c:pt>
                <c:pt idx="14">
                  <c:v>2.7289E-9</c:v>
                </c:pt>
                <c:pt idx="15">
                  <c:v>2.2864999999999999E-9</c:v>
                </c:pt>
                <c:pt idx="16">
                  <c:v>1.9831999999999999E-9</c:v>
                </c:pt>
                <c:pt idx="17">
                  <c:v>1.9241E-9</c:v>
                </c:pt>
                <c:pt idx="18">
                  <c:v>2.2318000000000001E-9</c:v>
                </c:pt>
                <c:pt idx="19">
                  <c:v>1.9126999999999998E-9</c:v>
                </c:pt>
                <c:pt idx="20">
                  <c:v>1.6253E-9</c:v>
                </c:pt>
                <c:pt idx="21">
                  <c:v>1.3817999999999999E-9</c:v>
                </c:pt>
                <c:pt idx="22">
                  <c:v>1.2945E-9</c:v>
                </c:pt>
                <c:pt idx="23">
                  <c:v>7.3185000000000001E-10</c:v>
                </c:pt>
                <c:pt idx="24">
                  <c:v>5.2128999999999996E-10</c:v>
                </c:pt>
                <c:pt idx="25">
                  <c:v>4.4019000000000001E-10</c:v>
                </c:pt>
                <c:pt idx="26">
                  <c:v>4.4019000000000001E-10</c:v>
                </c:pt>
                <c:pt idx="27">
                  <c:v>3.7200000000000001E-10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2.5274E-10</c:v>
                </c:pt>
                <c:pt idx="1">
                  <c:v>9.8982E-10</c:v>
                </c:pt>
                <c:pt idx="2">
                  <c:v>2.6168999999999999E-9</c:v>
                </c:pt>
                <c:pt idx="3">
                  <c:v>4.4917000000000001E-9</c:v>
                </c:pt>
                <c:pt idx="4">
                  <c:v>5.3905000000000004E-9</c:v>
                </c:pt>
                <c:pt idx="5">
                  <c:v>5.2493999999999997E-9</c:v>
                </c:pt>
                <c:pt idx="6">
                  <c:v>4.7075999999999997E-9</c:v>
                </c:pt>
                <c:pt idx="7">
                  <c:v>4.2145999999999999E-9</c:v>
                </c:pt>
                <c:pt idx="8">
                  <c:v>3.9888000000000001E-9</c:v>
                </c:pt>
                <c:pt idx="9">
                  <c:v>3.8814999999999999E-9</c:v>
                </c:pt>
                <c:pt idx="10">
                  <c:v>3.3883E-9</c:v>
                </c:pt>
                <c:pt idx="11">
                  <c:v>2.8564999999999998E-9</c:v>
                </c:pt>
                <c:pt idx="12">
                  <c:v>2.3681000000000001E-9</c:v>
                </c:pt>
                <c:pt idx="13">
                  <c:v>1.9492999999999999E-9</c:v>
                </c:pt>
                <c:pt idx="14">
                  <c:v>1.6021999999999999E-9</c:v>
                </c:pt>
                <c:pt idx="15">
                  <c:v>1.326E-9</c:v>
                </c:pt>
                <c:pt idx="16">
                  <c:v>1.1359E-9</c:v>
                </c:pt>
                <c:pt idx="17">
                  <c:v>1.0884000000000001E-9</c:v>
                </c:pt>
                <c:pt idx="18">
                  <c:v>1.202E-9</c:v>
                </c:pt>
                <c:pt idx="19">
                  <c:v>1.0177999999999999E-9</c:v>
                </c:pt>
                <c:pt idx="20">
                  <c:v>8.5457999999999996E-10</c:v>
                </c:pt>
                <c:pt idx="21">
                  <c:v>7.1800999999999998E-10</c:v>
                </c:pt>
                <c:pt idx="22">
                  <c:v>6.6482999999999997E-10</c:v>
                </c:pt>
                <c:pt idx="23">
                  <c:v>3.5903E-10</c:v>
                </c:pt>
                <c:pt idx="24">
                  <c:v>2.5007E-10</c:v>
                </c:pt>
                <c:pt idx="25">
                  <c:v>2.0884E-10</c:v>
                </c:pt>
                <c:pt idx="26">
                  <c:v>2.0884E-10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9.2352999999999999E-4</c:v>
                </c:pt>
                <c:pt idx="1">
                  <c:v>3.9338999999999997E-3</c:v>
                </c:pt>
                <c:pt idx="2">
                  <c:v>1.1663E-2</c:v>
                </c:pt>
                <c:pt idx="3">
                  <c:v>2.2970999999999998E-2</c:v>
                </c:pt>
                <c:pt idx="4">
                  <c:v>3.2190000000000003E-2</c:v>
                </c:pt>
                <c:pt idx="5">
                  <c:v>3.7088999999999997E-2</c:v>
                </c:pt>
                <c:pt idx="6">
                  <c:v>3.9749E-2</c:v>
                </c:pt>
                <c:pt idx="7">
                  <c:v>4.2847999999999997E-2</c:v>
                </c:pt>
                <c:pt idx="8">
                  <c:v>4.9099999999999998E-2</c:v>
                </c:pt>
                <c:pt idx="9">
                  <c:v>0.10582999999999999</c:v>
                </c:pt>
                <c:pt idx="10">
                  <c:v>0.11307</c:v>
                </c:pt>
                <c:pt idx="11">
                  <c:v>0.1167</c:v>
                </c:pt>
                <c:pt idx="12">
                  <c:v>0.11842</c:v>
                </c:pt>
                <c:pt idx="13">
                  <c:v>0.11926</c:v>
                </c:pt>
                <c:pt idx="14">
                  <c:v>0.11985999999999999</c:v>
                </c:pt>
                <c:pt idx="15">
                  <c:v>0.12117</c:v>
                </c:pt>
                <c:pt idx="16">
                  <c:v>0.12667999999999999</c:v>
                </c:pt>
                <c:pt idx="17">
                  <c:v>0.14799000000000001</c:v>
                </c:pt>
                <c:pt idx="18">
                  <c:v>0.35676000000000002</c:v>
                </c:pt>
                <c:pt idx="19">
                  <c:v>0.36606</c:v>
                </c:pt>
                <c:pt idx="20">
                  <c:v>0.37197000000000002</c:v>
                </c:pt>
                <c:pt idx="21">
                  <c:v>0.37774999999999997</c:v>
                </c:pt>
                <c:pt idx="22">
                  <c:v>0.42225000000000001</c:v>
                </c:pt>
                <c:pt idx="23">
                  <c:v>0.47861999999999999</c:v>
                </c:pt>
                <c:pt idx="24">
                  <c:v>0.47976000000000002</c:v>
                </c:pt>
                <c:pt idx="25">
                  <c:v>0.47989999999999999</c:v>
                </c:pt>
                <c:pt idx="26">
                  <c:v>0.47989999999999999</c:v>
                </c:pt>
                <c:pt idx="27">
                  <c:v>0.47994999999999999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2.8039000000000002E-12</c:v>
                </c:pt>
                <c:pt idx="1">
                  <c:v>1.5371999999999999E-11</c:v>
                </c:pt>
                <c:pt idx="2">
                  <c:v>5.4874000000000002E-11</c:v>
                </c:pt>
                <c:pt idx="3">
                  <c:v>1.2340999999999999E-10</c:v>
                </c:pt>
                <c:pt idx="4">
                  <c:v>1.8921000000000001E-10</c:v>
                </c:pt>
                <c:pt idx="5">
                  <c:v>2.304E-10</c:v>
                </c:pt>
                <c:pt idx="6">
                  <c:v>2.5365E-10</c:v>
                </c:pt>
                <c:pt idx="7">
                  <c:v>2.7437E-10</c:v>
                </c:pt>
                <c:pt idx="8">
                  <c:v>3.0941000000000002E-10</c:v>
                </c:pt>
                <c:pt idx="9">
                  <c:v>5.4411E-10</c:v>
                </c:pt>
                <c:pt idx="10">
                  <c:v>5.3889999999999997E-10</c:v>
                </c:pt>
                <c:pt idx="11">
                  <c:v>5.1189999999999996E-10</c:v>
                </c:pt>
                <c:pt idx="12">
                  <c:v>4.7514999999999996E-10</c:v>
                </c:pt>
                <c:pt idx="13">
                  <c:v>4.3540000000000002E-10</c:v>
                </c:pt>
                <c:pt idx="14">
                  <c:v>3.9633000000000002E-10</c:v>
                </c:pt>
                <c:pt idx="15">
                  <c:v>3.6149999999999999E-10</c:v>
                </c:pt>
                <c:pt idx="16">
                  <c:v>3.3980000000000001E-10</c:v>
                </c:pt>
                <c:pt idx="17">
                  <c:v>3.5583999999999998E-10</c:v>
                </c:pt>
                <c:pt idx="18">
                  <c:v>5.4133000000000003E-10</c:v>
                </c:pt>
                <c:pt idx="19">
                  <c:v>4.9287999999999996E-10</c:v>
                </c:pt>
                <c:pt idx="20">
                  <c:v>4.4383000000000001E-10</c:v>
                </c:pt>
                <c:pt idx="21">
                  <c:v>3.9894000000000002E-10</c:v>
                </c:pt>
                <c:pt idx="22">
                  <c:v>3.9428999999999999E-10</c:v>
                </c:pt>
                <c:pt idx="23">
                  <c:v>2.7084000000000002E-10</c:v>
                </c:pt>
                <c:pt idx="24">
                  <c:v>2.1051000000000001E-10</c:v>
                </c:pt>
                <c:pt idx="25">
                  <c:v>1.8528000000000001E-10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(1)Geic]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1.5377000000000001E-7</c:v>
                </c:pt>
                <c:pt idx="1">
                  <c:v>4.1064999999999999E-7</c:v>
                </c:pt>
                <c:pt idx="2">
                  <c:v>1.3969999999999999E-6</c:v>
                </c:pt>
                <c:pt idx="3">
                  <c:v>6.1423999999999998E-6</c:v>
                </c:pt>
                <c:pt idx="4">
                  <c:v>2.9011999999999999E-5</c:v>
                </c:pt>
                <c:pt idx="5">
                  <c:v>1.2789E-4</c:v>
                </c:pt>
                <c:pt idx="6">
                  <c:v>4.9987000000000002E-4</c:v>
                </c:pt>
                <c:pt idx="7">
                  <c:v>1.6804999999999999E-3</c:v>
                </c:pt>
                <c:pt idx="8">
                  <c:v>4.6601999999999998E-3</c:v>
                </c:pt>
                <c:pt idx="9">
                  <c:v>3.2917000000000002E-2</c:v>
                </c:pt>
                <c:pt idx="10">
                  <c:v>3.6538000000000001E-2</c:v>
                </c:pt>
                <c:pt idx="11">
                  <c:v>3.8351000000000003E-2</c:v>
                </c:pt>
                <c:pt idx="12">
                  <c:v>3.9208E-2</c:v>
                </c:pt>
                <c:pt idx="13">
                  <c:v>3.9611E-2</c:v>
                </c:pt>
                <c:pt idx="14">
                  <c:v>3.9802999999999998E-2</c:v>
                </c:pt>
                <c:pt idx="15">
                  <c:v>3.9897000000000002E-2</c:v>
                </c:pt>
                <c:pt idx="16">
                  <c:v>3.9944E-2</c:v>
                </c:pt>
                <c:pt idx="17">
                  <c:v>3.9967999999999997E-2</c:v>
                </c:pt>
                <c:pt idx="18">
                  <c:v>3.9995000000000003E-2</c:v>
                </c:pt>
                <c:pt idx="19">
                  <c:v>3.9996999999999998E-2</c:v>
                </c:pt>
                <c:pt idx="20">
                  <c:v>3.9997999999999999E-2</c:v>
                </c:pt>
                <c:pt idx="21">
                  <c:v>3.9999E-2</c:v>
                </c:pt>
                <c:pt idx="22">
                  <c:v>3.9412000000000003E-2</c:v>
                </c:pt>
                <c:pt idx="23">
                  <c:v>3.7732000000000002E-2</c:v>
                </c:pt>
                <c:pt idx="24">
                  <c:v>3.7059000000000002E-2</c:v>
                </c:pt>
                <c:pt idx="25">
                  <c:v>3.6719000000000002E-2</c:v>
                </c:pt>
                <c:pt idx="26">
                  <c:v>3.6719000000000002E-2</c:v>
                </c:pt>
                <c:pt idx="27">
                  <c:v>3.6373000000000003E-2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(3)Ga[1]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ALL!$F$24:$AL$24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1.2435E-28</c:v>
                </c:pt>
                <c:pt idx="19">
                  <c:v>4.8073000000000002E-20</c:v>
                </c:pt>
                <c:pt idx="20">
                  <c:v>5.9552999999999999E-12</c:v>
                </c:pt>
                <c:pt idx="21">
                  <c:v>4.2954999999999998E-7</c:v>
                </c:pt>
                <c:pt idx="22">
                  <c:v>8.9257000000000003E-2</c:v>
                </c:pt>
                <c:pt idx="23">
                  <c:v>0.21510000000000001</c:v>
                </c:pt>
                <c:pt idx="24">
                  <c:v>0.22767000000000001</c:v>
                </c:pt>
                <c:pt idx="25">
                  <c:v>0.23136999999999999</c:v>
                </c:pt>
                <c:pt idx="26">
                  <c:v>0.23136999999999999</c:v>
                </c:pt>
                <c:pt idx="27">
                  <c:v>0.23405000000000001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1"/>
          <c:order val="21"/>
          <c:tx>
            <c:strRef>
              <c:f>ALL!$E$25</c:f>
              <c:strCache>
                <c:ptCount val="1"/>
                <c:pt idx="0">
                  <c:v>(3)Ge[1]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ALL!$F$25:$AL$25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6.0999000000000002E-30</c:v>
                </c:pt>
                <c:pt idx="19">
                  <c:v>1.5117999999999999E-21</c:v>
                </c:pt>
                <c:pt idx="20">
                  <c:v>1.2375E-13</c:v>
                </c:pt>
                <c:pt idx="21">
                  <c:v>6.0257E-9</c:v>
                </c:pt>
                <c:pt idx="22">
                  <c:v>1.1739999999999999E-3</c:v>
                </c:pt>
                <c:pt idx="23">
                  <c:v>4.5361999999999998E-3</c:v>
                </c:pt>
                <c:pt idx="24">
                  <c:v>5.8811999999999996E-3</c:v>
                </c:pt>
                <c:pt idx="25">
                  <c:v>6.5624000000000004E-3</c:v>
                </c:pt>
                <c:pt idx="26">
                  <c:v>6.5624000000000004E-3</c:v>
                </c:pt>
                <c:pt idx="27">
                  <c:v>7.2538999999999998E-3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E7A-412E-BBF5-89E233391AB6}"/>
            </c:ext>
          </c:extLst>
        </c:ser>
        <c:ser>
          <c:idx val="22"/>
          <c:order val="22"/>
          <c:tx>
            <c:strRef>
              <c:f>ALL!$E$26</c:f>
              <c:strCache>
                <c:ptCount val="1"/>
                <c:pt idx="0">
                  <c:v>(3)Se[1]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ALL!$F$26:$AL$26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3.1106000000000001E-36</c:v>
                </c:pt>
                <c:pt idx="19">
                  <c:v>5.6790999999999999E-28</c:v>
                </c:pt>
                <c:pt idx="20">
                  <c:v>3.4210000000000003E-20</c:v>
                </c:pt>
                <c:pt idx="21">
                  <c:v>1.2351000000000001E-15</c:v>
                </c:pt>
                <c:pt idx="22">
                  <c:v>2.0084E-10</c:v>
                </c:pt>
                <c:pt idx="23">
                  <c:v>2.8795000000000002E-10</c:v>
                </c:pt>
                <c:pt idx="24">
                  <c:v>2.2090999999999999E-10</c:v>
                </c:pt>
                <c:pt idx="25">
                  <c:v>1.9096000000000001E-10</c:v>
                </c:pt>
                <c:pt idx="26">
                  <c:v>1.9096000000000001E-10</c:v>
                </c:pt>
                <c:pt idx="27">
                  <c:v>1.6429999999999999E-10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8.5431999999999994E-2</c:v>
                      </c:pt>
                      <c:pt idx="1">
                        <c:v>8.4527000000000005E-2</c:v>
                      </c:pt>
                      <c:pt idx="2">
                        <c:v>8.2286999999999999E-2</c:v>
                      </c:pt>
                      <c:pt idx="3">
                        <c:v>7.9214999999999994E-2</c:v>
                      </c:pt>
                      <c:pt idx="4">
                        <c:v>7.6876E-2</c:v>
                      </c:pt>
                      <c:pt idx="5">
                        <c:v>7.5688000000000005E-2</c:v>
                      </c:pt>
                      <c:pt idx="6">
                        <c:v>7.5059000000000001E-2</c:v>
                      </c:pt>
                      <c:pt idx="7">
                        <c:v>7.4338000000000001E-2</c:v>
                      </c:pt>
                      <c:pt idx="8">
                        <c:v>7.2926000000000005E-2</c:v>
                      </c:pt>
                      <c:pt idx="9">
                        <c:v>6.2204000000000002E-2</c:v>
                      </c:pt>
                      <c:pt idx="10">
                        <c:v>6.1057E-2</c:v>
                      </c:pt>
                      <c:pt idx="11">
                        <c:v>6.0498999999999997E-2</c:v>
                      </c:pt>
                      <c:pt idx="12">
                        <c:v>6.0235999999999998E-2</c:v>
                      </c:pt>
                      <c:pt idx="13">
                        <c:v>6.0097999999999999E-2</c:v>
                      </c:pt>
                      <c:pt idx="14">
                        <c:v>5.9941000000000001E-2</c:v>
                      </c:pt>
                      <c:pt idx="15">
                        <c:v>5.9381000000000003E-2</c:v>
                      </c:pt>
                      <c:pt idx="16">
                        <c:v>5.6876999999999997E-2</c:v>
                      </c:pt>
                      <c:pt idx="17">
                        <c:v>4.7982999999999998E-2</c:v>
                      </c:pt>
                      <c:pt idx="18">
                        <c:v>1.1642E-3</c:v>
                      </c:pt>
                      <c:pt idx="19">
                        <c:v>3.3662999999999998E-4</c:v>
                      </c:pt>
                      <c:pt idx="20">
                        <c:v>9.9456000000000005E-5</c:v>
                      </c:pt>
                      <c:pt idx="21">
                        <c:v>3.0136000000000001E-5</c:v>
                      </c:pt>
                      <c:pt idx="22">
                        <c:v>7.3228999999999998E-6</c:v>
                      </c:pt>
                      <c:pt idx="23">
                        <c:v>5.0723000000000004E-9</c:v>
                      </c:pt>
                      <c:pt idx="24">
                        <c:v>8.6951000000000003E-10</c:v>
                      </c:pt>
                      <c:pt idx="25">
                        <c:v>1.5648999999999999E-10</c:v>
                      </c:pt>
                      <c:pt idx="26">
                        <c:v>2.9546000000000002E-11</c:v>
                      </c:pt>
                      <c:pt idx="27">
                        <c:v>5.8409999999999999E-12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5.4365000000000002E-31</c:v>
                      </c:pt>
                      <c:pt idx="10">
                        <c:v>4.9639000000000001E-29</c:v>
                      </c:pt>
                      <c:pt idx="11">
                        <c:v>3.4342999999999997E-27</c:v>
                      </c:pt>
                      <c:pt idx="12">
                        <c:v>1.8284000000000001E-25</c:v>
                      </c:pt>
                      <c:pt idx="13">
                        <c:v>7.6348000000000001E-24</c:v>
                      </c:pt>
                      <c:pt idx="14">
                        <c:v>2.5483999999999998E-22</c:v>
                      </c:pt>
                      <c:pt idx="15">
                        <c:v>6.8866999999999999E-21</c:v>
                      </c:pt>
                      <c:pt idx="16">
                        <c:v>1.4899000000000001E-19</c:v>
                      </c:pt>
                      <c:pt idx="17">
                        <c:v>2.3925999999999999E-18</c:v>
                      </c:pt>
                      <c:pt idx="18">
                        <c:v>7.3604999999999996E-15</c:v>
                      </c:pt>
                      <c:pt idx="19">
                        <c:v>3.8893999999999998E-14</c:v>
                      </c:pt>
                      <c:pt idx="20">
                        <c:v>1.8881000000000001E-13</c:v>
                      </c:pt>
                      <c:pt idx="21">
                        <c:v>8.4590999999999998E-13</c:v>
                      </c:pt>
                      <c:pt idx="22">
                        <c:v>2.6030000000000001E-12</c:v>
                      </c:pt>
                      <c:pt idx="23">
                        <c:v>7.3739999999999996E-11</c:v>
                      </c:pt>
                      <c:pt idx="24">
                        <c:v>1.5532000000000001E-10</c:v>
                      </c:pt>
                      <c:pt idx="25">
                        <c:v>3.1694999999999998E-10</c:v>
                      </c:pt>
                      <c:pt idx="26">
                        <c:v>6.2784999999999996E-10</c:v>
                      </c:pt>
                      <c:pt idx="27">
                        <c:v>1.2095E-9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2.2262000000000001E-36</c:v>
                      </c:pt>
                      <c:pt idx="5">
                        <c:v>1.4680999999999999E-34</c:v>
                      </c:pt>
                      <c:pt idx="6">
                        <c:v>5.8709E-33</c:v>
                      </c:pt>
                      <c:pt idx="7">
                        <c:v>1.6074000000000001E-31</c:v>
                      </c:pt>
                      <c:pt idx="8">
                        <c:v>3.2920000000000001E-30</c:v>
                      </c:pt>
                      <c:pt idx="9">
                        <c:v>5.0846E-26</c:v>
                      </c:pt>
                      <c:pt idx="10">
                        <c:v>3.2642999999999998E-25</c:v>
                      </c:pt>
                      <c:pt idx="11">
                        <c:v>1.7789999999999999E-24</c:v>
                      </c:pt>
                      <c:pt idx="12">
                        <c:v>8.4295000000000007E-24</c:v>
                      </c:pt>
                      <c:pt idx="13">
                        <c:v>3.5349999999999998E-23</c:v>
                      </c:pt>
                      <c:pt idx="14">
                        <c:v>1.3302999999999999E-22</c:v>
                      </c:pt>
                      <c:pt idx="15">
                        <c:v>4.5461000000000002E-22</c:v>
                      </c:pt>
                      <c:pt idx="16">
                        <c:v>1.4277000000000001E-21</c:v>
                      </c:pt>
                      <c:pt idx="17">
                        <c:v>4.1799000000000001E-21</c:v>
                      </c:pt>
                      <c:pt idx="18">
                        <c:v>1.567E-19</c:v>
                      </c:pt>
                      <c:pt idx="19">
                        <c:v>3.3299999999999998E-19</c:v>
                      </c:pt>
                      <c:pt idx="20">
                        <c:v>6.7433000000000004E-19</c:v>
                      </c:pt>
                      <c:pt idx="21">
                        <c:v>1.3062999999999999E-18</c:v>
                      </c:pt>
                      <c:pt idx="22">
                        <c:v>2.7347999999999999E-18</c:v>
                      </c:pt>
                      <c:pt idx="23">
                        <c:v>2.7847000000000003E-17</c:v>
                      </c:pt>
                      <c:pt idx="24">
                        <c:v>4.4595999999999999E-17</c:v>
                      </c:pt>
                      <c:pt idx="25">
                        <c:v>6.9412E-17</c:v>
                      </c:pt>
                      <c:pt idx="26">
                        <c:v>1.0526E-16</c:v>
                      </c:pt>
                      <c:pt idx="27">
                        <c:v>1.5583000000000001E-16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-18.98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>
                        <c:v>-18.97</c:v>
                      </c:pt>
                      <c:pt idx="5">
                        <c:v>-18.989999999999998</c:v>
                      </c:pt>
                      <c:pt idx="6">
                        <c:v>-19.02</c:v>
                      </c:pt>
                      <c:pt idx="7">
                        <c:v>-19.05</c:v>
                      </c:pt>
                      <c:pt idx="8">
                        <c:v>-19.079999999999998</c:v>
                      </c:pt>
                      <c:pt idx="9">
                        <c:v>-19.2</c:v>
                      </c:pt>
                      <c:pt idx="10">
                        <c:v>-19.23</c:v>
                      </c:pt>
                      <c:pt idx="11">
                        <c:v>-19.27</c:v>
                      </c:pt>
                      <c:pt idx="12">
                        <c:v>-19.309999999999999</c:v>
                      </c:pt>
                      <c:pt idx="13">
                        <c:v>-19.36</c:v>
                      </c:pt>
                      <c:pt idx="14">
                        <c:v>-19.399999999999999</c:v>
                      </c:pt>
                      <c:pt idx="15">
                        <c:v>-19.440000000000001</c:v>
                      </c:pt>
                      <c:pt idx="16">
                        <c:v>-19.47</c:v>
                      </c:pt>
                      <c:pt idx="17">
                        <c:v>-19.48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-19.809999999999999</c:v>
                      </c:pt>
                      <c:pt idx="25">
                        <c:v>-19.850000000000001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-66.099999999999994</c:v>
                      </c:pt>
                      <c:pt idx="1">
                        <c:v>-61.67</c:v>
                      </c:pt>
                      <c:pt idx="2">
                        <c:v>-57.42</c:v>
                      </c:pt>
                      <c:pt idx="3">
                        <c:v>-53.18</c:v>
                      </c:pt>
                      <c:pt idx="4">
                        <c:v>-49.01</c:v>
                      </c:pt>
                      <c:pt idx="5">
                        <c:v>-45.05</c:v>
                      </c:pt>
                      <c:pt idx="6">
                        <c:v>-41.4</c:v>
                      </c:pt>
                      <c:pt idx="7">
                        <c:v>-38.08</c:v>
                      </c:pt>
                      <c:pt idx="8">
                        <c:v>-35.11</c:v>
                      </c:pt>
                      <c:pt idx="9">
                        <c:v>-25.6</c:v>
                      </c:pt>
                      <c:pt idx="10">
                        <c:v>-23.53</c:v>
                      </c:pt>
                      <c:pt idx="11">
                        <c:v>-21.56</c:v>
                      </c:pt>
                      <c:pt idx="12">
                        <c:v>-19.7</c:v>
                      </c:pt>
                      <c:pt idx="13">
                        <c:v>-17.95</c:v>
                      </c:pt>
                      <c:pt idx="14">
                        <c:v>-16.29</c:v>
                      </c:pt>
                      <c:pt idx="15">
                        <c:v>-14.73</c:v>
                      </c:pt>
                      <c:pt idx="16">
                        <c:v>-13.28</c:v>
                      </c:pt>
                      <c:pt idx="17">
                        <c:v>-12.01</c:v>
                      </c:pt>
                      <c:pt idx="18">
                        <c:v>-9.1259999999999994</c:v>
                      </c:pt>
                      <c:pt idx="19">
                        <c:v>-8.6280000000000001</c:v>
                      </c:pt>
                      <c:pt idx="20">
                        <c:v>-8.1609999999999996</c:v>
                      </c:pt>
                      <c:pt idx="21">
                        <c:v>-7.7220000000000004</c:v>
                      </c:pt>
                      <c:pt idx="22">
                        <c:v>-7.61</c:v>
                      </c:pt>
                      <c:pt idx="23">
                        <c:v>-7.883</c:v>
                      </c:pt>
                      <c:pt idx="24">
                        <c:v>-8.0139999999999993</c:v>
                      </c:pt>
                      <c:pt idx="25">
                        <c:v>-8.077</c:v>
                      </c:pt>
                      <c:pt idx="26">
                        <c:v>-8.077</c:v>
                      </c:pt>
                      <c:pt idx="27">
                        <c:v>-8.14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-17.28</c:v>
                      </c:pt>
                      <c:pt idx="1">
                        <c:v>-16.32</c:v>
                      </c:pt>
                      <c:pt idx="2">
                        <c:v>-15.18</c:v>
                      </c:pt>
                      <c:pt idx="3">
                        <c:v>-13.82</c:v>
                      </c:pt>
                      <c:pt idx="4">
                        <c:v>-12.36</c:v>
                      </c:pt>
                      <c:pt idx="5">
                        <c:v>-10.95</c:v>
                      </c:pt>
                      <c:pt idx="6">
                        <c:v>-9.6379999999999999</c:v>
                      </c:pt>
                      <c:pt idx="7">
                        <c:v>-8.4860000000000007</c:v>
                      </c:pt>
                      <c:pt idx="8">
                        <c:v>-7.5510000000000002</c:v>
                      </c:pt>
                      <c:pt idx="9">
                        <c:v>-6.1029999999999998</c:v>
                      </c:pt>
                      <c:pt idx="10">
                        <c:v>-6.0819999999999999</c:v>
                      </c:pt>
                      <c:pt idx="11">
                        <c:v>-6.0990000000000002</c:v>
                      </c:pt>
                      <c:pt idx="12">
                        <c:v>-6.1340000000000003</c:v>
                      </c:pt>
                      <c:pt idx="13">
                        <c:v>-6.1779999999999999</c:v>
                      </c:pt>
                      <c:pt idx="14">
                        <c:v>-6.226</c:v>
                      </c:pt>
                      <c:pt idx="15">
                        <c:v>-6.2809999999999997</c:v>
                      </c:pt>
                      <c:pt idx="16">
                        <c:v>-6.36</c:v>
                      </c:pt>
                      <c:pt idx="17">
                        <c:v>-6.5149999999999997</c:v>
                      </c:pt>
                      <c:pt idx="18">
                        <c:v>-7.3369999999999997</c:v>
                      </c:pt>
                      <c:pt idx="19">
                        <c:v>-7.4089999999999998</c:v>
                      </c:pt>
                      <c:pt idx="20">
                        <c:v>-7.4740000000000002</c:v>
                      </c:pt>
                      <c:pt idx="21">
                        <c:v>-7.5410000000000004</c:v>
                      </c:pt>
                      <c:pt idx="22">
                        <c:v>-7.6</c:v>
                      </c:pt>
                      <c:pt idx="23">
                        <c:v>-7.7830000000000004</c:v>
                      </c:pt>
                      <c:pt idx="24">
                        <c:v>-7.8780000000000001</c:v>
                      </c:pt>
                      <c:pt idx="25">
                        <c:v>-7.9269999999999996</c:v>
                      </c:pt>
                      <c:pt idx="26">
                        <c:v>-7.9269999999999996</c:v>
                      </c:pt>
                      <c:pt idx="27">
                        <c:v>-7.976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-23.57</c:v>
                      </c:pt>
                      <c:pt idx="1">
                        <c:v>-22.38</c:v>
                      </c:pt>
                      <c:pt idx="2">
                        <c:v>-21.62</c:v>
                      </c:pt>
                      <c:pt idx="3">
                        <c:v>-21.32</c:v>
                      </c:pt>
                      <c:pt idx="4">
                        <c:v>-21.34</c:v>
                      </c:pt>
                      <c:pt idx="5">
                        <c:v>-21.53</c:v>
                      </c:pt>
                      <c:pt idx="6">
                        <c:v>-21.78</c:v>
                      </c:pt>
                      <c:pt idx="7">
                        <c:v>-22.03</c:v>
                      </c:pt>
                      <c:pt idx="8">
                        <c:v>-22.25</c:v>
                      </c:pt>
                      <c:pt idx="9">
                        <c:v>-23.02</c:v>
                      </c:pt>
                      <c:pt idx="10">
                        <c:v>-23.29</c:v>
                      </c:pt>
                      <c:pt idx="11">
                        <c:v>-23.57</c:v>
                      </c:pt>
                      <c:pt idx="12">
                        <c:v>-23.86</c:v>
                      </c:pt>
                      <c:pt idx="13">
                        <c:v>-24.15</c:v>
                      </c:pt>
                      <c:pt idx="14">
                        <c:v>-24.44</c:v>
                      </c:pt>
                      <c:pt idx="15">
                        <c:v>-24.72</c:v>
                      </c:pt>
                      <c:pt idx="16">
                        <c:v>-24.99</c:v>
                      </c:pt>
                      <c:pt idx="17">
                        <c:v>-25.22</c:v>
                      </c:pt>
                      <c:pt idx="18">
                        <c:v>-26.06</c:v>
                      </c:pt>
                      <c:pt idx="19">
                        <c:v>-26.32</c:v>
                      </c:pt>
                      <c:pt idx="20">
                        <c:v>-26.58</c:v>
                      </c:pt>
                      <c:pt idx="21">
                        <c:v>-26.85</c:v>
                      </c:pt>
                      <c:pt idx="22">
                        <c:v>-26.99</c:v>
                      </c:pt>
                      <c:pt idx="23">
                        <c:v>-27.82</c:v>
                      </c:pt>
                      <c:pt idx="24">
                        <c:v>-28.29</c:v>
                      </c:pt>
                      <c:pt idx="25">
                        <c:v>-28.53</c:v>
                      </c:pt>
                      <c:pt idx="26">
                        <c:v>-28.53</c:v>
                      </c:pt>
                      <c:pt idx="27">
                        <c:v>-28.76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-50.695423823700011</c:v>
                </c:pt>
                <c:pt idx="1">
                  <c:v>-80.764037053700008</c:v>
                </c:pt>
                <c:pt idx="2">
                  <c:v>-114.389318312325</c:v>
                </c:pt>
                <c:pt idx="3">
                  <c:v>-150.85239024800001</c:v>
                </c:pt>
                <c:pt idx="4">
                  <c:v>-189.53918283030001</c:v>
                </c:pt>
                <c:pt idx="5">
                  <c:v>-230.11716885630003</c:v>
                </c:pt>
                <c:pt idx="6">
                  <c:v>-273.72932933779998</c:v>
                </c:pt>
                <c:pt idx="7">
                  <c:v>-320.71263765660001</c:v>
                </c:pt>
                <c:pt idx="8">
                  <c:v>-370.05817413600005</c:v>
                </c:pt>
                <c:pt idx="9">
                  <c:v>-421.69270077990006</c:v>
                </c:pt>
                <c:pt idx="10">
                  <c:v>-477.22735650000004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2.2147E-8</c:v>
                </c:pt>
                <c:pt idx="1">
                  <c:v>2.2195000000000001E-8</c:v>
                </c:pt>
                <c:pt idx="2">
                  <c:v>2.6612E-8</c:v>
                </c:pt>
                <c:pt idx="3">
                  <c:v>2.0637000000000001E-8</c:v>
                </c:pt>
                <c:pt idx="4">
                  <c:v>3.152E-8</c:v>
                </c:pt>
                <c:pt idx="5">
                  <c:v>3.7354999999999999E-8</c:v>
                </c:pt>
                <c:pt idx="6">
                  <c:v>7.7942999999999999E-8</c:v>
                </c:pt>
                <c:pt idx="7">
                  <c:v>1.1916E-7</c:v>
                </c:pt>
                <c:pt idx="8">
                  <c:v>1.1024E-7</c:v>
                </c:pt>
                <c:pt idx="9">
                  <c:v>5.362E-8</c:v>
                </c:pt>
                <c:pt idx="10">
                  <c:v>2.0621E-8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1.2489E-18</c:v>
                </c:pt>
                <c:pt idx="2">
                  <c:v>2.1093000000000001E-14</c:v>
                </c:pt>
                <c:pt idx="3">
                  <c:v>1.6926000000000001E-11</c:v>
                </c:pt>
                <c:pt idx="4">
                  <c:v>2.3089000000000002E-9</c:v>
                </c:pt>
                <c:pt idx="5">
                  <c:v>1.2146E-7</c:v>
                </c:pt>
                <c:pt idx="6">
                  <c:v>3.1574999999999998E-6</c:v>
                </c:pt>
                <c:pt idx="7">
                  <c:v>3.8272999999999998E-5</c:v>
                </c:pt>
                <c:pt idx="8">
                  <c:v>2.5968999999999998E-4</c:v>
                </c:pt>
                <c:pt idx="9">
                  <c:v>1.0351E-3</c:v>
                </c:pt>
                <c:pt idx="10">
                  <c:v>2.2520000000000001E-3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2.9185E-17</c:v>
                </c:pt>
                <c:pt idx="2">
                  <c:v>1.719E-13</c:v>
                </c:pt>
                <c:pt idx="3">
                  <c:v>6.3020000000000006E-11</c:v>
                </c:pt>
                <c:pt idx="4">
                  <c:v>4.7312000000000004E-9</c:v>
                </c:pt>
                <c:pt idx="5">
                  <c:v>1.6171000000000001E-7</c:v>
                </c:pt>
                <c:pt idx="6">
                  <c:v>3.0736000000000001E-6</c:v>
                </c:pt>
                <c:pt idx="7">
                  <c:v>2.7920999999999999E-5</c:v>
                </c:pt>
                <c:pt idx="8">
                  <c:v>1.4166E-4</c:v>
                </c:pt>
                <c:pt idx="9">
                  <c:v>4.036E-4</c:v>
                </c:pt>
                <c:pt idx="10">
                  <c:v>5.7357000000000003E-4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8.2633999999999998E-20</c:v>
                </c:pt>
                <c:pt idx="1">
                  <c:v>2.5112999999999999E-14</c:v>
                </c:pt>
                <c:pt idx="2">
                  <c:v>6.3243000000000006E-11</c:v>
                </c:pt>
                <c:pt idx="3">
                  <c:v>1.2296999999999999E-8</c:v>
                </c:pt>
                <c:pt idx="4">
                  <c:v>5.6937999999999998E-7</c:v>
                </c:pt>
                <c:pt idx="5">
                  <c:v>1.3833E-5</c:v>
                </c:pt>
                <c:pt idx="6">
                  <c:v>2.0672E-4</c:v>
                </c:pt>
                <c:pt idx="7">
                  <c:v>1.4942E-3</c:v>
                </c:pt>
                <c:pt idx="8">
                  <c:v>5.9605999999999999E-3</c:v>
                </c:pt>
                <c:pt idx="9">
                  <c:v>1.2670000000000001E-2</c:v>
                </c:pt>
                <c:pt idx="10">
                  <c:v>1.2201999999999999E-2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1.1852E-12</c:v>
                </c:pt>
                <c:pt idx="2">
                  <c:v>7.1219999999999998E-10</c:v>
                </c:pt>
                <c:pt idx="3">
                  <c:v>4.8587999999999998E-8</c:v>
                </c:pt>
                <c:pt idx="4">
                  <c:v>1.0198E-6</c:v>
                </c:pt>
                <c:pt idx="5">
                  <c:v>1.3874E-5</c:v>
                </c:pt>
                <c:pt idx="6">
                  <c:v>1.3478000000000001E-4</c:v>
                </c:pt>
                <c:pt idx="7">
                  <c:v>6.6381000000000003E-4</c:v>
                </c:pt>
                <c:pt idx="8">
                  <c:v>1.83E-3</c:v>
                </c:pt>
                <c:pt idx="9">
                  <c:v>2.6026999999999999E-3</c:v>
                </c:pt>
                <c:pt idx="10">
                  <c:v>1.5475E-3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1.849E-13</c:v>
                </c:pt>
                <c:pt idx="2">
                  <c:v>1.5342E-10</c:v>
                </c:pt>
                <c:pt idx="3">
                  <c:v>1.2622E-8</c:v>
                </c:pt>
                <c:pt idx="4">
                  <c:v>2.9997000000000001E-7</c:v>
                </c:pt>
                <c:pt idx="5">
                  <c:v>4.6295000000000003E-6</c:v>
                </c:pt>
                <c:pt idx="6">
                  <c:v>5.1235E-5</c:v>
                </c:pt>
                <c:pt idx="7">
                  <c:v>2.7140999999999998E-4</c:v>
                </c:pt>
                <c:pt idx="8">
                  <c:v>7.5522999999999996E-4</c:v>
                </c:pt>
                <c:pt idx="9">
                  <c:v>9.8893000000000006E-4</c:v>
                </c:pt>
                <c:pt idx="10">
                  <c:v>4.7684000000000002E-4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5.3561999999999997E-15</c:v>
                </c:pt>
                <c:pt idx="2">
                  <c:v>5.6777000000000003E-12</c:v>
                </c:pt>
                <c:pt idx="3">
                  <c:v>5.3358000000000003E-10</c:v>
                </c:pt>
                <c:pt idx="4">
                  <c:v>1.3795E-8</c:v>
                </c:pt>
                <c:pt idx="5">
                  <c:v>2.3421999999999999E-7</c:v>
                </c:pt>
                <c:pt idx="6">
                  <c:v>2.8820000000000001E-6</c:v>
                </c:pt>
                <c:pt idx="7">
                  <c:v>1.6099999999999998E-5</c:v>
                </c:pt>
                <c:pt idx="8">
                  <c:v>4.4483000000000001E-5</c:v>
                </c:pt>
                <c:pt idx="9">
                  <c:v>5.2898000000000001E-5</c:v>
                </c:pt>
                <c:pt idx="10">
                  <c:v>2.0443999999999999E-5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1.1182000000000001E-14</c:v>
                </c:pt>
                <c:pt idx="2">
                  <c:v>3.5247999999999997E-11</c:v>
                </c:pt>
                <c:pt idx="3">
                  <c:v>9.2913E-9</c:v>
                </c:pt>
                <c:pt idx="4">
                  <c:v>5.7400999999999999E-7</c:v>
                </c:pt>
                <c:pt idx="5">
                  <c:v>1.6116999999999998E-5</c:v>
                </c:pt>
                <c:pt idx="6">
                  <c:v>2.4930999999999998E-4</c:v>
                </c:pt>
                <c:pt idx="7">
                  <c:v>2.0631999999999998E-3</c:v>
                </c:pt>
                <c:pt idx="8">
                  <c:v>1.0800000000000001E-2</c:v>
                </c:pt>
                <c:pt idx="9">
                  <c:v>3.805E-2</c:v>
                </c:pt>
                <c:pt idx="10">
                  <c:v>8.5966000000000001E-2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2.7645999999999999E-30</c:v>
                </c:pt>
                <c:pt idx="2">
                  <c:v>3.4106000000000001E-24</c:v>
                </c:pt>
                <c:pt idx="3">
                  <c:v>6.3331000000000004E-20</c:v>
                </c:pt>
                <c:pt idx="4">
                  <c:v>9.4456999999999996E-17</c:v>
                </c:pt>
                <c:pt idx="5">
                  <c:v>3.0341000000000003E-14</c:v>
                </c:pt>
                <c:pt idx="6">
                  <c:v>3.1922000000000001E-12</c:v>
                </c:pt>
                <c:pt idx="7">
                  <c:v>1.312E-10</c:v>
                </c:pt>
                <c:pt idx="8">
                  <c:v>2.7546E-9</c:v>
                </c:pt>
                <c:pt idx="9">
                  <c:v>3.4509000000000001E-8</c:v>
                </c:pt>
                <c:pt idx="10">
                  <c:v>2.6654E-7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1.8006E-10</c:v>
                </c:pt>
                <c:pt idx="1">
                  <c:v>3.1866999999999998E-7</c:v>
                </c:pt>
                <c:pt idx="2">
                  <c:v>3.5216999999999998E-5</c:v>
                </c:pt>
                <c:pt idx="3">
                  <c:v>8.6364999999999999E-4</c:v>
                </c:pt>
                <c:pt idx="4">
                  <c:v>8.4177999999999996E-3</c:v>
                </c:pt>
                <c:pt idx="5">
                  <c:v>3.8850999999999997E-2</c:v>
                </c:pt>
                <c:pt idx="6">
                  <c:v>7.6590000000000005E-2</c:v>
                </c:pt>
                <c:pt idx="7">
                  <c:v>9.6535999999999997E-2</c:v>
                </c:pt>
                <c:pt idx="8">
                  <c:v>0.10704</c:v>
                </c:pt>
                <c:pt idx="9">
                  <c:v>0.11336</c:v>
                </c:pt>
                <c:pt idx="10">
                  <c:v>0.11648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(1)Ga[1]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0.23993</c:v>
                      </c:pt>
                      <c:pt idx="3">
                        <c:v>0.23827000000000001</c:v>
                      </c:pt>
                      <c:pt idx="4">
                        <c:v>0.22316</c:v>
                      </c:pt>
                      <c:pt idx="5">
                        <c:v>0.1623</c:v>
                      </c:pt>
                      <c:pt idx="6">
                        <c:v>8.6820999999999995E-2</c:v>
                      </c:pt>
                      <c:pt idx="7">
                        <c:v>4.6927000000000003E-2</c:v>
                      </c:pt>
                      <c:pt idx="8">
                        <c:v>2.5912999999999999E-2</c:v>
                      </c:pt>
                      <c:pt idx="9">
                        <c:v>1.3278E-2</c:v>
                      </c:pt>
                      <c:pt idx="10">
                        <c:v>7.045E-3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(1)Ge[1]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(1)Se[1]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0.47996</c:v>
                      </c:pt>
                      <c:pt idx="3">
                        <c:v>0.47914000000000001</c:v>
                      </c:pt>
                      <c:pt idx="4">
                        <c:v>0.47156999999999999</c:v>
                      </c:pt>
                      <c:pt idx="5">
                        <c:v>0.44092999999999999</c:v>
                      </c:pt>
                      <c:pt idx="6">
                        <c:v>0.40067000000000003</c:v>
                      </c:pt>
                      <c:pt idx="7">
                        <c:v>0.36563000000000001</c:v>
                      </c:pt>
                      <c:pt idx="8">
                        <c:v>0.30359000000000003</c:v>
                      </c:pt>
                      <c:pt idx="9">
                        <c:v>0.19950999999999999</c:v>
                      </c:pt>
                      <c:pt idx="10">
                        <c:v>0.10874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</c:v>
                      </c:pt>
                      <c:pt idx="2">
                        <c:v>-18.739999999999998</c:v>
                      </c:pt>
                      <c:pt idx="3">
                        <c:v>-18.88</c:v>
                      </c:pt>
                      <c:pt idx="4">
                        <c:v>-19.07</c:v>
                      </c:pt>
                      <c:pt idx="5">
                        <c:v>-19.36</c:v>
                      </c:pt>
                      <c:pt idx="6">
                        <c:v>-19.66</c:v>
                      </c:pt>
                      <c:pt idx="7">
                        <c:v>-19.88</c:v>
                      </c:pt>
                      <c:pt idx="8">
                        <c:v>-20.11</c:v>
                      </c:pt>
                      <c:pt idx="9">
                        <c:v>-20.36</c:v>
                      </c:pt>
                      <c:pt idx="10">
                        <c:v>-20.62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-5.8710000000000004</c:v>
                      </c:pt>
                      <c:pt idx="1">
                        <c:v>-6.41</c:v>
                      </c:pt>
                      <c:pt idx="2">
                        <c:v>-6.8849999999999998</c:v>
                      </c:pt>
                      <c:pt idx="3">
                        <c:v>-7.3090000000000002</c:v>
                      </c:pt>
                      <c:pt idx="4">
                        <c:v>-7.7190000000000003</c:v>
                      </c:pt>
                      <c:pt idx="5">
                        <c:v>-8.2479999999999993</c:v>
                      </c:pt>
                      <c:pt idx="6">
                        <c:v>-8.9949999999999992</c:v>
                      </c:pt>
                      <c:pt idx="7">
                        <c:v>-9.7469999999999999</c:v>
                      </c:pt>
                      <c:pt idx="8">
                        <c:v>-10.41</c:v>
                      </c:pt>
                      <c:pt idx="9">
                        <c:v>-10.98</c:v>
                      </c:pt>
                      <c:pt idx="10">
                        <c:v>-11.43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6.2590000000000003</c:v>
                      </c:pt>
                      <c:pt idx="1">
                        <c:v>2.9529999999999998</c:v>
                      </c:pt>
                      <c:pt idx="2">
                        <c:v>0.67290000000000005</c:v>
                      </c:pt>
                      <c:pt idx="3">
                        <c:v>-1.0149999999999999</c:v>
                      </c:pt>
                      <c:pt idx="4">
                        <c:v>-2.3050000000000002</c:v>
                      </c:pt>
                      <c:pt idx="5">
                        <c:v>-3.2450000000000001</c:v>
                      </c:pt>
                      <c:pt idx="6">
                        <c:v>-3.9470000000000001</c:v>
                      </c:pt>
                      <c:pt idx="7">
                        <c:v>-4.5590000000000002</c:v>
                      </c:pt>
                      <c:pt idx="8">
                        <c:v>-5.0259999999999998</c:v>
                      </c:pt>
                      <c:pt idx="9">
                        <c:v>-5.2619999999999996</c:v>
                      </c:pt>
                      <c:pt idx="10">
                        <c:v>-5.367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-5.09</c:v>
                      </c:pt>
                      <c:pt idx="2">
                        <c:v>-5.5179999999999998</c:v>
                      </c:pt>
                      <c:pt idx="3">
                        <c:v>-5.9349999999999996</c:v>
                      </c:pt>
                      <c:pt idx="4">
                        <c:v>-6.3140000000000001</c:v>
                      </c:pt>
                      <c:pt idx="5">
                        <c:v>-6.6210000000000004</c:v>
                      </c:pt>
                      <c:pt idx="6">
                        <c:v>-6.8689999999999998</c:v>
                      </c:pt>
                      <c:pt idx="7">
                        <c:v>-7.1319999999999997</c:v>
                      </c:pt>
                      <c:pt idx="8">
                        <c:v>-7.4260000000000002</c:v>
                      </c:pt>
                      <c:pt idx="9">
                        <c:v>-7.7830000000000004</c:v>
                      </c:pt>
                      <c:pt idx="10">
                        <c:v>-8.2449999999999992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-59.876580188200009</c:v>
                </c:pt>
                <c:pt idx="1">
                  <c:v>-89.737392999800008</c:v>
                </c:pt>
                <c:pt idx="2">
                  <c:v>-123.13514537491896</c:v>
                </c:pt>
                <c:pt idx="3">
                  <c:v>-158.81673653344666</c:v>
                </c:pt>
                <c:pt idx="4">
                  <c:v>-190.84201348430571</c:v>
                </c:pt>
                <c:pt idx="5">
                  <c:v>-199.26632360269048</c:v>
                </c:pt>
                <c:pt idx="6">
                  <c:v>-189.15743287018171</c:v>
                </c:pt>
                <c:pt idx="7">
                  <c:v>-185.81198127592629</c:v>
                </c:pt>
                <c:pt idx="8">
                  <c:v>-173.27491239534285</c:v>
                </c:pt>
                <c:pt idx="9">
                  <c:v>-136.18099918470756</c:v>
                </c:pt>
                <c:pt idx="10">
                  <c:v>-97.449102974375009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FLUID!$F$125:$AL$125</c:f>
              <c:numCache>
                <c:formatCode>General</c:formatCode>
                <c:ptCount val="33"/>
                <c:pt idx="0">
                  <c:v>-59.876580244220719</c:v>
                </c:pt>
                <c:pt idx="1">
                  <c:v>-89.73752974748291</c:v>
                </c:pt>
                <c:pt idx="2">
                  <c:v>-123.15484283821905</c:v>
                </c:pt>
                <c:pt idx="3">
                  <c:v>-159.42095458560914</c:v>
                </c:pt>
                <c:pt idx="4">
                  <c:v>-197.9991564405189</c:v>
                </c:pt>
                <c:pt idx="5">
                  <c:v>-238.94514688682884</c:v>
                </c:pt>
                <c:pt idx="6">
                  <c:v>-283.65473027267785</c:v>
                </c:pt>
                <c:pt idx="7">
                  <c:v>-331.95524533074382</c:v>
                </c:pt>
                <c:pt idx="8">
                  <c:v>-382.80651379071924</c:v>
                </c:pt>
                <c:pt idx="9">
                  <c:v>-436.38743252577245</c:v>
                </c:pt>
                <c:pt idx="10">
                  <c:v>-494.0343372456166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-494.0343372456166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-50.695423823700011</c:v>
                </c:pt>
                <c:pt idx="1">
                  <c:v>-80.764037053700008</c:v>
                </c:pt>
                <c:pt idx="2">
                  <c:v>-114.389318312325</c:v>
                </c:pt>
                <c:pt idx="3">
                  <c:v>-150.85239024800001</c:v>
                </c:pt>
                <c:pt idx="4">
                  <c:v>-189.53918283030001</c:v>
                </c:pt>
                <c:pt idx="5">
                  <c:v>-230.11716885630003</c:v>
                </c:pt>
                <c:pt idx="6">
                  <c:v>-273.72932933779998</c:v>
                </c:pt>
                <c:pt idx="7">
                  <c:v>-320.71263765660001</c:v>
                </c:pt>
                <c:pt idx="8">
                  <c:v>-370.05817413600005</c:v>
                </c:pt>
                <c:pt idx="9">
                  <c:v>-421.69270077990006</c:v>
                </c:pt>
                <c:pt idx="10">
                  <c:v>-477.22735650000004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-5.6020712254966536E-8</c:v>
                      </c:pt>
                      <c:pt idx="1">
                        <c:v>-1.3674768290841376E-4</c:v>
                      </c:pt>
                      <c:pt idx="2">
                        <c:v>-1.9697463300094687E-2</c:v>
                      </c:pt>
                      <c:pt idx="3">
                        <c:v>-0.60421805216248547</c:v>
                      </c:pt>
                      <c:pt idx="4">
                        <c:v>-7.1571429562131987</c:v>
                      </c:pt>
                      <c:pt idx="5">
                        <c:v>-39.678823284138353</c:v>
                      </c:pt>
                      <c:pt idx="6">
                        <c:v>-94.49729740249613</c:v>
                      </c:pt>
                      <c:pt idx="7">
                        <c:v>-146.14326405481754</c:v>
                      </c:pt>
                      <c:pt idx="8">
                        <c:v>-209.53160139537641</c:v>
                      </c:pt>
                      <c:pt idx="9">
                        <c:v>-300.20643334106489</c:v>
                      </c:pt>
                      <c:pt idx="10">
                        <c:v>-396.58523427124157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2.2147E-8</c:v>
                </c:pt>
                <c:pt idx="1">
                  <c:v>2.2195000000000001E-8</c:v>
                </c:pt>
                <c:pt idx="2">
                  <c:v>2.6612E-8</c:v>
                </c:pt>
                <c:pt idx="3">
                  <c:v>2.0637000000000001E-8</c:v>
                </c:pt>
                <c:pt idx="4">
                  <c:v>3.152E-8</c:v>
                </c:pt>
                <c:pt idx="5">
                  <c:v>3.7354999999999999E-8</c:v>
                </c:pt>
                <c:pt idx="6">
                  <c:v>7.7942999999999999E-8</c:v>
                </c:pt>
                <c:pt idx="7">
                  <c:v>1.1916E-7</c:v>
                </c:pt>
                <c:pt idx="8">
                  <c:v>1.1024E-7</c:v>
                </c:pt>
                <c:pt idx="9">
                  <c:v>5.362E-8</c:v>
                </c:pt>
                <c:pt idx="10">
                  <c:v>2.0621E-8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(1)Ga[1]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0.24</c:v>
                </c:pt>
                <c:pt idx="1">
                  <c:v>0.24</c:v>
                </c:pt>
                <c:pt idx="2">
                  <c:v>0.23993</c:v>
                </c:pt>
                <c:pt idx="3">
                  <c:v>0.23827000000000001</c:v>
                </c:pt>
                <c:pt idx="4">
                  <c:v>0.22316</c:v>
                </c:pt>
                <c:pt idx="5">
                  <c:v>0.1623</c:v>
                </c:pt>
                <c:pt idx="6">
                  <c:v>8.6820999999999995E-2</c:v>
                </c:pt>
                <c:pt idx="7">
                  <c:v>4.6927000000000003E-2</c:v>
                </c:pt>
                <c:pt idx="8">
                  <c:v>2.5912999999999999E-2</c:v>
                </c:pt>
                <c:pt idx="9">
                  <c:v>1.3278E-2</c:v>
                </c:pt>
                <c:pt idx="10">
                  <c:v>7.045E-3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(1)Ge[1]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(1)Se[1]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345.8</c:v>
                </c:pt>
                <c:pt idx="2">
                  <c:v>418.5</c:v>
                </c:pt>
                <c:pt idx="3">
                  <c:v>491.2</c:v>
                </c:pt>
                <c:pt idx="4">
                  <c:v>563.9</c:v>
                </c:pt>
                <c:pt idx="5">
                  <c:v>636.6</c:v>
                </c:pt>
                <c:pt idx="6">
                  <c:v>709.3</c:v>
                </c:pt>
                <c:pt idx="7">
                  <c:v>781.9</c:v>
                </c:pt>
                <c:pt idx="8">
                  <c:v>854.6</c:v>
                </c:pt>
                <c:pt idx="9">
                  <c:v>927.3</c:v>
                </c:pt>
                <c:pt idx="1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0.47996</c:v>
                </c:pt>
                <c:pt idx="3">
                  <c:v>0.47914000000000001</c:v>
                </c:pt>
                <c:pt idx="4">
                  <c:v>0.47156999999999999</c:v>
                </c:pt>
                <c:pt idx="5">
                  <c:v>0.44092999999999999</c:v>
                </c:pt>
                <c:pt idx="6">
                  <c:v>0.40067000000000003</c:v>
                </c:pt>
                <c:pt idx="7">
                  <c:v>0.36563000000000001</c:v>
                </c:pt>
                <c:pt idx="8">
                  <c:v>0.30359000000000003</c:v>
                </c:pt>
                <c:pt idx="9">
                  <c:v>0.19950999999999999</c:v>
                </c:pt>
                <c:pt idx="10">
                  <c:v>0.10874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1.2489E-18</c:v>
                      </c:pt>
                      <c:pt idx="2">
                        <c:v>2.1093000000000001E-14</c:v>
                      </c:pt>
                      <c:pt idx="3">
                        <c:v>1.6926000000000001E-11</c:v>
                      </c:pt>
                      <c:pt idx="4">
                        <c:v>2.3089000000000002E-9</c:v>
                      </c:pt>
                      <c:pt idx="5">
                        <c:v>1.2146E-7</c:v>
                      </c:pt>
                      <c:pt idx="6">
                        <c:v>3.1574999999999998E-6</c:v>
                      </c:pt>
                      <c:pt idx="7">
                        <c:v>3.8272999999999998E-5</c:v>
                      </c:pt>
                      <c:pt idx="8">
                        <c:v>2.5968999999999998E-4</c:v>
                      </c:pt>
                      <c:pt idx="9">
                        <c:v>1.0351E-3</c:v>
                      </c:pt>
                      <c:pt idx="10">
                        <c:v>2.2520000000000001E-3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2.9185E-17</c:v>
                      </c:pt>
                      <c:pt idx="2">
                        <c:v>1.719E-13</c:v>
                      </c:pt>
                      <c:pt idx="3">
                        <c:v>6.3020000000000006E-11</c:v>
                      </c:pt>
                      <c:pt idx="4">
                        <c:v>4.7312000000000004E-9</c:v>
                      </c:pt>
                      <c:pt idx="5">
                        <c:v>1.6171000000000001E-7</c:v>
                      </c:pt>
                      <c:pt idx="6">
                        <c:v>3.0736000000000001E-6</c:v>
                      </c:pt>
                      <c:pt idx="7">
                        <c:v>2.7920999999999999E-5</c:v>
                      </c:pt>
                      <c:pt idx="8">
                        <c:v>1.4166E-4</c:v>
                      </c:pt>
                      <c:pt idx="9">
                        <c:v>4.036E-4</c:v>
                      </c:pt>
                      <c:pt idx="10">
                        <c:v>5.7357000000000003E-4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8.2633999999999998E-20</c:v>
                      </c:pt>
                      <c:pt idx="1">
                        <c:v>2.5112999999999999E-14</c:v>
                      </c:pt>
                      <c:pt idx="2">
                        <c:v>6.3243000000000006E-11</c:v>
                      </c:pt>
                      <c:pt idx="3">
                        <c:v>1.2296999999999999E-8</c:v>
                      </c:pt>
                      <c:pt idx="4">
                        <c:v>5.6937999999999998E-7</c:v>
                      </c:pt>
                      <c:pt idx="5">
                        <c:v>1.3833E-5</c:v>
                      </c:pt>
                      <c:pt idx="6">
                        <c:v>2.0672E-4</c:v>
                      </c:pt>
                      <c:pt idx="7">
                        <c:v>1.4942E-3</c:v>
                      </c:pt>
                      <c:pt idx="8">
                        <c:v>5.9605999999999999E-3</c:v>
                      </c:pt>
                      <c:pt idx="9">
                        <c:v>1.2670000000000001E-2</c:v>
                      </c:pt>
                      <c:pt idx="10">
                        <c:v>1.2201999999999999E-2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1.1852E-12</c:v>
                      </c:pt>
                      <c:pt idx="2">
                        <c:v>7.1219999999999998E-10</c:v>
                      </c:pt>
                      <c:pt idx="3">
                        <c:v>4.8587999999999998E-8</c:v>
                      </c:pt>
                      <c:pt idx="4">
                        <c:v>1.0198E-6</c:v>
                      </c:pt>
                      <c:pt idx="5">
                        <c:v>1.3874E-5</c:v>
                      </c:pt>
                      <c:pt idx="6">
                        <c:v>1.3478000000000001E-4</c:v>
                      </c:pt>
                      <c:pt idx="7">
                        <c:v>6.6381000000000003E-4</c:v>
                      </c:pt>
                      <c:pt idx="8">
                        <c:v>1.83E-3</c:v>
                      </c:pt>
                      <c:pt idx="9">
                        <c:v>2.6026999999999999E-3</c:v>
                      </c:pt>
                      <c:pt idx="10">
                        <c:v>1.5475E-3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1.849E-13</c:v>
                      </c:pt>
                      <c:pt idx="2">
                        <c:v>1.5342E-10</c:v>
                      </c:pt>
                      <c:pt idx="3">
                        <c:v>1.2622E-8</c:v>
                      </c:pt>
                      <c:pt idx="4">
                        <c:v>2.9997000000000001E-7</c:v>
                      </c:pt>
                      <c:pt idx="5">
                        <c:v>4.6295000000000003E-6</c:v>
                      </c:pt>
                      <c:pt idx="6">
                        <c:v>5.1235E-5</c:v>
                      </c:pt>
                      <c:pt idx="7">
                        <c:v>2.7140999999999998E-4</c:v>
                      </c:pt>
                      <c:pt idx="8">
                        <c:v>7.5522999999999996E-4</c:v>
                      </c:pt>
                      <c:pt idx="9">
                        <c:v>9.8893000000000006E-4</c:v>
                      </c:pt>
                      <c:pt idx="10">
                        <c:v>4.7684000000000002E-4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5.3561999999999997E-15</c:v>
                      </c:pt>
                      <c:pt idx="2">
                        <c:v>5.6777000000000003E-12</c:v>
                      </c:pt>
                      <c:pt idx="3">
                        <c:v>5.3358000000000003E-10</c:v>
                      </c:pt>
                      <c:pt idx="4">
                        <c:v>1.3795E-8</c:v>
                      </c:pt>
                      <c:pt idx="5">
                        <c:v>2.3421999999999999E-7</c:v>
                      </c:pt>
                      <c:pt idx="6">
                        <c:v>2.8820000000000001E-6</c:v>
                      </c:pt>
                      <c:pt idx="7">
                        <c:v>1.6099999999999998E-5</c:v>
                      </c:pt>
                      <c:pt idx="8">
                        <c:v>4.4483000000000001E-5</c:v>
                      </c:pt>
                      <c:pt idx="9">
                        <c:v>5.2898000000000001E-5</c:v>
                      </c:pt>
                      <c:pt idx="10">
                        <c:v>2.0443999999999999E-5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1.1182000000000001E-14</c:v>
                      </c:pt>
                      <c:pt idx="2">
                        <c:v>3.5247999999999997E-11</c:v>
                      </c:pt>
                      <c:pt idx="3">
                        <c:v>9.2913E-9</c:v>
                      </c:pt>
                      <c:pt idx="4">
                        <c:v>5.7400999999999999E-7</c:v>
                      </c:pt>
                      <c:pt idx="5">
                        <c:v>1.6116999999999998E-5</c:v>
                      </c:pt>
                      <c:pt idx="6">
                        <c:v>2.4930999999999998E-4</c:v>
                      </c:pt>
                      <c:pt idx="7">
                        <c:v>2.0631999999999998E-3</c:v>
                      </c:pt>
                      <c:pt idx="8">
                        <c:v>1.0800000000000001E-2</c:v>
                      </c:pt>
                      <c:pt idx="9">
                        <c:v>3.805E-2</c:v>
                      </c:pt>
                      <c:pt idx="10">
                        <c:v>8.5966000000000001E-2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2.7645999999999999E-30</c:v>
                      </c:pt>
                      <c:pt idx="2">
                        <c:v>3.4106000000000001E-24</c:v>
                      </c:pt>
                      <c:pt idx="3">
                        <c:v>6.3331000000000004E-20</c:v>
                      </c:pt>
                      <c:pt idx="4">
                        <c:v>9.4456999999999996E-17</c:v>
                      </c:pt>
                      <c:pt idx="5">
                        <c:v>3.0341000000000003E-14</c:v>
                      </c:pt>
                      <c:pt idx="6">
                        <c:v>3.1922000000000001E-12</c:v>
                      </c:pt>
                      <c:pt idx="7">
                        <c:v>1.312E-10</c:v>
                      </c:pt>
                      <c:pt idx="8">
                        <c:v>2.7546E-9</c:v>
                      </c:pt>
                      <c:pt idx="9">
                        <c:v>3.4509000000000001E-8</c:v>
                      </c:pt>
                      <c:pt idx="10">
                        <c:v>2.6654E-7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1.8006E-10</c:v>
                      </c:pt>
                      <c:pt idx="1">
                        <c:v>3.1866999999999998E-7</c:v>
                      </c:pt>
                      <c:pt idx="2">
                        <c:v>3.5216999999999998E-5</c:v>
                      </c:pt>
                      <c:pt idx="3">
                        <c:v>8.6364999999999999E-4</c:v>
                      </c:pt>
                      <c:pt idx="4">
                        <c:v>8.4177999999999996E-3</c:v>
                      </c:pt>
                      <c:pt idx="5">
                        <c:v>3.8850999999999997E-2</c:v>
                      </c:pt>
                      <c:pt idx="6">
                        <c:v>7.6590000000000005E-2</c:v>
                      </c:pt>
                      <c:pt idx="7">
                        <c:v>9.6535999999999997E-2</c:v>
                      </c:pt>
                      <c:pt idx="8">
                        <c:v>0.10704</c:v>
                      </c:pt>
                      <c:pt idx="9">
                        <c:v>0.11336</c:v>
                      </c:pt>
                      <c:pt idx="10">
                        <c:v>0.11648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</c:v>
                      </c:pt>
                      <c:pt idx="2">
                        <c:v>-18.739999999999998</c:v>
                      </c:pt>
                      <c:pt idx="3">
                        <c:v>-18.88</c:v>
                      </c:pt>
                      <c:pt idx="4">
                        <c:v>-19.07</c:v>
                      </c:pt>
                      <c:pt idx="5">
                        <c:v>-19.36</c:v>
                      </c:pt>
                      <c:pt idx="6">
                        <c:v>-19.66</c:v>
                      </c:pt>
                      <c:pt idx="7">
                        <c:v>-19.88</c:v>
                      </c:pt>
                      <c:pt idx="8">
                        <c:v>-20.11</c:v>
                      </c:pt>
                      <c:pt idx="9">
                        <c:v>-20.36</c:v>
                      </c:pt>
                      <c:pt idx="10">
                        <c:v>-20.62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-5.8710000000000004</c:v>
                      </c:pt>
                      <c:pt idx="1">
                        <c:v>-6.41</c:v>
                      </c:pt>
                      <c:pt idx="2">
                        <c:v>-6.8849999999999998</c:v>
                      </c:pt>
                      <c:pt idx="3">
                        <c:v>-7.3090000000000002</c:v>
                      </c:pt>
                      <c:pt idx="4">
                        <c:v>-7.7190000000000003</c:v>
                      </c:pt>
                      <c:pt idx="5">
                        <c:v>-8.2479999999999993</c:v>
                      </c:pt>
                      <c:pt idx="6">
                        <c:v>-8.9949999999999992</c:v>
                      </c:pt>
                      <c:pt idx="7">
                        <c:v>-9.7469999999999999</c:v>
                      </c:pt>
                      <c:pt idx="8">
                        <c:v>-10.41</c:v>
                      </c:pt>
                      <c:pt idx="9">
                        <c:v>-10.98</c:v>
                      </c:pt>
                      <c:pt idx="10">
                        <c:v>-11.43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6.2590000000000003</c:v>
                      </c:pt>
                      <c:pt idx="1">
                        <c:v>2.9529999999999998</c:v>
                      </c:pt>
                      <c:pt idx="2">
                        <c:v>0.67290000000000005</c:v>
                      </c:pt>
                      <c:pt idx="3">
                        <c:v>-1.0149999999999999</c:v>
                      </c:pt>
                      <c:pt idx="4">
                        <c:v>-2.3050000000000002</c:v>
                      </c:pt>
                      <c:pt idx="5">
                        <c:v>-3.2450000000000001</c:v>
                      </c:pt>
                      <c:pt idx="6">
                        <c:v>-3.9470000000000001</c:v>
                      </c:pt>
                      <c:pt idx="7">
                        <c:v>-4.5590000000000002</c:v>
                      </c:pt>
                      <c:pt idx="8">
                        <c:v>-5.0259999999999998</c:v>
                      </c:pt>
                      <c:pt idx="9">
                        <c:v>-5.2619999999999996</c:v>
                      </c:pt>
                      <c:pt idx="10">
                        <c:v>-5.367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-5.09</c:v>
                      </c:pt>
                      <c:pt idx="2">
                        <c:v>-5.5179999999999998</c:v>
                      </c:pt>
                      <c:pt idx="3">
                        <c:v>-5.9349999999999996</c:v>
                      </c:pt>
                      <c:pt idx="4">
                        <c:v>-6.3140000000000001</c:v>
                      </c:pt>
                      <c:pt idx="5">
                        <c:v>-6.6210000000000004</c:v>
                      </c:pt>
                      <c:pt idx="6">
                        <c:v>-6.8689999999999998</c:v>
                      </c:pt>
                      <c:pt idx="7">
                        <c:v>-7.1319999999999997</c:v>
                      </c:pt>
                      <c:pt idx="8">
                        <c:v>-7.4260000000000002</c:v>
                      </c:pt>
                      <c:pt idx="9">
                        <c:v>-7.7830000000000004</c:v>
                      </c:pt>
                      <c:pt idx="10">
                        <c:v>-8.2449999999999992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345.8</c:v>
                      </c:pt>
                      <c:pt idx="2">
                        <c:v>418.5</c:v>
                      </c:pt>
                      <c:pt idx="3">
                        <c:v>491.2</c:v>
                      </c:pt>
                      <c:pt idx="4">
                        <c:v>563.9</c:v>
                      </c:pt>
                      <c:pt idx="5">
                        <c:v>636.6</c:v>
                      </c:pt>
                      <c:pt idx="6">
                        <c:v>709.3</c:v>
                      </c:pt>
                      <c:pt idx="7">
                        <c:v>781.9</c:v>
                      </c:pt>
                      <c:pt idx="8">
                        <c:v>854.6</c:v>
                      </c:pt>
                      <c:pt idx="9">
                        <c:v>927.3</c:v>
                      </c:pt>
                      <c:pt idx="1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>
                  <c:v>752.2</c:v>
                </c:pt>
                <c:pt idx="20">
                  <c:v>768.7</c:v>
                </c:pt>
                <c:pt idx="21">
                  <c:v>785.2</c:v>
                </c:pt>
                <c:pt idx="22">
                  <c:v>801.8</c:v>
                </c:pt>
                <c:pt idx="23">
                  <c:v>818.3</c:v>
                </c:pt>
                <c:pt idx="24">
                  <c:v>834.8</c:v>
                </c:pt>
                <c:pt idx="25">
                  <c:v>851.3</c:v>
                </c:pt>
                <c:pt idx="26">
                  <c:v>867.8</c:v>
                </c:pt>
                <c:pt idx="27">
                  <c:v>933.9</c:v>
                </c:pt>
                <c:pt idx="28">
                  <c:v>1000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-501.52728925650013</c:v>
                </c:pt>
                <c:pt idx="1">
                  <c:v>-505.76500421600008</c:v>
                </c:pt>
                <c:pt idx="2">
                  <c:v>-509.90980463800008</c:v>
                </c:pt>
                <c:pt idx="3">
                  <c:v>-514.21403559750001</c:v>
                </c:pt>
                <c:pt idx="4">
                  <c:v>-518.74320704000002</c:v>
                </c:pt>
                <c:pt idx="5">
                  <c:v>-524.37873079600013</c:v>
                </c:pt>
                <c:pt idx="6">
                  <c:v>-530.62861295700009</c:v>
                </c:pt>
                <c:pt idx="7">
                  <c:v>-536.96930054400013</c:v>
                </c:pt>
                <c:pt idx="8">
                  <c:v>-543.31801578074999</c:v>
                </c:pt>
                <c:pt idx="9">
                  <c:v>-570.48978376600007</c:v>
                </c:pt>
                <c:pt idx="10">
                  <c:v>-577.62291304479993</c:v>
                </c:pt>
                <c:pt idx="11">
                  <c:v>-593.25631901725001</c:v>
                </c:pt>
                <c:pt idx="12">
                  <c:v>-603.81994946875011</c:v>
                </c:pt>
                <c:pt idx="13">
                  <c:v>-647.6492154027502</c:v>
                </c:pt>
                <c:pt idx="14">
                  <c:v>-693.72081967320003</c:v>
                </c:pt>
                <c:pt idx="15">
                  <c:v>-705.55367185290015</c:v>
                </c:pt>
                <c:pt idx="16">
                  <c:v>-717.48286081830008</c:v>
                </c:pt>
                <c:pt idx="17">
                  <c:v>-729.71158518920004</c:v>
                </c:pt>
                <c:pt idx="18">
                  <c:v>-741.88540032494996</c:v>
                </c:pt>
                <c:pt idx="19">
                  <c:v>-758.44073524070006</c:v>
                </c:pt>
                <c:pt idx="20">
                  <c:v>-776.43472781430012</c:v>
                </c:pt>
                <c:pt idx="21">
                  <c:v>-794.39558045380011</c:v>
                </c:pt>
                <c:pt idx="22">
                  <c:v>-814.96103946059986</c:v>
                </c:pt>
                <c:pt idx="23">
                  <c:v>-838.61954484875002</c:v>
                </c:pt>
                <c:pt idx="24">
                  <c:v>-862.56044003480008</c:v>
                </c:pt>
                <c:pt idx="25">
                  <c:v>-886.80995255469998</c:v>
                </c:pt>
                <c:pt idx="26">
                  <c:v>-911.34340968400011</c:v>
                </c:pt>
                <c:pt idx="27">
                  <c:v>-1011.6825609379499</c:v>
                </c:pt>
                <c:pt idx="28">
                  <c:v>-1116.393458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 formatCode="General">
                  <c:v>2.2926999999999999E-2</c:v>
                </c:pt>
                <c:pt idx="20" formatCode="General">
                  <c:v>7.7565999999999998E-3</c:v>
                </c:pt>
                <c:pt idx="21" formatCode="General">
                  <c:v>2.8487E-3</c:v>
                </c:pt>
                <c:pt idx="22" formatCode="General">
                  <c:v>7.5883000000000005E-4</c:v>
                </c:pt>
                <c:pt idx="23" formatCode="General">
                  <c:v>1.1998999999999999E-4</c:v>
                </c:pt>
                <c:pt idx="24" formatCode="General">
                  <c:v>2.0021E-5</c:v>
                </c:pt>
                <c:pt idx="25" formatCode="General">
                  <c:v>3.5053000000000001E-6</c:v>
                </c:pt>
                <c:pt idx="26" formatCode="General">
                  <c:v>6.4165000000000003E-7</c:v>
                </c:pt>
                <c:pt idx="27" formatCode="General">
                  <c:v>1.0583E-9</c:v>
                </c:pt>
                <c:pt idx="28" formatCode="General">
                  <c:v>2.8193999999999999E-12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2.0043000000000001E-32</c:v>
                </c:pt>
                <c:pt idx="10">
                  <c:v>2.3445E-30</c:v>
                </c:pt>
                <c:pt idx="11">
                  <c:v>1.3805000000000001E-26</c:v>
                </c:pt>
                <c:pt idx="12">
                  <c:v>7.3119000000000001E-25</c:v>
                </c:pt>
                <c:pt idx="13">
                  <c:v>7.7330999999999999E-19</c:v>
                </c:pt>
                <c:pt idx="14">
                  <c:v>6.6347E-14</c:v>
                </c:pt>
                <c:pt idx="15">
                  <c:v>8.3351999999999997E-13</c:v>
                </c:pt>
                <c:pt idx="16">
                  <c:v>9.4128000000000004E-12</c:v>
                </c:pt>
                <c:pt idx="17">
                  <c:v>9.6235000000000004E-11</c:v>
                </c:pt>
                <c:pt idx="18">
                  <c:v>8.9664000000000002E-10</c:v>
                </c:pt>
                <c:pt idx="19" formatCode="General">
                  <c:v>2.9265000000000002E-9</c:v>
                </c:pt>
                <c:pt idx="20" formatCode="General">
                  <c:v>7.7960999999999996E-9</c:v>
                </c:pt>
                <c:pt idx="21" formatCode="General">
                  <c:v>2.0885999999999999E-8</c:v>
                </c:pt>
                <c:pt idx="22" formatCode="General">
                  <c:v>3.7773999999999998E-8</c:v>
                </c:pt>
                <c:pt idx="23" formatCode="General">
                  <c:v>3.7906000000000002E-8</c:v>
                </c:pt>
                <c:pt idx="24" formatCode="General">
                  <c:v>3.7667000000000002E-8</c:v>
                </c:pt>
                <c:pt idx="25" formatCode="General">
                  <c:v>3.6985999999999998E-8</c:v>
                </c:pt>
                <c:pt idx="26" formatCode="General">
                  <c:v>3.5881000000000002E-8</c:v>
                </c:pt>
                <c:pt idx="27" formatCode="General">
                  <c:v>2.8110999999999999E-8</c:v>
                </c:pt>
                <c:pt idx="28" formatCode="General">
                  <c:v>1.7788E-8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  <c:pt idx="27" formatCode="General">
                  <c:v>0.2</c:v>
                </c:pt>
                <c:pt idx="28" formatCode="General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5.3772999999999998E-32</c:v>
                      </c:pt>
                      <c:pt idx="8">
                        <c:v>1.5348000000000001E-24</c:v>
                      </c:pt>
                      <c:pt idx="9">
                        <c:v>5.4907000000000001E-11</c:v>
                      </c:pt>
                      <c:pt idx="10">
                        <c:v>1.0671E-9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  <c:pt idx="19" formatCode="General">
                        <c:v>0.1</c:v>
                      </c:pt>
                      <c:pt idx="20" formatCode="General">
                        <c:v>0.1</c:v>
                      </c:pt>
                      <c:pt idx="21" formatCode="General">
                        <c:v>0.1</c:v>
                      </c:pt>
                      <c:pt idx="22" formatCode="General">
                        <c:v>8.9244000000000004E-2</c:v>
                      </c:pt>
                      <c:pt idx="23" formatCode="General">
                        <c:v>8.7581000000000006E-2</c:v>
                      </c:pt>
                      <c:pt idx="24" formatCode="General">
                        <c:v>8.5822999999999997E-2</c:v>
                      </c:pt>
                      <c:pt idx="25" formatCode="General">
                        <c:v>8.3868999999999999E-2</c:v>
                      </c:pt>
                      <c:pt idx="26" formatCode="General">
                        <c:v>8.1675999999999999E-2</c:v>
                      </c:pt>
                      <c:pt idx="27" formatCode="General">
                        <c:v>6.9655999999999996E-2</c:v>
                      </c:pt>
                      <c:pt idx="28" formatCode="General">
                        <c:v>4.8920999999999999E-2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1.9595999999999999E-7</c:v>
                      </c:pt>
                      <c:pt idx="12">
                        <c:v>3.8421000000000002E-9</c:v>
                      </c:pt>
                      <c:pt idx="13">
                        <c:v>3.7591999999999998E-13</c:v>
                      </c:pt>
                      <c:pt idx="14">
                        <c:v>1.0288E-20</c:v>
                      </c:pt>
                      <c:pt idx="15">
                        <c:v>6.8252999999999997E-23</c:v>
                      </c:pt>
                      <c:pt idx="16">
                        <c:v>1.5939E-27</c:v>
                      </c:pt>
                      <c:pt idx="17">
                        <c:v>2.2882E-32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3.5951000000000002E-34</c:v>
                      </c:pt>
                      <c:pt idx="15">
                        <c:v>4.4337999999999999E-29</c:v>
                      </c:pt>
                      <c:pt idx="16">
                        <c:v>3.6580000000000002E-26</c:v>
                      </c:pt>
                      <c:pt idx="17">
                        <c:v>1.8552E-22</c:v>
                      </c:pt>
                      <c:pt idx="18">
                        <c:v>2.7423000000000002E-30</c:v>
                      </c:pt>
                      <c:pt idx="19" formatCode="General">
                        <c:v>4.1469000000000002E-19</c:v>
                      </c:pt>
                      <c:pt idx="20" formatCode="General">
                        <c:v>7.2405000000000003E-17</c:v>
                      </c:pt>
                      <c:pt idx="21" formatCode="General">
                        <c:v>1.4522E-16</c:v>
                      </c:pt>
                      <c:pt idx="22" formatCode="General">
                        <c:v>8.6198000000000002E-8</c:v>
                      </c:pt>
                      <c:pt idx="23" formatCode="General">
                        <c:v>3.9130000000000002E-7</c:v>
                      </c:pt>
                      <c:pt idx="24" formatCode="General">
                        <c:v>2.5989999999999999E-7</c:v>
                      </c:pt>
                      <c:pt idx="25" formatCode="General">
                        <c:v>1.9763E-7</c:v>
                      </c:pt>
                      <c:pt idx="26" formatCode="General">
                        <c:v>1.7905999999999999E-7</c:v>
                      </c:pt>
                      <c:pt idx="27" formatCode="General">
                        <c:v>4.4642999999999998E-8</c:v>
                      </c:pt>
                      <c:pt idx="28" formatCode="General">
                        <c:v>1.4543999999999999E-8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2E1-40A6-A933-2A862B83ED7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6.3694000000000001E-24</c:v>
                      </c:pt>
                      <c:pt idx="15">
                        <c:v>6.0374999999999997E-19</c:v>
                      </c:pt>
                      <c:pt idx="16">
                        <c:v>1.7322E-15</c:v>
                      </c:pt>
                      <c:pt idx="17">
                        <c:v>2.8695000000000001E-11</c:v>
                      </c:pt>
                      <c:pt idx="18">
                        <c:v>9.1489999999999994E-8</c:v>
                      </c:pt>
                      <c:pt idx="19" formatCode="General">
                        <c:v>3.7073000000000002E-2</c:v>
                      </c:pt>
                      <c:pt idx="20" formatCode="General">
                        <c:v>5.2242999999999998E-2</c:v>
                      </c:pt>
                      <c:pt idx="21" formatCode="General">
                        <c:v>5.7151E-2</c:v>
                      </c:pt>
                      <c:pt idx="22" formatCode="General">
                        <c:v>3.0810999999999997E-8</c:v>
                      </c:pt>
                      <c:pt idx="23" formatCode="General">
                        <c:v>7.0034000000000001E-20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2E1-40A6-A933-2A862B83ED7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5.3772999999999998E-32</c:v>
                      </c:pt>
                      <c:pt idx="8">
                        <c:v>1.5348000000000001E-24</c:v>
                      </c:pt>
                      <c:pt idx="9">
                        <c:v>5.4907000000000001E-11</c:v>
                      </c:pt>
                      <c:pt idx="10">
                        <c:v>1.0671E-9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  <c:pt idx="19" formatCode="General">
                        <c:v>0.1</c:v>
                      </c:pt>
                      <c:pt idx="20" formatCode="General">
                        <c:v>0.1</c:v>
                      </c:pt>
                      <c:pt idx="21" formatCode="General">
                        <c:v>0.1</c:v>
                      </c:pt>
                      <c:pt idx="22" formatCode="General">
                        <c:v>8.9244000000000004E-2</c:v>
                      </c:pt>
                      <c:pt idx="23" formatCode="General">
                        <c:v>8.7581000000000006E-2</c:v>
                      </c:pt>
                      <c:pt idx="24" formatCode="General">
                        <c:v>8.5822999999999997E-2</c:v>
                      </c:pt>
                      <c:pt idx="25" formatCode="General">
                        <c:v>8.3868999999999999E-2</c:v>
                      </c:pt>
                      <c:pt idx="26" formatCode="General">
                        <c:v>8.1675999999999999E-2</c:v>
                      </c:pt>
                      <c:pt idx="27" formatCode="General">
                        <c:v>6.9655999999999996E-2</c:v>
                      </c:pt>
                      <c:pt idx="28" formatCode="General">
                        <c:v>4.8920999999999999E-2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1.1638999999999999E-21</c:v>
                      </c:pt>
                      <c:pt idx="1">
                        <c:v>1.1626E-17</c:v>
                      </c:pt>
                      <c:pt idx="2">
                        <c:v>3.9641599999999999E-12</c:v>
                      </c:pt>
                      <c:pt idx="3">
                        <c:v>1.1706000000000001E-9</c:v>
                      </c:pt>
                      <c:pt idx="4">
                        <c:v>3.5366000000000001E-7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0.1</c:v>
                      </c:pt>
                      <c:pt idx="10">
                        <c:v>0.1</c:v>
                      </c:pt>
                      <c:pt idx="11">
                        <c:v>0.3</c:v>
                      </c:pt>
                      <c:pt idx="12">
                        <c:v>0.3</c:v>
                      </c:pt>
                      <c:pt idx="13">
                        <c:v>0.3</c:v>
                      </c:pt>
                      <c:pt idx="14">
                        <c:v>0.3</c:v>
                      </c:pt>
                      <c:pt idx="15">
                        <c:v>0.3</c:v>
                      </c:pt>
                      <c:pt idx="16">
                        <c:v>0.3</c:v>
                      </c:pt>
                      <c:pt idx="17">
                        <c:v>0.3</c:v>
                      </c:pt>
                      <c:pt idx="18">
                        <c:v>0.3</c:v>
                      </c:pt>
                      <c:pt idx="19" formatCode="General">
                        <c:v>0.37414999999999998</c:v>
                      </c:pt>
                      <c:pt idx="20" formatCode="General">
                        <c:v>0.40449000000000002</c:v>
                      </c:pt>
                      <c:pt idx="21" formatCode="General">
                        <c:v>0.4143</c:v>
                      </c:pt>
                      <c:pt idx="22" formatCode="General">
                        <c:v>0.47771999999999998</c:v>
                      </c:pt>
                      <c:pt idx="23" formatCode="General">
                        <c:v>0.47964000000000001</c:v>
                      </c:pt>
                      <c:pt idx="24" formatCode="General">
                        <c:v>0.47993999999999998</c:v>
                      </c:pt>
                      <c:pt idx="25" formatCode="General">
                        <c:v>0.47999000000000003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2.9696000000000002E-9</c:v>
                      </c:pt>
                      <c:pt idx="6">
                        <c:v>3.3152000000000001E-10</c:v>
                      </c:pt>
                      <c:pt idx="7">
                        <c:v>2.7948E-11</c:v>
                      </c:pt>
                      <c:pt idx="8">
                        <c:v>7.0472999999999997E-13</c:v>
                      </c:pt>
                      <c:pt idx="9">
                        <c:v>2.309E-27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3.4998000000000001E-19</c:v>
                      </c:pt>
                      <c:pt idx="14">
                        <c:v>1.144E-13</c:v>
                      </c:pt>
                      <c:pt idx="15">
                        <c:v>1.4259E-12</c:v>
                      </c:pt>
                      <c:pt idx="16">
                        <c:v>3.7888999999999997E-12</c:v>
                      </c:pt>
                      <c:pt idx="17">
                        <c:v>6.1160999999999994E-11</c:v>
                      </c:pt>
                      <c:pt idx="18">
                        <c:v>8.1475000000000008E-18</c:v>
                      </c:pt>
                      <c:pt idx="19" formatCode="General">
                        <c:v>3.6451000000000002E-10</c:v>
                      </c:pt>
                      <c:pt idx="20" formatCode="General">
                        <c:v>1.3507E-8</c:v>
                      </c:pt>
                      <c:pt idx="21" formatCode="General">
                        <c:v>2.0163000000000001E-7</c:v>
                      </c:pt>
                      <c:pt idx="22" formatCode="General">
                        <c:v>0.11848</c:v>
                      </c:pt>
                      <c:pt idx="23" formatCode="General">
                        <c:v>0.11976000000000001</c:v>
                      </c:pt>
                      <c:pt idx="24" formatCode="General">
                        <c:v>0.11996</c:v>
                      </c:pt>
                      <c:pt idx="25" formatCode="General">
                        <c:v>0.11999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1.2240999999999999E-15</c:v>
                      </c:pt>
                      <c:pt idx="14">
                        <c:v>4.0812E-12</c:v>
                      </c:pt>
                      <c:pt idx="15">
                        <c:v>1.8063E-11</c:v>
                      </c:pt>
                      <c:pt idx="16">
                        <c:v>1.7662000000000001E-11</c:v>
                      </c:pt>
                      <c:pt idx="17">
                        <c:v>1.0905E-10</c:v>
                      </c:pt>
                      <c:pt idx="18">
                        <c:v>5.7466999999999996E-18</c:v>
                      </c:pt>
                      <c:pt idx="19" formatCode="General">
                        <c:v>1.5723999999999999E-10</c:v>
                      </c:pt>
                      <c:pt idx="20" formatCode="General">
                        <c:v>4.0661000000000003E-9</c:v>
                      </c:pt>
                      <c:pt idx="21" formatCode="General">
                        <c:v>4.2791000000000002E-8</c:v>
                      </c:pt>
                      <c:pt idx="22" formatCode="General">
                        <c:v>2.1513000000000001E-2</c:v>
                      </c:pt>
                      <c:pt idx="23" formatCode="General">
                        <c:v>2.4837000000000001E-2</c:v>
                      </c:pt>
                      <c:pt idx="24" formatCode="General">
                        <c:v>2.8353E-2</c:v>
                      </c:pt>
                      <c:pt idx="25" formatCode="General">
                        <c:v>3.2261999999999999E-2</c:v>
                      </c:pt>
                      <c:pt idx="26" formatCode="General">
                        <c:v>3.6649000000000001E-2</c:v>
                      </c:pt>
                      <c:pt idx="27" formatCode="General">
                        <c:v>6.0687999999999999E-2</c:v>
                      </c:pt>
                      <c:pt idx="28" formatCode="General">
                        <c:v>0.10216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-18.88</c:v>
                      </c:pt>
                      <c:pt idx="4">
                        <c:v>-18.89</c:v>
                      </c:pt>
                      <c:pt idx="5">
                        <c:v>-18.91</c:v>
                      </c:pt>
                      <c:pt idx="6">
                        <c:v>-18.93</c:v>
                      </c:pt>
                      <c:pt idx="7">
                        <c:v>-18.95</c:v>
                      </c:pt>
                      <c:pt idx="8">
                        <c:v>-18.98</c:v>
                      </c:pt>
                      <c:pt idx="9">
                        <c:v>-19.100000000000001</c:v>
                      </c:pt>
                      <c:pt idx="10">
                        <c:v>-19.13</c:v>
                      </c:pt>
                      <c:pt idx="11">
                        <c:v>-19.2</c:v>
                      </c:pt>
                      <c:pt idx="12">
                        <c:v>-19.23</c:v>
                      </c:pt>
                      <c:pt idx="13">
                        <c:v>-19.37</c:v>
                      </c:pt>
                      <c:pt idx="14">
                        <c:v>-19.510000000000002</c:v>
                      </c:pt>
                      <c:pt idx="15">
                        <c:v>-19.54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</c:v>
                      </c:pt>
                      <c:pt idx="19" formatCode="General">
                        <c:v>-19.52</c:v>
                      </c:pt>
                      <c:pt idx="20" formatCode="General">
                        <c:v>-19.489999999999998</c:v>
                      </c:pt>
                      <c:pt idx="21" formatCode="General">
                        <c:v>-19.5</c:v>
                      </c:pt>
                      <c:pt idx="22" formatCode="General">
                        <c:v>-19.52</c:v>
                      </c:pt>
                      <c:pt idx="23" formatCode="General">
                        <c:v>-19.55</c:v>
                      </c:pt>
                      <c:pt idx="24" formatCode="General">
                        <c:v>-19.579999999999998</c:v>
                      </c:pt>
                      <c:pt idx="25" formatCode="General">
                        <c:v>-19.61</c:v>
                      </c:pt>
                      <c:pt idx="26" formatCode="General">
                        <c:v>-19.64</c:v>
                      </c:pt>
                      <c:pt idx="27" formatCode="General">
                        <c:v>-19.760000000000002</c:v>
                      </c:pt>
                      <c:pt idx="28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</c:v>
                      </c:pt>
                      <c:pt idx="1">
                        <c:v>-62.81</c:v>
                      </c:pt>
                      <c:pt idx="2">
                        <c:v>-59.71</c:v>
                      </c:pt>
                      <c:pt idx="3">
                        <c:v>-56.94</c:v>
                      </c:pt>
                      <c:pt idx="4">
                        <c:v>-54.44</c:v>
                      </c:pt>
                      <c:pt idx="5">
                        <c:v>-51.07</c:v>
                      </c:pt>
                      <c:pt idx="6">
                        <c:v>-47.7</c:v>
                      </c:pt>
                      <c:pt idx="7">
                        <c:v>-44.59</c:v>
                      </c:pt>
                      <c:pt idx="8">
                        <c:v>-41.72</c:v>
                      </c:pt>
                      <c:pt idx="9">
                        <c:v>-32.06</c:v>
                      </c:pt>
                      <c:pt idx="10">
                        <c:v>-30.02</c:v>
                      </c:pt>
                      <c:pt idx="11">
                        <c:v>-26.27</c:v>
                      </c:pt>
                      <c:pt idx="12">
                        <c:v>-24.55</c:v>
                      </c:pt>
                      <c:pt idx="13">
                        <c:v>-18.5</c:v>
                      </c:pt>
                      <c:pt idx="14">
                        <c:v>-13.49</c:v>
                      </c:pt>
                      <c:pt idx="15">
                        <c:v>-12.36</c:v>
                      </c:pt>
                      <c:pt idx="16">
                        <c:v>-11.28</c:v>
                      </c:pt>
                      <c:pt idx="17">
                        <c:v>-10.24</c:v>
                      </c:pt>
                      <c:pt idx="18">
                        <c:v>-9.24</c:v>
                      </c:pt>
                      <c:pt idx="19" formatCode="General">
                        <c:v>-8.68</c:v>
                      </c:pt>
                      <c:pt idx="20" formatCode="General">
                        <c:v>-8.2560000000000002</c:v>
                      </c:pt>
                      <c:pt idx="21" formatCode="General">
                        <c:v>-7.8470000000000004</c:v>
                      </c:pt>
                      <c:pt idx="22" formatCode="General">
                        <c:v>-7.6349999999999998</c:v>
                      </c:pt>
                      <c:pt idx="23" formatCode="General">
                        <c:v>-7.7149999999999999</c:v>
                      </c:pt>
                      <c:pt idx="24" formatCode="General">
                        <c:v>-7.7960000000000003</c:v>
                      </c:pt>
                      <c:pt idx="25" formatCode="General">
                        <c:v>-7.8789999999999996</c:v>
                      </c:pt>
                      <c:pt idx="26" formatCode="General">
                        <c:v>-7.9630000000000001</c:v>
                      </c:pt>
                      <c:pt idx="27" formatCode="General">
                        <c:v>-8.3190000000000008</c:v>
                      </c:pt>
                      <c:pt idx="28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-9.6150000000000002</c:v>
                      </c:pt>
                      <c:pt idx="9">
                        <c:v>-6.04</c:v>
                      </c:pt>
                      <c:pt idx="10">
                        <c:v>-5.2759999999999998</c:v>
                      </c:pt>
                      <c:pt idx="11">
                        <c:v>-4.1150000000000002</c:v>
                      </c:pt>
                      <c:pt idx="12">
                        <c:v>-4.1550000000000002</c:v>
                      </c:pt>
                      <c:pt idx="13">
                        <c:v>-4.3170000000000002</c:v>
                      </c:pt>
                      <c:pt idx="14">
                        <c:v>-4.4809999999999999</c:v>
                      </c:pt>
                      <c:pt idx="15">
                        <c:v>-4.5220000000000002</c:v>
                      </c:pt>
                      <c:pt idx="16">
                        <c:v>-4.5620000000000003</c:v>
                      </c:pt>
                      <c:pt idx="17">
                        <c:v>-4.6029999999999998</c:v>
                      </c:pt>
                      <c:pt idx="18">
                        <c:v>-4.6429999999999998</c:v>
                      </c:pt>
                      <c:pt idx="19" formatCode="General">
                        <c:v>-4.6829999999999998</c:v>
                      </c:pt>
                      <c:pt idx="20" formatCode="General">
                        <c:v>-4.7220000000000004</c:v>
                      </c:pt>
                      <c:pt idx="21" formatCode="General">
                        <c:v>-4.7619999999999996</c:v>
                      </c:pt>
                      <c:pt idx="22" formatCode="General">
                        <c:v>-4.8010000000000002</c:v>
                      </c:pt>
                      <c:pt idx="23" formatCode="General">
                        <c:v>-4.84</c:v>
                      </c:pt>
                      <c:pt idx="24" formatCode="General">
                        <c:v>-4.8780000000000001</c:v>
                      </c:pt>
                      <c:pt idx="25" formatCode="General">
                        <c:v>-4.9169999999999998</c:v>
                      </c:pt>
                      <c:pt idx="26" formatCode="General">
                        <c:v>-4.9550000000000001</c:v>
                      </c:pt>
                      <c:pt idx="27" formatCode="General">
                        <c:v>-5.1040000000000001</c:v>
                      </c:pt>
                      <c:pt idx="28" formatCode="General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-19.79</c:v>
                      </c:pt>
                      <c:pt idx="6">
                        <c:v>-20.03</c:v>
                      </c:pt>
                      <c:pt idx="7">
                        <c:v>-20.28</c:v>
                      </c:pt>
                      <c:pt idx="8">
                        <c:v>-20.52</c:v>
                      </c:pt>
                      <c:pt idx="9">
                        <c:v>-21.52</c:v>
                      </c:pt>
                      <c:pt idx="10">
                        <c:v>-21.77</c:v>
                      </c:pt>
                      <c:pt idx="11">
                        <c:v>-22.27</c:v>
                      </c:pt>
                      <c:pt idx="12">
                        <c:v>-22.51</c:v>
                      </c:pt>
                      <c:pt idx="13">
                        <c:v>-23.48</c:v>
                      </c:pt>
                      <c:pt idx="14">
                        <c:v>-24.41</c:v>
                      </c:pt>
                      <c:pt idx="15">
                        <c:v>-24.64</c:v>
                      </c:pt>
                      <c:pt idx="16">
                        <c:v>-24.86</c:v>
                      </c:pt>
                      <c:pt idx="17">
                        <c:v>-25.09</c:v>
                      </c:pt>
                      <c:pt idx="18">
                        <c:v>-25.31</c:v>
                      </c:pt>
                      <c:pt idx="19" formatCode="General">
                        <c:v>-25.53</c:v>
                      </c:pt>
                      <c:pt idx="20" formatCode="General">
                        <c:v>-25.75</c:v>
                      </c:pt>
                      <c:pt idx="21" formatCode="General">
                        <c:v>-25.96</c:v>
                      </c:pt>
                      <c:pt idx="22" formatCode="General">
                        <c:v>-26.18</c:v>
                      </c:pt>
                      <c:pt idx="23" formatCode="General">
                        <c:v>-26.39</c:v>
                      </c:pt>
                      <c:pt idx="24" formatCode="General">
                        <c:v>-26.6</c:v>
                      </c:pt>
                      <c:pt idx="25" formatCode="General">
                        <c:v>-26.81</c:v>
                      </c:pt>
                      <c:pt idx="26" formatCode="General">
                        <c:v>-27.02</c:v>
                      </c:pt>
                      <c:pt idx="27" formatCode="General">
                        <c:v>-27.83</c:v>
                      </c:pt>
                      <c:pt idx="28" formatCode="General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>
                  <c:v>752.2</c:v>
                </c:pt>
                <c:pt idx="20">
                  <c:v>768.7</c:v>
                </c:pt>
                <c:pt idx="21">
                  <c:v>785.2</c:v>
                </c:pt>
                <c:pt idx="22">
                  <c:v>801.8</c:v>
                </c:pt>
                <c:pt idx="23">
                  <c:v>818.3</c:v>
                </c:pt>
                <c:pt idx="24">
                  <c:v>834.8</c:v>
                </c:pt>
                <c:pt idx="25">
                  <c:v>851.3</c:v>
                </c:pt>
                <c:pt idx="26">
                  <c:v>867.8</c:v>
                </c:pt>
                <c:pt idx="27">
                  <c:v>933.9</c:v>
                </c:pt>
                <c:pt idx="28">
                  <c:v>1000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-2.2123961577716461E-13</c:v>
                </c:pt>
                <c:pt idx="14">
                  <c:v>-9.2006271211381218E-10</c:v>
                </c:pt>
                <c:pt idx="15">
                  <c:v>-4.7207768335252883E-9</c:v>
                </c:pt>
                <c:pt idx="16">
                  <c:v>-6.0038955899807469E-9</c:v>
                </c:pt>
                <c:pt idx="17">
                  <c:v>-5.6222259061590312E-8</c:v>
                </c:pt>
                <c:pt idx="18">
                  <c:v>-5.1976381214482683E-15</c:v>
                </c:pt>
                <c:pt idx="19">
                  <c:v>-2.0327614931030894E-7</c:v>
                </c:pt>
                <c:pt idx="20">
                  <c:v>-6.9619932682954571E-6</c:v>
                </c:pt>
                <c:pt idx="21">
                  <c:v>-9.716441474314485E-5</c:v>
                </c:pt>
                <c:pt idx="22">
                  <c:v>-55.992417174978577</c:v>
                </c:pt>
                <c:pt idx="23">
                  <c:v>-59.20171373586016</c:v>
                </c:pt>
                <c:pt idx="24">
                  <c:v>-62.093348781443275</c:v>
                </c:pt>
                <c:pt idx="25">
                  <c:v>-65.120805275592986</c:v>
                </c:pt>
                <c:pt idx="26">
                  <c:v>-68.374553966353034</c:v>
                </c:pt>
                <c:pt idx="27">
                  <c:v>-84.63957754907689</c:v>
                </c:pt>
                <c:pt idx="28">
                  <c:v>-109.698591839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>
                  <c:v>752.2</c:v>
                </c:pt>
                <c:pt idx="20">
                  <c:v>768.7</c:v>
                </c:pt>
                <c:pt idx="21">
                  <c:v>785.2</c:v>
                </c:pt>
                <c:pt idx="22">
                  <c:v>801.8</c:v>
                </c:pt>
                <c:pt idx="23">
                  <c:v>818.3</c:v>
                </c:pt>
                <c:pt idx="24">
                  <c:v>834.8</c:v>
                </c:pt>
                <c:pt idx="25">
                  <c:v>851.3</c:v>
                </c:pt>
                <c:pt idx="26">
                  <c:v>867.8</c:v>
                </c:pt>
                <c:pt idx="27">
                  <c:v>933.9</c:v>
                </c:pt>
                <c:pt idx="28">
                  <c:v>1000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-230.65668512100004</c:v>
                </c:pt>
                <c:pt idx="1">
                  <c:v>-232.25992442625002</c:v>
                </c:pt>
                <c:pt idx="2">
                  <c:v>-233.81544681600002</c:v>
                </c:pt>
                <c:pt idx="3">
                  <c:v>-235.4410729125</c:v>
                </c:pt>
                <c:pt idx="4">
                  <c:v>-237.12900787200002</c:v>
                </c:pt>
                <c:pt idx="5">
                  <c:v>-238.83030007574999</c:v>
                </c:pt>
                <c:pt idx="6">
                  <c:v>-240.65874177075005</c:v>
                </c:pt>
                <c:pt idx="7">
                  <c:v>-242.48314677600004</c:v>
                </c:pt>
                <c:pt idx="8">
                  <c:v>-244.31534662500005</c:v>
                </c:pt>
                <c:pt idx="9">
                  <c:v>-252.17775400200003</c:v>
                </c:pt>
                <c:pt idx="10">
                  <c:v>-254.25019717124999</c:v>
                </c:pt>
                <c:pt idx="11">
                  <c:v>-258.45380050874996</c:v>
                </c:pt>
                <c:pt idx="12">
                  <c:v>-260.61228628125002</c:v>
                </c:pt>
                <c:pt idx="13">
                  <c:v>-269.55625629000019</c:v>
                </c:pt>
                <c:pt idx="14">
                  <c:v>-278.95403586707835</c:v>
                </c:pt>
                <c:pt idx="15">
                  <c:v>-281.34980916067661</c:v>
                </c:pt>
                <c:pt idx="16">
                  <c:v>-283.77504074323622</c:v>
                </c:pt>
                <c:pt idx="17">
                  <c:v>-286.28236992475513</c:v>
                </c:pt>
                <c:pt idx="18">
                  <c:v>-288.75193196971827</c:v>
                </c:pt>
                <c:pt idx="19">
                  <c:v>-112.26186741422875</c:v>
                </c:pt>
                <c:pt idx="20">
                  <c:v>-38.735601649374608</c:v>
                </c:pt>
                <c:pt idx="21">
                  <c:v>-14.502451436830507</c:v>
                </c:pt>
                <c:pt idx="22">
                  <c:v>-59.947213517770237</c:v>
                </c:pt>
                <c:pt idx="23">
                  <c:v>-59.845385234946697</c:v>
                </c:pt>
                <c:pt idx="24">
                  <c:v>-62.203908339250631</c:v>
                </c:pt>
                <c:pt idx="25">
                  <c:v>-65.140785798498527</c:v>
                </c:pt>
                <c:pt idx="26">
                  <c:v>-68.378388430300276</c:v>
                </c:pt>
                <c:pt idx="27">
                  <c:v>-84.639665292927504</c:v>
                </c:pt>
                <c:pt idx="28">
                  <c:v>-109.69864863981385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>
                  <c:v>752.2</c:v>
                </c:pt>
                <c:pt idx="20">
                  <c:v>768.7</c:v>
                </c:pt>
                <c:pt idx="21">
                  <c:v>785.2</c:v>
                </c:pt>
                <c:pt idx="22">
                  <c:v>801.8</c:v>
                </c:pt>
                <c:pt idx="23">
                  <c:v>818.3</c:v>
                </c:pt>
                <c:pt idx="24">
                  <c:v>834.8</c:v>
                </c:pt>
                <c:pt idx="25">
                  <c:v>851.3</c:v>
                </c:pt>
                <c:pt idx="26">
                  <c:v>867.8</c:v>
                </c:pt>
                <c:pt idx="27">
                  <c:v>933.9</c:v>
                </c:pt>
                <c:pt idx="28">
                  <c:v>1000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-1116.393458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>
                  <c:v>752.2</c:v>
                </c:pt>
                <c:pt idx="20">
                  <c:v>768.7</c:v>
                </c:pt>
                <c:pt idx="21">
                  <c:v>785.2</c:v>
                </c:pt>
                <c:pt idx="22">
                  <c:v>801.8</c:v>
                </c:pt>
                <c:pt idx="23">
                  <c:v>818.3</c:v>
                </c:pt>
                <c:pt idx="24">
                  <c:v>834.8</c:v>
                </c:pt>
                <c:pt idx="25">
                  <c:v>851.3</c:v>
                </c:pt>
                <c:pt idx="26">
                  <c:v>867.8</c:v>
                </c:pt>
                <c:pt idx="27">
                  <c:v>933.9</c:v>
                </c:pt>
                <c:pt idx="28">
                  <c:v>1000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-501.52728925650013</c:v>
                </c:pt>
                <c:pt idx="1">
                  <c:v>-505.76500421600008</c:v>
                </c:pt>
                <c:pt idx="2">
                  <c:v>-509.90980463800008</c:v>
                </c:pt>
                <c:pt idx="3">
                  <c:v>-514.21403559750001</c:v>
                </c:pt>
                <c:pt idx="4">
                  <c:v>-518.74320704000002</c:v>
                </c:pt>
                <c:pt idx="5">
                  <c:v>-524.37873079600013</c:v>
                </c:pt>
                <c:pt idx="6">
                  <c:v>-530.62861295700009</c:v>
                </c:pt>
                <c:pt idx="7">
                  <c:v>-536.96930054400013</c:v>
                </c:pt>
                <c:pt idx="8">
                  <c:v>-543.31801578074999</c:v>
                </c:pt>
                <c:pt idx="9">
                  <c:v>-570.48978376600007</c:v>
                </c:pt>
                <c:pt idx="10">
                  <c:v>-577.62291304479993</c:v>
                </c:pt>
                <c:pt idx="11">
                  <c:v>-593.25631901725001</c:v>
                </c:pt>
                <c:pt idx="12">
                  <c:v>-603.81994946875011</c:v>
                </c:pt>
                <c:pt idx="13">
                  <c:v>-647.6492154027502</c:v>
                </c:pt>
                <c:pt idx="14">
                  <c:v>-693.72081967320003</c:v>
                </c:pt>
                <c:pt idx="15">
                  <c:v>-705.55367185290015</c:v>
                </c:pt>
                <c:pt idx="16">
                  <c:v>-717.48286081830008</c:v>
                </c:pt>
                <c:pt idx="17">
                  <c:v>-729.71158518920004</c:v>
                </c:pt>
                <c:pt idx="18">
                  <c:v>-741.88540032494996</c:v>
                </c:pt>
                <c:pt idx="19">
                  <c:v>-758.44073524070006</c:v>
                </c:pt>
                <c:pt idx="20">
                  <c:v>-776.43472781430012</c:v>
                </c:pt>
                <c:pt idx="21">
                  <c:v>-794.39558045380011</c:v>
                </c:pt>
                <c:pt idx="22">
                  <c:v>-814.96103946059986</c:v>
                </c:pt>
                <c:pt idx="23">
                  <c:v>-838.61954484875002</c:v>
                </c:pt>
                <c:pt idx="24">
                  <c:v>-862.56044003480008</c:v>
                </c:pt>
                <c:pt idx="25">
                  <c:v>-886.80995255469998</c:v>
                </c:pt>
                <c:pt idx="26">
                  <c:v>-911.34340968400011</c:v>
                </c:pt>
                <c:pt idx="27">
                  <c:v>-1011.6825609379499</c:v>
                </c:pt>
                <c:pt idx="28">
                  <c:v>-1116.393458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-230.65668512100004</c:v>
                      </c:pt>
                      <c:pt idx="1">
                        <c:v>-232.25992442625002</c:v>
                      </c:pt>
                      <c:pt idx="2">
                        <c:v>-233.81544681600002</c:v>
                      </c:pt>
                      <c:pt idx="3">
                        <c:v>-235.4410729125</c:v>
                      </c:pt>
                      <c:pt idx="4">
                        <c:v>-237.12900787200002</c:v>
                      </c:pt>
                      <c:pt idx="5">
                        <c:v>-238.83030007574999</c:v>
                      </c:pt>
                      <c:pt idx="6">
                        <c:v>-240.65874177075005</c:v>
                      </c:pt>
                      <c:pt idx="7">
                        <c:v>-242.48314677600004</c:v>
                      </c:pt>
                      <c:pt idx="8">
                        <c:v>-244.31534662500005</c:v>
                      </c:pt>
                      <c:pt idx="9">
                        <c:v>-252.17775400200003</c:v>
                      </c:pt>
                      <c:pt idx="10">
                        <c:v>-254.25019717124999</c:v>
                      </c:pt>
                      <c:pt idx="11">
                        <c:v>-258.45380050874996</c:v>
                      </c:pt>
                      <c:pt idx="12">
                        <c:v>-260.61228628125002</c:v>
                      </c:pt>
                      <c:pt idx="13">
                        <c:v>-269.55625628999996</c:v>
                      </c:pt>
                      <c:pt idx="14">
                        <c:v>-278.95403586615828</c:v>
                      </c:pt>
                      <c:pt idx="15">
                        <c:v>-281.34980915595582</c:v>
                      </c:pt>
                      <c:pt idx="16">
                        <c:v>-283.7750407372323</c:v>
                      </c:pt>
                      <c:pt idx="17">
                        <c:v>-286.2823698685329</c:v>
                      </c:pt>
                      <c:pt idx="18">
                        <c:v>-288.75193196971827</c:v>
                      </c:pt>
                      <c:pt idx="19">
                        <c:v>-112.2618672109526</c:v>
                      </c:pt>
                      <c:pt idx="20">
                        <c:v>-38.735594687381337</c:v>
                      </c:pt>
                      <c:pt idx="21">
                        <c:v>-14.502354272415763</c:v>
                      </c:pt>
                      <c:pt idx="22">
                        <c:v>-3.9547963427916573</c:v>
                      </c:pt>
                      <c:pt idx="23">
                        <c:v>-0.64367149908653609</c:v>
                      </c:pt>
                      <c:pt idx="24">
                        <c:v>-0.11055955780735784</c:v>
                      </c:pt>
                      <c:pt idx="25">
                        <c:v>-1.9980522905538464E-2</c:v>
                      </c:pt>
                      <c:pt idx="26">
                        <c:v>-3.8344639472439389E-3</c:v>
                      </c:pt>
                      <c:pt idx="27">
                        <c:v>-8.7743850608978764E-5</c:v>
                      </c:pt>
                      <c:pt idx="28">
                        <c:v>-5.6800813847027529E-5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-302.10772888100007</c:v>
                      </c:pt>
                      <c:pt idx="1">
                        <c:v>-308.01387436875001</c:v>
                      </c:pt>
                      <c:pt idx="2">
                        <c:v>-313.88399867100003</c:v>
                      </c:pt>
                      <c:pt idx="3">
                        <c:v>-319.86894483250001</c:v>
                      </c:pt>
                      <c:pt idx="4">
                        <c:v>-325.92077283200001</c:v>
                      </c:pt>
                      <c:pt idx="5">
                        <c:v>-332.03982217825001</c:v>
                      </c:pt>
                      <c:pt idx="6">
                        <c:v>-338.32139921325006</c:v>
                      </c:pt>
                      <c:pt idx="7">
                        <c:v>-344.58188097600009</c:v>
                      </c:pt>
                      <c:pt idx="8">
                        <c:v>-350.91546798000007</c:v>
                      </c:pt>
                      <c:pt idx="9">
                        <c:v>-376.94708105200004</c:v>
                      </c:pt>
                      <c:pt idx="10">
                        <c:v>-383.58954757375</c:v>
                      </c:pt>
                      <c:pt idx="11">
                        <c:v>-397.04653810875004</c:v>
                      </c:pt>
                      <c:pt idx="12">
                        <c:v>-403.84513846875012</c:v>
                      </c:pt>
                      <c:pt idx="13">
                        <c:v>-431.54759050249999</c:v>
                      </c:pt>
                      <c:pt idx="14">
                        <c:v>-459.98697468615831</c:v>
                      </c:pt>
                      <c:pt idx="15">
                        <c:v>-467.1289140109559</c:v>
                      </c:pt>
                      <c:pt idx="16">
                        <c:v>-474.43852633223236</c:v>
                      </c:pt>
                      <c:pt idx="17">
                        <c:v>-481.72178740853286</c:v>
                      </c:pt>
                      <c:pt idx="18">
                        <c:v>-488.98100037971835</c:v>
                      </c:pt>
                      <c:pt idx="19">
                        <c:v>-315.7307636909527</c:v>
                      </c:pt>
                      <c:pt idx="20">
                        <c:v>-246.34814695988138</c:v>
                      </c:pt>
                      <c:pt idx="21">
                        <c:v>-226.68007977241584</c:v>
                      </c:pt>
                      <c:pt idx="22">
                        <c:v>-220.8404134627917</c:v>
                      </c:pt>
                      <c:pt idx="23">
                        <c:v>-222.33269998658665</c:v>
                      </c:pt>
                      <c:pt idx="24">
                        <c:v>-226.61671833780733</c:v>
                      </c:pt>
                      <c:pt idx="25">
                        <c:v>-231.35698852040557</c:v>
                      </c:pt>
                      <c:pt idx="26">
                        <c:v>-236.18541060394733</c:v>
                      </c:pt>
                      <c:pt idx="27">
                        <c:v>-255.72450812385074</c:v>
                      </c:pt>
                      <c:pt idx="28">
                        <c:v>-275.48715680081392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>
                        <c:v>752.2</c:v>
                      </c:pt>
                      <c:pt idx="20">
                        <c:v>768.7</c:v>
                      </c:pt>
                      <c:pt idx="21">
                        <c:v>785.2</c:v>
                      </c:pt>
                      <c:pt idx="22">
                        <c:v>801.8</c:v>
                      </c:pt>
                      <c:pt idx="23">
                        <c:v>818.3</c:v>
                      </c:pt>
                      <c:pt idx="24">
                        <c:v>834.8</c:v>
                      </c:pt>
                      <c:pt idx="25">
                        <c:v>851.3</c:v>
                      </c:pt>
                      <c:pt idx="26">
                        <c:v>867.8</c:v>
                      </c:pt>
                      <c:pt idx="27">
                        <c:v>933.9</c:v>
                      </c:pt>
                      <c:pt idx="28">
                        <c:v>1000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5.3772999999999998E-32</c:v>
                </c:pt>
                <c:pt idx="8">
                  <c:v>1.5348000000000001E-24</c:v>
                </c:pt>
                <c:pt idx="9">
                  <c:v>5.4907000000000001E-11</c:v>
                </c:pt>
                <c:pt idx="10">
                  <c:v>1.0671E-9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 formatCode="General">
                  <c:v>0.1</c:v>
                </c:pt>
                <c:pt idx="20" formatCode="General">
                  <c:v>0.1</c:v>
                </c:pt>
                <c:pt idx="21" formatCode="General">
                  <c:v>0.1</c:v>
                </c:pt>
                <c:pt idx="22" formatCode="General">
                  <c:v>8.9244000000000004E-2</c:v>
                </c:pt>
                <c:pt idx="23" formatCode="General">
                  <c:v>8.7581000000000006E-2</c:v>
                </c:pt>
                <c:pt idx="24" formatCode="General">
                  <c:v>8.5822999999999997E-2</c:v>
                </c:pt>
                <c:pt idx="25" formatCode="General">
                  <c:v>8.3868999999999999E-2</c:v>
                </c:pt>
                <c:pt idx="26" formatCode="General">
                  <c:v>8.1675999999999999E-2</c:v>
                </c:pt>
                <c:pt idx="27" formatCode="General">
                  <c:v>6.9655999999999996E-2</c:v>
                </c:pt>
                <c:pt idx="28" formatCode="General">
                  <c:v>4.8920999999999999E-2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1.9595999999999999E-7</c:v>
                </c:pt>
                <c:pt idx="12">
                  <c:v>3.8421000000000002E-9</c:v>
                </c:pt>
                <c:pt idx="13">
                  <c:v>3.7591999999999998E-13</c:v>
                </c:pt>
                <c:pt idx="14">
                  <c:v>1.0288E-20</c:v>
                </c:pt>
                <c:pt idx="15">
                  <c:v>6.8252999999999997E-23</c:v>
                </c:pt>
                <c:pt idx="16">
                  <c:v>1.5939E-27</c:v>
                </c:pt>
                <c:pt idx="17">
                  <c:v>2.2882E-32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3.5951000000000002E-34</c:v>
                </c:pt>
                <c:pt idx="15">
                  <c:v>4.4337999999999999E-29</c:v>
                </c:pt>
                <c:pt idx="16">
                  <c:v>3.6580000000000002E-26</c:v>
                </c:pt>
                <c:pt idx="17">
                  <c:v>1.8552E-22</c:v>
                </c:pt>
                <c:pt idx="18">
                  <c:v>2.7423000000000002E-30</c:v>
                </c:pt>
                <c:pt idx="19" formatCode="General">
                  <c:v>4.1469000000000002E-19</c:v>
                </c:pt>
                <c:pt idx="20" formatCode="General">
                  <c:v>7.2405000000000003E-17</c:v>
                </c:pt>
                <c:pt idx="21" formatCode="General">
                  <c:v>1.4522E-16</c:v>
                </c:pt>
                <c:pt idx="22" formatCode="General">
                  <c:v>8.6198000000000002E-8</c:v>
                </c:pt>
                <c:pt idx="23" formatCode="General">
                  <c:v>3.9130000000000002E-7</c:v>
                </c:pt>
                <c:pt idx="24" formatCode="General">
                  <c:v>2.5989999999999999E-7</c:v>
                </c:pt>
                <c:pt idx="25" formatCode="General">
                  <c:v>1.9763E-7</c:v>
                </c:pt>
                <c:pt idx="26" formatCode="General">
                  <c:v>1.7905999999999999E-7</c:v>
                </c:pt>
                <c:pt idx="27" formatCode="General">
                  <c:v>4.4642999999999998E-8</c:v>
                </c:pt>
                <c:pt idx="28" formatCode="General">
                  <c:v>1.4543999999999999E-8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6.3694000000000001E-24</c:v>
                </c:pt>
                <c:pt idx="15">
                  <c:v>6.0374999999999997E-19</c:v>
                </c:pt>
                <c:pt idx="16">
                  <c:v>1.7322E-15</c:v>
                </c:pt>
                <c:pt idx="17">
                  <c:v>2.8695000000000001E-11</c:v>
                </c:pt>
                <c:pt idx="18">
                  <c:v>9.1489999999999994E-8</c:v>
                </c:pt>
                <c:pt idx="19" formatCode="General">
                  <c:v>3.7073000000000002E-2</c:v>
                </c:pt>
                <c:pt idx="20" formatCode="General">
                  <c:v>5.2242999999999998E-2</c:v>
                </c:pt>
                <c:pt idx="21" formatCode="General">
                  <c:v>5.7151E-2</c:v>
                </c:pt>
                <c:pt idx="22" formatCode="General">
                  <c:v>3.0810999999999997E-8</c:v>
                </c:pt>
                <c:pt idx="23" formatCode="General">
                  <c:v>7.0034000000000001E-20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1.1638999999999999E-21</c:v>
                </c:pt>
                <c:pt idx="1">
                  <c:v>1.1626E-17</c:v>
                </c:pt>
                <c:pt idx="2">
                  <c:v>3.9641599999999999E-12</c:v>
                </c:pt>
                <c:pt idx="3">
                  <c:v>1.1706000000000001E-9</c:v>
                </c:pt>
                <c:pt idx="4">
                  <c:v>3.5366000000000001E-7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 formatCode="General">
                  <c:v>0.37414999999999998</c:v>
                </c:pt>
                <c:pt idx="20" formatCode="General">
                  <c:v>0.40449000000000002</c:v>
                </c:pt>
                <c:pt idx="21" formatCode="General">
                  <c:v>0.4143</c:v>
                </c:pt>
                <c:pt idx="22" formatCode="General">
                  <c:v>0.47771999999999998</c:v>
                </c:pt>
                <c:pt idx="23" formatCode="General">
                  <c:v>0.47964000000000001</c:v>
                </c:pt>
                <c:pt idx="24" formatCode="General">
                  <c:v>0.47993999999999998</c:v>
                </c:pt>
                <c:pt idx="25" formatCode="General">
                  <c:v>0.47999000000000003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2.9696000000000002E-9</c:v>
                </c:pt>
                <c:pt idx="6">
                  <c:v>3.3152000000000001E-10</c:v>
                </c:pt>
                <c:pt idx="7">
                  <c:v>2.7948E-11</c:v>
                </c:pt>
                <c:pt idx="8">
                  <c:v>7.0472999999999997E-13</c:v>
                </c:pt>
                <c:pt idx="9">
                  <c:v>2.309E-27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3.4998000000000001E-19</c:v>
                </c:pt>
                <c:pt idx="14">
                  <c:v>1.144E-13</c:v>
                </c:pt>
                <c:pt idx="15">
                  <c:v>1.4259E-12</c:v>
                </c:pt>
                <c:pt idx="16">
                  <c:v>3.7888999999999997E-12</c:v>
                </c:pt>
                <c:pt idx="17">
                  <c:v>6.1160999999999994E-11</c:v>
                </c:pt>
                <c:pt idx="18">
                  <c:v>8.1475000000000008E-18</c:v>
                </c:pt>
                <c:pt idx="19" formatCode="General">
                  <c:v>3.6451000000000002E-10</c:v>
                </c:pt>
                <c:pt idx="20" formatCode="General">
                  <c:v>1.3507E-8</c:v>
                </c:pt>
                <c:pt idx="21" formatCode="General">
                  <c:v>2.0163000000000001E-7</c:v>
                </c:pt>
                <c:pt idx="22" formatCode="General">
                  <c:v>0.11848</c:v>
                </c:pt>
                <c:pt idx="23" formatCode="General">
                  <c:v>0.11976000000000001</c:v>
                </c:pt>
                <c:pt idx="24" formatCode="General">
                  <c:v>0.11996</c:v>
                </c:pt>
                <c:pt idx="25" formatCode="General">
                  <c:v>0.11999</c:v>
                </c:pt>
                <c:pt idx="26" formatCode="General">
                  <c:v>0.12</c:v>
                </c:pt>
                <c:pt idx="27" formatCode="General">
                  <c:v>0.12</c:v>
                </c:pt>
                <c:pt idx="28" formatCode="General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7C9-4F8E-93A1-524E66C52F6C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520.9</c:v>
                </c:pt>
                <c:pt idx="12">
                  <c:v>537.5</c:v>
                </c:pt>
                <c:pt idx="13">
                  <c:v>603.5</c:v>
                </c:pt>
                <c:pt idx="14">
                  <c:v>669.6</c:v>
                </c:pt>
                <c:pt idx="15">
                  <c:v>686.1</c:v>
                </c:pt>
                <c:pt idx="16">
                  <c:v>702.7</c:v>
                </c:pt>
                <c:pt idx="17">
                  <c:v>719.2</c:v>
                </c:pt>
                <c:pt idx="18">
                  <c:v>735.7</c:v>
                </c:pt>
                <c:pt idx="19" formatCode="0">
                  <c:v>752.2</c:v>
                </c:pt>
                <c:pt idx="20" formatCode="0">
                  <c:v>768.7</c:v>
                </c:pt>
                <c:pt idx="21" formatCode="0">
                  <c:v>785.2</c:v>
                </c:pt>
                <c:pt idx="22" formatCode="0">
                  <c:v>801.8</c:v>
                </c:pt>
                <c:pt idx="23" formatCode="0">
                  <c:v>818.3</c:v>
                </c:pt>
                <c:pt idx="24" formatCode="0">
                  <c:v>834.8</c:v>
                </c:pt>
                <c:pt idx="25" formatCode="0">
                  <c:v>851.3</c:v>
                </c:pt>
                <c:pt idx="26" formatCode="0">
                  <c:v>867.8</c:v>
                </c:pt>
                <c:pt idx="27" formatCode="0">
                  <c:v>933.9</c:v>
                </c:pt>
                <c:pt idx="28" formatCode="0">
                  <c:v>1000</c:v>
                </c:pt>
              </c:numCache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1.2240999999999999E-15</c:v>
                </c:pt>
                <c:pt idx="14">
                  <c:v>4.0812E-12</c:v>
                </c:pt>
                <c:pt idx="15">
                  <c:v>1.8063E-11</c:v>
                </c:pt>
                <c:pt idx="16">
                  <c:v>1.7662000000000001E-11</c:v>
                </c:pt>
                <c:pt idx="17">
                  <c:v>1.0905E-10</c:v>
                </c:pt>
                <c:pt idx="18">
                  <c:v>5.7466999999999996E-18</c:v>
                </c:pt>
                <c:pt idx="19" formatCode="General">
                  <c:v>1.5723999999999999E-10</c:v>
                </c:pt>
                <c:pt idx="20" formatCode="General">
                  <c:v>4.0661000000000003E-9</c:v>
                </c:pt>
                <c:pt idx="21" formatCode="General">
                  <c:v>4.2791000000000002E-8</c:v>
                </c:pt>
                <c:pt idx="22" formatCode="General">
                  <c:v>2.1513000000000001E-2</c:v>
                </c:pt>
                <c:pt idx="23" formatCode="General">
                  <c:v>2.4837000000000001E-2</c:v>
                </c:pt>
                <c:pt idx="24" formatCode="General">
                  <c:v>2.8353E-2</c:v>
                </c:pt>
                <c:pt idx="25" formatCode="General">
                  <c:v>3.2261999999999999E-2</c:v>
                </c:pt>
                <c:pt idx="26" formatCode="General">
                  <c:v>3.6649000000000001E-2</c:v>
                </c:pt>
                <c:pt idx="27" formatCode="General">
                  <c:v>6.0687999999999999E-2</c:v>
                </c:pt>
                <c:pt idx="28" formatCode="General">
                  <c:v>0.10216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5.3772999999999998E-32</c:v>
                      </c:pt>
                      <c:pt idx="8">
                        <c:v>1.5348000000000001E-24</c:v>
                      </c:pt>
                      <c:pt idx="9">
                        <c:v>5.4907000000000001E-11</c:v>
                      </c:pt>
                      <c:pt idx="10">
                        <c:v>1.0671E-9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  <c:pt idx="19" formatCode="General">
                        <c:v>0.1</c:v>
                      </c:pt>
                      <c:pt idx="20" formatCode="General">
                        <c:v>0.1</c:v>
                      </c:pt>
                      <c:pt idx="21" formatCode="General">
                        <c:v>0.1</c:v>
                      </c:pt>
                      <c:pt idx="22" formatCode="General">
                        <c:v>8.9244000000000004E-2</c:v>
                      </c:pt>
                      <c:pt idx="23" formatCode="General">
                        <c:v>8.7581000000000006E-2</c:v>
                      </c:pt>
                      <c:pt idx="24" formatCode="General">
                        <c:v>8.5822999999999997E-2</c:v>
                      </c:pt>
                      <c:pt idx="25" formatCode="General">
                        <c:v>8.3868999999999999E-2</c:v>
                      </c:pt>
                      <c:pt idx="26" formatCode="General">
                        <c:v>8.1675999999999999E-2</c:v>
                      </c:pt>
                      <c:pt idx="27" formatCode="General">
                        <c:v>6.9655999999999996E-2</c:v>
                      </c:pt>
                      <c:pt idx="28" formatCode="General">
                        <c:v>4.8920999999999999E-2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 formatCode="General">
                        <c:v>2.2926999999999999E-2</c:v>
                      </c:pt>
                      <c:pt idx="20" formatCode="General">
                        <c:v>7.7565999999999998E-3</c:v>
                      </c:pt>
                      <c:pt idx="21" formatCode="General">
                        <c:v>2.8487E-3</c:v>
                      </c:pt>
                      <c:pt idx="22" formatCode="General">
                        <c:v>7.5883000000000005E-4</c:v>
                      </c:pt>
                      <c:pt idx="23" formatCode="General">
                        <c:v>1.1998999999999999E-4</c:v>
                      </c:pt>
                      <c:pt idx="24" formatCode="General">
                        <c:v>2.0021E-5</c:v>
                      </c:pt>
                      <c:pt idx="25" formatCode="General">
                        <c:v>3.5053000000000001E-6</c:v>
                      </c:pt>
                      <c:pt idx="26" formatCode="General">
                        <c:v>6.4165000000000003E-7</c:v>
                      </c:pt>
                      <c:pt idx="27" formatCode="General">
                        <c:v>1.0583E-9</c:v>
                      </c:pt>
                      <c:pt idx="28" formatCode="General">
                        <c:v>2.8193999999999999E-12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7C9-4F8E-93A1-524E66C52F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2.0043000000000001E-32</c:v>
                      </c:pt>
                      <c:pt idx="10">
                        <c:v>2.3445E-30</c:v>
                      </c:pt>
                      <c:pt idx="11">
                        <c:v>1.3805000000000001E-26</c:v>
                      </c:pt>
                      <c:pt idx="12">
                        <c:v>7.3119000000000001E-25</c:v>
                      </c:pt>
                      <c:pt idx="13">
                        <c:v>7.7330999999999999E-19</c:v>
                      </c:pt>
                      <c:pt idx="14">
                        <c:v>6.6347E-14</c:v>
                      </c:pt>
                      <c:pt idx="15">
                        <c:v>8.3351999999999997E-13</c:v>
                      </c:pt>
                      <c:pt idx="16">
                        <c:v>9.4128000000000004E-12</c:v>
                      </c:pt>
                      <c:pt idx="17">
                        <c:v>9.6235000000000004E-11</c:v>
                      </c:pt>
                      <c:pt idx="18">
                        <c:v>8.9664000000000002E-10</c:v>
                      </c:pt>
                      <c:pt idx="19" formatCode="General">
                        <c:v>2.9265000000000002E-9</c:v>
                      </c:pt>
                      <c:pt idx="20" formatCode="General">
                        <c:v>7.7960999999999996E-9</c:v>
                      </c:pt>
                      <c:pt idx="21" formatCode="General">
                        <c:v>2.0885999999999999E-8</c:v>
                      </c:pt>
                      <c:pt idx="22" formatCode="General">
                        <c:v>3.7773999999999998E-8</c:v>
                      </c:pt>
                      <c:pt idx="23" formatCode="General">
                        <c:v>3.7906000000000002E-8</c:v>
                      </c:pt>
                      <c:pt idx="24" formatCode="General">
                        <c:v>3.7667000000000002E-8</c:v>
                      </c:pt>
                      <c:pt idx="25" formatCode="General">
                        <c:v>3.6985999999999998E-8</c:v>
                      </c:pt>
                      <c:pt idx="26" formatCode="General">
                        <c:v>3.5881000000000002E-8</c:v>
                      </c:pt>
                      <c:pt idx="27" formatCode="General">
                        <c:v>2.8110999999999999E-8</c:v>
                      </c:pt>
                      <c:pt idx="28" formatCode="General">
                        <c:v>1.7788E-8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C9-4F8E-93A1-524E66C52F6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C9-4F8E-93A1-524E66C52F6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-18.88</c:v>
                      </c:pt>
                      <c:pt idx="4">
                        <c:v>-18.89</c:v>
                      </c:pt>
                      <c:pt idx="5">
                        <c:v>-18.91</c:v>
                      </c:pt>
                      <c:pt idx="6">
                        <c:v>-18.93</c:v>
                      </c:pt>
                      <c:pt idx="7">
                        <c:v>-18.95</c:v>
                      </c:pt>
                      <c:pt idx="8">
                        <c:v>-18.98</c:v>
                      </c:pt>
                      <c:pt idx="9">
                        <c:v>-19.100000000000001</c:v>
                      </c:pt>
                      <c:pt idx="10">
                        <c:v>-19.13</c:v>
                      </c:pt>
                      <c:pt idx="11">
                        <c:v>-19.2</c:v>
                      </c:pt>
                      <c:pt idx="12">
                        <c:v>-19.23</c:v>
                      </c:pt>
                      <c:pt idx="13">
                        <c:v>-19.37</c:v>
                      </c:pt>
                      <c:pt idx="14">
                        <c:v>-19.510000000000002</c:v>
                      </c:pt>
                      <c:pt idx="15">
                        <c:v>-19.54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</c:v>
                      </c:pt>
                      <c:pt idx="19" formatCode="General">
                        <c:v>-19.52</c:v>
                      </c:pt>
                      <c:pt idx="20" formatCode="General">
                        <c:v>-19.489999999999998</c:v>
                      </c:pt>
                      <c:pt idx="21" formatCode="General">
                        <c:v>-19.5</c:v>
                      </c:pt>
                      <c:pt idx="22" formatCode="General">
                        <c:v>-19.52</c:v>
                      </c:pt>
                      <c:pt idx="23" formatCode="General">
                        <c:v>-19.55</c:v>
                      </c:pt>
                      <c:pt idx="24" formatCode="General">
                        <c:v>-19.579999999999998</c:v>
                      </c:pt>
                      <c:pt idx="25" formatCode="General">
                        <c:v>-19.61</c:v>
                      </c:pt>
                      <c:pt idx="26" formatCode="General">
                        <c:v>-19.64</c:v>
                      </c:pt>
                      <c:pt idx="27" formatCode="General">
                        <c:v>-19.760000000000002</c:v>
                      </c:pt>
                      <c:pt idx="28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7C9-4F8E-93A1-524E66C52F6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</c:v>
                      </c:pt>
                      <c:pt idx="1">
                        <c:v>-62.81</c:v>
                      </c:pt>
                      <c:pt idx="2">
                        <c:v>-59.71</c:v>
                      </c:pt>
                      <c:pt idx="3">
                        <c:v>-56.94</c:v>
                      </c:pt>
                      <c:pt idx="4">
                        <c:v>-54.44</c:v>
                      </c:pt>
                      <c:pt idx="5">
                        <c:v>-51.07</c:v>
                      </c:pt>
                      <c:pt idx="6">
                        <c:v>-47.7</c:v>
                      </c:pt>
                      <c:pt idx="7">
                        <c:v>-44.59</c:v>
                      </c:pt>
                      <c:pt idx="8">
                        <c:v>-41.72</c:v>
                      </c:pt>
                      <c:pt idx="9">
                        <c:v>-32.06</c:v>
                      </c:pt>
                      <c:pt idx="10">
                        <c:v>-30.02</c:v>
                      </c:pt>
                      <c:pt idx="11">
                        <c:v>-26.27</c:v>
                      </c:pt>
                      <c:pt idx="12">
                        <c:v>-24.55</c:v>
                      </c:pt>
                      <c:pt idx="13">
                        <c:v>-18.5</c:v>
                      </c:pt>
                      <c:pt idx="14">
                        <c:v>-13.49</c:v>
                      </c:pt>
                      <c:pt idx="15">
                        <c:v>-12.36</c:v>
                      </c:pt>
                      <c:pt idx="16">
                        <c:v>-11.28</c:v>
                      </c:pt>
                      <c:pt idx="17">
                        <c:v>-10.24</c:v>
                      </c:pt>
                      <c:pt idx="18">
                        <c:v>-9.24</c:v>
                      </c:pt>
                      <c:pt idx="19" formatCode="General">
                        <c:v>-8.68</c:v>
                      </c:pt>
                      <c:pt idx="20" formatCode="General">
                        <c:v>-8.2560000000000002</c:v>
                      </c:pt>
                      <c:pt idx="21" formatCode="General">
                        <c:v>-7.8470000000000004</c:v>
                      </c:pt>
                      <c:pt idx="22" formatCode="General">
                        <c:v>-7.6349999999999998</c:v>
                      </c:pt>
                      <c:pt idx="23" formatCode="General">
                        <c:v>-7.7149999999999999</c:v>
                      </c:pt>
                      <c:pt idx="24" formatCode="General">
                        <c:v>-7.7960000000000003</c:v>
                      </c:pt>
                      <c:pt idx="25" formatCode="General">
                        <c:v>-7.8789999999999996</c:v>
                      </c:pt>
                      <c:pt idx="26" formatCode="General">
                        <c:v>-7.9630000000000001</c:v>
                      </c:pt>
                      <c:pt idx="27" formatCode="General">
                        <c:v>-8.3190000000000008</c:v>
                      </c:pt>
                      <c:pt idx="28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7C9-4F8E-93A1-524E66C52F6C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-9.6150000000000002</c:v>
                      </c:pt>
                      <c:pt idx="9">
                        <c:v>-6.04</c:v>
                      </c:pt>
                      <c:pt idx="10">
                        <c:v>-5.2759999999999998</c:v>
                      </c:pt>
                      <c:pt idx="11">
                        <c:v>-4.1150000000000002</c:v>
                      </c:pt>
                      <c:pt idx="12">
                        <c:v>-4.1550000000000002</c:v>
                      </c:pt>
                      <c:pt idx="13">
                        <c:v>-4.3170000000000002</c:v>
                      </c:pt>
                      <c:pt idx="14">
                        <c:v>-4.4809999999999999</c:v>
                      </c:pt>
                      <c:pt idx="15">
                        <c:v>-4.5220000000000002</c:v>
                      </c:pt>
                      <c:pt idx="16">
                        <c:v>-4.5620000000000003</c:v>
                      </c:pt>
                      <c:pt idx="17">
                        <c:v>-4.6029999999999998</c:v>
                      </c:pt>
                      <c:pt idx="18">
                        <c:v>-4.6429999999999998</c:v>
                      </c:pt>
                      <c:pt idx="19" formatCode="General">
                        <c:v>-4.6829999999999998</c:v>
                      </c:pt>
                      <c:pt idx="20" formatCode="General">
                        <c:v>-4.7220000000000004</c:v>
                      </c:pt>
                      <c:pt idx="21" formatCode="General">
                        <c:v>-4.7619999999999996</c:v>
                      </c:pt>
                      <c:pt idx="22" formatCode="General">
                        <c:v>-4.8010000000000002</c:v>
                      </c:pt>
                      <c:pt idx="23" formatCode="General">
                        <c:v>-4.84</c:v>
                      </c:pt>
                      <c:pt idx="24" formatCode="General">
                        <c:v>-4.8780000000000001</c:v>
                      </c:pt>
                      <c:pt idx="25" formatCode="General">
                        <c:v>-4.9169999999999998</c:v>
                      </c:pt>
                      <c:pt idx="26" formatCode="General">
                        <c:v>-4.9550000000000001</c:v>
                      </c:pt>
                      <c:pt idx="27" formatCode="General">
                        <c:v>-5.1040000000000001</c:v>
                      </c:pt>
                      <c:pt idx="28" formatCode="General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7C9-4F8E-93A1-524E66C52F6C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-19.79</c:v>
                      </c:pt>
                      <c:pt idx="6">
                        <c:v>-20.03</c:v>
                      </c:pt>
                      <c:pt idx="7">
                        <c:v>-20.28</c:v>
                      </c:pt>
                      <c:pt idx="8">
                        <c:v>-20.52</c:v>
                      </c:pt>
                      <c:pt idx="9">
                        <c:v>-21.52</c:v>
                      </c:pt>
                      <c:pt idx="10">
                        <c:v>-21.77</c:v>
                      </c:pt>
                      <c:pt idx="11">
                        <c:v>-22.27</c:v>
                      </c:pt>
                      <c:pt idx="12">
                        <c:v>-22.51</c:v>
                      </c:pt>
                      <c:pt idx="13">
                        <c:v>-23.48</c:v>
                      </c:pt>
                      <c:pt idx="14">
                        <c:v>-24.41</c:v>
                      </c:pt>
                      <c:pt idx="15">
                        <c:v>-24.64</c:v>
                      </c:pt>
                      <c:pt idx="16">
                        <c:v>-24.86</c:v>
                      </c:pt>
                      <c:pt idx="17">
                        <c:v>-25.09</c:v>
                      </c:pt>
                      <c:pt idx="18">
                        <c:v>-25.31</c:v>
                      </c:pt>
                      <c:pt idx="19" formatCode="General">
                        <c:v>-25.53</c:v>
                      </c:pt>
                      <c:pt idx="20" formatCode="General">
                        <c:v>-25.75</c:v>
                      </c:pt>
                      <c:pt idx="21" formatCode="General">
                        <c:v>-25.96</c:v>
                      </c:pt>
                      <c:pt idx="22" formatCode="General">
                        <c:v>-26.18</c:v>
                      </c:pt>
                      <c:pt idx="23" formatCode="General">
                        <c:v>-26.39</c:v>
                      </c:pt>
                      <c:pt idx="24" formatCode="General">
                        <c:v>-26.6</c:v>
                      </c:pt>
                      <c:pt idx="25" formatCode="General">
                        <c:v>-26.81</c:v>
                      </c:pt>
                      <c:pt idx="26" formatCode="General">
                        <c:v>-27.02</c:v>
                      </c:pt>
                      <c:pt idx="27" formatCode="General">
                        <c:v>-27.83</c:v>
                      </c:pt>
                      <c:pt idx="28" formatCode="General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520.9</c:v>
                      </c:pt>
                      <c:pt idx="12">
                        <c:v>537.5</c:v>
                      </c:pt>
                      <c:pt idx="13">
                        <c:v>603.5</c:v>
                      </c:pt>
                      <c:pt idx="14">
                        <c:v>669.6</c:v>
                      </c:pt>
                      <c:pt idx="15">
                        <c:v>686.1</c:v>
                      </c:pt>
                      <c:pt idx="16">
                        <c:v>702.7</c:v>
                      </c:pt>
                      <c:pt idx="17">
                        <c:v>719.2</c:v>
                      </c:pt>
                      <c:pt idx="18">
                        <c:v>735.7</c:v>
                      </c:pt>
                      <c:pt idx="19" formatCode="0">
                        <c:v>752.2</c:v>
                      </c:pt>
                      <c:pt idx="20" formatCode="0">
                        <c:v>768.7</c:v>
                      </c:pt>
                      <c:pt idx="21" formatCode="0">
                        <c:v>785.2</c:v>
                      </c:pt>
                      <c:pt idx="22" formatCode="0">
                        <c:v>801.8</c:v>
                      </c:pt>
                      <c:pt idx="23" formatCode="0">
                        <c:v>818.3</c:v>
                      </c:pt>
                      <c:pt idx="24" formatCode="0">
                        <c:v>834.8</c:v>
                      </c:pt>
                      <c:pt idx="25" formatCode="0">
                        <c:v>851.3</c:v>
                      </c:pt>
                      <c:pt idx="26" formatCode="0">
                        <c:v>867.8</c:v>
                      </c:pt>
                      <c:pt idx="27" formatCode="0">
                        <c:v>933.9</c:v>
                      </c:pt>
                      <c:pt idx="2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5426066075994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-15.639818181818182</c:v>
                </c:pt>
                <c:pt idx="1">
                  <c:v>-15.36830303030303</c:v>
                </c:pt>
                <c:pt idx="2">
                  <c:v>-15.096787878787879</c:v>
                </c:pt>
                <c:pt idx="3">
                  <c:v>-14.853636363636364</c:v>
                </c:pt>
                <c:pt idx="4" formatCode="General">
                  <c:v>-14.611212121212121</c:v>
                </c:pt>
                <c:pt idx="5" formatCode="General">
                  <c:v>-14.399757575757576</c:v>
                </c:pt>
                <c:pt idx="6" formatCode="General">
                  <c:v>-14.191272727272727</c:v>
                </c:pt>
                <c:pt idx="7" formatCode="General">
                  <c:v>-13.694303030303029</c:v>
                </c:pt>
                <c:pt idx="8" formatCode="General">
                  <c:v>-13.14642424242424</c:v>
                </c:pt>
                <c:pt idx="9" formatCode="General">
                  <c:v>-12.563192771084337</c:v>
                </c:pt>
                <c:pt idx="10" formatCode="General">
                  <c:v>-11.970421686746988</c:v>
                </c:pt>
                <c:pt idx="11" formatCode="General">
                  <c:v>-11.409636363636364</c:v>
                </c:pt>
                <c:pt idx="12" formatCode="General">
                  <c:v>-10.861757575757576</c:v>
                </c:pt>
                <c:pt idx="13" formatCode="General">
                  <c:v>-10.337515151515152</c:v>
                </c:pt>
                <c:pt idx="14" formatCode="General">
                  <c:v>-9.8260000000000005</c:v>
                </c:pt>
                <c:pt idx="15" formatCode="General">
                  <c:v>-9.3608018154311647</c:v>
                </c:pt>
                <c:pt idx="16" formatCode="General">
                  <c:v>-8.9281240544629359</c:v>
                </c:pt>
                <c:pt idx="17" formatCode="General">
                  <c:v>-8.4954462934947053</c:v>
                </c:pt>
                <c:pt idx="18" formatCode="General">
                  <c:v>-8.0627685325264746</c:v>
                </c:pt>
                <c:pt idx="19" formatCode="General">
                  <c:v>-7.6300907715582449</c:v>
                </c:pt>
                <c:pt idx="20" formatCode="General">
                  <c:v>-7.1974130105900151</c:v>
                </c:pt>
                <c:pt idx="21" formatCode="General">
                  <c:v>-6.7647352496217845</c:v>
                </c:pt>
                <c:pt idx="22" formatCode="General">
                  <c:v>-6.3320574886535539</c:v>
                </c:pt>
                <c:pt idx="23" formatCode="General">
                  <c:v>-5.9196121212121202</c:v>
                </c:pt>
                <c:pt idx="24" formatCode="General">
                  <c:v>-5.5491878787878779</c:v>
                </c:pt>
                <c:pt idx="25" formatCode="General">
                  <c:v>-5.2021181818181805</c:v>
                </c:pt>
                <c:pt idx="26" formatCode="General">
                  <c:v>-4.9206636363636358</c:v>
                </c:pt>
                <c:pt idx="27" formatCode="General">
                  <c:v>-4.6392090909090902</c:v>
                </c:pt>
                <c:pt idx="28" formatCode="General">
                  <c:v>-4.3577545454545445</c:v>
                </c:pt>
                <c:pt idx="29" formatCode="General">
                  <c:v>-4.1176506024096389</c:v>
                </c:pt>
                <c:pt idx="30" formatCode="General">
                  <c:v>-4.1369277108433735</c:v>
                </c:pt>
                <c:pt idx="31" formatCode="General">
                  <c:v>-4.1562272727272731</c:v>
                </c:pt>
                <c:pt idx="32" formatCode="General">
                  <c:v>-4.175863636363637</c:v>
                </c:pt>
                <c:pt idx="33" formatCode="General">
                  <c:v>-4.1955</c:v>
                </c:pt>
                <c:pt idx="34" formatCode="General">
                  <c:v>-4.2151363636363639</c:v>
                </c:pt>
                <c:pt idx="35" formatCode="General">
                  <c:v>-4.2347727272727278</c:v>
                </c:pt>
                <c:pt idx="36" formatCode="General">
                  <c:v>-4.2544090909090908</c:v>
                </c:pt>
                <c:pt idx="37" formatCode="General">
                  <c:v>-4.2740454545454547</c:v>
                </c:pt>
                <c:pt idx="38" formatCode="General">
                  <c:v>-4.2936818181818186</c:v>
                </c:pt>
                <c:pt idx="39" formatCode="General">
                  <c:v>-4.3133181818181816</c:v>
                </c:pt>
                <c:pt idx="40" formatCode="General">
                  <c:v>-4.3331270801815434</c:v>
                </c:pt>
                <c:pt idx="41" formatCode="General">
                  <c:v>-4.3529757942511349</c:v>
                </c:pt>
                <c:pt idx="42" formatCode="General">
                  <c:v>-4.3728245083207264</c:v>
                </c:pt>
                <c:pt idx="43" formatCode="General">
                  <c:v>-4.392673222390318</c:v>
                </c:pt>
                <c:pt idx="44" formatCode="General">
                  <c:v>-4.4125219364599095</c:v>
                </c:pt>
                <c:pt idx="45" formatCode="General">
                  <c:v>-4.4323706505295011</c:v>
                </c:pt>
                <c:pt idx="46" formatCode="General">
                  <c:v>-4.4522193645990917</c:v>
                </c:pt>
                <c:pt idx="47" formatCode="General">
                  <c:v>-4.4720680786686833</c:v>
                </c:pt>
                <c:pt idx="48" formatCode="General">
                  <c:v>-4.4919333333333329</c:v>
                </c:pt>
                <c:pt idx="49" formatCode="General">
                  <c:v>-4.5118121212121212</c:v>
                </c:pt>
                <c:pt idx="50" formatCode="General">
                  <c:v>-4.5313975903614461</c:v>
                </c:pt>
                <c:pt idx="51" formatCode="General">
                  <c:v>-4.5506746987951807</c:v>
                </c:pt>
                <c:pt idx="52" formatCode="General">
                  <c:v>-4.5701999999999998</c:v>
                </c:pt>
                <c:pt idx="53" formatCode="General">
                  <c:v>-4.5900787878787881</c:v>
                </c:pt>
                <c:pt idx="54" formatCode="General">
                  <c:v>-4.6097878787878788</c:v>
                </c:pt>
                <c:pt idx="55" formatCode="General">
                  <c:v>-4.6291818181818183</c:v>
                </c:pt>
                <c:pt idx="56" formatCode="General">
                  <c:v>-4.6485757575757569</c:v>
                </c:pt>
                <c:pt idx="57" formatCode="General">
                  <c:v>-4.6679696969696964</c:v>
                </c:pt>
                <c:pt idx="58" formatCode="General">
                  <c:v>-4.6872545454545449</c:v>
                </c:pt>
                <c:pt idx="59" formatCode="General">
                  <c:v>-4.7061636363636365</c:v>
                </c:pt>
                <c:pt idx="60" formatCode="General">
                  <c:v>-4.7251515151515155</c:v>
                </c:pt>
                <c:pt idx="61" formatCode="General">
                  <c:v>-4.7445454545454542</c:v>
                </c:pt>
                <c:pt idx="62" formatCode="General">
                  <c:v>-4.7638795180722884</c:v>
                </c:pt>
                <c:pt idx="63" formatCode="General">
                  <c:v>-4.7826746987951809</c:v>
                </c:pt>
                <c:pt idx="64" formatCode="General">
                  <c:v>-4.8014727272727278</c:v>
                </c:pt>
                <c:pt idx="65" formatCode="General">
                  <c:v>-4.8203818181818185</c:v>
                </c:pt>
                <c:pt idx="66" formatCode="General">
                  <c:v>-4.8392909090909093</c:v>
                </c:pt>
                <c:pt idx="67" formatCode="General">
                  <c:v>-4.857733333333333</c:v>
                </c:pt>
                <c:pt idx="68" formatCode="General">
                  <c:v>-4.8761575757575759</c:v>
                </c:pt>
                <c:pt idx="69" formatCode="General">
                  <c:v>-4.8950181818181822</c:v>
                </c:pt>
                <c:pt idx="70" formatCode="General">
                  <c:v>-4.9139272727272729</c:v>
                </c:pt>
                <c:pt idx="71" formatCode="General">
                  <c:v>-4.9324303030303032</c:v>
                </c:pt>
                <c:pt idx="72" formatCode="General">
                  <c:v>-4.9508545454545452</c:v>
                </c:pt>
                <c:pt idx="73" formatCode="General">
                  <c:v>-4.9689757942511346</c:v>
                </c:pt>
                <c:pt idx="74" formatCode="General">
                  <c:v>-4.9870090771558244</c:v>
                </c:pt>
                <c:pt idx="75" formatCode="General">
                  <c:v>-5.0050423600605143</c:v>
                </c:pt>
                <c:pt idx="76" formatCode="General">
                  <c:v>-5.0230756429652041</c:v>
                </c:pt>
                <c:pt idx="77" formatCode="General">
                  <c:v>-5.041108925869894</c:v>
                </c:pt>
                <c:pt idx="78" formatCode="General">
                  <c:v>-5.0591422087745839</c:v>
                </c:pt>
                <c:pt idx="79" formatCode="General">
                  <c:v>-5.0771754916792737</c:v>
                </c:pt>
                <c:pt idx="80" formatCode="General">
                  <c:v>-5.0952087745839636</c:v>
                </c:pt>
                <c:pt idx="81" formatCode="General">
                  <c:v>-5.1129939485627833</c:v>
                </c:pt>
                <c:pt idx="82" formatCode="General">
                  <c:v>-5.1305431164901663</c:v>
                </c:pt>
                <c:pt idx="83" formatCode="General">
                  <c:v>-5.1480922844175492</c:v>
                </c:pt>
                <c:pt idx="84" formatCode="General">
                  <c:v>-5.1656414523449321</c:v>
                </c:pt>
                <c:pt idx="85" formatCode="General">
                  <c:v>-5.1831906202723141</c:v>
                </c:pt>
                <c:pt idx="86" formatCode="General">
                  <c:v>-5.2007397881996971</c:v>
                </c:pt>
                <c:pt idx="87" formatCode="General">
                  <c:v>-5.21828895612708</c:v>
                </c:pt>
                <c:pt idx="88" formatCode="General">
                  <c:v>-5.2358381240544629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43"/>
          <c:order val="44"/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EVALUATION!$B$145:$CP$145</c:f>
              <c:numCache>
                <c:formatCode>0</c:formatCode>
                <c:ptCount val="93"/>
                <c:pt idx="0">
                  <c:v>-16.476831683168317</c:v>
                </c:pt>
                <c:pt idx="1">
                  <c:v>-16.054752475247525</c:v>
                </c:pt>
                <c:pt idx="2">
                  <c:v>-15.603267326732674</c:v>
                </c:pt>
                <c:pt idx="3">
                  <c:v>-15.146336633663367</c:v>
                </c:pt>
                <c:pt idx="4" formatCode="General">
                  <c:v>-14.607722772277228</c:v>
                </c:pt>
                <c:pt idx="5" formatCode="General">
                  <c:v>-14.069108910891089</c:v>
                </c:pt>
                <c:pt idx="6" formatCode="General">
                  <c:v>-13.509207920792079</c:v>
                </c:pt>
                <c:pt idx="7" formatCode="General">
                  <c:v>-12.9309900990099</c:v>
                </c:pt>
                <c:pt idx="8" formatCode="General">
                  <c:v>-12.353019801980196</c:v>
                </c:pt>
                <c:pt idx="9" formatCode="General">
                  <c:v>-11.794603960396039</c:v>
                </c:pt>
                <c:pt idx="10" formatCode="General">
                  <c:v>-11.236188118811882</c:v>
                </c:pt>
                <c:pt idx="11" formatCode="General">
                  <c:v>-10.696693069306932</c:v>
                </c:pt>
                <c:pt idx="12" formatCode="General">
                  <c:v>-10.177089108910891</c:v>
                </c:pt>
                <c:pt idx="13" formatCode="General">
                  <c:v>-9.6574851485148514</c:v>
                </c:pt>
                <c:pt idx="14" formatCode="General">
                  <c:v>-9.1988712871287142</c:v>
                </c:pt>
                <c:pt idx="15" formatCode="General">
                  <c:v>-8.7426336633663375</c:v>
                </c:pt>
                <c:pt idx="16" formatCode="General">
                  <c:v>-8.3239950495049513</c:v>
                </c:pt>
                <c:pt idx="17" formatCode="General">
                  <c:v>-7.9536980198019807</c:v>
                </c:pt>
                <c:pt idx="18" formatCode="General">
                  <c:v>-7.58340099009901</c:v>
                </c:pt>
                <c:pt idx="19" formatCode="General">
                  <c:v>-7.4200161090458483</c:v>
                </c:pt>
                <c:pt idx="20" formatCode="General">
                  <c:v>-7.2764721189591075</c:v>
                </c:pt>
                <c:pt idx="21" formatCode="General">
                  <c:v>-7.1329281288723667</c:v>
                </c:pt>
                <c:pt idx="22" formatCode="General">
                  <c:v>-6.9893841387856259</c:v>
                </c:pt>
                <c:pt idx="23" formatCode="General">
                  <c:v>-6.8458401486988842</c:v>
                </c:pt>
                <c:pt idx="24" formatCode="General">
                  <c:v>-6.7022961586121435</c:v>
                </c:pt>
                <c:pt idx="25" formatCode="General">
                  <c:v>-6.5587521685254027</c:v>
                </c:pt>
                <c:pt idx="26" formatCode="General">
                  <c:v>-6.415208178438661</c:v>
                </c:pt>
                <c:pt idx="27" formatCode="General">
                  <c:v>-6.2716641883519202</c:v>
                </c:pt>
                <c:pt idx="28" formatCode="General">
                  <c:v>-6.1281201982651794</c:v>
                </c:pt>
                <c:pt idx="29" formatCode="General">
                  <c:v>-6.0961386138613856</c:v>
                </c:pt>
                <c:pt idx="30" formatCode="General">
                  <c:v>-6.0878217821782172</c:v>
                </c:pt>
                <c:pt idx="31" formatCode="General">
                  <c:v>-6.0840198019801983</c:v>
                </c:pt>
                <c:pt idx="32" formatCode="General">
                  <c:v>-6.0907524752475251</c:v>
                </c:pt>
                <c:pt idx="33" formatCode="General">
                  <c:v>-6.0974851485148518</c:v>
                </c:pt>
                <c:pt idx="34" formatCode="General">
                  <c:v>-6.1097425742574263</c:v>
                </c:pt>
                <c:pt idx="35" formatCode="General">
                  <c:v>-6.1236039603960402</c:v>
                </c:pt>
                <c:pt idx="36" formatCode="General">
                  <c:v>-6.1383564356435647</c:v>
                </c:pt>
                <c:pt idx="37" formatCode="General">
                  <c:v>-6.1557821782178221</c:v>
                </c:pt>
                <c:pt idx="38" formatCode="General">
                  <c:v>-6.1732079207920787</c:v>
                </c:pt>
                <c:pt idx="39" formatCode="General">
                  <c:v>-6.1917821782178217</c:v>
                </c:pt>
                <c:pt idx="40" formatCode="General">
                  <c:v>-6.2107920792079208</c:v>
                </c:pt>
                <c:pt idx="41" formatCode="General">
                  <c:v>-6.2303564356435643</c:v>
                </c:pt>
                <c:pt idx="42" formatCode="General">
                  <c:v>-6.2521386138613861</c:v>
                </c:pt>
                <c:pt idx="43" formatCode="General">
                  <c:v>-6.2739207920792079</c:v>
                </c:pt>
                <c:pt idx="44" formatCode="General">
                  <c:v>-6.3021188118811882</c:v>
                </c:pt>
                <c:pt idx="45" formatCode="General">
                  <c:v>-6.3334059405940595</c:v>
                </c:pt>
                <c:pt idx="46" formatCode="General">
                  <c:v>-6.3692079207920802</c:v>
                </c:pt>
                <c:pt idx="47" formatCode="General">
                  <c:v>-6.4305940594059408</c:v>
                </c:pt>
                <c:pt idx="48" formatCode="General">
                  <c:v>-6.4919801980198022</c:v>
                </c:pt>
                <c:pt idx="49" formatCode="General">
                  <c:v>-6.5659293680297397</c:v>
                </c:pt>
                <c:pt idx="50" formatCode="General">
                  <c:v>-6.647416356877323</c:v>
                </c:pt>
                <c:pt idx="51" formatCode="General">
                  <c:v>-6.7289033457249063</c:v>
                </c:pt>
                <c:pt idx="52" formatCode="General">
                  <c:v>-6.8103903345724905</c:v>
                </c:pt>
                <c:pt idx="53" formatCode="General">
                  <c:v>-6.8918773234200739</c:v>
                </c:pt>
                <c:pt idx="54" formatCode="General">
                  <c:v>-6.9733643122676572</c:v>
                </c:pt>
                <c:pt idx="55" formatCode="General">
                  <c:v>-7.0548513011152414</c:v>
                </c:pt>
                <c:pt idx="56" formatCode="General">
                  <c:v>-7.1363382899628247</c:v>
                </c:pt>
                <c:pt idx="57" formatCode="General">
                  <c:v>-7.217825278810408</c:v>
                </c:pt>
                <c:pt idx="58" formatCode="General">
                  <c:v>-7.2993122676579922</c:v>
                </c:pt>
                <c:pt idx="59" formatCode="General">
                  <c:v>-7.3523267326732666</c:v>
                </c:pt>
                <c:pt idx="60" formatCode="General">
                  <c:v>-7.3808415841584152</c:v>
                </c:pt>
                <c:pt idx="61" formatCode="General">
                  <c:v>-7.4093217821782176</c:v>
                </c:pt>
                <c:pt idx="62" formatCode="General">
                  <c:v>-7.4350643564356433</c:v>
                </c:pt>
                <c:pt idx="63" formatCode="General">
                  <c:v>-7.4608069306930691</c:v>
                </c:pt>
                <c:pt idx="64" formatCode="General">
                  <c:v>-7.4869356435643564</c:v>
                </c:pt>
                <c:pt idx="65" formatCode="General">
                  <c:v>-7.5134702970297029</c:v>
                </c:pt>
                <c:pt idx="66" formatCode="General">
                  <c:v>-7.5400049504950504</c:v>
                </c:pt>
                <c:pt idx="67" formatCode="General">
                  <c:v>-7.5634900990099014</c:v>
                </c:pt>
                <c:pt idx="68" formatCode="General">
                  <c:v>-7.5868564356435639</c:v>
                </c:pt>
                <c:pt idx="69" formatCode="General">
                  <c:v>-7.6079368029739776</c:v>
                </c:pt>
                <c:pt idx="70" formatCode="General">
                  <c:v>-7.6260780669144976</c:v>
                </c:pt>
                <c:pt idx="71" formatCode="General">
                  <c:v>-7.6442193308550186</c:v>
                </c:pt>
                <c:pt idx="72" formatCode="General">
                  <c:v>-7.6623605947955387</c:v>
                </c:pt>
                <c:pt idx="73" formatCode="General">
                  <c:v>-7.6805018587360596</c:v>
                </c:pt>
                <c:pt idx="74" formatCode="General">
                  <c:v>-7.6986431226765797</c:v>
                </c:pt>
                <c:pt idx="75" formatCode="General">
                  <c:v>-7.7167843866171006</c:v>
                </c:pt>
                <c:pt idx="76" formatCode="General">
                  <c:v>-7.7349256505576207</c:v>
                </c:pt>
                <c:pt idx="77" formatCode="General">
                  <c:v>-7.7530669144981417</c:v>
                </c:pt>
                <c:pt idx="78" formatCode="General">
                  <c:v>-7.7712081784386617</c:v>
                </c:pt>
                <c:pt idx="79" formatCode="General">
                  <c:v>-7.7961683168316833</c:v>
                </c:pt>
                <c:pt idx="80" formatCode="General">
                  <c:v>-7.833792079207921</c:v>
                </c:pt>
                <c:pt idx="81" formatCode="General">
                  <c:v>-7.8714158415841586</c:v>
                </c:pt>
                <c:pt idx="82" formatCode="General">
                  <c:v>-7.894009900990099</c:v>
                </c:pt>
                <c:pt idx="83" formatCode="General">
                  <c:v>-7.9134158415841584</c:v>
                </c:pt>
                <c:pt idx="84" formatCode="General">
                  <c:v>-7.9269999999999996</c:v>
                </c:pt>
                <c:pt idx="85" formatCode="General">
                  <c:v>-7.9269999999999996</c:v>
                </c:pt>
                <c:pt idx="86" formatCode="General">
                  <c:v>-7.9269999999999996</c:v>
                </c:pt>
                <c:pt idx="87" formatCode="General">
                  <c:v>-7.9420396039603958</c:v>
                </c:pt>
                <c:pt idx="88" formatCode="General">
                  <c:v>-7.9614455445544552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1EF-44BA-AAAA-9AD66152902A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1EF-44BA-AAAA-9AD66152902A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-192.68327272727274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-27.003936363636363</c:v>
                      </c:pt>
                      <c:pt idx="26" formatCode="General">
                        <c:v>-26.843693939393937</c:v>
                      </c:pt>
                      <c:pt idx="27" formatCode="General">
                        <c:v>-26.683451515151514</c:v>
                      </c:pt>
                      <c:pt idx="28" formatCode="General">
                        <c:v>-26.523209090909088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-28.963266666666666</c:v>
                      </c:pt>
                      <c:pt idx="49" formatCode="General">
                        <c:v>-29.094660606060604</c:v>
                      </c:pt>
                      <c:pt idx="50" formatCode="General">
                        <c:v>-29.223084337349398</c:v>
                      </c:pt>
                      <c:pt idx="51" formatCode="General">
                        <c:v>-29.348385542168675</c:v>
                      </c:pt>
                      <c:pt idx="52" formatCode="General">
                        <c:v>-29.476199999999999</c:v>
                      </c:pt>
                      <c:pt idx="53" formatCode="General">
                        <c:v>-29.607593939393936</c:v>
                      </c:pt>
                      <c:pt idx="54" formatCode="General">
                        <c:v>-29.73712121212121</c:v>
                      </c:pt>
                      <c:pt idx="55" formatCode="General">
                        <c:v>-29.863181818181815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-48.805754545454548</c:v>
                      </c:pt>
                      <c:pt idx="26" formatCode="General">
                        <c:v>-48.766724242424246</c:v>
                      </c:pt>
                      <c:pt idx="27" formatCode="General">
                        <c:v>-48.727693939393944</c:v>
                      </c:pt>
                      <c:pt idx="28" formatCode="General">
                        <c:v>-48.688663636363636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-53.434600000000003</c:v>
                      </c:pt>
                      <c:pt idx="49" formatCode="General">
                        <c:v>-53.677509090909091</c:v>
                      </c:pt>
                      <c:pt idx="50" formatCode="General">
                        <c:v>-53.914771084337346</c:v>
                      </c:pt>
                      <c:pt idx="51" formatCode="General">
                        <c:v>-54.146096385542165</c:v>
                      </c:pt>
                      <c:pt idx="52" formatCode="General">
                        <c:v>-54.382199999999997</c:v>
                      </c:pt>
                      <c:pt idx="53" formatCode="General">
                        <c:v>-54.625109090909092</c:v>
                      </c:pt>
                      <c:pt idx="54" formatCode="General">
                        <c:v>-54.864454545454542</c:v>
                      </c:pt>
                      <c:pt idx="55" formatCode="General">
                        <c:v>-55.097181818181816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-192.68327272727274</c:v>
                      </c:pt>
                      <c:pt idx="1">
                        <c:v>-188.23721212121214</c:v>
                      </c:pt>
                      <c:pt idx="2">
                        <c:v>-183.79115151515151</c:v>
                      </c:pt>
                      <c:pt idx="3">
                        <c:v>-179.8130909090909</c:v>
                      </c:pt>
                      <c:pt idx="4" formatCode="General">
                        <c:v>-175.84703030303029</c:v>
                      </c:pt>
                      <c:pt idx="5" formatCode="General">
                        <c:v>-172.25260606060604</c:v>
                      </c:pt>
                      <c:pt idx="6" formatCode="General">
                        <c:v>-168.69381818181819</c:v>
                      </c:pt>
                      <c:pt idx="7" formatCode="General">
                        <c:v>-165.41939393939393</c:v>
                      </c:pt>
                      <c:pt idx="8" formatCode="General">
                        <c:v>-162.19515151515151</c:v>
                      </c:pt>
                      <c:pt idx="9" formatCode="General">
                        <c:v>-159.22530120481926</c:v>
                      </c:pt>
                      <c:pt idx="10" formatCode="General">
                        <c:v>-156.32409638554219</c:v>
                      </c:pt>
                      <c:pt idx="11" formatCode="General">
                        <c:v>-153.60036363636365</c:v>
                      </c:pt>
                      <c:pt idx="12" formatCode="General">
                        <c:v>-150.94824242424244</c:v>
                      </c:pt>
                      <c:pt idx="13" formatCode="General">
                        <c:v>-148.43793939393942</c:v>
                      </c:pt>
                      <c:pt idx="14" formatCode="General">
                        <c:v>-146.00400000000002</c:v>
                      </c:pt>
                      <c:pt idx="15" formatCode="General">
                        <c:v>-143.83957639939487</c:v>
                      </c:pt>
                      <c:pt idx="16" formatCode="General">
                        <c:v>-141.86438729198184</c:v>
                      </c:pt>
                      <c:pt idx="17" formatCode="General">
                        <c:v>-139.88919818456884</c:v>
                      </c:pt>
                      <c:pt idx="18" formatCode="General">
                        <c:v>-137.91400907715584</c:v>
                      </c:pt>
                      <c:pt idx="19" formatCode="General">
                        <c:v>-135.93881996974281</c:v>
                      </c:pt>
                      <c:pt idx="20" formatCode="General">
                        <c:v>-133.96363086232981</c:v>
                      </c:pt>
                      <c:pt idx="21" formatCode="General">
                        <c:v>-131.98844175491681</c:v>
                      </c:pt>
                      <c:pt idx="22" formatCode="General">
                        <c:v>-130.01325264750378</c:v>
                      </c:pt>
                      <c:pt idx="23" formatCode="General">
                        <c:v>-128.15527272727272</c:v>
                      </c:pt>
                      <c:pt idx="24" formatCode="General">
                        <c:v>-126.54072727272727</c:v>
                      </c:pt>
                      <c:pt idx="25" formatCode="General">
                        <c:v>-124.9681818181818</c:v>
                      </c:pt>
                      <c:pt idx="26" formatCode="General">
                        <c:v>-123.51363636363635</c:v>
                      </c:pt>
                      <c:pt idx="27" formatCode="General">
                        <c:v>-122.0590909090909</c:v>
                      </c:pt>
                      <c:pt idx="28" formatCode="General">
                        <c:v>-120.60454545454544</c:v>
                      </c:pt>
                      <c:pt idx="29" formatCode="General">
                        <c:v>-119.16975903614457</c:v>
                      </c:pt>
                      <c:pt idx="30" formatCode="General">
                        <c:v>-117.8589156626506</c:v>
                      </c:pt>
                      <c:pt idx="31" formatCode="General">
                        <c:v>-116.56037878787879</c:v>
                      </c:pt>
                      <c:pt idx="32" formatCode="General">
                        <c:v>-115.44643939393939</c:v>
                      </c:pt>
                      <c:pt idx="33" formatCode="General">
                        <c:v>-114.3325</c:v>
                      </c:pt>
                      <c:pt idx="34" formatCode="General">
                        <c:v>-113.21856060606061</c:v>
                      </c:pt>
                      <c:pt idx="35" formatCode="General">
                        <c:v>-112.1046212121212</c:v>
                      </c:pt>
                      <c:pt idx="36" formatCode="General">
                        <c:v>-110.99068181818181</c:v>
                      </c:pt>
                      <c:pt idx="37" formatCode="General">
                        <c:v>-109.87674242424242</c:v>
                      </c:pt>
                      <c:pt idx="38" formatCode="General">
                        <c:v>-108.76280303030303</c:v>
                      </c:pt>
                      <c:pt idx="39" formatCode="General">
                        <c:v>-107.64886363636363</c:v>
                      </c:pt>
                      <c:pt idx="40" formatCode="General">
                        <c:v>-106.72903177004538</c:v>
                      </c:pt>
                      <c:pt idx="41" formatCode="General">
                        <c:v>-105.85399394856279</c:v>
                      </c:pt>
                      <c:pt idx="42" formatCode="General">
                        <c:v>-104.97895612708018</c:v>
                      </c:pt>
                      <c:pt idx="43" formatCode="General">
                        <c:v>-104.10391830559759</c:v>
                      </c:pt>
                      <c:pt idx="44" formatCode="General">
                        <c:v>-103.22888048411498</c:v>
                      </c:pt>
                      <c:pt idx="45" formatCode="General">
                        <c:v>-102.35384266263239</c:v>
                      </c:pt>
                      <c:pt idx="46" formatCode="General">
                        <c:v>-101.47880484114978</c:v>
                      </c:pt>
                      <c:pt idx="47" formatCode="General">
                        <c:v>-100.60376701966717</c:v>
                      </c:pt>
                      <c:pt idx="48" formatCode="General">
                        <c:v>-99.791333333333341</c:v>
                      </c:pt>
                      <c:pt idx="49" formatCode="General">
                        <c:v>-99.030121212121216</c:v>
                      </c:pt>
                      <c:pt idx="50" formatCode="General">
                        <c:v>-98.28759036144578</c:v>
                      </c:pt>
                      <c:pt idx="51" formatCode="General">
                        <c:v>-97.564698795180732</c:v>
                      </c:pt>
                      <c:pt idx="52" formatCode="General">
                        <c:v>-96.862000000000009</c:v>
                      </c:pt>
                      <c:pt idx="53" formatCode="General">
                        <c:v>-96.188060606060617</c:v>
                      </c:pt>
                      <c:pt idx="54" formatCode="General">
                        <c:v>-95.522606060606066</c:v>
                      </c:pt>
                      <c:pt idx="55" formatCode="General">
                        <c:v>-94.87290909090909</c:v>
                      </c:pt>
                      <c:pt idx="56" formatCode="General">
                        <c:v>-94.345878787878789</c:v>
                      </c:pt>
                      <c:pt idx="57" formatCode="General">
                        <c:v>-94.12284848484849</c:v>
                      </c:pt>
                      <c:pt idx="58" formatCode="General">
                        <c:v>-93.929490909090916</c:v>
                      </c:pt>
                      <c:pt idx="59" formatCode="General">
                        <c:v>-93.838339393939393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-18.963267326732673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 formatCode="General">
                        <c:v>-18.96</c:v>
                      </c:pt>
                      <c:pt idx="5" formatCode="General">
                        <c:v>-18.96</c:v>
                      </c:pt>
                      <c:pt idx="6" formatCode="General">
                        <c:v>-18.962128712871287</c:v>
                      </c:pt>
                      <c:pt idx="7" formatCode="General">
                        <c:v>-18.966089108910889</c:v>
                      </c:pt>
                      <c:pt idx="8" formatCode="General">
                        <c:v>-18.970099009900988</c:v>
                      </c:pt>
                      <c:pt idx="9" formatCode="General">
                        <c:v>-18.978019801980196</c:v>
                      </c:pt>
                      <c:pt idx="10" formatCode="General">
                        <c:v>-18.985940594059404</c:v>
                      </c:pt>
                      <c:pt idx="11" formatCode="General">
                        <c:v>-18.99579207920792</c:v>
                      </c:pt>
                      <c:pt idx="12" formatCode="General">
                        <c:v>-19.00767326732673</c:v>
                      </c:pt>
                      <c:pt idx="13" formatCode="General">
                        <c:v>-19.019554455445544</c:v>
                      </c:pt>
                      <c:pt idx="14" formatCode="General">
                        <c:v>-19.031435643564357</c:v>
                      </c:pt>
                      <c:pt idx="15" formatCode="General">
                        <c:v>-19.043316831683168</c:v>
                      </c:pt>
                      <c:pt idx="16" formatCode="General">
                        <c:v>-19.055198019801981</c:v>
                      </c:pt>
                      <c:pt idx="17" formatCode="General">
                        <c:v>-19.067079207920791</c:v>
                      </c:pt>
                      <c:pt idx="18" formatCode="General">
                        <c:v>-19.078960396039601</c:v>
                      </c:pt>
                      <c:pt idx="19" formatCode="General">
                        <c:v>-19.090855018587359</c:v>
                      </c:pt>
                      <c:pt idx="20" formatCode="General">
                        <c:v>-19.102750929368028</c:v>
                      </c:pt>
                      <c:pt idx="21" formatCode="General">
                        <c:v>-19.114646840148698</c:v>
                      </c:pt>
                      <c:pt idx="22" formatCode="General">
                        <c:v>-19.126542750929367</c:v>
                      </c:pt>
                      <c:pt idx="23" formatCode="General">
                        <c:v>-19.138438661710037</c:v>
                      </c:pt>
                      <c:pt idx="24" formatCode="General">
                        <c:v>-19.150334572490706</c:v>
                      </c:pt>
                      <c:pt idx="25" formatCode="General">
                        <c:v>-19.162230483271376</c:v>
                      </c:pt>
                      <c:pt idx="26" formatCode="General">
                        <c:v>-19.174126394052045</c:v>
                      </c:pt>
                      <c:pt idx="27" formatCode="General">
                        <c:v>-19.186022304832711</c:v>
                      </c:pt>
                      <c:pt idx="28" formatCode="General">
                        <c:v>-19.197918215613381</c:v>
                      </c:pt>
                      <c:pt idx="29" formatCode="General">
                        <c:v>-19.209801980198019</c:v>
                      </c:pt>
                      <c:pt idx="30" formatCode="General">
                        <c:v>-19.221683168316833</c:v>
                      </c:pt>
                      <c:pt idx="31" formatCode="General">
                        <c:v>-19.234752475247525</c:v>
                      </c:pt>
                      <c:pt idx="32" formatCode="General">
                        <c:v>-19.250594059405941</c:v>
                      </c:pt>
                      <c:pt idx="33" formatCode="General">
                        <c:v>-19.266435643564357</c:v>
                      </c:pt>
                      <c:pt idx="34" formatCode="General">
                        <c:v>-19.282277227722773</c:v>
                      </c:pt>
                      <c:pt idx="35" formatCode="General">
                        <c:v>-19.298118811881189</c:v>
                      </c:pt>
                      <c:pt idx="36" formatCode="General">
                        <c:v>-19.314950495049505</c:v>
                      </c:pt>
                      <c:pt idx="37" formatCode="General">
                        <c:v>-19.334752475247523</c:v>
                      </c:pt>
                      <c:pt idx="38" formatCode="General">
                        <c:v>-19.354554455445545</c:v>
                      </c:pt>
                      <c:pt idx="39" formatCode="General">
                        <c:v>-19.37148514851485</c:v>
                      </c:pt>
                      <c:pt idx="40" formatCode="General">
                        <c:v>-19.387326732673266</c:v>
                      </c:pt>
                      <c:pt idx="41" formatCode="General">
                        <c:v>-19.403168316831682</c:v>
                      </c:pt>
                      <c:pt idx="42" formatCode="General">
                        <c:v>-19.419009900990098</c:v>
                      </c:pt>
                      <c:pt idx="43" formatCode="General">
                        <c:v>-19.434851485148517</c:v>
                      </c:pt>
                      <c:pt idx="44" formatCode="General">
                        <c:v>-19.448019801980198</c:v>
                      </c:pt>
                      <c:pt idx="45" formatCode="General">
                        <c:v>-19.459900990099008</c:v>
                      </c:pt>
                      <c:pt idx="46" formatCode="General">
                        <c:v>-19.47059405940594</c:v>
                      </c:pt>
                      <c:pt idx="47" formatCode="General">
                        <c:v>-19.474554455445546</c:v>
                      </c:pt>
                      <c:pt idx="48" formatCode="General">
                        <c:v>-19.478514851485148</c:v>
                      </c:pt>
                      <c:pt idx="49" formatCode="General">
                        <c:v>-19.476902106567536</c:v>
                      </c:pt>
                      <c:pt idx="50" formatCode="General">
                        <c:v>-19.47194547707559</c:v>
                      </c:pt>
                      <c:pt idx="51" formatCode="General">
                        <c:v>-19.466988847583643</c:v>
                      </c:pt>
                      <c:pt idx="52" formatCode="General">
                        <c:v>-19.462032218091696</c:v>
                      </c:pt>
                      <c:pt idx="53" formatCode="General">
                        <c:v>-19.457075588599754</c:v>
                      </c:pt>
                      <c:pt idx="54" formatCode="General">
                        <c:v>-19.452118959107807</c:v>
                      </c:pt>
                      <c:pt idx="55" formatCode="General">
                        <c:v>-19.44716232961586</c:v>
                      </c:pt>
                      <c:pt idx="56" formatCode="General">
                        <c:v>-19.442205700123914</c:v>
                      </c:pt>
                      <c:pt idx="57" formatCode="General">
                        <c:v>-19.437249070631971</c:v>
                      </c:pt>
                      <c:pt idx="58" formatCode="General">
                        <c:v>-19.432292441140024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-19.749702970297029</c:v>
                      </c:pt>
                      <c:pt idx="80" formatCode="General">
                        <c:v>-19.777425742574255</c:v>
                      </c:pt>
                      <c:pt idx="81" formatCode="General">
                        <c:v>-19.805148514851485</c:v>
                      </c:pt>
                      <c:pt idx="82" formatCode="General">
                        <c:v>-19.823069306930691</c:v>
                      </c:pt>
                      <c:pt idx="83" formatCode="General">
                        <c:v>-19.83891089108911</c:v>
                      </c:pt>
                      <c:pt idx="84" formatCode="General">
                        <c:v>-19.850000000000001</c:v>
                      </c:pt>
                      <c:pt idx="85" formatCode="General">
                        <c:v>-19.850000000000001</c:v>
                      </c:pt>
                      <c:pt idx="86" formatCode="General">
                        <c:v>-19.850000000000001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-61.625643564356437</c:v>
                      </c:pt>
                      <c:pt idx="1">
                        <c:v>-60.46108910891089</c:v>
                      </c:pt>
                      <c:pt idx="2">
                        <c:v>-59.40762376237624</c:v>
                      </c:pt>
                      <c:pt idx="3">
                        <c:v>-58.37148514851485</c:v>
                      </c:pt>
                      <c:pt idx="4" formatCode="General">
                        <c:v>-57.595247524752473</c:v>
                      </c:pt>
                      <c:pt idx="5" formatCode="General">
                        <c:v>-56.819009900990096</c:v>
                      </c:pt>
                      <c:pt idx="6" formatCode="General">
                        <c:v>-56.157722772277225</c:v>
                      </c:pt>
                      <c:pt idx="7" formatCode="General">
                        <c:v>-55.595346534653466</c:v>
                      </c:pt>
                      <c:pt idx="8" formatCode="General">
                        <c:v>-55.034900990099011</c:v>
                      </c:pt>
                      <c:pt idx="9" formatCode="General">
                        <c:v>-54.626980198019801</c:v>
                      </c:pt>
                      <c:pt idx="10" formatCode="General">
                        <c:v>-54.219059405940598</c:v>
                      </c:pt>
                      <c:pt idx="11" formatCode="General">
                        <c:v>-53.853227722772282</c:v>
                      </c:pt>
                      <c:pt idx="12" formatCode="General">
                        <c:v>-53.531643564356436</c:v>
                      </c:pt>
                      <c:pt idx="13" formatCode="General">
                        <c:v>-53.210059405940598</c:v>
                      </c:pt>
                      <c:pt idx="14" formatCode="General">
                        <c:v>-52.949465346534659</c:v>
                      </c:pt>
                      <c:pt idx="15" formatCode="General">
                        <c:v>-52.691247524752484</c:v>
                      </c:pt>
                      <c:pt idx="16" formatCode="General">
                        <c:v>-52.460232673267335</c:v>
                      </c:pt>
                      <c:pt idx="17" formatCode="General">
                        <c:v>-52.264193069306934</c:v>
                      </c:pt>
                      <c:pt idx="18" formatCode="General">
                        <c:v>-52.068153465346533</c:v>
                      </c:pt>
                      <c:pt idx="19" formatCode="General">
                        <c:v>-52.059322180916979</c:v>
                      </c:pt>
                      <c:pt idx="20" formatCode="General">
                        <c:v>-52.068442379182159</c:v>
                      </c:pt>
                      <c:pt idx="21" formatCode="General">
                        <c:v>-52.077562577447338</c:v>
                      </c:pt>
                      <c:pt idx="22" formatCode="General">
                        <c:v>-52.086682775712518</c:v>
                      </c:pt>
                      <c:pt idx="23" formatCode="General">
                        <c:v>-52.095802973977698</c:v>
                      </c:pt>
                      <c:pt idx="24" formatCode="General">
                        <c:v>-52.104923172242877</c:v>
                      </c:pt>
                      <c:pt idx="25" formatCode="General">
                        <c:v>-52.114043370508057</c:v>
                      </c:pt>
                      <c:pt idx="26" formatCode="General">
                        <c:v>-52.123163568773236</c:v>
                      </c:pt>
                      <c:pt idx="27" formatCode="General">
                        <c:v>-52.132283767038416</c:v>
                      </c:pt>
                      <c:pt idx="28" formatCode="General">
                        <c:v>-52.141403965303596</c:v>
                      </c:pt>
                      <c:pt idx="29" formatCode="General">
                        <c:v>-52.312574257425744</c:v>
                      </c:pt>
                      <c:pt idx="30" formatCode="General">
                        <c:v>-52.518118811881187</c:v>
                      </c:pt>
                      <c:pt idx="31" formatCode="General">
                        <c:v>-52.730554455445542</c:v>
                      </c:pt>
                      <c:pt idx="32" formatCode="General">
                        <c:v>-52.959069306930694</c:v>
                      </c:pt>
                      <c:pt idx="33" formatCode="General">
                        <c:v>-53.187584158415845</c:v>
                      </c:pt>
                      <c:pt idx="34" formatCode="General">
                        <c:v>-53.427762376237631</c:v>
                      </c:pt>
                      <c:pt idx="35" formatCode="General">
                        <c:v>-53.671326732673272</c:v>
                      </c:pt>
                      <c:pt idx="36" formatCode="General">
                        <c:v>-53.915782178217817</c:v>
                      </c:pt>
                      <c:pt idx="37" formatCode="General">
                        <c:v>-54.162910891089105</c:v>
                      </c:pt>
                      <c:pt idx="38" formatCode="General">
                        <c:v>-54.410039603960392</c:v>
                      </c:pt>
                      <c:pt idx="39" formatCode="General">
                        <c:v>-54.658316831683166</c:v>
                      </c:pt>
                      <c:pt idx="40" formatCode="General">
                        <c:v>-54.907029702970299</c:v>
                      </c:pt>
                      <c:pt idx="41" formatCode="General">
                        <c:v>-55.154712871287131</c:v>
                      </c:pt>
                      <c:pt idx="42" formatCode="General">
                        <c:v>-55.398277227722772</c:v>
                      </c:pt>
                      <c:pt idx="43" formatCode="General">
                        <c:v>-55.641841584158414</c:v>
                      </c:pt>
                      <c:pt idx="44" formatCode="General">
                        <c:v>-55.88647524752475</c:v>
                      </c:pt>
                      <c:pt idx="45" formatCode="General">
                        <c:v>-56.131623762376236</c:v>
                      </c:pt>
                      <c:pt idx="46" formatCode="General">
                        <c:v>-56.376534653465342</c:v>
                      </c:pt>
                      <c:pt idx="47" formatCode="General">
                        <c:v>-56.62009900990099</c:v>
                      </c:pt>
                      <c:pt idx="48" formatCode="General">
                        <c:v>-56.863663366336631</c:v>
                      </c:pt>
                      <c:pt idx="49" formatCode="General">
                        <c:v>-57.110018587360592</c:v>
                      </c:pt>
                      <c:pt idx="50" formatCode="General">
                        <c:v>-57.358048327137546</c:v>
                      </c:pt>
                      <c:pt idx="51" formatCode="General">
                        <c:v>-57.606078066914492</c:v>
                      </c:pt>
                      <c:pt idx="52" formatCode="General">
                        <c:v>-57.854107806691445</c:v>
                      </c:pt>
                      <c:pt idx="53" formatCode="General">
                        <c:v>-58.102137546468398</c:v>
                      </c:pt>
                      <c:pt idx="54" formatCode="General">
                        <c:v>-58.350167286245345</c:v>
                      </c:pt>
                      <c:pt idx="55" formatCode="General">
                        <c:v>-58.598197026022298</c:v>
                      </c:pt>
                      <c:pt idx="56" formatCode="General">
                        <c:v>-58.846226765799251</c:v>
                      </c:pt>
                      <c:pt idx="57" formatCode="General">
                        <c:v>-59.094256505576197</c:v>
                      </c:pt>
                      <c:pt idx="58" formatCode="General">
                        <c:v>-59.342286245353151</c:v>
                      </c:pt>
                      <c:pt idx="59" formatCode="General">
                        <c:v>-59.583019801980193</c:v>
                      </c:pt>
                      <c:pt idx="60" formatCode="General">
                        <c:v>-59.817475247524747</c:v>
                      </c:pt>
                      <c:pt idx="61" formatCode="General">
                        <c:v>-60.05189603960396</c:v>
                      </c:pt>
                      <c:pt idx="62" formatCode="General">
                        <c:v>-60.283579207920795</c:v>
                      </c:pt>
                      <c:pt idx="63" formatCode="General">
                        <c:v>-60.515262376237622</c:v>
                      </c:pt>
                      <c:pt idx="64" formatCode="General">
                        <c:v>-60.751193069306929</c:v>
                      </c:pt>
                      <c:pt idx="65" formatCode="General">
                        <c:v>-60.991589108910894</c:v>
                      </c:pt>
                      <c:pt idx="66" formatCode="General">
                        <c:v>-61.231985148514852</c:v>
                      </c:pt>
                      <c:pt idx="67" formatCode="General">
                        <c:v>-61.370222772277231</c:v>
                      </c:pt>
                      <c:pt idx="68" formatCode="General">
                        <c:v>-61.504480198019799</c:v>
                      </c:pt>
                      <c:pt idx="69" formatCode="General">
                        <c:v>-61.659931846344485</c:v>
                      </c:pt>
                      <c:pt idx="70" formatCode="General">
                        <c:v>-61.842633209417592</c:v>
                      </c:pt>
                      <c:pt idx="71" formatCode="General">
                        <c:v>-62.025334572490706</c:v>
                      </c:pt>
                      <c:pt idx="72" formatCode="General">
                        <c:v>-62.208035935563814</c:v>
                      </c:pt>
                      <c:pt idx="73" formatCode="General">
                        <c:v>-62.390737298636928</c:v>
                      </c:pt>
                      <c:pt idx="74" formatCode="General">
                        <c:v>-62.573438661710036</c:v>
                      </c:pt>
                      <c:pt idx="75" formatCode="General">
                        <c:v>-62.75614002478315</c:v>
                      </c:pt>
                      <c:pt idx="76" formatCode="General">
                        <c:v>-62.938841387856257</c:v>
                      </c:pt>
                      <c:pt idx="77" formatCode="General">
                        <c:v>-63.121542750929365</c:v>
                      </c:pt>
                      <c:pt idx="78" formatCode="General">
                        <c:v>-63.304244114002479</c:v>
                      </c:pt>
                      <c:pt idx="79" formatCode="General">
                        <c:v>-63.566465346534656</c:v>
                      </c:pt>
                      <c:pt idx="80" formatCode="General">
                        <c:v>-63.97636633663366</c:v>
                      </c:pt>
                      <c:pt idx="81" formatCode="General">
                        <c:v>-64.386267326732678</c:v>
                      </c:pt>
                      <c:pt idx="82" formatCode="General">
                        <c:v>-64.630841584158418</c:v>
                      </c:pt>
                      <c:pt idx="83" formatCode="General">
                        <c:v>-64.840346534653463</c:v>
                      </c:pt>
                      <c:pt idx="84" formatCode="General">
                        <c:v>-64.986999999999995</c:v>
                      </c:pt>
                      <c:pt idx="85" formatCode="General">
                        <c:v>-64.986999999999995</c:v>
                      </c:pt>
                      <c:pt idx="86" formatCode="General">
                        <c:v>-64.986999999999995</c:v>
                      </c:pt>
                      <c:pt idx="87" formatCode="General">
                        <c:v>-65.143227722772281</c:v>
                      </c:pt>
                      <c:pt idx="88" formatCode="General">
                        <c:v>-65.344811881188122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-147.3618316831683</c:v>
                      </c:pt>
                      <c:pt idx="1">
                        <c:v>-143.56544554455445</c:v>
                      </c:pt>
                      <c:pt idx="2">
                        <c:v>-139.8981188118812</c:v>
                      </c:pt>
                      <c:pt idx="3">
                        <c:v>-136.24267326732675</c:v>
                      </c:pt>
                      <c:pt idx="4" formatCode="General">
                        <c:v>-132.76544554455447</c:v>
                      </c:pt>
                      <c:pt idx="5" formatCode="General">
                        <c:v>-129.28821782178218</c:v>
                      </c:pt>
                      <c:pt idx="6" formatCode="General">
                        <c:v>-125.90891089108911</c:v>
                      </c:pt>
                      <c:pt idx="7" formatCode="General">
                        <c:v>-122.61386138613861</c:v>
                      </c:pt>
                      <c:pt idx="8" formatCode="General">
                        <c:v>-119.32173267326732</c:v>
                      </c:pt>
                      <c:pt idx="9" formatCode="General">
                        <c:v>-116.26034653465346</c:v>
                      </c:pt>
                      <c:pt idx="10" formatCode="General">
                        <c:v>-113.19896039603961</c:v>
                      </c:pt>
                      <c:pt idx="11" formatCode="General">
                        <c:v>-110.26886138613861</c:v>
                      </c:pt>
                      <c:pt idx="12" formatCode="General">
                        <c:v>-107.47678217821783</c:v>
                      </c:pt>
                      <c:pt idx="13" formatCode="General">
                        <c:v>-104.68470297029704</c:v>
                      </c:pt>
                      <c:pt idx="14" formatCode="General">
                        <c:v>-102.14420792079208</c:v>
                      </c:pt>
                      <c:pt idx="15" formatCode="General">
                        <c:v>-99.613514851485149</c:v>
                      </c:pt>
                      <c:pt idx="16" formatCode="General">
                        <c:v>-97.198910891089113</c:v>
                      </c:pt>
                      <c:pt idx="17" formatCode="General">
                        <c:v>-94.933564356435639</c:v>
                      </c:pt>
                      <c:pt idx="18" formatCode="General">
                        <c:v>-92.668217821782179</c:v>
                      </c:pt>
                      <c:pt idx="19" formatCode="General">
                        <c:v>-90.819132589838901</c:v>
                      </c:pt>
                      <c:pt idx="20" formatCode="General">
                        <c:v>-89.009962825278805</c:v>
                      </c:pt>
                      <c:pt idx="21" formatCode="General">
                        <c:v>-87.200793060718709</c:v>
                      </c:pt>
                      <c:pt idx="22" formatCode="General">
                        <c:v>-85.391623296158613</c:v>
                      </c:pt>
                      <c:pt idx="23" formatCode="General">
                        <c:v>-83.582453531598503</c:v>
                      </c:pt>
                      <c:pt idx="24" formatCode="General">
                        <c:v>-81.773283767038407</c:v>
                      </c:pt>
                      <c:pt idx="25" formatCode="General">
                        <c:v>-79.964114002478311</c:v>
                      </c:pt>
                      <c:pt idx="26" formatCode="General">
                        <c:v>-78.154944237918215</c:v>
                      </c:pt>
                      <c:pt idx="27" formatCode="General">
                        <c:v>-76.345774473358105</c:v>
                      </c:pt>
                      <c:pt idx="28" formatCode="General">
                        <c:v>-74.536604708798009</c:v>
                      </c:pt>
                      <c:pt idx="29" formatCode="General">
                        <c:v>-72.955544554455443</c:v>
                      </c:pt>
                      <c:pt idx="30" formatCode="General">
                        <c:v>-71.422871287128714</c:v>
                      </c:pt>
                      <c:pt idx="31" formatCode="General">
                        <c:v>-69.915148514851481</c:v>
                      </c:pt>
                      <c:pt idx="32" formatCode="General">
                        <c:v>-68.465643564356427</c:v>
                      </c:pt>
                      <c:pt idx="33" formatCode="General">
                        <c:v>-67.016138613861372</c:v>
                      </c:pt>
                      <c:pt idx="34" formatCode="General">
                        <c:v>-65.637227722772266</c:v>
                      </c:pt>
                      <c:pt idx="35" formatCode="General">
                        <c:v>-64.278811881188119</c:v>
                      </c:pt>
                      <c:pt idx="36" formatCode="General">
                        <c:v>-62.942178217821784</c:v>
                      </c:pt>
                      <c:pt idx="37" formatCode="General">
                        <c:v>-61.670891089108913</c:v>
                      </c:pt>
                      <c:pt idx="38" formatCode="General">
                        <c:v>-60.399603960396043</c:v>
                      </c:pt>
                      <c:pt idx="39" formatCode="General">
                        <c:v>-59.18</c:v>
                      </c:pt>
                      <c:pt idx="40" formatCode="General">
                        <c:v>-57.98</c:v>
                      </c:pt>
                      <c:pt idx="41" formatCode="General">
                        <c:v>-56.795049504950491</c:v>
                      </c:pt>
                      <c:pt idx="42" formatCode="General">
                        <c:v>-55.670297029702965</c:v>
                      </c:pt>
                      <c:pt idx="43" formatCode="General">
                        <c:v>-54.545544554455446</c:v>
                      </c:pt>
                      <c:pt idx="44" formatCode="General">
                        <c:v>-53.476930693069306</c:v>
                      </c:pt>
                      <c:pt idx="45" formatCode="General">
                        <c:v>-52.435346534653462</c:v>
                      </c:pt>
                      <c:pt idx="46" formatCode="General">
                        <c:v>-51.412772277227717</c:v>
                      </c:pt>
                      <c:pt idx="47" formatCode="General">
                        <c:v>-50.497920792079199</c:v>
                      </c:pt>
                      <c:pt idx="48" formatCode="General">
                        <c:v>-49.583069306930689</c:v>
                      </c:pt>
                      <c:pt idx="49" formatCode="General">
                        <c:v>-48.934671623296154</c:v>
                      </c:pt>
                      <c:pt idx="50" formatCode="General">
                        <c:v>-48.446146220570007</c:v>
                      </c:pt>
                      <c:pt idx="51" formatCode="General">
                        <c:v>-47.957620817843861</c:v>
                      </c:pt>
                      <c:pt idx="52" formatCode="General">
                        <c:v>-47.469095415117714</c:v>
                      </c:pt>
                      <c:pt idx="53" formatCode="General">
                        <c:v>-46.980570012391574</c:v>
                      </c:pt>
                      <c:pt idx="54" formatCode="General">
                        <c:v>-46.492044609665427</c:v>
                      </c:pt>
                      <c:pt idx="55" formatCode="General">
                        <c:v>-46.003519206939281</c:v>
                      </c:pt>
                      <c:pt idx="56" formatCode="General">
                        <c:v>-45.514993804213134</c:v>
                      </c:pt>
                      <c:pt idx="57" formatCode="General">
                        <c:v>-45.026468401486987</c:v>
                      </c:pt>
                      <c:pt idx="58" formatCode="General">
                        <c:v>-44.53794299876084</c:v>
                      </c:pt>
                      <c:pt idx="59" formatCode="General">
                        <c:v>-44.155326732673267</c:v>
                      </c:pt>
                      <c:pt idx="60" formatCode="General">
                        <c:v>-43.863841584158415</c:v>
                      </c:pt>
                      <c:pt idx="61" formatCode="General">
                        <c:v>-43.572663366336634</c:v>
                      </c:pt>
                      <c:pt idx="62" formatCode="General">
                        <c:v>-43.305732673267329</c:v>
                      </c:pt>
                      <c:pt idx="63" formatCode="General">
                        <c:v>-43.038801980198024</c:v>
                      </c:pt>
                      <c:pt idx="64" formatCode="General">
                        <c:v>-42.784613861386141</c:v>
                      </c:pt>
                      <c:pt idx="65" formatCode="General">
                        <c:v>-42.54382178217822</c:v>
                      </c:pt>
                      <c:pt idx="66" formatCode="General">
                        <c:v>-42.303029702970299</c:v>
                      </c:pt>
                      <c:pt idx="67" formatCode="General">
                        <c:v>-42.261980198019806</c:v>
                      </c:pt>
                      <c:pt idx="68" formatCode="General">
                        <c:v>-42.228712871287129</c:v>
                      </c:pt>
                      <c:pt idx="69" formatCode="General">
                        <c:v>-42.269677819083022</c:v>
                      </c:pt>
                      <c:pt idx="70" formatCode="General">
                        <c:v>-42.406084262701363</c:v>
                      </c:pt>
                      <c:pt idx="71" formatCode="General">
                        <c:v>-42.542490706319704</c:v>
                      </c:pt>
                      <c:pt idx="72" formatCode="General">
                        <c:v>-42.678897149938045</c:v>
                      </c:pt>
                      <c:pt idx="73" formatCode="General">
                        <c:v>-42.815303593556379</c:v>
                      </c:pt>
                      <c:pt idx="74" formatCode="General">
                        <c:v>-42.95171003717472</c:v>
                      </c:pt>
                      <c:pt idx="75" formatCode="General">
                        <c:v>-43.088116480793062</c:v>
                      </c:pt>
                      <c:pt idx="76" formatCode="General">
                        <c:v>-43.224522924411396</c:v>
                      </c:pt>
                      <c:pt idx="77" formatCode="General">
                        <c:v>-43.360929368029737</c:v>
                      </c:pt>
                      <c:pt idx="78" formatCode="General">
                        <c:v>-43.497335811648078</c:v>
                      </c:pt>
                      <c:pt idx="79" formatCode="General">
                        <c:v>-43.687465346534651</c:v>
                      </c:pt>
                      <c:pt idx="80" formatCode="General">
                        <c:v>-43.977366336633658</c:v>
                      </c:pt>
                      <c:pt idx="81" formatCode="General">
                        <c:v>-44.267267326732672</c:v>
                      </c:pt>
                      <c:pt idx="82" formatCode="General">
                        <c:v>-44.437584158415838</c:v>
                      </c:pt>
                      <c:pt idx="83" formatCode="General">
                        <c:v>-44.582534653465345</c:v>
                      </c:pt>
                      <c:pt idx="84" formatCode="General">
                        <c:v>-44.683999999999997</c:v>
                      </c:pt>
                      <c:pt idx="85" formatCode="General">
                        <c:v>-44.683999999999997</c:v>
                      </c:pt>
                      <c:pt idx="86" formatCode="General">
                        <c:v>-44.683999999999997</c:v>
                      </c:pt>
                      <c:pt idx="87" formatCode="General">
                        <c:v>-44.793267326732675</c:v>
                      </c:pt>
                      <c:pt idx="88" formatCode="General">
                        <c:v>-44.93425742574258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23929986372433"/>
          <c:y val="1.364941582918454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35EF-46D6-A94F-2517E60135C4}"/>
              </c:ext>
            </c:extLst>
          </c:dPt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-62.75363636363636</c:v>
                </c:pt>
                <c:pt idx="1">
                  <c:v>-61.25060606060606</c:v>
                </c:pt>
                <c:pt idx="2">
                  <c:v>-59.74757575757576</c:v>
                </c:pt>
                <c:pt idx="3">
                  <c:v>-58.400545454545451</c:v>
                </c:pt>
                <c:pt idx="4" formatCode="General">
                  <c:v>-57.057515151515148</c:v>
                </c:pt>
                <c:pt idx="5" formatCode="General">
                  <c:v>-55.833939393939389</c:v>
                </c:pt>
                <c:pt idx="6" formatCode="General">
                  <c:v>-54.621818181818178</c:v>
                </c:pt>
                <c:pt idx="7" formatCode="General">
                  <c:v>-53.05115151515151</c:v>
                </c:pt>
                <c:pt idx="8" formatCode="General">
                  <c:v>-51.417212121212117</c:v>
                </c:pt>
                <c:pt idx="9" formatCode="General">
                  <c:v>-49.791024096385541</c:v>
                </c:pt>
                <c:pt idx="10" formatCode="General">
                  <c:v>-48.166927710843375</c:v>
                </c:pt>
                <c:pt idx="11" formatCode="General">
                  <c:v>-46.625636363636367</c:v>
                </c:pt>
                <c:pt idx="12" formatCode="General">
                  <c:v>-45.11775757575758</c:v>
                </c:pt>
                <c:pt idx="13" formatCode="General">
                  <c:v>-43.685515151515155</c:v>
                </c:pt>
                <c:pt idx="14" formatCode="General">
                  <c:v>-42.294000000000004</c:v>
                </c:pt>
                <c:pt idx="15" formatCode="General">
                  <c:v>-41.033131618759455</c:v>
                </c:pt>
                <c:pt idx="16" formatCode="General">
                  <c:v>-39.863993948562786</c:v>
                </c:pt>
                <c:pt idx="17" formatCode="General">
                  <c:v>-38.69485627836611</c:v>
                </c:pt>
                <c:pt idx="18" formatCode="General">
                  <c:v>-37.525718608169441</c:v>
                </c:pt>
                <c:pt idx="19" formatCode="General">
                  <c:v>-36.356580937972765</c:v>
                </c:pt>
                <c:pt idx="20" formatCode="General">
                  <c:v>-35.187443267776096</c:v>
                </c:pt>
                <c:pt idx="21" formatCode="General">
                  <c:v>-34.018305597579428</c:v>
                </c:pt>
                <c:pt idx="22" formatCode="General">
                  <c:v>-32.849167927382751</c:v>
                </c:pt>
                <c:pt idx="23" formatCode="General">
                  <c:v>-31.738545454545452</c:v>
                </c:pt>
                <c:pt idx="24" formatCode="General">
                  <c:v>-30.749454545454544</c:v>
                </c:pt>
                <c:pt idx="25" formatCode="General">
                  <c:v>-29.781363636363633</c:v>
                </c:pt>
                <c:pt idx="26" formatCode="General">
                  <c:v>-28.872272727272723</c:v>
                </c:pt>
                <c:pt idx="27" formatCode="General">
                  <c:v>-27.963181818181816</c:v>
                </c:pt>
                <c:pt idx="28" formatCode="General">
                  <c:v>-27.054090909090906</c:v>
                </c:pt>
                <c:pt idx="29" formatCode="General">
                  <c:v>-26.15602409638554</c:v>
                </c:pt>
                <c:pt idx="30" formatCode="General">
                  <c:v>-25.327108433734939</c:v>
                </c:pt>
                <c:pt idx="31" formatCode="General">
                  <c:v>-24.504166666666666</c:v>
                </c:pt>
                <c:pt idx="32" formatCode="General">
                  <c:v>-23.770833333333336</c:v>
                </c:pt>
                <c:pt idx="33" formatCode="General">
                  <c:v>-23.037500000000001</c:v>
                </c:pt>
                <c:pt idx="34" formatCode="General">
                  <c:v>-22.304166666666667</c:v>
                </c:pt>
                <c:pt idx="35" formatCode="General">
                  <c:v>-21.570833333333333</c:v>
                </c:pt>
                <c:pt idx="36" formatCode="General">
                  <c:v>-20.837499999999999</c:v>
                </c:pt>
                <c:pt idx="37" formatCode="General">
                  <c:v>-20.104166666666668</c:v>
                </c:pt>
                <c:pt idx="38" formatCode="General">
                  <c:v>-19.370833333333334</c:v>
                </c:pt>
                <c:pt idx="39" formatCode="General">
                  <c:v>-18.637499999999999</c:v>
                </c:pt>
                <c:pt idx="40" formatCode="General">
                  <c:v>-18.00733736762481</c:v>
                </c:pt>
                <c:pt idx="41" formatCode="General">
                  <c:v>-17.400983358547656</c:v>
                </c:pt>
                <c:pt idx="42" formatCode="General">
                  <c:v>-16.794629349470501</c:v>
                </c:pt>
                <c:pt idx="43" formatCode="General">
                  <c:v>-16.188275340393343</c:v>
                </c:pt>
                <c:pt idx="44" formatCode="General">
                  <c:v>-15.581921331316188</c:v>
                </c:pt>
                <c:pt idx="45" formatCode="General">
                  <c:v>-14.975567322239034</c:v>
                </c:pt>
                <c:pt idx="46" formatCode="General">
                  <c:v>-14.369213313161877</c:v>
                </c:pt>
                <c:pt idx="47" formatCode="General">
                  <c:v>-13.762859304084721</c:v>
                </c:pt>
                <c:pt idx="48" formatCode="General">
                  <c:v>-13.188666666666668</c:v>
                </c:pt>
                <c:pt idx="49" formatCode="General">
                  <c:v>-12.640787878787879</c:v>
                </c:pt>
                <c:pt idx="50" formatCode="General">
                  <c:v>-12.106265060240965</c:v>
                </c:pt>
                <c:pt idx="51" formatCode="General">
                  <c:v>-11.585783132530123</c:v>
                </c:pt>
                <c:pt idx="52" formatCode="General">
                  <c:v>-11.072000000000003</c:v>
                </c:pt>
                <c:pt idx="53" formatCode="General">
                  <c:v>-10.567757575757579</c:v>
                </c:pt>
                <c:pt idx="54" formatCode="General">
                  <c:v>-10.070303030303034</c:v>
                </c:pt>
                <c:pt idx="55" formatCode="General">
                  <c:v>-9.5854545454545477</c:v>
                </c:pt>
                <c:pt idx="56" formatCode="General">
                  <c:v>-9.1619393939393952</c:v>
                </c:pt>
                <c:pt idx="57" formatCode="General">
                  <c:v>-8.8904242424242437</c:v>
                </c:pt>
                <c:pt idx="58" formatCode="General">
                  <c:v>-8.6337454545454548</c:v>
                </c:pt>
                <c:pt idx="59" formatCode="General">
                  <c:v>-8.4281696969696984</c:v>
                </c:pt>
                <c:pt idx="60" formatCode="General">
                  <c:v>-8.2237757575757584</c:v>
                </c:pt>
                <c:pt idx="61" formatCode="General">
                  <c:v>-8.025472727272728</c:v>
                </c:pt>
                <c:pt idx="62" formatCode="General">
                  <c:v>-7.8367831325301216</c:v>
                </c:pt>
                <c:pt idx="63" formatCode="General">
                  <c:v>-7.7346144578313254</c:v>
                </c:pt>
                <c:pt idx="64" formatCode="General">
                  <c:v>-7.6359696969696973</c:v>
                </c:pt>
                <c:pt idx="65" formatCode="General">
                  <c:v>-7.6747575757575754</c:v>
                </c:pt>
                <c:pt idx="66" formatCode="General">
                  <c:v>-7.7135454545454545</c:v>
                </c:pt>
                <c:pt idx="67" formatCode="General">
                  <c:v>-7.7528000000000006</c:v>
                </c:pt>
                <c:pt idx="68" formatCode="General">
                  <c:v>-7.7920727272727275</c:v>
                </c:pt>
                <c:pt idx="69" formatCode="General">
                  <c:v>-7.832218181818182</c:v>
                </c:pt>
                <c:pt idx="70" formatCode="General">
                  <c:v>-7.8724606060606055</c:v>
                </c:pt>
                <c:pt idx="71" formatCode="General">
                  <c:v>-7.9131090909090913</c:v>
                </c:pt>
                <c:pt idx="72" formatCode="General">
                  <c:v>-7.9538363636363636</c:v>
                </c:pt>
                <c:pt idx="73" formatCode="General">
                  <c:v>-7.9963918305597588</c:v>
                </c:pt>
                <c:pt idx="74" formatCode="General">
                  <c:v>-8.0394780635400913</c:v>
                </c:pt>
                <c:pt idx="75" formatCode="General">
                  <c:v>-8.0825642965204239</c:v>
                </c:pt>
                <c:pt idx="76" formatCode="General">
                  <c:v>-8.1256505295007564</c:v>
                </c:pt>
                <c:pt idx="77" formatCode="General">
                  <c:v>-8.1687367624810907</c:v>
                </c:pt>
                <c:pt idx="78" formatCode="General">
                  <c:v>-8.2118229954614232</c:v>
                </c:pt>
                <c:pt idx="79" formatCode="General">
                  <c:v>-8.2549092284417558</c:v>
                </c:pt>
                <c:pt idx="80" formatCode="General">
                  <c:v>-8.2979954614220883</c:v>
                </c:pt>
                <c:pt idx="81" formatCode="General">
                  <c:v>-8.3441830559757957</c:v>
                </c:pt>
                <c:pt idx="82" formatCode="General">
                  <c:v>-8.3933207261724672</c:v>
                </c:pt>
                <c:pt idx="83" formatCode="General">
                  <c:v>-8.4424583963691386</c:v>
                </c:pt>
                <c:pt idx="84" formatCode="General">
                  <c:v>-8.4915960665658101</c:v>
                </c:pt>
                <c:pt idx="85" formatCode="General">
                  <c:v>-8.5407337367624816</c:v>
                </c:pt>
                <c:pt idx="86" formatCode="General">
                  <c:v>-8.5898714069591531</c:v>
                </c:pt>
                <c:pt idx="87" formatCode="General">
                  <c:v>-8.6390090771558246</c:v>
                </c:pt>
                <c:pt idx="88" formatCode="General">
                  <c:v>-8.688146747352496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5EF-46D6-A94F-2517E60135C4}"/>
            </c:ext>
          </c:extLst>
        </c:ser>
        <c:ser>
          <c:idx val="44"/>
          <c:order val="45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EVALUATION!$B$146:$CP$146</c:f>
              <c:numCache>
                <c:formatCode>0</c:formatCode>
                <c:ptCount val="93"/>
                <c:pt idx="0">
                  <c:v>-62.393712871287136</c:v>
                </c:pt>
                <c:pt idx="1">
                  <c:v>-60.681138613861393</c:v>
                </c:pt>
                <c:pt idx="2">
                  <c:v>-58.997970297029703</c:v>
                </c:pt>
                <c:pt idx="3">
                  <c:v>-57.315049504950494</c:v>
                </c:pt>
                <c:pt idx="4" formatCode="General">
                  <c:v>-55.635841584158413</c:v>
                </c:pt>
                <c:pt idx="5" formatCode="General">
                  <c:v>-53.956633663366333</c:v>
                </c:pt>
                <c:pt idx="6" formatCode="General">
                  <c:v>-52.292326732673267</c:v>
                </c:pt>
                <c:pt idx="7" formatCode="General">
                  <c:v>-50.640841584158409</c:v>
                </c:pt>
                <c:pt idx="8" formatCode="General">
                  <c:v>-48.990396039603951</c:v>
                </c:pt>
                <c:pt idx="9" formatCode="General">
                  <c:v>-47.422079207920788</c:v>
                </c:pt>
                <c:pt idx="10" formatCode="General">
                  <c:v>-45.853762376237626</c:v>
                </c:pt>
                <c:pt idx="11" formatCode="General">
                  <c:v>-44.345297029702969</c:v>
                </c:pt>
                <c:pt idx="12" formatCode="General">
                  <c:v>-42.899752475247524</c:v>
                </c:pt>
                <c:pt idx="13" formatCode="General">
                  <c:v>-41.454207920792079</c:v>
                </c:pt>
                <c:pt idx="14" formatCode="General">
                  <c:v>-40.134455445544553</c:v>
                </c:pt>
                <c:pt idx="15" formatCode="General">
                  <c:v>-38.819603960396037</c:v>
                </c:pt>
                <c:pt idx="16" formatCode="General">
                  <c:v>-37.565396039603961</c:v>
                </c:pt>
                <c:pt idx="17" formatCode="General">
                  <c:v>-36.389158415841585</c:v>
                </c:pt>
                <c:pt idx="18" formatCode="General">
                  <c:v>-35.212920792079203</c:v>
                </c:pt>
                <c:pt idx="19" formatCode="General">
                  <c:v>-34.249739776951671</c:v>
                </c:pt>
                <c:pt idx="20" formatCode="General">
                  <c:v>-33.306988847583639</c:v>
                </c:pt>
                <c:pt idx="21" formatCode="General">
                  <c:v>-32.364237918215615</c:v>
                </c:pt>
                <c:pt idx="22" formatCode="General">
                  <c:v>-31.421486988847583</c:v>
                </c:pt>
                <c:pt idx="23" formatCode="General">
                  <c:v>-30.478736059479552</c:v>
                </c:pt>
                <c:pt idx="24" formatCode="General">
                  <c:v>-29.535985130111523</c:v>
                </c:pt>
                <c:pt idx="25" formatCode="General">
                  <c:v>-28.593234200743495</c:v>
                </c:pt>
                <c:pt idx="26" formatCode="General">
                  <c:v>-27.650483271375464</c:v>
                </c:pt>
                <c:pt idx="27" formatCode="General">
                  <c:v>-26.707732342007432</c:v>
                </c:pt>
                <c:pt idx="28" formatCode="General">
                  <c:v>-25.764981412639404</c:v>
                </c:pt>
                <c:pt idx="29" formatCode="General">
                  <c:v>-24.923663366336633</c:v>
                </c:pt>
                <c:pt idx="30" formatCode="General">
                  <c:v>-24.103861386138615</c:v>
                </c:pt>
                <c:pt idx="31" formatCode="General">
                  <c:v>-23.29594059405941</c:v>
                </c:pt>
                <c:pt idx="32" formatCode="General">
                  <c:v>-22.515742574257423</c:v>
                </c:pt>
                <c:pt idx="33" formatCode="General">
                  <c:v>-21.735544554455441</c:v>
                </c:pt>
                <c:pt idx="34" formatCode="General">
                  <c:v>-20.989108910891083</c:v>
                </c:pt>
                <c:pt idx="35" formatCode="General">
                  <c:v>-20.25247524752475</c:v>
                </c:pt>
                <c:pt idx="36" formatCode="General">
                  <c:v>-19.526732673267325</c:v>
                </c:pt>
                <c:pt idx="37" formatCode="General">
                  <c:v>-18.833663366336634</c:v>
                </c:pt>
                <c:pt idx="38" formatCode="General">
                  <c:v>-18.140594059405942</c:v>
                </c:pt>
                <c:pt idx="39" formatCode="General">
                  <c:v>-17.473366336633664</c:v>
                </c:pt>
                <c:pt idx="40" formatCode="General">
                  <c:v>-16.815940594059406</c:v>
                </c:pt>
                <c:pt idx="41" formatCode="General">
                  <c:v>-16.166435643564355</c:v>
                </c:pt>
                <c:pt idx="42" formatCode="General">
                  <c:v>-15.548613861386139</c:v>
                </c:pt>
                <c:pt idx="43" formatCode="General">
                  <c:v>-14.930792079207922</c:v>
                </c:pt>
                <c:pt idx="44" formatCode="General">
                  <c:v>-14.342376237623762</c:v>
                </c:pt>
                <c:pt idx="45" formatCode="General">
                  <c:v>-13.768118811881186</c:v>
                </c:pt>
                <c:pt idx="46" formatCode="General">
                  <c:v>-13.204554455445541</c:v>
                </c:pt>
                <c:pt idx="47" formatCode="General">
                  <c:v>-12.701584158415839</c:v>
                </c:pt>
                <c:pt idx="48" formatCode="General">
                  <c:v>-12.198613861386137</c:v>
                </c:pt>
                <c:pt idx="49" formatCode="General">
                  <c:v>-11.831313506815366</c:v>
                </c:pt>
                <c:pt idx="50" formatCode="General">
                  <c:v>-11.545415117719951</c:v>
                </c:pt>
                <c:pt idx="51" formatCode="General">
                  <c:v>-11.259516728624536</c:v>
                </c:pt>
                <c:pt idx="52" formatCode="General">
                  <c:v>-10.973618339529121</c:v>
                </c:pt>
                <c:pt idx="53" formatCode="General">
                  <c:v>-10.687719950433706</c:v>
                </c:pt>
                <c:pt idx="54" formatCode="General">
                  <c:v>-10.401821561338291</c:v>
                </c:pt>
                <c:pt idx="55" formatCode="General">
                  <c:v>-10.115923172242876</c:v>
                </c:pt>
                <c:pt idx="56" formatCode="General">
                  <c:v>-9.8300247831474614</c:v>
                </c:pt>
                <c:pt idx="57" formatCode="General">
                  <c:v>-9.5441263940520464</c:v>
                </c:pt>
                <c:pt idx="58" formatCode="General">
                  <c:v>-9.2582280049566315</c:v>
                </c:pt>
                <c:pt idx="59" formatCode="General">
                  <c:v>-9.0199900990099007</c:v>
                </c:pt>
                <c:pt idx="60" formatCode="General">
                  <c:v>-8.8227623762376233</c:v>
                </c:pt>
                <c:pt idx="61" formatCode="General">
                  <c:v>-8.6256881188118815</c:v>
                </c:pt>
                <c:pt idx="62" formatCode="General">
                  <c:v>-8.4407376237623755</c:v>
                </c:pt>
                <c:pt idx="63" formatCode="General">
                  <c:v>-8.2557871287128712</c:v>
                </c:pt>
                <c:pt idx="64" formatCode="General">
                  <c:v>-8.0762425742574262</c:v>
                </c:pt>
                <c:pt idx="65" formatCode="General">
                  <c:v>-7.9023811881188113</c:v>
                </c:pt>
                <c:pt idx="66" formatCode="General">
                  <c:v>-7.7285198019801973</c:v>
                </c:pt>
                <c:pt idx="67" formatCode="General">
                  <c:v>-7.6793069306930697</c:v>
                </c:pt>
                <c:pt idx="68" formatCode="General">
                  <c:v>-7.6349504950495053</c:v>
                </c:pt>
                <c:pt idx="69" formatCode="General">
                  <c:v>-7.6218401486988849</c:v>
                </c:pt>
                <c:pt idx="70" formatCode="General">
                  <c:v>-7.6489033457249072</c:v>
                </c:pt>
                <c:pt idx="71" formatCode="General">
                  <c:v>-7.6759665427509294</c:v>
                </c:pt>
                <c:pt idx="72" formatCode="General">
                  <c:v>-7.7030297397769516</c:v>
                </c:pt>
                <c:pt idx="73" formatCode="General">
                  <c:v>-7.7300929368029738</c:v>
                </c:pt>
                <c:pt idx="74" formatCode="General">
                  <c:v>-7.757156133828996</c:v>
                </c:pt>
                <c:pt idx="75" formatCode="General">
                  <c:v>-7.7842193308550183</c:v>
                </c:pt>
                <c:pt idx="76" formatCode="General">
                  <c:v>-7.8112825278810405</c:v>
                </c:pt>
                <c:pt idx="77" formatCode="General">
                  <c:v>-7.8383457249070627</c:v>
                </c:pt>
                <c:pt idx="78" formatCode="General">
                  <c:v>-7.8654089219330849</c:v>
                </c:pt>
                <c:pt idx="79" formatCode="General">
                  <c:v>-7.901158415841584</c:v>
                </c:pt>
                <c:pt idx="80" formatCode="General">
                  <c:v>-7.9530396039603959</c:v>
                </c:pt>
                <c:pt idx="81" formatCode="General">
                  <c:v>-8.0049207920792078</c:v>
                </c:pt>
                <c:pt idx="82" formatCode="General">
                  <c:v>-8.0345841584158411</c:v>
                </c:pt>
                <c:pt idx="83" formatCode="General">
                  <c:v>-8.0595346534653469</c:v>
                </c:pt>
                <c:pt idx="84" formatCode="General">
                  <c:v>-8.077</c:v>
                </c:pt>
                <c:pt idx="85" formatCode="General">
                  <c:v>-8.077</c:v>
                </c:pt>
                <c:pt idx="86" formatCode="General">
                  <c:v>-8.077</c:v>
                </c:pt>
                <c:pt idx="87" formatCode="General">
                  <c:v>-8.0963366336633662</c:v>
                </c:pt>
                <c:pt idx="88" formatCode="General">
                  <c:v>-8.1212871287128721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5EF-46D6-A94F-2517E60135C4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EF-46D6-A94F-2517E60135C4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-192.68327272727274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-27.003936363636363</c:v>
                      </c:pt>
                      <c:pt idx="26" formatCode="General">
                        <c:v>-26.843693939393937</c:v>
                      </c:pt>
                      <c:pt idx="27" formatCode="General">
                        <c:v>-26.683451515151514</c:v>
                      </c:pt>
                      <c:pt idx="28" formatCode="General">
                        <c:v>-26.523209090909088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-28.963266666666666</c:v>
                      </c:pt>
                      <c:pt idx="49" formatCode="General">
                        <c:v>-29.094660606060604</c:v>
                      </c:pt>
                      <c:pt idx="50" formatCode="General">
                        <c:v>-29.223084337349398</c:v>
                      </c:pt>
                      <c:pt idx="51" formatCode="General">
                        <c:v>-29.348385542168675</c:v>
                      </c:pt>
                      <c:pt idx="52" formatCode="General">
                        <c:v>-29.476199999999999</c:v>
                      </c:pt>
                      <c:pt idx="53" formatCode="General">
                        <c:v>-29.607593939393936</c:v>
                      </c:pt>
                      <c:pt idx="54" formatCode="General">
                        <c:v>-29.73712121212121</c:v>
                      </c:pt>
                      <c:pt idx="55" formatCode="General">
                        <c:v>-29.863181818181815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-48.805754545454548</c:v>
                      </c:pt>
                      <c:pt idx="26" formatCode="General">
                        <c:v>-48.766724242424246</c:v>
                      </c:pt>
                      <c:pt idx="27" formatCode="General">
                        <c:v>-48.727693939393944</c:v>
                      </c:pt>
                      <c:pt idx="28" formatCode="General">
                        <c:v>-48.688663636363636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-53.434600000000003</c:v>
                      </c:pt>
                      <c:pt idx="49" formatCode="General">
                        <c:v>-53.677509090909091</c:v>
                      </c:pt>
                      <c:pt idx="50" formatCode="General">
                        <c:v>-53.914771084337346</c:v>
                      </c:pt>
                      <c:pt idx="51" formatCode="General">
                        <c:v>-54.146096385542165</c:v>
                      </c:pt>
                      <c:pt idx="52" formatCode="General">
                        <c:v>-54.382199999999997</c:v>
                      </c:pt>
                      <c:pt idx="53" formatCode="General">
                        <c:v>-54.625109090909092</c:v>
                      </c:pt>
                      <c:pt idx="54" formatCode="General">
                        <c:v>-54.864454545454542</c:v>
                      </c:pt>
                      <c:pt idx="55" formatCode="General">
                        <c:v>-55.097181818181816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-192.68327272727274</c:v>
                      </c:pt>
                      <c:pt idx="1">
                        <c:v>-188.23721212121214</c:v>
                      </c:pt>
                      <c:pt idx="2">
                        <c:v>-183.79115151515151</c:v>
                      </c:pt>
                      <c:pt idx="3">
                        <c:v>-179.8130909090909</c:v>
                      </c:pt>
                      <c:pt idx="4" formatCode="General">
                        <c:v>-175.84703030303029</c:v>
                      </c:pt>
                      <c:pt idx="5" formatCode="General">
                        <c:v>-172.25260606060604</c:v>
                      </c:pt>
                      <c:pt idx="6" formatCode="General">
                        <c:v>-168.69381818181819</c:v>
                      </c:pt>
                      <c:pt idx="7" formatCode="General">
                        <c:v>-165.41939393939393</c:v>
                      </c:pt>
                      <c:pt idx="8" formatCode="General">
                        <c:v>-162.19515151515151</c:v>
                      </c:pt>
                      <c:pt idx="9" formatCode="General">
                        <c:v>-159.22530120481926</c:v>
                      </c:pt>
                      <c:pt idx="10" formatCode="General">
                        <c:v>-156.32409638554219</c:v>
                      </c:pt>
                      <c:pt idx="11" formatCode="General">
                        <c:v>-153.60036363636365</c:v>
                      </c:pt>
                      <c:pt idx="12" formatCode="General">
                        <c:v>-150.94824242424244</c:v>
                      </c:pt>
                      <c:pt idx="13" formatCode="General">
                        <c:v>-148.43793939393942</c:v>
                      </c:pt>
                      <c:pt idx="14" formatCode="General">
                        <c:v>-146.00400000000002</c:v>
                      </c:pt>
                      <c:pt idx="15" formatCode="General">
                        <c:v>-143.83957639939487</c:v>
                      </c:pt>
                      <c:pt idx="16" formatCode="General">
                        <c:v>-141.86438729198184</c:v>
                      </c:pt>
                      <c:pt idx="17" formatCode="General">
                        <c:v>-139.88919818456884</c:v>
                      </c:pt>
                      <c:pt idx="18" formatCode="General">
                        <c:v>-137.91400907715584</c:v>
                      </c:pt>
                      <c:pt idx="19" formatCode="General">
                        <c:v>-135.93881996974281</c:v>
                      </c:pt>
                      <c:pt idx="20" formatCode="General">
                        <c:v>-133.96363086232981</c:v>
                      </c:pt>
                      <c:pt idx="21" formatCode="General">
                        <c:v>-131.98844175491681</c:v>
                      </c:pt>
                      <c:pt idx="22" formatCode="General">
                        <c:v>-130.01325264750378</c:v>
                      </c:pt>
                      <c:pt idx="23" formatCode="General">
                        <c:v>-128.15527272727272</c:v>
                      </c:pt>
                      <c:pt idx="24" formatCode="General">
                        <c:v>-126.54072727272727</c:v>
                      </c:pt>
                      <c:pt idx="25" formatCode="General">
                        <c:v>-124.9681818181818</c:v>
                      </c:pt>
                      <c:pt idx="26" formatCode="General">
                        <c:v>-123.51363636363635</c:v>
                      </c:pt>
                      <c:pt idx="27" formatCode="General">
                        <c:v>-122.0590909090909</c:v>
                      </c:pt>
                      <c:pt idx="28" formatCode="General">
                        <c:v>-120.60454545454544</c:v>
                      </c:pt>
                      <c:pt idx="29" formatCode="General">
                        <c:v>-119.16975903614457</c:v>
                      </c:pt>
                      <c:pt idx="30" formatCode="General">
                        <c:v>-117.8589156626506</c:v>
                      </c:pt>
                      <c:pt idx="31" formatCode="General">
                        <c:v>-116.56037878787879</c:v>
                      </c:pt>
                      <c:pt idx="32" formatCode="General">
                        <c:v>-115.44643939393939</c:v>
                      </c:pt>
                      <c:pt idx="33" formatCode="General">
                        <c:v>-114.3325</c:v>
                      </c:pt>
                      <c:pt idx="34" formatCode="General">
                        <c:v>-113.21856060606061</c:v>
                      </c:pt>
                      <c:pt idx="35" formatCode="General">
                        <c:v>-112.1046212121212</c:v>
                      </c:pt>
                      <c:pt idx="36" formatCode="General">
                        <c:v>-110.99068181818181</c:v>
                      </c:pt>
                      <c:pt idx="37" formatCode="General">
                        <c:v>-109.87674242424242</c:v>
                      </c:pt>
                      <c:pt idx="38" formatCode="General">
                        <c:v>-108.76280303030303</c:v>
                      </c:pt>
                      <c:pt idx="39" formatCode="General">
                        <c:v>-107.64886363636363</c:v>
                      </c:pt>
                      <c:pt idx="40" formatCode="General">
                        <c:v>-106.72903177004538</c:v>
                      </c:pt>
                      <c:pt idx="41" formatCode="General">
                        <c:v>-105.85399394856279</c:v>
                      </c:pt>
                      <c:pt idx="42" formatCode="General">
                        <c:v>-104.97895612708018</c:v>
                      </c:pt>
                      <c:pt idx="43" formatCode="General">
                        <c:v>-104.10391830559759</c:v>
                      </c:pt>
                      <c:pt idx="44" formatCode="General">
                        <c:v>-103.22888048411498</c:v>
                      </c:pt>
                      <c:pt idx="45" formatCode="General">
                        <c:v>-102.35384266263239</c:v>
                      </c:pt>
                      <c:pt idx="46" formatCode="General">
                        <c:v>-101.47880484114978</c:v>
                      </c:pt>
                      <c:pt idx="47" formatCode="General">
                        <c:v>-100.60376701966717</c:v>
                      </c:pt>
                      <c:pt idx="48" formatCode="General">
                        <c:v>-99.791333333333341</c:v>
                      </c:pt>
                      <c:pt idx="49" formatCode="General">
                        <c:v>-99.030121212121216</c:v>
                      </c:pt>
                      <c:pt idx="50" formatCode="General">
                        <c:v>-98.28759036144578</c:v>
                      </c:pt>
                      <c:pt idx="51" formatCode="General">
                        <c:v>-97.564698795180732</c:v>
                      </c:pt>
                      <c:pt idx="52" formatCode="General">
                        <c:v>-96.862000000000009</c:v>
                      </c:pt>
                      <c:pt idx="53" formatCode="General">
                        <c:v>-96.188060606060617</c:v>
                      </c:pt>
                      <c:pt idx="54" formatCode="General">
                        <c:v>-95.522606060606066</c:v>
                      </c:pt>
                      <c:pt idx="55" formatCode="General">
                        <c:v>-94.87290909090909</c:v>
                      </c:pt>
                      <c:pt idx="56" formatCode="General">
                        <c:v>-94.345878787878789</c:v>
                      </c:pt>
                      <c:pt idx="57" formatCode="General">
                        <c:v>-94.12284848484849</c:v>
                      </c:pt>
                      <c:pt idx="58" formatCode="General">
                        <c:v>-93.929490909090916</c:v>
                      </c:pt>
                      <c:pt idx="59" formatCode="General">
                        <c:v>-93.838339393939393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-18.963267326732673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 formatCode="General">
                        <c:v>-18.96</c:v>
                      </c:pt>
                      <c:pt idx="5" formatCode="General">
                        <c:v>-18.96</c:v>
                      </c:pt>
                      <c:pt idx="6" formatCode="General">
                        <c:v>-18.962128712871287</c:v>
                      </c:pt>
                      <c:pt idx="7" formatCode="General">
                        <c:v>-18.966089108910889</c:v>
                      </c:pt>
                      <c:pt idx="8" formatCode="General">
                        <c:v>-18.970099009900988</c:v>
                      </c:pt>
                      <c:pt idx="9" formatCode="General">
                        <c:v>-18.978019801980196</c:v>
                      </c:pt>
                      <c:pt idx="10" formatCode="General">
                        <c:v>-18.985940594059404</c:v>
                      </c:pt>
                      <c:pt idx="11" formatCode="General">
                        <c:v>-18.99579207920792</c:v>
                      </c:pt>
                      <c:pt idx="12" formatCode="General">
                        <c:v>-19.00767326732673</c:v>
                      </c:pt>
                      <c:pt idx="13" formatCode="General">
                        <c:v>-19.019554455445544</c:v>
                      </c:pt>
                      <c:pt idx="14" formatCode="General">
                        <c:v>-19.031435643564357</c:v>
                      </c:pt>
                      <c:pt idx="15" formatCode="General">
                        <c:v>-19.043316831683168</c:v>
                      </c:pt>
                      <c:pt idx="16" formatCode="General">
                        <c:v>-19.055198019801981</c:v>
                      </c:pt>
                      <c:pt idx="17" formatCode="General">
                        <c:v>-19.067079207920791</c:v>
                      </c:pt>
                      <c:pt idx="18" formatCode="General">
                        <c:v>-19.078960396039601</c:v>
                      </c:pt>
                      <c:pt idx="19" formatCode="General">
                        <c:v>-19.090855018587359</c:v>
                      </c:pt>
                      <c:pt idx="20" formatCode="General">
                        <c:v>-19.102750929368028</c:v>
                      </c:pt>
                      <c:pt idx="21" formatCode="General">
                        <c:v>-19.114646840148698</c:v>
                      </c:pt>
                      <c:pt idx="22" formatCode="General">
                        <c:v>-19.126542750929367</c:v>
                      </c:pt>
                      <c:pt idx="23" formatCode="General">
                        <c:v>-19.138438661710037</c:v>
                      </c:pt>
                      <c:pt idx="24" formatCode="General">
                        <c:v>-19.150334572490706</c:v>
                      </c:pt>
                      <c:pt idx="25" formatCode="General">
                        <c:v>-19.162230483271376</c:v>
                      </c:pt>
                      <c:pt idx="26" formatCode="General">
                        <c:v>-19.174126394052045</c:v>
                      </c:pt>
                      <c:pt idx="27" formatCode="General">
                        <c:v>-19.186022304832711</c:v>
                      </c:pt>
                      <c:pt idx="28" formatCode="General">
                        <c:v>-19.197918215613381</c:v>
                      </c:pt>
                      <c:pt idx="29" formatCode="General">
                        <c:v>-19.209801980198019</c:v>
                      </c:pt>
                      <c:pt idx="30" formatCode="General">
                        <c:v>-19.221683168316833</c:v>
                      </c:pt>
                      <c:pt idx="31" formatCode="General">
                        <c:v>-19.234752475247525</c:v>
                      </c:pt>
                      <c:pt idx="32" formatCode="General">
                        <c:v>-19.250594059405941</c:v>
                      </c:pt>
                      <c:pt idx="33" formatCode="General">
                        <c:v>-19.266435643564357</c:v>
                      </c:pt>
                      <c:pt idx="34" formatCode="General">
                        <c:v>-19.282277227722773</c:v>
                      </c:pt>
                      <c:pt idx="35" formatCode="General">
                        <c:v>-19.298118811881189</c:v>
                      </c:pt>
                      <c:pt idx="36" formatCode="General">
                        <c:v>-19.314950495049505</c:v>
                      </c:pt>
                      <c:pt idx="37" formatCode="General">
                        <c:v>-19.334752475247523</c:v>
                      </c:pt>
                      <c:pt idx="38" formatCode="General">
                        <c:v>-19.354554455445545</c:v>
                      </c:pt>
                      <c:pt idx="39" formatCode="General">
                        <c:v>-19.37148514851485</c:v>
                      </c:pt>
                      <c:pt idx="40" formatCode="General">
                        <c:v>-19.387326732673266</c:v>
                      </c:pt>
                      <c:pt idx="41" formatCode="General">
                        <c:v>-19.403168316831682</c:v>
                      </c:pt>
                      <c:pt idx="42" formatCode="General">
                        <c:v>-19.419009900990098</c:v>
                      </c:pt>
                      <c:pt idx="43" formatCode="General">
                        <c:v>-19.434851485148517</c:v>
                      </c:pt>
                      <c:pt idx="44" formatCode="General">
                        <c:v>-19.448019801980198</c:v>
                      </c:pt>
                      <c:pt idx="45" formatCode="General">
                        <c:v>-19.459900990099008</c:v>
                      </c:pt>
                      <c:pt idx="46" formatCode="General">
                        <c:v>-19.47059405940594</c:v>
                      </c:pt>
                      <c:pt idx="47" formatCode="General">
                        <c:v>-19.474554455445546</c:v>
                      </c:pt>
                      <c:pt idx="48" formatCode="General">
                        <c:v>-19.478514851485148</c:v>
                      </c:pt>
                      <c:pt idx="49" formatCode="General">
                        <c:v>-19.476902106567536</c:v>
                      </c:pt>
                      <c:pt idx="50" formatCode="General">
                        <c:v>-19.47194547707559</c:v>
                      </c:pt>
                      <c:pt idx="51" formatCode="General">
                        <c:v>-19.466988847583643</c:v>
                      </c:pt>
                      <c:pt idx="52" formatCode="General">
                        <c:v>-19.462032218091696</c:v>
                      </c:pt>
                      <c:pt idx="53" formatCode="General">
                        <c:v>-19.457075588599754</c:v>
                      </c:pt>
                      <c:pt idx="54" formatCode="General">
                        <c:v>-19.452118959107807</c:v>
                      </c:pt>
                      <c:pt idx="55" formatCode="General">
                        <c:v>-19.44716232961586</c:v>
                      </c:pt>
                      <c:pt idx="56" formatCode="General">
                        <c:v>-19.442205700123914</c:v>
                      </c:pt>
                      <c:pt idx="57" formatCode="General">
                        <c:v>-19.437249070631971</c:v>
                      </c:pt>
                      <c:pt idx="58" formatCode="General">
                        <c:v>-19.432292441140024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-19.749702970297029</c:v>
                      </c:pt>
                      <c:pt idx="80" formatCode="General">
                        <c:v>-19.777425742574255</c:v>
                      </c:pt>
                      <c:pt idx="81" formatCode="General">
                        <c:v>-19.805148514851485</c:v>
                      </c:pt>
                      <c:pt idx="82" formatCode="General">
                        <c:v>-19.823069306930691</c:v>
                      </c:pt>
                      <c:pt idx="83" formatCode="General">
                        <c:v>-19.83891089108911</c:v>
                      </c:pt>
                      <c:pt idx="84" formatCode="General">
                        <c:v>-19.850000000000001</c:v>
                      </c:pt>
                      <c:pt idx="85" formatCode="General">
                        <c:v>-19.850000000000001</c:v>
                      </c:pt>
                      <c:pt idx="86" formatCode="General">
                        <c:v>-19.850000000000001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-61.625643564356437</c:v>
                      </c:pt>
                      <c:pt idx="1">
                        <c:v>-60.46108910891089</c:v>
                      </c:pt>
                      <c:pt idx="2">
                        <c:v>-59.40762376237624</c:v>
                      </c:pt>
                      <c:pt idx="3">
                        <c:v>-58.37148514851485</c:v>
                      </c:pt>
                      <c:pt idx="4" formatCode="General">
                        <c:v>-57.595247524752473</c:v>
                      </c:pt>
                      <c:pt idx="5" formatCode="General">
                        <c:v>-56.819009900990096</c:v>
                      </c:pt>
                      <c:pt idx="6" formatCode="General">
                        <c:v>-56.157722772277225</c:v>
                      </c:pt>
                      <c:pt idx="7" formatCode="General">
                        <c:v>-55.595346534653466</c:v>
                      </c:pt>
                      <c:pt idx="8" formatCode="General">
                        <c:v>-55.034900990099011</c:v>
                      </c:pt>
                      <c:pt idx="9" formatCode="General">
                        <c:v>-54.626980198019801</c:v>
                      </c:pt>
                      <c:pt idx="10" formatCode="General">
                        <c:v>-54.219059405940598</c:v>
                      </c:pt>
                      <c:pt idx="11" formatCode="General">
                        <c:v>-53.853227722772282</c:v>
                      </c:pt>
                      <c:pt idx="12" formatCode="General">
                        <c:v>-53.531643564356436</c:v>
                      </c:pt>
                      <c:pt idx="13" formatCode="General">
                        <c:v>-53.210059405940598</c:v>
                      </c:pt>
                      <c:pt idx="14" formatCode="General">
                        <c:v>-52.949465346534659</c:v>
                      </c:pt>
                      <c:pt idx="15" formatCode="General">
                        <c:v>-52.691247524752484</c:v>
                      </c:pt>
                      <c:pt idx="16" formatCode="General">
                        <c:v>-52.460232673267335</c:v>
                      </c:pt>
                      <c:pt idx="17" formatCode="General">
                        <c:v>-52.264193069306934</c:v>
                      </c:pt>
                      <c:pt idx="18" formatCode="General">
                        <c:v>-52.068153465346533</c:v>
                      </c:pt>
                      <c:pt idx="19" formatCode="General">
                        <c:v>-52.059322180916979</c:v>
                      </c:pt>
                      <c:pt idx="20" formatCode="General">
                        <c:v>-52.068442379182159</c:v>
                      </c:pt>
                      <c:pt idx="21" formatCode="General">
                        <c:v>-52.077562577447338</c:v>
                      </c:pt>
                      <c:pt idx="22" formatCode="General">
                        <c:v>-52.086682775712518</c:v>
                      </c:pt>
                      <c:pt idx="23" formatCode="General">
                        <c:v>-52.095802973977698</c:v>
                      </c:pt>
                      <c:pt idx="24" formatCode="General">
                        <c:v>-52.104923172242877</c:v>
                      </c:pt>
                      <c:pt idx="25" formatCode="General">
                        <c:v>-52.114043370508057</c:v>
                      </c:pt>
                      <c:pt idx="26" formatCode="General">
                        <c:v>-52.123163568773236</c:v>
                      </c:pt>
                      <c:pt idx="27" formatCode="General">
                        <c:v>-52.132283767038416</c:v>
                      </c:pt>
                      <c:pt idx="28" formatCode="General">
                        <c:v>-52.141403965303596</c:v>
                      </c:pt>
                      <c:pt idx="29" formatCode="General">
                        <c:v>-52.312574257425744</c:v>
                      </c:pt>
                      <c:pt idx="30" formatCode="General">
                        <c:v>-52.518118811881187</c:v>
                      </c:pt>
                      <c:pt idx="31" formatCode="General">
                        <c:v>-52.730554455445542</c:v>
                      </c:pt>
                      <c:pt idx="32" formatCode="General">
                        <c:v>-52.959069306930694</c:v>
                      </c:pt>
                      <c:pt idx="33" formatCode="General">
                        <c:v>-53.187584158415845</c:v>
                      </c:pt>
                      <c:pt idx="34" formatCode="General">
                        <c:v>-53.427762376237631</c:v>
                      </c:pt>
                      <c:pt idx="35" formatCode="General">
                        <c:v>-53.671326732673272</c:v>
                      </c:pt>
                      <c:pt idx="36" formatCode="General">
                        <c:v>-53.915782178217817</c:v>
                      </c:pt>
                      <c:pt idx="37" formatCode="General">
                        <c:v>-54.162910891089105</c:v>
                      </c:pt>
                      <c:pt idx="38" formatCode="General">
                        <c:v>-54.410039603960392</c:v>
                      </c:pt>
                      <c:pt idx="39" formatCode="General">
                        <c:v>-54.658316831683166</c:v>
                      </c:pt>
                      <c:pt idx="40" formatCode="General">
                        <c:v>-54.907029702970299</c:v>
                      </c:pt>
                      <c:pt idx="41" formatCode="General">
                        <c:v>-55.154712871287131</c:v>
                      </c:pt>
                      <c:pt idx="42" formatCode="General">
                        <c:v>-55.398277227722772</c:v>
                      </c:pt>
                      <c:pt idx="43" formatCode="General">
                        <c:v>-55.641841584158414</c:v>
                      </c:pt>
                      <c:pt idx="44" formatCode="General">
                        <c:v>-55.88647524752475</c:v>
                      </c:pt>
                      <c:pt idx="45" formatCode="General">
                        <c:v>-56.131623762376236</c:v>
                      </c:pt>
                      <c:pt idx="46" formatCode="General">
                        <c:v>-56.376534653465342</c:v>
                      </c:pt>
                      <c:pt idx="47" formatCode="General">
                        <c:v>-56.62009900990099</c:v>
                      </c:pt>
                      <c:pt idx="48" formatCode="General">
                        <c:v>-56.863663366336631</c:v>
                      </c:pt>
                      <c:pt idx="49" formatCode="General">
                        <c:v>-57.110018587360592</c:v>
                      </c:pt>
                      <c:pt idx="50" formatCode="General">
                        <c:v>-57.358048327137546</c:v>
                      </c:pt>
                      <c:pt idx="51" formatCode="General">
                        <c:v>-57.606078066914492</c:v>
                      </c:pt>
                      <c:pt idx="52" formatCode="General">
                        <c:v>-57.854107806691445</c:v>
                      </c:pt>
                      <c:pt idx="53" formatCode="General">
                        <c:v>-58.102137546468398</c:v>
                      </c:pt>
                      <c:pt idx="54" formatCode="General">
                        <c:v>-58.350167286245345</c:v>
                      </c:pt>
                      <c:pt idx="55" formatCode="General">
                        <c:v>-58.598197026022298</c:v>
                      </c:pt>
                      <c:pt idx="56" formatCode="General">
                        <c:v>-58.846226765799251</c:v>
                      </c:pt>
                      <c:pt idx="57" formatCode="General">
                        <c:v>-59.094256505576197</c:v>
                      </c:pt>
                      <c:pt idx="58" formatCode="General">
                        <c:v>-59.342286245353151</c:v>
                      </c:pt>
                      <c:pt idx="59" formatCode="General">
                        <c:v>-59.583019801980193</c:v>
                      </c:pt>
                      <c:pt idx="60" formatCode="General">
                        <c:v>-59.817475247524747</c:v>
                      </c:pt>
                      <c:pt idx="61" formatCode="General">
                        <c:v>-60.05189603960396</c:v>
                      </c:pt>
                      <c:pt idx="62" formatCode="General">
                        <c:v>-60.283579207920795</c:v>
                      </c:pt>
                      <c:pt idx="63" formatCode="General">
                        <c:v>-60.515262376237622</c:v>
                      </c:pt>
                      <c:pt idx="64" formatCode="General">
                        <c:v>-60.751193069306929</c:v>
                      </c:pt>
                      <c:pt idx="65" formatCode="General">
                        <c:v>-60.991589108910894</c:v>
                      </c:pt>
                      <c:pt idx="66" formatCode="General">
                        <c:v>-61.231985148514852</c:v>
                      </c:pt>
                      <c:pt idx="67" formatCode="General">
                        <c:v>-61.370222772277231</c:v>
                      </c:pt>
                      <c:pt idx="68" formatCode="General">
                        <c:v>-61.504480198019799</c:v>
                      </c:pt>
                      <c:pt idx="69" formatCode="General">
                        <c:v>-61.659931846344485</c:v>
                      </c:pt>
                      <c:pt idx="70" formatCode="General">
                        <c:v>-61.842633209417592</c:v>
                      </c:pt>
                      <c:pt idx="71" formatCode="General">
                        <c:v>-62.025334572490706</c:v>
                      </c:pt>
                      <c:pt idx="72" formatCode="General">
                        <c:v>-62.208035935563814</c:v>
                      </c:pt>
                      <c:pt idx="73" formatCode="General">
                        <c:v>-62.390737298636928</c:v>
                      </c:pt>
                      <c:pt idx="74" formatCode="General">
                        <c:v>-62.573438661710036</c:v>
                      </c:pt>
                      <c:pt idx="75" formatCode="General">
                        <c:v>-62.75614002478315</c:v>
                      </c:pt>
                      <c:pt idx="76" formatCode="General">
                        <c:v>-62.938841387856257</c:v>
                      </c:pt>
                      <c:pt idx="77" formatCode="General">
                        <c:v>-63.121542750929365</c:v>
                      </c:pt>
                      <c:pt idx="78" formatCode="General">
                        <c:v>-63.304244114002479</c:v>
                      </c:pt>
                      <c:pt idx="79" formatCode="General">
                        <c:v>-63.566465346534656</c:v>
                      </c:pt>
                      <c:pt idx="80" formatCode="General">
                        <c:v>-63.97636633663366</c:v>
                      </c:pt>
                      <c:pt idx="81" formatCode="General">
                        <c:v>-64.386267326732678</c:v>
                      </c:pt>
                      <c:pt idx="82" formatCode="General">
                        <c:v>-64.630841584158418</c:v>
                      </c:pt>
                      <c:pt idx="83" formatCode="General">
                        <c:v>-64.840346534653463</c:v>
                      </c:pt>
                      <c:pt idx="84" formatCode="General">
                        <c:v>-64.986999999999995</c:v>
                      </c:pt>
                      <c:pt idx="85" formatCode="General">
                        <c:v>-64.986999999999995</c:v>
                      </c:pt>
                      <c:pt idx="86" formatCode="General">
                        <c:v>-64.986999999999995</c:v>
                      </c:pt>
                      <c:pt idx="87" formatCode="General">
                        <c:v>-65.143227722772281</c:v>
                      </c:pt>
                      <c:pt idx="88" formatCode="General">
                        <c:v>-65.344811881188122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-147.3618316831683</c:v>
                      </c:pt>
                      <c:pt idx="1">
                        <c:v>-143.56544554455445</c:v>
                      </c:pt>
                      <c:pt idx="2">
                        <c:v>-139.8981188118812</c:v>
                      </c:pt>
                      <c:pt idx="3">
                        <c:v>-136.24267326732675</c:v>
                      </c:pt>
                      <c:pt idx="4" formatCode="General">
                        <c:v>-132.76544554455447</c:v>
                      </c:pt>
                      <c:pt idx="5" formatCode="General">
                        <c:v>-129.28821782178218</c:v>
                      </c:pt>
                      <c:pt idx="6" formatCode="General">
                        <c:v>-125.90891089108911</c:v>
                      </c:pt>
                      <c:pt idx="7" formatCode="General">
                        <c:v>-122.61386138613861</c:v>
                      </c:pt>
                      <c:pt idx="8" formatCode="General">
                        <c:v>-119.32173267326732</c:v>
                      </c:pt>
                      <c:pt idx="9" formatCode="General">
                        <c:v>-116.26034653465346</c:v>
                      </c:pt>
                      <c:pt idx="10" formatCode="General">
                        <c:v>-113.19896039603961</c:v>
                      </c:pt>
                      <c:pt idx="11" formatCode="General">
                        <c:v>-110.26886138613861</c:v>
                      </c:pt>
                      <c:pt idx="12" formatCode="General">
                        <c:v>-107.47678217821783</c:v>
                      </c:pt>
                      <c:pt idx="13" formatCode="General">
                        <c:v>-104.68470297029704</c:v>
                      </c:pt>
                      <c:pt idx="14" formatCode="General">
                        <c:v>-102.14420792079208</c:v>
                      </c:pt>
                      <c:pt idx="15" formatCode="General">
                        <c:v>-99.613514851485149</c:v>
                      </c:pt>
                      <c:pt idx="16" formatCode="General">
                        <c:v>-97.198910891089113</c:v>
                      </c:pt>
                      <c:pt idx="17" formatCode="General">
                        <c:v>-94.933564356435639</c:v>
                      </c:pt>
                      <c:pt idx="18" formatCode="General">
                        <c:v>-92.668217821782179</c:v>
                      </c:pt>
                      <c:pt idx="19" formatCode="General">
                        <c:v>-90.819132589838901</c:v>
                      </c:pt>
                      <c:pt idx="20" formatCode="General">
                        <c:v>-89.009962825278805</c:v>
                      </c:pt>
                      <c:pt idx="21" formatCode="General">
                        <c:v>-87.200793060718709</c:v>
                      </c:pt>
                      <c:pt idx="22" formatCode="General">
                        <c:v>-85.391623296158613</c:v>
                      </c:pt>
                      <c:pt idx="23" formatCode="General">
                        <c:v>-83.582453531598503</c:v>
                      </c:pt>
                      <c:pt idx="24" formatCode="General">
                        <c:v>-81.773283767038407</c:v>
                      </c:pt>
                      <c:pt idx="25" formatCode="General">
                        <c:v>-79.964114002478311</c:v>
                      </c:pt>
                      <c:pt idx="26" formatCode="General">
                        <c:v>-78.154944237918215</c:v>
                      </c:pt>
                      <c:pt idx="27" formatCode="General">
                        <c:v>-76.345774473358105</c:v>
                      </c:pt>
                      <c:pt idx="28" formatCode="General">
                        <c:v>-74.536604708798009</c:v>
                      </c:pt>
                      <c:pt idx="29" formatCode="General">
                        <c:v>-72.955544554455443</c:v>
                      </c:pt>
                      <c:pt idx="30" formatCode="General">
                        <c:v>-71.422871287128714</c:v>
                      </c:pt>
                      <c:pt idx="31" formatCode="General">
                        <c:v>-69.915148514851481</c:v>
                      </c:pt>
                      <c:pt idx="32" formatCode="General">
                        <c:v>-68.465643564356427</c:v>
                      </c:pt>
                      <c:pt idx="33" formatCode="General">
                        <c:v>-67.016138613861372</c:v>
                      </c:pt>
                      <c:pt idx="34" formatCode="General">
                        <c:v>-65.637227722772266</c:v>
                      </c:pt>
                      <c:pt idx="35" formatCode="General">
                        <c:v>-64.278811881188119</c:v>
                      </c:pt>
                      <c:pt idx="36" formatCode="General">
                        <c:v>-62.942178217821784</c:v>
                      </c:pt>
                      <c:pt idx="37" formatCode="General">
                        <c:v>-61.670891089108913</c:v>
                      </c:pt>
                      <c:pt idx="38" formatCode="General">
                        <c:v>-60.399603960396043</c:v>
                      </c:pt>
                      <c:pt idx="39" formatCode="General">
                        <c:v>-59.18</c:v>
                      </c:pt>
                      <c:pt idx="40" formatCode="General">
                        <c:v>-57.98</c:v>
                      </c:pt>
                      <c:pt idx="41" formatCode="General">
                        <c:v>-56.795049504950491</c:v>
                      </c:pt>
                      <c:pt idx="42" formatCode="General">
                        <c:v>-55.670297029702965</c:v>
                      </c:pt>
                      <c:pt idx="43" formatCode="General">
                        <c:v>-54.545544554455446</c:v>
                      </c:pt>
                      <c:pt idx="44" formatCode="General">
                        <c:v>-53.476930693069306</c:v>
                      </c:pt>
                      <c:pt idx="45" formatCode="General">
                        <c:v>-52.435346534653462</c:v>
                      </c:pt>
                      <c:pt idx="46" formatCode="General">
                        <c:v>-51.412772277227717</c:v>
                      </c:pt>
                      <c:pt idx="47" formatCode="General">
                        <c:v>-50.497920792079199</c:v>
                      </c:pt>
                      <c:pt idx="48" formatCode="General">
                        <c:v>-49.583069306930689</c:v>
                      </c:pt>
                      <c:pt idx="49" formatCode="General">
                        <c:v>-48.934671623296154</c:v>
                      </c:pt>
                      <c:pt idx="50" formatCode="General">
                        <c:v>-48.446146220570007</c:v>
                      </c:pt>
                      <c:pt idx="51" formatCode="General">
                        <c:v>-47.957620817843861</c:v>
                      </c:pt>
                      <c:pt idx="52" formatCode="General">
                        <c:v>-47.469095415117714</c:v>
                      </c:pt>
                      <c:pt idx="53" formatCode="General">
                        <c:v>-46.980570012391574</c:v>
                      </c:pt>
                      <c:pt idx="54" formatCode="General">
                        <c:v>-46.492044609665427</c:v>
                      </c:pt>
                      <c:pt idx="55" formatCode="General">
                        <c:v>-46.003519206939281</c:v>
                      </c:pt>
                      <c:pt idx="56" formatCode="General">
                        <c:v>-45.514993804213134</c:v>
                      </c:pt>
                      <c:pt idx="57" formatCode="General">
                        <c:v>-45.026468401486987</c:v>
                      </c:pt>
                      <c:pt idx="58" formatCode="General">
                        <c:v>-44.53794299876084</c:v>
                      </c:pt>
                      <c:pt idx="59" formatCode="General">
                        <c:v>-44.155326732673267</c:v>
                      </c:pt>
                      <c:pt idx="60" formatCode="General">
                        <c:v>-43.863841584158415</c:v>
                      </c:pt>
                      <c:pt idx="61" formatCode="General">
                        <c:v>-43.572663366336634</c:v>
                      </c:pt>
                      <c:pt idx="62" formatCode="General">
                        <c:v>-43.305732673267329</c:v>
                      </c:pt>
                      <c:pt idx="63" formatCode="General">
                        <c:v>-43.038801980198024</c:v>
                      </c:pt>
                      <c:pt idx="64" formatCode="General">
                        <c:v>-42.784613861386141</c:v>
                      </c:pt>
                      <c:pt idx="65" formatCode="General">
                        <c:v>-42.54382178217822</c:v>
                      </c:pt>
                      <c:pt idx="66" formatCode="General">
                        <c:v>-42.303029702970299</c:v>
                      </c:pt>
                      <c:pt idx="67" formatCode="General">
                        <c:v>-42.261980198019806</c:v>
                      </c:pt>
                      <c:pt idx="68" formatCode="General">
                        <c:v>-42.228712871287129</c:v>
                      </c:pt>
                      <c:pt idx="69" formatCode="General">
                        <c:v>-42.269677819083022</c:v>
                      </c:pt>
                      <c:pt idx="70" formatCode="General">
                        <c:v>-42.406084262701363</c:v>
                      </c:pt>
                      <c:pt idx="71" formatCode="General">
                        <c:v>-42.542490706319704</c:v>
                      </c:pt>
                      <c:pt idx="72" formatCode="General">
                        <c:v>-42.678897149938045</c:v>
                      </c:pt>
                      <c:pt idx="73" formatCode="General">
                        <c:v>-42.815303593556379</c:v>
                      </c:pt>
                      <c:pt idx="74" formatCode="General">
                        <c:v>-42.95171003717472</c:v>
                      </c:pt>
                      <c:pt idx="75" formatCode="General">
                        <c:v>-43.088116480793062</c:v>
                      </c:pt>
                      <c:pt idx="76" formatCode="General">
                        <c:v>-43.224522924411396</c:v>
                      </c:pt>
                      <c:pt idx="77" formatCode="General">
                        <c:v>-43.360929368029737</c:v>
                      </c:pt>
                      <c:pt idx="78" formatCode="General">
                        <c:v>-43.497335811648078</c:v>
                      </c:pt>
                      <c:pt idx="79" formatCode="General">
                        <c:v>-43.687465346534651</c:v>
                      </c:pt>
                      <c:pt idx="80" formatCode="General">
                        <c:v>-43.977366336633658</c:v>
                      </c:pt>
                      <c:pt idx="81" formatCode="General">
                        <c:v>-44.267267326732672</c:v>
                      </c:pt>
                      <c:pt idx="82" formatCode="General">
                        <c:v>-44.437584158415838</c:v>
                      </c:pt>
                      <c:pt idx="83" formatCode="General">
                        <c:v>-44.582534653465345</c:v>
                      </c:pt>
                      <c:pt idx="84" formatCode="General">
                        <c:v>-44.683999999999997</c:v>
                      </c:pt>
                      <c:pt idx="85" formatCode="General">
                        <c:v>-44.683999999999997</c:v>
                      </c:pt>
                      <c:pt idx="86" formatCode="General">
                        <c:v>-44.683999999999997</c:v>
                      </c:pt>
                      <c:pt idx="87" formatCode="General">
                        <c:v>-44.793267326732675</c:v>
                      </c:pt>
                      <c:pt idx="88" formatCode="General">
                        <c:v>-44.93425742574258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"/>
          <c:order val="5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-22.391999999999999</c:v>
                </c:pt>
                <c:pt idx="1">
                  <c:v>-21.911999999999999</c:v>
                </c:pt>
                <c:pt idx="2">
                  <c:v>-21.432000000000002</c:v>
                </c:pt>
                <c:pt idx="3">
                  <c:v>-21.004000000000001</c:v>
                </c:pt>
                <c:pt idx="4" formatCode="General">
                  <c:v>-20.577333333333332</c:v>
                </c:pt>
                <c:pt idx="5" formatCode="General">
                  <c:v>-20.194909090909089</c:v>
                </c:pt>
                <c:pt idx="6" formatCode="General">
                  <c:v>-19.816727272727274</c:v>
                </c:pt>
                <c:pt idx="7" formatCode="General">
                  <c:v>-19.772363636363636</c:v>
                </c:pt>
                <c:pt idx="8" formatCode="General">
                  <c:v>-19.786909090909091</c:v>
                </c:pt>
                <c:pt idx="9" formatCode="General">
                  <c:v>-19.881084337349396</c:v>
                </c:pt>
                <c:pt idx="10" formatCode="General">
                  <c:v>-19.996746987951809</c:v>
                </c:pt>
                <c:pt idx="11" formatCode="General">
                  <c:v>-20.116363636363637</c:v>
                </c:pt>
                <c:pt idx="12" formatCode="General">
                  <c:v>-20.237575757575758</c:v>
                </c:pt>
                <c:pt idx="13" formatCode="General">
                  <c:v>-20.355636363636364</c:v>
                </c:pt>
                <c:pt idx="14" formatCode="General">
                  <c:v>-20.472000000000001</c:v>
                </c:pt>
                <c:pt idx="15" formatCode="General">
                  <c:v>-20.591104387291981</c:v>
                </c:pt>
                <c:pt idx="16" formatCode="General">
                  <c:v>-20.71213313161876</c:v>
                </c:pt>
                <c:pt idx="17" formatCode="General">
                  <c:v>-20.833161875945535</c:v>
                </c:pt>
                <c:pt idx="18" formatCode="General">
                  <c:v>-20.954190620272314</c:v>
                </c:pt>
                <c:pt idx="19" formatCode="General">
                  <c:v>-21.075219364599093</c:v>
                </c:pt>
                <c:pt idx="20" formatCode="General">
                  <c:v>-21.196248108925868</c:v>
                </c:pt>
                <c:pt idx="21" formatCode="General">
                  <c:v>-21.317276853252647</c:v>
                </c:pt>
                <c:pt idx="22" formatCode="General">
                  <c:v>-21.438305597579426</c:v>
                </c:pt>
                <c:pt idx="23" formatCode="General">
                  <c:v>-21.559393939393939</c:v>
                </c:pt>
                <c:pt idx="24" formatCode="General">
                  <c:v>-21.68060606060606</c:v>
                </c:pt>
                <c:pt idx="25" formatCode="General">
                  <c:v>-21.801818181818181</c:v>
                </c:pt>
                <c:pt idx="26" formatCode="General">
                  <c:v>-21.923030303030302</c:v>
                </c:pt>
                <c:pt idx="27" formatCode="General">
                  <c:v>-22.044242424242423</c:v>
                </c:pt>
                <c:pt idx="28" formatCode="General">
                  <c:v>-22.165454545454544</c:v>
                </c:pt>
                <c:pt idx="29" formatCode="General">
                  <c:v>-22.28590361445783</c:v>
                </c:pt>
                <c:pt idx="30" formatCode="General">
                  <c:v>-22.401566265060243</c:v>
                </c:pt>
                <c:pt idx="31" formatCode="General">
                  <c:v>-22.517348484848487</c:v>
                </c:pt>
                <c:pt idx="32" formatCode="General">
                  <c:v>-22.634924242424244</c:v>
                </c:pt>
                <c:pt idx="33" formatCode="General">
                  <c:v>-22.752500000000001</c:v>
                </c:pt>
                <c:pt idx="34" formatCode="General">
                  <c:v>-22.870075757575759</c:v>
                </c:pt>
                <c:pt idx="35" formatCode="General">
                  <c:v>-22.987651515151516</c:v>
                </c:pt>
                <c:pt idx="36" formatCode="General">
                  <c:v>-23.105227272727273</c:v>
                </c:pt>
                <c:pt idx="37" formatCode="General">
                  <c:v>-23.22280303030303</c:v>
                </c:pt>
                <c:pt idx="38" formatCode="General">
                  <c:v>-23.340378787878787</c:v>
                </c:pt>
                <c:pt idx="39" formatCode="General">
                  <c:v>-23.457954545454545</c:v>
                </c:pt>
                <c:pt idx="40" formatCode="General">
                  <c:v>-23.57145234493192</c:v>
                </c:pt>
                <c:pt idx="41" formatCode="General">
                  <c:v>-23.684009077155824</c:v>
                </c:pt>
                <c:pt idx="42" formatCode="General">
                  <c:v>-23.796565809379729</c:v>
                </c:pt>
                <c:pt idx="43" formatCode="General">
                  <c:v>-23.909122541603629</c:v>
                </c:pt>
                <c:pt idx="44" formatCode="General">
                  <c:v>-24.021679273827534</c:v>
                </c:pt>
                <c:pt idx="45" formatCode="General">
                  <c:v>-24.134236006051438</c:v>
                </c:pt>
                <c:pt idx="46" formatCode="General">
                  <c:v>-24.246792738275339</c:v>
                </c:pt>
                <c:pt idx="47" formatCode="General">
                  <c:v>-24.359349470499243</c:v>
                </c:pt>
                <c:pt idx="48" formatCode="General">
                  <c:v>-24.471333333333334</c:v>
                </c:pt>
                <c:pt idx="49" formatCode="General">
                  <c:v>-24.582848484848483</c:v>
                </c:pt>
                <c:pt idx="50" formatCode="General">
                  <c:v>-24.691686746987951</c:v>
                </c:pt>
                <c:pt idx="51" formatCode="General">
                  <c:v>-24.797710843373494</c:v>
                </c:pt>
                <c:pt idx="52" formatCode="General">
                  <c:v>-24.905999999999999</c:v>
                </c:pt>
                <c:pt idx="53" formatCode="General">
                  <c:v>-25.017515151515152</c:v>
                </c:pt>
                <c:pt idx="54" formatCode="General">
                  <c:v>-25.127333333333333</c:v>
                </c:pt>
                <c:pt idx="55" formatCode="General">
                  <c:v>-25.233999999999998</c:v>
                </c:pt>
                <c:pt idx="56" formatCode="General">
                  <c:v>-25.340666666666664</c:v>
                </c:pt>
                <c:pt idx="57" formatCode="General">
                  <c:v>-25.447333333333333</c:v>
                </c:pt>
                <c:pt idx="58" formatCode="General">
                  <c:v>-25.554000000000002</c:v>
                </c:pt>
                <c:pt idx="59" formatCode="General">
                  <c:v>-25.660666666666668</c:v>
                </c:pt>
                <c:pt idx="60" formatCode="General">
                  <c:v>-25.766545454545454</c:v>
                </c:pt>
                <c:pt idx="61" formatCode="General">
                  <c:v>-25.868363636363636</c:v>
                </c:pt>
                <c:pt idx="62" formatCode="General">
                  <c:v>-25.970602409638555</c:v>
                </c:pt>
                <c:pt idx="63" formatCode="General">
                  <c:v>-26.076626506024098</c:v>
                </c:pt>
                <c:pt idx="64" formatCode="General">
                  <c:v>-26.182545454545455</c:v>
                </c:pt>
                <c:pt idx="65" formatCode="General">
                  <c:v>-26.284363636363636</c:v>
                </c:pt>
                <c:pt idx="66" formatCode="General">
                  <c:v>-26.386181818181818</c:v>
                </c:pt>
                <c:pt idx="67" formatCode="General">
                  <c:v>-26.488000000000003</c:v>
                </c:pt>
                <c:pt idx="68" formatCode="General">
                  <c:v>-26.589818181818185</c:v>
                </c:pt>
                <c:pt idx="69" formatCode="General">
                  <c:v>-26.691636363636363</c:v>
                </c:pt>
                <c:pt idx="70" formatCode="General">
                  <c:v>-26.793454545454544</c:v>
                </c:pt>
                <c:pt idx="71" formatCode="General">
                  <c:v>-26.895272727272726</c:v>
                </c:pt>
                <c:pt idx="72" formatCode="General">
                  <c:v>-26.997090909090907</c:v>
                </c:pt>
                <c:pt idx="73" formatCode="General">
                  <c:v>-27.095975794251135</c:v>
                </c:pt>
                <c:pt idx="74" formatCode="General">
                  <c:v>-27.194009077155826</c:v>
                </c:pt>
                <c:pt idx="75" formatCode="General">
                  <c:v>-27.292042360060513</c:v>
                </c:pt>
                <c:pt idx="76" formatCode="General">
                  <c:v>-27.390075642965204</c:v>
                </c:pt>
                <c:pt idx="77" formatCode="General">
                  <c:v>-27.488108925869895</c:v>
                </c:pt>
                <c:pt idx="78" formatCode="General">
                  <c:v>-27.586142208774582</c:v>
                </c:pt>
                <c:pt idx="79" formatCode="General">
                  <c:v>-27.684175491679273</c:v>
                </c:pt>
                <c:pt idx="80" formatCode="General">
                  <c:v>-27.782208774583964</c:v>
                </c:pt>
                <c:pt idx="81" formatCode="General">
                  <c:v>-27.879001512859304</c:v>
                </c:pt>
                <c:pt idx="82" formatCode="General">
                  <c:v>-27.974614220877456</c:v>
                </c:pt>
                <c:pt idx="83" formatCode="General">
                  <c:v>-28.070226928895611</c:v>
                </c:pt>
                <c:pt idx="84" formatCode="General">
                  <c:v>-28.165839636913766</c:v>
                </c:pt>
                <c:pt idx="85" formatCode="General">
                  <c:v>-28.261452344931921</c:v>
                </c:pt>
                <c:pt idx="86" formatCode="General">
                  <c:v>-28.357065052950077</c:v>
                </c:pt>
                <c:pt idx="87" formatCode="General">
                  <c:v>-28.452677760968232</c:v>
                </c:pt>
                <c:pt idx="88" formatCode="General">
                  <c:v>-28.548290468986384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2F-4A2F-976F-7C3C2CD148C5}"/>
            </c:ext>
          </c:extLst>
        </c:ser>
        <c:ser>
          <c:idx val="45"/>
          <c:order val="46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EVALUATION!$B$147:$CP$147</c:f>
              <c:numCache>
                <c:formatCode>0</c:formatCode>
                <c:ptCount val="93"/>
                <c:pt idx="0">
                  <c:v>-22.574405940594058</c:v>
                </c:pt>
                <c:pt idx="1">
                  <c:v>-22.203168316831682</c:v>
                </c:pt>
                <c:pt idx="2">
                  <c:v>-21.902178217821781</c:v>
                </c:pt>
                <c:pt idx="3">
                  <c:v>-21.612574257425745</c:v>
                </c:pt>
                <c:pt idx="4" formatCode="General">
                  <c:v>-21.493762376237623</c:v>
                </c:pt>
                <c:pt idx="5" formatCode="General">
                  <c:v>-21.374950495049504</c:v>
                </c:pt>
                <c:pt idx="6" formatCode="General">
                  <c:v>-21.324257425742573</c:v>
                </c:pt>
                <c:pt idx="7" formatCode="General">
                  <c:v>-21.332178217821781</c:v>
                </c:pt>
                <c:pt idx="8" formatCode="General">
                  <c:v>-21.340940594059408</c:v>
                </c:pt>
                <c:pt idx="9" formatCode="General">
                  <c:v>-21.416188118811881</c:v>
                </c:pt>
                <c:pt idx="10" formatCode="General">
                  <c:v>-21.491435643564358</c:v>
                </c:pt>
                <c:pt idx="11" formatCode="General">
                  <c:v>-21.578267326732675</c:v>
                </c:pt>
                <c:pt idx="12" formatCode="General">
                  <c:v>-21.677277227722772</c:v>
                </c:pt>
                <c:pt idx="13" formatCode="General">
                  <c:v>-21.776287128712873</c:v>
                </c:pt>
                <c:pt idx="14" formatCode="General">
                  <c:v>-21.875297029702971</c:v>
                </c:pt>
                <c:pt idx="15" formatCode="General">
                  <c:v>-21.974306930693071</c:v>
                </c:pt>
                <c:pt idx="16" formatCode="General">
                  <c:v>-22.068118811881188</c:v>
                </c:pt>
                <c:pt idx="17" formatCode="General">
                  <c:v>-22.155247524752475</c:v>
                </c:pt>
                <c:pt idx="18" formatCode="General">
                  <c:v>-22.242376237623763</c:v>
                </c:pt>
                <c:pt idx="19" formatCode="General">
                  <c:v>-22.319653035935563</c:v>
                </c:pt>
                <c:pt idx="20" formatCode="General">
                  <c:v>-22.395985130111523</c:v>
                </c:pt>
                <c:pt idx="21" formatCode="General">
                  <c:v>-22.472317224287483</c:v>
                </c:pt>
                <c:pt idx="22" formatCode="General">
                  <c:v>-22.548649318463443</c:v>
                </c:pt>
                <c:pt idx="23" formatCode="General">
                  <c:v>-22.624981412639404</c:v>
                </c:pt>
                <c:pt idx="24" formatCode="General">
                  <c:v>-22.701313506815364</c:v>
                </c:pt>
                <c:pt idx="25" formatCode="General">
                  <c:v>-22.777645600991328</c:v>
                </c:pt>
                <c:pt idx="26" formatCode="General">
                  <c:v>-22.853977695167288</c:v>
                </c:pt>
                <c:pt idx="27" formatCode="General">
                  <c:v>-22.930309789343248</c:v>
                </c:pt>
                <c:pt idx="28" formatCode="General">
                  <c:v>-23.006641883519208</c:v>
                </c:pt>
                <c:pt idx="29" formatCode="General">
                  <c:v>-23.108217821782176</c:v>
                </c:pt>
                <c:pt idx="30" formatCode="General">
                  <c:v>-23.215148514851485</c:v>
                </c:pt>
                <c:pt idx="31" formatCode="General">
                  <c:v>-23.323267326732672</c:v>
                </c:pt>
                <c:pt idx="32" formatCode="General">
                  <c:v>-23.434158415841583</c:v>
                </c:pt>
                <c:pt idx="33" formatCode="General">
                  <c:v>-23.545049504950494</c:v>
                </c:pt>
                <c:pt idx="34" formatCode="General">
                  <c:v>-23.6590099009901</c:v>
                </c:pt>
                <c:pt idx="35" formatCode="General">
                  <c:v>-23.773861386138613</c:v>
                </c:pt>
                <c:pt idx="36" formatCode="General">
                  <c:v>-23.88871287128713</c:v>
                </c:pt>
                <c:pt idx="37" formatCode="General">
                  <c:v>-24.003564356435643</c:v>
                </c:pt>
                <c:pt idx="38" formatCode="General">
                  <c:v>-24.118415841584156</c:v>
                </c:pt>
                <c:pt idx="39" formatCode="General">
                  <c:v>-24.233267326732673</c:v>
                </c:pt>
                <c:pt idx="40" formatCode="General">
                  <c:v>-24.348118811881189</c:v>
                </c:pt>
                <c:pt idx="41" formatCode="General">
                  <c:v>-24.462178217821783</c:v>
                </c:pt>
                <c:pt idx="42" formatCode="General">
                  <c:v>-24.573069306930694</c:v>
                </c:pt>
                <c:pt idx="43" formatCode="General">
                  <c:v>-24.683960396039602</c:v>
                </c:pt>
                <c:pt idx="44" formatCode="General">
                  <c:v>-24.792178217821782</c:v>
                </c:pt>
                <c:pt idx="45" formatCode="General">
                  <c:v>-24.899108910891087</c:v>
                </c:pt>
                <c:pt idx="46" formatCode="General">
                  <c:v>-25.003663366336632</c:v>
                </c:pt>
                <c:pt idx="47" formatCode="General">
                  <c:v>-25.094752475247525</c:v>
                </c:pt>
                <c:pt idx="48" formatCode="General">
                  <c:v>-25.185841584158414</c:v>
                </c:pt>
                <c:pt idx="49" formatCode="General">
                  <c:v>-25.272044609665425</c:v>
                </c:pt>
                <c:pt idx="50" formatCode="General">
                  <c:v>-25.355315985130112</c:v>
                </c:pt>
                <c:pt idx="51" formatCode="General">
                  <c:v>-25.438587360594795</c:v>
                </c:pt>
                <c:pt idx="52" formatCode="General">
                  <c:v>-25.521858736059478</c:v>
                </c:pt>
                <c:pt idx="53" formatCode="General">
                  <c:v>-25.605130111524161</c:v>
                </c:pt>
                <c:pt idx="54" formatCode="General">
                  <c:v>-25.688401486988845</c:v>
                </c:pt>
                <c:pt idx="55" formatCode="General">
                  <c:v>-25.771672862453531</c:v>
                </c:pt>
                <c:pt idx="56" formatCode="General">
                  <c:v>-25.854944237918215</c:v>
                </c:pt>
                <c:pt idx="57" formatCode="General">
                  <c:v>-25.938215613382898</c:v>
                </c:pt>
                <c:pt idx="58" formatCode="General">
                  <c:v>-26.021486988847581</c:v>
                </c:pt>
                <c:pt idx="59" formatCode="General">
                  <c:v>-26.115346534653465</c:v>
                </c:pt>
                <c:pt idx="60" formatCode="General">
                  <c:v>-26.218316831683168</c:v>
                </c:pt>
                <c:pt idx="61" formatCode="General">
                  <c:v>-26.321287128712871</c:v>
                </c:pt>
                <c:pt idx="62" formatCode="General">
                  <c:v>-26.424257425742574</c:v>
                </c:pt>
                <c:pt idx="63" formatCode="General">
                  <c:v>-26.527227722772277</c:v>
                </c:pt>
                <c:pt idx="64" formatCode="General">
                  <c:v>-26.632128712871285</c:v>
                </c:pt>
                <c:pt idx="65" formatCode="General">
                  <c:v>-26.739059405940594</c:v>
                </c:pt>
                <c:pt idx="66" formatCode="General">
                  <c:v>-26.845990099009903</c:v>
                </c:pt>
                <c:pt idx="67" formatCode="General">
                  <c:v>-26.903366336633663</c:v>
                </c:pt>
                <c:pt idx="68" formatCode="General">
                  <c:v>-26.958811881188119</c:v>
                </c:pt>
                <c:pt idx="69" formatCode="General">
                  <c:v>-27.025997521685252</c:v>
                </c:pt>
                <c:pt idx="70" formatCode="General">
                  <c:v>-27.108277571251548</c:v>
                </c:pt>
                <c:pt idx="71" formatCode="General">
                  <c:v>-27.190557620817842</c:v>
                </c:pt>
                <c:pt idx="72" formatCode="General">
                  <c:v>-27.272837670384138</c:v>
                </c:pt>
                <c:pt idx="73" formatCode="General">
                  <c:v>-27.355117719950432</c:v>
                </c:pt>
                <c:pt idx="74" formatCode="General">
                  <c:v>-27.437397769516728</c:v>
                </c:pt>
                <c:pt idx="75" formatCode="General">
                  <c:v>-27.519677819083022</c:v>
                </c:pt>
                <c:pt idx="76" formatCode="General">
                  <c:v>-27.601957868649318</c:v>
                </c:pt>
                <c:pt idx="77" formatCode="General">
                  <c:v>-27.684237918215612</c:v>
                </c:pt>
                <c:pt idx="78" formatCode="General">
                  <c:v>-27.766517967781908</c:v>
                </c:pt>
                <c:pt idx="79" formatCode="General">
                  <c:v>-27.885148514851483</c:v>
                </c:pt>
                <c:pt idx="80" formatCode="General">
                  <c:v>-28.071287128712871</c:v>
                </c:pt>
                <c:pt idx="81" formatCode="General">
                  <c:v>-28.257425742574256</c:v>
                </c:pt>
                <c:pt idx="82" formatCode="General">
                  <c:v>-28.368415841584159</c:v>
                </c:pt>
                <c:pt idx="83" formatCode="General">
                  <c:v>-28.463465346534655</c:v>
                </c:pt>
                <c:pt idx="84" formatCode="General">
                  <c:v>-28.53</c:v>
                </c:pt>
                <c:pt idx="85" formatCode="General">
                  <c:v>-28.53</c:v>
                </c:pt>
                <c:pt idx="86" formatCode="General">
                  <c:v>-28.53</c:v>
                </c:pt>
                <c:pt idx="87" formatCode="General">
                  <c:v>-28.600594059405942</c:v>
                </c:pt>
                <c:pt idx="88" formatCode="General">
                  <c:v>-28.691683168316832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022F-4A2F-976F-7C3C2CD148C5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22F-4A2F-976F-7C3C2CD148C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-192.68327272727274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2F-4A2F-976F-7C3C2C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2F-4A2F-976F-7C3C2CD148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-27.003936363636363</c:v>
                      </c:pt>
                      <c:pt idx="26" formatCode="General">
                        <c:v>-26.843693939393937</c:v>
                      </c:pt>
                      <c:pt idx="27" formatCode="General">
                        <c:v>-26.683451515151514</c:v>
                      </c:pt>
                      <c:pt idx="28" formatCode="General">
                        <c:v>-26.523209090909088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-28.963266666666666</c:v>
                      </c:pt>
                      <c:pt idx="49" formatCode="General">
                        <c:v>-29.094660606060604</c:v>
                      </c:pt>
                      <c:pt idx="50" formatCode="General">
                        <c:v>-29.223084337349398</c:v>
                      </c:pt>
                      <c:pt idx="51" formatCode="General">
                        <c:v>-29.348385542168675</c:v>
                      </c:pt>
                      <c:pt idx="52" formatCode="General">
                        <c:v>-29.476199999999999</c:v>
                      </c:pt>
                      <c:pt idx="53" formatCode="General">
                        <c:v>-29.607593939393936</c:v>
                      </c:pt>
                      <c:pt idx="54" formatCode="General">
                        <c:v>-29.73712121212121</c:v>
                      </c:pt>
                      <c:pt idx="55" formatCode="General">
                        <c:v>-29.863181818181815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2F-4A2F-976F-7C3C2CD148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022F-4A2F-976F-7C3C2CD148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22F-4A2F-976F-7C3C2CD148C5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22F-4A2F-976F-7C3C2CD148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22F-4A2F-976F-7C3C2CD148C5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-48.805754545454548</c:v>
                      </c:pt>
                      <c:pt idx="26" formatCode="General">
                        <c:v>-48.766724242424246</c:v>
                      </c:pt>
                      <c:pt idx="27" formatCode="General">
                        <c:v>-48.727693939393944</c:v>
                      </c:pt>
                      <c:pt idx="28" formatCode="General">
                        <c:v>-48.688663636363636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-53.434600000000003</c:v>
                      </c:pt>
                      <c:pt idx="49" formatCode="General">
                        <c:v>-53.677509090909091</c:v>
                      </c:pt>
                      <c:pt idx="50" formatCode="General">
                        <c:v>-53.914771084337346</c:v>
                      </c:pt>
                      <c:pt idx="51" formatCode="General">
                        <c:v>-54.146096385542165</c:v>
                      </c:pt>
                      <c:pt idx="52" formatCode="General">
                        <c:v>-54.382199999999997</c:v>
                      </c:pt>
                      <c:pt idx="53" formatCode="General">
                        <c:v>-54.625109090909092</c:v>
                      </c:pt>
                      <c:pt idx="54" formatCode="General">
                        <c:v>-54.864454545454542</c:v>
                      </c:pt>
                      <c:pt idx="55" formatCode="General">
                        <c:v>-55.097181818181816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22F-4A2F-976F-7C3C2CD148C5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-192.68327272727274</c:v>
                      </c:pt>
                      <c:pt idx="1">
                        <c:v>-188.23721212121214</c:v>
                      </c:pt>
                      <c:pt idx="2">
                        <c:v>-183.79115151515151</c:v>
                      </c:pt>
                      <c:pt idx="3">
                        <c:v>-179.8130909090909</c:v>
                      </c:pt>
                      <c:pt idx="4" formatCode="General">
                        <c:v>-175.84703030303029</c:v>
                      </c:pt>
                      <c:pt idx="5" formatCode="General">
                        <c:v>-172.25260606060604</c:v>
                      </c:pt>
                      <c:pt idx="6" formatCode="General">
                        <c:v>-168.69381818181819</c:v>
                      </c:pt>
                      <c:pt idx="7" formatCode="General">
                        <c:v>-165.41939393939393</c:v>
                      </c:pt>
                      <c:pt idx="8" formatCode="General">
                        <c:v>-162.19515151515151</c:v>
                      </c:pt>
                      <c:pt idx="9" formatCode="General">
                        <c:v>-159.22530120481926</c:v>
                      </c:pt>
                      <c:pt idx="10" formatCode="General">
                        <c:v>-156.32409638554219</c:v>
                      </c:pt>
                      <c:pt idx="11" formatCode="General">
                        <c:v>-153.60036363636365</c:v>
                      </c:pt>
                      <c:pt idx="12" formatCode="General">
                        <c:v>-150.94824242424244</c:v>
                      </c:pt>
                      <c:pt idx="13" formatCode="General">
                        <c:v>-148.43793939393942</c:v>
                      </c:pt>
                      <c:pt idx="14" formatCode="General">
                        <c:v>-146.00400000000002</c:v>
                      </c:pt>
                      <c:pt idx="15" formatCode="General">
                        <c:v>-143.83957639939487</c:v>
                      </c:pt>
                      <c:pt idx="16" formatCode="General">
                        <c:v>-141.86438729198184</c:v>
                      </c:pt>
                      <c:pt idx="17" formatCode="General">
                        <c:v>-139.88919818456884</c:v>
                      </c:pt>
                      <c:pt idx="18" formatCode="General">
                        <c:v>-137.91400907715584</c:v>
                      </c:pt>
                      <c:pt idx="19" formatCode="General">
                        <c:v>-135.93881996974281</c:v>
                      </c:pt>
                      <c:pt idx="20" formatCode="General">
                        <c:v>-133.96363086232981</c:v>
                      </c:pt>
                      <c:pt idx="21" formatCode="General">
                        <c:v>-131.98844175491681</c:v>
                      </c:pt>
                      <c:pt idx="22" formatCode="General">
                        <c:v>-130.01325264750378</c:v>
                      </c:pt>
                      <c:pt idx="23" formatCode="General">
                        <c:v>-128.15527272727272</c:v>
                      </c:pt>
                      <c:pt idx="24" formatCode="General">
                        <c:v>-126.54072727272727</c:v>
                      </c:pt>
                      <c:pt idx="25" formatCode="General">
                        <c:v>-124.9681818181818</c:v>
                      </c:pt>
                      <c:pt idx="26" formatCode="General">
                        <c:v>-123.51363636363635</c:v>
                      </c:pt>
                      <c:pt idx="27" formatCode="General">
                        <c:v>-122.0590909090909</c:v>
                      </c:pt>
                      <c:pt idx="28" formatCode="General">
                        <c:v>-120.60454545454544</c:v>
                      </c:pt>
                      <c:pt idx="29" formatCode="General">
                        <c:v>-119.16975903614457</c:v>
                      </c:pt>
                      <c:pt idx="30" formatCode="General">
                        <c:v>-117.8589156626506</c:v>
                      </c:pt>
                      <c:pt idx="31" formatCode="General">
                        <c:v>-116.56037878787879</c:v>
                      </c:pt>
                      <c:pt idx="32" formatCode="General">
                        <c:v>-115.44643939393939</c:v>
                      </c:pt>
                      <c:pt idx="33" formatCode="General">
                        <c:v>-114.3325</c:v>
                      </c:pt>
                      <c:pt idx="34" formatCode="General">
                        <c:v>-113.21856060606061</c:v>
                      </c:pt>
                      <c:pt idx="35" formatCode="General">
                        <c:v>-112.1046212121212</c:v>
                      </c:pt>
                      <c:pt idx="36" formatCode="General">
                        <c:v>-110.99068181818181</c:v>
                      </c:pt>
                      <c:pt idx="37" formatCode="General">
                        <c:v>-109.87674242424242</c:v>
                      </c:pt>
                      <c:pt idx="38" formatCode="General">
                        <c:v>-108.76280303030303</c:v>
                      </c:pt>
                      <c:pt idx="39" formatCode="General">
                        <c:v>-107.64886363636363</c:v>
                      </c:pt>
                      <c:pt idx="40" formatCode="General">
                        <c:v>-106.72903177004538</c:v>
                      </c:pt>
                      <c:pt idx="41" formatCode="General">
                        <c:v>-105.85399394856279</c:v>
                      </c:pt>
                      <c:pt idx="42" formatCode="General">
                        <c:v>-104.97895612708018</c:v>
                      </c:pt>
                      <c:pt idx="43" formatCode="General">
                        <c:v>-104.10391830559759</c:v>
                      </c:pt>
                      <c:pt idx="44" formatCode="General">
                        <c:v>-103.22888048411498</c:v>
                      </c:pt>
                      <c:pt idx="45" formatCode="General">
                        <c:v>-102.35384266263239</c:v>
                      </c:pt>
                      <c:pt idx="46" formatCode="General">
                        <c:v>-101.47880484114978</c:v>
                      </c:pt>
                      <c:pt idx="47" formatCode="General">
                        <c:v>-100.60376701966717</c:v>
                      </c:pt>
                      <c:pt idx="48" formatCode="General">
                        <c:v>-99.791333333333341</c:v>
                      </c:pt>
                      <c:pt idx="49" formatCode="General">
                        <c:v>-99.030121212121216</c:v>
                      </c:pt>
                      <c:pt idx="50" formatCode="General">
                        <c:v>-98.28759036144578</c:v>
                      </c:pt>
                      <c:pt idx="51" formatCode="General">
                        <c:v>-97.564698795180732</c:v>
                      </c:pt>
                      <c:pt idx="52" formatCode="General">
                        <c:v>-96.862000000000009</c:v>
                      </c:pt>
                      <c:pt idx="53" formatCode="General">
                        <c:v>-96.188060606060617</c:v>
                      </c:pt>
                      <c:pt idx="54" formatCode="General">
                        <c:v>-95.522606060606066</c:v>
                      </c:pt>
                      <c:pt idx="55" formatCode="General">
                        <c:v>-94.87290909090909</c:v>
                      </c:pt>
                      <c:pt idx="56" formatCode="General">
                        <c:v>-94.345878787878789</c:v>
                      </c:pt>
                      <c:pt idx="57" formatCode="General">
                        <c:v>-94.12284848484849</c:v>
                      </c:pt>
                      <c:pt idx="58" formatCode="General">
                        <c:v>-93.929490909090916</c:v>
                      </c:pt>
                      <c:pt idx="59" formatCode="General">
                        <c:v>-93.838339393939393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22F-4A2F-976F-7C3C2CD148C5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22F-4A2F-976F-7C3C2CD148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22F-4A2F-976F-7C3C2CD148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2F-4A2F-976F-7C3C2CD148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2F-4A2F-976F-7C3C2CD148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22F-4A2F-976F-7C3C2CD148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22F-4A2F-976F-7C3C2CD148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22F-4A2F-976F-7C3C2CD148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22F-4A2F-976F-7C3C2CD148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22F-4A2F-976F-7C3C2CD148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22F-4A2F-976F-7C3C2CD148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22F-4A2F-976F-7C3C2CD148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22F-4A2F-976F-7C3C2CD148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22F-4A2F-976F-7C3C2CD148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22F-4A2F-976F-7C3C2CD148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22F-4A2F-976F-7C3C2CD148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22F-4A2F-976F-7C3C2CD148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22F-4A2F-976F-7C3C2CD148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22F-4A2F-976F-7C3C2CD148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22F-4A2F-976F-7C3C2CD148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22F-4A2F-976F-7C3C2CD148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22F-4A2F-976F-7C3C2CD148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22F-4A2F-976F-7C3C2CD148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22F-4A2F-976F-7C3C2CD148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22F-4A2F-976F-7C3C2CD148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22F-4A2F-976F-7C3C2CD148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22F-4A2F-976F-7C3C2CD148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22F-4A2F-976F-7C3C2CD148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22F-4A2F-976F-7C3C2CD148C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22F-4A2F-976F-7C3C2CD148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22F-4A2F-976F-7C3C2CD148C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22F-4A2F-976F-7C3C2CD148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-18.963267326732673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 formatCode="General">
                        <c:v>-18.96</c:v>
                      </c:pt>
                      <c:pt idx="5" formatCode="General">
                        <c:v>-18.96</c:v>
                      </c:pt>
                      <c:pt idx="6" formatCode="General">
                        <c:v>-18.962128712871287</c:v>
                      </c:pt>
                      <c:pt idx="7" formatCode="General">
                        <c:v>-18.966089108910889</c:v>
                      </c:pt>
                      <c:pt idx="8" formatCode="General">
                        <c:v>-18.970099009900988</c:v>
                      </c:pt>
                      <c:pt idx="9" formatCode="General">
                        <c:v>-18.978019801980196</c:v>
                      </c:pt>
                      <c:pt idx="10" formatCode="General">
                        <c:v>-18.985940594059404</c:v>
                      </c:pt>
                      <c:pt idx="11" formatCode="General">
                        <c:v>-18.99579207920792</c:v>
                      </c:pt>
                      <c:pt idx="12" formatCode="General">
                        <c:v>-19.00767326732673</c:v>
                      </c:pt>
                      <c:pt idx="13" formatCode="General">
                        <c:v>-19.019554455445544</c:v>
                      </c:pt>
                      <c:pt idx="14" formatCode="General">
                        <c:v>-19.031435643564357</c:v>
                      </c:pt>
                      <c:pt idx="15" formatCode="General">
                        <c:v>-19.043316831683168</c:v>
                      </c:pt>
                      <c:pt idx="16" formatCode="General">
                        <c:v>-19.055198019801981</c:v>
                      </c:pt>
                      <c:pt idx="17" formatCode="General">
                        <c:v>-19.067079207920791</c:v>
                      </c:pt>
                      <c:pt idx="18" formatCode="General">
                        <c:v>-19.078960396039601</c:v>
                      </c:pt>
                      <c:pt idx="19" formatCode="General">
                        <c:v>-19.090855018587359</c:v>
                      </c:pt>
                      <c:pt idx="20" formatCode="General">
                        <c:v>-19.102750929368028</c:v>
                      </c:pt>
                      <c:pt idx="21" formatCode="General">
                        <c:v>-19.114646840148698</c:v>
                      </c:pt>
                      <c:pt idx="22" formatCode="General">
                        <c:v>-19.126542750929367</c:v>
                      </c:pt>
                      <c:pt idx="23" formatCode="General">
                        <c:v>-19.138438661710037</c:v>
                      </c:pt>
                      <c:pt idx="24" formatCode="General">
                        <c:v>-19.150334572490706</c:v>
                      </c:pt>
                      <c:pt idx="25" formatCode="General">
                        <c:v>-19.162230483271376</c:v>
                      </c:pt>
                      <c:pt idx="26" formatCode="General">
                        <c:v>-19.174126394052045</c:v>
                      </c:pt>
                      <c:pt idx="27" formatCode="General">
                        <c:v>-19.186022304832711</c:v>
                      </c:pt>
                      <c:pt idx="28" formatCode="General">
                        <c:v>-19.197918215613381</c:v>
                      </c:pt>
                      <c:pt idx="29" formatCode="General">
                        <c:v>-19.209801980198019</c:v>
                      </c:pt>
                      <c:pt idx="30" formatCode="General">
                        <c:v>-19.221683168316833</c:v>
                      </c:pt>
                      <c:pt idx="31" formatCode="General">
                        <c:v>-19.234752475247525</c:v>
                      </c:pt>
                      <c:pt idx="32" formatCode="General">
                        <c:v>-19.250594059405941</c:v>
                      </c:pt>
                      <c:pt idx="33" formatCode="General">
                        <c:v>-19.266435643564357</c:v>
                      </c:pt>
                      <c:pt idx="34" formatCode="General">
                        <c:v>-19.282277227722773</c:v>
                      </c:pt>
                      <c:pt idx="35" formatCode="General">
                        <c:v>-19.298118811881189</c:v>
                      </c:pt>
                      <c:pt idx="36" formatCode="General">
                        <c:v>-19.314950495049505</c:v>
                      </c:pt>
                      <c:pt idx="37" formatCode="General">
                        <c:v>-19.334752475247523</c:v>
                      </c:pt>
                      <c:pt idx="38" formatCode="General">
                        <c:v>-19.354554455445545</c:v>
                      </c:pt>
                      <c:pt idx="39" formatCode="General">
                        <c:v>-19.37148514851485</c:v>
                      </c:pt>
                      <c:pt idx="40" formatCode="General">
                        <c:v>-19.387326732673266</c:v>
                      </c:pt>
                      <c:pt idx="41" formatCode="General">
                        <c:v>-19.403168316831682</c:v>
                      </c:pt>
                      <c:pt idx="42" formatCode="General">
                        <c:v>-19.419009900990098</c:v>
                      </c:pt>
                      <c:pt idx="43" formatCode="General">
                        <c:v>-19.434851485148517</c:v>
                      </c:pt>
                      <c:pt idx="44" formatCode="General">
                        <c:v>-19.448019801980198</c:v>
                      </c:pt>
                      <c:pt idx="45" formatCode="General">
                        <c:v>-19.459900990099008</c:v>
                      </c:pt>
                      <c:pt idx="46" formatCode="General">
                        <c:v>-19.47059405940594</c:v>
                      </c:pt>
                      <c:pt idx="47" formatCode="General">
                        <c:v>-19.474554455445546</c:v>
                      </c:pt>
                      <c:pt idx="48" formatCode="General">
                        <c:v>-19.478514851485148</c:v>
                      </c:pt>
                      <c:pt idx="49" formatCode="General">
                        <c:v>-19.476902106567536</c:v>
                      </c:pt>
                      <c:pt idx="50" formatCode="General">
                        <c:v>-19.47194547707559</c:v>
                      </c:pt>
                      <c:pt idx="51" formatCode="General">
                        <c:v>-19.466988847583643</c:v>
                      </c:pt>
                      <c:pt idx="52" formatCode="General">
                        <c:v>-19.462032218091696</c:v>
                      </c:pt>
                      <c:pt idx="53" formatCode="General">
                        <c:v>-19.457075588599754</c:v>
                      </c:pt>
                      <c:pt idx="54" formatCode="General">
                        <c:v>-19.452118959107807</c:v>
                      </c:pt>
                      <c:pt idx="55" formatCode="General">
                        <c:v>-19.44716232961586</c:v>
                      </c:pt>
                      <c:pt idx="56" formatCode="General">
                        <c:v>-19.442205700123914</c:v>
                      </c:pt>
                      <c:pt idx="57" formatCode="General">
                        <c:v>-19.437249070631971</c:v>
                      </c:pt>
                      <c:pt idx="58" formatCode="General">
                        <c:v>-19.432292441140024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-19.749702970297029</c:v>
                      </c:pt>
                      <c:pt idx="80" formatCode="General">
                        <c:v>-19.777425742574255</c:v>
                      </c:pt>
                      <c:pt idx="81" formatCode="General">
                        <c:v>-19.805148514851485</c:v>
                      </c:pt>
                      <c:pt idx="82" formatCode="General">
                        <c:v>-19.823069306930691</c:v>
                      </c:pt>
                      <c:pt idx="83" formatCode="General">
                        <c:v>-19.83891089108911</c:v>
                      </c:pt>
                      <c:pt idx="84" formatCode="General">
                        <c:v>-19.850000000000001</c:v>
                      </c:pt>
                      <c:pt idx="85" formatCode="General">
                        <c:v>-19.850000000000001</c:v>
                      </c:pt>
                      <c:pt idx="86" formatCode="General">
                        <c:v>-19.850000000000001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22F-4A2F-976F-7C3C2CD148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-61.625643564356437</c:v>
                      </c:pt>
                      <c:pt idx="1">
                        <c:v>-60.46108910891089</c:v>
                      </c:pt>
                      <c:pt idx="2">
                        <c:v>-59.40762376237624</c:v>
                      </c:pt>
                      <c:pt idx="3">
                        <c:v>-58.37148514851485</c:v>
                      </c:pt>
                      <c:pt idx="4" formatCode="General">
                        <c:v>-57.595247524752473</c:v>
                      </c:pt>
                      <c:pt idx="5" formatCode="General">
                        <c:v>-56.819009900990096</c:v>
                      </c:pt>
                      <c:pt idx="6" formatCode="General">
                        <c:v>-56.157722772277225</c:v>
                      </c:pt>
                      <c:pt idx="7" formatCode="General">
                        <c:v>-55.595346534653466</c:v>
                      </c:pt>
                      <c:pt idx="8" formatCode="General">
                        <c:v>-55.034900990099011</c:v>
                      </c:pt>
                      <c:pt idx="9" formatCode="General">
                        <c:v>-54.626980198019801</c:v>
                      </c:pt>
                      <c:pt idx="10" formatCode="General">
                        <c:v>-54.219059405940598</c:v>
                      </c:pt>
                      <c:pt idx="11" formatCode="General">
                        <c:v>-53.853227722772282</c:v>
                      </c:pt>
                      <c:pt idx="12" formatCode="General">
                        <c:v>-53.531643564356436</c:v>
                      </c:pt>
                      <c:pt idx="13" formatCode="General">
                        <c:v>-53.210059405940598</c:v>
                      </c:pt>
                      <c:pt idx="14" formatCode="General">
                        <c:v>-52.949465346534659</c:v>
                      </c:pt>
                      <c:pt idx="15" formatCode="General">
                        <c:v>-52.691247524752484</c:v>
                      </c:pt>
                      <c:pt idx="16" formatCode="General">
                        <c:v>-52.460232673267335</c:v>
                      </c:pt>
                      <c:pt idx="17" formatCode="General">
                        <c:v>-52.264193069306934</c:v>
                      </c:pt>
                      <c:pt idx="18" formatCode="General">
                        <c:v>-52.068153465346533</c:v>
                      </c:pt>
                      <c:pt idx="19" formatCode="General">
                        <c:v>-52.059322180916979</c:v>
                      </c:pt>
                      <c:pt idx="20" formatCode="General">
                        <c:v>-52.068442379182159</c:v>
                      </c:pt>
                      <c:pt idx="21" formatCode="General">
                        <c:v>-52.077562577447338</c:v>
                      </c:pt>
                      <c:pt idx="22" formatCode="General">
                        <c:v>-52.086682775712518</c:v>
                      </c:pt>
                      <c:pt idx="23" formatCode="General">
                        <c:v>-52.095802973977698</c:v>
                      </c:pt>
                      <c:pt idx="24" formatCode="General">
                        <c:v>-52.104923172242877</c:v>
                      </c:pt>
                      <c:pt idx="25" formatCode="General">
                        <c:v>-52.114043370508057</c:v>
                      </c:pt>
                      <c:pt idx="26" formatCode="General">
                        <c:v>-52.123163568773236</c:v>
                      </c:pt>
                      <c:pt idx="27" formatCode="General">
                        <c:v>-52.132283767038416</c:v>
                      </c:pt>
                      <c:pt idx="28" formatCode="General">
                        <c:v>-52.141403965303596</c:v>
                      </c:pt>
                      <c:pt idx="29" formatCode="General">
                        <c:v>-52.312574257425744</c:v>
                      </c:pt>
                      <c:pt idx="30" formatCode="General">
                        <c:v>-52.518118811881187</c:v>
                      </c:pt>
                      <c:pt idx="31" formatCode="General">
                        <c:v>-52.730554455445542</c:v>
                      </c:pt>
                      <c:pt idx="32" formatCode="General">
                        <c:v>-52.959069306930694</c:v>
                      </c:pt>
                      <c:pt idx="33" formatCode="General">
                        <c:v>-53.187584158415845</c:v>
                      </c:pt>
                      <c:pt idx="34" formatCode="General">
                        <c:v>-53.427762376237631</c:v>
                      </c:pt>
                      <c:pt idx="35" formatCode="General">
                        <c:v>-53.671326732673272</c:v>
                      </c:pt>
                      <c:pt idx="36" formatCode="General">
                        <c:v>-53.915782178217817</c:v>
                      </c:pt>
                      <c:pt idx="37" formatCode="General">
                        <c:v>-54.162910891089105</c:v>
                      </c:pt>
                      <c:pt idx="38" formatCode="General">
                        <c:v>-54.410039603960392</c:v>
                      </c:pt>
                      <c:pt idx="39" formatCode="General">
                        <c:v>-54.658316831683166</c:v>
                      </c:pt>
                      <c:pt idx="40" formatCode="General">
                        <c:v>-54.907029702970299</c:v>
                      </c:pt>
                      <c:pt idx="41" formatCode="General">
                        <c:v>-55.154712871287131</c:v>
                      </c:pt>
                      <c:pt idx="42" formatCode="General">
                        <c:v>-55.398277227722772</c:v>
                      </c:pt>
                      <c:pt idx="43" formatCode="General">
                        <c:v>-55.641841584158414</c:v>
                      </c:pt>
                      <c:pt idx="44" formatCode="General">
                        <c:v>-55.88647524752475</c:v>
                      </c:pt>
                      <c:pt idx="45" formatCode="General">
                        <c:v>-56.131623762376236</c:v>
                      </c:pt>
                      <c:pt idx="46" formatCode="General">
                        <c:v>-56.376534653465342</c:v>
                      </c:pt>
                      <c:pt idx="47" formatCode="General">
                        <c:v>-56.62009900990099</c:v>
                      </c:pt>
                      <c:pt idx="48" formatCode="General">
                        <c:v>-56.863663366336631</c:v>
                      </c:pt>
                      <c:pt idx="49" formatCode="General">
                        <c:v>-57.110018587360592</c:v>
                      </c:pt>
                      <c:pt idx="50" formatCode="General">
                        <c:v>-57.358048327137546</c:v>
                      </c:pt>
                      <c:pt idx="51" formatCode="General">
                        <c:v>-57.606078066914492</c:v>
                      </c:pt>
                      <c:pt idx="52" formatCode="General">
                        <c:v>-57.854107806691445</c:v>
                      </c:pt>
                      <c:pt idx="53" formatCode="General">
                        <c:v>-58.102137546468398</c:v>
                      </c:pt>
                      <c:pt idx="54" formatCode="General">
                        <c:v>-58.350167286245345</c:v>
                      </c:pt>
                      <c:pt idx="55" formatCode="General">
                        <c:v>-58.598197026022298</c:v>
                      </c:pt>
                      <c:pt idx="56" formatCode="General">
                        <c:v>-58.846226765799251</c:v>
                      </c:pt>
                      <c:pt idx="57" formatCode="General">
                        <c:v>-59.094256505576197</c:v>
                      </c:pt>
                      <c:pt idx="58" formatCode="General">
                        <c:v>-59.342286245353151</c:v>
                      </c:pt>
                      <c:pt idx="59" formatCode="General">
                        <c:v>-59.583019801980193</c:v>
                      </c:pt>
                      <c:pt idx="60" formatCode="General">
                        <c:v>-59.817475247524747</c:v>
                      </c:pt>
                      <c:pt idx="61" formatCode="General">
                        <c:v>-60.05189603960396</c:v>
                      </c:pt>
                      <c:pt idx="62" formatCode="General">
                        <c:v>-60.283579207920795</c:v>
                      </c:pt>
                      <c:pt idx="63" formatCode="General">
                        <c:v>-60.515262376237622</c:v>
                      </c:pt>
                      <c:pt idx="64" formatCode="General">
                        <c:v>-60.751193069306929</c:v>
                      </c:pt>
                      <c:pt idx="65" formatCode="General">
                        <c:v>-60.991589108910894</c:v>
                      </c:pt>
                      <c:pt idx="66" formatCode="General">
                        <c:v>-61.231985148514852</c:v>
                      </c:pt>
                      <c:pt idx="67" formatCode="General">
                        <c:v>-61.370222772277231</c:v>
                      </c:pt>
                      <c:pt idx="68" formatCode="General">
                        <c:v>-61.504480198019799</c:v>
                      </c:pt>
                      <c:pt idx="69" formatCode="General">
                        <c:v>-61.659931846344485</c:v>
                      </c:pt>
                      <c:pt idx="70" formatCode="General">
                        <c:v>-61.842633209417592</c:v>
                      </c:pt>
                      <c:pt idx="71" formatCode="General">
                        <c:v>-62.025334572490706</c:v>
                      </c:pt>
                      <c:pt idx="72" formatCode="General">
                        <c:v>-62.208035935563814</c:v>
                      </c:pt>
                      <c:pt idx="73" formatCode="General">
                        <c:v>-62.390737298636928</c:v>
                      </c:pt>
                      <c:pt idx="74" formatCode="General">
                        <c:v>-62.573438661710036</c:v>
                      </c:pt>
                      <c:pt idx="75" formatCode="General">
                        <c:v>-62.75614002478315</c:v>
                      </c:pt>
                      <c:pt idx="76" formatCode="General">
                        <c:v>-62.938841387856257</c:v>
                      </c:pt>
                      <c:pt idx="77" formatCode="General">
                        <c:v>-63.121542750929365</c:v>
                      </c:pt>
                      <c:pt idx="78" formatCode="General">
                        <c:v>-63.304244114002479</c:v>
                      </c:pt>
                      <c:pt idx="79" formatCode="General">
                        <c:v>-63.566465346534656</c:v>
                      </c:pt>
                      <c:pt idx="80" formatCode="General">
                        <c:v>-63.97636633663366</c:v>
                      </c:pt>
                      <c:pt idx="81" formatCode="General">
                        <c:v>-64.386267326732678</c:v>
                      </c:pt>
                      <c:pt idx="82" formatCode="General">
                        <c:v>-64.630841584158418</c:v>
                      </c:pt>
                      <c:pt idx="83" formatCode="General">
                        <c:v>-64.840346534653463</c:v>
                      </c:pt>
                      <c:pt idx="84" formatCode="General">
                        <c:v>-64.986999999999995</c:v>
                      </c:pt>
                      <c:pt idx="85" formatCode="General">
                        <c:v>-64.986999999999995</c:v>
                      </c:pt>
                      <c:pt idx="86" formatCode="General">
                        <c:v>-64.986999999999995</c:v>
                      </c:pt>
                      <c:pt idx="87" formatCode="General">
                        <c:v>-65.143227722772281</c:v>
                      </c:pt>
                      <c:pt idx="88" formatCode="General">
                        <c:v>-65.344811881188122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22F-4A2F-976F-7C3C2CD148C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22F-4A2F-976F-7C3C2CD148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22F-4A2F-976F-7C3C2CD148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-147.3618316831683</c:v>
                      </c:pt>
                      <c:pt idx="1">
                        <c:v>-143.56544554455445</c:v>
                      </c:pt>
                      <c:pt idx="2">
                        <c:v>-139.8981188118812</c:v>
                      </c:pt>
                      <c:pt idx="3">
                        <c:v>-136.24267326732675</c:v>
                      </c:pt>
                      <c:pt idx="4" formatCode="General">
                        <c:v>-132.76544554455447</c:v>
                      </c:pt>
                      <c:pt idx="5" formatCode="General">
                        <c:v>-129.28821782178218</c:v>
                      </c:pt>
                      <c:pt idx="6" formatCode="General">
                        <c:v>-125.90891089108911</c:v>
                      </c:pt>
                      <c:pt idx="7" formatCode="General">
                        <c:v>-122.61386138613861</c:v>
                      </c:pt>
                      <c:pt idx="8" formatCode="General">
                        <c:v>-119.32173267326732</c:v>
                      </c:pt>
                      <c:pt idx="9" formatCode="General">
                        <c:v>-116.26034653465346</c:v>
                      </c:pt>
                      <c:pt idx="10" formatCode="General">
                        <c:v>-113.19896039603961</c:v>
                      </c:pt>
                      <c:pt idx="11" formatCode="General">
                        <c:v>-110.26886138613861</c:v>
                      </c:pt>
                      <c:pt idx="12" formatCode="General">
                        <c:v>-107.47678217821783</c:v>
                      </c:pt>
                      <c:pt idx="13" formatCode="General">
                        <c:v>-104.68470297029704</c:v>
                      </c:pt>
                      <c:pt idx="14" formatCode="General">
                        <c:v>-102.14420792079208</c:v>
                      </c:pt>
                      <c:pt idx="15" formatCode="General">
                        <c:v>-99.613514851485149</c:v>
                      </c:pt>
                      <c:pt idx="16" formatCode="General">
                        <c:v>-97.198910891089113</c:v>
                      </c:pt>
                      <c:pt idx="17" formatCode="General">
                        <c:v>-94.933564356435639</c:v>
                      </c:pt>
                      <c:pt idx="18" formatCode="General">
                        <c:v>-92.668217821782179</c:v>
                      </c:pt>
                      <c:pt idx="19" formatCode="General">
                        <c:v>-90.819132589838901</c:v>
                      </c:pt>
                      <c:pt idx="20" formatCode="General">
                        <c:v>-89.009962825278805</c:v>
                      </c:pt>
                      <c:pt idx="21" formatCode="General">
                        <c:v>-87.200793060718709</c:v>
                      </c:pt>
                      <c:pt idx="22" formatCode="General">
                        <c:v>-85.391623296158613</c:v>
                      </c:pt>
                      <c:pt idx="23" formatCode="General">
                        <c:v>-83.582453531598503</c:v>
                      </c:pt>
                      <c:pt idx="24" formatCode="General">
                        <c:v>-81.773283767038407</c:v>
                      </c:pt>
                      <c:pt idx="25" formatCode="General">
                        <c:v>-79.964114002478311</c:v>
                      </c:pt>
                      <c:pt idx="26" formatCode="General">
                        <c:v>-78.154944237918215</c:v>
                      </c:pt>
                      <c:pt idx="27" formatCode="General">
                        <c:v>-76.345774473358105</c:v>
                      </c:pt>
                      <c:pt idx="28" formatCode="General">
                        <c:v>-74.536604708798009</c:v>
                      </c:pt>
                      <c:pt idx="29" formatCode="General">
                        <c:v>-72.955544554455443</c:v>
                      </c:pt>
                      <c:pt idx="30" formatCode="General">
                        <c:v>-71.422871287128714</c:v>
                      </c:pt>
                      <c:pt idx="31" formatCode="General">
                        <c:v>-69.915148514851481</c:v>
                      </c:pt>
                      <c:pt idx="32" formatCode="General">
                        <c:v>-68.465643564356427</c:v>
                      </c:pt>
                      <c:pt idx="33" formatCode="General">
                        <c:v>-67.016138613861372</c:v>
                      </c:pt>
                      <c:pt idx="34" formatCode="General">
                        <c:v>-65.637227722772266</c:v>
                      </c:pt>
                      <c:pt idx="35" formatCode="General">
                        <c:v>-64.278811881188119</c:v>
                      </c:pt>
                      <c:pt idx="36" formatCode="General">
                        <c:v>-62.942178217821784</c:v>
                      </c:pt>
                      <c:pt idx="37" formatCode="General">
                        <c:v>-61.670891089108913</c:v>
                      </c:pt>
                      <c:pt idx="38" formatCode="General">
                        <c:v>-60.399603960396043</c:v>
                      </c:pt>
                      <c:pt idx="39" formatCode="General">
                        <c:v>-59.18</c:v>
                      </c:pt>
                      <c:pt idx="40" formatCode="General">
                        <c:v>-57.98</c:v>
                      </c:pt>
                      <c:pt idx="41" formatCode="General">
                        <c:v>-56.795049504950491</c:v>
                      </c:pt>
                      <c:pt idx="42" formatCode="General">
                        <c:v>-55.670297029702965</c:v>
                      </c:pt>
                      <c:pt idx="43" formatCode="General">
                        <c:v>-54.545544554455446</c:v>
                      </c:pt>
                      <c:pt idx="44" formatCode="General">
                        <c:v>-53.476930693069306</c:v>
                      </c:pt>
                      <c:pt idx="45" formatCode="General">
                        <c:v>-52.435346534653462</c:v>
                      </c:pt>
                      <c:pt idx="46" formatCode="General">
                        <c:v>-51.412772277227717</c:v>
                      </c:pt>
                      <c:pt idx="47" formatCode="General">
                        <c:v>-50.497920792079199</c:v>
                      </c:pt>
                      <c:pt idx="48" formatCode="General">
                        <c:v>-49.583069306930689</c:v>
                      </c:pt>
                      <c:pt idx="49" formatCode="General">
                        <c:v>-48.934671623296154</c:v>
                      </c:pt>
                      <c:pt idx="50" formatCode="General">
                        <c:v>-48.446146220570007</c:v>
                      </c:pt>
                      <c:pt idx="51" formatCode="General">
                        <c:v>-47.957620817843861</c:v>
                      </c:pt>
                      <c:pt idx="52" formatCode="General">
                        <c:v>-47.469095415117714</c:v>
                      </c:pt>
                      <c:pt idx="53" formatCode="General">
                        <c:v>-46.980570012391574</c:v>
                      </c:pt>
                      <c:pt idx="54" formatCode="General">
                        <c:v>-46.492044609665427</c:v>
                      </c:pt>
                      <c:pt idx="55" formatCode="General">
                        <c:v>-46.003519206939281</c:v>
                      </c:pt>
                      <c:pt idx="56" formatCode="General">
                        <c:v>-45.514993804213134</c:v>
                      </c:pt>
                      <c:pt idx="57" formatCode="General">
                        <c:v>-45.026468401486987</c:v>
                      </c:pt>
                      <c:pt idx="58" formatCode="General">
                        <c:v>-44.53794299876084</c:v>
                      </c:pt>
                      <c:pt idx="59" formatCode="General">
                        <c:v>-44.155326732673267</c:v>
                      </c:pt>
                      <c:pt idx="60" formatCode="General">
                        <c:v>-43.863841584158415</c:v>
                      </c:pt>
                      <c:pt idx="61" formatCode="General">
                        <c:v>-43.572663366336634</c:v>
                      </c:pt>
                      <c:pt idx="62" formatCode="General">
                        <c:v>-43.305732673267329</c:v>
                      </c:pt>
                      <c:pt idx="63" formatCode="General">
                        <c:v>-43.038801980198024</c:v>
                      </c:pt>
                      <c:pt idx="64" formatCode="General">
                        <c:v>-42.784613861386141</c:v>
                      </c:pt>
                      <c:pt idx="65" formatCode="General">
                        <c:v>-42.54382178217822</c:v>
                      </c:pt>
                      <c:pt idx="66" formatCode="General">
                        <c:v>-42.303029702970299</c:v>
                      </c:pt>
                      <c:pt idx="67" formatCode="General">
                        <c:v>-42.261980198019806</c:v>
                      </c:pt>
                      <c:pt idx="68" formatCode="General">
                        <c:v>-42.228712871287129</c:v>
                      </c:pt>
                      <c:pt idx="69" formatCode="General">
                        <c:v>-42.269677819083022</c:v>
                      </c:pt>
                      <c:pt idx="70" formatCode="General">
                        <c:v>-42.406084262701363</c:v>
                      </c:pt>
                      <c:pt idx="71" formatCode="General">
                        <c:v>-42.542490706319704</c:v>
                      </c:pt>
                      <c:pt idx="72" formatCode="General">
                        <c:v>-42.678897149938045</c:v>
                      </c:pt>
                      <c:pt idx="73" formatCode="General">
                        <c:v>-42.815303593556379</c:v>
                      </c:pt>
                      <c:pt idx="74" formatCode="General">
                        <c:v>-42.95171003717472</c:v>
                      </c:pt>
                      <c:pt idx="75" formatCode="General">
                        <c:v>-43.088116480793062</c:v>
                      </c:pt>
                      <c:pt idx="76" formatCode="General">
                        <c:v>-43.224522924411396</c:v>
                      </c:pt>
                      <c:pt idx="77" formatCode="General">
                        <c:v>-43.360929368029737</c:v>
                      </c:pt>
                      <c:pt idx="78" formatCode="General">
                        <c:v>-43.497335811648078</c:v>
                      </c:pt>
                      <c:pt idx="79" formatCode="General">
                        <c:v>-43.687465346534651</c:v>
                      </c:pt>
                      <c:pt idx="80" formatCode="General">
                        <c:v>-43.977366336633658</c:v>
                      </c:pt>
                      <c:pt idx="81" formatCode="General">
                        <c:v>-44.267267326732672</c:v>
                      </c:pt>
                      <c:pt idx="82" formatCode="General">
                        <c:v>-44.437584158415838</c:v>
                      </c:pt>
                      <c:pt idx="83" formatCode="General">
                        <c:v>-44.582534653465345</c:v>
                      </c:pt>
                      <c:pt idx="84" formatCode="General">
                        <c:v>-44.683999999999997</c:v>
                      </c:pt>
                      <c:pt idx="85" formatCode="General">
                        <c:v>-44.683999999999997</c:v>
                      </c:pt>
                      <c:pt idx="86" formatCode="General">
                        <c:v>-44.683999999999997</c:v>
                      </c:pt>
                      <c:pt idx="87" formatCode="General">
                        <c:v>-44.793267326732675</c:v>
                      </c:pt>
                      <c:pt idx="88" formatCode="General">
                        <c:v>-44.93425742574258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22F-4A2F-976F-7C3C2CD148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22F-4A2F-976F-7C3C2CD148C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22F-4A2F-976F-7C3C2CD148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22F-4A2F-976F-7C3C2CD148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22F-4A2F-976F-7C3C2CD148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22F-4A2F-976F-7C3C2CD148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22F-4A2F-976F-7C3C2CD148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22F-4A2F-976F-7C3C2CD148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22F-4A2F-976F-7C3C2CD148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22F-4A2F-976F-7C3C2CD148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426066075994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EVALUATION!$B$102:$CP$102</c:f>
              <c:numCache>
                <c:formatCode>0</c:formatCode>
                <c:ptCount val="93"/>
                <c:pt idx="0">
                  <c:v>-38.031818181818181</c:v>
                </c:pt>
                <c:pt idx="1">
                  <c:v>-37.280303030303031</c:v>
                </c:pt>
                <c:pt idx="2">
                  <c:v>-36.528787878787881</c:v>
                </c:pt>
                <c:pt idx="3">
                  <c:v>-35.857636363636367</c:v>
                </c:pt>
                <c:pt idx="4" formatCode="General">
                  <c:v>-35.188545454545448</c:v>
                </c:pt>
                <c:pt idx="5" formatCode="General">
                  <c:v>-34.594666666666662</c:v>
                </c:pt>
                <c:pt idx="6" formatCode="General">
                  <c:v>-34.008000000000003</c:v>
                </c:pt>
                <c:pt idx="7" formatCode="General">
                  <c:v>-33.466666666666669</c:v>
                </c:pt>
                <c:pt idx="8" formatCode="General">
                  <c:v>-32.93333333333333</c:v>
                </c:pt>
                <c:pt idx="9" formatCode="General">
                  <c:v>-32.444277108433738</c:v>
                </c:pt>
                <c:pt idx="10" formatCode="General">
                  <c:v>-31.967168674698797</c:v>
                </c:pt>
                <c:pt idx="11" formatCode="General">
                  <c:v>-31.526000000000003</c:v>
                </c:pt>
                <c:pt idx="12" formatCode="General">
                  <c:v>-31.099333333333337</c:v>
                </c:pt>
                <c:pt idx="13" formatCode="General">
                  <c:v>-30.693151515151516</c:v>
                </c:pt>
                <c:pt idx="14" formatCode="General">
                  <c:v>-30.297999999999998</c:v>
                </c:pt>
                <c:pt idx="15" formatCode="General">
                  <c:v>-29.951906202723144</c:v>
                </c:pt>
                <c:pt idx="16" formatCode="General">
                  <c:v>-29.640257186081694</c:v>
                </c:pt>
                <c:pt idx="17" formatCode="General">
                  <c:v>-29.328608169440241</c:v>
                </c:pt>
                <c:pt idx="18" formatCode="General">
                  <c:v>-29.016959152798787</c:v>
                </c:pt>
                <c:pt idx="19" formatCode="General">
                  <c:v>-28.705310136157337</c:v>
                </c:pt>
                <c:pt idx="20" formatCode="General">
                  <c:v>-28.393661119515883</c:v>
                </c:pt>
                <c:pt idx="21" formatCode="General">
                  <c:v>-28.08201210287443</c:v>
                </c:pt>
                <c:pt idx="22" formatCode="General">
                  <c:v>-27.77036308623298</c:v>
                </c:pt>
                <c:pt idx="23" formatCode="General">
                  <c:v>-27.479006060606057</c:v>
                </c:pt>
                <c:pt idx="24" formatCode="General">
                  <c:v>-27.229793939393939</c:v>
                </c:pt>
                <c:pt idx="25" formatCode="General">
                  <c:v>-27.003936363636363</c:v>
                </c:pt>
                <c:pt idx="26" formatCode="General">
                  <c:v>-26.843693939393937</c:v>
                </c:pt>
                <c:pt idx="27" formatCode="General">
                  <c:v>-26.683451515151514</c:v>
                </c:pt>
                <c:pt idx="28" formatCode="General">
                  <c:v>-26.523209090909088</c:v>
                </c:pt>
                <c:pt idx="29" formatCode="General">
                  <c:v>-26.40355421686747</c:v>
                </c:pt>
                <c:pt idx="30" formatCode="General">
                  <c:v>-26.538493975903616</c:v>
                </c:pt>
                <c:pt idx="31" formatCode="General">
                  <c:v>-26.673575757575762</c:v>
                </c:pt>
                <c:pt idx="32" formatCode="General">
                  <c:v>-26.810787878787881</c:v>
                </c:pt>
                <c:pt idx="33" formatCode="General">
                  <c:v>-26.948</c:v>
                </c:pt>
                <c:pt idx="34" formatCode="General">
                  <c:v>-27.085212121212123</c:v>
                </c:pt>
                <c:pt idx="35" formatCode="General">
                  <c:v>-27.222424242424243</c:v>
                </c:pt>
                <c:pt idx="36" formatCode="General">
                  <c:v>-27.359636363636366</c:v>
                </c:pt>
                <c:pt idx="37" formatCode="General">
                  <c:v>-27.496848484848485</c:v>
                </c:pt>
                <c:pt idx="38" formatCode="General">
                  <c:v>-27.634060606060608</c:v>
                </c:pt>
                <c:pt idx="39" formatCode="General">
                  <c:v>-27.771272727272727</c:v>
                </c:pt>
                <c:pt idx="40" formatCode="General">
                  <c:v>-27.904579425113464</c:v>
                </c:pt>
                <c:pt idx="41" formatCode="General">
                  <c:v>-28.036984871406958</c:v>
                </c:pt>
                <c:pt idx="42" formatCode="General">
                  <c:v>-28.169390317700454</c:v>
                </c:pt>
                <c:pt idx="43" formatCode="General">
                  <c:v>-28.301795763993947</c:v>
                </c:pt>
                <c:pt idx="44" formatCode="General">
                  <c:v>-28.434201210287441</c:v>
                </c:pt>
                <c:pt idx="45" formatCode="General">
                  <c:v>-28.566606656580937</c:v>
                </c:pt>
                <c:pt idx="46" formatCode="General">
                  <c:v>-28.69901210287443</c:v>
                </c:pt>
                <c:pt idx="47" formatCode="General">
                  <c:v>-28.831417549167924</c:v>
                </c:pt>
                <c:pt idx="48" formatCode="General">
                  <c:v>-28.963266666666666</c:v>
                </c:pt>
                <c:pt idx="49" formatCode="General">
                  <c:v>-29.094660606060604</c:v>
                </c:pt>
                <c:pt idx="50" formatCode="General">
                  <c:v>-29.223084337349398</c:v>
                </c:pt>
                <c:pt idx="51" formatCode="General">
                  <c:v>-29.348385542168675</c:v>
                </c:pt>
                <c:pt idx="52" formatCode="General">
                  <c:v>-29.476199999999999</c:v>
                </c:pt>
                <c:pt idx="53" formatCode="General">
                  <c:v>-29.607593939393936</c:v>
                </c:pt>
                <c:pt idx="54" formatCode="General">
                  <c:v>-29.73712121212121</c:v>
                </c:pt>
                <c:pt idx="55" formatCode="General">
                  <c:v>-29.863181818181815</c:v>
                </c:pt>
                <c:pt idx="56" formatCode="General">
                  <c:v>-29.989242424242423</c:v>
                </c:pt>
                <c:pt idx="57" formatCode="General">
                  <c:v>-30.115303030303028</c:v>
                </c:pt>
                <c:pt idx="58" formatCode="General">
                  <c:v>-30.241254545454545</c:v>
                </c:pt>
                <c:pt idx="59" formatCode="General">
                  <c:v>-30.366830303030305</c:v>
                </c:pt>
                <c:pt idx="60" formatCode="General">
                  <c:v>-30.491696969696971</c:v>
                </c:pt>
                <c:pt idx="61" formatCode="General">
                  <c:v>-30.612909090909092</c:v>
                </c:pt>
                <c:pt idx="62" formatCode="General">
                  <c:v>-30.734481927710846</c:v>
                </c:pt>
                <c:pt idx="63" formatCode="General">
                  <c:v>-30.859301204819278</c:v>
                </c:pt>
                <c:pt idx="64" formatCode="General">
                  <c:v>-30.984018181818183</c:v>
                </c:pt>
                <c:pt idx="65" formatCode="General">
                  <c:v>-31.104745454545455</c:v>
                </c:pt>
                <c:pt idx="66" formatCode="General">
                  <c:v>-31.225472727272727</c:v>
                </c:pt>
                <c:pt idx="67" formatCode="General">
                  <c:v>-31.345733333333335</c:v>
                </c:pt>
                <c:pt idx="68" formatCode="General">
                  <c:v>-31.465975757575759</c:v>
                </c:pt>
                <c:pt idx="69" formatCode="General">
                  <c:v>-31.586654545454547</c:v>
                </c:pt>
                <c:pt idx="70" formatCode="General">
                  <c:v>-31.707381818181815</c:v>
                </c:pt>
                <c:pt idx="71" formatCode="General">
                  <c:v>-31.827703030303031</c:v>
                </c:pt>
                <c:pt idx="72" formatCode="General">
                  <c:v>-31.947945454545454</c:v>
                </c:pt>
                <c:pt idx="73" formatCode="General">
                  <c:v>-32.064951588502268</c:v>
                </c:pt>
                <c:pt idx="74" formatCode="General">
                  <c:v>-32.181018154311651</c:v>
                </c:pt>
                <c:pt idx="75" formatCode="General">
                  <c:v>-32.297084720121028</c:v>
                </c:pt>
                <c:pt idx="76" formatCode="General">
                  <c:v>-32.413151285930411</c:v>
                </c:pt>
                <c:pt idx="77" formatCode="General">
                  <c:v>-32.529217851739787</c:v>
                </c:pt>
                <c:pt idx="78" formatCode="General">
                  <c:v>-32.645284417549163</c:v>
                </c:pt>
                <c:pt idx="79" formatCode="General">
                  <c:v>-32.761350983358547</c:v>
                </c:pt>
                <c:pt idx="80" formatCode="General">
                  <c:v>-32.877417549167923</c:v>
                </c:pt>
                <c:pt idx="81" formatCode="General">
                  <c:v>-32.991995461422086</c:v>
                </c:pt>
                <c:pt idx="82" formatCode="General">
                  <c:v>-33.105157337367622</c:v>
                </c:pt>
                <c:pt idx="83" formatCode="General">
                  <c:v>-33.218319213313158</c:v>
                </c:pt>
                <c:pt idx="84" formatCode="General">
                  <c:v>-33.331481089258695</c:v>
                </c:pt>
                <c:pt idx="85" formatCode="General">
                  <c:v>-33.444642965204238</c:v>
                </c:pt>
                <c:pt idx="86" formatCode="General">
                  <c:v>-33.557804841149775</c:v>
                </c:pt>
                <c:pt idx="87" formatCode="General">
                  <c:v>-33.670966717095311</c:v>
                </c:pt>
                <c:pt idx="88" formatCode="General">
                  <c:v>-33.784128593040847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0A0-4879-A477-4ADFA472E536}"/>
            </c:ext>
          </c:extLst>
        </c:ser>
        <c:ser>
          <c:idx val="40"/>
          <c:order val="41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-39.051237623762383</c:v>
                </c:pt>
                <c:pt idx="1">
                  <c:v>-38.257920792079211</c:v>
                </c:pt>
                <c:pt idx="2">
                  <c:v>-37.505445544554455</c:v>
                </c:pt>
                <c:pt idx="3">
                  <c:v>-36.758910891089108</c:v>
                </c:pt>
                <c:pt idx="4" formatCode="General">
                  <c:v>-36.101485148514847</c:v>
                </c:pt>
                <c:pt idx="5" formatCode="General">
                  <c:v>-35.444059405940592</c:v>
                </c:pt>
                <c:pt idx="6" formatCode="General">
                  <c:v>-34.833465346534652</c:v>
                </c:pt>
                <c:pt idx="7" formatCode="General">
                  <c:v>-34.263168316831681</c:v>
                </c:pt>
                <c:pt idx="8" formatCode="General">
                  <c:v>-33.693960396039607</c:v>
                </c:pt>
                <c:pt idx="9" formatCode="General">
                  <c:v>-33.210792079207927</c:v>
                </c:pt>
                <c:pt idx="10" formatCode="General">
                  <c:v>-32.72762376237624</c:v>
                </c:pt>
                <c:pt idx="11" formatCode="General">
                  <c:v>-32.27496039603961</c:v>
                </c:pt>
                <c:pt idx="12" formatCode="General">
                  <c:v>-31.854366336633664</c:v>
                </c:pt>
                <c:pt idx="13" formatCode="General">
                  <c:v>-31.433772277227725</c:v>
                </c:pt>
                <c:pt idx="14" formatCode="General">
                  <c:v>-31.074168316831685</c:v>
                </c:pt>
                <c:pt idx="15" formatCode="General">
                  <c:v>-30.716940594059409</c:v>
                </c:pt>
                <c:pt idx="16" formatCode="General">
                  <c:v>-30.392113861386139</c:v>
                </c:pt>
                <c:pt idx="17" formatCode="General">
                  <c:v>-30.108945544554459</c:v>
                </c:pt>
                <c:pt idx="18" formatCode="General">
                  <c:v>-29.825777227722774</c:v>
                </c:pt>
                <c:pt idx="19" formatCode="General">
                  <c:v>-29.739669144981413</c:v>
                </c:pt>
                <c:pt idx="20" formatCode="General">
                  <c:v>-29.672457249070632</c:v>
                </c:pt>
                <c:pt idx="21" formatCode="General">
                  <c:v>-29.605245353159852</c:v>
                </c:pt>
                <c:pt idx="22" formatCode="General">
                  <c:v>-29.538033457249071</c:v>
                </c:pt>
                <c:pt idx="23" formatCode="General">
                  <c:v>-29.47082156133829</c:v>
                </c:pt>
                <c:pt idx="24" formatCode="General">
                  <c:v>-29.40360966542751</c:v>
                </c:pt>
                <c:pt idx="25" formatCode="General">
                  <c:v>-29.336397769516726</c:v>
                </c:pt>
                <c:pt idx="26" formatCode="General">
                  <c:v>-29.269185873605945</c:v>
                </c:pt>
                <c:pt idx="27" formatCode="General">
                  <c:v>-29.201973977695165</c:v>
                </c:pt>
                <c:pt idx="28" formatCode="General">
                  <c:v>-29.134762081784384</c:v>
                </c:pt>
                <c:pt idx="29" formatCode="General">
                  <c:v>-29.204356435643561</c:v>
                </c:pt>
                <c:pt idx="30" formatCode="General">
                  <c:v>-29.302970297029702</c:v>
                </c:pt>
                <c:pt idx="31" formatCode="General">
                  <c:v>-29.40728712871287</c:v>
                </c:pt>
                <c:pt idx="32" formatCode="General">
                  <c:v>-29.52491089108911</c:v>
                </c:pt>
                <c:pt idx="33" formatCode="General">
                  <c:v>-29.642534653465347</c:v>
                </c:pt>
                <c:pt idx="34" formatCode="General">
                  <c:v>-29.768752475247524</c:v>
                </c:pt>
                <c:pt idx="35" formatCode="General">
                  <c:v>-29.897465346534652</c:v>
                </c:pt>
                <c:pt idx="36" formatCode="General">
                  <c:v>-30.027069306930692</c:v>
                </c:pt>
                <c:pt idx="37" formatCode="General">
                  <c:v>-30.159346534653466</c:v>
                </c:pt>
                <c:pt idx="38" formatCode="General">
                  <c:v>-30.291623762376236</c:v>
                </c:pt>
                <c:pt idx="39" formatCode="General">
                  <c:v>-30.425049504950493</c:v>
                </c:pt>
                <c:pt idx="40" formatCode="General">
                  <c:v>-30.558910891089109</c:v>
                </c:pt>
                <c:pt idx="41" formatCode="General">
                  <c:v>-30.692534653465348</c:v>
                </c:pt>
                <c:pt idx="42" formatCode="General">
                  <c:v>-30.825207920792078</c:v>
                </c:pt>
                <c:pt idx="43" formatCode="General">
                  <c:v>-30.957881188118808</c:v>
                </c:pt>
                <c:pt idx="44" formatCode="General">
                  <c:v>-31.094297029702968</c:v>
                </c:pt>
                <c:pt idx="45" formatCode="General">
                  <c:v>-31.232514851485146</c:v>
                </c:pt>
                <c:pt idx="46" formatCode="General">
                  <c:v>-31.37287128712871</c:v>
                </c:pt>
                <c:pt idx="47" formatCode="General">
                  <c:v>-31.525346534653465</c:v>
                </c:pt>
                <c:pt idx="48" formatCode="General">
                  <c:v>-31.677821782178217</c:v>
                </c:pt>
                <c:pt idx="49" formatCode="General">
                  <c:v>-31.837973977695167</c:v>
                </c:pt>
                <c:pt idx="50" formatCode="General">
                  <c:v>-32.002732342007434</c:v>
                </c:pt>
                <c:pt idx="51" formatCode="General">
                  <c:v>-32.167490706319704</c:v>
                </c:pt>
                <c:pt idx="52" formatCode="General">
                  <c:v>-32.332249070631967</c:v>
                </c:pt>
                <c:pt idx="53" formatCode="General">
                  <c:v>-32.497007434944237</c:v>
                </c:pt>
                <c:pt idx="54" formatCode="General">
                  <c:v>-32.661765799256507</c:v>
                </c:pt>
                <c:pt idx="55" formatCode="General">
                  <c:v>-32.82652416356877</c:v>
                </c:pt>
                <c:pt idx="56" formatCode="General">
                  <c:v>-32.99128252788104</c:v>
                </c:pt>
                <c:pt idx="57" formatCode="General">
                  <c:v>-33.156040892193303</c:v>
                </c:pt>
                <c:pt idx="58" formatCode="General">
                  <c:v>-33.320799256505573</c:v>
                </c:pt>
                <c:pt idx="59" formatCode="General">
                  <c:v>-33.467673267326731</c:v>
                </c:pt>
                <c:pt idx="60" formatCode="General">
                  <c:v>-33.599158415841586</c:v>
                </c:pt>
                <c:pt idx="61" formatCode="General">
                  <c:v>-33.730608910891085</c:v>
                </c:pt>
                <c:pt idx="62" formatCode="General">
                  <c:v>-33.85932178217822</c:v>
                </c:pt>
                <c:pt idx="63" formatCode="General">
                  <c:v>-33.988034653465348</c:v>
                </c:pt>
                <c:pt idx="64" formatCode="General">
                  <c:v>-34.119064356435644</c:v>
                </c:pt>
                <c:pt idx="65" formatCode="General">
                  <c:v>-34.2525297029703</c:v>
                </c:pt>
                <c:pt idx="66" formatCode="General">
                  <c:v>-34.385995049504956</c:v>
                </c:pt>
                <c:pt idx="67" formatCode="General">
                  <c:v>-34.466856435643564</c:v>
                </c:pt>
                <c:pt idx="68" formatCode="General">
                  <c:v>-34.54566831683168</c:v>
                </c:pt>
                <c:pt idx="69" formatCode="General">
                  <c:v>-34.633934324659229</c:v>
                </c:pt>
                <c:pt idx="70" formatCode="General">
                  <c:v>-34.734355638166043</c:v>
                </c:pt>
                <c:pt idx="71" formatCode="General">
                  <c:v>-34.834776951672858</c:v>
                </c:pt>
                <c:pt idx="72" formatCode="General">
                  <c:v>-34.935198265179679</c:v>
                </c:pt>
                <c:pt idx="73" formatCode="General">
                  <c:v>-35.035619578686493</c:v>
                </c:pt>
                <c:pt idx="74" formatCode="General">
                  <c:v>-35.136040892193307</c:v>
                </c:pt>
                <c:pt idx="75" formatCode="General">
                  <c:v>-35.236462205700121</c:v>
                </c:pt>
                <c:pt idx="76" formatCode="General">
                  <c:v>-35.336883519206935</c:v>
                </c:pt>
                <c:pt idx="77" formatCode="General">
                  <c:v>-35.437304832713757</c:v>
                </c:pt>
                <c:pt idx="78" formatCode="General">
                  <c:v>-35.537726146220571</c:v>
                </c:pt>
                <c:pt idx="79" formatCode="General">
                  <c:v>-35.681316831683169</c:v>
                </c:pt>
                <c:pt idx="80" formatCode="General">
                  <c:v>-35.905079207920792</c:v>
                </c:pt>
                <c:pt idx="81" formatCode="General">
                  <c:v>-36.128841584158415</c:v>
                </c:pt>
                <c:pt idx="82" formatCode="General">
                  <c:v>-36.262425742574258</c:v>
                </c:pt>
                <c:pt idx="83" formatCode="General">
                  <c:v>-36.376881188118809</c:v>
                </c:pt>
                <c:pt idx="84" formatCode="General">
                  <c:v>-36.457000000000001</c:v>
                </c:pt>
                <c:pt idx="85" formatCode="General">
                  <c:v>-36.457000000000001</c:v>
                </c:pt>
                <c:pt idx="86" formatCode="General">
                  <c:v>-36.457000000000001</c:v>
                </c:pt>
                <c:pt idx="87" formatCode="General">
                  <c:v>-36.542633663366338</c:v>
                </c:pt>
                <c:pt idx="88" formatCode="General">
                  <c:v>-36.653128712871293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0A0-4879-A477-4ADFA472E536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-192.68327272727274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0-4879-A477-4ADFA472E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40A0-4879-A477-4ADFA472E536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40A0-4879-A477-4ADFA472E53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0A0-4879-A477-4ADFA472E536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0A0-4879-A477-4ADFA472E536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0A0-4879-A477-4ADFA472E536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0A0-4879-A477-4ADFA472E536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-48.805754545454548</c:v>
                      </c:pt>
                      <c:pt idx="26" formatCode="General">
                        <c:v>-48.766724242424246</c:v>
                      </c:pt>
                      <c:pt idx="27" formatCode="General">
                        <c:v>-48.727693939393944</c:v>
                      </c:pt>
                      <c:pt idx="28" formatCode="General">
                        <c:v>-48.688663636363636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-53.434600000000003</c:v>
                      </c:pt>
                      <c:pt idx="49" formatCode="General">
                        <c:v>-53.677509090909091</c:v>
                      </c:pt>
                      <c:pt idx="50" formatCode="General">
                        <c:v>-53.914771084337346</c:v>
                      </c:pt>
                      <c:pt idx="51" formatCode="General">
                        <c:v>-54.146096385542165</c:v>
                      </c:pt>
                      <c:pt idx="52" formatCode="General">
                        <c:v>-54.382199999999997</c:v>
                      </c:pt>
                      <c:pt idx="53" formatCode="General">
                        <c:v>-54.625109090909092</c:v>
                      </c:pt>
                      <c:pt idx="54" formatCode="General">
                        <c:v>-54.864454545454542</c:v>
                      </c:pt>
                      <c:pt idx="55" formatCode="General">
                        <c:v>-55.097181818181816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0A0-4879-A477-4ADFA472E536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-192.68327272727274</c:v>
                      </c:pt>
                      <c:pt idx="1">
                        <c:v>-188.23721212121214</c:v>
                      </c:pt>
                      <c:pt idx="2">
                        <c:v>-183.79115151515151</c:v>
                      </c:pt>
                      <c:pt idx="3">
                        <c:v>-179.8130909090909</c:v>
                      </c:pt>
                      <c:pt idx="4" formatCode="General">
                        <c:v>-175.84703030303029</c:v>
                      </c:pt>
                      <c:pt idx="5" formatCode="General">
                        <c:v>-172.25260606060604</c:v>
                      </c:pt>
                      <c:pt idx="6" formatCode="General">
                        <c:v>-168.69381818181819</c:v>
                      </c:pt>
                      <c:pt idx="7" formatCode="General">
                        <c:v>-165.41939393939393</c:v>
                      </c:pt>
                      <c:pt idx="8" formatCode="General">
                        <c:v>-162.19515151515151</c:v>
                      </c:pt>
                      <c:pt idx="9" formatCode="General">
                        <c:v>-159.22530120481926</c:v>
                      </c:pt>
                      <c:pt idx="10" formatCode="General">
                        <c:v>-156.32409638554219</c:v>
                      </c:pt>
                      <c:pt idx="11" formatCode="General">
                        <c:v>-153.60036363636365</c:v>
                      </c:pt>
                      <c:pt idx="12" formatCode="General">
                        <c:v>-150.94824242424244</c:v>
                      </c:pt>
                      <c:pt idx="13" formatCode="General">
                        <c:v>-148.43793939393942</c:v>
                      </c:pt>
                      <c:pt idx="14" formatCode="General">
                        <c:v>-146.00400000000002</c:v>
                      </c:pt>
                      <c:pt idx="15" formatCode="General">
                        <c:v>-143.83957639939487</c:v>
                      </c:pt>
                      <c:pt idx="16" formatCode="General">
                        <c:v>-141.86438729198184</c:v>
                      </c:pt>
                      <c:pt idx="17" formatCode="General">
                        <c:v>-139.88919818456884</c:v>
                      </c:pt>
                      <c:pt idx="18" formatCode="General">
                        <c:v>-137.91400907715584</c:v>
                      </c:pt>
                      <c:pt idx="19" formatCode="General">
                        <c:v>-135.93881996974281</c:v>
                      </c:pt>
                      <c:pt idx="20" formatCode="General">
                        <c:v>-133.96363086232981</c:v>
                      </c:pt>
                      <c:pt idx="21" formatCode="General">
                        <c:v>-131.98844175491681</c:v>
                      </c:pt>
                      <c:pt idx="22" formatCode="General">
                        <c:v>-130.01325264750378</c:v>
                      </c:pt>
                      <c:pt idx="23" formatCode="General">
                        <c:v>-128.15527272727272</c:v>
                      </c:pt>
                      <c:pt idx="24" formatCode="General">
                        <c:v>-126.54072727272727</c:v>
                      </c:pt>
                      <c:pt idx="25" formatCode="General">
                        <c:v>-124.9681818181818</c:v>
                      </c:pt>
                      <c:pt idx="26" formatCode="General">
                        <c:v>-123.51363636363635</c:v>
                      </c:pt>
                      <c:pt idx="27" formatCode="General">
                        <c:v>-122.0590909090909</c:v>
                      </c:pt>
                      <c:pt idx="28" formatCode="General">
                        <c:v>-120.60454545454544</c:v>
                      </c:pt>
                      <c:pt idx="29" formatCode="General">
                        <c:v>-119.16975903614457</c:v>
                      </c:pt>
                      <c:pt idx="30" formatCode="General">
                        <c:v>-117.8589156626506</c:v>
                      </c:pt>
                      <c:pt idx="31" formatCode="General">
                        <c:v>-116.56037878787879</c:v>
                      </c:pt>
                      <c:pt idx="32" formatCode="General">
                        <c:v>-115.44643939393939</c:v>
                      </c:pt>
                      <c:pt idx="33" formatCode="General">
                        <c:v>-114.3325</c:v>
                      </c:pt>
                      <c:pt idx="34" formatCode="General">
                        <c:v>-113.21856060606061</c:v>
                      </c:pt>
                      <c:pt idx="35" formatCode="General">
                        <c:v>-112.1046212121212</c:v>
                      </c:pt>
                      <c:pt idx="36" formatCode="General">
                        <c:v>-110.99068181818181</c:v>
                      </c:pt>
                      <c:pt idx="37" formatCode="General">
                        <c:v>-109.87674242424242</c:v>
                      </c:pt>
                      <c:pt idx="38" formatCode="General">
                        <c:v>-108.76280303030303</c:v>
                      </c:pt>
                      <c:pt idx="39" formatCode="General">
                        <c:v>-107.64886363636363</c:v>
                      </c:pt>
                      <c:pt idx="40" formatCode="General">
                        <c:v>-106.72903177004538</c:v>
                      </c:pt>
                      <c:pt idx="41" formatCode="General">
                        <c:v>-105.85399394856279</c:v>
                      </c:pt>
                      <c:pt idx="42" formatCode="General">
                        <c:v>-104.97895612708018</c:v>
                      </c:pt>
                      <c:pt idx="43" formatCode="General">
                        <c:v>-104.10391830559759</c:v>
                      </c:pt>
                      <c:pt idx="44" formatCode="General">
                        <c:v>-103.22888048411498</c:v>
                      </c:pt>
                      <c:pt idx="45" formatCode="General">
                        <c:v>-102.35384266263239</c:v>
                      </c:pt>
                      <c:pt idx="46" formatCode="General">
                        <c:v>-101.47880484114978</c:v>
                      </c:pt>
                      <c:pt idx="47" formatCode="General">
                        <c:v>-100.60376701966717</c:v>
                      </c:pt>
                      <c:pt idx="48" formatCode="General">
                        <c:v>-99.791333333333341</c:v>
                      </c:pt>
                      <c:pt idx="49" formatCode="General">
                        <c:v>-99.030121212121216</c:v>
                      </c:pt>
                      <c:pt idx="50" formatCode="General">
                        <c:v>-98.28759036144578</c:v>
                      </c:pt>
                      <c:pt idx="51" formatCode="General">
                        <c:v>-97.564698795180732</c:v>
                      </c:pt>
                      <c:pt idx="52" formatCode="General">
                        <c:v>-96.862000000000009</c:v>
                      </c:pt>
                      <c:pt idx="53" formatCode="General">
                        <c:v>-96.188060606060617</c:v>
                      </c:pt>
                      <c:pt idx="54" formatCode="General">
                        <c:v>-95.522606060606066</c:v>
                      </c:pt>
                      <c:pt idx="55" formatCode="General">
                        <c:v>-94.87290909090909</c:v>
                      </c:pt>
                      <c:pt idx="56" formatCode="General">
                        <c:v>-94.345878787878789</c:v>
                      </c:pt>
                      <c:pt idx="57" formatCode="General">
                        <c:v>-94.12284848484849</c:v>
                      </c:pt>
                      <c:pt idx="58" formatCode="General">
                        <c:v>-93.929490909090916</c:v>
                      </c:pt>
                      <c:pt idx="59" formatCode="General">
                        <c:v>-93.838339393939393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0A0-4879-A477-4ADFA472E536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0A0-4879-A477-4ADFA472E536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0A0-4879-A477-4ADFA472E536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0A0-4879-A477-4ADFA472E536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0A0-4879-A477-4ADFA472E53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0A0-4879-A477-4ADFA472E53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0A0-4879-A477-4ADFA472E53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0A0-4879-A477-4ADFA472E53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0A0-4879-A477-4ADFA472E53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0A0-4879-A477-4ADFA472E53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0A0-4879-A477-4ADFA472E53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0A0-4879-A477-4ADFA472E53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0A0-4879-A477-4ADFA472E53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0A0-4879-A477-4ADFA472E53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0A0-4879-A477-4ADFA472E53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0A0-4879-A477-4ADFA472E53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0A0-4879-A477-4ADFA472E53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0A0-4879-A477-4ADFA472E53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0A0-4879-A477-4ADFA472E53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0A0-4879-A477-4ADFA472E53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0A0-4879-A477-4ADFA472E53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0A0-4879-A477-4ADFA472E53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0A0-4879-A477-4ADFA472E53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0A0-4879-A477-4ADFA472E53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0A0-4879-A477-4ADFA472E53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0A0-4879-A477-4ADFA472E53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0A0-4879-A477-4ADFA472E53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0A0-4879-A477-4ADFA472E53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0A0-4879-A477-4ADFA472E53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0A0-4879-A477-4ADFA472E53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0A0-4879-A477-4ADFA472E53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0A0-4879-A477-4ADFA472E53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-18.963267326732673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 formatCode="General">
                        <c:v>-18.96</c:v>
                      </c:pt>
                      <c:pt idx="5" formatCode="General">
                        <c:v>-18.96</c:v>
                      </c:pt>
                      <c:pt idx="6" formatCode="General">
                        <c:v>-18.962128712871287</c:v>
                      </c:pt>
                      <c:pt idx="7" formatCode="General">
                        <c:v>-18.966089108910889</c:v>
                      </c:pt>
                      <c:pt idx="8" formatCode="General">
                        <c:v>-18.970099009900988</c:v>
                      </c:pt>
                      <c:pt idx="9" formatCode="General">
                        <c:v>-18.978019801980196</c:v>
                      </c:pt>
                      <c:pt idx="10" formatCode="General">
                        <c:v>-18.985940594059404</c:v>
                      </c:pt>
                      <c:pt idx="11" formatCode="General">
                        <c:v>-18.99579207920792</c:v>
                      </c:pt>
                      <c:pt idx="12" formatCode="General">
                        <c:v>-19.00767326732673</c:v>
                      </c:pt>
                      <c:pt idx="13" formatCode="General">
                        <c:v>-19.019554455445544</c:v>
                      </c:pt>
                      <c:pt idx="14" formatCode="General">
                        <c:v>-19.031435643564357</c:v>
                      </c:pt>
                      <c:pt idx="15" formatCode="General">
                        <c:v>-19.043316831683168</c:v>
                      </c:pt>
                      <c:pt idx="16" formatCode="General">
                        <c:v>-19.055198019801981</c:v>
                      </c:pt>
                      <c:pt idx="17" formatCode="General">
                        <c:v>-19.067079207920791</c:v>
                      </c:pt>
                      <c:pt idx="18" formatCode="General">
                        <c:v>-19.078960396039601</c:v>
                      </c:pt>
                      <c:pt idx="19" formatCode="General">
                        <c:v>-19.090855018587359</c:v>
                      </c:pt>
                      <c:pt idx="20" formatCode="General">
                        <c:v>-19.102750929368028</c:v>
                      </c:pt>
                      <c:pt idx="21" formatCode="General">
                        <c:v>-19.114646840148698</c:v>
                      </c:pt>
                      <c:pt idx="22" formatCode="General">
                        <c:v>-19.126542750929367</c:v>
                      </c:pt>
                      <c:pt idx="23" formatCode="General">
                        <c:v>-19.138438661710037</c:v>
                      </c:pt>
                      <c:pt idx="24" formatCode="General">
                        <c:v>-19.150334572490706</c:v>
                      </c:pt>
                      <c:pt idx="25" formatCode="General">
                        <c:v>-19.162230483271376</c:v>
                      </c:pt>
                      <c:pt idx="26" formatCode="General">
                        <c:v>-19.174126394052045</c:v>
                      </c:pt>
                      <c:pt idx="27" formatCode="General">
                        <c:v>-19.186022304832711</c:v>
                      </c:pt>
                      <c:pt idx="28" formatCode="General">
                        <c:v>-19.197918215613381</c:v>
                      </c:pt>
                      <c:pt idx="29" formatCode="General">
                        <c:v>-19.209801980198019</c:v>
                      </c:pt>
                      <c:pt idx="30" formatCode="General">
                        <c:v>-19.221683168316833</c:v>
                      </c:pt>
                      <c:pt idx="31" formatCode="General">
                        <c:v>-19.234752475247525</c:v>
                      </c:pt>
                      <c:pt idx="32" formatCode="General">
                        <c:v>-19.250594059405941</c:v>
                      </c:pt>
                      <c:pt idx="33" formatCode="General">
                        <c:v>-19.266435643564357</c:v>
                      </c:pt>
                      <c:pt idx="34" formatCode="General">
                        <c:v>-19.282277227722773</c:v>
                      </c:pt>
                      <c:pt idx="35" formatCode="General">
                        <c:v>-19.298118811881189</c:v>
                      </c:pt>
                      <c:pt idx="36" formatCode="General">
                        <c:v>-19.314950495049505</c:v>
                      </c:pt>
                      <c:pt idx="37" formatCode="General">
                        <c:v>-19.334752475247523</c:v>
                      </c:pt>
                      <c:pt idx="38" formatCode="General">
                        <c:v>-19.354554455445545</c:v>
                      </c:pt>
                      <c:pt idx="39" formatCode="General">
                        <c:v>-19.37148514851485</c:v>
                      </c:pt>
                      <c:pt idx="40" formatCode="General">
                        <c:v>-19.387326732673266</c:v>
                      </c:pt>
                      <c:pt idx="41" formatCode="General">
                        <c:v>-19.403168316831682</c:v>
                      </c:pt>
                      <c:pt idx="42" formatCode="General">
                        <c:v>-19.419009900990098</c:v>
                      </c:pt>
                      <c:pt idx="43" formatCode="General">
                        <c:v>-19.434851485148517</c:v>
                      </c:pt>
                      <c:pt idx="44" formatCode="General">
                        <c:v>-19.448019801980198</c:v>
                      </c:pt>
                      <c:pt idx="45" formatCode="General">
                        <c:v>-19.459900990099008</c:v>
                      </c:pt>
                      <c:pt idx="46" formatCode="General">
                        <c:v>-19.47059405940594</c:v>
                      </c:pt>
                      <c:pt idx="47" formatCode="General">
                        <c:v>-19.474554455445546</c:v>
                      </c:pt>
                      <c:pt idx="48" formatCode="General">
                        <c:v>-19.478514851485148</c:v>
                      </c:pt>
                      <c:pt idx="49" formatCode="General">
                        <c:v>-19.476902106567536</c:v>
                      </c:pt>
                      <c:pt idx="50" formatCode="General">
                        <c:v>-19.47194547707559</c:v>
                      </c:pt>
                      <c:pt idx="51" formatCode="General">
                        <c:v>-19.466988847583643</c:v>
                      </c:pt>
                      <c:pt idx="52" formatCode="General">
                        <c:v>-19.462032218091696</c:v>
                      </c:pt>
                      <c:pt idx="53" formatCode="General">
                        <c:v>-19.457075588599754</c:v>
                      </c:pt>
                      <c:pt idx="54" formatCode="General">
                        <c:v>-19.452118959107807</c:v>
                      </c:pt>
                      <c:pt idx="55" formatCode="General">
                        <c:v>-19.44716232961586</c:v>
                      </c:pt>
                      <c:pt idx="56" formatCode="General">
                        <c:v>-19.442205700123914</c:v>
                      </c:pt>
                      <c:pt idx="57" formatCode="General">
                        <c:v>-19.437249070631971</c:v>
                      </c:pt>
                      <c:pt idx="58" formatCode="General">
                        <c:v>-19.432292441140024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-19.749702970297029</c:v>
                      </c:pt>
                      <c:pt idx="80" formatCode="General">
                        <c:v>-19.777425742574255</c:v>
                      </c:pt>
                      <c:pt idx="81" formatCode="General">
                        <c:v>-19.805148514851485</c:v>
                      </c:pt>
                      <c:pt idx="82" formatCode="General">
                        <c:v>-19.823069306930691</c:v>
                      </c:pt>
                      <c:pt idx="83" formatCode="General">
                        <c:v>-19.83891089108911</c:v>
                      </c:pt>
                      <c:pt idx="84" formatCode="General">
                        <c:v>-19.850000000000001</c:v>
                      </c:pt>
                      <c:pt idx="85" formatCode="General">
                        <c:v>-19.850000000000001</c:v>
                      </c:pt>
                      <c:pt idx="86" formatCode="General">
                        <c:v>-19.850000000000001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0A0-4879-A477-4ADFA472E53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-61.625643564356437</c:v>
                      </c:pt>
                      <c:pt idx="1">
                        <c:v>-60.46108910891089</c:v>
                      </c:pt>
                      <c:pt idx="2">
                        <c:v>-59.40762376237624</c:v>
                      </c:pt>
                      <c:pt idx="3">
                        <c:v>-58.37148514851485</c:v>
                      </c:pt>
                      <c:pt idx="4" formatCode="General">
                        <c:v>-57.595247524752473</c:v>
                      </c:pt>
                      <c:pt idx="5" formatCode="General">
                        <c:v>-56.819009900990096</c:v>
                      </c:pt>
                      <c:pt idx="6" formatCode="General">
                        <c:v>-56.157722772277225</c:v>
                      </c:pt>
                      <c:pt idx="7" formatCode="General">
                        <c:v>-55.595346534653466</c:v>
                      </c:pt>
                      <c:pt idx="8" formatCode="General">
                        <c:v>-55.034900990099011</c:v>
                      </c:pt>
                      <c:pt idx="9" formatCode="General">
                        <c:v>-54.626980198019801</c:v>
                      </c:pt>
                      <c:pt idx="10" formatCode="General">
                        <c:v>-54.219059405940598</c:v>
                      </c:pt>
                      <c:pt idx="11" formatCode="General">
                        <c:v>-53.853227722772282</c:v>
                      </c:pt>
                      <c:pt idx="12" formatCode="General">
                        <c:v>-53.531643564356436</c:v>
                      </c:pt>
                      <c:pt idx="13" formatCode="General">
                        <c:v>-53.210059405940598</c:v>
                      </c:pt>
                      <c:pt idx="14" formatCode="General">
                        <c:v>-52.949465346534659</c:v>
                      </c:pt>
                      <c:pt idx="15" formatCode="General">
                        <c:v>-52.691247524752484</c:v>
                      </c:pt>
                      <c:pt idx="16" formatCode="General">
                        <c:v>-52.460232673267335</c:v>
                      </c:pt>
                      <c:pt idx="17" formatCode="General">
                        <c:v>-52.264193069306934</c:v>
                      </c:pt>
                      <c:pt idx="18" formatCode="General">
                        <c:v>-52.068153465346533</c:v>
                      </c:pt>
                      <c:pt idx="19" formatCode="General">
                        <c:v>-52.059322180916979</c:v>
                      </c:pt>
                      <c:pt idx="20" formatCode="General">
                        <c:v>-52.068442379182159</c:v>
                      </c:pt>
                      <c:pt idx="21" formatCode="General">
                        <c:v>-52.077562577447338</c:v>
                      </c:pt>
                      <c:pt idx="22" formatCode="General">
                        <c:v>-52.086682775712518</c:v>
                      </c:pt>
                      <c:pt idx="23" formatCode="General">
                        <c:v>-52.095802973977698</c:v>
                      </c:pt>
                      <c:pt idx="24" formatCode="General">
                        <c:v>-52.104923172242877</c:v>
                      </c:pt>
                      <c:pt idx="25" formatCode="General">
                        <c:v>-52.114043370508057</c:v>
                      </c:pt>
                      <c:pt idx="26" formatCode="General">
                        <c:v>-52.123163568773236</c:v>
                      </c:pt>
                      <c:pt idx="27" formatCode="General">
                        <c:v>-52.132283767038416</c:v>
                      </c:pt>
                      <c:pt idx="28" formatCode="General">
                        <c:v>-52.141403965303596</c:v>
                      </c:pt>
                      <c:pt idx="29" formatCode="General">
                        <c:v>-52.312574257425744</c:v>
                      </c:pt>
                      <c:pt idx="30" formatCode="General">
                        <c:v>-52.518118811881187</c:v>
                      </c:pt>
                      <c:pt idx="31" formatCode="General">
                        <c:v>-52.730554455445542</c:v>
                      </c:pt>
                      <c:pt idx="32" formatCode="General">
                        <c:v>-52.959069306930694</c:v>
                      </c:pt>
                      <c:pt idx="33" formatCode="General">
                        <c:v>-53.187584158415845</c:v>
                      </c:pt>
                      <c:pt idx="34" formatCode="General">
                        <c:v>-53.427762376237631</c:v>
                      </c:pt>
                      <c:pt idx="35" formatCode="General">
                        <c:v>-53.671326732673272</c:v>
                      </c:pt>
                      <c:pt idx="36" formatCode="General">
                        <c:v>-53.915782178217817</c:v>
                      </c:pt>
                      <c:pt idx="37" formatCode="General">
                        <c:v>-54.162910891089105</c:v>
                      </c:pt>
                      <c:pt idx="38" formatCode="General">
                        <c:v>-54.410039603960392</c:v>
                      </c:pt>
                      <c:pt idx="39" formatCode="General">
                        <c:v>-54.658316831683166</c:v>
                      </c:pt>
                      <c:pt idx="40" formatCode="General">
                        <c:v>-54.907029702970299</c:v>
                      </c:pt>
                      <c:pt idx="41" formatCode="General">
                        <c:v>-55.154712871287131</c:v>
                      </c:pt>
                      <c:pt idx="42" formatCode="General">
                        <c:v>-55.398277227722772</c:v>
                      </c:pt>
                      <c:pt idx="43" formatCode="General">
                        <c:v>-55.641841584158414</c:v>
                      </c:pt>
                      <c:pt idx="44" formatCode="General">
                        <c:v>-55.88647524752475</c:v>
                      </c:pt>
                      <c:pt idx="45" formatCode="General">
                        <c:v>-56.131623762376236</c:v>
                      </c:pt>
                      <c:pt idx="46" formatCode="General">
                        <c:v>-56.376534653465342</c:v>
                      </c:pt>
                      <c:pt idx="47" formatCode="General">
                        <c:v>-56.62009900990099</c:v>
                      </c:pt>
                      <c:pt idx="48" formatCode="General">
                        <c:v>-56.863663366336631</c:v>
                      </c:pt>
                      <c:pt idx="49" formatCode="General">
                        <c:v>-57.110018587360592</c:v>
                      </c:pt>
                      <c:pt idx="50" formatCode="General">
                        <c:v>-57.358048327137546</c:v>
                      </c:pt>
                      <c:pt idx="51" formatCode="General">
                        <c:v>-57.606078066914492</c:v>
                      </c:pt>
                      <c:pt idx="52" formatCode="General">
                        <c:v>-57.854107806691445</c:v>
                      </c:pt>
                      <c:pt idx="53" formatCode="General">
                        <c:v>-58.102137546468398</c:v>
                      </c:pt>
                      <c:pt idx="54" formatCode="General">
                        <c:v>-58.350167286245345</c:v>
                      </c:pt>
                      <c:pt idx="55" formatCode="General">
                        <c:v>-58.598197026022298</c:v>
                      </c:pt>
                      <c:pt idx="56" formatCode="General">
                        <c:v>-58.846226765799251</c:v>
                      </c:pt>
                      <c:pt idx="57" formatCode="General">
                        <c:v>-59.094256505576197</c:v>
                      </c:pt>
                      <c:pt idx="58" formatCode="General">
                        <c:v>-59.342286245353151</c:v>
                      </c:pt>
                      <c:pt idx="59" formatCode="General">
                        <c:v>-59.583019801980193</c:v>
                      </c:pt>
                      <c:pt idx="60" formatCode="General">
                        <c:v>-59.817475247524747</c:v>
                      </c:pt>
                      <c:pt idx="61" formatCode="General">
                        <c:v>-60.05189603960396</c:v>
                      </c:pt>
                      <c:pt idx="62" formatCode="General">
                        <c:v>-60.283579207920795</c:v>
                      </c:pt>
                      <c:pt idx="63" formatCode="General">
                        <c:v>-60.515262376237622</c:v>
                      </c:pt>
                      <c:pt idx="64" formatCode="General">
                        <c:v>-60.751193069306929</c:v>
                      </c:pt>
                      <c:pt idx="65" formatCode="General">
                        <c:v>-60.991589108910894</c:v>
                      </c:pt>
                      <c:pt idx="66" formatCode="General">
                        <c:v>-61.231985148514852</c:v>
                      </c:pt>
                      <c:pt idx="67" formatCode="General">
                        <c:v>-61.370222772277231</c:v>
                      </c:pt>
                      <c:pt idx="68" formatCode="General">
                        <c:v>-61.504480198019799</c:v>
                      </c:pt>
                      <c:pt idx="69" formatCode="General">
                        <c:v>-61.659931846344485</c:v>
                      </c:pt>
                      <c:pt idx="70" formatCode="General">
                        <c:v>-61.842633209417592</c:v>
                      </c:pt>
                      <c:pt idx="71" formatCode="General">
                        <c:v>-62.025334572490706</c:v>
                      </c:pt>
                      <c:pt idx="72" formatCode="General">
                        <c:v>-62.208035935563814</c:v>
                      </c:pt>
                      <c:pt idx="73" formatCode="General">
                        <c:v>-62.390737298636928</c:v>
                      </c:pt>
                      <c:pt idx="74" formatCode="General">
                        <c:v>-62.573438661710036</c:v>
                      </c:pt>
                      <c:pt idx="75" formatCode="General">
                        <c:v>-62.75614002478315</c:v>
                      </c:pt>
                      <c:pt idx="76" formatCode="General">
                        <c:v>-62.938841387856257</c:v>
                      </c:pt>
                      <c:pt idx="77" formatCode="General">
                        <c:v>-63.121542750929365</c:v>
                      </c:pt>
                      <c:pt idx="78" formatCode="General">
                        <c:v>-63.304244114002479</c:v>
                      </c:pt>
                      <c:pt idx="79" formatCode="General">
                        <c:v>-63.566465346534656</c:v>
                      </c:pt>
                      <c:pt idx="80" formatCode="General">
                        <c:v>-63.97636633663366</c:v>
                      </c:pt>
                      <c:pt idx="81" formatCode="General">
                        <c:v>-64.386267326732678</c:v>
                      </c:pt>
                      <c:pt idx="82" formatCode="General">
                        <c:v>-64.630841584158418</c:v>
                      </c:pt>
                      <c:pt idx="83" formatCode="General">
                        <c:v>-64.840346534653463</c:v>
                      </c:pt>
                      <c:pt idx="84" formatCode="General">
                        <c:v>-64.986999999999995</c:v>
                      </c:pt>
                      <c:pt idx="85" formatCode="General">
                        <c:v>-64.986999999999995</c:v>
                      </c:pt>
                      <c:pt idx="86" formatCode="General">
                        <c:v>-64.986999999999995</c:v>
                      </c:pt>
                      <c:pt idx="87" formatCode="General">
                        <c:v>-65.143227722772281</c:v>
                      </c:pt>
                      <c:pt idx="88" formatCode="General">
                        <c:v>-65.344811881188122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0A0-4879-A477-4ADFA472E53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0A0-4879-A477-4ADFA472E53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-147.3618316831683</c:v>
                      </c:pt>
                      <c:pt idx="1">
                        <c:v>-143.56544554455445</c:v>
                      </c:pt>
                      <c:pt idx="2">
                        <c:v>-139.8981188118812</c:v>
                      </c:pt>
                      <c:pt idx="3">
                        <c:v>-136.24267326732675</c:v>
                      </c:pt>
                      <c:pt idx="4" formatCode="General">
                        <c:v>-132.76544554455447</c:v>
                      </c:pt>
                      <c:pt idx="5" formatCode="General">
                        <c:v>-129.28821782178218</c:v>
                      </c:pt>
                      <c:pt idx="6" formatCode="General">
                        <c:v>-125.90891089108911</c:v>
                      </c:pt>
                      <c:pt idx="7" formatCode="General">
                        <c:v>-122.61386138613861</c:v>
                      </c:pt>
                      <c:pt idx="8" formatCode="General">
                        <c:v>-119.32173267326732</c:v>
                      </c:pt>
                      <c:pt idx="9" formatCode="General">
                        <c:v>-116.26034653465346</c:v>
                      </c:pt>
                      <c:pt idx="10" formatCode="General">
                        <c:v>-113.19896039603961</c:v>
                      </c:pt>
                      <c:pt idx="11" formatCode="General">
                        <c:v>-110.26886138613861</c:v>
                      </c:pt>
                      <c:pt idx="12" formatCode="General">
                        <c:v>-107.47678217821783</c:v>
                      </c:pt>
                      <c:pt idx="13" formatCode="General">
                        <c:v>-104.68470297029704</c:v>
                      </c:pt>
                      <c:pt idx="14" formatCode="General">
                        <c:v>-102.14420792079208</c:v>
                      </c:pt>
                      <c:pt idx="15" formatCode="General">
                        <c:v>-99.613514851485149</c:v>
                      </c:pt>
                      <c:pt idx="16" formatCode="General">
                        <c:v>-97.198910891089113</c:v>
                      </c:pt>
                      <c:pt idx="17" formatCode="General">
                        <c:v>-94.933564356435639</c:v>
                      </c:pt>
                      <c:pt idx="18" formatCode="General">
                        <c:v>-92.668217821782179</c:v>
                      </c:pt>
                      <c:pt idx="19" formatCode="General">
                        <c:v>-90.819132589838901</c:v>
                      </c:pt>
                      <c:pt idx="20" formatCode="General">
                        <c:v>-89.009962825278805</c:v>
                      </c:pt>
                      <c:pt idx="21" formatCode="General">
                        <c:v>-87.200793060718709</c:v>
                      </c:pt>
                      <c:pt idx="22" formatCode="General">
                        <c:v>-85.391623296158613</c:v>
                      </c:pt>
                      <c:pt idx="23" formatCode="General">
                        <c:v>-83.582453531598503</c:v>
                      </c:pt>
                      <c:pt idx="24" formatCode="General">
                        <c:v>-81.773283767038407</c:v>
                      </c:pt>
                      <c:pt idx="25" formatCode="General">
                        <c:v>-79.964114002478311</c:v>
                      </c:pt>
                      <c:pt idx="26" formatCode="General">
                        <c:v>-78.154944237918215</c:v>
                      </c:pt>
                      <c:pt idx="27" formatCode="General">
                        <c:v>-76.345774473358105</c:v>
                      </c:pt>
                      <c:pt idx="28" formatCode="General">
                        <c:v>-74.536604708798009</c:v>
                      </c:pt>
                      <c:pt idx="29" formatCode="General">
                        <c:v>-72.955544554455443</c:v>
                      </c:pt>
                      <c:pt idx="30" formatCode="General">
                        <c:v>-71.422871287128714</c:v>
                      </c:pt>
                      <c:pt idx="31" formatCode="General">
                        <c:v>-69.915148514851481</c:v>
                      </c:pt>
                      <c:pt idx="32" formatCode="General">
                        <c:v>-68.465643564356427</c:v>
                      </c:pt>
                      <c:pt idx="33" formatCode="General">
                        <c:v>-67.016138613861372</c:v>
                      </c:pt>
                      <c:pt idx="34" formatCode="General">
                        <c:v>-65.637227722772266</c:v>
                      </c:pt>
                      <c:pt idx="35" formatCode="General">
                        <c:v>-64.278811881188119</c:v>
                      </c:pt>
                      <c:pt idx="36" formatCode="General">
                        <c:v>-62.942178217821784</c:v>
                      </c:pt>
                      <c:pt idx="37" formatCode="General">
                        <c:v>-61.670891089108913</c:v>
                      </c:pt>
                      <c:pt idx="38" formatCode="General">
                        <c:v>-60.399603960396043</c:v>
                      </c:pt>
                      <c:pt idx="39" formatCode="General">
                        <c:v>-59.18</c:v>
                      </c:pt>
                      <c:pt idx="40" formatCode="General">
                        <c:v>-57.98</c:v>
                      </c:pt>
                      <c:pt idx="41" formatCode="General">
                        <c:v>-56.795049504950491</c:v>
                      </c:pt>
                      <c:pt idx="42" formatCode="General">
                        <c:v>-55.670297029702965</c:v>
                      </c:pt>
                      <c:pt idx="43" formatCode="General">
                        <c:v>-54.545544554455446</c:v>
                      </c:pt>
                      <c:pt idx="44" formatCode="General">
                        <c:v>-53.476930693069306</c:v>
                      </c:pt>
                      <c:pt idx="45" formatCode="General">
                        <c:v>-52.435346534653462</c:v>
                      </c:pt>
                      <c:pt idx="46" formatCode="General">
                        <c:v>-51.412772277227717</c:v>
                      </c:pt>
                      <c:pt idx="47" formatCode="General">
                        <c:v>-50.497920792079199</c:v>
                      </c:pt>
                      <c:pt idx="48" formatCode="General">
                        <c:v>-49.583069306930689</c:v>
                      </c:pt>
                      <c:pt idx="49" formatCode="General">
                        <c:v>-48.934671623296154</c:v>
                      </c:pt>
                      <c:pt idx="50" formatCode="General">
                        <c:v>-48.446146220570007</c:v>
                      </c:pt>
                      <c:pt idx="51" formatCode="General">
                        <c:v>-47.957620817843861</c:v>
                      </c:pt>
                      <c:pt idx="52" formatCode="General">
                        <c:v>-47.469095415117714</c:v>
                      </c:pt>
                      <c:pt idx="53" formatCode="General">
                        <c:v>-46.980570012391574</c:v>
                      </c:pt>
                      <c:pt idx="54" formatCode="General">
                        <c:v>-46.492044609665427</c:v>
                      </c:pt>
                      <c:pt idx="55" formatCode="General">
                        <c:v>-46.003519206939281</c:v>
                      </c:pt>
                      <c:pt idx="56" formatCode="General">
                        <c:v>-45.514993804213134</c:v>
                      </c:pt>
                      <c:pt idx="57" formatCode="General">
                        <c:v>-45.026468401486987</c:v>
                      </c:pt>
                      <c:pt idx="58" formatCode="General">
                        <c:v>-44.53794299876084</c:v>
                      </c:pt>
                      <c:pt idx="59" formatCode="General">
                        <c:v>-44.155326732673267</c:v>
                      </c:pt>
                      <c:pt idx="60" formatCode="General">
                        <c:v>-43.863841584158415</c:v>
                      </c:pt>
                      <c:pt idx="61" formatCode="General">
                        <c:v>-43.572663366336634</c:v>
                      </c:pt>
                      <c:pt idx="62" formatCode="General">
                        <c:v>-43.305732673267329</c:v>
                      </c:pt>
                      <c:pt idx="63" formatCode="General">
                        <c:v>-43.038801980198024</c:v>
                      </c:pt>
                      <c:pt idx="64" formatCode="General">
                        <c:v>-42.784613861386141</c:v>
                      </c:pt>
                      <c:pt idx="65" formatCode="General">
                        <c:v>-42.54382178217822</c:v>
                      </c:pt>
                      <c:pt idx="66" formatCode="General">
                        <c:v>-42.303029702970299</c:v>
                      </c:pt>
                      <c:pt idx="67" formatCode="General">
                        <c:v>-42.261980198019806</c:v>
                      </c:pt>
                      <c:pt idx="68" formatCode="General">
                        <c:v>-42.228712871287129</c:v>
                      </c:pt>
                      <c:pt idx="69" formatCode="General">
                        <c:v>-42.269677819083022</c:v>
                      </c:pt>
                      <c:pt idx="70" formatCode="General">
                        <c:v>-42.406084262701363</c:v>
                      </c:pt>
                      <c:pt idx="71" formatCode="General">
                        <c:v>-42.542490706319704</c:v>
                      </c:pt>
                      <c:pt idx="72" formatCode="General">
                        <c:v>-42.678897149938045</c:v>
                      </c:pt>
                      <c:pt idx="73" formatCode="General">
                        <c:v>-42.815303593556379</c:v>
                      </c:pt>
                      <c:pt idx="74" formatCode="General">
                        <c:v>-42.95171003717472</c:v>
                      </c:pt>
                      <c:pt idx="75" formatCode="General">
                        <c:v>-43.088116480793062</c:v>
                      </c:pt>
                      <c:pt idx="76" formatCode="General">
                        <c:v>-43.224522924411396</c:v>
                      </c:pt>
                      <c:pt idx="77" formatCode="General">
                        <c:v>-43.360929368029737</c:v>
                      </c:pt>
                      <c:pt idx="78" formatCode="General">
                        <c:v>-43.497335811648078</c:v>
                      </c:pt>
                      <c:pt idx="79" formatCode="General">
                        <c:v>-43.687465346534651</c:v>
                      </c:pt>
                      <c:pt idx="80" formatCode="General">
                        <c:v>-43.977366336633658</c:v>
                      </c:pt>
                      <c:pt idx="81" formatCode="General">
                        <c:v>-44.267267326732672</c:v>
                      </c:pt>
                      <c:pt idx="82" formatCode="General">
                        <c:v>-44.437584158415838</c:v>
                      </c:pt>
                      <c:pt idx="83" formatCode="General">
                        <c:v>-44.582534653465345</c:v>
                      </c:pt>
                      <c:pt idx="84" formatCode="General">
                        <c:v>-44.683999999999997</c:v>
                      </c:pt>
                      <c:pt idx="85" formatCode="General">
                        <c:v>-44.683999999999997</c:v>
                      </c:pt>
                      <c:pt idx="86" formatCode="General">
                        <c:v>-44.683999999999997</c:v>
                      </c:pt>
                      <c:pt idx="87" formatCode="General">
                        <c:v>-44.793267326732675</c:v>
                      </c:pt>
                      <c:pt idx="88" formatCode="General">
                        <c:v>-44.93425742574258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0A0-4879-A477-4ADFA472E53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0A0-4879-A477-4ADFA472E53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0A0-4879-A477-4ADFA472E53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0A0-4879-A477-4ADFA472E53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0A0-4879-A477-4ADFA472E53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0A0-4879-A477-4ADFA472E53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0A0-4879-A477-4ADFA472E53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0A0-4879-A477-4ADFA472E53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0A0-4879-A477-4ADFA472E53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0A0-4879-A477-4ADFA472E53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0A0-4879-A477-4ADFA472E53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6"/>
          <c:order val="8"/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EVALUATION!$B$109:$CP$109</c:f>
              <c:numCache>
                <c:formatCode>0</c:formatCode>
                <c:ptCount val="93"/>
                <c:pt idx="0">
                  <c:v>-147.89927272727272</c:v>
                </c:pt>
                <c:pt idx="1">
                  <c:v>-144.41321212121213</c:v>
                </c:pt>
                <c:pt idx="2">
                  <c:v>-140.92715151515151</c:v>
                </c:pt>
                <c:pt idx="3">
                  <c:v>-137.80509090909089</c:v>
                </c:pt>
                <c:pt idx="4" formatCode="General">
                  <c:v>-134.69236363636361</c:v>
                </c:pt>
                <c:pt idx="5" formatCode="General">
                  <c:v>-131.86278787878786</c:v>
                </c:pt>
                <c:pt idx="6" formatCode="General">
                  <c:v>-129.0603636363636</c:v>
                </c:pt>
                <c:pt idx="7" formatCode="General">
                  <c:v>-125.87466666666666</c:v>
                </c:pt>
                <c:pt idx="8" formatCode="General">
                  <c:v>-122.62133333333334</c:v>
                </c:pt>
                <c:pt idx="9" formatCode="General">
                  <c:v>-119.46313253012049</c:v>
                </c:pt>
                <c:pt idx="10" formatCode="General">
                  <c:v>-116.33060240963856</c:v>
                </c:pt>
                <c:pt idx="11" formatCode="General">
                  <c:v>-113.36763636363638</c:v>
                </c:pt>
                <c:pt idx="12" formatCode="General">
                  <c:v>-110.47309090909093</c:v>
                </c:pt>
                <c:pt idx="13" formatCode="General">
                  <c:v>-107.72666666666667</c:v>
                </c:pt>
                <c:pt idx="14" formatCode="General">
                  <c:v>-105.06</c:v>
                </c:pt>
                <c:pt idx="15" formatCode="General">
                  <c:v>-102.65736762481089</c:v>
                </c:pt>
                <c:pt idx="16" formatCode="General">
                  <c:v>-100.44012102874433</c:v>
                </c:pt>
                <c:pt idx="17" formatCode="General">
                  <c:v>-98.222874432677756</c:v>
                </c:pt>
                <c:pt idx="18" formatCode="General">
                  <c:v>-96.005627836611197</c:v>
                </c:pt>
                <c:pt idx="19" formatCode="General">
                  <c:v>-93.788381240544624</c:v>
                </c:pt>
                <c:pt idx="20" formatCode="General">
                  <c:v>-91.571134644478065</c:v>
                </c:pt>
                <c:pt idx="21" formatCode="General">
                  <c:v>-89.353888048411491</c:v>
                </c:pt>
                <c:pt idx="22" formatCode="General">
                  <c:v>-87.136641452344918</c:v>
                </c:pt>
                <c:pt idx="23" formatCode="General">
                  <c:v>-85.036484848484847</c:v>
                </c:pt>
                <c:pt idx="24" formatCode="General">
                  <c:v>-83.179515151515147</c:v>
                </c:pt>
                <c:pt idx="25" formatCode="General">
                  <c:v>-81.36454545454545</c:v>
                </c:pt>
                <c:pt idx="26" formatCode="General">
                  <c:v>-79.667575757575761</c:v>
                </c:pt>
                <c:pt idx="27" formatCode="General">
                  <c:v>-77.970606060606059</c:v>
                </c:pt>
                <c:pt idx="28" formatCode="General">
                  <c:v>-76.273636363636356</c:v>
                </c:pt>
                <c:pt idx="29" formatCode="General">
                  <c:v>-74.59795180722891</c:v>
                </c:pt>
                <c:pt idx="30" formatCode="General">
                  <c:v>-73.055783132530124</c:v>
                </c:pt>
                <c:pt idx="31" formatCode="General">
                  <c:v>-71.525681818181823</c:v>
                </c:pt>
                <c:pt idx="32" formatCode="General">
                  <c:v>-70.176590909090905</c:v>
                </c:pt>
                <c:pt idx="33" formatCode="General">
                  <c:v>-68.827500000000001</c:v>
                </c:pt>
                <c:pt idx="34" formatCode="General">
                  <c:v>-67.478409090909096</c:v>
                </c:pt>
                <c:pt idx="35" formatCode="General">
                  <c:v>-66.129318181818178</c:v>
                </c:pt>
                <c:pt idx="36" formatCode="General">
                  <c:v>-64.780227272727274</c:v>
                </c:pt>
                <c:pt idx="37" formatCode="General">
                  <c:v>-63.431136363636369</c:v>
                </c:pt>
                <c:pt idx="38" formatCode="General">
                  <c:v>-62.082045454545458</c:v>
                </c:pt>
                <c:pt idx="39" formatCode="General">
                  <c:v>-60.732954545454547</c:v>
                </c:pt>
                <c:pt idx="40" formatCode="General">
                  <c:v>-59.586127080181548</c:v>
                </c:pt>
                <c:pt idx="41" formatCode="General">
                  <c:v>-58.485975794251139</c:v>
                </c:pt>
                <c:pt idx="42" formatCode="General">
                  <c:v>-57.385824508320731</c:v>
                </c:pt>
                <c:pt idx="43" formatCode="General">
                  <c:v>-56.285673222390322</c:v>
                </c:pt>
                <c:pt idx="44" formatCode="General">
                  <c:v>-55.185521936459914</c:v>
                </c:pt>
                <c:pt idx="45" formatCode="General">
                  <c:v>-54.085370650529505</c:v>
                </c:pt>
                <c:pt idx="46" formatCode="General">
                  <c:v>-52.985219364599097</c:v>
                </c:pt>
                <c:pt idx="47" formatCode="General">
                  <c:v>-51.885068078668688</c:v>
                </c:pt>
                <c:pt idx="48" formatCode="General">
                  <c:v>-50.848666666666666</c:v>
                </c:pt>
                <c:pt idx="49" formatCode="General">
                  <c:v>-49.864424242424242</c:v>
                </c:pt>
                <c:pt idx="50" formatCode="General">
                  <c:v>-48.904216867469884</c:v>
                </c:pt>
                <c:pt idx="51" formatCode="General">
                  <c:v>-47.969277108433744</c:v>
                </c:pt>
                <c:pt idx="52" formatCode="General">
                  <c:v>-47.050000000000004</c:v>
                </c:pt>
                <c:pt idx="53" formatCode="General">
                  <c:v>-46.153030303030306</c:v>
                </c:pt>
                <c:pt idx="54" formatCode="General">
                  <c:v>-45.2679393939394</c:v>
                </c:pt>
                <c:pt idx="55" formatCode="General">
                  <c:v>-44.404909090909094</c:v>
                </c:pt>
                <c:pt idx="56" formatCode="General">
                  <c:v>-43.664545454545454</c:v>
                </c:pt>
                <c:pt idx="57" formatCode="General">
                  <c:v>-43.228181818181824</c:v>
                </c:pt>
                <c:pt idx="58" formatCode="General">
                  <c:v>-42.821490909090912</c:v>
                </c:pt>
                <c:pt idx="59" formatCode="General">
                  <c:v>-42.517006060606064</c:v>
                </c:pt>
                <c:pt idx="60" formatCode="General">
                  <c:v>-42.214096969696975</c:v>
                </c:pt>
                <c:pt idx="61" formatCode="General">
                  <c:v>-41.919309090909096</c:v>
                </c:pt>
                <c:pt idx="62" formatCode="General">
                  <c:v>-41.644168674698797</c:v>
                </c:pt>
                <c:pt idx="63" formatCode="General">
                  <c:v>-41.545855421686753</c:v>
                </c:pt>
                <c:pt idx="64" formatCode="General">
                  <c:v>-41.454484848484853</c:v>
                </c:pt>
                <c:pt idx="65" formatCode="General">
                  <c:v>-41.633878787878793</c:v>
                </c:pt>
                <c:pt idx="66" formatCode="General">
                  <c:v>-41.813272727272725</c:v>
                </c:pt>
                <c:pt idx="67" formatCode="General">
                  <c:v>-41.993600000000001</c:v>
                </c:pt>
                <c:pt idx="68" formatCode="General">
                  <c:v>-42.173963636363638</c:v>
                </c:pt>
                <c:pt idx="69" formatCode="General">
                  <c:v>-42.356072727272725</c:v>
                </c:pt>
                <c:pt idx="70" formatCode="General">
                  <c:v>-42.538375757575757</c:v>
                </c:pt>
                <c:pt idx="71" formatCode="General">
                  <c:v>-42.72149090909091</c:v>
                </c:pt>
                <c:pt idx="72" formatCode="General">
                  <c:v>-42.904763636363633</c:v>
                </c:pt>
                <c:pt idx="73" formatCode="General">
                  <c:v>-43.088759455370649</c:v>
                </c:pt>
                <c:pt idx="74" formatCode="General">
                  <c:v>-43.272965204236009</c:v>
                </c:pt>
                <c:pt idx="75" formatCode="General">
                  <c:v>-43.457170953101361</c:v>
                </c:pt>
                <c:pt idx="76" formatCode="General">
                  <c:v>-43.64137670196672</c:v>
                </c:pt>
                <c:pt idx="77" formatCode="General">
                  <c:v>-43.825582450832073</c:v>
                </c:pt>
                <c:pt idx="78" formatCode="General">
                  <c:v>-44.009788199697432</c:v>
                </c:pt>
                <c:pt idx="79" formatCode="General">
                  <c:v>-44.193993948562785</c:v>
                </c:pt>
                <c:pt idx="80" formatCode="General">
                  <c:v>-44.378199697428144</c:v>
                </c:pt>
                <c:pt idx="81" formatCode="General">
                  <c:v>-44.567367624810899</c:v>
                </c:pt>
                <c:pt idx="82" formatCode="General">
                  <c:v>-44.761255673222394</c:v>
                </c:pt>
                <c:pt idx="83" formatCode="General">
                  <c:v>-44.955143721633888</c:v>
                </c:pt>
                <c:pt idx="84" formatCode="General">
                  <c:v>-45.14903177004539</c:v>
                </c:pt>
                <c:pt idx="85" formatCode="General">
                  <c:v>-45.342919818456885</c:v>
                </c:pt>
                <c:pt idx="86" formatCode="General">
                  <c:v>-45.536807866868379</c:v>
                </c:pt>
                <c:pt idx="87" formatCode="General">
                  <c:v>-45.730695915279881</c:v>
                </c:pt>
                <c:pt idx="88" formatCode="General">
                  <c:v>-45.924583963691376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B1E-435F-8507-B4F416B9CAB6}"/>
            </c:ext>
          </c:extLst>
        </c:ser>
        <c:ser>
          <c:idx val="42"/>
          <c:order val="43"/>
          <c:spPr>
            <a:ln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EVALUATION!$B$144:$CP$144</c:f>
              <c:numCache>
                <c:formatCode>0</c:formatCode>
                <c:ptCount val="93"/>
                <c:pt idx="0">
                  <c:v>-147.3618316831683</c:v>
                </c:pt>
                <c:pt idx="1">
                  <c:v>-143.56544554455445</c:v>
                </c:pt>
                <c:pt idx="2">
                  <c:v>-139.8981188118812</c:v>
                </c:pt>
                <c:pt idx="3">
                  <c:v>-136.24267326732675</c:v>
                </c:pt>
                <c:pt idx="4" formatCode="General">
                  <c:v>-132.76544554455447</c:v>
                </c:pt>
                <c:pt idx="5" formatCode="General">
                  <c:v>-129.28821782178218</c:v>
                </c:pt>
                <c:pt idx="6" formatCode="General">
                  <c:v>-125.90891089108911</c:v>
                </c:pt>
                <c:pt idx="7" formatCode="General">
                  <c:v>-122.61386138613861</c:v>
                </c:pt>
                <c:pt idx="8" formatCode="General">
                  <c:v>-119.32173267326732</c:v>
                </c:pt>
                <c:pt idx="9" formatCode="General">
                  <c:v>-116.26034653465346</c:v>
                </c:pt>
                <c:pt idx="10" formatCode="General">
                  <c:v>-113.19896039603961</c:v>
                </c:pt>
                <c:pt idx="11" formatCode="General">
                  <c:v>-110.26886138613861</c:v>
                </c:pt>
                <c:pt idx="12" formatCode="General">
                  <c:v>-107.47678217821783</c:v>
                </c:pt>
                <c:pt idx="13" formatCode="General">
                  <c:v>-104.68470297029704</c:v>
                </c:pt>
                <c:pt idx="14" formatCode="General">
                  <c:v>-102.14420792079208</c:v>
                </c:pt>
                <c:pt idx="15" formatCode="General">
                  <c:v>-99.613514851485149</c:v>
                </c:pt>
                <c:pt idx="16" formatCode="General">
                  <c:v>-97.198910891089113</c:v>
                </c:pt>
                <c:pt idx="17" formatCode="General">
                  <c:v>-94.933564356435639</c:v>
                </c:pt>
                <c:pt idx="18" formatCode="General">
                  <c:v>-92.668217821782179</c:v>
                </c:pt>
                <c:pt idx="19" formatCode="General">
                  <c:v>-90.819132589838901</c:v>
                </c:pt>
                <c:pt idx="20" formatCode="General">
                  <c:v>-89.009962825278805</c:v>
                </c:pt>
                <c:pt idx="21" formatCode="General">
                  <c:v>-87.200793060718709</c:v>
                </c:pt>
                <c:pt idx="22" formatCode="General">
                  <c:v>-85.391623296158613</c:v>
                </c:pt>
                <c:pt idx="23" formatCode="General">
                  <c:v>-83.582453531598503</c:v>
                </c:pt>
                <c:pt idx="24" formatCode="General">
                  <c:v>-81.773283767038407</c:v>
                </c:pt>
                <c:pt idx="25" formatCode="General">
                  <c:v>-79.964114002478311</c:v>
                </c:pt>
                <c:pt idx="26" formatCode="General">
                  <c:v>-78.154944237918215</c:v>
                </c:pt>
                <c:pt idx="27" formatCode="General">
                  <c:v>-76.345774473358105</c:v>
                </c:pt>
                <c:pt idx="28" formatCode="General">
                  <c:v>-74.536604708798009</c:v>
                </c:pt>
                <c:pt idx="29" formatCode="General">
                  <c:v>-72.955544554455443</c:v>
                </c:pt>
                <c:pt idx="30" formatCode="General">
                  <c:v>-71.422871287128714</c:v>
                </c:pt>
                <c:pt idx="31" formatCode="General">
                  <c:v>-69.915148514851481</c:v>
                </c:pt>
                <c:pt idx="32" formatCode="General">
                  <c:v>-68.465643564356427</c:v>
                </c:pt>
                <c:pt idx="33" formatCode="General">
                  <c:v>-67.016138613861372</c:v>
                </c:pt>
                <c:pt idx="34" formatCode="General">
                  <c:v>-65.637227722772266</c:v>
                </c:pt>
                <c:pt idx="35" formatCode="General">
                  <c:v>-64.278811881188119</c:v>
                </c:pt>
                <c:pt idx="36" formatCode="General">
                  <c:v>-62.942178217821784</c:v>
                </c:pt>
                <c:pt idx="37" formatCode="General">
                  <c:v>-61.670891089108913</c:v>
                </c:pt>
                <c:pt idx="38" formatCode="General">
                  <c:v>-60.399603960396043</c:v>
                </c:pt>
                <c:pt idx="39" formatCode="General">
                  <c:v>-59.18</c:v>
                </c:pt>
                <c:pt idx="40" formatCode="General">
                  <c:v>-57.98</c:v>
                </c:pt>
                <c:pt idx="41" formatCode="General">
                  <c:v>-56.795049504950491</c:v>
                </c:pt>
                <c:pt idx="42" formatCode="General">
                  <c:v>-55.670297029702965</c:v>
                </c:pt>
                <c:pt idx="43" formatCode="General">
                  <c:v>-54.545544554455446</c:v>
                </c:pt>
                <c:pt idx="44" formatCode="General">
                  <c:v>-53.476930693069306</c:v>
                </c:pt>
                <c:pt idx="45" formatCode="General">
                  <c:v>-52.435346534653462</c:v>
                </c:pt>
                <c:pt idx="46" formatCode="General">
                  <c:v>-51.412772277227717</c:v>
                </c:pt>
                <c:pt idx="47" formatCode="General">
                  <c:v>-50.497920792079199</c:v>
                </c:pt>
                <c:pt idx="48" formatCode="General">
                  <c:v>-49.583069306930689</c:v>
                </c:pt>
                <c:pt idx="49" formatCode="General">
                  <c:v>-48.934671623296154</c:v>
                </c:pt>
                <c:pt idx="50" formatCode="General">
                  <c:v>-48.446146220570007</c:v>
                </c:pt>
                <c:pt idx="51" formatCode="General">
                  <c:v>-47.957620817843861</c:v>
                </c:pt>
                <c:pt idx="52" formatCode="General">
                  <c:v>-47.469095415117714</c:v>
                </c:pt>
                <c:pt idx="53" formatCode="General">
                  <c:v>-46.980570012391574</c:v>
                </c:pt>
                <c:pt idx="54" formatCode="General">
                  <c:v>-46.492044609665427</c:v>
                </c:pt>
                <c:pt idx="55" formatCode="General">
                  <c:v>-46.003519206939281</c:v>
                </c:pt>
                <c:pt idx="56" formatCode="General">
                  <c:v>-45.514993804213134</c:v>
                </c:pt>
                <c:pt idx="57" formatCode="General">
                  <c:v>-45.026468401486987</c:v>
                </c:pt>
                <c:pt idx="58" formatCode="General">
                  <c:v>-44.53794299876084</c:v>
                </c:pt>
                <c:pt idx="59" formatCode="General">
                  <c:v>-44.155326732673267</c:v>
                </c:pt>
                <c:pt idx="60" formatCode="General">
                  <c:v>-43.863841584158415</c:v>
                </c:pt>
                <c:pt idx="61" formatCode="General">
                  <c:v>-43.572663366336634</c:v>
                </c:pt>
                <c:pt idx="62" formatCode="General">
                  <c:v>-43.305732673267329</c:v>
                </c:pt>
                <c:pt idx="63" formatCode="General">
                  <c:v>-43.038801980198024</c:v>
                </c:pt>
                <c:pt idx="64" formatCode="General">
                  <c:v>-42.784613861386141</c:v>
                </c:pt>
                <c:pt idx="65" formatCode="General">
                  <c:v>-42.54382178217822</c:v>
                </c:pt>
                <c:pt idx="66" formatCode="General">
                  <c:v>-42.303029702970299</c:v>
                </c:pt>
                <c:pt idx="67" formatCode="General">
                  <c:v>-42.261980198019806</c:v>
                </c:pt>
                <c:pt idx="68" formatCode="General">
                  <c:v>-42.228712871287129</c:v>
                </c:pt>
                <c:pt idx="69" formatCode="General">
                  <c:v>-42.269677819083022</c:v>
                </c:pt>
                <c:pt idx="70" formatCode="General">
                  <c:v>-42.406084262701363</c:v>
                </c:pt>
                <c:pt idx="71" formatCode="General">
                  <c:v>-42.542490706319704</c:v>
                </c:pt>
                <c:pt idx="72" formatCode="General">
                  <c:v>-42.678897149938045</c:v>
                </c:pt>
                <c:pt idx="73" formatCode="General">
                  <c:v>-42.815303593556379</c:v>
                </c:pt>
                <c:pt idx="74" formatCode="General">
                  <c:v>-42.95171003717472</c:v>
                </c:pt>
                <c:pt idx="75" formatCode="General">
                  <c:v>-43.088116480793062</c:v>
                </c:pt>
                <c:pt idx="76" formatCode="General">
                  <c:v>-43.224522924411396</c:v>
                </c:pt>
                <c:pt idx="77" formatCode="General">
                  <c:v>-43.360929368029737</c:v>
                </c:pt>
                <c:pt idx="78" formatCode="General">
                  <c:v>-43.497335811648078</c:v>
                </c:pt>
                <c:pt idx="79" formatCode="General">
                  <c:v>-43.687465346534651</c:v>
                </c:pt>
                <c:pt idx="80" formatCode="General">
                  <c:v>-43.977366336633658</c:v>
                </c:pt>
                <c:pt idx="81" formatCode="General">
                  <c:v>-44.267267326732672</c:v>
                </c:pt>
                <c:pt idx="82" formatCode="General">
                  <c:v>-44.437584158415838</c:v>
                </c:pt>
                <c:pt idx="83" formatCode="General">
                  <c:v>-44.582534653465345</c:v>
                </c:pt>
                <c:pt idx="84" formatCode="General">
                  <c:v>-44.683999999999997</c:v>
                </c:pt>
                <c:pt idx="85" formatCode="General">
                  <c:v>-44.683999999999997</c:v>
                </c:pt>
                <c:pt idx="86" formatCode="General">
                  <c:v>-44.683999999999997</c:v>
                </c:pt>
                <c:pt idx="87" formatCode="General">
                  <c:v>-44.793267326732675</c:v>
                </c:pt>
                <c:pt idx="88" formatCode="General">
                  <c:v>-44.93425742574258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B1E-435F-8507-B4F416B9CAB6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-192.68327272727274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1E-435F-8507-B4F416B9C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CB1E-435F-8507-B4F416B9CAB6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-27.003936363636363</c:v>
                      </c:pt>
                      <c:pt idx="26" formatCode="General">
                        <c:v>-26.843693939393937</c:v>
                      </c:pt>
                      <c:pt idx="27" formatCode="General">
                        <c:v>-26.683451515151514</c:v>
                      </c:pt>
                      <c:pt idx="28" formatCode="General">
                        <c:v>-26.523209090909088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-28.963266666666666</c:v>
                      </c:pt>
                      <c:pt idx="49" formatCode="General">
                        <c:v>-29.094660606060604</c:v>
                      </c:pt>
                      <c:pt idx="50" formatCode="General">
                        <c:v>-29.223084337349398</c:v>
                      </c:pt>
                      <c:pt idx="51" formatCode="General">
                        <c:v>-29.348385542168675</c:v>
                      </c:pt>
                      <c:pt idx="52" formatCode="General">
                        <c:v>-29.476199999999999</c:v>
                      </c:pt>
                      <c:pt idx="53" formatCode="General">
                        <c:v>-29.607593939393936</c:v>
                      </c:pt>
                      <c:pt idx="54" formatCode="General">
                        <c:v>-29.73712121212121</c:v>
                      </c:pt>
                      <c:pt idx="55" formatCode="General">
                        <c:v>-29.863181818181815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B1E-435F-8507-B4F416B9CAB6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CB1E-435F-8507-B4F416B9C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B1E-435F-8507-B4F416B9CAB6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B1E-435F-8507-B4F416B9CAB6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B1E-435F-8507-B4F416B9CAB6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B1E-435F-8507-B4F416B9CAB6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-48.805754545454548</c:v>
                      </c:pt>
                      <c:pt idx="26" formatCode="General">
                        <c:v>-48.766724242424246</c:v>
                      </c:pt>
                      <c:pt idx="27" formatCode="General">
                        <c:v>-48.727693939393944</c:v>
                      </c:pt>
                      <c:pt idx="28" formatCode="General">
                        <c:v>-48.688663636363636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-53.434600000000003</c:v>
                      </c:pt>
                      <c:pt idx="49" formatCode="General">
                        <c:v>-53.677509090909091</c:v>
                      </c:pt>
                      <c:pt idx="50" formatCode="General">
                        <c:v>-53.914771084337346</c:v>
                      </c:pt>
                      <c:pt idx="51" formatCode="General">
                        <c:v>-54.146096385542165</c:v>
                      </c:pt>
                      <c:pt idx="52" formatCode="General">
                        <c:v>-54.382199999999997</c:v>
                      </c:pt>
                      <c:pt idx="53" formatCode="General">
                        <c:v>-54.625109090909092</c:v>
                      </c:pt>
                      <c:pt idx="54" formatCode="General">
                        <c:v>-54.864454545454542</c:v>
                      </c:pt>
                      <c:pt idx="55" formatCode="General">
                        <c:v>-55.097181818181816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B1E-435F-8507-B4F416B9CAB6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-192.68327272727274</c:v>
                      </c:pt>
                      <c:pt idx="1">
                        <c:v>-188.23721212121214</c:v>
                      </c:pt>
                      <c:pt idx="2">
                        <c:v>-183.79115151515151</c:v>
                      </c:pt>
                      <c:pt idx="3">
                        <c:v>-179.8130909090909</c:v>
                      </c:pt>
                      <c:pt idx="4" formatCode="General">
                        <c:v>-175.84703030303029</c:v>
                      </c:pt>
                      <c:pt idx="5" formatCode="General">
                        <c:v>-172.25260606060604</c:v>
                      </c:pt>
                      <c:pt idx="6" formatCode="General">
                        <c:v>-168.69381818181819</c:v>
                      </c:pt>
                      <c:pt idx="7" formatCode="General">
                        <c:v>-165.41939393939393</c:v>
                      </c:pt>
                      <c:pt idx="8" formatCode="General">
                        <c:v>-162.19515151515151</c:v>
                      </c:pt>
                      <c:pt idx="9" formatCode="General">
                        <c:v>-159.22530120481926</c:v>
                      </c:pt>
                      <c:pt idx="10" formatCode="General">
                        <c:v>-156.32409638554219</c:v>
                      </c:pt>
                      <c:pt idx="11" formatCode="General">
                        <c:v>-153.60036363636365</c:v>
                      </c:pt>
                      <c:pt idx="12" formatCode="General">
                        <c:v>-150.94824242424244</c:v>
                      </c:pt>
                      <c:pt idx="13" formatCode="General">
                        <c:v>-148.43793939393942</c:v>
                      </c:pt>
                      <c:pt idx="14" formatCode="General">
                        <c:v>-146.00400000000002</c:v>
                      </c:pt>
                      <c:pt idx="15" formatCode="General">
                        <c:v>-143.83957639939487</c:v>
                      </c:pt>
                      <c:pt idx="16" formatCode="General">
                        <c:v>-141.86438729198184</c:v>
                      </c:pt>
                      <c:pt idx="17" formatCode="General">
                        <c:v>-139.88919818456884</c:v>
                      </c:pt>
                      <c:pt idx="18" formatCode="General">
                        <c:v>-137.91400907715584</c:v>
                      </c:pt>
                      <c:pt idx="19" formatCode="General">
                        <c:v>-135.93881996974281</c:v>
                      </c:pt>
                      <c:pt idx="20" formatCode="General">
                        <c:v>-133.96363086232981</c:v>
                      </c:pt>
                      <c:pt idx="21" formatCode="General">
                        <c:v>-131.98844175491681</c:v>
                      </c:pt>
                      <c:pt idx="22" formatCode="General">
                        <c:v>-130.01325264750378</c:v>
                      </c:pt>
                      <c:pt idx="23" formatCode="General">
                        <c:v>-128.15527272727272</c:v>
                      </c:pt>
                      <c:pt idx="24" formatCode="General">
                        <c:v>-126.54072727272727</c:v>
                      </c:pt>
                      <c:pt idx="25" formatCode="General">
                        <c:v>-124.9681818181818</c:v>
                      </c:pt>
                      <c:pt idx="26" formatCode="General">
                        <c:v>-123.51363636363635</c:v>
                      </c:pt>
                      <c:pt idx="27" formatCode="General">
                        <c:v>-122.0590909090909</c:v>
                      </c:pt>
                      <c:pt idx="28" formatCode="General">
                        <c:v>-120.60454545454544</c:v>
                      </c:pt>
                      <c:pt idx="29" formatCode="General">
                        <c:v>-119.16975903614457</c:v>
                      </c:pt>
                      <c:pt idx="30" formatCode="General">
                        <c:v>-117.8589156626506</c:v>
                      </c:pt>
                      <c:pt idx="31" formatCode="General">
                        <c:v>-116.56037878787879</c:v>
                      </c:pt>
                      <c:pt idx="32" formatCode="General">
                        <c:v>-115.44643939393939</c:v>
                      </c:pt>
                      <c:pt idx="33" formatCode="General">
                        <c:v>-114.3325</c:v>
                      </c:pt>
                      <c:pt idx="34" formatCode="General">
                        <c:v>-113.21856060606061</c:v>
                      </c:pt>
                      <c:pt idx="35" formatCode="General">
                        <c:v>-112.1046212121212</c:v>
                      </c:pt>
                      <c:pt idx="36" formatCode="General">
                        <c:v>-110.99068181818181</c:v>
                      </c:pt>
                      <c:pt idx="37" formatCode="General">
                        <c:v>-109.87674242424242</c:v>
                      </c:pt>
                      <c:pt idx="38" formatCode="General">
                        <c:v>-108.76280303030303</c:v>
                      </c:pt>
                      <c:pt idx="39" formatCode="General">
                        <c:v>-107.64886363636363</c:v>
                      </c:pt>
                      <c:pt idx="40" formatCode="General">
                        <c:v>-106.72903177004538</c:v>
                      </c:pt>
                      <c:pt idx="41" formatCode="General">
                        <c:v>-105.85399394856279</c:v>
                      </c:pt>
                      <c:pt idx="42" formatCode="General">
                        <c:v>-104.97895612708018</c:v>
                      </c:pt>
                      <c:pt idx="43" formatCode="General">
                        <c:v>-104.10391830559759</c:v>
                      </c:pt>
                      <c:pt idx="44" formatCode="General">
                        <c:v>-103.22888048411498</c:v>
                      </c:pt>
                      <c:pt idx="45" formatCode="General">
                        <c:v>-102.35384266263239</c:v>
                      </c:pt>
                      <c:pt idx="46" formatCode="General">
                        <c:v>-101.47880484114978</c:v>
                      </c:pt>
                      <c:pt idx="47" formatCode="General">
                        <c:v>-100.60376701966717</c:v>
                      </c:pt>
                      <c:pt idx="48" formatCode="General">
                        <c:v>-99.791333333333341</c:v>
                      </c:pt>
                      <c:pt idx="49" formatCode="General">
                        <c:v>-99.030121212121216</c:v>
                      </c:pt>
                      <c:pt idx="50" formatCode="General">
                        <c:v>-98.28759036144578</c:v>
                      </c:pt>
                      <c:pt idx="51" formatCode="General">
                        <c:v>-97.564698795180732</c:v>
                      </c:pt>
                      <c:pt idx="52" formatCode="General">
                        <c:v>-96.862000000000009</c:v>
                      </c:pt>
                      <c:pt idx="53" formatCode="General">
                        <c:v>-96.188060606060617</c:v>
                      </c:pt>
                      <c:pt idx="54" formatCode="General">
                        <c:v>-95.522606060606066</c:v>
                      </c:pt>
                      <c:pt idx="55" formatCode="General">
                        <c:v>-94.87290909090909</c:v>
                      </c:pt>
                      <c:pt idx="56" formatCode="General">
                        <c:v>-94.345878787878789</c:v>
                      </c:pt>
                      <c:pt idx="57" formatCode="General">
                        <c:v>-94.12284848484849</c:v>
                      </c:pt>
                      <c:pt idx="58" formatCode="General">
                        <c:v>-93.929490909090916</c:v>
                      </c:pt>
                      <c:pt idx="59" formatCode="General">
                        <c:v>-93.838339393939393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B1E-435F-8507-B4F416B9CAB6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B1E-435F-8507-B4F416B9CAB6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B1E-435F-8507-B4F416B9CAB6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B1E-435F-8507-B4F416B9CAB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B1E-435F-8507-B4F416B9CAB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B1E-435F-8507-B4F416B9CAB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B1E-435F-8507-B4F416B9CAB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B1E-435F-8507-B4F416B9CAB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B1E-435F-8507-B4F416B9CAB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B1E-435F-8507-B4F416B9CAB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B1E-435F-8507-B4F416B9CAB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B1E-435F-8507-B4F416B9CAB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B1E-435F-8507-B4F416B9CAB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B1E-435F-8507-B4F416B9CAB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B1E-435F-8507-B4F416B9CAB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B1E-435F-8507-B4F416B9CAB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B1E-435F-8507-B4F416B9CAB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B1E-435F-8507-B4F416B9CAB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B1E-435F-8507-B4F416B9CAB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B1E-435F-8507-B4F416B9CAB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B1E-435F-8507-B4F416B9CAB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B1E-435F-8507-B4F416B9CAB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B1E-435F-8507-B4F416B9CAB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B1E-435F-8507-B4F416B9CAB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B1E-435F-8507-B4F416B9CAB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B1E-435F-8507-B4F416B9CAB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B1E-435F-8507-B4F416B9CAB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B1E-435F-8507-B4F416B9CAB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B1E-435F-8507-B4F416B9CAB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B1E-435F-8507-B4F416B9CAB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B1E-435F-8507-B4F416B9CAB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-18.963267326732673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 formatCode="General">
                        <c:v>-18.96</c:v>
                      </c:pt>
                      <c:pt idx="5" formatCode="General">
                        <c:v>-18.96</c:v>
                      </c:pt>
                      <c:pt idx="6" formatCode="General">
                        <c:v>-18.962128712871287</c:v>
                      </c:pt>
                      <c:pt idx="7" formatCode="General">
                        <c:v>-18.966089108910889</c:v>
                      </c:pt>
                      <c:pt idx="8" formatCode="General">
                        <c:v>-18.970099009900988</c:v>
                      </c:pt>
                      <c:pt idx="9" formatCode="General">
                        <c:v>-18.978019801980196</c:v>
                      </c:pt>
                      <c:pt idx="10" formatCode="General">
                        <c:v>-18.985940594059404</c:v>
                      </c:pt>
                      <c:pt idx="11" formatCode="General">
                        <c:v>-18.99579207920792</c:v>
                      </c:pt>
                      <c:pt idx="12" formatCode="General">
                        <c:v>-19.00767326732673</c:v>
                      </c:pt>
                      <c:pt idx="13" formatCode="General">
                        <c:v>-19.019554455445544</c:v>
                      </c:pt>
                      <c:pt idx="14" formatCode="General">
                        <c:v>-19.031435643564357</c:v>
                      </c:pt>
                      <c:pt idx="15" formatCode="General">
                        <c:v>-19.043316831683168</c:v>
                      </c:pt>
                      <c:pt idx="16" formatCode="General">
                        <c:v>-19.055198019801981</c:v>
                      </c:pt>
                      <c:pt idx="17" formatCode="General">
                        <c:v>-19.067079207920791</c:v>
                      </c:pt>
                      <c:pt idx="18" formatCode="General">
                        <c:v>-19.078960396039601</c:v>
                      </c:pt>
                      <c:pt idx="19" formatCode="General">
                        <c:v>-19.090855018587359</c:v>
                      </c:pt>
                      <c:pt idx="20" formatCode="General">
                        <c:v>-19.102750929368028</c:v>
                      </c:pt>
                      <c:pt idx="21" formatCode="General">
                        <c:v>-19.114646840148698</c:v>
                      </c:pt>
                      <c:pt idx="22" formatCode="General">
                        <c:v>-19.126542750929367</c:v>
                      </c:pt>
                      <c:pt idx="23" formatCode="General">
                        <c:v>-19.138438661710037</c:v>
                      </c:pt>
                      <c:pt idx="24" formatCode="General">
                        <c:v>-19.150334572490706</c:v>
                      </c:pt>
                      <c:pt idx="25" formatCode="General">
                        <c:v>-19.162230483271376</c:v>
                      </c:pt>
                      <c:pt idx="26" formatCode="General">
                        <c:v>-19.174126394052045</c:v>
                      </c:pt>
                      <c:pt idx="27" formatCode="General">
                        <c:v>-19.186022304832711</c:v>
                      </c:pt>
                      <c:pt idx="28" formatCode="General">
                        <c:v>-19.197918215613381</c:v>
                      </c:pt>
                      <c:pt idx="29" formatCode="General">
                        <c:v>-19.209801980198019</c:v>
                      </c:pt>
                      <c:pt idx="30" formatCode="General">
                        <c:v>-19.221683168316833</c:v>
                      </c:pt>
                      <c:pt idx="31" formatCode="General">
                        <c:v>-19.234752475247525</c:v>
                      </c:pt>
                      <c:pt idx="32" formatCode="General">
                        <c:v>-19.250594059405941</c:v>
                      </c:pt>
                      <c:pt idx="33" formatCode="General">
                        <c:v>-19.266435643564357</c:v>
                      </c:pt>
                      <c:pt idx="34" formatCode="General">
                        <c:v>-19.282277227722773</c:v>
                      </c:pt>
                      <c:pt idx="35" formatCode="General">
                        <c:v>-19.298118811881189</c:v>
                      </c:pt>
                      <c:pt idx="36" formatCode="General">
                        <c:v>-19.314950495049505</c:v>
                      </c:pt>
                      <c:pt idx="37" formatCode="General">
                        <c:v>-19.334752475247523</c:v>
                      </c:pt>
                      <c:pt idx="38" formatCode="General">
                        <c:v>-19.354554455445545</c:v>
                      </c:pt>
                      <c:pt idx="39" formatCode="General">
                        <c:v>-19.37148514851485</c:v>
                      </c:pt>
                      <c:pt idx="40" formatCode="General">
                        <c:v>-19.387326732673266</c:v>
                      </c:pt>
                      <c:pt idx="41" formatCode="General">
                        <c:v>-19.403168316831682</c:v>
                      </c:pt>
                      <c:pt idx="42" formatCode="General">
                        <c:v>-19.419009900990098</c:v>
                      </c:pt>
                      <c:pt idx="43" formatCode="General">
                        <c:v>-19.434851485148517</c:v>
                      </c:pt>
                      <c:pt idx="44" formatCode="General">
                        <c:v>-19.448019801980198</c:v>
                      </c:pt>
                      <c:pt idx="45" formatCode="General">
                        <c:v>-19.459900990099008</c:v>
                      </c:pt>
                      <c:pt idx="46" formatCode="General">
                        <c:v>-19.47059405940594</c:v>
                      </c:pt>
                      <c:pt idx="47" formatCode="General">
                        <c:v>-19.474554455445546</c:v>
                      </c:pt>
                      <c:pt idx="48" formatCode="General">
                        <c:v>-19.478514851485148</c:v>
                      </c:pt>
                      <c:pt idx="49" formatCode="General">
                        <c:v>-19.476902106567536</c:v>
                      </c:pt>
                      <c:pt idx="50" formatCode="General">
                        <c:v>-19.47194547707559</c:v>
                      </c:pt>
                      <c:pt idx="51" formatCode="General">
                        <c:v>-19.466988847583643</c:v>
                      </c:pt>
                      <c:pt idx="52" formatCode="General">
                        <c:v>-19.462032218091696</c:v>
                      </c:pt>
                      <c:pt idx="53" formatCode="General">
                        <c:v>-19.457075588599754</c:v>
                      </c:pt>
                      <c:pt idx="54" formatCode="General">
                        <c:v>-19.452118959107807</c:v>
                      </c:pt>
                      <c:pt idx="55" formatCode="General">
                        <c:v>-19.44716232961586</c:v>
                      </c:pt>
                      <c:pt idx="56" formatCode="General">
                        <c:v>-19.442205700123914</c:v>
                      </c:pt>
                      <c:pt idx="57" formatCode="General">
                        <c:v>-19.437249070631971</c:v>
                      </c:pt>
                      <c:pt idx="58" formatCode="General">
                        <c:v>-19.432292441140024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-19.749702970297029</c:v>
                      </c:pt>
                      <c:pt idx="80" formatCode="General">
                        <c:v>-19.777425742574255</c:v>
                      </c:pt>
                      <c:pt idx="81" formatCode="General">
                        <c:v>-19.805148514851485</c:v>
                      </c:pt>
                      <c:pt idx="82" formatCode="General">
                        <c:v>-19.823069306930691</c:v>
                      </c:pt>
                      <c:pt idx="83" formatCode="General">
                        <c:v>-19.83891089108911</c:v>
                      </c:pt>
                      <c:pt idx="84" formatCode="General">
                        <c:v>-19.850000000000001</c:v>
                      </c:pt>
                      <c:pt idx="85" formatCode="General">
                        <c:v>-19.850000000000001</c:v>
                      </c:pt>
                      <c:pt idx="86" formatCode="General">
                        <c:v>-19.850000000000001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B1E-435F-8507-B4F416B9CAB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-61.625643564356437</c:v>
                      </c:pt>
                      <c:pt idx="1">
                        <c:v>-60.46108910891089</c:v>
                      </c:pt>
                      <c:pt idx="2">
                        <c:v>-59.40762376237624</c:v>
                      </c:pt>
                      <c:pt idx="3">
                        <c:v>-58.37148514851485</c:v>
                      </c:pt>
                      <c:pt idx="4" formatCode="General">
                        <c:v>-57.595247524752473</c:v>
                      </c:pt>
                      <c:pt idx="5" formatCode="General">
                        <c:v>-56.819009900990096</c:v>
                      </c:pt>
                      <c:pt idx="6" formatCode="General">
                        <c:v>-56.157722772277225</c:v>
                      </c:pt>
                      <c:pt idx="7" formatCode="General">
                        <c:v>-55.595346534653466</c:v>
                      </c:pt>
                      <c:pt idx="8" formatCode="General">
                        <c:v>-55.034900990099011</c:v>
                      </c:pt>
                      <c:pt idx="9" formatCode="General">
                        <c:v>-54.626980198019801</c:v>
                      </c:pt>
                      <c:pt idx="10" formatCode="General">
                        <c:v>-54.219059405940598</c:v>
                      </c:pt>
                      <c:pt idx="11" formatCode="General">
                        <c:v>-53.853227722772282</c:v>
                      </c:pt>
                      <c:pt idx="12" formatCode="General">
                        <c:v>-53.531643564356436</c:v>
                      </c:pt>
                      <c:pt idx="13" formatCode="General">
                        <c:v>-53.210059405940598</c:v>
                      </c:pt>
                      <c:pt idx="14" formatCode="General">
                        <c:v>-52.949465346534659</c:v>
                      </c:pt>
                      <c:pt idx="15" formatCode="General">
                        <c:v>-52.691247524752484</c:v>
                      </c:pt>
                      <c:pt idx="16" formatCode="General">
                        <c:v>-52.460232673267335</c:v>
                      </c:pt>
                      <c:pt idx="17" formatCode="General">
                        <c:v>-52.264193069306934</c:v>
                      </c:pt>
                      <c:pt idx="18" formatCode="General">
                        <c:v>-52.068153465346533</c:v>
                      </c:pt>
                      <c:pt idx="19" formatCode="General">
                        <c:v>-52.059322180916979</c:v>
                      </c:pt>
                      <c:pt idx="20" formatCode="General">
                        <c:v>-52.068442379182159</c:v>
                      </c:pt>
                      <c:pt idx="21" formatCode="General">
                        <c:v>-52.077562577447338</c:v>
                      </c:pt>
                      <c:pt idx="22" formatCode="General">
                        <c:v>-52.086682775712518</c:v>
                      </c:pt>
                      <c:pt idx="23" formatCode="General">
                        <c:v>-52.095802973977698</c:v>
                      </c:pt>
                      <c:pt idx="24" formatCode="General">
                        <c:v>-52.104923172242877</c:v>
                      </c:pt>
                      <c:pt idx="25" formatCode="General">
                        <c:v>-52.114043370508057</c:v>
                      </c:pt>
                      <c:pt idx="26" formatCode="General">
                        <c:v>-52.123163568773236</c:v>
                      </c:pt>
                      <c:pt idx="27" formatCode="General">
                        <c:v>-52.132283767038416</c:v>
                      </c:pt>
                      <c:pt idx="28" formatCode="General">
                        <c:v>-52.141403965303596</c:v>
                      </c:pt>
                      <c:pt idx="29" formatCode="General">
                        <c:v>-52.312574257425744</c:v>
                      </c:pt>
                      <c:pt idx="30" formatCode="General">
                        <c:v>-52.518118811881187</c:v>
                      </c:pt>
                      <c:pt idx="31" formatCode="General">
                        <c:v>-52.730554455445542</c:v>
                      </c:pt>
                      <c:pt idx="32" formatCode="General">
                        <c:v>-52.959069306930694</c:v>
                      </c:pt>
                      <c:pt idx="33" formatCode="General">
                        <c:v>-53.187584158415845</c:v>
                      </c:pt>
                      <c:pt idx="34" formatCode="General">
                        <c:v>-53.427762376237631</c:v>
                      </c:pt>
                      <c:pt idx="35" formatCode="General">
                        <c:v>-53.671326732673272</c:v>
                      </c:pt>
                      <c:pt idx="36" formatCode="General">
                        <c:v>-53.915782178217817</c:v>
                      </c:pt>
                      <c:pt idx="37" formatCode="General">
                        <c:v>-54.162910891089105</c:v>
                      </c:pt>
                      <c:pt idx="38" formatCode="General">
                        <c:v>-54.410039603960392</c:v>
                      </c:pt>
                      <c:pt idx="39" formatCode="General">
                        <c:v>-54.658316831683166</c:v>
                      </c:pt>
                      <c:pt idx="40" formatCode="General">
                        <c:v>-54.907029702970299</c:v>
                      </c:pt>
                      <c:pt idx="41" formatCode="General">
                        <c:v>-55.154712871287131</c:v>
                      </c:pt>
                      <c:pt idx="42" formatCode="General">
                        <c:v>-55.398277227722772</c:v>
                      </c:pt>
                      <c:pt idx="43" formatCode="General">
                        <c:v>-55.641841584158414</c:v>
                      </c:pt>
                      <c:pt idx="44" formatCode="General">
                        <c:v>-55.88647524752475</c:v>
                      </c:pt>
                      <c:pt idx="45" formatCode="General">
                        <c:v>-56.131623762376236</c:v>
                      </c:pt>
                      <c:pt idx="46" formatCode="General">
                        <c:v>-56.376534653465342</c:v>
                      </c:pt>
                      <c:pt idx="47" formatCode="General">
                        <c:v>-56.62009900990099</c:v>
                      </c:pt>
                      <c:pt idx="48" formatCode="General">
                        <c:v>-56.863663366336631</c:v>
                      </c:pt>
                      <c:pt idx="49" formatCode="General">
                        <c:v>-57.110018587360592</c:v>
                      </c:pt>
                      <c:pt idx="50" formatCode="General">
                        <c:v>-57.358048327137546</c:v>
                      </c:pt>
                      <c:pt idx="51" formatCode="General">
                        <c:v>-57.606078066914492</c:v>
                      </c:pt>
                      <c:pt idx="52" formatCode="General">
                        <c:v>-57.854107806691445</c:v>
                      </c:pt>
                      <c:pt idx="53" formatCode="General">
                        <c:v>-58.102137546468398</c:v>
                      </c:pt>
                      <c:pt idx="54" formatCode="General">
                        <c:v>-58.350167286245345</c:v>
                      </c:pt>
                      <c:pt idx="55" formatCode="General">
                        <c:v>-58.598197026022298</c:v>
                      </c:pt>
                      <c:pt idx="56" formatCode="General">
                        <c:v>-58.846226765799251</c:v>
                      </c:pt>
                      <c:pt idx="57" formatCode="General">
                        <c:v>-59.094256505576197</c:v>
                      </c:pt>
                      <c:pt idx="58" formatCode="General">
                        <c:v>-59.342286245353151</c:v>
                      </c:pt>
                      <c:pt idx="59" formatCode="General">
                        <c:v>-59.583019801980193</c:v>
                      </c:pt>
                      <c:pt idx="60" formatCode="General">
                        <c:v>-59.817475247524747</c:v>
                      </c:pt>
                      <c:pt idx="61" formatCode="General">
                        <c:v>-60.05189603960396</c:v>
                      </c:pt>
                      <c:pt idx="62" formatCode="General">
                        <c:v>-60.283579207920795</c:v>
                      </c:pt>
                      <c:pt idx="63" formatCode="General">
                        <c:v>-60.515262376237622</c:v>
                      </c:pt>
                      <c:pt idx="64" formatCode="General">
                        <c:v>-60.751193069306929</c:v>
                      </c:pt>
                      <c:pt idx="65" formatCode="General">
                        <c:v>-60.991589108910894</c:v>
                      </c:pt>
                      <c:pt idx="66" formatCode="General">
                        <c:v>-61.231985148514852</c:v>
                      </c:pt>
                      <c:pt idx="67" formatCode="General">
                        <c:v>-61.370222772277231</c:v>
                      </c:pt>
                      <c:pt idx="68" formatCode="General">
                        <c:v>-61.504480198019799</c:v>
                      </c:pt>
                      <c:pt idx="69" formatCode="General">
                        <c:v>-61.659931846344485</c:v>
                      </c:pt>
                      <c:pt idx="70" formatCode="General">
                        <c:v>-61.842633209417592</c:v>
                      </c:pt>
                      <c:pt idx="71" formatCode="General">
                        <c:v>-62.025334572490706</c:v>
                      </c:pt>
                      <c:pt idx="72" formatCode="General">
                        <c:v>-62.208035935563814</c:v>
                      </c:pt>
                      <c:pt idx="73" formatCode="General">
                        <c:v>-62.390737298636928</c:v>
                      </c:pt>
                      <c:pt idx="74" formatCode="General">
                        <c:v>-62.573438661710036</c:v>
                      </c:pt>
                      <c:pt idx="75" formatCode="General">
                        <c:v>-62.75614002478315</c:v>
                      </c:pt>
                      <c:pt idx="76" formatCode="General">
                        <c:v>-62.938841387856257</c:v>
                      </c:pt>
                      <c:pt idx="77" formatCode="General">
                        <c:v>-63.121542750929365</c:v>
                      </c:pt>
                      <c:pt idx="78" formatCode="General">
                        <c:v>-63.304244114002479</c:v>
                      </c:pt>
                      <c:pt idx="79" formatCode="General">
                        <c:v>-63.566465346534656</c:v>
                      </c:pt>
                      <c:pt idx="80" formatCode="General">
                        <c:v>-63.97636633663366</c:v>
                      </c:pt>
                      <c:pt idx="81" formatCode="General">
                        <c:v>-64.386267326732678</c:v>
                      </c:pt>
                      <c:pt idx="82" formatCode="General">
                        <c:v>-64.630841584158418</c:v>
                      </c:pt>
                      <c:pt idx="83" formatCode="General">
                        <c:v>-64.840346534653463</c:v>
                      </c:pt>
                      <c:pt idx="84" formatCode="General">
                        <c:v>-64.986999999999995</c:v>
                      </c:pt>
                      <c:pt idx="85" formatCode="General">
                        <c:v>-64.986999999999995</c:v>
                      </c:pt>
                      <c:pt idx="86" formatCode="General">
                        <c:v>-64.986999999999995</c:v>
                      </c:pt>
                      <c:pt idx="87" formatCode="General">
                        <c:v>-65.143227722772281</c:v>
                      </c:pt>
                      <c:pt idx="88" formatCode="General">
                        <c:v>-65.344811881188122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B1E-435F-8507-B4F416B9CAB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B1E-435F-8507-B4F416B9CAB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B1E-435F-8507-B4F416B9CAB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B1E-435F-8507-B4F416B9CAB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B1E-435F-8507-B4F416B9CAB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B1E-435F-8507-B4F416B9CAB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B1E-435F-8507-B4F416B9CAB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B1E-435F-8507-B4F416B9CAB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B1E-435F-8507-B4F416B9CAB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B1E-435F-8507-B4F416B9CAB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B1E-435F-8507-B4F416B9CAB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B1E-435F-8507-B4F416B9CAB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B1E-435F-8507-B4F416B9CAB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-60.423818181818177</c:v>
                </c:pt>
                <c:pt idx="1">
                  <c:v>-59.19230303030303</c:v>
                </c:pt>
                <c:pt idx="2">
                  <c:v>-57.960787878787883</c:v>
                </c:pt>
                <c:pt idx="3">
                  <c:v>-56.861636363636364</c:v>
                </c:pt>
                <c:pt idx="4" formatCode="General">
                  <c:v>-55.76587878787879</c:v>
                </c:pt>
                <c:pt idx="5" formatCode="General">
                  <c:v>-54.789575757575761</c:v>
                </c:pt>
                <c:pt idx="6" formatCode="General">
                  <c:v>-53.82472727272728</c:v>
                </c:pt>
                <c:pt idx="7" formatCode="General">
                  <c:v>-53.239030303030304</c:v>
                </c:pt>
                <c:pt idx="8" formatCode="General">
                  <c:v>-52.720242424242421</c:v>
                </c:pt>
                <c:pt idx="9" formatCode="General">
                  <c:v>-52.32536144578313</c:v>
                </c:pt>
                <c:pt idx="10" formatCode="General">
                  <c:v>-51.963915662650599</c:v>
                </c:pt>
                <c:pt idx="11" formatCode="General">
                  <c:v>-51.64236363636364</c:v>
                </c:pt>
                <c:pt idx="12" formatCode="General">
                  <c:v>-51.336909090909096</c:v>
                </c:pt>
                <c:pt idx="13" formatCode="General">
                  <c:v>-51.048787878787884</c:v>
                </c:pt>
                <c:pt idx="14" formatCode="General">
                  <c:v>-50.77</c:v>
                </c:pt>
                <c:pt idx="15" formatCode="General">
                  <c:v>-50.543010590015129</c:v>
                </c:pt>
                <c:pt idx="16" formatCode="General">
                  <c:v>-50.352390317700454</c:v>
                </c:pt>
                <c:pt idx="17" formatCode="General">
                  <c:v>-50.161770045385779</c:v>
                </c:pt>
                <c:pt idx="18" formatCode="General">
                  <c:v>-49.971149773071105</c:v>
                </c:pt>
                <c:pt idx="19" formatCode="General">
                  <c:v>-49.78052950075643</c:v>
                </c:pt>
                <c:pt idx="20" formatCode="General">
                  <c:v>-49.589909228441755</c:v>
                </c:pt>
                <c:pt idx="21" formatCode="General">
                  <c:v>-49.39928895612708</c:v>
                </c:pt>
                <c:pt idx="22" formatCode="General">
                  <c:v>-49.208668683812405</c:v>
                </c:pt>
                <c:pt idx="23" formatCode="General">
                  <c:v>-49.038399999999996</c:v>
                </c:pt>
                <c:pt idx="24" formatCode="General">
                  <c:v>-48.910400000000003</c:v>
                </c:pt>
                <c:pt idx="25" formatCode="General">
                  <c:v>-48.805754545454548</c:v>
                </c:pt>
                <c:pt idx="26" formatCode="General">
                  <c:v>-48.766724242424246</c:v>
                </c:pt>
                <c:pt idx="27" formatCode="General">
                  <c:v>-48.727693939393944</c:v>
                </c:pt>
                <c:pt idx="28" formatCode="General">
                  <c:v>-48.688663636363636</c:v>
                </c:pt>
                <c:pt idx="29" formatCode="General">
                  <c:v>-48.689457831325306</c:v>
                </c:pt>
                <c:pt idx="30" formatCode="General">
                  <c:v>-48.940060240963859</c:v>
                </c:pt>
                <c:pt idx="31" formatCode="General">
                  <c:v>-49.190924242424245</c:v>
                </c:pt>
                <c:pt idx="32" formatCode="General">
                  <c:v>-49.445712121212125</c:v>
                </c:pt>
                <c:pt idx="33" formatCode="General">
                  <c:v>-49.700500000000005</c:v>
                </c:pt>
                <c:pt idx="34" formatCode="General">
                  <c:v>-49.955287878787885</c:v>
                </c:pt>
                <c:pt idx="35" formatCode="General">
                  <c:v>-50.210075757575758</c:v>
                </c:pt>
                <c:pt idx="36" formatCode="General">
                  <c:v>-50.464863636363638</c:v>
                </c:pt>
                <c:pt idx="37" formatCode="General">
                  <c:v>-50.719651515151519</c:v>
                </c:pt>
                <c:pt idx="38" formatCode="General">
                  <c:v>-50.974439393939399</c:v>
                </c:pt>
                <c:pt idx="39" formatCode="General">
                  <c:v>-51.229227272727272</c:v>
                </c:pt>
                <c:pt idx="40" formatCode="General">
                  <c:v>-51.476031770045388</c:v>
                </c:pt>
                <c:pt idx="41" formatCode="General">
                  <c:v>-51.720993948562786</c:v>
                </c:pt>
                <c:pt idx="42" formatCode="General">
                  <c:v>-51.965956127080183</c:v>
                </c:pt>
                <c:pt idx="43" formatCode="General">
                  <c:v>-52.210918305597581</c:v>
                </c:pt>
                <c:pt idx="44" formatCode="General">
                  <c:v>-52.455880484114978</c:v>
                </c:pt>
                <c:pt idx="45" formatCode="General">
                  <c:v>-52.700842662632375</c:v>
                </c:pt>
                <c:pt idx="46" formatCode="General">
                  <c:v>-52.945804841149773</c:v>
                </c:pt>
                <c:pt idx="47" formatCode="General">
                  <c:v>-53.19076701966717</c:v>
                </c:pt>
                <c:pt idx="48" formatCode="General">
                  <c:v>-53.434600000000003</c:v>
                </c:pt>
                <c:pt idx="49" formatCode="General">
                  <c:v>-53.677509090909091</c:v>
                </c:pt>
                <c:pt idx="50" formatCode="General">
                  <c:v>-53.914771084337346</c:v>
                </c:pt>
                <c:pt idx="51" formatCode="General">
                  <c:v>-54.146096385542165</c:v>
                </c:pt>
                <c:pt idx="52" formatCode="General">
                  <c:v>-54.382199999999997</c:v>
                </c:pt>
                <c:pt idx="53" formatCode="General">
                  <c:v>-54.625109090909092</c:v>
                </c:pt>
                <c:pt idx="54" formatCode="General">
                  <c:v>-54.864454545454542</c:v>
                </c:pt>
                <c:pt idx="55" formatCode="General">
                  <c:v>-55.097181818181816</c:v>
                </c:pt>
                <c:pt idx="56" formatCode="General">
                  <c:v>-55.329909090909091</c:v>
                </c:pt>
                <c:pt idx="57" formatCode="General">
                  <c:v>-55.562636363636365</c:v>
                </c:pt>
                <c:pt idx="58" formatCode="General">
                  <c:v>-55.795254545454547</c:v>
                </c:pt>
                <c:pt idx="59" formatCode="General">
                  <c:v>-56.027496969696969</c:v>
                </c:pt>
                <c:pt idx="60" formatCode="General">
                  <c:v>-56.258242424242425</c:v>
                </c:pt>
                <c:pt idx="61" formatCode="General">
                  <c:v>-56.481272727272724</c:v>
                </c:pt>
                <c:pt idx="62" formatCode="General">
                  <c:v>-56.705084337349398</c:v>
                </c:pt>
                <c:pt idx="63" formatCode="General">
                  <c:v>-56.935927710843373</c:v>
                </c:pt>
                <c:pt idx="64" formatCode="General">
                  <c:v>-57.166563636363641</c:v>
                </c:pt>
                <c:pt idx="65" formatCode="General">
                  <c:v>-57.389109090909095</c:v>
                </c:pt>
                <c:pt idx="66" formatCode="General">
                  <c:v>-57.611654545454549</c:v>
                </c:pt>
                <c:pt idx="67" formatCode="General">
                  <c:v>-57.833733333333342</c:v>
                </c:pt>
                <c:pt idx="68" formatCode="General">
                  <c:v>-58.055793939393944</c:v>
                </c:pt>
                <c:pt idx="69" formatCode="General">
                  <c:v>-58.278290909090913</c:v>
                </c:pt>
                <c:pt idx="70" formatCode="General">
                  <c:v>-58.500836363636367</c:v>
                </c:pt>
                <c:pt idx="71" formatCode="General">
                  <c:v>-58.72297575757576</c:v>
                </c:pt>
                <c:pt idx="72" formatCode="General">
                  <c:v>-58.945036363636362</c:v>
                </c:pt>
                <c:pt idx="73" formatCode="General">
                  <c:v>-59.1609273827534</c:v>
                </c:pt>
                <c:pt idx="74" formatCode="General">
                  <c:v>-59.37502723146747</c:v>
                </c:pt>
                <c:pt idx="75" formatCode="General">
                  <c:v>-59.589127080181541</c:v>
                </c:pt>
                <c:pt idx="76" formatCode="General">
                  <c:v>-59.803226928895612</c:v>
                </c:pt>
                <c:pt idx="77" formatCode="General">
                  <c:v>-60.017326777609682</c:v>
                </c:pt>
                <c:pt idx="78" formatCode="General">
                  <c:v>-60.231426626323746</c:v>
                </c:pt>
                <c:pt idx="79" formatCode="General">
                  <c:v>-60.445526475037816</c:v>
                </c:pt>
                <c:pt idx="80" formatCode="General">
                  <c:v>-60.659626323751887</c:v>
                </c:pt>
                <c:pt idx="81" formatCode="General">
                  <c:v>-60.87099697428139</c:v>
                </c:pt>
                <c:pt idx="82" formatCode="General">
                  <c:v>-61.079771558245078</c:v>
                </c:pt>
                <c:pt idx="83" formatCode="General">
                  <c:v>-61.288546142208773</c:v>
                </c:pt>
                <c:pt idx="84" formatCode="General">
                  <c:v>-61.497320726172468</c:v>
                </c:pt>
                <c:pt idx="85" formatCode="General">
                  <c:v>-61.706095310136156</c:v>
                </c:pt>
                <c:pt idx="86" formatCode="General">
                  <c:v>-61.914869894099851</c:v>
                </c:pt>
                <c:pt idx="87" formatCode="General">
                  <c:v>-62.12364447806354</c:v>
                </c:pt>
                <c:pt idx="88" formatCode="General">
                  <c:v>-62.332419062027235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6D-4EDF-91AA-D13AB1320EA3}"/>
            </c:ext>
          </c:extLst>
        </c:ser>
        <c:ser>
          <c:idx val="38"/>
          <c:order val="40"/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-61.625643564356437</c:v>
                </c:pt>
                <c:pt idx="1">
                  <c:v>-60.46108910891089</c:v>
                </c:pt>
                <c:pt idx="2">
                  <c:v>-59.40762376237624</c:v>
                </c:pt>
                <c:pt idx="3">
                  <c:v>-58.37148514851485</c:v>
                </c:pt>
                <c:pt idx="4" formatCode="General">
                  <c:v>-57.595247524752473</c:v>
                </c:pt>
                <c:pt idx="5" formatCode="General">
                  <c:v>-56.819009900990096</c:v>
                </c:pt>
                <c:pt idx="6" formatCode="General">
                  <c:v>-56.157722772277225</c:v>
                </c:pt>
                <c:pt idx="7" formatCode="General">
                  <c:v>-55.595346534653466</c:v>
                </c:pt>
                <c:pt idx="8" formatCode="General">
                  <c:v>-55.034900990099011</c:v>
                </c:pt>
                <c:pt idx="9" formatCode="General">
                  <c:v>-54.626980198019801</c:v>
                </c:pt>
                <c:pt idx="10" formatCode="General">
                  <c:v>-54.219059405940598</c:v>
                </c:pt>
                <c:pt idx="11" formatCode="General">
                  <c:v>-53.853227722772282</c:v>
                </c:pt>
                <c:pt idx="12" formatCode="General">
                  <c:v>-53.531643564356436</c:v>
                </c:pt>
                <c:pt idx="13" formatCode="General">
                  <c:v>-53.210059405940598</c:v>
                </c:pt>
                <c:pt idx="14" formatCode="General">
                  <c:v>-52.949465346534659</c:v>
                </c:pt>
                <c:pt idx="15" formatCode="General">
                  <c:v>-52.691247524752484</c:v>
                </c:pt>
                <c:pt idx="16" formatCode="General">
                  <c:v>-52.460232673267335</c:v>
                </c:pt>
                <c:pt idx="17" formatCode="General">
                  <c:v>-52.264193069306934</c:v>
                </c:pt>
                <c:pt idx="18" formatCode="General">
                  <c:v>-52.068153465346533</c:v>
                </c:pt>
                <c:pt idx="19" formatCode="General">
                  <c:v>-52.059322180916979</c:v>
                </c:pt>
                <c:pt idx="20" formatCode="General">
                  <c:v>-52.068442379182159</c:v>
                </c:pt>
                <c:pt idx="21" formatCode="General">
                  <c:v>-52.077562577447338</c:v>
                </c:pt>
                <c:pt idx="22" formatCode="General">
                  <c:v>-52.086682775712518</c:v>
                </c:pt>
                <c:pt idx="23" formatCode="General">
                  <c:v>-52.095802973977698</c:v>
                </c:pt>
                <c:pt idx="24" formatCode="General">
                  <c:v>-52.104923172242877</c:v>
                </c:pt>
                <c:pt idx="25" formatCode="General">
                  <c:v>-52.114043370508057</c:v>
                </c:pt>
                <c:pt idx="26" formatCode="General">
                  <c:v>-52.123163568773236</c:v>
                </c:pt>
                <c:pt idx="27" formatCode="General">
                  <c:v>-52.132283767038416</c:v>
                </c:pt>
                <c:pt idx="28" formatCode="General">
                  <c:v>-52.141403965303596</c:v>
                </c:pt>
                <c:pt idx="29" formatCode="General">
                  <c:v>-52.312574257425744</c:v>
                </c:pt>
                <c:pt idx="30" formatCode="General">
                  <c:v>-52.518118811881187</c:v>
                </c:pt>
                <c:pt idx="31" formatCode="General">
                  <c:v>-52.730554455445542</c:v>
                </c:pt>
                <c:pt idx="32" formatCode="General">
                  <c:v>-52.959069306930694</c:v>
                </c:pt>
                <c:pt idx="33" formatCode="General">
                  <c:v>-53.187584158415845</c:v>
                </c:pt>
                <c:pt idx="34" formatCode="General">
                  <c:v>-53.427762376237631</c:v>
                </c:pt>
                <c:pt idx="35" formatCode="General">
                  <c:v>-53.671326732673272</c:v>
                </c:pt>
                <c:pt idx="36" formatCode="General">
                  <c:v>-53.915782178217817</c:v>
                </c:pt>
                <c:pt idx="37" formatCode="General">
                  <c:v>-54.162910891089105</c:v>
                </c:pt>
                <c:pt idx="38" formatCode="General">
                  <c:v>-54.410039603960392</c:v>
                </c:pt>
                <c:pt idx="39" formatCode="General">
                  <c:v>-54.658316831683166</c:v>
                </c:pt>
                <c:pt idx="40" formatCode="General">
                  <c:v>-54.907029702970299</c:v>
                </c:pt>
                <c:pt idx="41" formatCode="General">
                  <c:v>-55.154712871287131</c:v>
                </c:pt>
                <c:pt idx="42" formatCode="General">
                  <c:v>-55.398277227722772</c:v>
                </c:pt>
                <c:pt idx="43" formatCode="General">
                  <c:v>-55.641841584158414</c:v>
                </c:pt>
                <c:pt idx="44" formatCode="General">
                  <c:v>-55.88647524752475</c:v>
                </c:pt>
                <c:pt idx="45" formatCode="General">
                  <c:v>-56.131623762376236</c:v>
                </c:pt>
                <c:pt idx="46" formatCode="General">
                  <c:v>-56.376534653465342</c:v>
                </c:pt>
                <c:pt idx="47" formatCode="General">
                  <c:v>-56.62009900990099</c:v>
                </c:pt>
                <c:pt idx="48" formatCode="General">
                  <c:v>-56.863663366336631</c:v>
                </c:pt>
                <c:pt idx="49" formatCode="General">
                  <c:v>-57.110018587360592</c:v>
                </c:pt>
                <c:pt idx="50" formatCode="General">
                  <c:v>-57.358048327137546</c:v>
                </c:pt>
                <c:pt idx="51" formatCode="General">
                  <c:v>-57.606078066914492</c:v>
                </c:pt>
                <c:pt idx="52" formatCode="General">
                  <c:v>-57.854107806691445</c:v>
                </c:pt>
                <c:pt idx="53" formatCode="General">
                  <c:v>-58.102137546468398</c:v>
                </c:pt>
                <c:pt idx="54" formatCode="General">
                  <c:v>-58.350167286245345</c:v>
                </c:pt>
                <c:pt idx="55" formatCode="General">
                  <c:v>-58.598197026022298</c:v>
                </c:pt>
                <c:pt idx="56" formatCode="General">
                  <c:v>-58.846226765799251</c:v>
                </c:pt>
                <c:pt idx="57" formatCode="General">
                  <c:v>-59.094256505576197</c:v>
                </c:pt>
                <c:pt idx="58" formatCode="General">
                  <c:v>-59.342286245353151</c:v>
                </c:pt>
                <c:pt idx="59" formatCode="General">
                  <c:v>-59.583019801980193</c:v>
                </c:pt>
                <c:pt idx="60" formatCode="General">
                  <c:v>-59.817475247524747</c:v>
                </c:pt>
                <c:pt idx="61" formatCode="General">
                  <c:v>-60.05189603960396</c:v>
                </c:pt>
                <c:pt idx="62" formatCode="General">
                  <c:v>-60.283579207920795</c:v>
                </c:pt>
                <c:pt idx="63" formatCode="General">
                  <c:v>-60.515262376237622</c:v>
                </c:pt>
                <c:pt idx="64" formatCode="General">
                  <c:v>-60.751193069306929</c:v>
                </c:pt>
                <c:pt idx="65" formatCode="General">
                  <c:v>-60.991589108910894</c:v>
                </c:pt>
                <c:pt idx="66" formatCode="General">
                  <c:v>-61.231985148514852</c:v>
                </c:pt>
                <c:pt idx="67" formatCode="General">
                  <c:v>-61.370222772277231</c:v>
                </c:pt>
                <c:pt idx="68" formatCode="General">
                  <c:v>-61.504480198019799</c:v>
                </c:pt>
                <c:pt idx="69" formatCode="General">
                  <c:v>-61.659931846344485</c:v>
                </c:pt>
                <c:pt idx="70" formatCode="General">
                  <c:v>-61.842633209417592</c:v>
                </c:pt>
                <c:pt idx="71" formatCode="General">
                  <c:v>-62.025334572490706</c:v>
                </c:pt>
                <c:pt idx="72" formatCode="General">
                  <c:v>-62.208035935563814</c:v>
                </c:pt>
                <c:pt idx="73" formatCode="General">
                  <c:v>-62.390737298636928</c:v>
                </c:pt>
                <c:pt idx="74" formatCode="General">
                  <c:v>-62.573438661710036</c:v>
                </c:pt>
                <c:pt idx="75" formatCode="General">
                  <c:v>-62.75614002478315</c:v>
                </c:pt>
                <c:pt idx="76" formatCode="General">
                  <c:v>-62.938841387856257</c:v>
                </c:pt>
                <c:pt idx="77" formatCode="General">
                  <c:v>-63.121542750929365</c:v>
                </c:pt>
                <c:pt idx="78" formatCode="General">
                  <c:v>-63.304244114002479</c:v>
                </c:pt>
                <c:pt idx="79" formatCode="General">
                  <c:v>-63.566465346534656</c:v>
                </c:pt>
                <c:pt idx="80" formatCode="General">
                  <c:v>-63.97636633663366</c:v>
                </c:pt>
                <c:pt idx="81" formatCode="General">
                  <c:v>-64.386267326732678</c:v>
                </c:pt>
                <c:pt idx="82" formatCode="General">
                  <c:v>-64.630841584158418</c:v>
                </c:pt>
                <c:pt idx="83" formatCode="General">
                  <c:v>-64.840346534653463</c:v>
                </c:pt>
                <c:pt idx="84" formatCode="General">
                  <c:v>-64.986999999999995</c:v>
                </c:pt>
                <c:pt idx="85" formatCode="General">
                  <c:v>-64.986999999999995</c:v>
                </c:pt>
                <c:pt idx="86" formatCode="General">
                  <c:v>-64.986999999999995</c:v>
                </c:pt>
                <c:pt idx="87" formatCode="General">
                  <c:v>-65.143227722772281</c:v>
                </c:pt>
                <c:pt idx="88" formatCode="General">
                  <c:v>-65.344811881188122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C6D-4EDF-91AA-D13AB1320EA3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5C6D-4EDF-91AA-D13AB1320EA3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-192.68327272727274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6D-4EDF-91AA-D13AB1320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5C6D-4EDF-91AA-D13AB1320EA3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-27.003936363636363</c:v>
                      </c:pt>
                      <c:pt idx="26" formatCode="General">
                        <c:v>-26.843693939393937</c:v>
                      </c:pt>
                      <c:pt idx="27" formatCode="General">
                        <c:v>-26.683451515151514</c:v>
                      </c:pt>
                      <c:pt idx="28" formatCode="General">
                        <c:v>-26.523209090909088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-28.963266666666666</c:v>
                      </c:pt>
                      <c:pt idx="49" formatCode="General">
                        <c:v>-29.094660606060604</c:v>
                      </c:pt>
                      <c:pt idx="50" formatCode="General">
                        <c:v>-29.223084337349398</c:v>
                      </c:pt>
                      <c:pt idx="51" formatCode="General">
                        <c:v>-29.348385542168675</c:v>
                      </c:pt>
                      <c:pt idx="52" formatCode="General">
                        <c:v>-29.476199999999999</c:v>
                      </c:pt>
                      <c:pt idx="53" formatCode="General">
                        <c:v>-29.607593939393936</c:v>
                      </c:pt>
                      <c:pt idx="54" formatCode="General">
                        <c:v>-29.73712121212121</c:v>
                      </c:pt>
                      <c:pt idx="55" formatCode="General">
                        <c:v>-29.863181818181815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C6D-4EDF-91AA-D13AB1320EA3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5C6D-4EDF-91AA-D13AB1320EA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C6D-4EDF-91AA-D13AB1320EA3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C6D-4EDF-91AA-D13AB1320EA3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C6D-4EDF-91AA-D13AB1320EA3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C6D-4EDF-91AA-D13AB1320EA3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-192.68327272727274</c:v>
                      </c:pt>
                      <c:pt idx="1">
                        <c:v>-188.23721212121214</c:v>
                      </c:pt>
                      <c:pt idx="2">
                        <c:v>-183.79115151515151</c:v>
                      </c:pt>
                      <c:pt idx="3">
                        <c:v>-179.8130909090909</c:v>
                      </c:pt>
                      <c:pt idx="4" formatCode="General">
                        <c:v>-175.84703030303029</c:v>
                      </c:pt>
                      <c:pt idx="5" formatCode="General">
                        <c:v>-172.25260606060604</c:v>
                      </c:pt>
                      <c:pt idx="6" formatCode="General">
                        <c:v>-168.69381818181819</c:v>
                      </c:pt>
                      <c:pt idx="7" formatCode="General">
                        <c:v>-165.41939393939393</c:v>
                      </c:pt>
                      <c:pt idx="8" formatCode="General">
                        <c:v>-162.19515151515151</c:v>
                      </c:pt>
                      <c:pt idx="9" formatCode="General">
                        <c:v>-159.22530120481926</c:v>
                      </c:pt>
                      <c:pt idx="10" formatCode="General">
                        <c:v>-156.32409638554219</c:v>
                      </c:pt>
                      <c:pt idx="11" formatCode="General">
                        <c:v>-153.60036363636365</c:v>
                      </c:pt>
                      <c:pt idx="12" formatCode="General">
                        <c:v>-150.94824242424244</c:v>
                      </c:pt>
                      <c:pt idx="13" formatCode="General">
                        <c:v>-148.43793939393942</c:v>
                      </c:pt>
                      <c:pt idx="14" formatCode="General">
                        <c:v>-146.00400000000002</c:v>
                      </c:pt>
                      <c:pt idx="15" formatCode="General">
                        <c:v>-143.83957639939487</c:v>
                      </c:pt>
                      <c:pt idx="16" formatCode="General">
                        <c:v>-141.86438729198184</c:v>
                      </c:pt>
                      <c:pt idx="17" formatCode="General">
                        <c:v>-139.88919818456884</c:v>
                      </c:pt>
                      <c:pt idx="18" formatCode="General">
                        <c:v>-137.91400907715584</c:v>
                      </c:pt>
                      <c:pt idx="19" formatCode="General">
                        <c:v>-135.93881996974281</c:v>
                      </c:pt>
                      <c:pt idx="20" formatCode="General">
                        <c:v>-133.96363086232981</c:v>
                      </c:pt>
                      <c:pt idx="21" formatCode="General">
                        <c:v>-131.98844175491681</c:v>
                      </c:pt>
                      <c:pt idx="22" formatCode="General">
                        <c:v>-130.01325264750378</c:v>
                      </c:pt>
                      <c:pt idx="23" formatCode="General">
                        <c:v>-128.15527272727272</c:v>
                      </c:pt>
                      <c:pt idx="24" formatCode="General">
                        <c:v>-126.54072727272727</c:v>
                      </c:pt>
                      <c:pt idx="25" formatCode="General">
                        <c:v>-124.9681818181818</c:v>
                      </c:pt>
                      <c:pt idx="26" formatCode="General">
                        <c:v>-123.51363636363635</c:v>
                      </c:pt>
                      <c:pt idx="27" formatCode="General">
                        <c:v>-122.0590909090909</c:v>
                      </c:pt>
                      <c:pt idx="28" formatCode="General">
                        <c:v>-120.60454545454544</c:v>
                      </c:pt>
                      <c:pt idx="29" formatCode="General">
                        <c:v>-119.16975903614457</c:v>
                      </c:pt>
                      <c:pt idx="30" formatCode="General">
                        <c:v>-117.8589156626506</c:v>
                      </c:pt>
                      <c:pt idx="31" formatCode="General">
                        <c:v>-116.56037878787879</c:v>
                      </c:pt>
                      <c:pt idx="32" formatCode="General">
                        <c:v>-115.44643939393939</c:v>
                      </c:pt>
                      <c:pt idx="33" formatCode="General">
                        <c:v>-114.3325</c:v>
                      </c:pt>
                      <c:pt idx="34" formatCode="General">
                        <c:v>-113.21856060606061</c:v>
                      </c:pt>
                      <c:pt idx="35" formatCode="General">
                        <c:v>-112.1046212121212</c:v>
                      </c:pt>
                      <c:pt idx="36" formatCode="General">
                        <c:v>-110.99068181818181</c:v>
                      </c:pt>
                      <c:pt idx="37" formatCode="General">
                        <c:v>-109.87674242424242</c:v>
                      </c:pt>
                      <c:pt idx="38" formatCode="General">
                        <c:v>-108.76280303030303</c:v>
                      </c:pt>
                      <c:pt idx="39" formatCode="General">
                        <c:v>-107.64886363636363</c:v>
                      </c:pt>
                      <c:pt idx="40" formatCode="General">
                        <c:v>-106.72903177004538</c:v>
                      </c:pt>
                      <c:pt idx="41" formatCode="General">
                        <c:v>-105.85399394856279</c:v>
                      </c:pt>
                      <c:pt idx="42" formatCode="General">
                        <c:v>-104.97895612708018</c:v>
                      </c:pt>
                      <c:pt idx="43" formatCode="General">
                        <c:v>-104.10391830559759</c:v>
                      </c:pt>
                      <c:pt idx="44" formatCode="General">
                        <c:v>-103.22888048411498</c:v>
                      </c:pt>
                      <c:pt idx="45" formatCode="General">
                        <c:v>-102.35384266263239</c:v>
                      </c:pt>
                      <c:pt idx="46" formatCode="General">
                        <c:v>-101.47880484114978</c:v>
                      </c:pt>
                      <c:pt idx="47" formatCode="General">
                        <c:v>-100.60376701966717</c:v>
                      </c:pt>
                      <c:pt idx="48" formatCode="General">
                        <c:v>-99.791333333333341</c:v>
                      </c:pt>
                      <c:pt idx="49" formatCode="General">
                        <c:v>-99.030121212121216</c:v>
                      </c:pt>
                      <c:pt idx="50" formatCode="General">
                        <c:v>-98.28759036144578</c:v>
                      </c:pt>
                      <c:pt idx="51" formatCode="General">
                        <c:v>-97.564698795180732</c:v>
                      </c:pt>
                      <c:pt idx="52" formatCode="General">
                        <c:v>-96.862000000000009</c:v>
                      </c:pt>
                      <c:pt idx="53" formatCode="General">
                        <c:v>-96.188060606060617</c:v>
                      </c:pt>
                      <c:pt idx="54" formatCode="General">
                        <c:v>-95.522606060606066</c:v>
                      </c:pt>
                      <c:pt idx="55" formatCode="General">
                        <c:v>-94.87290909090909</c:v>
                      </c:pt>
                      <c:pt idx="56" formatCode="General">
                        <c:v>-94.345878787878789</c:v>
                      </c:pt>
                      <c:pt idx="57" formatCode="General">
                        <c:v>-94.12284848484849</c:v>
                      </c:pt>
                      <c:pt idx="58" formatCode="General">
                        <c:v>-93.929490909090916</c:v>
                      </c:pt>
                      <c:pt idx="59" formatCode="General">
                        <c:v>-93.838339393939393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C6D-4EDF-91AA-D13AB1320EA3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C6D-4EDF-91AA-D13AB1320EA3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C6D-4EDF-91AA-D13AB1320EA3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C6D-4EDF-91AA-D13AB1320EA3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C6D-4EDF-91AA-D13AB1320EA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C6D-4EDF-91AA-D13AB1320EA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C6D-4EDF-91AA-D13AB1320EA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C6D-4EDF-91AA-D13AB1320EA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C6D-4EDF-91AA-D13AB1320EA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C6D-4EDF-91AA-D13AB1320EA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C6D-4EDF-91AA-D13AB1320EA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C6D-4EDF-91AA-D13AB1320EA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C6D-4EDF-91AA-D13AB1320EA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C6D-4EDF-91AA-D13AB1320EA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C6D-4EDF-91AA-D13AB1320EA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C6D-4EDF-91AA-D13AB1320EA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C6D-4EDF-91AA-D13AB1320EA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C6D-4EDF-91AA-D13AB1320EA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C6D-4EDF-91AA-D13AB1320EA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C6D-4EDF-91AA-D13AB1320EA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C6D-4EDF-91AA-D13AB1320EA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C6D-4EDF-91AA-D13AB1320EA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C6D-4EDF-91AA-D13AB1320EA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C6D-4EDF-91AA-D13AB1320EA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C6D-4EDF-91AA-D13AB1320EA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C6D-4EDF-91AA-D13AB1320EA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C6D-4EDF-91AA-D13AB1320EA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C6D-4EDF-91AA-D13AB1320EA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C6D-4EDF-91AA-D13AB1320EA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C6D-4EDF-91AA-D13AB1320EA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C6D-4EDF-91AA-D13AB1320EA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C6D-4EDF-91AA-D13AB1320EA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-18.963267326732673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 formatCode="General">
                        <c:v>-18.96</c:v>
                      </c:pt>
                      <c:pt idx="5" formatCode="General">
                        <c:v>-18.96</c:v>
                      </c:pt>
                      <c:pt idx="6" formatCode="General">
                        <c:v>-18.962128712871287</c:v>
                      </c:pt>
                      <c:pt idx="7" formatCode="General">
                        <c:v>-18.966089108910889</c:v>
                      </c:pt>
                      <c:pt idx="8" formatCode="General">
                        <c:v>-18.970099009900988</c:v>
                      </c:pt>
                      <c:pt idx="9" formatCode="General">
                        <c:v>-18.978019801980196</c:v>
                      </c:pt>
                      <c:pt idx="10" formatCode="General">
                        <c:v>-18.985940594059404</c:v>
                      </c:pt>
                      <c:pt idx="11" formatCode="General">
                        <c:v>-18.99579207920792</c:v>
                      </c:pt>
                      <c:pt idx="12" formatCode="General">
                        <c:v>-19.00767326732673</c:v>
                      </c:pt>
                      <c:pt idx="13" formatCode="General">
                        <c:v>-19.019554455445544</c:v>
                      </c:pt>
                      <c:pt idx="14" formatCode="General">
                        <c:v>-19.031435643564357</c:v>
                      </c:pt>
                      <c:pt idx="15" formatCode="General">
                        <c:v>-19.043316831683168</c:v>
                      </c:pt>
                      <c:pt idx="16" formatCode="General">
                        <c:v>-19.055198019801981</c:v>
                      </c:pt>
                      <c:pt idx="17" formatCode="General">
                        <c:v>-19.067079207920791</c:v>
                      </c:pt>
                      <c:pt idx="18" formatCode="General">
                        <c:v>-19.078960396039601</c:v>
                      </c:pt>
                      <c:pt idx="19" formatCode="General">
                        <c:v>-19.090855018587359</c:v>
                      </c:pt>
                      <c:pt idx="20" formatCode="General">
                        <c:v>-19.102750929368028</c:v>
                      </c:pt>
                      <c:pt idx="21" formatCode="General">
                        <c:v>-19.114646840148698</c:v>
                      </c:pt>
                      <c:pt idx="22" formatCode="General">
                        <c:v>-19.126542750929367</c:v>
                      </c:pt>
                      <c:pt idx="23" formatCode="General">
                        <c:v>-19.138438661710037</c:v>
                      </c:pt>
                      <c:pt idx="24" formatCode="General">
                        <c:v>-19.150334572490706</c:v>
                      </c:pt>
                      <c:pt idx="25" formatCode="General">
                        <c:v>-19.162230483271376</c:v>
                      </c:pt>
                      <c:pt idx="26" formatCode="General">
                        <c:v>-19.174126394052045</c:v>
                      </c:pt>
                      <c:pt idx="27" formatCode="General">
                        <c:v>-19.186022304832711</c:v>
                      </c:pt>
                      <c:pt idx="28" formatCode="General">
                        <c:v>-19.197918215613381</c:v>
                      </c:pt>
                      <c:pt idx="29" formatCode="General">
                        <c:v>-19.209801980198019</c:v>
                      </c:pt>
                      <c:pt idx="30" formatCode="General">
                        <c:v>-19.221683168316833</c:v>
                      </c:pt>
                      <c:pt idx="31" formatCode="General">
                        <c:v>-19.234752475247525</c:v>
                      </c:pt>
                      <c:pt idx="32" formatCode="General">
                        <c:v>-19.250594059405941</c:v>
                      </c:pt>
                      <c:pt idx="33" formatCode="General">
                        <c:v>-19.266435643564357</c:v>
                      </c:pt>
                      <c:pt idx="34" formatCode="General">
                        <c:v>-19.282277227722773</c:v>
                      </c:pt>
                      <c:pt idx="35" formatCode="General">
                        <c:v>-19.298118811881189</c:v>
                      </c:pt>
                      <c:pt idx="36" formatCode="General">
                        <c:v>-19.314950495049505</c:v>
                      </c:pt>
                      <c:pt idx="37" formatCode="General">
                        <c:v>-19.334752475247523</c:v>
                      </c:pt>
                      <c:pt idx="38" formatCode="General">
                        <c:v>-19.354554455445545</c:v>
                      </c:pt>
                      <c:pt idx="39" formatCode="General">
                        <c:v>-19.37148514851485</c:v>
                      </c:pt>
                      <c:pt idx="40" formatCode="General">
                        <c:v>-19.387326732673266</c:v>
                      </c:pt>
                      <c:pt idx="41" formatCode="General">
                        <c:v>-19.403168316831682</c:v>
                      </c:pt>
                      <c:pt idx="42" formatCode="General">
                        <c:v>-19.419009900990098</c:v>
                      </c:pt>
                      <c:pt idx="43" formatCode="General">
                        <c:v>-19.434851485148517</c:v>
                      </c:pt>
                      <c:pt idx="44" formatCode="General">
                        <c:v>-19.448019801980198</c:v>
                      </c:pt>
                      <c:pt idx="45" formatCode="General">
                        <c:v>-19.459900990099008</c:v>
                      </c:pt>
                      <c:pt idx="46" formatCode="General">
                        <c:v>-19.47059405940594</c:v>
                      </c:pt>
                      <c:pt idx="47" formatCode="General">
                        <c:v>-19.474554455445546</c:v>
                      </c:pt>
                      <c:pt idx="48" formatCode="General">
                        <c:v>-19.478514851485148</c:v>
                      </c:pt>
                      <c:pt idx="49" formatCode="General">
                        <c:v>-19.476902106567536</c:v>
                      </c:pt>
                      <c:pt idx="50" formatCode="General">
                        <c:v>-19.47194547707559</c:v>
                      </c:pt>
                      <c:pt idx="51" formatCode="General">
                        <c:v>-19.466988847583643</c:v>
                      </c:pt>
                      <c:pt idx="52" formatCode="General">
                        <c:v>-19.462032218091696</c:v>
                      </c:pt>
                      <c:pt idx="53" formatCode="General">
                        <c:v>-19.457075588599754</c:v>
                      </c:pt>
                      <c:pt idx="54" formatCode="General">
                        <c:v>-19.452118959107807</c:v>
                      </c:pt>
                      <c:pt idx="55" formatCode="General">
                        <c:v>-19.44716232961586</c:v>
                      </c:pt>
                      <c:pt idx="56" formatCode="General">
                        <c:v>-19.442205700123914</c:v>
                      </c:pt>
                      <c:pt idx="57" formatCode="General">
                        <c:v>-19.437249070631971</c:v>
                      </c:pt>
                      <c:pt idx="58" formatCode="General">
                        <c:v>-19.432292441140024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-19.749702970297029</c:v>
                      </c:pt>
                      <c:pt idx="80" formatCode="General">
                        <c:v>-19.777425742574255</c:v>
                      </c:pt>
                      <c:pt idx="81" formatCode="General">
                        <c:v>-19.805148514851485</c:v>
                      </c:pt>
                      <c:pt idx="82" formatCode="General">
                        <c:v>-19.823069306930691</c:v>
                      </c:pt>
                      <c:pt idx="83" formatCode="General">
                        <c:v>-19.83891089108911</c:v>
                      </c:pt>
                      <c:pt idx="84" formatCode="General">
                        <c:v>-19.850000000000001</c:v>
                      </c:pt>
                      <c:pt idx="85" formatCode="General">
                        <c:v>-19.850000000000001</c:v>
                      </c:pt>
                      <c:pt idx="86" formatCode="General">
                        <c:v>-19.850000000000001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C6D-4EDF-91AA-D13AB1320EA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C6D-4EDF-91AA-D13AB1320EA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C6D-4EDF-91AA-D13AB1320EA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-147.3618316831683</c:v>
                      </c:pt>
                      <c:pt idx="1">
                        <c:v>-143.56544554455445</c:v>
                      </c:pt>
                      <c:pt idx="2">
                        <c:v>-139.8981188118812</c:v>
                      </c:pt>
                      <c:pt idx="3">
                        <c:v>-136.24267326732675</c:v>
                      </c:pt>
                      <c:pt idx="4" formatCode="General">
                        <c:v>-132.76544554455447</c:v>
                      </c:pt>
                      <c:pt idx="5" formatCode="General">
                        <c:v>-129.28821782178218</c:v>
                      </c:pt>
                      <c:pt idx="6" formatCode="General">
                        <c:v>-125.90891089108911</c:v>
                      </c:pt>
                      <c:pt idx="7" formatCode="General">
                        <c:v>-122.61386138613861</c:v>
                      </c:pt>
                      <c:pt idx="8" formatCode="General">
                        <c:v>-119.32173267326732</c:v>
                      </c:pt>
                      <c:pt idx="9" formatCode="General">
                        <c:v>-116.26034653465346</c:v>
                      </c:pt>
                      <c:pt idx="10" formatCode="General">
                        <c:v>-113.19896039603961</c:v>
                      </c:pt>
                      <c:pt idx="11" formatCode="General">
                        <c:v>-110.26886138613861</c:v>
                      </c:pt>
                      <c:pt idx="12" formatCode="General">
                        <c:v>-107.47678217821783</c:v>
                      </c:pt>
                      <c:pt idx="13" formatCode="General">
                        <c:v>-104.68470297029704</c:v>
                      </c:pt>
                      <c:pt idx="14" formatCode="General">
                        <c:v>-102.14420792079208</c:v>
                      </c:pt>
                      <c:pt idx="15" formatCode="General">
                        <c:v>-99.613514851485149</c:v>
                      </c:pt>
                      <c:pt idx="16" formatCode="General">
                        <c:v>-97.198910891089113</c:v>
                      </c:pt>
                      <c:pt idx="17" formatCode="General">
                        <c:v>-94.933564356435639</c:v>
                      </c:pt>
                      <c:pt idx="18" formatCode="General">
                        <c:v>-92.668217821782179</c:v>
                      </c:pt>
                      <c:pt idx="19" formatCode="General">
                        <c:v>-90.819132589838901</c:v>
                      </c:pt>
                      <c:pt idx="20" formatCode="General">
                        <c:v>-89.009962825278805</c:v>
                      </c:pt>
                      <c:pt idx="21" formatCode="General">
                        <c:v>-87.200793060718709</c:v>
                      </c:pt>
                      <c:pt idx="22" formatCode="General">
                        <c:v>-85.391623296158613</c:v>
                      </c:pt>
                      <c:pt idx="23" formatCode="General">
                        <c:v>-83.582453531598503</c:v>
                      </c:pt>
                      <c:pt idx="24" formatCode="General">
                        <c:v>-81.773283767038407</c:v>
                      </c:pt>
                      <c:pt idx="25" formatCode="General">
                        <c:v>-79.964114002478311</c:v>
                      </c:pt>
                      <c:pt idx="26" formatCode="General">
                        <c:v>-78.154944237918215</c:v>
                      </c:pt>
                      <c:pt idx="27" formatCode="General">
                        <c:v>-76.345774473358105</c:v>
                      </c:pt>
                      <c:pt idx="28" formatCode="General">
                        <c:v>-74.536604708798009</c:v>
                      </c:pt>
                      <c:pt idx="29" formatCode="General">
                        <c:v>-72.955544554455443</c:v>
                      </c:pt>
                      <c:pt idx="30" formatCode="General">
                        <c:v>-71.422871287128714</c:v>
                      </c:pt>
                      <c:pt idx="31" formatCode="General">
                        <c:v>-69.915148514851481</c:v>
                      </c:pt>
                      <c:pt idx="32" formatCode="General">
                        <c:v>-68.465643564356427</c:v>
                      </c:pt>
                      <c:pt idx="33" formatCode="General">
                        <c:v>-67.016138613861372</c:v>
                      </c:pt>
                      <c:pt idx="34" formatCode="General">
                        <c:v>-65.637227722772266</c:v>
                      </c:pt>
                      <c:pt idx="35" formatCode="General">
                        <c:v>-64.278811881188119</c:v>
                      </c:pt>
                      <c:pt idx="36" formatCode="General">
                        <c:v>-62.942178217821784</c:v>
                      </c:pt>
                      <c:pt idx="37" formatCode="General">
                        <c:v>-61.670891089108913</c:v>
                      </c:pt>
                      <c:pt idx="38" formatCode="General">
                        <c:v>-60.399603960396043</c:v>
                      </c:pt>
                      <c:pt idx="39" formatCode="General">
                        <c:v>-59.18</c:v>
                      </c:pt>
                      <c:pt idx="40" formatCode="General">
                        <c:v>-57.98</c:v>
                      </c:pt>
                      <c:pt idx="41" formatCode="General">
                        <c:v>-56.795049504950491</c:v>
                      </c:pt>
                      <c:pt idx="42" formatCode="General">
                        <c:v>-55.670297029702965</c:v>
                      </c:pt>
                      <c:pt idx="43" formatCode="General">
                        <c:v>-54.545544554455446</c:v>
                      </c:pt>
                      <c:pt idx="44" formatCode="General">
                        <c:v>-53.476930693069306</c:v>
                      </c:pt>
                      <c:pt idx="45" formatCode="General">
                        <c:v>-52.435346534653462</c:v>
                      </c:pt>
                      <c:pt idx="46" formatCode="General">
                        <c:v>-51.412772277227717</c:v>
                      </c:pt>
                      <c:pt idx="47" formatCode="General">
                        <c:v>-50.497920792079199</c:v>
                      </c:pt>
                      <c:pt idx="48" formatCode="General">
                        <c:v>-49.583069306930689</c:v>
                      </c:pt>
                      <c:pt idx="49" formatCode="General">
                        <c:v>-48.934671623296154</c:v>
                      </c:pt>
                      <c:pt idx="50" formatCode="General">
                        <c:v>-48.446146220570007</c:v>
                      </c:pt>
                      <c:pt idx="51" formatCode="General">
                        <c:v>-47.957620817843861</c:v>
                      </c:pt>
                      <c:pt idx="52" formatCode="General">
                        <c:v>-47.469095415117714</c:v>
                      </c:pt>
                      <c:pt idx="53" formatCode="General">
                        <c:v>-46.980570012391574</c:v>
                      </c:pt>
                      <c:pt idx="54" formatCode="General">
                        <c:v>-46.492044609665427</c:v>
                      </c:pt>
                      <c:pt idx="55" formatCode="General">
                        <c:v>-46.003519206939281</c:v>
                      </c:pt>
                      <c:pt idx="56" formatCode="General">
                        <c:v>-45.514993804213134</c:v>
                      </c:pt>
                      <c:pt idx="57" formatCode="General">
                        <c:v>-45.026468401486987</c:v>
                      </c:pt>
                      <c:pt idx="58" formatCode="General">
                        <c:v>-44.53794299876084</c:v>
                      </c:pt>
                      <c:pt idx="59" formatCode="General">
                        <c:v>-44.155326732673267</c:v>
                      </c:pt>
                      <c:pt idx="60" formatCode="General">
                        <c:v>-43.863841584158415</c:v>
                      </c:pt>
                      <c:pt idx="61" formatCode="General">
                        <c:v>-43.572663366336634</c:v>
                      </c:pt>
                      <c:pt idx="62" formatCode="General">
                        <c:v>-43.305732673267329</c:v>
                      </c:pt>
                      <c:pt idx="63" formatCode="General">
                        <c:v>-43.038801980198024</c:v>
                      </c:pt>
                      <c:pt idx="64" formatCode="General">
                        <c:v>-42.784613861386141</c:v>
                      </c:pt>
                      <c:pt idx="65" formatCode="General">
                        <c:v>-42.54382178217822</c:v>
                      </c:pt>
                      <c:pt idx="66" formatCode="General">
                        <c:v>-42.303029702970299</c:v>
                      </c:pt>
                      <c:pt idx="67" formatCode="General">
                        <c:v>-42.261980198019806</c:v>
                      </c:pt>
                      <c:pt idx="68" formatCode="General">
                        <c:v>-42.228712871287129</c:v>
                      </c:pt>
                      <c:pt idx="69" formatCode="General">
                        <c:v>-42.269677819083022</c:v>
                      </c:pt>
                      <c:pt idx="70" formatCode="General">
                        <c:v>-42.406084262701363</c:v>
                      </c:pt>
                      <c:pt idx="71" formatCode="General">
                        <c:v>-42.542490706319704</c:v>
                      </c:pt>
                      <c:pt idx="72" formatCode="General">
                        <c:v>-42.678897149938045</c:v>
                      </c:pt>
                      <c:pt idx="73" formatCode="General">
                        <c:v>-42.815303593556379</c:v>
                      </c:pt>
                      <c:pt idx="74" formatCode="General">
                        <c:v>-42.95171003717472</c:v>
                      </c:pt>
                      <c:pt idx="75" formatCode="General">
                        <c:v>-43.088116480793062</c:v>
                      </c:pt>
                      <c:pt idx="76" formatCode="General">
                        <c:v>-43.224522924411396</c:v>
                      </c:pt>
                      <c:pt idx="77" formatCode="General">
                        <c:v>-43.360929368029737</c:v>
                      </c:pt>
                      <c:pt idx="78" formatCode="General">
                        <c:v>-43.497335811648078</c:v>
                      </c:pt>
                      <c:pt idx="79" formatCode="General">
                        <c:v>-43.687465346534651</c:v>
                      </c:pt>
                      <c:pt idx="80" formatCode="General">
                        <c:v>-43.977366336633658</c:v>
                      </c:pt>
                      <c:pt idx="81" formatCode="General">
                        <c:v>-44.267267326732672</c:v>
                      </c:pt>
                      <c:pt idx="82" formatCode="General">
                        <c:v>-44.437584158415838</c:v>
                      </c:pt>
                      <c:pt idx="83" formatCode="General">
                        <c:v>-44.582534653465345</c:v>
                      </c:pt>
                      <c:pt idx="84" formatCode="General">
                        <c:v>-44.683999999999997</c:v>
                      </c:pt>
                      <c:pt idx="85" formatCode="General">
                        <c:v>-44.683999999999997</c:v>
                      </c:pt>
                      <c:pt idx="86" formatCode="General">
                        <c:v>-44.683999999999997</c:v>
                      </c:pt>
                      <c:pt idx="87" formatCode="General">
                        <c:v>-44.793267326732675</c:v>
                      </c:pt>
                      <c:pt idx="88" formatCode="General">
                        <c:v>-44.93425742574258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C6D-4EDF-91AA-D13AB1320EA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C6D-4EDF-91AA-D13AB1320EA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C6D-4EDF-91AA-D13AB1320EA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C6D-4EDF-91AA-D13AB1320EA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C6D-4EDF-91AA-D13AB1320EA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C6D-4EDF-91AA-D13AB1320EA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C6D-4EDF-91AA-D13AB1320EA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C6D-4EDF-91AA-D13AB1320EA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C6D-4EDF-91AA-D13AB1320EA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C6D-4EDF-91AA-D13AB1320EA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C6D-4EDF-91AA-D13AB1320EA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23926127373632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-192.68327272727274</c:v>
                </c:pt>
                <c:pt idx="1">
                  <c:v>-188.23721212121214</c:v>
                </c:pt>
                <c:pt idx="2">
                  <c:v>-183.79115151515151</c:v>
                </c:pt>
                <c:pt idx="3">
                  <c:v>-179.8130909090909</c:v>
                </c:pt>
                <c:pt idx="4" formatCode="General">
                  <c:v>-175.84703030303029</c:v>
                </c:pt>
                <c:pt idx="5" formatCode="General">
                  <c:v>-172.25260606060604</c:v>
                </c:pt>
                <c:pt idx="6" formatCode="General">
                  <c:v>-168.69381818181819</c:v>
                </c:pt>
                <c:pt idx="7" formatCode="General">
                  <c:v>-165.41939393939393</c:v>
                </c:pt>
                <c:pt idx="8" formatCode="General">
                  <c:v>-162.19515151515151</c:v>
                </c:pt>
                <c:pt idx="9" formatCode="General">
                  <c:v>-159.22530120481926</c:v>
                </c:pt>
                <c:pt idx="10" formatCode="General">
                  <c:v>-156.32409638554219</c:v>
                </c:pt>
                <c:pt idx="11" formatCode="General">
                  <c:v>-153.60036363636365</c:v>
                </c:pt>
                <c:pt idx="12" formatCode="General">
                  <c:v>-150.94824242424244</c:v>
                </c:pt>
                <c:pt idx="13" formatCode="General">
                  <c:v>-148.43793939393942</c:v>
                </c:pt>
                <c:pt idx="14" formatCode="General">
                  <c:v>-146.00400000000002</c:v>
                </c:pt>
                <c:pt idx="15" formatCode="General">
                  <c:v>-143.83957639939487</c:v>
                </c:pt>
                <c:pt idx="16" formatCode="General">
                  <c:v>-141.86438729198184</c:v>
                </c:pt>
                <c:pt idx="17" formatCode="General">
                  <c:v>-139.88919818456884</c:v>
                </c:pt>
                <c:pt idx="18" formatCode="General">
                  <c:v>-137.91400907715584</c:v>
                </c:pt>
                <c:pt idx="19" formatCode="General">
                  <c:v>-135.93881996974281</c:v>
                </c:pt>
                <c:pt idx="20" formatCode="General">
                  <c:v>-133.96363086232981</c:v>
                </c:pt>
                <c:pt idx="21" formatCode="General">
                  <c:v>-131.98844175491681</c:v>
                </c:pt>
                <c:pt idx="22" formatCode="General">
                  <c:v>-130.01325264750378</c:v>
                </c:pt>
                <c:pt idx="23" formatCode="General">
                  <c:v>-128.15527272727272</c:v>
                </c:pt>
                <c:pt idx="24" formatCode="General">
                  <c:v>-126.54072727272727</c:v>
                </c:pt>
                <c:pt idx="25" formatCode="General">
                  <c:v>-124.9681818181818</c:v>
                </c:pt>
                <c:pt idx="26" formatCode="General">
                  <c:v>-123.51363636363635</c:v>
                </c:pt>
                <c:pt idx="27" formatCode="General">
                  <c:v>-122.0590909090909</c:v>
                </c:pt>
                <c:pt idx="28" formatCode="General">
                  <c:v>-120.60454545454544</c:v>
                </c:pt>
                <c:pt idx="29" formatCode="General">
                  <c:v>-119.16975903614457</c:v>
                </c:pt>
                <c:pt idx="30" formatCode="General">
                  <c:v>-117.8589156626506</c:v>
                </c:pt>
                <c:pt idx="31" formatCode="General">
                  <c:v>-116.56037878787879</c:v>
                </c:pt>
                <c:pt idx="32" formatCode="General">
                  <c:v>-115.44643939393939</c:v>
                </c:pt>
                <c:pt idx="33" formatCode="General">
                  <c:v>-114.3325</c:v>
                </c:pt>
                <c:pt idx="34" formatCode="General">
                  <c:v>-113.21856060606061</c:v>
                </c:pt>
                <c:pt idx="35" formatCode="General">
                  <c:v>-112.1046212121212</c:v>
                </c:pt>
                <c:pt idx="36" formatCode="General">
                  <c:v>-110.99068181818181</c:v>
                </c:pt>
                <c:pt idx="37" formatCode="General">
                  <c:v>-109.87674242424242</c:v>
                </c:pt>
                <c:pt idx="38" formatCode="General">
                  <c:v>-108.76280303030303</c:v>
                </c:pt>
                <c:pt idx="39" formatCode="General">
                  <c:v>-107.64886363636363</c:v>
                </c:pt>
                <c:pt idx="40" formatCode="General">
                  <c:v>-106.72903177004538</c:v>
                </c:pt>
                <c:pt idx="41" formatCode="General">
                  <c:v>-105.85399394856279</c:v>
                </c:pt>
                <c:pt idx="42" formatCode="General">
                  <c:v>-104.97895612708018</c:v>
                </c:pt>
                <c:pt idx="43" formatCode="General">
                  <c:v>-104.10391830559759</c:v>
                </c:pt>
                <c:pt idx="44" formatCode="General">
                  <c:v>-103.22888048411498</c:v>
                </c:pt>
                <c:pt idx="45" formatCode="General">
                  <c:v>-102.35384266263239</c:v>
                </c:pt>
                <c:pt idx="46" formatCode="General">
                  <c:v>-101.47880484114978</c:v>
                </c:pt>
                <c:pt idx="47" formatCode="General">
                  <c:v>-100.60376701966717</c:v>
                </c:pt>
                <c:pt idx="48" formatCode="General">
                  <c:v>-99.791333333333341</c:v>
                </c:pt>
                <c:pt idx="49" formatCode="General">
                  <c:v>-99.030121212121216</c:v>
                </c:pt>
                <c:pt idx="50" formatCode="General">
                  <c:v>-98.28759036144578</c:v>
                </c:pt>
                <c:pt idx="51" formatCode="General">
                  <c:v>-97.564698795180732</c:v>
                </c:pt>
                <c:pt idx="52" formatCode="General">
                  <c:v>-96.862000000000009</c:v>
                </c:pt>
                <c:pt idx="53" formatCode="General">
                  <c:v>-96.188060606060617</c:v>
                </c:pt>
                <c:pt idx="54" formatCode="General">
                  <c:v>-95.522606060606066</c:v>
                </c:pt>
                <c:pt idx="55" formatCode="General">
                  <c:v>-94.87290909090909</c:v>
                </c:pt>
                <c:pt idx="56" formatCode="General">
                  <c:v>-94.345878787878789</c:v>
                </c:pt>
                <c:pt idx="57" formatCode="General">
                  <c:v>-94.12284848484849</c:v>
                </c:pt>
                <c:pt idx="58" formatCode="General">
                  <c:v>-93.929490909090916</c:v>
                </c:pt>
                <c:pt idx="59" formatCode="General">
                  <c:v>-93.838339393939393</c:v>
                </c:pt>
                <c:pt idx="60" formatCode="General">
                  <c:v>-93.747187878787884</c:v>
                </c:pt>
                <c:pt idx="61" formatCode="General">
                  <c:v>-93.65603636363636</c:v>
                </c:pt>
                <c:pt idx="62" formatCode="General">
                  <c:v>-93.585373493975894</c:v>
                </c:pt>
                <c:pt idx="63" formatCode="General">
                  <c:v>-93.699108433734935</c:v>
                </c:pt>
                <c:pt idx="64" formatCode="General">
                  <c:v>-93.819575757575748</c:v>
                </c:pt>
                <c:pt idx="65" formatCode="General">
                  <c:v>-94.202606060606058</c:v>
                </c:pt>
                <c:pt idx="66" formatCode="General">
                  <c:v>-94.585636363636354</c:v>
                </c:pt>
                <c:pt idx="67" formatCode="General">
                  <c:v>-94.9696</c:v>
                </c:pt>
                <c:pt idx="68" formatCode="General">
                  <c:v>-95.353600000000014</c:v>
                </c:pt>
                <c:pt idx="69" formatCode="General">
                  <c:v>-95.739345454545457</c:v>
                </c:pt>
                <c:pt idx="70" formatCode="General">
                  <c:v>-96.125284848484839</c:v>
                </c:pt>
                <c:pt idx="71" formatCode="General">
                  <c:v>-96.512036363636355</c:v>
                </c:pt>
                <c:pt idx="72" formatCode="General">
                  <c:v>-96.898945454545455</c:v>
                </c:pt>
                <c:pt idx="73" formatCode="General">
                  <c:v>-97.280711043872927</c:v>
                </c:pt>
                <c:pt idx="74" formatCode="General">
                  <c:v>-97.660983358547654</c:v>
                </c:pt>
                <c:pt idx="75" formatCode="General">
                  <c:v>-98.041255673222395</c:v>
                </c:pt>
                <c:pt idx="76" formatCode="General">
                  <c:v>-98.421527987897136</c:v>
                </c:pt>
                <c:pt idx="77" formatCode="General">
                  <c:v>-98.801800302571863</c:v>
                </c:pt>
                <c:pt idx="78" formatCode="General">
                  <c:v>-99.182072617246604</c:v>
                </c:pt>
                <c:pt idx="79" formatCode="General">
                  <c:v>-99.562344931921331</c:v>
                </c:pt>
                <c:pt idx="80" formatCode="General">
                  <c:v>-99.942617246596072</c:v>
                </c:pt>
                <c:pt idx="81" formatCode="General">
                  <c:v>-100.32537065052951</c:v>
                </c:pt>
                <c:pt idx="82" formatCode="General">
                  <c:v>-100.71048411497731</c:v>
                </c:pt>
                <c:pt idx="83" formatCode="General">
                  <c:v>-101.09559757942512</c:v>
                </c:pt>
                <c:pt idx="84" formatCode="General">
                  <c:v>-101.48071104387292</c:v>
                </c:pt>
                <c:pt idx="85" formatCode="General">
                  <c:v>-101.86582450832073</c:v>
                </c:pt>
                <c:pt idx="86" formatCode="General">
                  <c:v>-102.25093797276854</c:v>
                </c:pt>
                <c:pt idx="87" formatCode="General">
                  <c:v>-102.63605143721634</c:v>
                </c:pt>
                <c:pt idx="88" formatCode="General">
                  <c:v>-103.02116490166415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68-40B1-9F1D-B1B712855BB4}"/>
            </c:ext>
          </c:extLst>
        </c:ser>
        <c:ser>
          <c:idx val="41"/>
          <c:order val="42"/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EVALUATION!$B$143:$CP$143</c:f>
              <c:numCache>
                <c:formatCode>0</c:formatCode>
                <c:ptCount val="93"/>
                <c:pt idx="0">
                  <c:v>-192.51064356435646</c:v>
                </c:pt>
                <c:pt idx="1">
                  <c:v>-187.97178217821784</c:v>
                </c:pt>
                <c:pt idx="2">
                  <c:v>-183.70247524752475</c:v>
                </c:pt>
                <c:pt idx="3">
                  <c:v>-179.46782178217822</c:v>
                </c:pt>
                <c:pt idx="4" formatCode="General">
                  <c:v>-175.75297029702969</c:v>
                </c:pt>
                <c:pt idx="5" formatCode="General">
                  <c:v>-172.03811881188119</c:v>
                </c:pt>
                <c:pt idx="6" formatCode="General">
                  <c:v>-168.55742574257425</c:v>
                </c:pt>
                <c:pt idx="7" formatCode="General">
                  <c:v>-165.27821782178216</c:v>
                </c:pt>
                <c:pt idx="8" formatCode="General">
                  <c:v>-162.00361386138613</c:v>
                </c:pt>
                <c:pt idx="9" formatCode="General">
                  <c:v>-159.09272277227723</c:v>
                </c:pt>
                <c:pt idx="10" formatCode="General">
                  <c:v>-156.18183168316833</c:v>
                </c:pt>
                <c:pt idx="11" formatCode="General">
                  <c:v>-153.42539603960395</c:v>
                </c:pt>
                <c:pt idx="12" formatCode="General">
                  <c:v>-150.83133663366337</c:v>
                </c:pt>
                <c:pt idx="13" formatCode="General">
                  <c:v>-148.23727722772276</c:v>
                </c:pt>
                <c:pt idx="14" formatCode="General">
                  <c:v>-145.89480198019803</c:v>
                </c:pt>
                <c:pt idx="15" formatCode="General">
                  <c:v>-143.5621287128713</c:v>
                </c:pt>
                <c:pt idx="16" formatCode="General">
                  <c:v>-141.33514851485148</c:v>
                </c:pt>
                <c:pt idx="17" formatCode="General">
                  <c:v>-139.24405940594059</c:v>
                </c:pt>
                <c:pt idx="18" formatCode="General">
                  <c:v>-137.1529702970297</c:v>
                </c:pt>
                <c:pt idx="19" formatCode="General">
                  <c:v>-135.45843866171003</c:v>
                </c:pt>
                <c:pt idx="20" formatCode="General">
                  <c:v>-133.80193308550184</c:v>
                </c:pt>
                <c:pt idx="21" formatCode="General">
                  <c:v>-132.14542750929368</c:v>
                </c:pt>
                <c:pt idx="22" formatCode="General">
                  <c:v>-130.48892193308549</c:v>
                </c:pt>
                <c:pt idx="23" formatCode="General">
                  <c:v>-128.83241635687733</c:v>
                </c:pt>
                <c:pt idx="24" formatCode="General">
                  <c:v>-127.17591078066914</c:v>
                </c:pt>
                <c:pt idx="25" formatCode="General">
                  <c:v>-125.51940520446097</c:v>
                </c:pt>
                <c:pt idx="26" formatCode="General">
                  <c:v>-123.86289962825279</c:v>
                </c:pt>
                <c:pt idx="27" formatCode="General">
                  <c:v>-122.20639405204462</c:v>
                </c:pt>
                <c:pt idx="28" formatCode="General">
                  <c:v>-120.54988847583644</c:v>
                </c:pt>
                <c:pt idx="29" formatCode="General">
                  <c:v>-119.17198019801981</c:v>
                </c:pt>
                <c:pt idx="30" formatCode="General">
                  <c:v>-117.85316831683168</c:v>
                </c:pt>
                <c:pt idx="31" formatCode="General">
                  <c:v>-116.56168316831685</c:v>
                </c:pt>
                <c:pt idx="32" formatCode="General">
                  <c:v>-115.33396039603961</c:v>
                </c:pt>
                <c:pt idx="33" formatCode="General">
                  <c:v>-114.10623762376238</c:v>
                </c:pt>
                <c:pt idx="34" formatCode="General">
                  <c:v>-112.95524752475248</c:v>
                </c:pt>
                <c:pt idx="35" formatCode="General">
                  <c:v>-111.82653465346534</c:v>
                </c:pt>
                <c:pt idx="36" formatCode="General">
                  <c:v>-110.71960396039603</c:v>
                </c:pt>
                <c:pt idx="37" formatCode="General">
                  <c:v>-109.6780198019802</c:v>
                </c:pt>
                <c:pt idx="38" formatCode="General">
                  <c:v>-108.63643564356435</c:v>
                </c:pt>
                <c:pt idx="39" formatCode="General">
                  <c:v>-107.64653465346535</c:v>
                </c:pt>
                <c:pt idx="40" formatCode="General">
                  <c:v>-106.67623762376238</c:v>
                </c:pt>
                <c:pt idx="41" formatCode="General">
                  <c:v>-105.71940594059406</c:v>
                </c:pt>
                <c:pt idx="42" formatCode="General">
                  <c:v>-104.81643564356436</c:v>
                </c:pt>
                <c:pt idx="43" formatCode="General">
                  <c:v>-103.91346534653466</c:v>
                </c:pt>
                <c:pt idx="44" formatCode="General">
                  <c:v>-103.06128712871288</c:v>
                </c:pt>
                <c:pt idx="45" formatCode="General">
                  <c:v>-102.23356435643565</c:v>
                </c:pt>
                <c:pt idx="46" formatCode="General">
                  <c:v>-101.42009900990098</c:v>
                </c:pt>
                <c:pt idx="47" formatCode="General">
                  <c:v>-100.68742574257425</c:v>
                </c:pt>
                <c:pt idx="48" formatCode="General">
                  <c:v>-99.954752475247517</c:v>
                </c:pt>
                <c:pt idx="49" formatCode="General">
                  <c:v>-99.478760842627011</c:v>
                </c:pt>
                <c:pt idx="50" formatCode="General">
                  <c:v>-99.156778190830224</c:v>
                </c:pt>
                <c:pt idx="51" formatCode="General">
                  <c:v>-98.83479553903345</c:v>
                </c:pt>
                <c:pt idx="52" formatCode="General">
                  <c:v>-98.512812887236677</c:v>
                </c:pt>
                <c:pt idx="53" formatCode="General">
                  <c:v>-98.19083023543989</c:v>
                </c:pt>
                <c:pt idx="54" formatCode="General">
                  <c:v>-97.868847583643117</c:v>
                </c:pt>
                <c:pt idx="55" formatCode="General">
                  <c:v>-97.546864931846329</c:v>
                </c:pt>
                <c:pt idx="56" formatCode="General">
                  <c:v>-97.224882280049556</c:v>
                </c:pt>
                <c:pt idx="57" formatCode="General">
                  <c:v>-96.902899628252783</c:v>
                </c:pt>
                <c:pt idx="58" formatCode="General">
                  <c:v>-96.580916976455995</c:v>
                </c:pt>
                <c:pt idx="59" formatCode="General">
                  <c:v>-96.386019801980197</c:v>
                </c:pt>
                <c:pt idx="60" formatCode="General">
                  <c:v>-96.300475247524759</c:v>
                </c:pt>
                <c:pt idx="61" formatCode="General">
                  <c:v>-96.215237623762391</c:v>
                </c:pt>
                <c:pt idx="62" formatCode="General">
                  <c:v>-96.154247524752478</c:v>
                </c:pt>
                <c:pt idx="63" formatCode="General">
                  <c:v>-96.093257425742578</c:v>
                </c:pt>
                <c:pt idx="64" formatCode="General">
                  <c:v>-96.048871287128719</c:v>
                </c:pt>
                <c:pt idx="65" formatCode="General">
                  <c:v>-96.021940594059416</c:v>
                </c:pt>
                <c:pt idx="66" formatCode="General">
                  <c:v>-95.995009900990112</c:v>
                </c:pt>
                <c:pt idx="67" formatCode="General">
                  <c:v>-96.068712871287133</c:v>
                </c:pt>
                <c:pt idx="68" formatCode="General">
                  <c:v>-96.146336633663367</c:v>
                </c:pt>
                <c:pt idx="69" formatCode="General">
                  <c:v>-96.321672862453525</c:v>
                </c:pt>
                <c:pt idx="70" formatCode="General">
                  <c:v>-96.622639405204467</c:v>
                </c:pt>
                <c:pt idx="71" formatCode="General">
                  <c:v>-96.923605947955394</c:v>
                </c:pt>
                <c:pt idx="72" formatCode="General">
                  <c:v>-97.224572490706322</c:v>
                </c:pt>
                <c:pt idx="73" formatCode="General">
                  <c:v>-97.52553903345725</c:v>
                </c:pt>
                <c:pt idx="74" formatCode="General">
                  <c:v>-97.826505576208177</c:v>
                </c:pt>
                <c:pt idx="75" formatCode="General">
                  <c:v>-98.127472118959119</c:v>
                </c:pt>
                <c:pt idx="76" formatCode="General">
                  <c:v>-98.428438661710047</c:v>
                </c:pt>
                <c:pt idx="77" formatCode="General">
                  <c:v>-98.729405204460974</c:v>
                </c:pt>
                <c:pt idx="78" formatCode="General">
                  <c:v>-99.030371747211902</c:v>
                </c:pt>
                <c:pt idx="79" formatCode="General">
                  <c:v>-99.457762376237625</c:v>
                </c:pt>
                <c:pt idx="80" formatCode="General">
                  <c:v>-100.11994059405941</c:v>
                </c:pt>
                <c:pt idx="81" formatCode="General">
                  <c:v>-100.78211881188119</c:v>
                </c:pt>
                <c:pt idx="82" formatCode="General">
                  <c:v>-101.17441584158415</c:v>
                </c:pt>
                <c:pt idx="83" formatCode="General">
                  <c:v>-101.50946534653465</c:v>
                </c:pt>
                <c:pt idx="84" formatCode="General">
                  <c:v>-101.744</c:v>
                </c:pt>
                <c:pt idx="85" formatCode="General">
                  <c:v>-101.744</c:v>
                </c:pt>
                <c:pt idx="86" formatCode="General">
                  <c:v>-101.744</c:v>
                </c:pt>
                <c:pt idx="87" formatCode="General">
                  <c:v>-101.99445544554456</c:v>
                </c:pt>
                <c:pt idx="88" formatCode="General">
                  <c:v>-102.31762376237624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5F68-40B1-9F1D-B1B712855BB4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-192.68327272727274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68-40B1-9F1D-B1B712855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5F68-40B1-9F1D-B1B712855BB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-27.003936363636363</c:v>
                      </c:pt>
                      <c:pt idx="26" formatCode="General">
                        <c:v>-26.843693939393937</c:v>
                      </c:pt>
                      <c:pt idx="27" formatCode="General">
                        <c:v>-26.683451515151514</c:v>
                      </c:pt>
                      <c:pt idx="28" formatCode="General">
                        <c:v>-26.523209090909088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-28.963266666666666</c:v>
                      </c:pt>
                      <c:pt idx="49" formatCode="General">
                        <c:v>-29.094660606060604</c:v>
                      </c:pt>
                      <c:pt idx="50" formatCode="General">
                        <c:v>-29.223084337349398</c:v>
                      </c:pt>
                      <c:pt idx="51" formatCode="General">
                        <c:v>-29.348385542168675</c:v>
                      </c:pt>
                      <c:pt idx="52" formatCode="General">
                        <c:v>-29.476199999999999</c:v>
                      </c:pt>
                      <c:pt idx="53" formatCode="General">
                        <c:v>-29.607593939393936</c:v>
                      </c:pt>
                      <c:pt idx="54" formatCode="General">
                        <c:v>-29.73712121212121</c:v>
                      </c:pt>
                      <c:pt idx="55" formatCode="General">
                        <c:v>-29.863181818181815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F68-40B1-9F1D-B1B712855BB4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5F68-40B1-9F1D-B1B712855BB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F68-40B1-9F1D-B1B712855BB4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F68-40B1-9F1D-B1B712855BB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F68-40B1-9F1D-B1B712855BB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F68-40B1-9F1D-B1B712855BB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-48.805754545454548</c:v>
                      </c:pt>
                      <c:pt idx="26" formatCode="General">
                        <c:v>-48.766724242424246</c:v>
                      </c:pt>
                      <c:pt idx="27" formatCode="General">
                        <c:v>-48.727693939393944</c:v>
                      </c:pt>
                      <c:pt idx="28" formatCode="General">
                        <c:v>-48.688663636363636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-53.434600000000003</c:v>
                      </c:pt>
                      <c:pt idx="49" formatCode="General">
                        <c:v>-53.677509090909091</c:v>
                      </c:pt>
                      <c:pt idx="50" formatCode="General">
                        <c:v>-53.914771084337346</c:v>
                      </c:pt>
                      <c:pt idx="51" formatCode="General">
                        <c:v>-54.146096385542165</c:v>
                      </c:pt>
                      <c:pt idx="52" formatCode="General">
                        <c:v>-54.382199999999997</c:v>
                      </c:pt>
                      <c:pt idx="53" formatCode="General">
                        <c:v>-54.625109090909092</c:v>
                      </c:pt>
                      <c:pt idx="54" formatCode="General">
                        <c:v>-54.864454545454542</c:v>
                      </c:pt>
                      <c:pt idx="55" formatCode="General">
                        <c:v>-55.097181818181816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F68-40B1-9F1D-B1B712855BB4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-147.89927272727272</c:v>
                      </c:pt>
                      <c:pt idx="1">
                        <c:v>-144.41321212121213</c:v>
                      </c:pt>
                      <c:pt idx="2">
                        <c:v>-140.92715151515151</c:v>
                      </c:pt>
                      <c:pt idx="3">
                        <c:v>-137.80509090909089</c:v>
                      </c:pt>
                      <c:pt idx="4" formatCode="General">
                        <c:v>-134.69236363636361</c:v>
                      </c:pt>
                      <c:pt idx="5" formatCode="General">
                        <c:v>-131.86278787878786</c:v>
                      </c:pt>
                      <c:pt idx="6" formatCode="General">
                        <c:v>-129.0603636363636</c:v>
                      </c:pt>
                      <c:pt idx="7" formatCode="General">
                        <c:v>-125.87466666666666</c:v>
                      </c:pt>
                      <c:pt idx="8" formatCode="General">
                        <c:v>-122.62133333333334</c:v>
                      </c:pt>
                      <c:pt idx="9" formatCode="General">
                        <c:v>-119.46313253012049</c:v>
                      </c:pt>
                      <c:pt idx="10" formatCode="General">
                        <c:v>-116.33060240963856</c:v>
                      </c:pt>
                      <c:pt idx="11" formatCode="General">
                        <c:v>-113.36763636363638</c:v>
                      </c:pt>
                      <c:pt idx="12" formatCode="General">
                        <c:v>-110.47309090909093</c:v>
                      </c:pt>
                      <c:pt idx="13" formatCode="General">
                        <c:v>-107.72666666666667</c:v>
                      </c:pt>
                      <c:pt idx="14" formatCode="General">
                        <c:v>-105.06</c:v>
                      </c:pt>
                      <c:pt idx="15" formatCode="General">
                        <c:v>-102.65736762481089</c:v>
                      </c:pt>
                      <c:pt idx="16" formatCode="General">
                        <c:v>-100.44012102874433</c:v>
                      </c:pt>
                      <c:pt idx="17" formatCode="General">
                        <c:v>-98.222874432677756</c:v>
                      </c:pt>
                      <c:pt idx="18" formatCode="General">
                        <c:v>-96.005627836611197</c:v>
                      </c:pt>
                      <c:pt idx="19" formatCode="General">
                        <c:v>-93.788381240544624</c:v>
                      </c:pt>
                      <c:pt idx="20" formatCode="General">
                        <c:v>-91.571134644478065</c:v>
                      </c:pt>
                      <c:pt idx="21" formatCode="General">
                        <c:v>-89.353888048411491</c:v>
                      </c:pt>
                      <c:pt idx="22" formatCode="General">
                        <c:v>-87.136641452344918</c:v>
                      </c:pt>
                      <c:pt idx="23" formatCode="General">
                        <c:v>-85.036484848484847</c:v>
                      </c:pt>
                      <c:pt idx="24" formatCode="General">
                        <c:v>-83.179515151515147</c:v>
                      </c:pt>
                      <c:pt idx="25" formatCode="General">
                        <c:v>-81.36454545454545</c:v>
                      </c:pt>
                      <c:pt idx="26" formatCode="General">
                        <c:v>-79.667575757575761</c:v>
                      </c:pt>
                      <c:pt idx="27" formatCode="General">
                        <c:v>-77.970606060606059</c:v>
                      </c:pt>
                      <c:pt idx="28" formatCode="General">
                        <c:v>-76.273636363636356</c:v>
                      </c:pt>
                      <c:pt idx="29" formatCode="General">
                        <c:v>-74.59795180722891</c:v>
                      </c:pt>
                      <c:pt idx="30" formatCode="General">
                        <c:v>-73.055783132530124</c:v>
                      </c:pt>
                      <c:pt idx="31" formatCode="General">
                        <c:v>-71.525681818181823</c:v>
                      </c:pt>
                      <c:pt idx="32" formatCode="General">
                        <c:v>-70.176590909090905</c:v>
                      </c:pt>
                      <c:pt idx="33" formatCode="General">
                        <c:v>-68.827500000000001</c:v>
                      </c:pt>
                      <c:pt idx="34" formatCode="General">
                        <c:v>-67.478409090909096</c:v>
                      </c:pt>
                      <c:pt idx="35" formatCode="General">
                        <c:v>-66.129318181818178</c:v>
                      </c:pt>
                      <c:pt idx="36" formatCode="General">
                        <c:v>-64.780227272727274</c:v>
                      </c:pt>
                      <c:pt idx="37" formatCode="General">
                        <c:v>-63.431136363636369</c:v>
                      </c:pt>
                      <c:pt idx="38" formatCode="General">
                        <c:v>-62.082045454545458</c:v>
                      </c:pt>
                      <c:pt idx="39" formatCode="General">
                        <c:v>-60.732954545454547</c:v>
                      </c:pt>
                      <c:pt idx="40" formatCode="General">
                        <c:v>-59.586127080181548</c:v>
                      </c:pt>
                      <c:pt idx="41" formatCode="General">
                        <c:v>-58.485975794251139</c:v>
                      </c:pt>
                      <c:pt idx="42" formatCode="General">
                        <c:v>-57.385824508320731</c:v>
                      </c:pt>
                      <c:pt idx="43" formatCode="General">
                        <c:v>-56.285673222390322</c:v>
                      </c:pt>
                      <c:pt idx="44" formatCode="General">
                        <c:v>-55.185521936459914</c:v>
                      </c:pt>
                      <c:pt idx="45" formatCode="General">
                        <c:v>-54.085370650529505</c:v>
                      </c:pt>
                      <c:pt idx="46" formatCode="General">
                        <c:v>-52.985219364599097</c:v>
                      </c:pt>
                      <c:pt idx="47" formatCode="General">
                        <c:v>-51.885068078668688</c:v>
                      </c:pt>
                      <c:pt idx="48" formatCode="General">
                        <c:v>-50.848666666666666</c:v>
                      </c:pt>
                      <c:pt idx="49" formatCode="General">
                        <c:v>-49.864424242424242</c:v>
                      </c:pt>
                      <c:pt idx="50" formatCode="General">
                        <c:v>-48.904216867469884</c:v>
                      </c:pt>
                      <c:pt idx="51" formatCode="General">
                        <c:v>-47.969277108433744</c:v>
                      </c:pt>
                      <c:pt idx="52" formatCode="General">
                        <c:v>-47.050000000000004</c:v>
                      </c:pt>
                      <c:pt idx="53" formatCode="General">
                        <c:v>-46.153030303030306</c:v>
                      </c:pt>
                      <c:pt idx="54" formatCode="General">
                        <c:v>-45.2679393939394</c:v>
                      </c:pt>
                      <c:pt idx="55" formatCode="General">
                        <c:v>-44.404909090909094</c:v>
                      </c:pt>
                      <c:pt idx="56" formatCode="General">
                        <c:v>-43.664545454545454</c:v>
                      </c:pt>
                      <c:pt idx="57" formatCode="General">
                        <c:v>-43.228181818181824</c:v>
                      </c:pt>
                      <c:pt idx="58" formatCode="General">
                        <c:v>-42.821490909090912</c:v>
                      </c:pt>
                      <c:pt idx="59" formatCode="General">
                        <c:v>-42.517006060606064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F68-40B1-9F1D-B1B712855BB4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F68-40B1-9F1D-B1B712855BB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F68-40B1-9F1D-B1B712855BB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68-40B1-9F1D-B1B712855BB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-18.87</c:v>
                      </c:pt>
                      <c:pt idx="3">
                        <c:v>-18.874727272727274</c:v>
                      </c:pt>
                      <c:pt idx="4" formatCode="General">
                        <c:v>-18.879575757575758</c:v>
                      </c:pt>
                      <c:pt idx="5" formatCode="General">
                        <c:v>-18.884424242424242</c:v>
                      </c:pt>
                      <c:pt idx="6" formatCode="General">
                        <c:v>-18.889272727272729</c:v>
                      </c:pt>
                      <c:pt idx="7" formatCode="General">
                        <c:v>-18.898242424242426</c:v>
                      </c:pt>
                      <c:pt idx="8" formatCode="General">
                        <c:v>-18.907939393939394</c:v>
                      </c:pt>
                      <c:pt idx="9" formatCode="General">
                        <c:v>-18.917590361445782</c:v>
                      </c:pt>
                      <c:pt idx="10" formatCode="General">
                        <c:v>-18.927228915662649</c:v>
                      </c:pt>
                      <c:pt idx="11" formatCode="General">
                        <c:v>-18.93690909090909</c:v>
                      </c:pt>
                      <c:pt idx="12" formatCode="General">
                        <c:v>-18.946606060606062</c:v>
                      </c:pt>
                      <c:pt idx="13" formatCode="General">
                        <c:v>-18.959454545454545</c:v>
                      </c:pt>
                      <c:pt idx="14" formatCode="General">
                        <c:v>-18.974</c:v>
                      </c:pt>
                      <c:pt idx="15" formatCode="General">
                        <c:v>-18.988532526475037</c:v>
                      </c:pt>
                      <c:pt idx="16" formatCode="General">
                        <c:v>-19.003055975794251</c:v>
                      </c:pt>
                      <c:pt idx="17" formatCode="General">
                        <c:v>-19.017579425113464</c:v>
                      </c:pt>
                      <c:pt idx="18" formatCode="General">
                        <c:v>-19.032102874432677</c:v>
                      </c:pt>
                      <c:pt idx="19" formatCode="General">
                        <c:v>-19.046626323751891</c:v>
                      </c:pt>
                      <c:pt idx="20" formatCode="General">
                        <c:v>-19.061149773071104</c:v>
                      </c:pt>
                      <c:pt idx="21" formatCode="General">
                        <c:v>-19.075673222390318</c:v>
                      </c:pt>
                      <c:pt idx="22" formatCode="General">
                        <c:v>-19.090196671709531</c:v>
                      </c:pt>
                      <c:pt idx="23" formatCode="General">
                        <c:v>-19.104727272727274</c:v>
                      </c:pt>
                      <c:pt idx="24" formatCode="General">
                        <c:v>-19.119272727272726</c:v>
                      </c:pt>
                      <c:pt idx="25" formatCode="General">
                        <c:v>-19.134454545454545</c:v>
                      </c:pt>
                      <c:pt idx="26" formatCode="General">
                        <c:v>-19.151424242424241</c:v>
                      </c:pt>
                      <c:pt idx="27" formatCode="General">
                        <c:v>-19.168393939393937</c:v>
                      </c:pt>
                      <c:pt idx="28" formatCode="General">
                        <c:v>-19.185363636363636</c:v>
                      </c:pt>
                      <c:pt idx="29" formatCode="General">
                        <c:v>-19.201987951807229</c:v>
                      </c:pt>
                      <c:pt idx="30" formatCode="General">
                        <c:v>-19.216445783132531</c:v>
                      </c:pt>
                      <c:pt idx="31" formatCode="General">
                        <c:v>-19.231060606060606</c:v>
                      </c:pt>
                      <c:pt idx="32" formatCode="General">
                        <c:v>-19.248030303030305</c:v>
                      </c:pt>
                      <c:pt idx="33" formatCode="General">
                        <c:v>-19.265000000000001</c:v>
                      </c:pt>
                      <c:pt idx="34" formatCode="General">
                        <c:v>-19.281969696969696</c:v>
                      </c:pt>
                      <c:pt idx="35" formatCode="General">
                        <c:v>-19.298939393939396</c:v>
                      </c:pt>
                      <c:pt idx="36" formatCode="General">
                        <c:v>-19.315909090909091</c:v>
                      </c:pt>
                      <c:pt idx="37" formatCode="General">
                        <c:v>-19.332878787878787</c:v>
                      </c:pt>
                      <c:pt idx="38" formatCode="General">
                        <c:v>-19.349848484848486</c:v>
                      </c:pt>
                      <c:pt idx="39" formatCode="General">
                        <c:v>-19.366818181818182</c:v>
                      </c:pt>
                      <c:pt idx="40" formatCode="General">
                        <c:v>-19.383767019667172</c:v>
                      </c:pt>
                      <c:pt idx="41" formatCode="General">
                        <c:v>-19.400711043872921</c:v>
                      </c:pt>
                      <c:pt idx="42" formatCode="General">
                        <c:v>-19.41765506807867</c:v>
                      </c:pt>
                      <c:pt idx="43" formatCode="General">
                        <c:v>-19.434599092284419</c:v>
                      </c:pt>
                      <c:pt idx="44" formatCode="General">
                        <c:v>-19.451543116490168</c:v>
                      </c:pt>
                      <c:pt idx="45" formatCode="General">
                        <c:v>-19.468487140695917</c:v>
                      </c:pt>
                      <c:pt idx="46" formatCode="General">
                        <c:v>-19.485431164901666</c:v>
                      </c:pt>
                      <c:pt idx="47" formatCode="General">
                        <c:v>-19.502375189107415</c:v>
                      </c:pt>
                      <c:pt idx="48" formatCode="General">
                        <c:v>-19.518000000000001</c:v>
                      </c:pt>
                      <c:pt idx="49" formatCode="General">
                        <c:v>-19.532545454545453</c:v>
                      </c:pt>
                      <c:pt idx="50" formatCode="General">
                        <c:v>-19.549397590361444</c:v>
                      </c:pt>
                      <c:pt idx="51" formatCode="General">
                        <c:v>-19.568674698795178</c:v>
                      </c:pt>
                      <c:pt idx="52" formatCode="General">
                        <c:v>-19.585999999999999</c:v>
                      </c:pt>
                      <c:pt idx="53" formatCode="General">
                        <c:v>-19.600545454545454</c:v>
                      </c:pt>
                      <c:pt idx="54" formatCode="General">
                        <c:v>-19.61509090909091</c:v>
                      </c:pt>
                      <c:pt idx="55" formatCode="General">
                        <c:v>-19.629636363636365</c:v>
                      </c:pt>
                      <c:pt idx="56" formatCode="General">
                        <c:v>-19.623272727272727</c:v>
                      </c:pt>
                      <c:pt idx="57" formatCode="General">
                        <c:v>-19.565090909090909</c:v>
                      </c:pt>
                      <c:pt idx="58" formatCode="General">
                        <c:v>-19.516727272727273</c:v>
                      </c:pt>
                      <c:pt idx="59" formatCode="General">
                        <c:v>-19.502181818181818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68-40B1-9F1D-B1B712855BB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-62.75363636363636</c:v>
                      </c:pt>
                      <c:pt idx="1">
                        <c:v>-61.25060606060606</c:v>
                      </c:pt>
                      <c:pt idx="2">
                        <c:v>-59.74757575757576</c:v>
                      </c:pt>
                      <c:pt idx="3">
                        <c:v>-58.400545454545451</c:v>
                      </c:pt>
                      <c:pt idx="4" formatCode="General">
                        <c:v>-57.057515151515148</c:v>
                      </c:pt>
                      <c:pt idx="5" formatCode="General">
                        <c:v>-55.833939393939389</c:v>
                      </c:pt>
                      <c:pt idx="6" formatCode="General">
                        <c:v>-54.621818181818178</c:v>
                      </c:pt>
                      <c:pt idx="7" formatCode="General">
                        <c:v>-53.05115151515151</c:v>
                      </c:pt>
                      <c:pt idx="8" formatCode="General">
                        <c:v>-51.417212121212117</c:v>
                      </c:pt>
                      <c:pt idx="9" formatCode="General">
                        <c:v>-49.791024096385541</c:v>
                      </c:pt>
                      <c:pt idx="10" formatCode="General">
                        <c:v>-48.166927710843375</c:v>
                      </c:pt>
                      <c:pt idx="11" formatCode="General">
                        <c:v>-46.625636363636367</c:v>
                      </c:pt>
                      <c:pt idx="12" formatCode="General">
                        <c:v>-45.11775757575758</c:v>
                      </c:pt>
                      <c:pt idx="13" formatCode="General">
                        <c:v>-43.685515151515155</c:v>
                      </c:pt>
                      <c:pt idx="14" formatCode="General">
                        <c:v>-42.294000000000004</c:v>
                      </c:pt>
                      <c:pt idx="15" formatCode="General">
                        <c:v>-41.033131618759455</c:v>
                      </c:pt>
                      <c:pt idx="16" formatCode="General">
                        <c:v>-39.863993948562786</c:v>
                      </c:pt>
                      <c:pt idx="17" formatCode="General">
                        <c:v>-38.69485627836611</c:v>
                      </c:pt>
                      <c:pt idx="18" formatCode="General">
                        <c:v>-37.525718608169441</c:v>
                      </c:pt>
                      <c:pt idx="19" formatCode="General">
                        <c:v>-36.356580937972765</c:v>
                      </c:pt>
                      <c:pt idx="20" formatCode="General">
                        <c:v>-35.187443267776096</c:v>
                      </c:pt>
                      <c:pt idx="21" formatCode="General">
                        <c:v>-34.018305597579428</c:v>
                      </c:pt>
                      <c:pt idx="22" formatCode="General">
                        <c:v>-32.849167927382751</c:v>
                      </c:pt>
                      <c:pt idx="23" formatCode="General">
                        <c:v>-31.738545454545452</c:v>
                      </c:pt>
                      <c:pt idx="24" formatCode="General">
                        <c:v>-30.749454545454544</c:v>
                      </c:pt>
                      <c:pt idx="25" formatCode="General">
                        <c:v>-29.781363636363633</c:v>
                      </c:pt>
                      <c:pt idx="26" formatCode="General">
                        <c:v>-28.872272727272723</c:v>
                      </c:pt>
                      <c:pt idx="27" formatCode="General">
                        <c:v>-27.963181818181816</c:v>
                      </c:pt>
                      <c:pt idx="28" formatCode="General">
                        <c:v>-27.054090909090906</c:v>
                      </c:pt>
                      <c:pt idx="29" formatCode="General">
                        <c:v>-26.15602409638554</c:v>
                      </c:pt>
                      <c:pt idx="30" formatCode="General">
                        <c:v>-25.327108433734939</c:v>
                      </c:pt>
                      <c:pt idx="31" formatCode="General">
                        <c:v>-24.504166666666666</c:v>
                      </c:pt>
                      <c:pt idx="32" formatCode="General">
                        <c:v>-23.770833333333336</c:v>
                      </c:pt>
                      <c:pt idx="33" formatCode="General">
                        <c:v>-23.037500000000001</c:v>
                      </c:pt>
                      <c:pt idx="34" formatCode="General">
                        <c:v>-22.304166666666667</c:v>
                      </c:pt>
                      <c:pt idx="35" formatCode="General">
                        <c:v>-21.570833333333333</c:v>
                      </c:pt>
                      <c:pt idx="36" formatCode="General">
                        <c:v>-20.837499999999999</c:v>
                      </c:pt>
                      <c:pt idx="37" formatCode="General">
                        <c:v>-20.104166666666668</c:v>
                      </c:pt>
                      <c:pt idx="38" formatCode="General">
                        <c:v>-19.370833333333334</c:v>
                      </c:pt>
                      <c:pt idx="39" formatCode="General">
                        <c:v>-18.637499999999999</c:v>
                      </c:pt>
                      <c:pt idx="40" formatCode="General">
                        <c:v>-18.00733736762481</c:v>
                      </c:pt>
                      <c:pt idx="41" formatCode="General">
                        <c:v>-17.400983358547656</c:v>
                      </c:pt>
                      <c:pt idx="42" formatCode="General">
                        <c:v>-16.794629349470501</c:v>
                      </c:pt>
                      <c:pt idx="43" formatCode="General">
                        <c:v>-16.188275340393343</c:v>
                      </c:pt>
                      <c:pt idx="44" formatCode="General">
                        <c:v>-15.581921331316188</c:v>
                      </c:pt>
                      <c:pt idx="45" formatCode="General">
                        <c:v>-14.975567322239034</c:v>
                      </c:pt>
                      <c:pt idx="46" formatCode="General">
                        <c:v>-14.369213313161877</c:v>
                      </c:pt>
                      <c:pt idx="47" formatCode="General">
                        <c:v>-13.762859304084721</c:v>
                      </c:pt>
                      <c:pt idx="48" formatCode="General">
                        <c:v>-13.188666666666668</c:v>
                      </c:pt>
                      <c:pt idx="49" formatCode="General">
                        <c:v>-12.640787878787879</c:v>
                      </c:pt>
                      <c:pt idx="50" formatCode="General">
                        <c:v>-12.106265060240965</c:v>
                      </c:pt>
                      <c:pt idx="51" formatCode="General">
                        <c:v>-11.585783132530123</c:v>
                      </c:pt>
                      <c:pt idx="52" formatCode="General">
                        <c:v>-11.072000000000003</c:v>
                      </c:pt>
                      <c:pt idx="53" formatCode="General">
                        <c:v>-10.567757575757579</c:v>
                      </c:pt>
                      <c:pt idx="54" formatCode="General">
                        <c:v>-10.070303030303034</c:v>
                      </c:pt>
                      <c:pt idx="55" formatCode="General">
                        <c:v>-9.5854545454545477</c:v>
                      </c:pt>
                      <c:pt idx="56" formatCode="General">
                        <c:v>-9.1619393939393952</c:v>
                      </c:pt>
                      <c:pt idx="57" formatCode="General">
                        <c:v>-8.8904242424242437</c:v>
                      </c:pt>
                      <c:pt idx="58" formatCode="General">
                        <c:v>-8.6337454545454548</c:v>
                      </c:pt>
                      <c:pt idx="59" formatCode="General">
                        <c:v>-8.4281696969696984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68-40B1-9F1D-B1B712855BB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-5.2021181818181805</c:v>
                      </c:pt>
                      <c:pt idx="26" formatCode="General">
                        <c:v>-4.9206636363636358</c:v>
                      </c:pt>
                      <c:pt idx="27" formatCode="General">
                        <c:v>-4.6392090909090902</c:v>
                      </c:pt>
                      <c:pt idx="28" formatCode="General">
                        <c:v>-4.3577545454545445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-4.4919333333333329</c:v>
                      </c:pt>
                      <c:pt idx="49" formatCode="General">
                        <c:v>-4.5118121212121212</c:v>
                      </c:pt>
                      <c:pt idx="50" formatCode="General">
                        <c:v>-4.5313975903614461</c:v>
                      </c:pt>
                      <c:pt idx="51" formatCode="General">
                        <c:v>-4.5506746987951807</c:v>
                      </c:pt>
                      <c:pt idx="52" formatCode="General">
                        <c:v>-4.5701999999999998</c:v>
                      </c:pt>
                      <c:pt idx="53" formatCode="General">
                        <c:v>-4.5900787878787881</c:v>
                      </c:pt>
                      <c:pt idx="54" formatCode="General">
                        <c:v>-4.6097878787878788</c:v>
                      </c:pt>
                      <c:pt idx="55" formatCode="General">
                        <c:v>-4.6291818181818183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68-40B1-9F1D-B1B712855BB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-24.471333333333334</c:v>
                      </c:pt>
                      <c:pt idx="49" formatCode="General">
                        <c:v>-24.582848484848483</c:v>
                      </c:pt>
                      <c:pt idx="50" formatCode="General">
                        <c:v>-24.691686746987951</c:v>
                      </c:pt>
                      <c:pt idx="51" formatCode="General">
                        <c:v>-24.797710843373494</c:v>
                      </c:pt>
                      <c:pt idx="52" formatCode="General">
                        <c:v>-24.905999999999999</c:v>
                      </c:pt>
                      <c:pt idx="53" formatCode="General">
                        <c:v>-25.017515151515152</c:v>
                      </c:pt>
                      <c:pt idx="54" formatCode="General">
                        <c:v>-25.127333333333333</c:v>
                      </c:pt>
                      <c:pt idx="55" formatCode="General">
                        <c:v>-25.233999999999998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68-40B1-9F1D-B1B712855BB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68-40B1-9F1D-B1B712855BB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68-40B1-9F1D-B1B712855BB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68-40B1-9F1D-B1B712855BB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68-40B1-9F1D-B1B712855BB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68-40B1-9F1D-B1B712855BB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68-40B1-9F1D-B1B712855BB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68-40B1-9F1D-B1B712855BB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68-40B1-9F1D-B1B712855BB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68-40B1-9F1D-B1B712855BB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68-40B1-9F1D-B1B712855BB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68-40B1-9F1D-B1B712855BB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68-40B1-9F1D-B1B712855BB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68-40B1-9F1D-B1B712855BB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F68-40B1-9F1D-B1B712855BB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F68-40B1-9F1D-B1B712855BB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F68-40B1-9F1D-B1B712855BB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F68-40B1-9F1D-B1B712855BB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F68-40B1-9F1D-B1B712855BB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F68-40B1-9F1D-B1B712855BB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F68-40B1-9F1D-B1B712855BB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-192.51064356435646</c:v>
                      </c:pt>
                      <c:pt idx="1">
                        <c:v>-187.97178217821784</c:v>
                      </c:pt>
                      <c:pt idx="2">
                        <c:v>-183.70247524752475</c:v>
                      </c:pt>
                      <c:pt idx="3">
                        <c:v>-179.46782178217822</c:v>
                      </c:pt>
                      <c:pt idx="4" formatCode="General">
                        <c:v>-175.75297029702969</c:v>
                      </c:pt>
                      <c:pt idx="5" formatCode="General">
                        <c:v>-172.03811881188119</c:v>
                      </c:pt>
                      <c:pt idx="6" formatCode="General">
                        <c:v>-168.55742574257425</c:v>
                      </c:pt>
                      <c:pt idx="7" formatCode="General">
                        <c:v>-165.27821782178216</c:v>
                      </c:pt>
                      <c:pt idx="8" formatCode="General">
                        <c:v>-162.00361386138613</c:v>
                      </c:pt>
                      <c:pt idx="9" formatCode="General">
                        <c:v>-159.09272277227723</c:v>
                      </c:pt>
                      <c:pt idx="10" formatCode="General">
                        <c:v>-156.18183168316833</c:v>
                      </c:pt>
                      <c:pt idx="11" formatCode="General">
                        <c:v>-153.42539603960395</c:v>
                      </c:pt>
                      <c:pt idx="12" formatCode="General">
                        <c:v>-150.83133663366337</c:v>
                      </c:pt>
                      <c:pt idx="13" formatCode="General">
                        <c:v>-148.23727722772276</c:v>
                      </c:pt>
                      <c:pt idx="14" formatCode="General">
                        <c:v>-145.89480198019803</c:v>
                      </c:pt>
                      <c:pt idx="15" formatCode="General">
                        <c:v>-143.5621287128713</c:v>
                      </c:pt>
                      <c:pt idx="16" formatCode="General">
                        <c:v>-141.33514851485148</c:v>
                      </c:pt>
                      <c:pt idx="17" formatCode="General">
                        <c:v>-139.24405940594059</c:v>
                      </c:pt>
                      <c:pt idx="18" formatCode="General">
                        <c:v>-137.1529702970297</c:v>
                      </c:pt>
                      <c:pt idx="19" formatCode="General">
                        <c:v>-135.45843866171003</c:v>
                      </c:pt>
                      <c:pt idx="20" formatCode="General">
                        <c:v>-133.80193308550184</c:v>
                      </c:pt>
                      <c:pt idx="21" formatCode="General">
                        <c:v>-132.14542750929368</c:v>
                      </c:pt>
                      <c:pt idx="22" formatCode="General">
                        <c:v>-130.48892193308549</c:v>
                      </c:pt>
                      <c:pt idx="23" formatCode="General">
                        <c:v>-128.83241635687733</c:v>
                      </c:pt>
                      <c:pt idx="24" formatCode="General">
                        <c:v>-127.17591078066914</c:v>
                      </c:pt>
                      <c:pt idx="25" formatCode="General">
                        <c:v>-125.51940520446097</c:v>
                      </c:pt>
                      <c:pt idx="26" formatCode="General">
                        <c:v>-123.86289962825279</c:v>
                      </c:pt>
                      <c:pt idx="27" formatCode="General">
                        <c:v>-122.20639405204462</c:v>
                      </c:pt>
                      <c:pt idx="28" formatCode="General">
                        <c:v>-120.54988847583644</c:v>
                      </c:pt>
                      <c:pt idx="29" formatCode="General">
                        <c:v>-119.17198019801981</c:v>
                      </c:pt>
                      <c:pt idx="30" formatCode="General">
                        <c:v>-117.85316831683168</c:v>
                      </c:pt>
                      <c:pt idx="31" formatCode="General">
                        <c:v>-116.56168316831685</c:v>
                      </c:pt>
                      <c:pt idx="32" formatCode="General">
                        <c:v>-115.33396039603961</c:v>
                      </c:pt>
                      <c:pt idx="33" formatCode="General">
                        <c:v>-114.10623762376238</c:v>
                      </c:pt>
                      <c:pt idx="34" formatCode="General">
                        <c:v>-112.95524752475248</c:v>
                      </c:pt>
                      <c:pt idx="35" formatCode="General">
                        <c:v>-111.82653465346534</c:v>
                      </c:pt>
                      <c:pt idx="36" formatCode="General">
                        <c:v>-110.71960396039603</c:v>
                      </c:pt>
                      <c:pt idx="37" formatCode="General">
                        <c:v>-109.6780198019802</c:v>
                      </c:pt>
                      <c:pt idx="38" formatCode="General">
                        <c:v>-108.63643564356435</c:v>
                      </c:pt>
                      <c:pt idx="39" formatCode="General">
                        <c:v>-107.64653465346535</c:v>
                      </c:pt>
                      <c:pt idx="40" formatCode="General">
                        <c:v>-106.67623762376238</c:v>
                      </c:pt>
                      <c:pt idx="41" formatCode="General">
                        <c:v>-105.71940594059406</c:v>
                      </c:pt>
                      <c:pt idx="42" formatCode="General">
                        <c:v>-104.81643564356436</c:v>
                      </c:pt>
                      <c:pt idx="43" formatCode="General">
                        <c:v>-103.91346534653466</c:v>
                      </c:pt>
                      <c:pt idx="44" formatCode="General">
                        <c:v>-103.06128712871288</c:v>
                      </c:pt>
                      <c:pt idx="45" formatCode="General">
                        <c:v>-102.23356435643565</c:v>
                      </c:pt>
                      <c:pt idx="46" formatCode="General">
                        <c:v>-101.42009900990098</c:v>
                      </c:pt>
                      <c:pt idx="47" formatCode="General">
                        <c:v>-100.68742574257425</c:v>
                      </c:pt>
                      <c:pt idx="48" formatCode="General">
                        <c:v>-99.954752475247517</c:v>
                      </c:pt>
                      <c:pt idx="49" formatCode="General">
                        <c:v>-99.478760842627011</c:v>
                      </c:pt>
                      <c:pt idx="50" formatCode="General">
                        <c:v>-99.156778190830224</c:v>
                      </c:pt>
                      <c:pt idx="51" formatCode="General">
                        <c:v>-98.83479553903345</c:v>
                      </c:pt>
                      <c:pt idx="52" formatCode="General">
                        <c:v>-98.512812887236677</c:v>
                      </c:pt>
                      <c:pt idx="53" formatCode="General">
                        <c:v>-98.19083023543989</c:v>
                      </c:pt>
                      <c:pt idx="54" formatCode="General">
                        <c:v>-97.868847583643117</c:v>
                      </c:pt>
                      <c:pt idx="55" formatCode="General">
                        <c:v>-97.546864931846329</c:v>
                      </c:pt>
                      <c:pt idx="56" formatCode="General">
                        <c:v>-97.224882280049556</c:v>
                      </c:pt>
                      <c:pt idx="57" formatCode="General">
                        <c:v>-96.902899628252783</c:v>
                      </c:pt>
                      <c:pt idx="58" formatCode="General">
                        <c:v>-96.580916976455995</c:v>
                      </c:pt>
                      <c:pt idx="59" formatCode="General">
                        <c:v>-96.386019801980197</c:v>
                      </c:pt>
                      <c:pt idx="60" formatCode="General">
                        <c:v>-96.300475247524759</c:v>
                      </c:pt>
                      <c:pt idx="61" formatCode="General">
                        <c:v>-96.215237623762391</c:v>
                      </c:pt>
                      <c:pt idx="62" formatCode="General">
                        <c:v>-96.154247524752478</c:v>
                      </c:pt>
                      <c:pt idx="63" formatCode="General">
                        <c:v>-96.093257425742578</c:v>
                      </c:pt>
                      <c:pt idx="64" formatCode="General">
                        <c:v>-96.048871287128719</c:v>
                      </c:pt>
                      <c:pt idx="65" formatCode="General">
                        <c:v>-96.021940594059416</c:v>
                      </c:pt>
                      <c:pt idx="66" formatCode="General">
                        <c:v>-95.995009900990112</c:v>
                      </c:pt>
                      <c:pt idx="67" formatCode="General">
                        <c:v>-96.068712871287133</c:v>
                      </c:pt>
                      <c:pt idx="68" formatCode="General">
                        <c:v>-96.146336633663367</c:v>
                      </c:pt>
                      <c:pt idx="69" formatCode="General">
                        <c:v>-96.321672862453525</c:v>
                      </c:pt>
                      <c:pt idx="70" formatCode="General">
                        <c:v>-96.622639405204467</c:v>
                      </c:pt>
                      <c:pt idx="71" formatCode="General">
                        <c:v>-96.923605947955394</c:v>
                      </c:pt>
                      <c:pt idx="72" formatCode="General">
                        <c:v>-97.224572490706322</c:v>
                      </c:pt>
                      <c:pt idx="73" formatCode="General">
                        <c:v>-97.52553903345725</c:v>
                      </c:pt>
                      <c:pt idx="74" formatCode="General">
                        <c:v>-97.826505576208177</c:v>
                      </c:pt>
                      <c:pt idx="75" formatCode="General">
                        <c:v>-98.127472118959119</c:v>
                      </c:pt>
                      <c:pt idx="76" formatCode="General">
                        <c:v>-98.428438661710047</c:v>
                      </c:pt>
                      <c:pt idx="77" formatCode="General">
                        <c:v>-98.729405204460974</c:v>
                      </c:pt>
                      <c:pt idx="78" formatCode="General">
                        <c:v>-99.030371747211902</c:v>
                      </c:pt>
                      <c:pt idx="79" formatCode="General">
                        <c:v>-99.457762376237625</c:v>
                      </c:pt>
                      <c:pt idx="80" formatCode="General">
                        <c:v>-100.11994059405941</c:v>
                      </c:pt>
                      <c:pt idx="81" formatCode="General">
                        <c:v>-100.78211881188119</c:v>
                      </c:pt>
                      <c:pt idx="82" formatCode="General">
                        <c:v>-101.17441584158415</c:v>
                      </c:pt>
                      <c:pt idx="83" formatCode="General">
                        <c:v>-101.50946534653465</c:v>
                      </c:pt>
                      <c:pt idx="84" formatCode="General">
                        <c:v>-101.744</c:v>
                      </c:pt>
                      <c:pt idx="85" formatCode="General">
                        <c:v>-101.744</c:v>
                      </c:pt>
                      <c:pt idx="86" formatCode="General">
                        <c:v>-101.744</c:v>
                      </c:pt>
                      <c:pt idx="87" formatCode="General">
                        <c:v>-101.99445544554456</c:v>
                      </c:pt>
                      <c:pt idx="88" formatCode="General">
                        <c:v>-102.31762376237624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F68-40B1-9F1D-B1B712855BB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F68-40B1-9F1D-B1B712855BB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F68-40B1-9F1D-B1B712855BB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-18.963267326732673</c:v>
                      </c:pt>
                      <c:pt idx="1">
                        <c:v>-18.96</c:v>
                      </c:pt>
                      <c:pt idx="2">
                        <c:v>-18.96</c:v>
                      </c:pt>
                      <c:pt idx="3">
                        <c:v>-18.96</c:v>
                      </c:pt>
                      <c:pt idx="4" formatCode="General">
                        <c:v>-18.96</c:v>
                      </c:pt>
                      <c:pt idx="5" formatCode="General">
                        <c:v>-18.96</c:v>
                      </c:pt>
                      <c:pt idx="6" formatCode="General">
                        <c:v>-18.962128712871287</c:v>
                      </c:pt>
                      <c:pt idx="7" formatCode="General">
                        <c:v>-18.966089108910889</c:v>
                      </c:pt>
                      <c:pt idx="8" formatCode="General">
                        <c:v>-18.970099009900988</c:v>
                      </c:pt>
                      <c:pt idx="9" formatCode="General">
                        <c:v>-18.978019801980196</c:v>
                      </c:pt>
                      <c:pt idx="10" formatCode="General">
                        <c:v>-18.985940594059404</c:v>
                      </c:pt>
                      <c:pt idx="11" formatCode="General">
                        <c:v>-18.99579207920792</c:v>
                      </c:pt>
                      <c:pt idx="12" formatCode="General">
                        <c:v>-19.00767326732673</c:v>
                      </c:pt>
                      <c:pt idx="13" formatCode="General">
                        <c:v>-19.019554455445544</c:v>
                      </c:pt>
                      <c:pt idx="14" formatCode="General">
                        <c:v>-19.031435643564357</c:v>
                      </c:pt>
                      <c:pt idx="15" formatCode="General">
                        <c:v>-19.043316831683168</c:v>
                      </c:pt>
                      <c:pt idx="16" formatCode="General">
                        <c:v>-19.055198019801981</c:v>
                      </c:pt>
                      <c:pt idx="17" formatCode="General">
                        <c:v>-19.067079207920791</c:v>
                      </c:pt>
                      <c:pt idx="18" formatCode="General">
                        <c:v>-19.078960396039601</c:v>
                      </c:pt>
                      <c:pt idx="19" formatCode="General">
                        <c:v>-19.090855018587359</c:v>
                      </c:pt>
                      <c:pt idx="20" formatCode="General">
                        <c:v>-19.102750929368028</c:v>
                      </c:pt>
                      <c:pt idx="21" formatCode="General">
                        <c:v>-19.114646840148698</c:v>
                      </c:pt>
                      <c:pt idx="22" formatCode="General">
                        <c:v>-19.126542750929367</c:v>
                      </c:pt>
                      <c:pt idx="23" formatCode="General">
                        <c:v>-19.138438661710037</c:v>
                      </c:pt>
                      <c:pt idx="24" formatCode="General">
                        <c:v>-19.150334572490706</c:v>
                      </c:pt>
                      <c:pt idx="25" formatCode="General">
                        <c:v>-19.162230483271376</c:v>
                      </c:pt>
                      <c:pt idx="26" formatCode="General">
                        <c:v>-19.174126394052045</c:v>
                      </c:pt>
                      <c:pt idx="27" formatCode="General">
                        <c:v>-19.186022304832711</c:v>
                      </c:pt>
                      <c:pt idx="28" formatCode="General">
                        <c:v>-19.197918215613381</c:v>
                      </c:pt>
                      <c:pt idx="29" formatCode="General">
                        <c:v>-19.209801980198019</c:v>
                      </c:pt>
                      <c:pt idx="30" formatCode="General">
                        <c:v>-19.221683168316833</c:v>
                      </c:pt>
                      <c:pt idx="31" formatCode="General">
                        <c:v>-19.234752475247525</c:v>
                      </c:pt>
                      <c:pt idx="32" formatCode="General">
                        <c:v>-19.250594059405941</c:v>
                      </c:pt>
                      <c:pt idx="33" formatCode="General">
                        <c:v>-19.266435643564357</c:v>
                      </c:pt>
                      <c:pt idx="34" formatCode="General">
                        <c:v>-19.282277227722773</c:v>
                      </c:pt>
                      <c:pt idx="35" formatCode="General">
                        <c:v>-19.298118811881189</c:v>
                      </c:pt>
                      <c:pt idx="36" formatCode="General">
                        <c:v>-19.314950495049505</c:v>
                      </c:pt>
                      <c:pt idx="37" formatCode="General">
                        <c:v>-19.334752475247523</c:v>
                      </c:pt>
                      <c:pt idx="38" formatCode="General">
                        <c:v>-19.354554455445545</c:v>
                      </c:pt>
                      <c:pt idx="39" formatCode="General">
                        <c:v>-19.37148514851485</c:v>
                      </c:pt>
                      <c:pt idx="40" formatCode="General">
                        <c:v>-19.387326732673266</c:v>
                      </c:pt>
                      <c:pt idx="41" formatCode="General">
                        <c:v>-19.403168316831682</c:v>
                      </c:pt>
                      <c:pt idx="42" formatCode="General">
                        <c:v>-19.419009900990098</c:v>
                      </c:pt>
                      <c:pt idx="43" formatCode="General">
                        <c:v>-19.434851485148517</c:v>
                      </c:pt>
                      <c:pt idx="44" formatCode="General">
                        <c:v>-19.448019801980198</c:v>
                      </c:pt>
                      <c:pt idx="45" formatCode="General">
                        <c:v>-19.459900990099008</c:v>
                      </c:pt>
                      <c:pt idx="46" formatCode="General">
                        <c:v>-19.47059405940594</c:v>
                      </c:pt>
                      <c:pt idx="47" formatCode="General">
                        <c:v>-19.474554455445546</c:v>
                      </c:pt>
                      <c:pt idx="48" formatCode="General">
                        <c:v>-19.478514851485148</c:v>
                      </c:pt>
                      <c:pt idx="49" formatCode="General">
                        <c:v>-19.476902106567536</c:v>
                      </c:pt>
                      <c:pt idx="50" formatCode="General">
                        <c:v>-19.47194547707559</c:v>
                      </c:pt>
                      <c:pt idx="51" formatCode="General">
                        <c:v>-19.466988847583643</c:v>
                      </c:pt>
                      <c:pt idx="52" formatCode="General">
                        <c:v>-19.462032218091696</c:v>
                      </c:pt>
                      <c:pt idx="53" formatCode="General">
                        <c:v>-19.457075588599754</c:v>
                      </c:pt>
                      <c:pt idx="54" formatCode="General">
                        <c:v>-19.452118959107807</c:v>
                      </c:pt>
                      <c:pt idx="55" formatCode="General">
                        <c:v>-19.44716232961586</c:v>
                      </c:pt>
                      <c:pt idx="56" formatCode="General">
                        <c:v>-19.442205700123914</c:v>
                      </c:pt>
                      <c:pt idx="57" formatCode="General">
                        <c:v>-19.437249070631971</c:v>
                      </c:pt>
                      <c:pt idx="58" formatCode="General">
                        <c:v>-19.432292441140024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-19.749702970297029</c:v>
                      </c:pt>
                      <c:pt idx="80" formatCode="General">
                        <c:v>-19.777425742574255</c:v>
                      </c:pt>
                      <c:pt idx="81" formatCode="General">
                        <c:v>-19.805148514851485</c:v>
                      </c:pt>
                      <c:pt idx="82" formatCode="General">
                        <c:v>-19.823069306930691</c:v>
                      </c:pt>
                      <c:pt idx="83" formatCode="General">
                        <c:v>-19.83891089108911</c:v>
                      </c:pt>
                      <c:pt idx="84" formatCode="General">
                        <c:v>-19.850000000000001</c:v>
                      </c:pt>
                      <c:pt idx="85" formatCode="General">
                        <c:v>-19.850000000000001</c:v>
                      </c:pt>
                      <c:pt idx="86" formatCode="General">
                        <c:v>-19.850000000000001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F68-40B1-9F1D-B1B712855BB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-61.625643564356437</c:v>
                      </c:pt>
                      <c:pt idx="1">
                        <c:v>-60.46108910891089</c:v>
                      </c:pt>
                      <c:pt idx="2">
                        <c:v>-59.40762376237624</c:v>
                      </c:pt>
                      <c:pt idx="3">
                        <c:v>-58.37148514851485</c:v>
                      </c:pt>
                      <c:pt idx="4" formatCode="General">
                        <c:v>-57.595247524752473</c:v>
                      </c:pt>
                      <c:pt idx="5" formatCode="General">
                        <c:v>-56.819009900990096</c:v>
                      </c:pt>
                      <c:pt idx="6" formatCode="General">
                        <c:v>-56.157722772277225</c:v>
                      </c:pt>
                      <c:pt idx="7" formatCode="General">
                        <c:v>-55.595346534653466</c:v>
                      </c:pt>
                      <c:pt idx="8" formatCode="General">
                        <c:v>-55.034900990099011</c:v>
                      </c:pt>
                      <c:pt idx="9" formatCode="General">
                        <c:v>-54.626980198019801</c:v>
                      </c:pt>
                      <c:pt idx="10" formatCode="General">
                        <c:v>-54.219059405940598</c:v>
                      </c:pt>
                      <c:pt idx="11" formatCode="General">
                        <c:v>-53.853227722772282</c:v>
                      </c:pt>
                      <c:pt idx="12" formatCode="General">
                        <c:v>-53.531643564356436</c:v>
                      </c:pt>
                      <c:pt idx="13" formatCode="General">
                        <c:v>-53.210059405940598</c:v>
                      </c:pt>
                      <c:pt idx="14" formatCode="General">
                        <c:v>-52.949465346534659</c:v>
                      </c:pt>
                      <c:pt idx="15" formatCode="General">
                        <c:v>-52.691247524752484</c:v>
                      </c:pt>
                      <c:pt idx="16" formatCode="General">
                        <c:v>-52.460232673267335</c:v>
                      </c:pt>
                      <c:pt idx="17" formatCode="General">
                        <c:v>-52.264193069306934</c:v>
                      </c:pt>
                      <c:pt idx="18" formatCode="General">
                        <c:v>-52.068153465346533</c:v>
                      </c:pt>
                      <c:pt idx="19" formatCode="General">
                        <c:v>-52.059322180916979</c:v>
                      </c:pt>
                      <c:pt idx="20" formatCode="General">
                        <c:v>-52.068442379182159</c:v>
                      </c:pt>
                      <c:pt idx="21" formatCode="General">
                        <c:v>-52.077562577447338</c:v>
                      </c:pt>
                      <c:pt idx="22" formatCode="General">
                        <c:v>-52.086682775712518</c:v>
                      </c:pt>
                      <c:pt idx="23" formatCode="General">
                        <c:v>-52.095802973977698</c:v>
                      </c:pt>
                      <c:pt idx="24" formatCode="General">
                        <c:v>-52.104923172242877</c:v>
                      </c:pt>
                      <c:pt idx="25" formatCode="General">
                        <c:v>-52.114043370508057</c:v>
                      </c:pt>
                      <c:pt idx="26" formatCode="General">
                        <c:v>-52.123163568773236</c:v>
                      </c:pt>
                      <c:pt idx="27" formatCode="General">
                        <c:v>-52.132283767038416</c:v>
                      </c:pt>
                      <c:pt idx="28" formatCode="General">
                        <c:v>-52.141403965303596</c:v>
                      </c:pt>
                      <c:pt idx="29" formatCode="General">
                        <c:v>-52.312574257425744</c:v>
                      </c:pt>
                      <c:pt idx="30" formatCode="General">
                        <c:v>-52.518118811881187</c:v>
                      </c:pt>
                      <c:pt idx="31" formatCode="General">
                        <c:v>-52.730554455445542</c:v>
                      </c:pt>
                      <c:pt idx="32" formatCode="General">
                        <c:v>-52.959069306930694</c:v>
                      </c:pt>
                      <c:pt idx="33" formatCode="General">
                        <c:v>-53.187584158415845</c:v>
                      </c:pt>
                      <c:pt idx="34" formatCode="General">
                        <c:v>-53.427762376237631</c:v>
                      </c:pt>
                      <c:pt idx="35" formatCode="General">
                        <c:v>-53.671326732673272</c:v>
                      </c:pt>
                      <c:pt idx="36" formatCode="General">
                        <c:v>-53.915782178217817</c:v>
                      </c:pt>
                      <c:pt idx="37" formatCode="General">
                        <c:v>-54.162910891089105</c:v>
                      </c:pt>
                      <c:pt idx="38" formatCode="General">
                        <c:v>-54.410039603960392</c:v>
                      </c:pt>
                      <c:pt idx="39" formatCode="General">
                        <c:v>-54.658316831683166</c:v>
                      </c:pt>
                      <c:pt idx="40" formatCode="General">
                        <c:v>-54.907029702970299</c:v>
                      </c:pt>
                      <c:pt idx="41" formatCode="General">
                        <c:v>-55.154712871287131</c:v>
                      </c:pt>
                      <c:pt idx="42" formatCode="General">
                        <c:v>-55.398277227722772</c:v>
                      </c:pt>
                      <c:pt idx="43" formatCode="General">
                        <c:v>-55.641841584158414</c:v>
                      </c:pt>
                      <c:pt idx="44" formatCode="General">
                        <c:v>-55.88647524752475</c:v>
                      </c:pt>
                      <c:pt idx="45" formatCode="General">
                        <c:v>-56.131623762376236</c:v>
                      </c:pt>
                      <c:pt idx="46" formatCode="General">
                        <c:v>-56.376534653465342</c:v>
                      </c:pt>
                      <c:pt idx="47" formatCode="General">
                        <c:v>-56.62009900990099</c:v>
                      </c:pt>
                      <c:pt idx="48" formatCode="General">
                        <c:v>-56.863663366336631</c:v>
                      </c:pt>
                      <c:pt idx="49" formatCode="General">
                        <c:v>-57.110018587360592</c:v>
                      </c:pt>
                      <c:pt idx="50" formatCode="General">
                        <c:v>-57.358048327137546</c:v>
                      </c:pt>
                      <c:pt idx="51" formatCode="General">
                        <c:v>-57.606078066914492</c:v>
                      </c:pt>
                      <c:pt idx="52" formatCode="General">
                        <c:v>-57.854107806691445</c:v>
                      </c:pt>
                      <c:pt idx="53" formatCode="General">
                        <c:v>-58.102137546468398</c:v>
                      </c:pt>
                      <c:pt idx="54" formatCode="General">
                        <c:v>-58.350167286245345</c:v>
                      </c:pt>
                      <c:pt idx="55" formatCode="General">
                        <c:v>-58.598197026022298</c:v>
                      </c:pt>
                      <c:pt idx="56" formatCode="General">
                        <c:v>-58.846226765799251</c:v>
                      </c:pt>
                      <c:pt idx="57" formatCode="General">
                        <c:v>-59.094256505576197</c:v>
                      </c:pt>
                      <c:pt idx="58" formatCode="General">
                        <c:v>-59.342286245353151</c:v>
                      </c:pt>
                      <c:pt idx="59" formatCode="General">
                        <c:v>-59.583019801980193</c:v>
                      </c:pt>
                      <c:pt idx="60" formatCode="General">
                        <c:v>-59.817475247524747</c:v>
                      </c:pt>
                      <c:pt idx="61" formatCode="General">
                        <c:v>-60.05189603960396</c:v>
                      </c:pt>
                      <c:pt idx="62" formatCode="General">
                        <c:v>-60.283579207920795</c:v>
                      </c:pt>
                      <c:pt idx="63" formatCode="General">
                        <c:v>-60.515262376237622</c:v>
                      </c:pt>
                      <c:pt idx="64" formatCode="General">
                        <c:v>-60.751193069306929</c:v>
                      </c:pt>
                      <c:pt idx="65" formatCode="General">
                        <c:v>-60.991589108910894</c:v>
                      </c:pt>
                      <c:pt idx="66" formatCode="General">
                        <c:v>-61.231985148514852</c:v>
                      </c:pt>
                      <c:pt idx="67" formatCode="General">
                        <c:v>-61.370222772277231</c:v>
                      </c:pt>
                      <c:pt idx="68" formatCode="General">
                        <c:v>-61.504480198019799</c:v>
                      </c:pt>
                      <c:pt idx="69" formatCode="General">
                        <c:v>-61.659931846344485</c:v>
                      </c:pt>
                      <c:pt idx="70" formatCode="General">
                        <c:v>-61.842633209417592</c:v>
                      </c:pt>
                      <c:pt idx="71" formatCode="General">
                        <c:v>-62.025334572490706</c:v>
                      </c:pt>
                      <c:pt idx="72" formatCode="General">
                        <c:v>-62.208035935563814</c:v>
                      </c:pt>
                      <c:pt idx="73" formatCode="General">
                        <c:v>-62.390737298636928</c:v>
                      </c:pt>
                      <c:pt idx="74" formatCode="General">
                        <c:v>-62.573438661710036</c:v>
                      </c:pt>
                      <c:pt idx="75" formatCode="General">
                        <c:v>-62.75614002478315</c:v>
                      </c:pt>
                      <c:pt idx="76" formatCode="General">
                        <c:v>-62.938841387856257</c:v>
                      </c:pt>
                      <c:pt idx="77" formatCode="General">
                        <c:v>-63.121542750929365</c:v>
                      </c:pt>
                      <c:pt idx="78" formatCode="General">
                        <c:v>-63.304244114002479</c:v>
                      </c:pt>
                      <c:pt idx="79" formatCode="General">
                        <c:v>-63.566465346534656</c:v>
                      </c:pt>
                      <c:pt idx="80" formatCode="General">
                        <c:v>-63.97636633663366</c:v>
                      </c:pt>
                      <c:pt idx="81" formatCode="General">
                        <c:v>-64.386267326732678</c:v>
                      </c:pt>
                      <c:pt idx="82" formatCode="General">
                        <c:v>-64.630841584158418</c:v>
                      </c:pt>
                      <c:pt idx="83" formatCode="General">
                        <c:v>-64.840346534653463</c:v>
                      </c:pt>
                      <c:pt idx="84" formatCode="General">
                        <c:v>-64.986999999999995</c:v>
                      </c:pt>
                      <c:pt idx="85" formatCode="General">
                        <c:v>-64.986999999999995</c:v>
                      </c:pt>
                      <c:pt idx="86" formatCode="General">
                        <c:v>-64.986999999999995</c:v>
                      </c:pt>
                      <c:pt idx="87" formatCode="General">
                        <c:v>-65.143227722772281</c:v>
                      </c:pt>
                      <c:pt idx="88" formatCode="General">
                        <c:v>-65.344811881188122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F68-40B1-9F1D-B1B712855BB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-39.051237623762383</c:v>
                      </c:pt>
                      <c:pt idx="1">
                        <c:v>-38.257920792079211</c:v>
                      </c:pt>
                      <c:pt idx="2">
                        <c:v>-37.505445544554455</c:v>
                      </c:pt>
                      <c:pt idx="3">
                        <c:v>-36.758910891089108</c:v>
                      </c:pt>
                      <c:pt idx="4" formatCode="General">
                        <c:v>-36.101485148514847</c:v>
                      </c:pt>
                      <c:pt idx="5" formatCode="General">
                        <c:v>-35.444059405940592</c:v>
                      </c:pt>
                      <c:pt idx="6" formatCode="General">
                        <c:v>-34.833465346534652</c:v>
                      </c:pt>
                      <c:pt idx="7" formatCode="General">
                        <c:v>-34.263168316831681</c:v>
                      </c:pt>
                      <c:pt idx="8" formatCode="General">
                        <c:v>-33.693960396039607</c:v>
                      </c:pt>
                      <c:pt idx="9" formatCode="General">
                        <c:v>-33.210792079207927</c:v>
                      </c:pt>
                      <c:pt idx="10" formatCode="General">
                        <c:v>-32.72762376237624</c:v>
                      </c:pt>
                      <c:pt idx="11" formatCode="General">
                        <c:v>-32.27496039603961</c:v>
                      </c:pt>
                      <c:pt idx="12" formatCode="General">
                        <c:v>-31.854366336633664</c:v>
                      </c:pt>
                      <c:pt idx="13" formatCode="General">
                        <c:v>-31.433772277227725</c:v>
                      </c:pt>
                      <c:pt idx="14" formatCode="General">
                        <c:v>-31.074168316831685</c:v>
                      </c:pt>
                      <c:pt idx="15" formatCode="General">
                        <c:v>-30.716940594059409</c:v>
                      </c:pt>
                      <c:pt idx="16" formatCode="General">
                        <c:v>-30.392113861386139</c:v>
                      </c:pt>
                      <c:pt idx="17" formatCode="General">
                        <c:v>-30.108945544554459</c:v>
                      </c:pt>
                      <c:pt idx="18" formatCode="General">
                        <c:v>-29.825777227722774</c:v>
                      </c:pt>
                      <c:pt idx="19" formatCode="General">
                        <c:v>-29.739669144981413</c:v>
                      </c:pt>
                      <c:pt idx="20" formatCode="General">
                        <c:v>-29.672457249070632</c:v>
                      </c:pt>
                      <c:pt idx="21" formatCode="General">
                        <c:v>-29.605245353159852</c:v>
                      </c:pt>
                      <c:pt idx="22" formatCode="General">
                        <c:v>-29.538033457249071</c:v>
                      </c:pt>
                      <c:pt idx="23" formatCode="General">
                        <c:v>-29.47082156133829</c:v>
                      </c:pt>
                      <c:pt idx="24" formatCode="General">
                        <c:v>-29.40360966542751</c:v>
                      </c:pt>
                      <c:pt idx="25" formatCode="General">
                        <c:v>-29.336397769516726</c:v>
                      </c:pt>
                      <c:pt idx="26" formatCode="General">
                        <c:v>-29.269185873605945</c:v>
                      </c:pt>
                      <c:pt idx="27" formatCode="General">
                        <c:v>-29.201973977695165</c:v>
                      </c:pt>
                      <c:pt idx="28" formatCode="General">
                        <c:v>-29.134762081784384</c:v>
                      </c:pt>
                      <c:pt idx="29" formatCode="General">
                        <c:v>-29.204356435643561</c:v>
                      </c:pt>
                      <c:pt idx="30" formatCode="General">
                        <c:v>-29.302970297029702</c:v>
                      </c:pt>
                      <c:pt idx="31" formatCode="General">
                        <c:v>-29.40728712871287</c:v>
                      </c:pt>
                      <c:pt idx="32" formatCode="General">
                        <c:v>-29.52491089108911</c:v>
                      </c:pt>
                      <c:pt idx="33" formatCode="General">
                        <c:v>-29.642534653465347</c:v>
                      </c:pt>
                      <c:pt idx="34" formatCode="General">
                        <c:v>-29.768752475247524</c:v>
                      </c:pt>
                      <c:pt idx="35" formatCode="General">
                        <c:v>-29.897465346534652</c:v>
                      </c:pt>
                      <c:pt idx="36" formatCode="General">
                        <c:v>-30.027069306930692</c:v>
                      </c:pt>
                      <c:pt idx="37" formatCode="General">
                        <c:v>-30.159346534653466</c:v>
                      </c:pt>
                      <c:pt idx="38" formatCode="General">
                        <c:v>-30.291623762376236</c:v>
                      </c:pt>
                      <c:pt idx="39" formatCode="General">
                        <c:v>-30.425049504950493</c:v>
                      </c:pt>
                      <c:pt idx="40" formatCode="General">
                        <c:v>-30.558910891089109</c:v>
                      </c:pt>
                      <c:pt idx="41" formatCode="General">
                        <c:v>-30.692534653465348</c:v>
                      </c:pt>
                      <c:pt idx="42" formatCode="General">
                        <c:v>-30.825207920792078</c:v>
                      </c:pt>
                      <c:pt idx="43" formatCode="General">
                        <c:v>-30.957881188118808</c:v>
                      </c:pt>
                      <c:pt idx="44" formatCode="General">
                        <c:v>-31.094297029702968</c:v>
                      </c:pt>
                      <c:pt idx="45" formatCode="General">
                        <c:v>-31.232514851485146</c:v>
                      </c:pt>
                      <c:pt idx="46" formatCode="General">
                        <c:v>-31.37287128712871</c:v>
                      </c:pt>
                      <c:pt idx="47" formatCode="General">
                        <c:v>-31.525346534653465</c:v>
                      </c:pt>
                      <c:pt idx="48" formatCode="General">
                        <c:v>-31.677821782178217</c:v>
                      </c:pt>
                      <c:pt idx="49" formatCode="General">
                        <c:v>-31.837973977695167</c:v>
                      </c:pt>
                      <c:pt idx="50" formatCode="General">
                        <c:v>-32.002732342007434</c:v>
                      </c:pt>
                      <c:pt idx="51" formatCode="General">
                        <c:v>-32.167490706319704</c:v>
                      </c:pt>
                      <c:pt idx="52" formatCode="General">
                        <c:v>-32.332249070631967</c:v>
                      </c:pt>
                      <c:pt idx="53" formatCode="General">
                        <c:v>-32.497007434944237</c:v>
                      </c:pt>
                      <c:pt idx="54" formatCode="General">
                        <c:v>-32.661765799256507</c:v>
                      </c:pt>
                      <c:pt idx="55" formatCode="General">
                        <c:v>-32.82652416356877</c:v>
                      </c:pt>
                      <c:pt idx="56" formatCode="General">
                        <c:v>-32.99128252788104</c:v>
                      </c:pt>
                      <c:pt idx="57" formatCode="General">
                        <c:v>-33.156040892193303</c:v>
                      </c:pt>
                      <c:pt idx="58" formatCode="General">
                        <c:v>-33.320799256505573</c:v>
                      </c:pt>
                      <c:pt idx="59" formatCode="General">
                        <c:v>-33.467673267326731</c:v>
                      </c:pt>
                      <c:pt idx="60" formatCode="General">
                        <c:v>-33.599158415841586</c:v>
                      </c:pt>
                      <c:pt idx="61" formatCode="General">
                        <c:v>-33.730608910891085</c:v>
                      </c:pt>
                      <c:pt idx="62" formatCode="General">
                        <c:v>-33.85932178217822</c:v>
                      </c:pt>
                      <c:pt idx="63" formatCode="General">
                        <c:v>-33.988034653465348</c:v>
                      </c:pt>
                      <c:pt idx="64" formatCode="General">
                        <c:v>-34.119064356435644</c:v>
                      </c:pt>
                      <c:pt idx="65" formatCode="General">
                        <c:v>-34.2525297029703</c:v>
                      </c:pt>
                      <c:pt idx="66" formatCode="General">
                        <c:v>-34.385995049504956</c:v>
                      </c:pt>
                      <c:pt idx="67" formatCode="General">
                        <c:v>-34.466856435643564</c:v>
                      </c:pt>
                      <c:pt idx="68" formatCode="General">
                        <c:v>-34.54566831683168</c:v>
                      </c:pt>
                      <c:pt idx="69" formatCode="General">
                        <c:v>-34.633934324659229</c:v>
                      </c:pt>
                      <c:pt idx="70" formatCode="General">
                        <c:v>-34.734355638166043</c:v>
                      </c:pt>
                      <c:pt idx="71" formatCode="General">
                        <c:v>-34.834776951672858</c:v>
                      </c:pt>
                      <c:pt idx="72" formatCode="General">
                        <c:v>-34.935198265179679</c:v>
                      </c:pt>
                      <c:pt idx="73" formatCode="General">
                        <c:v>-35.035619578686493</c:v>
                      </c:pt>
                      <c:pt idx="74" formatCode="General">
                        <c:v>-35.136040892193307</c:v>
                      </c:pt>
                      <c:pt idx="75" formatCode="General">
                        <c:v>-35.236462205700121</c:v>
                      </c:pt>
                      <c:pt idx="76" formatCode="General">
                        <c:v>-35.336883519206935</c:v>
                      </c:pt>
                      <c:pt idx="77" formatCode="General">
                        <c:v>-35.437304832713757</c:v>
                      </c:pt>
                      <c:pt idx="78" formatCode="General">
                        <c:v>-35.537726146220571</c:v>
                      </c:pt>
                      <c:pt idx="79" formatCode="General">
                        <c:v>-35.681316831683169</c:v>
                      </c:pt>
                      <c:pt idx="80" formatCode="General">
                        <c:v>-35.905079207920792</c:v>
                      </c:pt>
                      <c:pt idx="81" formatCode="General">
                        <c:v>-36.128841584158415</c:v>
                      </c:pt>
                      <c:pt idx="82" formatCode="General">
                        <c:v>-36.262425742574258</c:v>
                      </c:pt>
                      <c:pt idx="83" formatCode="General">
                        <c:v>-36.376881188118809</c:v>
                      </c:pt>
                      <c:pt idx="84" formatCode="General">
                        <c:v>-36.457000000000001</c:v>
                      </c:pt>
                      <c:pt idx="85" formatCode="General">
                        <c:v>-36.457000000000001</c:v>
                      </c:pt>
                      <c:pt idx="86" formatCode="General">
                        <c:v>-36.457000000000001</c:v>
                      </c:pt>
                      <c:pt idx="87" formatCode="General">
                        <c:v>-36.542633663366338</c:v>
                      </c:pt>
                      <c:pt idx="88" formatCode="General">
                        <c:v>-36.653128712871293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F68-40B1-9F1D-B1B712855BB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-147.3618316831683</c:v>
                      </c:pt>
                      <c:pt idx="1">
                        <c:v>-143.56544554455445</c:v>
                      </c:pt>
                      <c:pt idx="2">
                        <c:v>-139.8981188118812</c:v>
                      </c:pt>
                      <c:pt idx="3">
                        <c:v>-136.24267326732675</c:v>
                      </c:pt>
                      <c:pt idx="4" formatCode="General">
                        <c:v>-132.76544554455447</c:v>
                      </c:pt>
                      <c:pt idx="5" formatCode="General">
                        <c:v>-129.28821782178218</c:v>
                      </c:pt>
                      <c:pt idx="6" formatCode="General">
                        <c:v>-125.90891089108911</c:v>
                      </c:pt>
                      <c:pt idx="7" formatCode="General">
                        <c:v>-122.61386138613861</c:v>
                      </c:pt>
                      <c:pt idx="8" formatCode="General">
                        <c:v>-119.32173267326732</c:v>
                      </c:pt>
                      <c:pt idx="9" formatCode="General">
                        <c:v>-116.26034653465346</c:v>
                      </c:pt>
                      <c:pt idx="10" formatCode="General">
                        <c:v>-113.19896039603961</c:v>
                      </c:pt>
                      <c:pt idx="11" formatCode="General">
                        <c:v>-110.26886138613861</c:v>
                      </c:pt>
                      <c:pt idx="12" formatCode="General">
                        <c:v>-107.47678217821783</c:v>
                      </c:pt>
                      <c:pt idx="13" formatCode="General">
                        <c:v>-104.68470297029704</c:v>
                      </c:pt>
                      <c:pt idx="14" formatCode="General">
                        <c:v>-102.14420792079208</c:v>
                      </c:pt>
                      <c:pt idx="15" formatCode="General">
                        <c:v>-99.613514851485149</c:v>
                      </c:pt>
                      <c:pt idx="16" formatCode="General">
                        <c:v>-97.198910891089113</c:v>
                      </c:pt>
                      <c:pt idx="17" formatCode="General">
                        <c:v>-94.933564356435639</c:v>
                      </c:pt>
                      <c:pt idx="18" formatCode="General">
                        <c:v>-92.668217821782179</c:v>
                      </c:pt>
                      <c:pt idx="19" formatCode="General">
                        <c:v>-90.819132589838901</c:v>
                      </c:pt>
                      <c:pt idx="20" formatCode="General">
                        <c:v>-89.009962825278805</c:v>
                      </c:pt>
                      <c:pt idx="21" formatCode="General">
                        <c:v>-87.200793060718709</c:v>
                      </c:pt>
                      <c:pt idx="22" formatCode="General">
                        <c:v>-85.391623296158613</c:v>
                      </c:pt>
                      <c:pt idx="23" formatCode="General">
                        <c:v>-83.582453531598503</c:v>
                      </c:pt>
                      <c:pt idx="24" formatCode="General">
                        <c:v>-81.773283767038407</c:v>
                      </c:pt>
                      <c:pt idx="25" formatCode="General">
                        <c:v>-79.964114002478311</c:v>
                      </c:pt>
                      <c:pt idx="26" formatCode="General">
                        <c:v>-78.154944237918215</c:v>
                      </c:pt>
                      <c:pt idx="27" formatCode="General">
                        <c:v>-76.345774473358105</c:v>
                      </c:pt>
                      <c:pt idx="28" formatCode="General">
                        <c:v>-74.536604708798009</c:v>
                      </c:pt>
                      <c:pt idx="29" formatCode="General">
                        <c:v>-72.955544554455443</c:v>
                      </c:pt>
                      <c:pt idx="30" formatCode="General">
                        <c:v>-71.422871287128714</c:v>
                      </c:pt>
                      <c:pt idx="31" formatCode="General">
                        <c:v>-69.915148514851481</c:v>
                      </c:pt>
                      <c:pt idx="32" formatCode="General">
                        <c:v>-68.465643564356427</c:v>
                      </c:pt>
                      <c:pt idx="33" formatCode="General">
                        <c:v>-67.016138613861372</c:v>
                      </c:pt>
                      <c:pt idx="34" formatCode="General">
                        <c:v>-65.637227722772266</c:v>
                      </c:pt>
                      <c:pt idx="35" formatCode="General">
                        <c:v>-64.278811881188119</c:v>
                      </c:pt>
                      <c:pt idx="36" formatCode="General">
                        <c:v>-62.942178217821784</c:v>
                      </c:pt>
                      <c:pt idx="37" formatCode="General">
                        <c:v>-61.670891089108913</c:v>
                      </c:pt>
                      <c:pt idx="38" formatCode="General">
                        <c:v>-60.399603960396043</c:v>
                      </c:pt>
                      <c:pt idx="39" formatCode="General">
                        <c:v>-59.18</c:v>
                      </c:pt>
                      <c:pt idx="40" formatCode="General">
                        <c:v>-57.98</c:v>
                      </c:pt>
                      <c:pt idx="41" formatCode="General">
                        <c:v>-56.795049504950491</c:v>
                      </c:pt>
                      <c:pt idx="42" formatCode="General">
                        <c:v>-55.670297029702965</c:v>
                      </c:pt>
                      <c:pt idx="43" formatCode="General">
                        <c:v>-54.545544554455446</c:v>
                      </c:pt>
                      <c:pt idx="44" formatCode="General">
                        <c:v>-53.476930693069306</c:v>
                      </c:pt>
                      <c:pt idx="45" formatCode="General">
                        <c:v>-52.435346534653462</c:v>
                      </c:pt>
                      <c:pt idx="46" formatCode="General">
                        <c:v>-51.412772277227717</c:v>
                      </c:pt>
                      <c:pt idx="47" formatCode="General">
                        <c:v>-50.497920792079199</c:v>
                      </c:pt>
                      <c:pt idx="48" formatCode="General">
                        <c:v>-49.583069306930689</c:v>
                      </c:pt>
                      <c:pt idx="49" formatCode="General">
                        <c:v>-48.934671623296154</c:v>
                      </c:pt>
                      <c:pt idx="50" formatCode="General">
                        <c:v>-48.446146220570007</c:v>
                      </c:pt>
                      <c:pt idx="51" formatCode="General">
                        <c:v>-47.957620817843861</c:v>
                      </c:pt>
                      <c:pt idx="52" formatCode="General">
                        <c:v>-47.469095415117714</c:v>
                      </c:pt>
                      <c:pt idx="53" formatCode="General">
                        <c:v>-46.980570012391574</c:v>
                      </c:pt>
                      <c:pt idx="54" formatCode="General">
                        <c:v>-46.492044609665427</c:v>
                      </c:pt>
                      <c:pt idx="55" formatCode="General">
                        <c:v>-46.003519206939281</c:v>
                      </c:pt>
                      <c:pt idx="56" formatCode="General">
                        <c:v>-45.514993804213134</c:v>
                      </c:pt>
                      <c:pt idx="57" formatCode="General">
                        <c:v>-45.026468401486987</c:v>
                      </c:pt>
                      <c:pt idx="58" formatCode="General">
                        <c:v>-44.53794299876084</c:v>
                      </c:pt>
                      <c:pt idx="59" formatCode="General">
                        <c:v>-44.155326732673267</c:v>
                      </c:pt>
                      <c:pt idx="60" formatCode="General">
                        <c:v>-43.863841584158415</c:v>
                      </c:pt>
                      <c:pt idx="61" formatCode="General">
                        <c:v>-43.572663366336634</c:v>
                      </c:pt>
                      <c:pt idx="62" formatCode="General">
                        <c:v>-43.305732673267329</c:v>
                      </c:pt>
                      <c:pt idx="63" formatCode="General">
                        <c:v>-43.038801980198024</c:v>
                      </c:pt>
                      <c:pt idx="64" formatCode="General">
                        <c:v>-42.784613861386141</c:v>
                      </c:pt>
                      <c:pt idx="65" formatCode="General">
                        <c:v>-42.54382178217822</c:v>
                      </c:pt>
                      <c:pt idx="66" formatCode="General">
                        <c:v>-42.303029702970299</c:v>
                      </c:pt>
                      <c:pt idx="67" formatCode="General">
                        <c:v>-42.261980198019806</c:v>
                      </c:pt>
                      <c:pt idx="68" formatCode="General">
                        <c:v>-42.228712871287129</c:v>
                      </c:pt>
                      <c:pt idx="69" formatCode="General">
                        <c:v>-42.269677819083022</c:v>
                      </c:pt>
                      <c:pt idx="70" formatCode="General">
                        <c:v>-42.406084262701363</c:v>
                      </c:pt>
                      <c:pt idx="71" formatCode="General">
                        <c:v>-42.542490706319704</c:v>
                      </c:pt>
                      <c:pt idx="72" formatCode="General">
                        <c:v>-42.678897149938045</c:v>
                      </c:pt>
                      <c:pt idx="73" formatCode="General">
                        <c:v>-42.815303593556379</c:v>
                      </c:pt>
                      <c:pt idx="74" formatCode="General">
                        <c:v>-42.95171003717472</c:v>
                      </c:pt>
                      <c:pt idx="75" formatCode="General">
                        <c:v>-43.088116480793062</c:v>
                      </c:pt>
                      <c:pt idx="76" formatCode="General">
                        <c:v>-43.224522924411396</c:v>
                      </c:pt>
                      <c:pt idx="77" formatCode="General">
                        <c:v>-43.360929368029737</c:v>
                      </c:pt>
                      <c:pt idx="78" formatCode="General">
                        <c:v>-43.497335811648078</c:v>
                      </c:pt>
                      <c:pt idx="79" formatCode="General">
                        <c:v>-43.687465346534651</c:v>
                      </c:pt>
                      <c:pt idx="80" formatCode="General">
                        <c:v>-43.977366336633658</c:v>
                      </c:pt>
                      <c:pt idx="81" formatCode="General">
                        <c:v>-44.267267326732672</c:v>
                      </c:pt>
                      <c:pt idx="82" formatCode="General">
                        <c:v>-44.437584158415838</c:v>
                      </c:pt>
                      <c:pt idx="83" formatCode="General">
                        <c:v>-44.582534653465345</c:v>
                      </c:pt>
                      <c:pt idx="84" formatCode="General">
                        <c:v>-44.683999999999997</c:v>
                      </c:pt>
                      <c:pt idx="85" formatCode="General">
                        <c:v>-44.683999999999997</c:v>
                      </c:pt>
                      <c:pt idx="86" formatCode="General">
                        <c:v>-44.683999999999997</c:v>
                      </c:pt>
                      <c:pt idx="87" formatCode="General">
                        <c:v>-44.793267326732675</c:v>
                      </c:pt>
                      <c:pt idx="88" formatCode="General">
                        <c:v>-44.93425742574258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F68-40B1-9F1D-B1B712855BB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F68-40B1-9F1D-B1B712855BB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F68-40B1-9F1D-B1B712855BB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F68-40B1-9F1D-B1B712855BB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F68-40B1-9F1D-B1B712855BB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F68-40B1-9F1D-B1B712855BB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F68-40B1-9F1D-B1B712855BB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F68-40B1-9F1D-B1B712855BB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-62.393712871287136</c:v>
                      </c:pt>
                      <c:pt idx="1">
                        <c:v>-60.681138613861393</c:v>
                      </c:pt>
                      <c:pt idx="2">
                        <c:v>-58.997970297029703</c:v>
                      </c:pt>
                      <c:pt idx="3">
                        <c:v>-57.315049504950494</c:v>
                      </c:pt>
                      <c:pt idx="4" formatCode="General">
                        <c:v>-55.635841584158413</c:v>
                      </c:pt>
                      <c:pt idx="5" formatCode="General">
                        <c:v>-53.956633663366333</c:v>
                      </c:pt>
                      <c:pt idx="6" formatCode="General">
                        <c:v>-52.292326732673267</c:v>
                      </c:pt>
                      <c:pt idx="7" formatCode="General">
                        <c:v>-50.640841584158409</c:v>
                      </c:pt>
                      <c:pt idx="8" formatCode="General">
                        <c:v>-48.990396039603951</c:v>
                      </c:pt>
                      <c:pt idx="9" formatCode="General">
                        <c:v>-47.422079207920788</c:v>
                      </c:pt>
                      <c:pt idx="10" formatCode="General">
                        <c:v>-45.853762376237626</c:v>
                      </c:pt>
                      <c:pt idx="11" formatCode="General">
                        <c:v>-44.345297029702969</c:v>
                      </c:pt>
                      <c:pt idx="12" formatCode="General">
                        <c:v>-42.899752475247524</c:v>
                      </c:pt>
                      <c:pt idx="13" formatCode="General">
                        <c:v>-41.454207920792079</c:v>
                      </c:pt>
                      <c:pt idx="14" formatCode="General">
                        <c:v>-40.134455445544553</c:v>
                      </c:pt>
                      <c:pt idx="15" formatCode="General">
                        <c:v>-38.819603960396037</c:v>
                      </c:pt>
                      <c:pt idx="16" formatCode="General">
                        <c:v>-37.565396039603961</c:v>
                      </c:pt>
                      <c:pt idx="17" formatCode="General">
                        <c:v>-36.389158415841585</c:v>
                      </c:pt>
                      <c:pt idx="18" formatCode="General">
                        <c:v>-35.212920792079203</c:v>
                      </c:pt>
                      <c:pt idx="19" formatCode="General">
                        <c:v>-34.249739776951671</c:v>
                      </c:pt>
                      <c:pt idx="20" formatCode="General">
                        <c:v>-33.306988847583639</c:v>
                      </c:pt>
                      <c:pt idx="21" formatCode="General">
                        <c:v>-32.364237918215615</c:v>
                      </c:pt>
                      <c:pt idx="22" formatCode="General">
                        <c:v>-31.421486988847583</c:v>
                      </c:pt>
                      <c:pt idx="23" formatCode="General">
                        <c:v>-30.478736059479552</c:v>
                      </c:pt>
                      <c:pt idx="24" formatCode="General">
                        <c:v>-29.535985130111523</c:v>
                      </c:pt>
                      <c:pt idx="25" formatCode="General">
                        <c:v>-28.593234200743495</c:v>
                      </c:pt>
                      <c:pt idx="26" formatCode="General">
                        <c:v>-27.650483271375464</c:v>
                      </c:pt>
                      <c:pt idx="27" formatCode="General">
                        <c:v>-26.707732342007432</c:v>
                      </c:pt>
                      <c:pt idx="28" formatCode="General">
                        <c:v>-25.764981412639404</c:v>
                      </c:pt>
                      <c:pt idx="29" formatCode="General">
                        <c:v>-24.923663366336633</c:v>
                      </c:pt>
                      <c:pt idx="30" formatCode="General">
                        <c:v>-24.103861386138615</c:v>
                      </c:pt>
                      <c:pt idx="31" formatCode="General">
                        <c:v>-23.29594059405941</c:v>
                      </c:pt>
                      <c:pt idx="32" formatCode="General">
                        <c:v>-22.515742574257423</c:v>
                      </c:pt>
                      <c:pt idx="33" formatCode="General">
                        <c:v>-21.735544554455441</c:v>
                      </c:pt>
                      <c:pt idx="34" formatCode="General">
                        <c:v>-20.989108910891083</c:v>
                      </c:pt>
                      <c:pt idx="35" formatCode="General">
                        <c:v>-20.25247524752475</c:v>
                      </c:pt>
                      <c:pt idx="36" formatCode="General">
                        <c:v>-19.526732673267325</c:v>
                      </c:pt>
                      <c:pt idx="37" formatCode="General">
                        <c:v>-18.833663366336634</c:v>
                      </c:pt>
                      <c:pt idx="38" formatCode="General">
                        <c:v>-18.140594059405942</c:v>
                      </c:pt>
                      <c:pt idx="39" formatCode="General">
                        <c:v>-17.473366336633664</c:v>
                      </c:pt>
                      <c:pt idx="40" formatCode="General">
                        <c:v>-16.815940594059406</c:v>
                      </c:pt>
                      <c:pt idx="41" formatCode="General">
                        <c:v>-16.166435643564355</c:v>
                      </c:pt>
                      <c:pt idx="42" formatCode="General">
                        <c:v>-15.548613861386139</c:v>
                      </c:pt>
                      <c:pt idx="43" formatCode="General">
                        <c:v>-14.930792079207922</c:v>
                      </c:pt>
                      <c:pt idx="44" formatCode="General">
                        <c:v>-14.342376237623762</c:v>
                      </c:pt>
                      <c:pt idx="45" formatCode="General">
                        <c:v>-13.768118811881186</c:v>
                      </c:pt>
                      <c:pt idx="46" formatCode="General">
                        <c:v>-13.204554455445541</c:v>
                      </c:pt>
                      <c:pt idx="47" formatCode="General">
                        <c:v>-12.701584158415839</c:v>
                      </c:pt>
                      <c:pt idx="48" formatCode="General">
                        <c:v>-12.198613861386137</c:v>
                      </c:pt>
                      <c:pt idx="49" formatCode="General">
                        <c:v>-11.831313506815366</c:v>
                      </c:pt>
                      <c:pt idx="50" formatCode="General">
                        <c:v>-11.545415117719951</c:v>
                      </c:pt>
                      <c:pt idx="51" formatCode="General">
                        <c:v>-11.259516728624536</c:v>
                      </c:pt>
                      <c:pt idx="52" formatCode="General">
                        <c:v>-10.973618339529121</c:v>
                      </c:pt>
                      <c:pt idx="53" formatCode="General">
                        <c:v>-10.687719950433706</c:v>
                      </c:pt>
                      <c:pt idx="54" formatCode="General">
                        <c:v>-10.401821561338291</c:v>
                      </c:pt>
                      <c:pt idx="55" formatCode="General">
                        <c:v>-10.115923172242876</c:v>
                      </c:pt>
                      <c:pt idx="56" formatCode="General">
                        <c:v>-9.8300247831474614</c:v>
                      </c:pt>
                      <c:pt idx="57" formatCode="General">
                        <c:v>-9.5441263940520464</c:v>
                      </c:pt>
                      <c:pt idx="58" formatCode="General">
                        <c:v>-9.2582280049566315</c:v>
                      </c:pt>
                      <c:pt idx="59" formatCode="General">
                        <c:v>-9.0199900990099007</c:v>
                      </c:pt>
                      <c:pt idx="60" formatCode="General">
                        <c:v>-8.8227623762376233</c:v>
                      </c:pt>
                      <c:pt idx="61" formatCode="General">
                        <c:v>-8.6256881188118815</c:v>
                      </c:pt>
                      <c:pt idx="62" formatCode="General">
                        <c:v>-8.4407376237623755</c:v>
                      </c:pt>
                      <c:pt idx="63" formatCode="General">
                        <c:v>-8.2557871287128712</c:v>
                      </c:pt>
                      <c:pt idx="64" formatCode="General">
                        <c:v>-8.0762425742574262</c:v>
                      </c:pt>
                      <c:pt idx="65" formatCode="General">
                        <c:v>-7.9023811881188113</c:v>
                      </c:pt>
                      <c:pt idx="66" formatCode="General">
                        <c:v>-7.7285198019801973</c:v>
                      </c:pt>
                      <c:pt idx="67" formatCode="General">
                        <c:v>-7.6793069306930697</c:v>
                      </c:pt>
                      <c:pt idx="68" formatCode="General">
                        <c:v>-7.6349504950495053</c:v>
                      </c:pt>
                      <c:pt idx="69" formatCode="General">
                        <c:v>-7.6218401486988849</c:v>
                      </c:pt>
                      <c:pt idx="70" formatCode="General">
                        <c:v>-7.6489033457249072</c:v>
                      </c:pt>
                      <c:pt idx="71" formatCode="General">
                        <c:v>-7.6759665427509294</c:v>
                      </c:pt>
                      <c:pt idx="72" formatCode="General">
                        <c:v>-7.7030297397769516</c:v>
                      </c:pt>
                      <c:pt idx="73" formatCode="General">
                        <c:v>-7.7300929368029738</c:v>
                      </c:pt>
                      <c:pt idx="74" formatCode="General">
                        <c:v>-7.757156133828996</c:v>
                      </c:pt>
                      <c:pt idx="75" formatCode="General">
                        <c:v>-7.7842193308550183</c:v>
                      </c:pt>
                      <c:pt idx="76" formatCode="General">
                        <c:v>-7.8112825278810405</c:v>
                      </c:pt>
                      <c:pt idx="77" formatCode="General">
                        <c:v>-7.8383457249070627</c:v>
                      </c:pt>
                      <c:pt idx="78" formatCode="General">
                        <c:v>-7.8654089219330849</c:v>
                      </c:pt>
                      <c:pt idx="79" formatCode="General">
                        <c:v>-7.901158415841584</c:v>
                      </c:pt>
                      <c:pt idx="80" formatCode="General">
                        <c:v>-7.9530396039603959</c:v>
                      </c:pt>
                      <c:pt idx="81" formatCode="General">
                        <c:v>-8.0049207920792078</c:v>
                      </c:pt>
                      <c:pt idx="82" formatCode="General">
                        <c:v>-8.0345841584158411</c:v>
                      </c:pt>
                      <c:pt idx="83" formatCode="General">
                        <c:v>-8.0595346534653469</c:v>
                      </c:pt>
                      <c:pt idx="84" formatCode="General">
                        <c:v>-8.077</c:v>
                      </c:pt>
                      <c:pt idx="85" formatCode="General">
                        <c:v>-8.077</c:v>
                      </c:pt>
                      <c:pt idx="86" formatCode="General">
                        <c:v>-8.077</c:v>
                      </c:pt>
                      <c:pt idx="87" formatCode="General">
                        <c:v>-8.0963366336633662</c:v>
                      </c:pt>
                      <c:pt idx="88" formatCode="General">
                        <c:v>-8.1212871287128721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F68-40B1-9F1D-B1B712855BB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-16.476831683168317</c:v>
                      </c:pt>
                      <c:pt idx="1">
                        <c:v>-16.054752475247525</c:v>
                      </c:pt>
                      <c:pt idx="2">
                        <c:v>-15.603267326732674</c:v>
                      </c:pt>
                      <c:pt idx="3">
                        <c:v>-15.146336633663367</c:v>
                      </c:pt>
                      <c:pt idx="4" formatCode="General">
                        <c:v>-14.607722772277228</c:v>
                      </c:pt>
                      <c:pt idx="5" formatCode="General">
                        <c:v>-14.069108910891089</c:v>
                      </c:pt>
                      <c:pt idx="6" formatCode="General">
                        <c:v>-13.509207920792079</c:v>
                      </c:pt>
                      <c:pt idx="7" formatCode="General">
                        <c:v>-12.9309900990099</c:v>
                      </c:pt>
                      <c:pt idx="8" formatCode="General">
                        <c:v>-12.353019801980196</c:v>
                      </c:pt>
                      <c:pt idx="9" formatCode="General">
                        <c:v>-11.794603960396039</c:v>
                      </c:pt>
                      <c:pt idx="10" formatCode="General">
                        <c:v>-11.236188118811882</c:v>
                      </c:pt>
                      <c:pt idx="11" formatCode="General">
                        <c:v>-10.696693069306932</c:v>
                      </c:pt>
                      <c:pt idx="12" formatCode="General">
                        <c:v>-10.177089108910891</c:v>
                      </c:pt>
                      <c:pt idx="13" formatCode="General">
                        <c:v>-9.6574851485148514</c:v>
                      </c:pt>
                      <c:pt idx="14" formatCode="General">
                        <c:v>-9.1988712871287142</c:v>
                      </c:pt>
                      <c:pt idx="15" formatCode="General">
                        <c:v>-8.7426336633663375</c:v>
                      </c:pt>
                      <c:pt idx="16" formatCode="General">
                        <c:v>-8.3239950495049513</c:v>
                      </c:pt>
                      <c:pt idx="17" formatCode="General">
                        <c:v>-7.9536980198019807</c:v>
                      </c:pt>
                      <c:pt idx="18" formatCode="General">
                        <c:v>-7.58340099009901</c:v>
                      </c:pt>
                      <c:pt idx="19" formatCode="General">
                        <c:v>-7.4200161090458483</c:v>
                      </c:pt>
                      <c:pt idx="20" formatCode="General">
                        <c:v>-7.2764721189591075</c:v>
                      </c:pt>
                      <c:pt idx="21" formatCode="General">
                        <c:v>-7.1329281288723667</c:v>
                      </c:pt>
                      <c:pt idx="22" formatCode="General">
                        <c:v>-6.9893841387856259</c:v>
                      </c:pt>
                      <c:pt idx="23" formatCode="General">
                        <c:v>-6.8458401486988842</c:v>
                      </c:pt>
                      <c:pt idx="24" formatCode="General">
                        <c:v>-6.7022961586121435</c:v>
                      </c:pt>
                      <c:pt idx="25" formatCode="General">
                        <c:v>-6.5587521685254027</c:v>
                      </c:pt>
                      <c:pt idx="26" formatCode="General">
                        <c:v>-6.415208178438661</c:v>
                      </c:pt>
                      <c:pt idx="27" formatCode="General">
                        <c:v>-6.2716641883519202</c:v>
                      </c:pt>
                      <c:pt idx="28" formatCode="General">
                        <c:v>-6.1281201982651794</c:v>
                      </c:pt>
                      <c:pt idx="29" formatCode="General">
                        <c:v>-6.0961386138613856</c:v>
                      </c:pt>
                      <c:pt idx="30" formatCode="General">
                        <c:v>-6.0878217821782172</c:v>
                      </c:pt>
                      <c:pt idx="31" formatCode="General">
                        <c:v>-6.0840198019801983</c:v>
                      </c:pt>
                      <c:pt idx="32" formatCode="General">
                        <c:v>-6.0907524752475251</c:v>
                      </c:pt>
                      <c:pt idx="33" formatCode="General">
                        <c:v>-6.0974851485148518</c:v>
                      </c:pt>
                      <c:pt idx="34" formatCode="General">
                        <c:v>-6.1097425742574263</c:v>
                      </c:pt>
                      <c:pt idx="35" formatCode="General">
                        <c:v>-6.1236039603960402</c:v>
                      </c:pt>
                      <c:pt idx="36" formatCode="General">
                        <c:v>-6.1383564356435647</c:v>
                      </c:pt>
                      <c:pt idx="37" formatCode="General">
                        <c:v>-6.1557821782178221</c:v>
                      </c:pt>
                      <c:pt idx="38" formatCode="General">
                        <c:v>-6.1732079207920787</c:v>
                      </c:pt>
                      <c:pt idx="39" formatCode="General">
                        <c:v>-6.1917821782178217</c:v>
                      </c:pt>
                      <c:pt idx="40" formatCode="General">
                        <c:v>-6.2107920792079208</c:v>
                      </c:pt>
                      <c:pt idx="41" formatCode="General">
                        <c:v>-6.2303564356435643</c:v>
                      </c:pt>
                      <c:pt idx="42" formatCode="General">
                        <c:v>-6.2521386138613861</c:v>
                      </c:pt>
                      <c:pt idx="43" formatCode="General">
                        <c:v>-6.2739207920792079</c:v>
                      </c:pt>
                      <c:pt idx="44" formatCode="General">
                        <c:v>-6.3021188118811882</c:v>
                      </c:pt>
                      <c:pt idx="45" formatCode="General">
                        <c:v>-6.3334059405940595</c:v>
                      </c:pt>
                      <c:pt idx="46" formatCode="General">
                        <c:v>-6.3692079207920802</c:v>
                      </c:pt>
                      <c:pt idx="47" formatCode="General">
                        <c:v>-6.4305940594059408</c:v>
                      </c:pt>
                      <c:pt idx="48" formatCode="General">
                        <c:v>-6.4919801980198022</c:v>
                      </c:pt>
                      <c:pt idx="49" formatCode="General">
                        <c:v>-6.5659293680297397</c:v>
                      </c:pt>
                      <c:pt idx="50" formatCode="General">
                        <c:v>-6.647416356877323</c:v>
                      </c:pt>
                      <c:pt idx="51" formatCode="General">
                        <c:v>-6.7289033457249063</c:v>
                      </c:pt>
                      <c:pt idx="52" formatCode="General">
                        <c:v>-6.8103903345724905</c:v>
                      </c:pt>
                      <c:pt idx="53" formatCode="General">
                        <c:v>-6.8918773234200739</c:v>
                      </c:pt>
                      <c:pt idx="54" formatCode="General">
                        <c:v>-6.9733643122676572</c:v>
                      </c:pt>
                      <c:pt idx="55" formatCode="General">
                        <c:v>-7.0548513011152414</c:v>
                      </c:pt>
                      <c:pt idx="56" formatCode="General">
                        <c:v>-7.1363382899628247</c:v>
                      </c:pt>
                      <c:pt idx="57" formatCode="General">
                        <c:v>-7.217825278810408</c:v>
                      </c:pt>
                      <c:pt idx="58" formatCode="General">
                        <c:v>-7.2993122676579922</c:v>
                      </c:pt>
                      <c:pt idx="59" formatCode="General">
                        <c:v>-7.3523267326732666</c:v>
                      </c:pt>
                      <c:pt idx="60" formatCode="General">
                        <c:v>-7.3808415841584152</c:v>
                      </c:pt>
                      <c:pt idx="61" formatCode="General">
                        <c:v>-7.4093217821782176</c:v>
                      </c:pt>
                      <c:pt idx="62" formatCode="General">
                        <c:v>-7.4350643564356433</c:v>
                      </c:pt>
                      <c:pt idx="63" formatCode="General">
                        <c:v>-7.4608069306930691</c:v>
                      </c:pt>
                      <c:pt idx="64" formatCode="General">
                        <c:v>-7.4869356435643564</c:v>
                      </c:pt>
                      <c:pt idx="65" formatCode="General">
                        <c:v>-7.5134702970297029</c:v>
                      </c:pt>
                      <c:pt idx="66" formatCode="General">
                        <c:v>-7.5400049504950504</c:v>
                      </c:pt>
                      <c:pt idx="67" formatCode="General">
                        <c:v>-7.5634900990099014</c:v>
                      </c:pt>
                      <c:pt idx="68" formatCode="General">
                        <c:v>-7.5868564356435639</c:v>
                      </c:pt>
                      <c:pt idx="69" formatCode="General">
                        <c:v>-7.6079368029739776</c:v>
                      </c:pt>
                      <c:pt idx="70" formatCode="General">
                        <c:v>-7.6260780669144976</c:v>
                      </c:pt>
                      <c:pt idx="71" formatCode="General">
                        <c:v>-7.6442193308550186</c:v>
                      </c:pt>
                      <c:pt idx="72" formatCode="General">
                        <c:v>-7.6623605947955387</c:v>
                      </c:pt>
                      <c:pt idx="73" formatCode="General">
                        <c:v>-7.6805018587360596</c:v>
                      </c:pt>
                      <c:pt idx="74" formatCode="General">
                        <c:v>-7.6986431226765797</c:v>
                      </c:pt>
                      <c:pt idx="75" formatCode="General">
                        <c:v>-7.7167843866171006</c:v>
                      </c:pt>
                      <c:pt idx="76" formatCode="General">
                        <c:v>-7.7349256505576207</c:v>
                      </c:pt>
                      <c:pt idx="77" formatCode="General">
                        <c:v>-7.7530669144981417</c:v>
                      </c:pt>
                      <c:pt idx="78" formatCode="General">
                        <c:v>-7.7712081784386617</c:v>
                      </c:pt>
                      <c:pt idx="79" formatCode="General">
                        <c:v>-7.7961683168316833</c:v>
                      </c:pt>
                      <c:pt idx="80" formatCode="General">
                        <c:v>-7.833792079207921</c:v>
                      </c:pt>
                      <c:pt idx="81" formatCode="General">
                        <c:v>-7.8714158415841586</c:v>
                      </c:pt>
                      <c:pt idx="82" formatCode="General">
                        <c:v>-7.894009900990099</c:v>
                      </c:pt>
                      <c:pt idx="83" formatCode="General">
                        <c:v>-7.9134158415841584</c:v>
                      </c:pt>
                      <c:pt idx="84" formatCode="General">
                        <c:v>-7.9269999999999996</c:v>
                      </c:pt>
                      <c:pt idx="85" formatCode="General">
                        <c:v>-7.9269999999999996</c:v>
                      </c:pt>
                      <c:pt idx="86" formatCode="General">
                        <c:v>-7.9269999999999996</c:v>
                      </c:pt>
                      <c:pt idx="87" formatCode="General">
                        <c:v>-7.9420396039603958</c:v>
                      </c:pt>
                      <c:pt idx="88" formatCode="General">
                        <c:v>-7.9614455445544552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F68-40B1-9F1D-B1B712855BB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-22.574405940594058</c:v>
                      </c:pt>
                      <c:pt idx="1">
                        <c:v>-22.203168316831682</c:v>
                      </c:pt>
                      <c:pt idx="2">
                        <c:v>-21.902178217821781</c:v>
                      </c:pt>
                      <c:pt idx="3">
                        <c:v>-21.612574257425745</c:v>
                      </c:pt>
                      <c:pt idx="4" formatCode="General">
                        <c:v>-21.493762376237623</c:v>
                      </c:pt>
                      <c:pt idx="5" formatCode="General">
                        <c:v>-21.374950495049504</c:v>
                      </c:pt>
                      <c:pt idx="6" formatCode="General">
                        <c:v>-21.324257425742573</c:v>
                      </c:pt>
                      <c:pt idx="7" formatCode="General">
                        <c:v>-21.332178217821781</c:v>
                      </c:pt>
                      <c:pt idx="8" formatCode="General">
                        <c:v>-21.340940594059408</c:v>
                      </c:pt>
                      <c:pt idx="9" formatCode="General">
                        <c:v>-21.416188118811881</c:v>
                      </c:pt>
                      <c:pt idx="10" formatCode="General">
                        <c:v>-21.491435643564358</c:v>
                      </c:pt>
                      <c:pt idx="11" formatCode="General">
                        <c:v>-21.578267326732675</c:v>
                      </c:pt>
                      <c:pt idx="12" formatCode="General">
                        <c:v>-21.677277227722772</c:v>
                      </c:pt>
                      <c:pt idx="13" formatCode="General">
                        <c:v>-21.776287128712873</c:v>
                      </c:pt>
                      <c:pt idx="14" formatCode="General">
                        <c:v>-21.875297029702971</c:v>
                      </c:pt>
                      <c:pt idx="15" formatCode="General">
                        <c:v>-21.974306930693071</c:v>
                      </c:pt>
                      <c:pt idx="16" formatCode="General">
                        <c:v>-22.068118811881188</c:v>
                      </c:pt>
                      <c:pt idx="17" formatCode="General">
                        <c:v>-22.155247524752475</c:v>
                      </c:pt>
                      <c:pt idx="18" formatCode="General">
                        <c:v>-22.242376237623763</c:v>
                      </c:pt>
                      <c:pt idx="19" formatCode="General">
                        <c:v>-22.319653035935563</c:v>
                      </c:pt>
                      <c:pt idx="20" formatCode="General">
                        <c:v>-22.395985130111523</c:v>
                      </c:pt>
                      <c:pt idx="21" formatCode="General">
                        <c:v>-22.472317224287483</c:v>
                      </c:pt>
                      <c:pt idx="22" formatCode="General">
                        <c:v>-22.548649318463443</c:v>
                      </c:pt>
                      <c:pt idx="23" formatCode="General">
                        <c:v>-22.624981412639404</c:v>
                      </c:pt>
                      <c:pt idx="24" formatCode="General">
                        <c:v>-22.701313506815364</c:v>
                      </c:pt>
                      <c:pt idx="25" formatCode="General">
                        <c:v>-22.777645600991328</c:v>
                      </c:pt>
                      <c:pt idx="26" formatCode="General">
                        <c:v>-22.853977695167288</c:v>
                      </c:pt>
                      <c:pt idx="27" formatCode="General">
                        <c:v>-22.930309789343248</c:v>
                      </c:pt>
                      <c:pt idx="28" formatCode="General">
                        <c:v>-23.006641883519208</c:v>
                      </c:pt>
                      <c:pt idx="29" formatCode="General">
                        <c:v>-23.108217821782176</c:v>
                      </c:pt>
                      <c:pt idx="30" formatCode="General">
                        <c:v>-23.215148514851485</c:v>
                      </c:pt>
                      <c:pt idx="31" formatCode="General">
                        <c:v>-23.323267326732672</c:v>
                      </c:pt>
                      <c:pt idx="32" formatCode="General">
                        <c:v>-23.434158415841583</c:v>
                      </c:pt>
                      <c:pt idx="33" formatCode="General">
                        <c:v>-23.545049504950494</c:v>
                      </c:pt>
                      <c:pt idx="34" formatCode="General">
                        <c:v>-23.6590099009901</c:v>
                      </c:pt>
                      <c:pt idx="35" formatCode="General">
                        <c:v>-23.773861386138613</c:v>
                      </c:pt>
                      <c:pt idx="36" formatCode="General">
                        <c:v>-23.88871287128713</c:v>
                      </c:pt>
                      <c:pt idx="37" formatCode="General">
                        <c:v>-24.003564356435643</c:v>
                      </c:pt>
                      <c:pt idx="38" formatCode="General">
                        <c:v>-24.118415841584156</c:v>
                      </c:pt>
                      <c:pt idx="39" formatCode="General">
                        <c:v>-24.233267326732673</c:v>
                      </c:pt>
                      <c:pt idx="40" formatCode="General">
                        <c:v>-24.348118811881189</c:v>
                      </c:pt>
                      <c:pt idx="41" formatCode="General">
                        <c:v>-24.462178217821783</c:v>
                      </c:pt>
                      <c:pt idx="42" formatCode="General">
                        <c:v>-24.573069306930694</c:v>
                      </c:pt>
                      <c:pt idx="43" formatCode="General">
                        <c:v>-24.683960396039602</c:v>
                      </c:pt>
                      <c:pt idx="44" formatCode="General">
                        <c:v>-24.792178217821782</c:v>
                      </c:pt>
                      <c:pt idx="45" formatCode="General">
                        <c:v>-24.899108910891087</c:v>
                      </c:pt>
                      <c:pt idx="46" formatCode="General">
                        <c:v>-25.003663366336632</c:v>
                      </c:pt>
                      <c:pt idx="47" formatCode="General">
                        <c:v>-25.094752475247525</c:v>
                      </c:pt>
                      <c:pt idx="48" formatCode="General">
                        <c:v>-25.185841584158414</c:v>
                      </c:pt>
                      <c:pt idx="49" formatCode="General">
                        <c:v>-25.272044609665425</c:v>
                      </c:pt>
                      <c:pt idx="50" formatCode="General">
                        <c:v>-25.355315985130112</c:v>
                      </c:pt>
                      <c:pt idx="51" formatCode="General">
                        <c:v>-25.438587360594795</c:v>
                      </c:pt>
                      <c:pt idx="52" formatCode="General">
                        <c:v>-25.521858736059478</c:v>
                      </c:pt>
                      <c:pt idx="53" formatCode="General">
                        <c:v>-25.605130111524161</c:v>
                      </c:pt>
                      <c:pt idx="54" formatCode="General">
                        <c:v>-25.688401486988845</c:v>
                      </c:pt>
                      <c:pt idx="55" formatCode="General">
                        <c:v>-25.771672862453531</c:v>
                      </c:pt>
                      <c:pt idx="56" formatCode="General">
                        <c:v>-25.854944237918215</c:v>
                      </c:pt>
                      <c:pt idx="57" formatCode="General">
                        <c:v>-25.938215613382898</c:v>
                      </c:pt>
                      <c:pt idx="58" formatCode="General">
                        <c:v>-26.021486988847581</c:v>
                      </c:pt>
                      <c:pt idx="59" formatCode="General">
                        <c:v>-26.115346534653465</c:v>
                      </c:pt>
                      <c:pt idx="60" formatCode="General">
                        <c:v>-26.218316831683168</c:v>
                      </c:pt>
                      <c:pt idx="61" formatCode="General">
                        <c:v>-26.321287128712871</c:v>
                      </c:pt>
                      <c:pt idx="62" formatCode="General">
                        <c:v>-26.424257425742574</c:v>
                      </c:pt>
                      <c:pt idx="63" formatCode="General">
                        <c:v>-26.527227722772277</c:v>
                      </c:pt>
                      <c:pt idx="64" formatCode="General">
                        <c:v>-26.632128712871285</c:v>
                      </c:pt>
                      <c:pt idx="65" formatCode="General">
                        <c:v>-26.739059405940594</c:v>
                      </c:pt>
                      <c:pt idx="66" formatCode="General">
                        <c:v>-26.845990099009903</c:v>
                      </c:pt>
                      <c:pt idx="67" formatCode="General">
                        <c:v>-26.903366336633663</c:v>
                      </c:pt>
                      <c:pt idx="68" formatCode="General">
                        <c:v>-26.958811881188119</c:v>
                      </c:pt>
                      <c:pt idx="69" formatCode="General">
                        <c:v>-27.025997521685252</c:v>
                      </c:pt>
                      <c:pt idx="70" formatCode="General">
                        <c:v>-27.108277571251548</c:v>
                      </c:pt>
                      <c:pt idx="71" formatCode="General">
                        <c:v>-27.190557620817842</c:v>
                      </c:pt>
                      <c:pt idx="72" formatCode="General">
                        <c:v>-27.272837670384138</c:v>
                      </c:pt>
                      <c:pt idx="73" formatCode="General">
                        <c:v>-27.355117719950432</c:v>
                      </c:pt>
                      <c:pt idx="74" formatCode="General">
                        <c:v>-27.437397769516728</c:v>
                      </c:pt>
                      <c:pt idx="75" formatCode="General">
                        <c:v>-27.519677819083022</c:v>
                      </c:pt>
                      <c:pt idx="76" formatCode="General">
                        <c:v>-27.601957868649318</c:v>
                      </c:pt>
                      <c:pt idx="77" formatCode="General">
                        <c:v>-27.684237918215612</c:v>
                      </c:pt>
                      <c:pt idx="78" formatCode="General">
                        <c:v>-27.766517967781908</c:v>
                      </c:pt>
                      <c:pt idx="79" formatCode="General">
                        <c:v>-27.885148514851483</c:v>
                      </c:pt>
                      <c:pt idx="80" formatCode="General">
                        <c:v>-28.071287128712871</c:v>
                      </c:pt>
                      <c:pt idx="81" formatCode="General">
                        <c:v>-28.257425742574256</c:v>
                      </c:pt>
                      <c:pt idx="82" formatCode="General">
                        <c:v>-28.368415841584159</c:v>
                      </c:pt>
                      <c:pt idx="83" formatCode="General">
                        <c:v>-28.463465346534655</c:v>
                      </c:pt>
                      <c:pt idx="84" formatCode="General">
                        <c:v>-28.53</c:v>
                      </c:pt>
                      <c:pt idx="85" formatCode="General">
                        <c:v>-28.53</c:v>
                      </c:pt>
                      <c:pt idx="86" formatCode="General">
                        <c:v>-28.53</c:v>
                      </c:pt>
                      <c:pt idx="87" formatCode="General">
                        <c:v>-28.600594059405942</c:v>
                      </c:pt>
                      <c:pt idx="88" formatCode="General">
                        <c:v>-28.691683168316832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F68-40B1-9F1D-B1B712855BB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37141</xdr:rowOff>
    </xdr:from>
    <xdr:to>
      <xdr:col>49</xdr:col>
      <xdr:colOff>850004</xdr:colOff>
      <xdr:row>17</xdr:row>
      <xdr:rowOff>60141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56029</xdr:rowOff>
    </xdr:from>
    <xdr:to>
      <xdr:col>49</xdr:col>
      <xdr:colOff>883541</xdr:colOff>
      <xdr:row>35</xdr:row>
      <xdr:rowOff>265629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95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94</xdr:col>
      <xdr:colOff>361949</xdr:colOff>
      <xdr:row>99</xdr:row>
      <xdr:rowOff>0</xdr:rowOff>
    </xdr:from>
    <xdr:to>
      <xdr:col>99</xdr:col>
      <xdr:colOff>5899</xdr:colOff>
      <xdr:row>130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914399</xdr:colOff>
      <xdr:row>98</xdr:row>
      <xdr:rowOff>276224</xdr:rowOff>
    </xdr:from>
    <xdr:to>
      <xdr:col>103</xdr:col>
      <xdr:colOff>5899</xdr:colOff>
      <xdr:row>130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102</xdr:col>
      <xdr:colOff>914399</xdr:colOff>
      <xdr:row>99</xdr:row>
      <xdr:rowOff>0</xdr:rowOff>
    </xdr:from>
    <xdr:to>
      <xdr:col>107</xdr:col>
      <xdr:colOff>5899</xdr:colOff>
      <xdr:row>130</xdr:row>
      <xdr:rowOff>53525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94</xdr:col>
      <xdr:colOff>361949</xdr:colOff>
      <xdr:row>131</xdr:row>
      <xdr:rowOff>0</xdr:rowOff>
    </xdr:from>
    <xdr:to>
      <xdr:col>99</xdr:col>
      <xdr:colOff>5899</xdr:colOff>
      <xdr:row>144</xdr:row>
      <xdr:rowOff>72575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95</xdr:col>
      <xdr:colOff>0</xdr:colOff>
      <xdr:row>143</xdr:row>
      <xdr:rowOff>276224</xdr:rowOff>
    </xdr:from>
    <xdr:to>
      <xdr:col>99</xdr:col>
      <xdr:colOff>5900</xdr:colOff>
      <xdr:row>157</xdr:row>
      <xdr:rowOff>82099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98</xdr:col>
      <xdr:colOff>914399</xdr:colOff>
      <xdr:row>131</xdr:row>
      <xdr:rowOff>0</xdr:rowOff>
    </xdr:from>
    <xdr:to>
      <xdr:col>103</xdr:col>
      <xdr:colOff>5899</xdr:colOff>
      <xdr:row>144</xdr:row>
      <xdr:rowOff>72575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102</xdr:col>
      <xdr:colOff>914399</xdr:colOff>
      <xdr:row>131</xdr:row>
      <xdr:rowOff>0</xdr:rowOff>
    </xdr:from>
    <xdr:to>
      <xdr:col>107</xdr:col>
      <xdr:colOff>5899</xdr:colOff>
      <xdr:row>144</xdr:row>
      <xdr:rowOff>72575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рафики"/>
      <sheetName val="Данные"/>
    </sheetNames>
    <sheetDataSet>
      <sheetData sheetId="0"/>
      <sheetData sheetId="1">
        <row r="1">
          <cell r="B1">
            <v>700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F3" sqref="F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26</v>
      </c>
      <c r="B1" s="40">
        <f>B2</f>
        <v>700</v>
      </c>
      <c r="D1" s="140" t="s">
        <v>55</v>
      </c>
      <c r="E1" s="141"/>
      <c r="F1" s="141"/>
      <c r="G1" s="141"/>
    </row>
    <row r="2" spans="1:7" ht="21.75" thickTop="1" x14ac:dyDescent="0.35">
      <c r="A2" s="11" t="s">
        <v>54</v>
      </c>
      <c r="B2" s="11">
        <f>[1]Данные!$B$1</f>
        <v>700</v>
      </c>
      <c r="D2" s="7" t="s">
        <v>1</v>
      </c>
      <c r="E2" s="73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>
        <v>15</v>
      </c>
      <c r="F3" s="40">
        <v>25</v>
      </c>
      <c r="G3" s="40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topLeftCell="A111" zoomScale="85" zoomScaleNormal="85" zoomScaleSheetLayoutView="25" workbookViewId="0">
      <selection activeCell="AS139" sqref="AS139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144" t="s">
        <v>24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19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 t="s">
        <v>82</v>
      </c>
      <c r="F3" s="3">
        <v>273.10000000000002</v>
      </c>
      <c r="G3" s="3">
        <v>293.3</v>
      </c>
      <c r="H3" s="3">
        <v>313.5</v>
      </c>
      <c r="I3" s="3">
        <v>333.7</v>
      </c>
      <c r="J3" s="3">
        <v>353.9</v>
      </c>
      <c r="K3" s="3">
        <v>374.1</v>
      </c>
      <c r="L3" s="3">
        <v>394.3</v>
      </c>
      <c r="M3" s="3">
        <v>414.5</v>
      </c>
      <c r="N3" s="3">
        <v>434.7</v>
      </c>
      <c r="O3" s="3">
        <v>515.4</v>
      </c>
      <c r="P3" s="3">
        <v>535.6</v>
      </c>
      <c r="Q3" s="3">
        <v>555.79999999999995</v>
      </c>
      <c r="R3" s="3">
        <v>576</v>
      </c>
      <c r="S3" s="3">
        <v>596.20000000000005</v>
      </c>
      <c r="T3" s="60">
        <v>616.4</v>
      </c>
      <c r="U3" s="63">
        <v>636.6</v>
      </c>
      <c r="V3" s="64">
        <v>656.8</v>
      </c>
      <c r="W3" s="1">
        <v>677</v>
      </c>
      <c r="X3" s="61">
        <v>757.7</v>
      </c>
      <c r="Y3" s="3">
        <v>777.9</v>
      </c>
      <c r="Z3" s="3">
        <v>798.1</v>
      </c>
      <c r="AA3" s="3">
        <v>818.3</v>
      </c>
      <c r="AB3" s="4">
        <v>838.5</v>
      </c>
      <c r="AC3" s="4">
        <v>919.2</v>
      </c>
      <c r="AD3" s="4">
        <v>939.4</v>
      </c>
      <c r="AE3" s="4">
        <v>959.6</v>
      </c>
      <c r="AF3" s="4">
        <v>979.8</v>
      </c>
      <c r="AG3" s="4">
        <v>1000</v>
      </c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1</v>
      </c>
      <c r="D4" s="44">
        <f t="shared" si="0"/>
        <v>0</v>
      </c>
      <c r="E4" s="48" t="s">
        <v>39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0</v>
      </c>
      <c r="N4" s="49">
        <v>2.0238000000000002E-31</v>
      </c>
      <c r="O4" s="49">
        <v>1.0195E-19</v>
      </c>
      <c r="P4" s="49">
        <v>7.8194E-20</v>
      </c>
      <c r="Q4" s="49">
        <v>1.9236999999999999E-19</v>
      </c>
      <c r="R4" s="49">
        <v>3.5631000000000001E-19</v>
      </c>
      <c r="S4" s="49">
        <v>5.9198999999999998E-19</v>
      </c>
      <c r="T4" s="49">
        <v>6.7627999999999996E-19</v>
      </c>
      <c r="U4" s="49">
        <v>8.9939999999999996E-20</v>
      </c>
      <c r="V4" s="49">
        <v>4.7182000000000002E-20</v>
      </c>
      <c r="W4" s="49">
        <v>7.3727999999999998E-22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>
        <v>0</v>
      </c>
      <c r="AH4" s="49"/>
      <c r="AI4" s="49"/>
      <c r="AJ4" s="49"/>
      <c r="AK4" s="49"/>
      <c r="AL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1</v>
      </c>
      <c r="C5" s="44">
        <f t="shared" si="0"/>
        <v>1</v>
      </c>
      <c r="D5" s="44">
        <f t="shared" si="0"/>
        <v>0</v>
      </c>
      <c r="E5" s="48" t="s">
        <v>38</v>
      </c>
      <c r="F5" s="49">
        <v>1.7465999999999999E-9</v>
      </c>
      <c r="G5" s="49">
        <v>3.1187E-9</v>
      </c>
      <c r="H5" s="49">
        <v>4.9120000000000004E-9</v>
      </c>
      <c r="I5" s="49">
        <v>5.1413E-9</v>
      </c>
      <c r="J5" s="49">
        <v>8.3548000000000001E-9</v>
      </c>
      <c r="K5" s="49">
        <v>6.6243E-9</v>
      </c>
      <c r="L5" s="49">
        <v>5.5517999999999998E-9</v>
      </c>
      <c r="M5" s="49">
        <v>8.1278000000000008E-9</v>
      </c>
      <c r="N5" s="49">
        <v>2.7106000000000001E-9</v>
      </c>
      <c r="O5" s="49">
        <v>1.0016E-27</v>
      </c>
      <c r="P5" s="49">
        <v>6.4726999999999994E-36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  <c r="AG5" s="49">
        <v>0</v>
      </c>
      <c r="AH5" s="49"/>
      <c r="AI5" s="49"/>
      <c r="AJ5" s="49"/>
      <c r="AK5" s="49"/>
      <c r="AL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0</v>
      </c>
      <c r="D6" s="44">
        <f t="shared" si="0"/>
        <v>1</v>
      </c>
      <c r="E6" s="48" t="s">
        <v>56</v>
      </c>
      <c r="F6" s="49">
        <v>0</v>
      </c>
      <c r="G6" s="49">
        <v>0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0</v>
      </c>
      <c r="N6" s="49">
        <v>0</v>
      </c>
      <c r="O6" s="49">
        <v>0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0</v>
      </c>
      <c r="V6" s="49">
        <v>0</v>
      </c>
      <c r="W6" s="49">
        <v>0</v>
      </c>
      <c r="X6" s="49">
        <v>2.5350000000000001E-33</v>
      </c>
      <c r="Y6" s="49">
        <v>6.1875999999999997E-24</v>
      </c>
      <c r="Z6" s="49">
        <v>3.2081999999999999E-15</v>
      </c>
      <c r="AA6" s="49">
        <v>4.8135999999999998E-10</v>
      </c>
      <c r="AB6" s="49">
        <v>1.1381E-4</v>
      </c>
      <c r="AC6" s="49">
        <v>9.3670999999999997E-3</v>
      </c>
      <c r="AD6" s="49">
        <v>6.8364999999999997E-3</v>
      </c>
      <c r="AE6" s="49">
        <v>4.8706000000000001E-3</v>
      </c>
      <c r="AF6" s="49">
        <v>3.3936000000000001E-3</v>
      </c>
      <c r="AG6" s="49">
        <v>2.3056999999999999E-3</v>
      </c>
      <c r="AH6" s="49"/>
      <c r="AI6" s="49"/>
      <c r="AJ6" s="49"/>
      <c r="AK6" s="49"/>
      <c r="AL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1</v>
      </c>
      <c r="D7" s="44">
        <f t="shared" si="0"/>
        <v>0</v>
      </c>
      <c r="E7" s="48" t="s">
        <v>37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2.0238000000000002E-31</v>
      </c>
      <c r="O7" s="49">
        <v>1.0195E-19</v>
      </c>
      <c r="P7" s="49">
        <v>7.8194E-20</v>
      </c>
      <c r="Q7" s="49">
        <v>1.9236999999999999E-19</v>
      </c>
      <c r="R7" s="49">
        <v>3.5631000000000001E-19</v>
      </c>
      <c r="S7" s="49">
        <v>5.9198999999999998E-19</v>
      </c>
      <c r="T7" s="49">
        <v>6.7627999999999996E-19</v>
      </c>
      <c r="U7" s="49">
        <v>8.9939999999999996E-20</v>
      </c>
      <c r="V7" s="49">
        <v>4.7182000000000002E-20</v>
      </c>
      <c r="W7" s="49">
        <v>7.3727999999999998E-22</v>
      </c>
      <c r="X7" s="49">
        <v>0</v>
      </c>
      <c r="Y7" s="49">
        <v>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  <c r="AG7" s="49">
        <v>0</v>
      </c>
      <c r="AH7" s="49"/>
      <c r="AI7" s="49"/>
      <c r="AJ7" s="49"/>
      <c r="AK7" s="49"/>
      <c r="AL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1</v>
      </c>
      <c r="C8" s="44">
        <f t="shared" si="0"/>
        <v>0</v>
      </c>
      <c r="D8" s="44">
        <f t="shared" si="0"/>
        <v>0</v>
      </c>
      <c r="E8" s="48" t="s">
        <v>36</v>
      </c>
      <c r="F8" s="49">
        <v>0</v>
      </c>
      <c r="G8" s="49">
        <v>1.0553E-32</v>
      </c>
      <c r="H8" s="49">
        <v>5.9967999999999999E-25</v>
      </c>
      <c r="I8" s="49">
        <v>7.394E-21</v>
      </c>
      <c r="J8" s="49">
        <v>2.4273000000000002E-18</v>
      </c>
      <c r="K8" s="49">
        <v>2.2218999999999999E-17</v>
      </c>
      <c r="L8" s="49">
        <v>1.8018E-16</v>
      </c>
      <c r="M8" s="49">
        <v>1.5621E-14</v>
      </c>
      <c r="N8" s="49">
        <v>1.7854E-12</v>
      </c>
      <c r="O8" s="49">
        <v>5.7444999999999998E-9</v>
      </c>
      <c r="P8" s="49">
        <v>5.0760999999999999E-9</v>
      </c>
      <c r="Q8" s="49">
        <v>7.1047999999999997E-9</v>
      </c>
      <c r="R8" s="49">
        <v>8.1356999999999995E-9</v>
      </c>
      <c r="S8" s="49">
        <v>8.4486E-9</v>
      </c>
      <c r="T8" s="49">
        <v>8.7772999999999995E-9</v>
      </c>
      <c r="U8" s="49">
        <v>4.5932000000000002E-9</v>
      </c>
      <c r="V8" s="49">
        <v>6.7450000000000002E-9</v>
      </c>
      <c r="W8" s="49">
        <v>1.1172000000000001E-8</v>
      </c>
      <c r="X8" s="49">
        <v>3.1079000000000003E-8</v>
      </c>
      <c r="Y8" s="49">
        <v>3.5956000000000001E-8</v>
      </c>
      <c r="Z8" s="49">
        <v>3.5671999999999997E-8</v>
      </c>
      <c r="AA8" s="49">
        <v>3.5401999999999999E-14</v>
      </c>
      <c r="AB8" s="49">
        <v>6.4792000000000002E-20</v>
      </c>
      <c r="AC8" s="49">
        <v>2.9942999999999999E-12</v>
      </c>
      <c r="AD8" s="49">
        <v>1.0896999999999999E-11</v>
      </c>
      <c r="AE8" s="49">
        <v>2.7919E-11</v>
      </c>
      <c r="AF8" s="49">
        <v>5.4146E-11</v>
      </c>
      <c r="AG8" s="49">
        <v>9.6280999999999998E-11</v>
      </c>
      <c r="AH8" s="49"/>
      <c r="AI8" s="49"/>
      <c r="AJ8" s="49"/>
      <c r="AK8" s="49"/>
      <c r="AL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3</v>
      </c>
      <c r="C9" s="44">
        <f t="shared" si="0"/>
        <v>0</v>
      </c>
      <c r="D9" s="44">
        <f t="shared" si="0"/>
        <v>2</v>
      </c>
      <c r="E9" s="48" t="s">
        <v>41</v>
      </c>
      <c r="F9" s="49">
        <v>8.5431999999999994E-2</v>
      </c>
      <c r="G9" s="49">
        <v>8.4527000000000005E-2</v>
      </c>
      <c r="H9" s="49">
        <v>8.2286999999999999E-2</v>
      </c>
      <c r="I9" s="49">
        <v>7.9214999999999994E-2</v>
      </c>
      <c r="J9" s="49">
        <v>7.6876E-2</v>
      </c>
      <c r="K9" s="49">
        <v>7.5688000000000005E-2</v>
      </c>
      <c r="L9" s="49">
        <v>7.5059000000000001E-2</v>
      </c>
      <c r="M9" s="49">
        <v>7.4338000000000001E-2</v>
      </c>
      <c r="N9" s="49">
        <v>7.2926000000000005E-2</v>
      </c>
      <c r="O9" s="49">
        <v>6.2204000000000002E-2</v>
      </c>
      <c r="P9" s="49">
        <v>6.1057E-2</v>
      </c>
      <c r="Q9" s="49">
        <v>6.0498999999999997E-2</v>
      </c>
      <c r="R9" s="49">
        <v>6.0235999999999998E-2</v>
      </c>
      <c r="S9" s="49">
        <v>6.0097999999999999E-2</v>
      </c>
      <c r="T9" s="49">
        <v>5.9941000000000001E-2</v>
      </c>
      <c r="U9" s="49">
        <v>5.9381000000000003E-2</v>
      </c>
      <c r="V9" s="49">
        <v>5.6876999999999997E-2</v>
      </c>
      <c r="W9" s="49">
        <v>4.7982999999999998E-2</v>
      </c>
      <c r="X9" s="49">
        <v>1.1642E-3</v>
      </c>
      <c r="Y9" s="49">
        <v>3.3662999999999998E-4</v>
      </c>
      <c r="Z9" s="49">
        <v>9.9456000000000005E-5</v>
      </c>
      <c r="AA9" s="49">
        <v>3.0136000000000001E-5</v>
      </c>
      <c r="AB9" s="49">
        <v>7.3228999999999998E-6</v>
      </c>
      <c r="AC9" s="49">
        <v>5.0723000000000004E-9</v>
      </c>
      <c r="AD9" s="49">
        <v>8.6951000000000003E-10</v>
      </c>
      <c r="AE9" s="49">
        <v>1.5648999999999999E-10</v>
      </c>
      <c r="AF9" s="49">
        <v>2.9546000000000002E-11</v>
      </c>
      <c r="AG9" s="49">
        <v>5.8409999999999999E-12</v>
      </c>
      <c r="AH9" s="49"/>
      <c r="AI9" s="49"/>
      <c r="AJ9" s="49"/>
      <c r="AK9" s="49"/>
      <c r="AL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1</v>
      </c>
      <c r="E10" s="48" t="s">
        <v>4</v>
      </c>
      <c r="F10" s="49">
        <v>0</v>
      </c>
      <c r="G10" s="49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0</v>
      </c>
      <c r="O10" s="49">
        <v>5.4365000000000002E-31</v>
      </c>
      <c r="P10" s="49">
        <v>4.9639000000000001E-29</v>
      </c>
      <c r="Q10" s="49">
        <v>3.4342999999999997E-27</v>
      </c>
      <c r="R10" s="49">
        <v>1.8284000000000001E-25</v>
      </c>
      <c r="S10" s="49">
        <v>7.6348000000000001E-24</v>
      </c>
      <c r="T10" s="49">
        <v>2.5483999999999998E-22</v>
      </c>
      <c r="U10" s="49">
        <v>6.8866999999999999E-21</v>
      </c>
      <c r="V10" s="49">
        <v>1.4899000000000001E-19</v>
      </c>
      <c r="W10" s="49">
        <v>2.3925999999999999E-18</v>
      </c>
      <c r="X10" s="49">
        <v>7.3604999999999996E-15</v>
      </c>
      <c r="Y10" s="49">
        <v>3.8893999999999998E-14</v>
      </c>
      <c r="Z10" s="49">
        <v>1.8881000000000001E-13</v>
      </c>
      <c r="AA10" s="49">
        <v>8.4590999999999998E-13</v>
      </c>
      <c r="AB10" s="49">
        <v>2.6030000000000001E-12</v>
      </c>
      <c r="AC10" s="49">
        <v>7.3739999999999996E-11</v>
      </c>
      <c r="AD10" s="49">
        <v>1.5532000000000001E-10</v>
      </c>
      <c r="AE10" s="49">
        <v>3.1694999999999998E-10</v>
      </c>
      <c r="AF10" s="49">
        <v>6.2784999999999996E-10</v>
      </c>
      <c r="AG10" s="49">
        <v>1.2095E-9</v>
      </c>
      <c r="AH10" s="49"/>
      <c r="AI10" s="49"/>
      <c r="AJ10" s="49"/>
      <c r="AK10" s="49"/>
      <c r="AL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1</v>
      </c>
      <c r="C11" s="44">
        <f t="shared" si="0"/>
        <v>0</v>
      </c>
      <c r="D11" s="44">
        <f t="shared" si="0"/>
        <v>0</v>
      </c>
      <c r="E11" s="48" t="s">
        <v>2</v>
      </c>
      <c r="F11" s="49">
        <v>0</v>
      </c>
      <c r="G11" s="49">
        <v>0</v>
      </c>
      <c r="H11" s="49">
        <v>0</v>
      </c>
      <c r="I11" s="49">
        <v>0</v>
      </c>
      <c r="J11" s="49">
        <v>2.2262000000000001E-36</v>
      </c>
      <c r="K11" s="49">
        <v>1.4680999999999999E-34</v>
      </c>
      <c r="L11" s="49">
        <v>5.8709E-33</v>
      </c>
      <c r="M11" s="49">
        <v>1.6074000000000001E-31</v>
      </c>
      <c r="N11" s="49">
        <v>3.2920000000000001E-30</v>
      </c>
      <c r="O11" s="49">
        <v>5.0846E-26</v>
      </c>
      <c r="P11" s="49">
        <v>3.2642999999999998E-25</v>
      </c>
      <c r="Q11" s="49">
        <v>1.7789999999999999E-24</v>
      </c>
      <c r="R11" s="49">
        <v>8.4295000000000007E-24</v>
      </c>
      <c r="S11" s="49">
        <v>3.5349999999999998E-23</v>
      </c>
      <c r="T11" s="49">
        <v>1.3302999999999999E-22</v>
      </c>
      <c r="U11" s="49">
        <v>4.5461000000000002E-22</v>
      </c>
      <c r="V11" s="49">
        <v>1.4277000000000001E-21</v>
      </c>
      <c r="W11" s="49">
        <v>4.1799000000000001E-21</v>
      </c>
      <c r="X11" s="49">
        <v>1.567E-19</v>
      </c>
      <c r="Y11" s="49">
        <v>3.3299999999999998E-19</v>
      </c>
      <c r="Z11" s="49">
        <v>6.7433000000000004E-19</v>
      </c>
      <c r="AA11" s="49">
        <v>1.3062999999999999E-18</v>
      </c>
      <c r="AB11" s="49">
        <v>2.7347999999999999E-18</v>
      </c>
      <c r="AC11" s="49">
        <v>2.7847000000000003E-17</v>
      </c>
      <c r="AD11" s="49">
        <v>4.4595999999999999E-17</v>
      </c>
      <c r="AE11" s="49">
        <v>6.9412E-17</v>
      </c>
      <c r="AF11" s="49">
        <v>1.0526E-16</v>
      </c>
      <c r="AG11" s="49">
        <v>1.5583000000000001E-16</v>
      </c>
      <c r="AH11" s="49"/>
      <c r="AI11" s="49"/>
      <c r="AJ11" s="49"/>
      <c r="AK11" s="49"/>
      <c r="AL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1</v>
      </c>
      <c r="B12" s="44">
        <f t="shared" si="0"/>
        <v>0</v>
      </c>
      <c r="C12" s="44">
        <f t="shared" si="0"/>
        <v>0</v>
      </c>
      <c r="D12" s="44">
        <f t="shared" si="0"/>
        <v>0</v>
      </c>
      <c r="E12" s="48" t="s">
        <v>1</v>
      </c>
      <c r="F12" s="49">
        <v>0.2</v>
      </c>
      <c r="G12" s="49">
        <v>0.2</v>
      </c>
      <c r="H12" s="49">
        <v>0.2</v>
      </c>
      <c r="I12" s="49">
        <v>0.2</v>
      </c>
      <c r="J12" s="49">
        <v>0.2</v>
      </c>
      <c r="K12" s="49">
        <v>0.2</v>
      </c>
      <c r="L12" s="49">
        <v>0.2</v>
      </c>
      <c r="M12" s="49">
        <v>0.2</v>
      </c>
      <c r="N12" s="49">
        <v>0.2</v>
      </c>
      <c r="O12" s="49">
        <v>0.2</v>
      </c>
      <c r="P12" s="49">
        <v>0.2</v>
      </c>
      <c r="Q12" s="49">
        <v>0.2</v>
      </c>
      <c r="R12" s="49">
        <v>0.2</v>
      </c>
      <c r="S12" s="49">
        <v>0.2</v>
      </c>
      <c r="T12" s="49">
        <v>0.2</v>
      </c>
      <c r="U12" s="49">
        <v>0.2</v>
      </c>
      <c r="V12" s="49">
        <v>0.2</v>
      </c>
      <c r="W12" s="49">
        <v>0.2</v>
      </c>
      <c r="X12" s="49">
        <v>0.2</v>
      </c>
      <c r="Y12" s="49">
        <v>0.2</v>
      </c>
      <c r="Z12" s="49">
        <v>0.2</v>
      </c>
      <c r="AA12" s="49">
        <v>0.2</v>
      </c>
      <c r="AB12" s="49">
        <v>0.2</v>
      </c>
      <c r="AC12" s="49">
        <v>0.2</v>
      </c>
      <c r="AD12" s="49">
        <v>0.2</v>
      </c>
      <c r="AE12" s="49">
        <v>0.2</v>
      </c>
      <c r="AF12" s="49">
        <v>0.2</v>
      </c>
      <c r="AG12" s="49">
        <v>0.2</v>
      </c>
      <c r="AH12" s="49"/>
      <c r="AI12" s="49"/>
      <c r="AJ12" s="49"/>
      <c r="AK12" s="49"/>
      <c r="AL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2</v>
      </c>
      <c r="C13" s="44">
        <f t="shared" si="0"/>
        <v>1</v>
      </c>
      <c r="D13" s="44">
        <f t="shared" si="0"/>
        <v>0</v>
      </c>
      <c r="E13" s="48" t="s">
        <v>51</v>
      </c>
      <c r="F13" s="49">
        <v>3.9077000000000001E-2</v>
      </c>
      <c r="G13" s="49">
        <v>3.6067000000000002E-2</v>
      </c>
      <c r="H13" s="49">
        <v>2.8340000000000001E-2</v>
      </c>
      <c r="I13" s="49">
        <v>1.7041000000000001E-2</v>
      </c>
      <c r="J13" s="49">
        <v>7.8682999999999999E-3</v>
      </c>
      <c r="K13" s="49">
        <v>3.1664000000000002E-3</v>
      </c>
      <c r="L13" s="49">
        <v>1.2509000000000001E-3</v>
      </c>
      <c r="M13" s="49">
        <v>5.1292000000000004E-4</v>
      </c>
      <c r="N13" s="49">
        <v>2.1997999999999999E-4</v>
      </c>
      <c r="O13" s="49">
        <v>3.5777000000000001E-6</v>
      </c>
      <c r="P13" s="49">
        <v>9.5000999999999997E-7</v>
      </c>
      <c r="Q13" s="49">
        <v>2.4928999999999998E-7</v>
      </c>
      <c r="R13" s="49">
        <v>6.7297999999999998E-8</v>
      </c>
      <c r="S13" s="49">
        <v>1.9011000000000001E-8</v>
      </c>
      <c r="T13" s="49">
        <v>5.6513000000000001E-9</v>
      </c>
      <c r="U13" s="49">
        <v>1.7740000000000001E-9</v>
      </c>
      <c r="V13" s="49">
        <v>5.9667999999999995E-10</v>
      </c>
      <c r="W13" s="49">
        <v>2.2494E-10</v>
      </c>
      <c r="X13" s="49">
        <v>7.5118000000000004E-12</v>
      </c>
      <c r="Y13" s="49">
        <v>3.0874E-12</v>
      </c>
      <c r="Z13" s="49">
        <v>1.2951E-12</v>
      </c>
      <c r="AA13" s="49">
        <v>5.5600999999999997E-13</v>
      </c>
      <c r="AB13" s="49">
        <v>3.0509999999999998E-13</v>
      </c>
      <c r="AC13" s="49">
        <v>1.9696000000000001E-14</v>
      </c>
      <c r="AD13" s="49">
        <v>9.7579999999999996E-15</v>
      </c>
      <c r="AE13" s="49">
        <v>4.8955E-15</v>
      </c>
      <c r="AF13" s="49">
        <v>2.4885000000000001E-15</v>
      </c>
      <c r="AG13" s="49">
        <v>1.2815E-15</v>
      </c>
      <c r="AH13" s="49"/>
      <c r="AI13" s="49"/>
      <c r="AJ13" s="49"/>
      <c r="AK13" s="49"/>
      <c r="AL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1</v>
      </c>
      <c r="C14" s="44">
        <f t="shared" si="0"/>
        <v>1</v>
      </c>
      <c r="D14" s="44">
        <f t="shared" si="0"/>
        <v>0</v>
      </c>
      <c r="E14" s="48" t="s">
        <v>40</v>
      </c>
      <c r="F14" s="49">
        <v>4.0923000000000001E-2</v>
      </c>
      <c r="G14" s="49">
        <v>4.3931999999999999E-2</v>
      </c>
      <c r="H14" s="49">
        <v>5.1657000000000002E-2</v>
      </c>
      <c r="I14" s="49">
        <v>6.2947000000000003E-2</v>
      </c>
      <c r="J14" s="49">
        <v>7.2073999999999999E-2</v>
      </c>
      <c r="K14" s="49">
        <v>7.6577999999999993E-2</v>
      </c>
      <c r="L14" s="49">
        <v>7.7748999999999999E-2</v>
      </c>
      <c r="M14" s="49">
        <v>7.6125999999999999E-2</v>
      </c>
      <c r="N14" s="49">
        <v>7.0459999999999995E-2</v>
      </c>
      <c r="O14" s="49">
        <v>1.4163E-2</v>
      </c>
      <c r="P14" s="49">
        <v>6.9236000000000002E-3</v>
      </c>
      <c r="Q14" s="49">
        <v>3.2981999999999998E-3</v>
      </c>
      <c r="R14" s="49">
        <v>1.5841E-3</v>
      </c>
      <c r="S14" s="49">
        <v>7.7862999999999999E-4</v>
      </c>
      <c r="T14" s="49">
        <v>3.9383000000000002E-4</v>
      </c>
      <c r="U14" s="49">
        <v>2.0551E-4</v>
      </c>
      <c r="V14" s="49">
        <v>1.1147E-4</v>
      </c>
      <c r="W14" s="49">
        <v>6.4268000000000002E-5</v>
      </c>
      <c r="X14" s="49">
        <v>9.4575000000000005E-6</v>
      </c>
      <c r="Y14" s="49">
        <v>5.7868999999999996E-6</v>
      </c>
      <c r="Z14" s="49">
        <v>3.5862999999999999E-6</v>
      </c>
      <c r="AA14" s="49">
        <v>2.2539000000000001E-6</v>
      </c>
      <c r="AB14" s="49">
        <v>1.5931E-6</v>
      </c>
      <c r="AC14" s="49">
        <v>3.446E-7</v>
      </c>
      <c r="AD14" s="49">
        <v>2.3418E-7</v>
      </c>
      <c r="AE14" s="49">
        <v>1.6037E-7</v>
      </c>
      <c r="AF14" s="49">
        <v>1.1068E-7</v>
      </c>
      <c r="AG14" s="49">
        <v>7.6971999999999996E-8</v>
      </c>
      <c r="AH14" s="49"/>
      <c r="AI14" s="49"/>
      <c r="AJ14" s="49"/>
      <c r="AK14" s="49"/>
      <c r="AL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3</v>
      </c>
      <c r="C15" s="44">
        <f t="shared" si="0"/>
        <v>0</v>
      </c>
      <c r="D15" s="44">
        <f t="shared" si="0"/>
        <v>2</v>
      </c>
      <c r="E15" s="48" t="s">
        <v>80</v>
      </c>
      <c r="F15" s="49">
        <v>3.4567000000000001E-2</v>
      </c>
      <c r="G15" s="49">
        <v>3.5472999999999998E-2</v>
      </c>
      <c r="H15" s="49">
        <v>3.7713000000000003E-2</v>
      </c>
      <c r="I15" s="49">
        <v>4.0785000000000002E-2</v>
      </c>
      <c r="J15" s="49">
        <v>4.3124000000000003E-2</v>
      </c>
      <c r="K15" s="49">
        <v>4.4311999999999997E-2</v>
      </c>
      <c r="L15" s="49">
        <v>4.4941000000000002E-2</v>
      </c>
      <c r="M15" s="49">
        <v>4.5662000000000001E-2</v>
      </c>
      <c r="N15" s="49">
        <v>4.7073999999999998E-2</v>
      </c>
      <c r="O15" s="49">
        <v>5.7796E-2</v>
      </c>
      <c r="P15" s="49">
        <v>5.8943000000000002E-2</v>
      </c>
      <c r="Q15" s="49">
        <v>5.9500999999999998E-2</v>
      </c>
      <c r="R15" s="49">
        <v>5.9761000000000002E-2</v>
      </c>
      <c r="S15" s="49">
        <v>5.9881999999999998E-2</v>
      </c>
      <c r="T15" s="49">
        <v>5.9935000000000002E-2</v>
      </c>
      <c r="U15" s="49">
        <v>5.9936000000000003E-2</v>
      </c>
      <c r="V15" s="49">
        <v>5.9750999999999999E-2</v>
      </c>
      <c r="W15" s="49">
        <v>5.8089000000000002E-2</v>
      </c>
      <c r="X15" s="49">
        <v>3.2477999999999999E-3</v>
      </c>
      <c r="Y15" s="49">
        <v>9.6513999999999996E-4</v>
      </c>
      <c r="Z15" s="49">
        <v>2.9058000000000003E-4</v>
      </c>
      <c r="AA15" s="49">
        <v>8.9747999999999995E-5</v>
      </c>
      <c r="AB15" s="49">
        <v>2.1749000000000001E-5</v>
      </c>
      <c r="AC15" s="49">
        <v>1.4412E-8</v>
      </c>
      <c r="AD15" s="49">
        <v>2.4533999999999998E-9</v>
      </c>
      <c r="AE15" s="49">
        <v>4.3905E-10</v>
      </c>
      <c r="AF15" s="49">
        <v>8.2502000000000004E-11</v>
      </c>
      <c r="AG15" s="49">
        <v>1.6246999999999999E-11</v>
      </c>
      <c r="AH15" s="49"/>
      <c r="AI15" s="49"/>
      <c r="AJ15" s="49"/>
      <c r="AK15" s="49"/>
      <c r="AL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1</v>
      </c>
      <c r="C16" s="44">
        <f t="shared" si="0"/>
        <v>0</v>
      </c>
      <c r="D16" s="44">
        <f t="shared" si="0"/>
        <v>2</v>
      </c>
      <c r="E16" s="48" t="s">
        <v>81</v>
      </c>
      <c r="F16" s="49">
        <v>2.2917999999999999E-28</v>
      </c>
      <c r="G16" s="49">
        <v>2.1267000000000001E-26</v>
      </c>
      <c r="H16" s="49">
        <v>1.8936000000000001E-24</v>
      </c>
      <c r="I16" s="49">
        <v>1.9599E-22</v>
      </c>
      <c r="J16" s="49">
        <v>2.0106000000000001E-20</v>
      </c>
      <c r="K16" s="49">
        <v>1.6409000000000001E-18</v>
      </c>
      <c r="L16" s="49">
        <v>9.5222999999999999E-17</v>
      </c>
      <c r="M16" s="49">
        <v>3.7863E-15</v>
      </c>
      <c r="N16" s="49">
        <v>1.0221E-13</v>
      </c>
      <c r="O16" s="49">
        <v>4.2230999999999996E-9</v>
      </c>
      <c r="P16" s="49">
        <v>4.2098999999999999E-8</v>
      </c>
      <c r="Q16" s="49">
        <v>3.6928999999999999E-7</v>
      </c>
      <c r="R16" s="49">
        <v>2.8582E-6</v>
      </c>
      <c r="S16" s="49">
        <v>1.9658000000000001E-5</v>
      </c>
      <c r="T16" s="49">
        <v>1.2113E-4</v>
      </c>
      <c r="U16" s="49">
        <v>6.7195000000000004E-4</v>
      </c>
      <c r="V16" s="49">
        <v>3.3199000000000002E-3</v>
      </c>
      <c r="W16" s="49">
        <v>1.3724E-2</v>
      </c>
      <c r="X16" s="49">
        <v>0.11</v>
      </c>
      <c r="Y16" s="49">
        <v>0.11003</v>
      </c>
      <c r="Z16" s="49">
        <v>0.10685</v>
      </c>
      <c r="AA16" s="49">
        <v>0.10188999999999999</v>
      </c>
      <c r="AB16" s="49">
        <v>5.7660000000000003E-2</v>
      </c>
      <c r="AC16" s="49">
        <v>1.3778E-3</v>
      </c>
      <c r="AD16" s="49">
        <v>5.6581000000000003E-4</v>
      </c>
      <c r="AE16" s="49">
        <v>2.3829E-4</v>
      </c>
      <c r="AF16" s="49">
        <v>1.0283E-4</v>
      </c>
      <c r="AG16" s="49">
        <v>4.5411999999999998E-5</v>
      </c>
      <c r="AH16" s="49"/>
      <c r="AI16" s="49"/>
      <c r="AJ16" s="49"/>
      <c r="AK16" s="49"/>
      <c r="AL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1</v>
      </c>
      <c r="D17" s="44">
        <f t="shared" si="0"/>
        <v>0</v>
      </c>
      <c r="E17" s="48" t="s">
        <v>65</v>
      </c>
      <c r="F17" s="49">
        <v>1.5377000000000001E-7</v>
      </c>
      <c r="G17" s="49">
        <v>4.1064999999999999E-7</v>
      </c>
      <c r="H17" s="49">
        <v>1.3969999999999999E-6</v>
      </c>
      <c r="I17" s="49">
        <v>6.1423999999999998E-6</v>
      </c>
      <c r="J17" s="49">
        <v>2.9011999999999999E-5</v>
      </c>
      <c r="K17" s="49">
        <v>1.2789E-4</v>
      </c>
      <c r="L17" s="49">
        <v>4.9987000000000002E-4</v>
      </c>
      <c r="M17" s="49">
        <v>1.6804999999999999E-3</v>
      </c>
      <c r="N17" s="49">
        <v>4.6601999999999998E-3</v>
      </c>
      <c r="O17" s="49">
        <v>3.2917000000000002E-2</v>
      </c>
      <c r="P17" s="49">
        <v>3.6538000000000001E-2</v>
      </c>
      <c r="Q17" s="49">
        <v>3.8351000000000003E-2</v>
      </c>
      <c r="R17" s="49">
        <v>3.9208E-2</v>
      </c>
      <c r="S17" s="49">
        <v>3.9611E-2</v>
      </c>
      <c r="T17" s="49">
        <v>3.9802999999999998E-2</v>
      </c>
      <c r="U17" s="49">
        <v>3.9897000000000002E-2</v>
      </c>
      <c r="V17" s="49">
        <v>3.9944E-2</v>
      </c>
      <c r="W17" s="49">
        <v>3.9967999999999997E-2</v>
      </c>
      <c r="X17" s="49">
        <v>3.9995000000000003E-2</v>
      </c>
      <c r="Y17" s="49">
        <v>3.9996999999999998E-2</v>
      </c>
      <c r="Z17" s="49">
        <v>3.9997999999999999E-2</v>
      </c>
      <c r="AA17" s="49">
        <v>3.9999E-2</v>
      </c>
      <c r="AB17" s="49">
        <v>3.9412000000000003E-2</v>
      </c>
      <c r="AC17" s="49">
        <v>3.7732000000000002E-2</v>
      </c>
      <c r="AD17" s="49">
        <v>3.7059000000000002E-2</v>
      </c>
      <c r="AE17" s="49">
        <v>3.6719000000000002E-2</v>
      </c>
      <c r="AF17" s="49">
        <v>3.6719000000000002E-2</v>
      </c>
      <c r="AG17" s="49">
        <v>3.6373000000000003E-2</v>
      </c>
      <c r="AH17" s="49"/>
      <c r="AI17" s="49"/>
      <c r="AJ17" s="49"/>
      <c r="AK17" s="49"/>
      <c r="AL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1</v>
      </c>
      <c r="E18" s="48" t="s">
        <v>66</v>
      </c>
      <c r="F18" s="49">
        <v>3.0705000000000001E-28</v>
      </c>
      <c r="G18" s="49">
        <v>2.6313000000000001E-26</v>
      </c>
      <c r="H18" s="49">
        <v>1.9971999999999999E-24</v>
      </c>
      <c r="I18" s="49">
        <v>1.5682999999999999E-22</v>
      </c>
      <c r="J18" s="49">
        <v>1.1272E-20</v>
      </c>
      <c r="K18" s="49">
        <v>6.3320999999999996E-19</v>
      </c>
      <c r="L18" s="49">
        <v>2.5942E-17</v>
      </c>
      <c r="M18" s="49">
        <v>7.6415999999999998E-16</v>
      </c>
      <c r="N18" s="49">
        <v>1.6257999999999999E-14</v>
      </c>
      <c r="O18" s="49">
        <v>3.6524000000000002E-10</v>
      </c>
      <c r="P18" s="49">
        <v>3.1234999999999998E-9</v>
      </c>
      <c r="Q18" s="49">
        <v>2.3485000000000002E-8</v>
      </c>
      <c r="R18" s="49">
        <v>1.5619E-7</v>
      </c>
      <c r="S18" s="49">
        <v>9.2608999999999995E-7</v>
      </c>
      <c r="T18" s="49">
        <v>4.9347000000000004E-6</v>
      </c>
      <c r="U18" s="49">
        <v>2.3788999999999999E-5</v>
      </c>
      <c r="V18" s="49">
        <v>1.0397E-4</v>
      </c>
      <c r="W18" s="49">
        <v>4.0607000000000002E-4</v>
      </c>
      <c r="X18" s="49">
        <v>1.1181999999999999E-2</v>
      </c>
      <c r="Y18" s="49">
        <v>1.7329000000000001E-2</v>
      </c>
      <c r="Z18" s="49">
        <v>2.5510999999999999E-2</v>
      </c>
      <c r="AA18" s="49">
        <v>3.5986999999999998E-2</v>
      </c>
      <c r="AB18" s="49">
        <v>3.5250999999999998E-2</v>
      </c>
      <c r="AC18" s="49">
        <v>1.2779E-2</v>
      </c>
      <c r="AD18" s="49">
        <v>6.9867999999999996E-3</v>
      </c>
      <c r="AE18" s="49">
        <v>5.0317000000000001E-3</v>
      </c>
      <c r="AF18" s="49">
        <v>5.0317000000000001E-3</v>
      </c>
      <c r="AG18" s="49">
        <v>3.5576000000000002E-3</v>
      </c>
      <c r="AH18" s="49"/>
      <c r="AI18" s="49"/>
      <c r="AJ18" s="49"/>
      <c r="AK18" s="49"/>
      <c r="AL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48" t="s">
        <v>67</v>
      </c>
      <c r="F19" s="49">
        <v>1.0965999999999999E-9</v>
      </c>
      <c r="G19" s="49">
        <v>3.6921000000000001E-9</v>
      </c>
      <c r="H19" s="49">
        <v>8.5473E-9</v>
      </c>
      <c r="I19" s="49">
        <v>1.3043E-8</v>
      </c>
      <c r="J19" s="49">
        <v>1.4094E-8</v>
      </c>
      <c r="K19" s="49">
        <v>1.2493999999999999E-8</v>
      </c>
      <c r="L19" s="49">
        <v>1.0293999999999999E-8</v>
      </c>
      <c r="M19" s="49">
        <v>8.5355000000000006E-9</v>
      </c>
      <c r="N19" s="49">
        <v>7.5341000000000003E-9</v>
      </c>
      <c r="O19" s="49">
        <v>6.2337999999999997E-9</v>
      </c>
      <c r="P19" s="49">
        <v>5.5016999999999997E-9</v>
      </c>
      <c r="Q19" s="49">
        <v>4.6917999999999999E-9</v>
      </c>
      <c r="R19" s="49">
        <v>3.9359999999999996E-9</v>
      </c>
      <c r="S19" s="49">
        <v>3.2794000000000001E-9</v>
      </c>
      <c r="T19" s="49">
        <v>2.7289E-9</v>
      </c>
      <c r="U19" s="49">
        <v>2.2864999999999999E-9</v>
      </c>
      <c r="V19" s="49">
        <v>1.9831999999999999E-9</v>
      </c>
      <c r="W19" s="49">
        <v>1.9241E-9</v>
      </c>
      <c r="X19" s="49">
        <v>2.2318000000000001E-9</v>
      </c>
      <c r="Y19" s="49">
        <v>1.9126999999999998E-9</v>
      </c>
      <c r="Z19" s="49">
        <v>1.6253E-9</v>
      </c>
      <c r="AA19" s="49">
        <v>1.3817999999999999E-9</v>
      </c>
      <c r="AB19" s="49">
        <v>1.2945E-9</v>
      </c>
      <c r="AC19" s="49">
        <v>7.3185000000000001E-10</v>
      </c>
      <c r="AD19" s="49">
        <v>5.2128999999999996E-10</v>
      </c>
      <c r="AE19" s="49">
        <v>4.4019000000000001E-10</v>
      </c>
      <c r="AF19" s="49">
        <v>4.4019000000000001E-10</v>
      </c>
      <c r="AG19" s="49">
        <v>3.7200000000000001E-10</v>
      </c>
      <c r="AH19" s="49"/>
      <c r="AI19" s="49"/>
      <c r="AJ19" s="49"/>
      <c r="AK19" s="49"/>
      <c r="AL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1</v>
      </c>
      <c r="C20" s="44">
        <f t="shared" si="1"/>
        <v>0</v>
      </c>
      <c r="D20" s="44">
        <f t="shared" si="1"/>
        <v>0</v>
      </c>
      <c r="E20" s="48" t="s">
        <v>68</v>
      </c>
      <c r="F20" s="49">
        <v>2.5274E-10</v>
      </c>
      <c r="G20" s="49">
        <v>9.8982E-10</v>
      </c>
      <c r="H20" s="49">
        <v>2.6168999999999999E-9</v>
      </c>
      <c r="I20" s="49">
        <v>4.4917000000000001E-9</v>
      </c>
      <c r="J20" s="49">
        <v>5.3905000000000004E-9</v>
      </c>
      <c r="K20" s="49">
        <v>5.2493999999999997E-9</v>
      </c>
      <c r="L20" s="49">
        <v>4.7075999999999997E-9</v>
      </c>
      <c r="M20" s="49">
        <v>4.2145999999999999E-9</v>
      </c>
      <c r="N20" s="49">
        <v>3.9888000000000001E-9</v>
      </c>
      <c r="O20" s="49">
        <v>3.8814999999999999E-9</v>
      </c>
      <c r="P20" s="49">
        <v>3.3883E-9</v>
      </c>
      <c r="Q20" s="49">
        <v>2.8564999999999998E-9</v>
      </c>
      <c r="R20" s="49">
        <v>2.3681000000000001E-9</v>
      </c>
      <c r="S20" s="49">
        <v>1.9492999999999999E-9</v>
      </c>
      <c r="T20" s="49">
        <v>1.6021999999999999E-9</v>
      </c>
      <c r="U20" s="49">
        <v>1.326E-9</v>
      </c>
      <c r="V20" s="49">
        <v>1.1359E-9</v>
      </c>
      <c r="W20" s="49">
        <v>1.0884000000000001E-9</v>
      </c>
      <c r="X20" s="49">
        <v>1.202E-9</v>
      </c>
      <c r="Y20" s="49">
        <v>1.0177999999999999E-9</v>
      </c>
      <c r="Z20" s="49">
        <v>8.5457999999999996E-10</v>
      </c>
      <c r="AA20" s="49">
        <v>7.1800999999999998E-10</v>
      </c>
      <c r="AB20" s="49">
        <v>6.6482999999999997E-10</v>
      </c>
      <c r="AC20" s="49">
        <v>3.5903E-10</v>
      </c>
      <c r="AD20" s="49">
        <v>2.5007E-10</v>
      </c>
      <c r="AE20" s="49">
        <v>2.0884E-10</v>
      </c>
      <c r="AF20" s="49">
        <v>2.0884E-10</v>
      </c>
      <c r="AG20" s="49">
        <v>1.7455999999999999E-10</v>
      </c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1</v>
      </c>
      <c r="C21" s="44">
        <f t="shared" si="1"/>
        <v>0</v>
      </c>
      <c r="D21" s="44">
        <f t="shared" si="1"/>
        <v>0</v>
      </c>
      <c r="E21" s="48" t="s">
        <v>69</v>
      </c>
      <c r="F21" s="49">
        <v>9.2352999999999999E-4</v>
      </c>
      <c r="G21" s="49">
        <v>3.9338999999999997E-3</v>
      </c>
      <c r="H21" s="49">
        <v>1.1663E-2</v>
      </c>
      <c r="I21" s="49">
        <v>2.2970999999999998E-2</v>
      </c>
      <c r="J21" s="49">
        <v>3.2190000000000003E-2</v>
      </c>
      <c r="K21" s="49">
        <v>3.7088999999999997E-2</v>
      </c>
      <c r="L21" s="49">
        <v>3.9749E-2</v>
      </c>
      <c r="M21" s="49">
        <v>4.2847999999999997E-2</v>
      </c>
      <c r="N21" s="49">
        <v>4.9099999999999998E-2</v>
      </c>
      <c r="O21" s="49">
        <v>0.10582999999999999</v>
      </c>
      <c r="P21" s="49">
        <v>0.11307</v>
      </c>
      <c r="Q21" s="49">
        <v>0.1167</v>
      </c>
      <c r="R21" s="49">
        <v>0.11842</v>
      </c>
      <c r="S21" s="49">
        <v>0.11926</v>
      </c>
      <c r="T21" s="49">
        <v>0.11985999999999999</v>
      </c>
      <c r="U21" s="49">
        <v>0.12117</v>
      </c>
      <c r="V21" s="49">
        <v>0.12667999999999999</v>
      </c>
      <c r="W21" s="49">
        <v>0.14799000000000001</v>
      </c>
      <c r="X21" s="49">
        <v>0.35676000000000002</v>
      </c>
      <c r="Y21" s="49">
        <v>0.36606</v>
      </c>
      <c r="Z21" s="49">
        <v>0.37197000000000002</v>
      </c>
      <c r="AA21" s="49">
        <v>0.37774999999999997</v>
      </c>
      <c r="AB21" s="49">
        <v>0.42225000000000001</v>
      </c>
      <c r="AC21" s="49">
        <v>0.47861999999999999</v>
      </c>
      <c r="AD21" s="49">
        <v>0.47976000000000002</v>
      </c>
      <c r="AE21" s="49">
        <v>0.47989999999999999</v>
      </c>
      <c r="AF21" s="49">
        <v>0.47989999999999999</v>
      </c>
      <c r="AG21" s="49">
        <v>0.47994999999999999</v>
      </c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1</v>
      </c>
      <c r="C22" s="44">
        <f t="shared" si="1"/>
        <v>0</v>
      </c>
      <c r="D22" s="44">
        <f t="shared" si="1"/>
        <v>0</v>
      </c>
      <c r="E22" s="48" t="s">
        <v>70</v>
      </c>
      <c r="F22" s="49">
        <v>2.8039000000000002E-12</v>
      </c>
      <c r="G22" s="49">
        <v>1.5371999999999999E-11</v>
      </c>
      <c r="H22" s="49">
        <v>5.4874000000000002E-11</v>
      </c>
      <c r="I22" s="49">
        <v>1.2340999999999999E-10</v>
      </c>
      <c r="J22" s="49">
        <v>1.8921000000000001E-10</v>
      </c>
      <c r="K22" s="49">
        <v>2.304E-10</v>
      </c>
      <c r="L22" s="49">
        <v>2.5365E-10</v>
      </c>
      <c r="M22" s="49">
        <v>2.7437E-10</v>
      </c>
      <c r="N22" s="49">
        <v>3.0941000000000002E-10</v>
      </c>
      <c r="O22" s="49">
        <v>5.4411E-10</v>
      </c>
      <c r="P22" s="49">
        <v>5.3889999999999997E-10</v>
      </c>
      <c r="Q22" s="49">
        <v>5.1189999999999996E-10</v>
      </c>
      <c r="R22" s="49">
        <v>4.7514999999999996E-10</v>
      </c>
      <c r="S22" s="49">
        <v>4.3540000000000002E-10</v>
      </c>
      <c r="T22" s="49">
        <v>3.9633000000000002E-10</v>
      </c>
      <c r="U22" s="49">
        <v>3.6149999999999999E-10</v>
      </c>
      <c r="V22" s="49">
        <v>3.3980000000000001E-10</v>
      </c>
      <c r="W22" s="49">
        <v>3.5583999999999998E-10</v>
      </c>
      <c r="X22" s="49">
        <v>5.4133000000000003E-10</v>
      </c>
      <c r="Y22" s="49">
        <v>4.9287999999999996E-10</v>
      </c>
      <c r="Z22" s="49">
        <v>4.4383000000000001E-10</v>
      </c>
      <c r="AA22" s="49">
        <v>3.9894000000000002E-10</v>
      </c>
      <c r="AB22" s="49">
        <v>3.9428999999999999E-10</v>
      </c>
      <c r="AC22" s="49">
        <v>2.7084000000000002E-10</v>
      </c>
      <c r="AD22" s="49">
        <v>2.1051000000000001E-10</v>
      </c>
      <c r="AE22" s="49">
        <v>1.8528000000000001E-10</v>
      </c>
      <c r="AF22" s="49">
        <v>1.8528000000000001E-10</v>
      </c>
      <c r="AG22" s="49">
        <v>1.6297000000000001E-10</v>
      </c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1</v>
      </c>
      <c r="D23" s="44">
        <f t="shared" si="1"/>
        <v>0</v>
      </c>
      <c r="E23" s="41" t="s">
        <v>71</v>
      </c>
      <c r="F23" s="49">
        <v>1.5377000000000001E-7</v>
      </c>
      <c r="G23" s="49">
        <v>4.1064999999999999E-7</v>
      </c>
      <c r="H23" s="49">
        <v>1.3969999999999999E-6</v>
      </c>
      <c r="I23" s="49">
        <v>6.1423999999999998E-6</v>
      </c>
      <c r="J23" s="49">
        <v>2.9011999999999999E-5</v>
      </c>
      <c r="K23" s="49">
        <v>1.2789E-4</v>
      </c>
      <c r="L23" s="49">
        <v>4.9987000000000002E-4</v>
      </c>
      <c r="M23" s="49">
        <v>1.6804999999999999E-3</v>
      </c>
      <c r="N23" s="49">
        <v>4.6601999999999998E-3</v>
      </c>
      <c r="O23" s="49">
        <v>3.2917000000000002E-2</v>
      </c>
      <c r="P23" s="49">
        <v>3.6538000000000001E-2</v>
      </c>
      <c r="Q23" s="49">
        <v>3.8351000000000003E-2</v>
      </c>
      <c r="R23" s="49">
        <v>3.9208E-2</v>
      </c>
      <c r="S23" s="49">
        <v>3.9611E-2</v>
      </c>
      <c r="T23" s="49">
        <v>3.9802999999999998E-2</v>
      </c>
      <c r="U23" s="49">
        <v>3.9897000000000002E-2</v>
      </c>
      <c r="V23" s="49">
        <v>3.9944E-2</v>
      </c>
      <c r="W23" s="49">
        <v>3.9967999999999997E-2</v>
      </c>
      <c r="X23" s="49">
        <v>3.9995000000000003E-2</v>
      </c>
      <c r="Y23" s="49">
        <v>3.9996999999999998E-2</v>
      </c>
      <c r="Z23" s="49">
        <v>3.9997999999999999E-2</v>
      </c>
      <c r="AA23" s="49">
        <v>3.9999E-2</v>
      </c>
      <c r="AB23" s="49">
        <v>3.9412000000000003E-2</v>
      </c>
      <c r="AC23" s="49">
        <v>3.7732000000000002E-2</v>
      </c>
      <c r="AD23" s="49">
        <v>3.7059000000000002E-2</v>
      </c>
      <c r="AE23" s="49">
        <v>3.6719000000000002E-2</v>
      </c>
      <c r="AF23" s="49">
        <v>3.6719000000000002E-2</v>
      </c>
      <c r="AG23" s="49">
        <v>3.6373000000000003E-2</v>
      </c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1</v>
      </c>
      <c r="E24" s="41" t="s">
        <v>72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1.2435E-28</v>
      </c>
      <c r="Y24" s="49">
        <v>4.8073000000000002E-20</v>
      </c>
      <c r="Z24" s="49">
        <v>5.9552999999999999E-12</v>
      </c>
      <c r="AA24" s="49">
        <v>4.2954999999999998E-7</v>
      </c>
      <c r="AB24" s="49">
        <v>8.9257000000000003E-2</v>
      </c>
      <c r="AC24" s="49">
        <v>0.21510000000000001</v>
      </c>
      <c r="AD24" s="49">
        <v>0.22767000000000001</v>
      </c>
      <c r="AE24" s="49">
        <v>0.23136999999999999</v>
      </c>
      <c r="AF24" s="49">
        <v>0.23136999999999999</v>
      </c>
      <c r="AG24" s="49">
        <v>0.23405000000000001</v>
      </c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1</v>
      </c>
      <c r="D25" s="44">
        <f t="shared" si="1"/>
        <v>0</v>
      </c>
      <c r="E25" s="41" t="s">
        <v>73</v>
      </c>
      <c r="F25" s="49">
        <v>0</v>
      </c>
      <c r="G25" s="49">
        <v>0</v>
      </c>
      <c r="H25" s="49">
        <v>0</v>
      </c>
      <c r="I25" s="49">
        <v>0</v>
      </c>
      <c r="J25" s="49">
        <v>0</v>
      </c>
      <c r="K25" s="49">
        <v>0</v>
      </c>
      <c r="L25" s="49">
        <v>0</v>
      </c>
      <c r="M25" s="49">
        <v>0</v>
      </c>
      <c r="N25" s="49">
        <v>0</v>
      </c>
      <c r="O25" s="49">
        <v>0</v>
      </c>
      <c r="P25" s="49">
        <v>0</v>
      </c>
      <c r="Q25" s="49">
        <v>0</v>
      </c>
      <c r="R25" s="49">
        <v>0</v>
      </c>
      <c r="S25" s="49">
        <v>0</v>
      </c>
      <c r="T25" s="49">
        <v>0</v>
      </c>
      <c r="U25" s="49">
        <v>0</v>
      </c>
      <c r="V25" s="49">
        <v>0</v>
      </c>
      <c r="W25" s="49">
        <v>0</v>
      </c>
      <c r="X25" s="49">
        <v>6.0999000000000002E-30</v>
      </c>
      <c r="Y25" s="49">
        <v>1.5117999999999999E-21</v>
      </c>
      <c r="Z25" s="49">
        <v>1.2375E-13</v>
      </c>
      <c r="AA25" s="49">
        <v>6.0257E-9</v>
      </c>
      <c r="AB25" s="49">
        <v>1.1739999999999999E-3</v>
      </c>
      <c r="AC25" s="49">
        <v>4.5361999999999998E-3</v>
      </c>
      <c r="AD25" s="49">
        <v>5.8811999999999996E-3</v>
      </c>
      <c r="AE25" s="49">
        <v>6.5624000000000004E-3</v>
      </c>
      <c r="AF25" s="49">
        <v>6.5624000000000004E-3</v>
      </c>
      <c r="AG25" s="49">
        <v>7.2538999999999998E-3</v>
      </c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1</v>
      </c>
      <c r="C26" s="44">
        <f t="shared" si="1"/>
        <v>0</v>
      </c>
      <c r="D26" s="44">
        <f t="shared" si="1"/>
        <v>0</v>
      </c>
      <c r="E26" s="41" t="s">
        <v>74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9">
        <v>0</v>
      </c>
      <c r="V26" s="49">
        <v>0</v>
      </c>
      <c r="W26" s="49">
        <v>0</v>
      </c>
      <c r="X26" s="49">
        <v>3.1106000000000001E-36</v>
      </c>
      <c r="Y26" s="49">
        <v>5.6790999999999999E-28</v>
      </c>
      <c r="Z26" s="49">
        <v>3.4210000000000003E-20</v>
      </c>
      <c r="AA26" s="49">
        <v>1.2351000000000001E-15</v>
      </c>
      <c r="AB26" s="49">
        <v>2.0084E-10</v>
      </c>
      <c r="AC26" s="49">
        <v>2.8795000000000002E-10</v>
      </c>
      <c r="AD26" s="49">
        <v>2.2090999999999999E-10</v>
      </c>
      <c r="AE26" s="49">
        <v>1.9096000000000001E-10</v>
      </c>
      <c r="AF26" s="49">
        <v>1.9096000000000001E-10</v>
      </c>
      <c r="AG26" s="49">
        <v>1.6429999999999999E-10</v>
      </c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1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 t="s">
        <v>27</v>
      </c>
      <c r="F27" s="49">
        <v>-18.98</v>
      </c>
      <c r="G27" s="49">
        <v>-18.96</v>
      </c>
      <c r="H27" s="49">
        <v>-18.96</v>
      </c>
      <c r="I27" s="49">
        <v>-18.96</v>
      </c>
      <c r="J27" s="49">
        <v>-18.97</v>
      </c>
      <c r="K27" s="49">
        <v>-18.989999999999998</v>
      </c>
      <c r="L27" s="49">
        <v>-19.02</v>
      </c>
      <c r="M27" s="49">
        <v>-19.05</v>
      </c>
      <c r="N27" s="49">
        <v>-19.079999999999998</v>
      </c>
      <c r="O27" s="49">
        <v>-19.2</v>
      </c>
      <c r="P27" s="49">
        <v>-19.23</v>
      </c>
      <c r="Q27" s="49">
        <v>-19.27</v>
      </c>
      <c r="R27" s="49">
        <v>-19.309999999999999</v>
      </c>
      <c r="S27" s="49">
        <v>-19.36</v>
      </c>
      <c r="T27" s="49">
        <v>-19.399999999999999</v>
      </c>
      <c r="U27" s="49">
        <v>-19.440000000000001</v>
      </c>
      <c r="V27" s="49">
        <v>-19.47</v>
      </c>
      <c r="W27" s="49">
        <v>-19.48</v>
      </c>
      <c r="X27" s="49">
        <v>-19.43</v>
      </c>
      <c r="Y27" s="49">
        <v>-19.47</v>
      </c>
      <c r="Z27" s="49">
        <v>-19.510000000000002</v>
      </c>
      <c r="AA27" s="49">
        <v>-19.55</v>
      </c>
      <c r="AB27" s="49">
        <v>-19.59</v>
      </c>
      <c r="AC27" s="49">
        <v>-19.739999999999998</v>
      </c>
      <c r="AD27" s="49">
        <v>-19.809999999999999</v>
      </c>
      <c r="AE27" s="49">
        <v>-19.850000000000001</v>
      </c>
      <c r="AF27" s="49">
        <v>-19.850000000000001</v>
      </c>
      <c r="AG27" s="49">
        <v>-19.88</v>
      </c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1</v>
      </c>
      <c r="E28" s="41" t="s">
        <v>5</v>
      </c>
      <c r="F28" s="49">
        <v>-66.099999999999994</v>
      </c>
      <c r="G28" s="49">
        <v>-61.67</v>
      </c>
      <c r="H28" s="49">
        <v>-57.42</v>
      </c>
      <c r="I28" s="49">
        <v>-53.18</v>
      </c>
      <c r="J28" s="49">
        <v>-49.01</v>
      </c>
      <c r="K28" s="49">
        <v>-45.05</v>
      </c>
      <c r="L28" s="49">
        <v>-41.4</v>
      </c>
      <c r="M28" s="49">
        <v>-38.08</v>
      </c>
      <c r="N28" s="49">
        <v>-35.11</v>
      </c>
      <c r="O28" s="49">
        <v>-25.6</v>
      </c>
      <c r="P28" s="49">
        <v>-23.53</v>
      </c>
      <c r="Q28" s="49">
        <v>-21.56</v>
      </c>
      <c r="R28" s="49">
        <v>-19.7</v>
      </c>
      <c r="S28" s="49">
        <v>-17.95</v>
      </c>
      <c r="T28" s="49">
        <v>-16.29</v>
      </c>
      <c r="U28" s="49">
        <v>-14.73</v>
      </c>
      <c r="V28" s="49">
        <v>-13.28</v>
      </c>
      <c r="W28" s="49">
        <v>-12.01</v>
      </c>
      <c r="X28" s="49">
        <v>-9.1259999999999994</v>
      </c>
      <c r="Y28" s="49">
        <v>-8.6280000000000001</v>
      </c>
      <c r="Z28" s="49">
        <v>-8.1609999999999996</v>
      </c>
      <c r="AA28" s="49">
        <v>-7.7220000000000004</v>
      </c>
      <c r="AB28" s="49">
        <v>-7.61</v>
      </c>
      <c r="AC28" s="49">
        <v>-7.883</v>
      </c>
      <c r="AD28" s="49">
        <v>-8.0139999999999993</v>
      </c>
      <c r="AE28" s="49">
        <v>-8.077</v>
      </c>
      <c r="AF28" s="49">
        <v>-8.077</v>
      </c>
      <c r="AG28" s="49">
        <v>-8.14</v>
      </c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1</v>
      </c>
      <c r="D29" s="44">
        <f t="shared" si="2"/>
        <v>0</v>
      </c>
      <c r="E29" s="41" t="s">
        <v>6</v>
      </c>
      <c r="F29" s="49">
        <v>-17.28</v>
      </c>
      <c r="G29" s="49">
        <v>-16.32</v>
      </c>
      <c r="H29" s="49">
        <v>-15.18</v>
      </c>
      <c r="I29" s="49">
        <v>-13.82</v>
      </c>
      <c r="J29" s="49">
        <v>-12.36</v>
      </c>
      <c r="K29" s="49">
        <v>-10.95</v>
      </c>
      <c r="L29" s="49">
        <v>-9.6379999999999999</v>
      </c>
      <c r="M29" s="49">
        <v>-8.4860000000000007</v>
      </c>
      <c r="N29" s="49">
        <v>-7.5510000000000002</v>
      </c>
      <c r="O29" s="49">
        <v>-6.1029999999999998</v>
      </c>
      <c r="P29" s="49">
        <v>-6.0819999999999999</v>
      </c>
      <c r="Q29" s="49">
        <v>-6.0990000000000002</v>
      </c>
      <c r="R29" s="49">
        <v>-6.1340000000000003</v>
      </c>
      <c r="S29" s="49">
        <v>-6.1779999999999999</v>
      </c>
      <c r="T29" s="49">
        <v>-6.226</v>
      </c>
      <c r="U29" s="49">
        <v>-6.2809999999999997</v>
      </c>
      <c r="V29" s="49">
        <v>-6.36</v>
      </c>
      <c r="W29" s="49">
        <v>-6.5149999999999997</v>
      </c>
      <c r="X29" s="49">
        <v>-7.3369999999999997</v>
      </c>
      <c r="Y29" s="49">
        <v>-7.4089999999999998</v>
      </c>
      <c r="Z29" s="49">
        <v>-7.4740000000000002</v>
      </c>
      <c r="AA29" s="49">
        <v>-7.5410000000000004</v>
      </c>
      <c r="AB29" s="49">
        <v>-7.6</v>
      </c>
      <c r="AC29" s="49">
        <v>-7.7830000000000004</v>
      </c>
      <c r="AD29" s="49">
        <v>-7.8780000000000001</v>
      </c>
      <c r="AE29" s="49">
        <v>-7.9269999999999996</v>
      </c>
      <c r="AF29" s="49">
        <v>-7.9269999999999996</v>
      </c>
      <c r="AG29" s="49">
        <v>-7.976</v>
      </c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1</v>
      </c>
      <c r="C30" s="44">
        <f t="shared" si="2"/>
        <v>0</v>
      </c>
      <c r="D30" s="44">
        <f t="shared" si="2"/>
        <v>0</v>
      </c>
      <c r="E30" s="41" t="s">
        <v>7</v>
      </c>
      <c r="F30" s="49">
        <v>-23.57</v>
      </c>
      <c r="G30" s="49">
        <v>-22.38</v>
      </c>
      <c r="H30" s="49">
        <v>-21.62</v>
      </c>
      <c r="I30" s="49">
        <v>-21.32</v>
      </c>
      <c r="J30" s="49">
        <v>-21.34</v>
      </c>
      <c r="K30" s="49">
        <v>-21.53</v>
      </c>
      <c r="L30" s="49">
        <v>-21.78</v>
      </c>
      <c r="M30" s="49">
        <v>-22.03</v>
      </c>
      <c r="N30" s="49">
        <v>-22.25</v>
      </c>
      <c r="O30" s="49">
        <v>-23.02</v>
      </c>
      <c r="P30" s="49">
        <v>-23.29</v>
      </c>
      <c r="Q30" s="49">
        <v>-23.57</v>
      </c>
      <c r="R30" s="49">
        <v>-23.86</v>
      </c>
      <c r="S30" s="49">
        <v>-24.15</v>
      </c>
      <c r="T30" s="49">
        <v>-24.44</v>
      </c>
      <c r="U30" s="49">
        <v>-24.72</v>
      </c>
      <c r="V30" s="49">
        <v>-24.99</v>
      </c>
      <c r="W30" s="49">
        <v>-25.22</v>
      </c>
      <c r="X30" s="49">
        <v>-26.06</v>
      </c>
      <c r="Y30" s="49">
        <v>-26.32</v>
      </c>
      <c r="Z30" s="49">
        <v>-26.58</v>
      </c>
      <c r="AA30" s="49">
        <v>-26.85</v>
      </c>
      <c r="AB30" s="49">
        <v>-26.99</v>
      </c>
      <c r="AC30" s="49">
        <v>-27.82</v>
      </c>
      <c r="AD30" s="49">
        <v>-28.29</v>
      </c>
      <c r="AE30" s="49">
        <v>-28.53</v>
      </c>
      <c r="AF30" s="49">
        <v>-28.53</v>
      </c>
      <c r="AG30" s="49">
        <v>-28.76</v>
      </c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>
        <f>MATCH(C34,$E$4:$E$33)</f>
        <v>24</v>
      </c>
      <c r="E34" s="11" t="str">
        <f ca="1">OFFSET($E$3:$AL$3,$D34,0)</f>
        <v>H (Ar)</v>
      </c>
      <c r="F34" s="14">
        <f t="shared" ref="F34:AL37" ca="1" si="4">OFFSET($E$3:$AL$3,$D34,0)</f>
        <v>-18.98</v>
      </c>
      <c r="G34" s="14">
        <f t="shared" ca="1" si="4"/>
        <v>-18.96</v>
      </c>
      <c r="H34" s="14">
        <f t="shared" ca="1" si="4"/>
        <v>-18.96</v>
      </c>
      <c r="I34" s="14">
        <f t="shared" ca="1" si="4"/>
        <v>-18.96</v>
      </c>
      <c r="J34" s="14">
        <f t="shared" ca="1" si="4"/>
        <v>-18.97</v>
      </c>
      <c r="K34" s="14">
        <f t="shared" ca="1" si="4"/>
        <v>-18.989999999999998</v>
      </c>
      <c r="L34" s="14">
        <f t="shared" ca="1" si="4"/>
        <v>-19.02</v>
      </c>
      <c r="M34" s="14">
        <f t="shared" ca="1" si="4"/>
        <v>-19.05</v>
      </c>
      <c r="N34" s="14">
        <f t="shared" ca="1" si="4"/>
        <v>-19.079999999999998</v>
      </c>
      <c r="O34" s="14">
        <f t="shared" ca="1" si="4"/>
        <v>-19.2</v>
      </c>
      <c r="P34" s="14">
        <f t="shared" ca="1" si="4"/>
        <v>-19.23</v>
      </c>
      <c r="Q34" s="14">
        <f t="shared" ca="1" si="4"/>
        <v>-19.27</v>
      </c>
      <c r="R34" s="14">
        <f t="shared" ca="1" si="4"/>
        <v>-19.309999999999999</v>
      </c>
      <c r="S34" s="14">
        <f t="shared" ca="1" si="4"/>
        <v>-19.36</v>
      </c>
      <c r="T34" s="14">
        <f t="shared" ca="1" si="4"/>
        <v>-19.399999999999999</v>
      </c>
      <c r="U34" s="14">
        <f t="shared" ca="1" si="4"/>
        <v>-19.440000000000001</v>
      </c>
      <c r="V34" s="14">
        <f t="shared" ca="1" si="4"/>
        <v>-19.47</v>
      </c>
      <c r="W34" s="14">
        <f t="shared" ca="1" si="4"/>
        <v>-19.48</v>
      </c>
      <c r="X34" s="14">
        <f t="shared" ca="1" si="4"/>
        <v>-19.43</v>
      </c>
      <c r="Y34" s="14">
        <f t="shared" ca="1" si="4"/>
        <v>-19.47</v>
      </c>
      <c r="Z34" s="14">
        <f t="shared" ca="1" si="4"/>
        <v>-19.510000000000002</v>
      </c>
      <c r="AA34" s="14">
        <f t="shared" ca="1" si="4"/>
        <v>-19.55</v>
      </c>
      <c r="AB34" s="14">
        <f t="shared" ca="1" si="4"/>
        <v>-19.59</v>
      </c>
      <c r="AC34" s="14">
        <f t="shared" ca="1" si="4"/>
        <v>-19.739999999999998</v>
      </c>
      <c r="AD34" s="14">
        <f t="shared" ca="1" si="4"/>
        <v>-19.809999999999999</v>
      </c>
      <c r="AE34" s="14">
        <f t="shared" ca="1" si="4"/>
        <v>-19.850000000000001</v>
      </c>
      <c r="AF34" s="14">
        <f t="shared" ca="1" si="4"/>
        <v>-19.850000000000001</v>
      </c>
      <c r="AG34" s="14">
        <f t="shared" ca="1" si="4"/>
        <v>-19.88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>
        <f t="shared" ref="D35:D37" si="5">MATCH(C35,$E$4:$E$33)</f>
        <v>25</v>
      </c>
      <c r="E35" s="11" t="str">
        <f t="shared" ref="E35:E37" ca="1" si="6">OFFSET($E$3:$AL$3,$D35,0)</f>
        <v>H (Ga)</v>
      </c>
      <c r="F35" s="14">
        <f t="shared" ca="1" si="4"/>
        <v>-66.099999999999994</v>
      </c>
      <c r="G35" s="14">
        <f t="shared" ca="1" si="4"/>
        <v>-61.67</v>
      </c>
      <c r="H35" s="14">
        <f t="shared" ca="1" si="4"/>
        <v>-57.42</v>
      </c>
      <c r="I35" s="14">
        <f t="shared" ca="1" si="4"/>
        <v>-53.18</v>
      </c>
      <c r="J35" s="14">
        <f t="shared" ca="1" si="4"/>
        <v>-49.01</v>
      </c>
      <c r="K35" s="14">
        <f t="shared" ca="1" si="4"/>
        <v>-45.05</v>
      </c>
      <c r="L35" s="14">
        <f t="shared" ca="1" si="4"/>
        <v>-41.4</v>
      </c>
      <c r="M35" s="14">
        <f t="shared" ca="1" si="4"/>
        <v>-38.08</v>
      </c>
      <c r="N35" s="14">
        <f t="shared" ca="1" si="4"/>
        <v>-35.11</v>
      </c>
      <c r="O35" s="14">
        <f t="shared" ca="1" si="4"/>
        <v>-25.6</v>
      </c>
      <c r="P35" s="14">
        <f t="shared" ca="1" si="4"/>
        <v>-23.53</v>
      </c>
      <c r="Q35" s="14">
        <f t="shared" ca="1" si="4"/>
        <v>-21.56</v>
      </c>
      <c r="R35" s="14">
        <f t="shared" ca="1" si="4"/>
        <v>-19.7</v>
      </c>
      <c r="S35" s="14">
        <f t="shared" ca="1" si="4"/>
        <v>-17.95</v>
      </c>
      <c r="T35" s="14">
        <f t="shared" ca="1" si="4"/>
        <v>-16.29</v>
      </c>
      <c r="U35" s="14">
        <f t="shared" ca="1" si="4"/>
        <v>-14.73</v>
      </c>
      <c r="V35" s="14">
        <f t="shared" ca="1" si="4"/>
        <v>-13.28</v>
      </c>
      <c r="W35" s="14">
        <f t="shared" ca="1" si="4"/>
        <v>-12.01</v>
      </c>
      <c r="X35" s="14">
        <f t="shared" ca="1" si="4"/>
        <v>-9.1259999999999994</v>
      </c>
      <c r="Y35" s="14">
        <f t="shared" ca="1" si="4"/>
        <v>-8.6280000000000001</v>
      </c>
      <c r="Z35" s="14">
        <f t="shared" ca="1" si="4"/>
        <v>-8.1609999999999996</v>
      </c>
      <c r="AA35" s="14">
        <f t="shared" ca="1" si="4"/>
        <v>-7.7220000000000004</v>
      </c>
      <c r="AB35" s="14">
        <f t="shared" ca="1" si="4"/>
        <v>-7.61</v>
      </c>
      <c r="AC35" s="14">
        <f t="shared" ca="1" si="4"/>
        <v>-7.883</v>
      </c>
      <c r="AD35" s="14">
        <f t="shared" ca="1" si="4"/>
        <v>-8.0139999999999993</v>
      </c>
      <c r="AE35" s="14">
        <f t="shared" ca="1" si="4"/>
        <v>-8.077</v>
      </c>
      <c r="AF35" s="14">
        <f t="shared" ca="1" si="4"/>
        <v>-8.077</v>
      </c>
      <c r="AG35" s="14">
        <f t="shared" ca="1" si="4"/>
        <v>-8.14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>
        <f t="shared" si="5"/>
        <v>26</v>
      </c>
      <c r="E36" s="11" t="str">
        <f t="shared" ca="1" si="6"/>
        <v>H (Ge)</v>
      </c>
      <c r="F36" s="14">
        <f t="shared" ca="1" si="4"/>
        <v>-17.28</v>
      </c>
      <c r="G36" s="14">
        <f t="shared" ca="1" si="4"/>
        <v>-16.32</v>
      </c>
      <c r="H36" s="14">
        <f t="shared" ca="1" si="4"/>
        <v>-15.18</v>
      </c>
      <c r="I36" s="14">
        <f t="shared" ca="1" si="4"/>
        <v>-13.82</v>
      </c>
      <c r="J36" s="14">
        <f t="shared" ca="1" si="4"/>
        <v>-12.36</v>
      </c>
      <c r="K36" s="14">
        <f t="shared" ca="1" si="4"/>
        <v>-10.95</v>
      </c>
      <c r="L36" s="14">
        <f t="shared" ca="1" si="4"/>
        <v>-9.6379999999999999</v>
      </c>
      <c r="M36" s="14">
        <f t="shared" ca="1" si="4"/>
        <v>-8.4860000000000007</v>
      </c>
      <c r="N36" s="14">
        <f t="shared" ca="1" si="4"/>
        <v>-7.5510000000000002</v>
      </c>
      <c r="O36" s="14">
        <f t="shared" ca="1" si="4"/>
        <v>-6.1029999999999998</v>
      </c>
      <c r="P36" s="14">
        <f t="shared" ca="1" si="4"/>
        <v>-6.0819999999999999</v>
      </c>
      <c r="Q36" s="14">
        <f t="shared" ca="1" si="4"/>
        <v>-6.0990000000000002</v>
      </c>
      <c r="R36" s="14">
        <f t="shared" ca="1" si="4"/>
        <v>-6.1340000000000003</v>
      </c>
      <c r="S36" s="14">
        <f t="shared" ca="1" si="4"/>
        <v>-6.1779999999999999</v>
      </c>
      <c r="T36" s="14">
        <f t="shared" ca="1" si="4"/>
        <v>-6.226</v>
      </c>
      <c r="U36" s="14">
        <f t="shared" ca="1" si="4"/>
        <v>-6.2809999999999997</v>
      </c>
      <c r="V36" s="14">
        <f t="shared" ca="1" si="4"/>
        <v>-6.36</v>
      </c>
      <c r="W36" s="14">
        <f t="shared" ca="1" si="4"/>
        <v>-6.5149999999999997</v>
      </c>
      <c r="X36" s="14">
        <f t="shared" ca="1" si="4"/>
        <v>-7.3369999999999997</v>
      </c>
      <c r="Y36" s="14">
        <f t="shared" ca="1" si="4"/>
        <v>-7.4089999999999998</v>
      </c>
      <c r="Z36" s="14">
        <f t="shared" ca="1" si="4"/>
        <v>-7.4740000000000002</v>
      </c>
      <c r="AA36" s="14">
        <f t="shared" ca="1" si="4"/>
        <v>-7.5410000000000004</v>
      </c>
      <c r="AB36" s="14">
        <f t="shared" ca="1" si="4"/>
        <v>-7.6</v>
      </c>
      <c r="AC36" s="14">
        <f t="shared" ca="1" si="4"/>
        <v>-7.7830000000000004</v>
      </c>
      <c r="AD36" s="14">
        <f t="shared" ca="1" si="4"/>
        <v>-7.8780000000000001</v>
      </c>
      <c r="AE36" s="14">
        <f t="shared" ca="1" si="4"/>
        <v>-7.9269999999999996</v>
      </c>
      <c r="AF36" s="14">
        <f t="shared" ca="1" si="4"/>
        <v>-7.9269999999999996</v>
      </c>
      <c r="AG36" s="14">
        <f t="shared" ca="1" si="4"/>
        <v>-7.976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5"/>
        <v>27</v>
      </c>
      <c r="E37" s="11" t="str">
        <f t="shared" ca="1" si="6"/>
        <v>H (Se)</v>
      </c>
      <c r="F37" s="14">
        <f t="shared" ca="1" si="4"/>
        <v>-23.57</v>
      </c>
      <c r="G37" s="14">
        <f t="shared" ca="1" si="4"/>
        <v>-22.38</v>
      </c>
      <c r="H37" s="14">
        <f t="shared" ca="1" si="4"/>
        <v>-21.62</v>
      </c>
      <c r="I37" s="14">
        <f t="shared" ca="1" si="4"/>
        <v>-21.32</v>
      </c>
      <c r="J37" s="14">
        <f t="shared" ca="1" si="4"/>
        <v>-21.34</v>
      </c>
      <c r="K37" s="14">
        <f t="shared" ca="1" si="4"/>
        <v>-21.53</v>
      </c>
      <c r="L37" s="14">
        <f t="shared" ca="1" si="4"/>
        <v>-21.78</v>
      </c>
      <c r="M37" s="14">
        <f t="shared" ca="1" si="4"/>
        <v>-22.03</v>
      </c>
      <c r="N37" s="14">
        <f t="shared" ca="1" si="4"/>
        <v>-22.25</v>
      </c>
      <c r="O37" s="14">
        <f t="shared" ca="1" si="4"/>
        <v>-23.02</v>
      </c>
      <c r="P37" s="14">
        <f t="shared" ca="1" si="4"/>
        <v>-23.29</v>
      </c>
      <c r="Q37" s="14">
        <f t="shared" ca="1" si="4"/>
        <v>-23.57</v>
      </c>
      <c r="R37" s="14">
        <f t="shared" ca="1" si="4"/>
        <v>-23.86</v>
      </c>
      <c r="S37" s="14">
        <f t="shared" ca="1" si="4"/>
        <v>-24.15</v>
      </c>
      <c r="T37" s="14">
        <f t="shared" ca="1" si="4"/>
        <v>-24.44</v>
      </c>
      <c r="U37" s="14">
        <f t="shared" ca="1" si="4"/>
        <v>-24.72</v>
      </c>
      <c r="V37" s="14">
        <f t="shared" ca="1" si="4"/>
        <v>-24.99</v>
      </c>
      <c r="W37" s="14">
        <f t="shared" ca="1" si="4"/>
        <v>-25.22</v>
      </c>
      <c r="X37" s="14">
        <f t="shared" ca="1" si="4"/>
        <v>-26.06</v>
      </c>
      <c r="Y37" s="14">
        <f t="shared" ca="1" si="4"/>
        <v>-26.32</v>
      </c>
      <c r="Z37" s="14">
        <f t="shared" ca="1" si="4"/>
        <v>-26.58</v>
      </c>
      <c r="AA37" s="14">
        <f t="shared" ca="1" si="4"/>
        <v>-26.85</v>
      </c>
      <c r="AB37" s="14">
        <f t="shared" ca="1" si="4"/>
        <v>-26.99</v>
      </c>
      <c r="AC37" s="14">
        <f t="shared" ca="1" si="4"/>
        <v>-27.82</v>
      </c>
      <c r="AD37" s="14">
        <f t="shared" ca="1" si="4"/>
        <v>-28.29</v>
      </c>
      <c r="AE37" s="14">
        <f t="shared" ca="1" si="4"/>
        <v>-28.53</v>
      </c>
      <c r="AF37" s="14">
        <f t="shared" ca="1" si="4"/>
        <v>-28.53</v>
      </c>
      <c r="AG37" s="14">
        <f t="shared" ca="1" si="4"/>
        <v>-28.76</v>
      </c>
      <c r="AH37" s="14">
        <f t="shared" ref="AH37:AL37" ca="1" si="7">OFFSET($E$3:$AL$3,$D37,0)</f>
        <v>0</v>
      </c>
      <c r="AI37" s="14">
        <f t="shared" ca="1" si="7"/>
        <v>0</v>
      </c>
      <c r="AJ37" s="14">
        <f t="shared" ca="1" si="7"/>
        <v>0</v>
      </c>
      <c r="AK37" s="14">
        <f t="shared" ca="1" si="7"/>
        <v>0</v>
      </c>
      <c r="AL37" s="14">
        <f t="shared" ca="1" si="7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20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8">G3</f>
        <v>293.3</v>
      </c>
      <c r="H40" s="8">
        <f t="shared" si="8"/>
        <v>313.5</v>
      </c>
      <c r="I40" s="8">
        <f t="shared" si="8"/>
        <v>333.7</v>
      </c>
      <c r="J40" s="8">
        <f t="shared" si="8"/>
        <v>353.9</v>
      </c>
      <c r="K40" s="8">
        <f t="shared" si="8"/>
        <v>374.1</v>
      </c>
      <c r="L40" s="8">
        <f t="shared" si="8"/>
        <v>394.3</v>
      </c>
      <c r="M40" s="8">
        <f t="shared" si="8"/>
        <v>414.5</v>
      </c>
      <c r="N40" s="8">
        <f t="shared" si="8"/>
        <v>434.7</v>
      </c>
      <c r="O40" s="8">
        <f t="shared" si="8"/>
        <v>515.4</v>
      </c>
      <c r="P40" s="8">
        <f t="shared" si="8"/>
        <v>535.6</v>
      </c>
      <c r="Q40" s="8">
        <f t="shared" si="8"/>
        <v>555.79999999999995</v>
      </c>
      <c r="R40" s="8">
        <f t="shared" si="8"/>
        <v>576</v>
      </c>
      <c r="S40" s="8">
        <f t="shared" si="8"/>
        <v>596.20000000000005</v>
      </c>
      <c r="T40" s="8">
        <f t="shared" si="8"/>
        <v>616.4</v>
      </c>
      <c r="U40" s="8">
        <f t="shared" si="8"/>
        <v>636.6</v>
      </c>
      <c r="V40" s="8">
        <f t="shared" si="8"/>
        <v>656.8</v>
      </c>
      <c r="W40" s="8">
        <f t="shared" si="8"/>
        <v>677</v>
      </c>
      <c r="X40" s="8">
        <f t="shared" si="8"/>
        <v>757.7</v>
      </c>
      <c r="Y40" s="8">
        <f t="shared" si="8"/>
        <v>777.9</v>
      </c>
      <c r="Z40" s="8">
        <f t="shared" si="8"/>
        <v>798.1</v>
      </c>
      <c r="AA40" s="8">
        <f t="shared" si="8"/>
        <v>818.3</v>
      </c>
      <c r="AB40" s="8">
        <f t="shared" si="8"/>
        <v>838.5</v>
      </c>
      <c r="AC40" s="8">
        <f t="shared" si="8"/>
        <v>919.2</v>
      </c>
      <c r="AD40" s="8">
        <f t="shared" si="8"/>
        <v>939.4</v>
      </c>
      <c r="AE40" s="8">
        <f t="shared" si="8"/>
        <v>959.6</v>
      </c>
      <c r="AF40" s="8">
        <f t="shared" si="8"/>
        <v>979.8</v>
      </c>
      <c r="AG40" s="8">
        <f t="shared" si="8"/>
        <v>1000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</row>
    <row r="41" spans="1:54" ht="2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AL41" ca="1" si="9">($B$41*H.Ge+$C$41*H.Ga+$D$41*H.Se)*F$40*$B$2/1000</f>
        <v>-503.47251364700008</v>
      </c>
      <c r="G41" s="10">
        <f t="shared" ca="1" si="9"/>
        <v>-508.7578001765001</v>
      </c>
      <c r="H41" s="10">
        <f t="shared" ca="1" si="9"/>
        <v>-514.43773722000014</v>
      </c>
      <c r="I41" s="10">
        <f t="shared" ca="1" si="9"/>
        <v>-520.87526656000011</v>
      </c>
      <c r="J41" s="10">
        <f t="shared" ca="1" si="9"/>
        <v>-527.89458640850012</v>
      </c>
      <c r="K41" s="10">
        <f t="shared" ca="1" si="9"/>
        <v>-535.47510174900015</v>
      </c>
      <c r="L41" s="10">
        <f t="shared" ca="1" si="9"/>
        <v>-543.42224552130017</v>
      </c>
      <c r="M41" s="10">
        <f t="shared" ca="1" si="9"/>
        <v>-551.66807551150009</v>
      </c>
      <c r="N41" s="10">
        <f t="shared" ca="1" si="9"/>
        <v>-560.46310677315</v>
      </c>
      <c r="O41" s="10">
        <f t="shared" ca="1" si="9"/>
        <v>-603.58213287390004</v>
      </c>
      <c r="P41" s="10">
        <f t="shared" ca="1" si="9"/>
        <v>-616.59053119040004</v>
      </c>
      <c r="Q41" s="10">
        <f t="shared" ca="1" si="9"/>
        <v>-629.92643211890004</v>
      </c>
      <c r="R41" s="10">
        <f t="shared" ca="1" si="9"/>
        <v>-643.69714924799996</v>
      </c>
      <c r="S41" s="10">
        <f t="shared" ca="1" si="9"/>
        <v>-657.78138233720006</v>
      </c>
      <c r="T41" s="10">
        <f t="shared" ca="1" si="9"/>
        <v>-672.07957966080005</v>
      </c>
      <c r="U41" s="10">
        <f t="shared" ca="1" si="9"/>
        <v>-686.56171090769999</v>
      </c>
      <c r="V41" s="10">
        <f t="shared" ca="1" si="9"/>
        <v>-701.47897763200001</v>
      </c>
      <c r="W41" s="10">
        <f t="shared" ca="1" si="9"/>
        <v>-717.18963279250011</v>
      </c>
      <c r="X41" s="10">
        <f t="shared" ca="1" si="9"/>
        <v>-798.7449965635501</v>
      </c>
      <c r="Y41" s="10">
        <f t="shared" ca="1" si="9"/>
        <v>-821.86317446894998</v>
      </c>
      <c r="Z41" s="10">
        <f t="shared" ca="1" si="9"/>
        <v>-845.37247698605006</v>
      </c>
      <c r="AA41" s="10">
        <f t="shared" ca="1" si="9"/>
        <v>-869.59477503885</v>
      </c>
      <c r="AB41" s="10">
        <f t="shared" ca="1" si="9"/>
        <v>-894.07510500750016</v>
      </c>
      <c r="AC41" s="10">
        <f t="shared" ca="1" si="9"/>
        <v>-1010.3735967312001</v>
      </c>
      <c r="AD41" s="10">
        <f t="shared" ca="1" si="9"/>
        <v>-1049.7085339664</v>
      </c>
      <c r="AE41" s="10">
        <f t="shared" ca="1" si="9"/>
        <v>-1081.1686619164</v>
      </c>
      <c r="AF41" s="10">
        <f t="shared" ca="1" si="9"/>
        <v>-1103.9277354582</v>
      </c>
      <c r="AG41" s="10">
        <f t="shared" ca="1" si="9"/>
        <v>-1135.6165820000001</v>
      </c>
      <c r="AH41" s="10">
        <f t="shared" ca="1" si="9"/>
        <v>0</v>
      </c>
      <c r="AI41" s="10">
        <f t="shared" ca="1" si="9"/>
        <v>0</v>
      </c>
      <c r="AJ41" s="10">
        <f t="shared" ca="1" si="9"/>
        <v>0</v>
      </c>
      <c r="AK41" s="10">
        <f t="shared" ca="1" si="9"/>
        <v>0</v>
      </c>
      <c r="AL41" s="10">
        <f t="shared" ca="1" si="9"/>
        <v>0</v>
      </c>
    </row>
    <row r="42" spans="1:54" ht="176.25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x14ac:dyDescent="0.4">
      <c r="A44" s="75"/>
      <c r="B44" s="75"/>
      <c r="C44" s="75"/>
      <c r="D44" s="75"/>
      <c r="E44" s="74" t="s">
        <v>21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0">E3</f>
        <v>Temperature,К</v>
      </c>
      <c r="F45" s="3">
        <f t="shared" si="10"/>
        <v>273.10000000000002</v>
      </c>
      <c r="G45" s="3">
        <f t="shared" si="10"/>
        <v>293.3</v>
      </c>
      <c r="H45" s="3">
        <f t="shared" si="10"/>
        <v>313.5</v>
      </c>
      <c r="I45" s="3">
        <f t="shared" si="10"/>
        <v>333.7</v>
      </c>
      <c r="J45" s="3">
        <f t="shared" si="10"/>
        <v>353.9</v>
      </c>
      <c r="K45" s="3">
        <f t="shared" si="10"/>
        <v>374.1</v>
      </c>
      <c r="L45" s="3">
        <f t="shared" si="10"/>
        <v>394.3</v>
      </c>
      <c r="M45" s="3">
        <f t="shared" si="10"/>
        <v>414.5</v>
      </c>
      <c r="N45" s="3">
        <f t="shared" si="10"/>
        <v>434.7</v>
      </c>
      <c r="O45" s="3">
        <f t="shared" si="10"/>
        <v>515.4</v>
      </c>
      <c r="P45" s="3">
        <f t="shared" si="10"/>
        <v>535.6</v>
      </c>
      <c r="Q45" s="3">
        <f t="shared" si="10"/>
        <v>555.79999999999995</v>
      </c>
      <c r="R45" s="3">
        <f t="shared" si="10"/>
        <v>576</v>
      </c>
      <c r="S45" s="3">
        <f t="shared" si="10"/>
        <v>596.20000000000005</v>
      </c>
      <c r="T45" s="3">
        <f t="shared" si="10"/>
        <v>616.4</v>
      </c>
      <c r="U45" s="3">
        <f t="shared" si="10"/>
        <v>636.6</v>
      </c>
      <c r="V45" s="3">
        <f t="shared" si="10"/>
        <v>656.8</v>
      </c>
      <c r="W45" s="3">
        <f t="shared" si="10"/>
        <v>677</v>
      </c>
      <c r="X45" s="3">
        <f t="shared" si="10"/>
        <v>757.7</v>
      </c>
      <c r="Y45" s="3">
        <f t="shared" si="10"/>
        <v>777.9</v>
      </c>
      <c r="Z45" s="3">
        <f t="shared" si="10"/>
        <v>798.1</v>
      </c>
      <c r="AA45" s="3">
        <f t="shared" si="10"/>
        <v>818.3</v>
      </c>
      <c r="AB45" s="3">
        <f t="shared" si="10"/>
        <v>838.5</v>
      </c>
      <c r="AC45" s="3">
        <f t="shared" si="10"/>
        <v>919.2</v>
      </c>
      <c r="AD45" s="3">
        <f t="shared" si="10"/>
        <v>939.4</v>
      </c>
      <c r="AE45" s="3">
        <f t="shared" si="10"/>
        <v>959.6</v>
      </c>
      <c r="AF45" s="3">
        <f t="shared" si="10"/>
        <v>979.8</v>
      </c>
      <c r="AG45" s="3">
        <f t="shared" si="10"/>
        <v>1000</v>
      </c>
      <c r="AH45" s="3">
        <f t="shared" si="10"/>
        <v>0</v>
      </c>
      <c r="AI45" s="3">
        <f t="shared" si="10"/>
        <v>0</v>
      </c>
      <c r="AJ45" s="3">
        <f t="shared" si="10"/>
        <v>0</v>
      </c>
      <c r="AK45" s="3">
        <f t="shared" si="10"/>
        <v>0</v>
      </c>
      <c r="AL45" s="3">
        <f t="shared" si="10"/>
        <v>0</v>
      </c>
    </row>
    <row r="46" spans="1:54" ht="21" hidden="1" customHeight="1" outlineLevel="1" thickTop="1" thickBot="1" x14ac:dyDescent="0.4">
      <c r="A46" s="5">
        <f t="shared" ref="A46:E55" si="11">A4</f>
        <v>0</v>
      </c>
      <c r="B46" s="5">
        <f t="shared" si="11"/>
        <v>0</v>
      </c>
      <c r="C46" s="5">
        <f t="shared" si="11"/>
        <v>1</v>
      </c>
      <c r="D46" s="5">
        <f t="shared" si="11"/>
        <v>0</v>
      </c>
      <c r="E46" s="6" t="str">
        <f t="shared" si="11"/>
        <v>*Ge</v>
      </c>
      <c r="F46" s="14">
        <f ca="1">$A46*H.Ar + $B46*H.Se + $C46*H.Ge + $D46*H.Ga</f>
        <v>-17.28</v>
      </c>
      <c r="G46" s="14">
        <f t="shared" ref="F46:U55" ca="1" si="12">$A46*H.Ar + $B46*H.Se + $C46*H.Ge + $D46*H.Ga</f>
        <v>-16.32</v>
      </c>
      <c r="H46" s="14">
        <f t="shared" ca="1" si="12"/>
        <v>-15.18</v>
      </c>
      <c r="I46" s="14">
        <f t="shared" ca="1" si="12"/>
        <v>-13.82</v>
      </c>
      <c r="J46" s="14">
        <f t="shared" ca="1" si="12"/>
        <v>-12.36</v>
      </c>
      <c r="K46" s="14">
        <f t="shared" ca="1" si="12"/>
        <v>-10.95</v>
      </c>
      <c r="L46" s="14">
        <f t="shared" ca="1" si="12"/>
        <v>-9.6379999999999999</v>
      </c>
      <c r="M46" s="14">
        <f t="shared" ca="1" si="12"/>
        <v>-8.4860000000000007</v>
      </c>
      <c r="N46" s="14">
        <f t="shared" ca="1" si="12"/>
        <v>-7.5510000000000002</v>
      </c>
      <c r="O46" s="14">
        <f t="shared" ca="1" si="12"/>
        <v>-6.1029999999999998</v>
      </c>
      <c r="P46" s="14">
        <f t="shared" ca="1" si="12"/>
        <v>-6.0819999999999999</v>
      </c>
      <c r="Q46" s="14">
        <f t="shared" ca="1" si="12"/>
        <v>-6.0990000000000002</v>
      </c>
      <c r="R46" s="14">
        <f t="shared" ca="1" si="12"/>
        <v>-6.1340000000000003</v>
      </c>
      <c r="S46" s="14">
        <f t="shared" ca="1" si="12"/>
        <v>-6.1779999999999999</v>
      </c>
      <c r="T46" s="14">
        <f t="shared" ca="1" si="12"/>
        <v>-6.226</v>
      </c>
      <c r="U46" s="14">
        <f t="shared" ca="1" si="12"/>
        <v>-6.2809999999999997</v>
      </c>
      <c r="V46" s="14">
        <f t="shared" ref="G46:AL54" ca="1" si="13">$A46*H.Ar + $B46*H.Se + $C46*H.Ge + $D46*H.Ga</f>
        <v>-6.36</v>
      </c>
      <c r="W46" s="14">
        <f t="shared" ca="1" si="13"/>
        <v>-6.5149999999999997</v>
      </c>
      <c r="X46" s="14">
        <f t="shared" ca="1" si="13"/>
        <v>-7.3369999999999997</v>
      </c>
      <c r="Y46" s="14">
        <f t="shared" ca="1" si="13"/>
        <v>-7.4089999999999998</v>
      </c>
      <c r="Z46" s="14">
        <f t="shared" ca="1" si="13"/>
        <v>-7.4740000000000002</v>
      </c>
      <c r="AA46" s="14">
        <f t="shared" ca="1" si="13"/>
        <v>-7.5410000000000004</v>
      </c>
      <c r="AB46" s="14">
        <f t="shared" ca="1" si="13"/>
        <v>-7.6</v>
      </c>
      <c r="AC46" s="14">
        <f t="shared" ca="1" si="13"/>
        <v>-7.7830000000000004</v>
      </c>
      <c r="AD46" s="14">
        <f t="shared" ca="1" si="13"/>
        <v>-7.8780000000000001</v>
      </c>
      <c r="AE46" s="14">
        <f t="shared" ca="1" si="13"/>
        <v>-7.9269999999999996</v>
      </c>
      <c r="AF46" s="14">
        <f t="shared" ca="1" si="13"/>
        <v>-7.9269999999999996</v>
      </c>
      <c r="AG46" s="14">
        <f t="shared" ca="1" si="13"/>
        <v>-7.976</v>
      </c>
      <c r="AH46" s="14">
        <f t="shared" ca="1" si="13"/>
        <v>0</v>
      </c>
      <c r="AI46" s="14">
        <f t="shared" ca="1" si="13"/>
        <v>0</v>
      </c>
      <c r="AJ46" s="14">
        <f t="shared" ca="1" si="13"/>
        <v>0</v>
      </c>
      <c r="AK46" s="14">
        <f t="shared" ca="1" si="13"/>
        <v>0</v>
      </c>
      <c r="AL46" s="14">
        <f t="shared" ca="1" si="13"/>
        <v>0</v>
      </c>
    </row>
    <row r="47" spans="1:54" ht="21" hidden="1" customHeight="1" outlineLevel="1" thickBot="1" x14ac:dyDescent="0.4">
      <c r="A47" s="5">
        <f t="shared" si="11"/>
        <v>0</v>
      </c>
      <c r="B47" s="5">
        <f t="shared" si="11"/>
        <v>1</v>
      </c>
      <c r="C47" s="5">
        <f t="shared" si="11"/>
        <v>1</v>
      </c>
      <c r="D47" s="5">
        <f t="shared" si="11"/>
        <v>0</v>
      </c>
      <c r="E47" s="6" t="str">
        <f t="shared" si="11"/>
        <v>*GeSe</v>
      </c>
      <c r="F47" s="14">
        <f t="shared" ca="1" si="12"/>
        <v>-40.85</v>
      </c>
      <c r="G47" s="14">
        <f t="shared" ca="1" si="13"/>
        <v>-38.700000000000003</v>
      </c>
      <c r="H47" s="14">
        <f t="shared" ca="1" si="13"/>
        <v>-36.799999999999997</v>
      </c>
      <c r="I47" s="14">
        <f t="shared" ca="1" si="13"/>
        <v>-35.14</v>
      </c>
      <c r="J47" s="14">
        <f t="shared" ca="1" si="13"/>
        <v>-33.700000000000003</v>
      </c>
      <c r="K47" s="14">
        <f t="shared" ca="1" si="13"/>
        <v>-32.480000000000004</v>
      </c>
      <c r="L47" s="14">
        <f t="shared" ca="1" si="13"/>
        <v>-31.417999999999999</v>
      </c>
      <c r="M47" s="14">
        <f t="shared" ca="1" si="13"/>
        <v>-30.516000000000002</v>
      </c>
      <c r="N47" s="14">
        <f t="shared" ca="1" si="13"/>
        <v>-29.801000000000002</v>
      </c>
      <c r="O47" s="14">
        <f t="shared" ca="1" si="13"/>
        <v>-29.122999999999998</v>
      </c>
      <c r="P47" s="14">
        <f t="shared" ca="1" si="13"/>
        <v>-29.372</v>
      </c>
      <c r="Q47" s="14">
        <f t="shared" ca="1" si="13"/>
        <v>-29.669</v>
      </c>
      <c r="R47" s="14">
        <f t="shared" ca="1" si="13"/>
        <v>-29.994</v>
      </c>
      <c r="S47" s="14">
        <f t="shared" ca="1" si="13"/>
        <v>-30.327999999999999</v>
      </c>
      <c r="T47" s="14">
        <f t="shared" ca="1" si="13"/>
        <v>-30.666</v>
      </c>
      <c r="U47" s="14">
        <f t="shared" ca="1" si="13"/>
        <v>-31.000999999999998</v>
      </c>
      <c r="V47" s="14">
        <f t="shared" ca="1" si="13"/>
        <v>-31.349999999999998</v>
      </c>
      <c r="W47" s="14">
        <f t="shared" ca="1" si="13"/>
        <v>-31.734999999999999</v>
      </c>
      <c r="X47" s="14">
        <f t="shared" ca="1" si="13"/>
        <v>-33.396999999999998</v>
      </c>
      <c r="Y47" s="14">
        <f t="shared" ca="1" si="13"/>
        <v>-33.728999999999999</v>
      </c>
      <c r="Z47" s="14">
        <f t="shared" ca="1" si="13"/>
        <v>-34.054000000000002</v>
      </c>
      <c r="AA47" s="14">
        <f t="shared" ca="1" si="13"/>
        <v>-34.391000000000005</v>
      </c>
      <c r="AB47" s="14">
        <f t="shared" ca="1" si="13"/>
        <v>-34.589999999999996</v>
      </c>
      <c r="AC47" s="14">
        <f t="shared" ca="1" si="13"/>
        <v>-35.603000000000002</v>
      </c>
      <c r="AD47" s="14">
        <f t="shared" ca="1" si="13"/>
        <v>-36.167999999999999</v>
      </c>
      <c r="AE47" s="14">
        <f t="shared" ca="1" si="13"/>
        <v>-36.457000000000001</v>
      </c>
      <c r="AF47" s="14">
        <f t="shared" ca="1" si="13"/>
        <v>-36.457000000000001</v>
      </c>
      <c r="AG47" s="14">
        <f t="shared" ca="1" si="13"/>
        <v>-36.736000000000004</v>
      </c>
      <c r="AH47" s="14">
        <f t="shared" ca="1" si="13"/>
        <v>0</v>
      </c>
      <c r="AI47" s="14">
        <f t="shared" ca="1" si="13"/>
        <v>0</v>
      </c>
      <c r="AJ47" s="14">
        <f t="shared" ca="1" si="13"/>
        <v>0</v>
      </c>
      <c r="AK47" s="14">
        <f t="shared" ca="1" si="13"/>
        <v>0</v>
      </c>
      <c r="AL47" s="14">
        <f t="shared" ca="1" si="13"/>
        <v>0</v>
      </c>
    </row>
    <row r="48" spans="1:54" ht="21" hidden="1" customHeight="1" outlineLevel="1" thickBot="1" x14ac:dyDescent="0.4">
      <c r="A48" s="5">
        <f t="shared" si="11"/>
        <v>0</v>
      </c>
      <c r="B48" s="5">
        <f t="shared" si="11"/>
        <v>0</v>
      </c>
      <c r="C48" s="5">
        <f t="shared" si="11"/>
        <v>0</v>
      </c>
      <c r="D48" s="5">
        <f t="shared" si="11"/>
        <v>1</v>
      </c>
      <c r="E48" s="6" t="str">
        <f t="shared" si="11"/>
        <v>*Ga[l]</v>
      </c>
      <c r="F48" s="14">
        <f t="shared" ca="1" si="12"/>
        <v>-66.099999999999994</v>
      </c>
      <c r="G48" s="14">
        <f t="shared" ca="1" si="13"/>
        <v>-61.67</v>
      </c>
      <c r="H48" s="14">
        <f t="shared" ca="1" si="13"/>
        <v>-57.42</v>
      </c>
      <c r="I48" s="14">
        <f t="shared" ca="1" si="13"/>
        <v>-53.18</v>
      </c>
      <c r="J48" s="14">
        <f t="shared" ca="1" si="13"/>
        <v>-49.01</v>
      </c>
      <c r="K48" s="14">
        <f t="shared" ca="1" si="13"/>
        <v>-45.05</v>
      </c>
      <c r="L48" s="14">
        <f t="shared" ca="1" si="13"/>
        <v>-41.4</v>
      </c>
      <c r="M48" s="14">
        <f t="shared" ca="1" si="13"/>
        <v>-38.08</v>
      </c>
      <c r="N48" s="14">
        <f t="shared" ca="1" si="13"/>
        <v>-35.11</v>
      </c>
      <c r="O48" s="14">
        <f t="shared" ca="1" si="13"/>
        <v>-25.6</v>
      </c>
      <c r="P48" s="14">
        <f t="shared" ca="1" si="13"/>
        <v>-23.53</v>
      </c>
      <c r="Q48" s="14">
        <f t="shared" ca="1" si="13"/>
        <v>-21.56</v>
      </c>
      <c r="R48" s="14">
        <f t="shared" ca="1" si="13"/>
        <v>-19.7</v>
      </c>
      <c r="S48" s="14">
        <f t="shared" ca="1" si="13"/>
        <v>-17.95</v>
      </c>
      <c r="T48" s="14">
        <f t="shared" ca="1" si="13"/>
        <v>-16.29</v>
      </c>
      <c r="U48" s="14">
        <f t="shared" ca="1" si="13"/>
        <v>-14.73</v>
      </c>
      <c r="V48" s="14">
        <f t="shared" ca="1" si="13"/>
        <v>-13.28</v>
      </c>
      <c r="W48" s="14">
        <f t="shared" ca="1" si="13"/>
        <v>-12.01</v>
      </c>
      <c r="X48" s="14">
        <f t="shared" ca="1" si="13"/>
        <v>-9.1259999999999994</v>
      </c>
      <c r="Y48" s="14">
        <f t="shared" ca="1" si="13"/>
        <v>-8.6280000000000001</v>
      </c>
      <c r="Z48" s="14">
        <f t="shared" ca="1" si="13"/>
        <v>-8.1609999999999996</v>
      </c>
      <c r="AA48" s="14">
        <f t="shared" ca="1" si="13"/>
        <v>-7.7220000000000004</v>
      </c>
      <c r="AB48" s="14">
        <f t="shared" ca="1" si="13"/>
        <v>-7.61</v>
      </c>
      <c r="AC48" s="14">
        <f t="shared" ca="1" si="13"/>
        <v>-7.883</v>
      </c>
      <c r="AD48" s="14">
        <f t="shared" ca="1" si="13"/>
        <v>-8.0139999999999993</v>
      </c>
      <c r="AE48" s="14">
        <f t="shared" ca="1" si="13"/>
        <v>-8.077</v>
      </c>
      <c r="AF48" s="14">
        <f t="shared" ca="1" si="13"/>
        <v>-8.077</v>
      </c>
      <c r="AG48" s="14">
        <f t="shared" ca="1" si="13"/>
        <v>-8.14</v>
      </c>
      <c r="AH48" s="14">
        <f t="shared" ca="1" si="13"/>
        <v>0</v>
      </c>
      <c r="AI48" s="14">
        <f t="shared" ca="1" si="13"/>
        <v>0</v>
      </c>
      <c r="AJ48" s="14">
        <f t="shared" ca="1" si="13"/>
        <v>0</v>
      </c>
      <c r="AK48" s="14">
        <f t="shared" ca="1" si="13"/>
        <v>0</v>
      </c>
      <c r="AL48" s="14">
        <f t="shared" ca="1" si="13"/>
        <v>0</v>
      </c>
    </row>
    <row r="49" spans="1:38" ht="21" hidden="1" customHeight="1" outlineLevel="1" thickBot="1" x14ac:dyDescent="0.4">
      <c r="A49" s="5">
        <f t="shared" si="11"/>
        <v>0</v>
      </c>
      <c r="B49" s="5">
        <f t="shared" si="11"/>
        <v>0</v>
      </c>
      <c r="C49" s="5">
        <f t="shared" si="11"/>
        <v>1</v>
      </c>
      <c r="D49" s="5">
        <f t="shared" si="11"/>
        <v>0</v>
      </c>
      <c r="E49" s="6" t="str">
        <f t="shared" si="11"/>
        <v>*Ge[c]</v>
      </c>
      <c r="F49" s="14">
        <f t="shared" ca="1" si="12"/>
        <v>-17.28</v>
      </c>
      <c r="G49" s="14">
        <f t="shared" ca="1" si="13"/>
        <v>-16.32</v>
      </c>
      <c r="H49" s="14">
        <f t="shared" ca="1" si="13"/>
        <v>-15.18</v>
      </c>
      <c r="I49" s="14">
        <f t="shared" ca="1" si="13"/>
        <v>-13.82</v>
      </c>
      <c r="J49" s="14">
        <f t="shared" ca="1" si="13"/>
        <v>-12.36</v>
      </c>
      <c r="K49" s="14">
        <f t="shared" ca="1" si="13"/>
        <v>-10.95</v>
      </c>
      <c r="L49" s="14">
        <f t="shared" ca="1" si="13"/>
        <v>-9.6379999999999999</v>
      </c>
      <c r="M49" s="14">
        <f t="shared" ca="1" si="13"/>
        <v>-8.4860000000000007</v>
      </c>
      <c r="N49" s="14">
        <f t="shared" ca="1" si="13"/>
        <v>-7.5510000000000002</v>
      </c>
      <c r="O49" s="14">
        <f t="shared" ca="1" si="13"/>
        <v>-6.1029999999999998</v>
      </c>
      <c r="P49" s="14">
        <f t="shared" ca="1" si="13"/>
        <v>-6.0819999999999999</v>
      </c>
      <c r="Q49" s="14">
        <f t="shared" ca="1" si="13"/>
        <v>-6.0990000000000002</v>
      </c>
      <c r="R49" s="14">
        <f t="shared" ca="1" si="13"/>
        <v>-6.1340000000000003</v>
      </c>
      <c r="S49" s="14">
        <f t="shared" ca="1" si="13"/>
        <v>-6.1779999999999999</v>
      </c>
      <c r="T49" s="14">
        <f t="shared" ca="1" si="13"/>
        <v>-6.226</v>
      </c>
      <c r="U49" s="14">
        <f t="shared" ca="1" si="13"/>
        <v>-6.2809999999999997</v>
      </c>
      <c r="V49" s="14">
        <f t="shared" ca="1" si="13"/>
        <v>-6.36</v>
      </c>
      <c r="W49" s="14">
        <f t="shared" ca="1" si="13"/>
        <v>-6.5149999999999997</v>
      </c>
      <c r="X49" s="14">
        <f t="shared" ca="1" si="13"/>
        <v>-7.3369999999999997</v>
      </c>
      <c r="Y49" s="14">
        <f t="shared" ca="1" si="13"/>
        <v>-7.4089999999999998</v>
      </c>
      <c r="Z49" s="14">
        <f t="shared" ca="1" si="13"/>
        <v>-7.4740000000000002</v>
      </c>
      <c r="AA49" s="14">
        <f t="shared" ca="1" si="13"/>
        <v>-7.5410000000000004</v>
      </c>
      <c r="AB49" s="14">
        <f t="shared" ca="1" si="13"/>
        <v>-7.6</v>
      </c>
      <c r="AC49" s="14">
        <f t="shared" ca="1" si="13"/>
        <v>-7.7830000000000004</v>
      </c>
      <c r="AD49" s="14">
        <f t="shared" ca="1" si="13"/>
        <v>-7.8780000000000001</v>
      </c>
      <c r="AE49" s="14">
        <f t="shared" ca="1" si="13"/>
        <v>-7.9269999999999996</v>
      </c>
      <c r="AF49" s="14">
        <f t="shared" ca="1" si="13"/>
        <v>-7.9269999999999996</v>
      </c>
      <c r="AG49" s="14">
        <f t="shared" ca="1" si="13"/>
        <v>-7.976</v>
      </c>
      <c r="AH49" s="14">
        <f t="shared" ca="1" si="13"/>
        <v>0</v>
      </c>
      <c r="AI49" s="14">
        <f t="shared" ca="1" si="13"/>
        <v>0</v>
      </c>
      <c r="AJ49" s="14">
        <f t="shared" ca="1" si="13"/>
        <v>0</v>
      </c>
      <c r="AK49" s="14">
        <f t="shared" ca="1" si="13"/>
        <v>0</v>
      </c>
      <c r="AL49" s="14">
        <f t="shared" ca="1" si="13"/>
        <v>0</v>
      </c>
    </row>
    <row r="50" spans="1:38" ht="21" hidden="1" customHeight="1" outlineLevel="1" thickBot="1" x14ac:dyDescent="0.4">
      <c r="A50" s="5">
        <f t="shared" si="11"/>
        <v>0</v>
      </c>
      <c r="B50" s="5">
        <f t="shared" si="11"/>
        <v>1</v>
      </c>
      <c r="C50" s="5">
        <f t="shared" si="11"/>
        <v>0</v>
      </c>
      <c r="D50" s="5">
        <f t="shared" si="11"/>
        <v>0</v>
      </c>
      <c r="E50" s="6" t="str">
        <f t="shared" si="11"/>
        <v>*Se[m]</v>
      </c>
      <c r="F50" s="14">
        <f t="shared" ca="1" si="12"/>
        <v>-23.57</v>
      </c>
      <c r="G50" s="14">
        <f t="shared" ca="1" si="13"/>
        <v>-22.38</v>
      </c>
      <c r="H50" s="14">
        <f t="shared" ca="1" si="13"/>
        <v>-21.62</v>
      </c>
      <c r="I50" s="14">
        <f t="shared" ca="1" si="13"/>
        <v>-21.32</v>
      </c>
      <c r="J50" s="14">
        <f t="shared" ca="1" si="13"/>
        <v>-21.34</v>
      </c>
      <c r="K50" s="14">
        <f t="shared" ca="1" si="13"/>
        <v>-21.53</v>
      </c>
      <c r="L50" s="14">
        <f t="shared" ca="1" si="13"/>
        <v>-21.78</v>
      </c>
      <c r="M50" s="14">
        <f t="shared" ca="1" si="13"/>
        <v>-22.03</v>
      </c>
      <c r="N50" s="14">
        <f t="shared" ca="1" si="13"/>
        <v>-22.25</v>
      </c>
      <c r="O50" s="14">
        <f t="shared" ca="1" si="13"/>
        <v>-23.02</v>
      </c>
      <c r="P50" s="14">
        <f t="shared" ca="1" si="13"/>
        <v>-23.29</v>
      </c>
      <c r="Q50" s="14">
        <f t="shared" ca="1" si="13"/>
        <v>-23.57</v>
      </c>
      <c r="R50" s="14">
        <f t="shared" ca="1" si="13"/>
        <v>-23.86</v>
      </c>
      <c r="S50" s="14">
        <f t="shared" ca="1" si="13"/>
        <v>-24.15</v>
      </c>
      <c r="T50" s="14">
        <f t="shared" ca="1" si="13"/>
        <v>-24.44</v>
      </c>
      <c r="U50" s="14">
        <f t="shared" ca="1" si="13"/>
        <v>-24.72</v>
      </c>
      <c r="V50" s="14">
        <f t="shared" ca="1" si="13"/>
        <v>-24.99</v>
      </c>
      <c r="W50" s="14">
        <f t="shared" ca="1" si="13"/>
        <v>-25.22</v>
      </c>
      <c r="X50" s="14">
        <f t="shared" ca="1" si="13"/>
        <v>-26.06</v>
      </c>
      <c r="Y50" s="14">
        <f t="shared" ca="1" si="13"/>
        <v>-26.32</v>
      </c>
      <c r="Z50" s="14">
        <f t="shared" ca="1" si="13"/>
        <v>-26.58</v>
      </c>
      <c r="AA50" s="14">
        <f t="shared" ca="1" si="13"/>
        <v>-26.85</v>
      </c>
      <c r="AB50" s="14">
        <f t="shared" ca="1" si="13"/>
        <v>-26.99</v>
      </c>
      <c r="AC50" s="14">
        <f t="shared" ca="1" si="13"/>
        <v>-27.82</v>
      </c>
      <c r="AD50" s="14">
        <f t="shared" ca="1" si="13"/>
        <v>-28.29</v>
      </c>
      <c r="AE50" s="14">
        <f t="shared" ca="1" si="13"/>
        <v>-28.53</v>
      </c>
      <c r="AF50" s="14">
        <f t="shared" ca="1" si="13"/>
        <v>-28.53</v>
      </c>
      <c r="AG50" s="14">
        <f t="shared" ca="1" si="13"/>
        <v>-28.76</v>
      </c>
      <c r="AH50" s="14">
        <f t="shared" ca="1" si="13"/>
        <v>0</v>
      </c>
      <c r="AI50" s="14">
        <f t="shared" ca="1" si="13"/>
        <v>0</v>
      </c>
      <c r="AJ50" s="14">
        <f t="shared" ca="1" si="13"/>
        <v>0</v>
      </c>
      <c r="AK50" s="14">
        <f t="shared" ca="1" si="13"/>
        <v>0</v>
      </c>
      <c r="AL50" s="14">
        <f t="shared" ca="1" si="13"/>
        <v>0</v>
      </c>
    </row>
    <row r="51" spans="1:38" ht="21" hidden="1" customHeight="1" outlineLevel="1" thickBot="1" x14ac:dyDescent="0.4">
      <c r="A51" s="5">
        <f t="shared" si="11"/>
        <v>0</v>
      </c>
      <c r="B51" s="5">
        <f t="shared" si="11"/>
        <v>3</v>
      </c>
      <c r="C51" s="5">
        <f t="shared" si="11"/>
        <v>0</v>
      </c>
      <c r="D51" s="5">
        <f t="shared" si="11"/>
        <v>2</v>
      </c>
      <c r="E51" s="6" t="str">
        <f t="shared" si="11"/>
        <v>Ga2Se3</v>
      </c>
      <c r="F51" s="14">
        <f t="shared" ca="1" si="12"/>
        <v>-202.91</v>
      </c>
      <c r="G51" s="14">
        <f t="shared" ca="1" si="13"/>
        <v>-190.48000000000002</v>
      </c>
      <c r="H51" s="14">
        <f t="shared" ca="1" si="13"/>
        <v>-179.7</v>
      </c>
      <c r="I51" s="14">
        <f t="shared" ca="1" si="13"/>
        <v>-170.32</v>
      </c>
      <c r="J51" s="14">
        <f t="shared" ca="1" si="13"/>
        <v>-162.04</v>
      </c>
      <c r="K51" s="14">
        <f t="shared" ca="1" si="13"/>
        <v>-154.69</v>
      </c>
      <c r="L51" s="14">
        <f t="shared" ca="1" si="13"/>
        <v>-148.13999999999999</v>
      </c>
      <c r="M51" s="14">
        <f t="shared" ca="1" si="13"/>
        <v>-142.25</v>
      </c>
      <c r="N51" s="14">
        <f t="shared" ca="1" si="13"/>
        <v>-136.97</v>
      </c>
      <c r="O51" s="14">
        <f t="shared" ca="1" si="13"/>
        <v>-120.26</v>
      </c>
      <c r="P51" s="14">
        <f t="shared" ca="1" si="13"/>
        <v>-116.93</v>
      </c>
      <c r="Q51" s="14">
        <f t="shared" ca="1" si="13"/>
        <v>-113.83000000000001</v>
      </c>
      <c r="R51" s="14">
        <f t="shared" ca="1" si="13"/>
        <v>-110.97999999999999</v>
      </c>
      <c r="S51" s="14">
        <f t="shared" ca="1" si="13"/>
        <v>-108.35</v>
      </c>
      <c r="T51" s="14">
        <f t="shared" ca="1" si="13"/>
        <v>-105.9</v>
      </c>
      <c r="U51" s="14">
        <f t="shared" ca="1" si="13"/>
        <v>-103.62</v>
      </c>
      <c r="V51" s="14">
        <f t="shared" ca="1" si="13"/>
        <v>-101.53</v>
      </c>
      <c r="W51" s="14">
        <f t="shared" ca="1" si="13"/>
        <v>-99.679999999999993</v>
      </c>
      <c r="X51" s="14">
        <f t="shared" ca="1" si="13"/>
        <v>-96.431999999999988</v>
      </c>
      <c r="Y51" s="14">
        <f t="shared" ca="1" si="13"/>
        <v>-96.216000000000008</v>
      </c>
      <c r="Z51" s="14">
        <f t="shared" ca="1" si="13"/>
        <v>-96.061999999999998</v>
      </c>
      <c r="AA51" s="14">
        <f t="shared" ca="1" si="13"/>
        <v>-95.994000000000014</v>
      </c>
      <c r="AB51" s="14">
        <f t="shared" ca="1" si="13"/>
        <v>-96.19</v>
      </c>
      <c r="AC51" s="14">
        <f t="shared" ca="1" si="13"/>
        <v>-99.226000000000013</v>
      </c>
      <c r="AD51" s="14">
        <f t="shared" ca="1" si="13"/>
        <v>-100.898</v>
      </c>
      <c r="AE51" s="14">
        <f t="shared" ca="1" si="13"/>
        <v>-101.744</v>
      </c>
      <c r="AF51" s="14">
        <f t="shared" ca="1" si="13"/>
        <v>-101.744</v>
      </c>
      <c r="AG51" s="14">
        <f t="shared" ca="1" si="13"/>
        <v>-102.56</v>
      </c>
      <c r="AH51" s="14">
        <f t="shared" ca="1" si="13"/>
        <v>0</v>
      </c>
      <c r="AI51" s="14">
        <f t="shared" ca="1" si="13"/>
        <v>0</v>
      </c>
      <c r="AJ51" s="14">
        <f t="shared" ca="1" si="13"/>
        <v>0</v>
      </c>
      <c r="AK51" s="14">
        <f t="shared" ca="1" si="13"/>
        <v>0</v>
      </c>
      <c r="AL51" s="14">
        <f t="shared" ca="1" si="13"/>
        <v>0</v>
      </c>
    </row>
    <row r="52" spans="1:38" ht="21" hidden="1" customHeight="1" outlineLevel="1" thickBot="1" x14ac:dyDescent="0.4">
      <c r="A52" s="5">
        <f t="shared" si="11"/>
        <v>0</v>
      </c>
      <c r="B52" s="5">
        <f t="shared" si="11"/>
        <v>0</v>
      </c>
      <c r="C52" s="5">
        <f t="shared" si="11"/>
        <v>0</v>
      </c>
      <c r="D52" s="5">
        <f t="shared" si="11"/>
        <v>1</v>
      </c>
      <c r="E52" s="6" t="str">
        <f t="shared" si="11"/>
        <v>Ga</v>
      </c>
      <c r="F52" s="14">
        <f t="shared" ca="1" si="12"/>
        <v>-66.099999999999994</v>
      </c>
      <c r="G52" s="14">
        <f t="shared" ca="1" si="13"/>
        <v>-61.67</v>
      </c>
      <c r="H52" s="14">
        <f t="shared" ca="1" si="13"/>
        <v>-57.42</v>
      </c>
      <c r="I52" s="14">
        <f t="shared" ca="1" si="13"/>
        <v>-53.18</v>
      </c>
      <c r="J52" s="14">
        <f t="shared" ca="1" si="13"/>
        <v>-49.01</v>
      </c>
      <c r="K52" s="14">
        <f t="shared" ca="1" si="13"/>
        <v>-45.05</v>
      </c>
      <c r="L52" s="14">
        <f t="shared" ca="1" si="13"/>
        <v>-41.4</v>
      </c>
      <c r="M52" s="14">
        <f t="shared" ca="1" si="13"/>
        <v>-38.08</v>
      </c>
      <c r="N52" s="14">
        <f t="shared" ca="1" si="13"/>
        <v>-35.11</v>
      </c>
      <c r="O52" s="14">
        <f t="shared" ca="1" si="13"/>
        <v>-25.6</v>
      </c>
      <c r="P52" s="14">
        <f t="shared" ca="1" si="13"/>
        <v>-23.53</v>
      </c>
      <c r="Q52" s="14">
        <f t="shared" ca="1" si="13"/>
        <v>-21.56</v>
      </c>
      <c r="R52" s="14">
        <f t="shared" ca="1" si="13"/>
        <v>-19.7</v>
      </c>
      <c r="S52" s="14">
        <f t="shared" ca="1" si="13"/>
        <v>-17.95</v>
      </c>
      <c r="T52" s="14">
        <f t="shared" ca="1" si="13"/>
        <v>-16.29</v>
      </c>
      <c r="U52" s="14">
        <f t="shared" ca="1" si="13"/>
        <v>-14.73</v>
      </c>
      <c r="V52" s="14">
        <f t="shared" ca="1" si="13"/>
        <v>-13.28</v>
      </c>
      <c r="W52" s="14">
        <f t="shared" ca="1" si="13"/>
        <v>-12.01</v>
      </c>
      <c r="X52" s="14">
        <f t="shared" ca="1" si="13"/>
        <v>-9.1259999999999994</v>
      </c>
      <c r="Y52" s="14">
        <f t="shared" ca="1" si="13"/>
        <v>-8.6280000000000001</v>
      </c>
      <c r="Z52" s="14">
        <f t="shared" ca="1" si="13"/>
        <v>-8.1609999999999996</v>
      </c>
      <c r="AA52" s="14">
        <f t="shared" ca="1" si="13"/>
        <v>-7.7220000000000004</v>
      </c>
      <c r="AB52" s="14">
        <f t="shared" ca="1" si="13"/>
        <v>-7.61</v>
      </c>
      <c r="AC52" s="14">
        <f t="shared" ca="1" si="13"/>
        <v>-7.883</v>
      </c>
      <c r="AD52" s="14">
        <f t="shared" ca="1" si="13"/>
        <v>-8.0139999999999993</v>
      </c>
      <c r="AE52" s="14">
        <f t="shared" ca="1" si="13"/>
        <v>-8.077</v>
      </c>
      <c r="AF52" s="14">
        <f t="shared" ca="1" si="13"/>
        <v>-8.077</v>
      </c>
      <c r="AG52" s="14">
        <f t="shared" ca="1" si="13"/>
        <v>-8.14</v>
      </c>
      <c r="AH52" s="14">
        <f t="shared" ca="1" si="13"/>
        <v>0</v>
      </c>
      <c r="AI52" s="14">
        <f t="shared" ca="1" si="13"/>
        <v>0</v>
      </c>
      <c r="AJ52" s="14">
        <f t="shared" ca="1" si="13"/>
        <v>0</v>
      </c>
      <c r="AK52" s="14">
        <f t="shared" ca="1" si="13"/>
        <v>0</v>
      </c>
      <c r="AL52" s="14">
        <f t="shared" ca="1" si="13"/>
        <v>0</v>
      </c>
    </row>
    <row r="53" spans="1:38" ht="21" hidden="1" customHeight="1" outlineLevel="1" thickBot="1" x14ac:dyDescent="0.4">
      <c r="A53" s="5">
        <f t="shared" si="11"/>
        <v>0</v>
      </c>
      <c r="B53" s="5">
        <f t="shared" si="11"/>
        <v>1</v>
      </c>
      <c r="C53" s="5">
        <f t="shared" si="11"/>
        <v>0</v>
      </c>
      <c r="D53" s="5">
        <f t="shared" si="11"/>
        <v>0</v>
      </c>
      <c r="E53" s="6" t="str">
        <f t="shared" si="11"/>
        <v>Se</v>
      </c>
      <c r="F53" s="14">
        <f t="shared" ca="1" si="12"/>
        <v>-23.57</v>
      </c>
      <c r="G53" s="14">
        <f t="shared" ca="1" si="13"/>
        <v>-22.38</v>
      </c>
      <c r="H53" s="14">
        <f t="shared" ca="1" si="13"/>
        <v>-21.62</v>
      </c>
      <c r="I53" s="14">
        <f t="shared" ca="1" si="13"/>
        <v>-21.32</v>
      </c>
      <c r="J53" s="14">
        <f t="shared" ca="1" si="13"/>
        <v>-21.34</v>
      </c>
      <c r="K53" s="14">
        <f t="shared" ca="1" si="13"/>
        <v>-21.53</v>
      </c>
      <c r="L53" s="14">
        <f t="shared" ca="1" si="13"/>
        <v>-21.78</v>
      </c>
      <c r="M53" s="14">
        <f t="shared" ca="1" si="13"/>
        <v>-22.03</v>
      </c>
      <c r="N53" s="14">
        <f t="shared" ca="1" si="13"/>
        <v>-22.25</v>
      </c>
      <c r="O53" s="14">
        <f t="shared" ca="1" si="13"/>
        <v>-23.02</v>
      </c>
      <c r="P53" s="14">
        <f t="shared" ca="1" si="13"/>
        <v>-23.29</v>
      </c>
      <c r="Q53" s="14">
        <f t="shared" ca="1" si="13"/>
        <v>-23.57</v>
      </c>
      <c r="R53" s="14">
        <f t="shared" ca="1" si="13"/>
        <v>-23.86</v>
      </c>
      <c r="S53" s="14">
        <f t="shared" ca="1" si="13"/>
        <v>-24.15</v>
      </c>
      <c r="T53" s="14">
        <f t="shared" ca="1" si="13"/>
        <v>-24.44</v>
      </c>
      <c r="U53" s="14">
        <f t="shared" ca="1" si="13"/>
        <v>-24.72</v>
      </c>
      <c r="V53" s="14">
        <f t="shared" ca="1" si="13"/>
        <v>-24.99</v>
      </c>
      <c r="W53" s="14">
        <f t="shared" ca="1" si="13"/>
        <v>-25.22</v>
      </c>
      <c r="X53" s="14">
        <f t="shared" ca="1" si="13"/>
        <v>-26.06</v>
      </c>
      <c r="Y53" s="14">
        <f t="shared" ca="1" si="13"/>
        <v>-26.32</v>
      </c>
      <c r="Z53" s="14">
        <f t="shared" ca="1" si="13"/>
        <v>-26.58</v>
      </c>
      <c r="AA53" s="14">
        <f t="shared" ca="1" si="13"/>
        <v>-26.85</v>
      </c>
      <c r="AB53" s="14">
        <f t="shared" ca="1" si="13"/>
        <v>-26.99</v>
      </c>
      <c r="AC53" s="14">
        <f t="shared" ca="1" si="13"/>
        <v>-27.82</v>
      </c>
      <c r="AD53" s="14">
        <f t="shared" ca="1" si="13"/>
        <v>-28.29</v>
      </c>
      <c r="AE53" s="14">
        <f t="shared" ca="1" si="13"/>
        <v>-28.53</v>
      </c>
      <c r="AF53" s="14">
        <f t="shared" ca="1" si="13"/>
        <v>-28.53</v>
      </c>
      <c r="AG53" s="14">
        <f t="shared" ca="1" si="13"/>
        <v>-28.76</v>
      </c>
      <c r="AH53" s="14">
        <f t="shared" ca="1" si="13"/>
        <v>0</v>
      </c>
      <c r="AI53" s="14">
        <f t="shared" ca="1" si="13"/>
        <v>0</v>
      </c>
      <c r="AJ53" s="14">
        <f t="shared" ca="1" si="13"/>
        <v>0</v>
      </c>
      <c r="AK53" s="14">
        <f t="shared" ca="1" si="13"/>
        <v>0</v>
      </c>
      <c r="AL53" s="14">
        <f t="shared" ca="1" si="13"/>
        <v>0</v>
      </c>
    </row>
    <row r="54" spans="1:38" ht="21" hidden="1" customHeight="1" outlineLevel="1" thickBot="1" x14ac:dyDescent="0.4">
      <c r="A54" s="5">
        <f t="shared" si="11"/>
        <v>1</v>
      </c>
      <c r="B54" s="5">
        <f t="shared" si="11"/>
        <v>0</v>
      </c>
      <c r="C54" s="5">
        <f t="shared" si="11"/>
        <v>0</v>
      </c>
      <c r="D54" s="5">
        <f t="shared" si="11"/>
        <v>0</v>
      </c>
      <c r="E54" s="6" t="str">
        <f t="shared" si="11"/>
        <v>Ar</v>
      </c>
      <c r="F54" s="14">
        <f t="shared" ca="1" si="12"/>
        <v>-18.98</v>
      </c>
      <c r="G54" s="14">
        <f t="shared" ca="1" si="13"/>
        <v>-18.96</v>
      </c>
      <c r="H54" s="14">
        <f t="shared" ca="1" si="13"/>
        <v>-18.96</v>
      </c>
      <c r="I54" s="14">
        <f t="shared" ca="1" si="13"/>
        <v>-18.96</v>
      </c>
      <c r="J54" s="14">
        <f t="shared" ca="1" si="13"/>
        <v>-18.97</v>
      </c>
      <c r="K54" s="14">
        <f t="shared" ca="1" si="13"/>
        <v>-18.989999999999998</v>
      </c>
      <c r="L54" s="14">
        <f t="shared" ca="1" si="13"/>
        <v>-19.02</v>
      </c>
      <c r="M54" s="14">
        <f t="shared" ca="1" si="13"/>
        <v>-19.05</v>
      </c>
      <c r="N54" s="14">
        <f t="shared" ca="1" si="13"/>
        <v>-19.079999999999998</v>
      </c>
      <c r="O54" s="14">
        <f t="shared" ca="1" si="13"/>
        <v>-19.2</v>
      </c>
      <c r="P54" s="14">
        <f t="shared" ca="1" si="13"/>
        <v>-19.23</v>
      </c>
      <c r="Q54" s="14">
        <f t="shared" ca="1" si="13"/>
        <v>-19.27</v>
      </c>
      <c r="R54" s="14">
        <f t="shared" ca="1" si="13"/>
        <v>-19.309999999999999</v>
      </c>
      <c r="S54" s="14">
        <f t="shared" ca="1" si="13"/>
        <v>-19.36</v>
      </c>
      <c r="T54" s="14">
        <f t="shared" ca="1" si="13"/>
        <v>-19.399999999999999</v>
      </c>
      <c r="U54" s="14">
        <f t="shared" ref="G54:AL62" ca="1" si="14">$A54*H.Ar + $B54*H.Se + $C54*H.Ge + $D54*H.Ga</f>
        <v>-19.440000000000001</v>
      </c>
      <c r="V54" s="14">
        <f t="shared" ca="1" si="14"/>
        <v>-19.47</v>
      </c>
      <c r="W54" s="14">
        <f t="shared" ca="1" si="14"/>
        <v>-19.48</v>
      </c>
      <c r="X54" s="14">
        <f t="shared" ca="1" si="14"/>
        <v>-19.43</v>
      </c>
      <c r="Y54" s="14">
        <f t="shared" ca="1" si="14"/>
        <v>-19.47</v>
      </c>
      <c r="Z54" s="14">
        <f t="shared" ca="1" si="14"/>
        <v>-19.510000000000002</v>
      </c>
      <c r="AA54" s="14">
        <f t="shared" ca="1" si="14"/>
        <v>-19.55</v>
      </c>
      <c r="AB54" s="14">
        <f t="shared" ca="1" si="14"/>
        <v>-19.59</v>
      </c>
      <c r="AC54" s="14">
        <f t="shared" ca="1" si="14"/>
        <v>-19.739999999999998</v>
      </c>
      <c r="AD54" s="14">
        <f t="shared" ca="1" si="14"/>
        <v>-19.809999999999999</v>
      </c>
      <c r="AE54" s="14">
        <f t="shared" ca="1" si="14"/>
        <v>-19.850000000000001</v>
      </c>
      <c r="AF54" s="14">
        <f t="shared" ca="1" si="14"/>
        <v>-19.850000000000001</v>
      </c>
      <c r="AG54" s="14">
        <f t="shared" ca="1" si="14"/>
        <v>-19.88</v>
      </c>
      <c r="AH54" s="14">
        <f t="shared" ca="1" si="14"/>
        <v>0</v>
      </c>
      <c r="AI54" s="14">
        <f t="shared" ca="1" si="14"/>
        <v>0</v>
      </c>
      <c r="AJ54" s="14">
        <f t="shared" ca="1" si="14"/>
        <v>0</v>
      </c>
      <c r="AK54" s="14">
        <f t="shared" ca="1" si="14"/>
        <v>0</v>
      </c>
      <c r="AL54" s="14">
        <f t="shared" ca="1" si="14"/>
        <v>0</v>
      </c>
    </row>
    <row r="55" spans="1:38" ht="21" hidden="1" customHeight="1" outlineLevel="1" thickBot="1" x14ac:dyDescent="0.4">
      <c r="A55" s="5">
        <f t="shared" si="11"/>
        <v>0</v>
      </c>
      <c r="B55" s="5">
        <f t="shared" si="11"/>
        <v>2</v>
      </c>
      <c r="C55" s="5">
        <f t="shared" si="11"/>
        <v>1</v>
      </c>
      <c r="D55" s="5">
        <f t="shared" si="11"/>
        <v>0</v>
      </c>
      <c r="E55" s="6" t="str">
        <f t="shared" si="11"/>
        <v>(l)GeSe2</v>
      </c>
      <c r="F55" s="14">
        <f t="shared" ca="1" si="12"/>
        <v>-64.42</v>
      </c>
      <c r="G55" s="14">
        <f t="shared" ca="1" si="14"/>
        <v>-61.08</v>
      </c>
      <c r="H55" s="14">
        <f t="shared" ca="1" si="14"/>
        <v>-58.42</v>
      </c>
      <c r="I55" s="14">
        <f t="shared" ca="1" si="14"/>
        <v>-56.46</v>
      </c>
      <c r="J55" s="14">
        <f t="shared" ca="1" si="14"/>
        <v>-55.04</v>
      </c>
      <c r="K55" s="14">
        <f t="shared" ca="1" si="14"/>
        <v>-54.010000000000005</v>
      </c>
      <c r="L55" s="14">
        <f t="shared" ca="1" si="14"/>
        <v>-53.198</v>
      </c>
      <c r="M55" s="14">
        <f t="shared" ca="1" si="14"/>
        <v>-52.546000000000006</v>
      </c>
      <c r="N55" s="14">
        <f t="shared" ca="1" si="14"/>
        <v>-52.051000000000002</v>
      </c>
      <c r="O55" s="14">
        <f t="shared" ca="1" si="14"/>
        <v>-52.143000000000001</v>
      </c>
      <c r="P55" s="14">
        <f t="shared" ca="1" si="14"/>
        <v>-52.661999999999999</v>
      </c>
      <c r="Q55" s="14">
        <f t="shared" ca="1" si="14"/>
        <v>-53.239000000000004</v>
      </c>
      <c r="R55" s="14">
        <f t="shared" ca="1" si="14"/>
        <v>-53.853999999999999</v>
      </c>
      <c r="S55" s="14">
        <f t="shared" ca="1" si="14"/>
        <v>-54.477999999999994</v>
      </c>
      <c r="T55" s="14">
        <f t="shared" ca="1" si="14"/>
        <v>-55.106000000000002</v>
      </c>
      <c r="U55" s="14">
        <f t="shared" ca="1" si="14"/>
        <v>-55.720999999999997</v>
      </c>
      <c r="V55" s="14">
        <f t="shared" ca="1" si="14"/>
        <v>-56.339999999999996</v>
      </c>
      <c r="W55" s="14">
        <f t="shared" ca="1" si="14"/>
        <v>-56.954999999999998</v>
      </c>
      <c r="X55" s="14">
        <f t="shared" ca="1" si="14"/>
        <v>-59.456999999999994</v>
      </c>
      <c r="Y55" s="14">
        <f t="shared" ca="1" si="14"/>
        <v>-60.048999999999999</v>
      </c>
      <c r="Z55" s="14">
        <f t="shared" ca="1" si="14"/>
        <v>-60.634</v>
      </c>
      <c r="AA55" s="14">
        <f t="shared" ca="1" si="14"/>
        <v>-61.241</v>
      </c>
      <c r="AB55" s="14">
        <f t="shared" ca="1" si="14"/>
        <v>-61.58</v>
      </c>
      <c r="AC55" s="14">
        <f t="shared" ca="1" si="14"/>
        <v>-63.423000000000002</v>
      </c>
      <c r="AD55" s="14">
        <f t="shared" ca="1" si="14"/>
        <v>-64.457999999999998</v>
      </c>
      <c r="AE55" s="14">
        <f t="shared" ca="1" si="14"/>
        <v>-64.986999999999995</v>
      </c>
      <c r="AF55" s="14">
        <f t="shared" ca="1" si="14"/>
        <v>-64.986999999999995</v>
      </c>
      <c r="AG55" s="14">
        <f t="shared" ca="1" si="14"/>
        <v>-65.496000000000009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1</v>
      </c>
      <c r="C56" s="5">
        <f t="shared" si="15"/>
        <v>1</v>
      </c>
      <c r="D56" s="5">
        <f t="shared" si="15"/>
        <v>0</v>
      </c>
      <c r="E56" s="6" t="str">
        <f t="shared" si="15"/>
        <v>(l)GeSe</v>
      </c>
      <c r="F56" s="14">
        <f t="shared" ref="F56:U65" ca="1" si="16">$A56*H.Ar + $B56*H.Se + $C56*H.Ge + $D56*H.Ga</f>
        <v>-40.85</v>
      </c>
      <c r="G56" s="14">
        <f t="shared" ca="1" si="16"/>
        <v>-38.700000000000003</v>
      </c>
      <c r="H56" s="14">
        <f t="shared" ca="1" si="16"/>
        <v>-36.799999999999997</v>
      </c>
      <c r="I56" s="14">
        <f t="shared" ca="1" si="16"/>
        <v>-35.14</v>
      </c>
      <c r="J56" s="14">
        <f t="shared" ca="1" si="16"/>
        <v>-33.700000000000003</v>
      </c>
      <c r="K56" s="14">
        <f t="shared" ca="1" si="16"/>
        <v>-32.480000000000004</v>
      </c>
      <c r="L56" s="14">
        <f t="shared" ca="1" si="16"/>
        <v>-31.417999999999999</v>
      </c>
      <c r="M56" s="14">
        <f t="shared" ca="1" si="16"/>
        <v>-30.516000000000002</v>
      </c>
      <c r="N56" s="14">
        <f t="shared" ca="1" si="16"/>
        <v>-29.801000000000002</v>
      </c>
      <c r="O56" s="14">
        <f t="shared" ca="1" si="16"/>
        <v>-29.122999999999998</v>
      </c>
      <c r="P56" s="14">
        <f t="shared" ca="1" si="16"/>
        <v>-29.372</v>
      </c>
      <c r="Q56" s="14">
        <f t="shared" ca="1" si="16"/>
        <v>-29.669</v>
      </c>
      <c r="R56" s="14">
        <f t="shared" ca="1" si="16"/>
        <v>-29.994</v>
      </c>
      <c r="S56" s="14">
        <f t="shared" ca="1" si="16"/>
        <v>-30.327999999999999</v>
      </c>
      <c r="T56" s="14">
        <f t="shared" ca="1" si="16"/>
        <v>-30.666</v>
      </c>
      <c r="U56" s="14">
        <f t="shared" ca="1" si="16"/>
        <v>-31.000999999999998</v>
      </c>
      <c r="V56" s="14">
        <f t="shared" ca="1" si="14"/>
        <v>-31.349999999999998</v>
      </c>
      <c r="W56" s="14">
        <f t="shared" ca="1" si="14"/>
        <v>-31.734999999999999</v>
      </c>
      <c r="X56" s="14">
        <f t="shared" ca="1" si="14"/>
        <v>-33.396999999999998</v>
      </c>
      <c r="Y56" s="14">
        <f t="shared" ca="1" si="14"/>
        <v>-33.728999999999999</v>
      </c>
      <c r="Z56" s="14">
        <f t="shared" ca="1" si="14"/>
        <v>-34.054000000000002</v>
      </c>
      <c r="AA56" s="14">
        <f t="shared" ca="1" si="14"/>
        <v>-34.391000000000005</v>
      </c>
      <c r="AB56" s="14">
        <f t="shared" ca="1" si="14"/>
        <v>-34.589999999999996</v>
      </c>
      <c r="AC56" s="14">
        <f t="shared" ca="1" si="14"/>
        <v>-35.603000000000002</v>
      </c>
      <c r="AD56" s="14">
        <f t="shared" ca="1" si="14"/>
        <v>-36.167999999999999</v>
      </c>
      <c r="AE56" s="14">
        <f t="shared" ca="1" si="14"/>
        <v>-36.457000000000001</v>
      </c>
      <c r="AF56" s="14">
        <f t="shared" ca="1" si="14"/>
        <v>-36.457000000000001</v>
      </c>
      <c r="AG56" s="14">
        <f t="shared" ca="1" si="14"/>
        <v>-36.736000000000004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3</v>
      </c>
      <c r="C57" s="5">
        <f t="shared" si="15"/>
        <v>0</v>
      </c>
      <c r="D57" s="5">
        <f t="shared" si="15"/>
        <v>2</v>
      </c>
      <c r="E57" s="6" t="str">
        <f t="shared" si="15"/>
        <v>(1)Ga2Se3</v>
      </c>
      <c r="F57" s="14">
        <f ca="1">$A57*H.Ar + $B57*H.Se + $C57*H.Ge + $D57*H.Ga</f>
        <v>-202.91</v>
      </c>
      <c r="G57" s="14">
        <f t="shared" ca="1" si="14"/>
        <v>-190.48000000000002</v>
      </c>
      <c r="H57" s="14">
        <f t="shared" ca="1" si="14"/>
        <v>-179.7</v>
      </c>
      <c r="I57" s="14">
        <f t="shared" ca="1" si="14"/>
        <v>-170.32</v>
      </c>
      <c r="J57" s="14">
        <f t="shared" ca="1" si="14"/>
        <v>-162.04</v>
      </c>
      <c r="K57" s="14">
        <f t="shared" ca="1" si="14"/>
        <v>-154.69</v>
      </c>
      <c r="L57" s="14">
        <f t="shared" ca="1" si="14"/>
        <v>-148.13999999999999</v>
      </c>
      <c r="M57" s="14">
        <f t="shared" ca="1" si="14"/>
        <v>-142.25</v>
      </c>
      <c r="N57" s="14">
        <f t="shared" ca="1" si="14"/>
        <v>-136.97</v>
      </c>
      <c r="O57" s="14">
        <f t="shared" ca="1" si="14"/>
        <v>-120.26</v>
      </c>
      <c r="P57" s="14">
        <f t="shared" ca="1" si="14"/>
        <v>-116.93</v>
      </c>
      <c r="Q57" s="14">
        <f t="shared" ca="1" si="14"/>
        <v>-113.83000000000001</v>
      </c>
      <c r="R57" s="14">
        <f t="shared" ca="1" si="14"/>
        <v>-110.97999999999999</v>
      </c>
      <c r="S57" s="14">
        <f t="shared" ca="1" si="14"/>
        <v>-108.35</v>
      </c>
      <c r="T57" s="14">
        <f t="shared" ca="1" si="14"/>
        <v>-105.9</v>
      </c>
      <c r="U57" s="14">
        <f t="shared" ca="1" si="14"/>
        <v>-103.62</v>
      </c>
      <c r="V57" s="14">
        <f t="shared" ca="1" si="14"/>
        <v>-101.53</v>
      </c>
      <c r="W57" s="14">
        <f t="shared" ca="1" si="14"/>
        <v>-99.679999999999993</v>
      </c>
      <c r="X57" s="14">
        <f t="shared" ca="1" si="14"/>
        <v>-96.431999999999988</v>
      </c>
      <c r="Y57" s="14">
        <f t="shared" ca="1" si="14"/>
        <v>-96.216000000000008</v>
      </c>
      <c r="Z57" s="14">
        <f t="shared" ca="1" si="14"/>
        <v>-96.061999999999998</v>
      </c>
      <c r="AA57" s="14">
        <f t="shared" ca="1" si="14"/>
        <v>-95.994000000000014</v>
      </c>
      <c r="AB57" s="14">
        <f t="shared" ca="1" si="14"/>
        <v>-96.19</v>
      </c>
      <c r="AC57" s="14">
        <f t="shared" ca="1" si="14"/>
        <v>-99.226000000000013</v>
      </c>
      <c r="AD57" s="14">
        <f t="shared" ca="1" si="14"/>
        <v>-100.898</v>
      </c>
      <c r="AE57" s="14">
        <f t="shared" ca="1" si="14"/>
        <v>-101.744</v>
      </c>
      <c r="AF57" s="14">
        <f t="shared" ca="1" si="14"/>
        <v>-101.744</v>
      </c>
      <c r="AG57" s="14">
        <f t="shared" ca="1" si="14"/>
        <v>-102.56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1</v>
      </c>
      <c r="C58" s="5">
        <f t="shared" si="15"/>
        <v>0</v>
      </c>
      <c r="D58" s="5">
        <f t="shared" si="15"/>
        <v>2</v>
      </c>
      <c r="E58" s="6" t="str">
        <f t="shared" si="15"/>
        <v>(1)Ga2Se</v>
      </c>
      <c r="F58" s="14">
        <f t="shared" ca="1" si="16"/>
        <v>-155.76999999999998</v>
      </c>
      <c r="G58" s="14">
        <f t="shared" ca="1" si="14"/>
        <v>-145.72</v>
      </c>
      <c r="H58" s="14">
        <f t="shared" ca="1" si="14"/>
        <v>-136.46</v>
      </c>
      <c r="I58" s="14">
        <f t="shared" ca="1" si="14"/>
        <v>-127.68</v>
      </c>
      <c r="J58" s="14">
        <f t="shared" ca="1" si="14"/>
        <v>-119.36</v>
      </c>
      <c r="K58" s="14">
        <f t="shared" ca="1" si="14"/>
        <v>-111.63</v>
      </c>
      <c r="L58" s="14">
        <f t="shared" ca="1" si="14"/>
        <v>-104.58</v>
      </c>
      <c r="M58" s="14">
        <f t="shared" ca="1" si="14"/>
        <v>-98.19</v>
      </c>
      <c r="N58" s="14">
        <f t="shared" ca="1" si="14"/>
        <v>-92.47</v>
      </c>
      <c r="O58" s="14">
        <f t="shared" ca="1" si="14"/>
        <v>-74.22</v>
      </c>
      <c r="P58" s="14">
        <f t="shared" ca="1" si="14"/>
        <v>-70.349999999999994</v>
      </c>
      <c r="Q58" s="14">
        <f t="shared" ca="1" si="14"/>
        <v>-66.69</v>
      </c>
      <c r="R58" s="14">
        <f t="shared" ca="1" si="14"/>
        <v>-63.26</v>
      </c>
      <c r="S58" s="14">
        <f t="shared" ca="1" si="14"/>
        <v>-60.05</v>
      </c>
      <c r="T58" s="14">
        <f t="shared" ca="1" si="14"/>
        <v>-57.019999999999996</v>
      </c>
      <c r="U58" s="14">
        <f t="shared" ca="1" si="14"/>
        <v>-54.18</v>
      </c>
      <c r="V58" s="14">
        <f t="shared" ca="1" si="14"/>
        <v>-51.55</v>
      </c>
      <c r="W58" s="14">
        <f t="shared" ca="1" si="14"/>
        <v>-49.239999999999995</v>
      </c>
      <c r="X58" s="14">
        <f t="shared" ca="1" si="14"/>
        <v>-44.311999999999998</v>
      </c>
      <c r="Y58" s="14">
        <f t="shared" ca="1" si="14"/>
        <v>-43.576000000000001</v>
      </c>
      <c r="Z58" s="14">
        <f t="shared" ca="1" si="14"/>
        <v>-42.902000000000001</v>
      </c>
      <c r="AA58" s="14">
        <f t="shared" ca="1" si="14"/>
        <v>-42.294000000000004</v>
      </c>
      <c r="AB58" s="14">
        <f t="shared" ca="1" si="14"/>
        <v>-42.21</v>
      </c>
      <c r="AC58" s="14">
        <f t="shared" ca="1" si="14"/>
        <v>-43.585999999999999</v>
      </c>
      <c r="AD58" s="14">
        <f t="shared" ca="1" si="14"/>
        <v>-44.317999999999998</v>
      </c>
      <c r="AE58" s="14">
        <f t="shared" ca="1" si="14"/>
        <v>-44.683999999999997</v>
      </c>
      <c r="AF58" s="14">
        <f t="shared" ca="1" si="14"/>
        <v>-44.683999999999997</v>
      </c>
      <c r="AG58" s="14">
        <f t="shared" ca="1" si="14"/>
        <v>-45.040000000000006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1</v>
      </c>
      <c r="D59" s="5">
        <f t="shared" si="15"/>
        <v>0</v>
      </c>
      <c r="E59" s="6" t="str">
        <f t="shared" si="15"/>
        <v>(1)Ge</v>
      </c>
      <c r="F59" s="14">
        <f t="shared" ca="1" si="16"/>
        <v>-17.28</v>
      </c>
      <c r="G59" s="14">
        <f t="shared" ca="1" si="14"/>
        <v>-16.32</v>
      </c>
      <c r="H59" s="14">
        <f t="shared" ca="1" si="14"/>
        <v>-15.18</v>
      </c>
      <c r="I59" s="14">
        <f t="shared" ca="1" si="14"/>
        <v>-13.82</v>
      </c>
      <c r="J59" s="14">
        <f t="shared" ca="1" si="14"/>
        <v>-12.36</v>
      </c>
      <c r="K59" s="14">
        <f t="shared" ca="1" si="14"/>
        <v>-10.95</v>
      </c>
      <c r="L59" s="14">
        <f t="shared" ca="1" si="14"/>
        <v>-9.6379999999999999</v>
      </c>
      <c r="M59" s="14">
        <f t="shared" ca="1" si="14"/>
        <v>-8.4860000000000007</v>
      </c>
      <c r="N59" s="14">
        <f t="shared" ca="1" si="14"/>
        <v>-7.5510000000000002</v>
      </c>
      <c r="O59" s="14">
        <f t="shared" ca="1" si="14"/>
        <v>-6.1029999999999998</v>
      </c>
      <c r="P59" s="14">
        <f t="shared" ca="1" si="14"/>
        <v>-6.0819999999999999</v>
      </c>
      <c r="Q59" s="14">
        <f t="shared" ca="1" si="14"/>
        <v>-6.0990000000000002</v>
      </c>
      <c r="R59" s="14">
        <f t="shared" ca="1" si="14"/>
        <v>-6.1340000000000003</v>
      </c>
      <c r="S59" s="14">
        <f t="shared" ca="1" si="14"/>
        <v>-6.1779999999999999</v>
      </c>
      <c r="T59" s="14">
        <f t="shared" ca="1" si="14"/>
        <v>-6.226</v>
      </c>
      <c r="U59" s="14">
        <f t="shared" ca="1" si="14"/>
        <v>-6.2809999999999997</v>
      </c>
      <c r="V59" s="14">
        <f t="shared" ca="1" si="14"/>
        <v>-6.36</v>
      </c>
      <c r="W59" s="14">
        <f t="shared" ca="1" si="14"/>
        <v>-6.5149999999999997</v>
      </c>
      <c r="X59" s="14">
        <f t="shared" ca="1" si="14"/>
        <v>-7.3369999999999997</v>
      </c>
      <c r="Y59" s="14">
        <f t="shared" ca="1" si="14"/>
        <v>-7.4089999999999998</v>
      </c>
      <c r="Z59" s="14">
        <f t="shared" ca="1" si="14"/>
        <v>-7.4740000000000002</v>
      </c>
      <c r="AA59" s="14">
        <f t="shared" ca="1" si="14"/>
        <v>-7.5410000000000004</v>
      </c>
      <c r="AB59" s="14">
        <f t="shared" ca="1" si="14"/>
        <v>-7.6</v>
      </c>
      <c r="AC59" s="14">
        <f t="shared" ca="1" si="14"/>
        <v>-7.7830000000000004</v>
      </c>
      <c r="AD59" s="14">
        <f t="shared" ca="1" si="14"/>
        <v>-7.8780000000000001</v>
      </c>
      <c r="AE59" s="14">
        <f t="shared" ca="1" si="14"/>
        <v>-7.9269999999999996</v>
      </c>
      <c r="AF59" s="14">
        <f t="shared" ca="1" si="14"/>
        <v>-7.9269999999999996</v>
      </c>
      <c r="AG59" s="14">
        <f t="shared" ca="1" si="14"/>
        <v>-7.976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1</v>
      </c>
      <c r="E60" s="6" t="str">
        <f t="shared" si="15"/>
        <v>(1)Ga</v>
      </c>
      <c r="F60" s="14">
        <f t="shared" ca="1" si="16"/>
        <v>-66.099999999999994</v>
      </c>
      <c r="G60" s="14">
        <f t="shared" ca="1" si="14"/>
        <v>-61.67</v>
      </c>
      <c r="H60" s="14">
        <f t="shared" ca="1" si="14"/>
        <v>-57.42</v>
      </c>
      <c r="I60" s="14">
        <f t="shared" ca="1" si="14"/>
        <v>-53.18</v>
      </c>
      <c r="J60" s="14">
        <f t="shared" ca="1" si="14"/>
        <v>-49.01</v>
      </c>
      <c r="K60" s="14">
        <f t="shared" ca="1" si="14"/>
        <v>-45.05</v>
      </c>
      <c r="L60" s="14">
        <f t="shared" ca="1" si="14"/>
        <v>-41.4</v>
      </c>
      <c r="M60" s="14">
        <f t="shared" ca="1" si="14"/>
        <v>-38.08</v>
      </c>
      <c r="N60" s="14">
        <f t="shared" ca="1" si="14"/>
        <v>-35.11</v>
      </c>
      <c r="O60" s="14">
        <f t="shared" ca="1" si="14"/>
        <v>-25.6</v>
      </c>
      <c r="P60" s="14">
        <f t="shared" ca="1" si="14"/>
        <v>-23.53</v>
      </c>
      <c r="Q60" s="14">
        <f t="shared" ca="1" si="14"/>
        <v>-21.56</v>
      </c>
      <c r="R60" s="14">
        <f t="shared" ca="1" si="14"/>
        <v>-19.7</v>
      </c>
      <c r="S60" s="14">
        <f t="shared" ca="1" si="14"/>
        <v>-17.95</v>
      </c>
      <c r="T60" s="14">
        <f t="shared" ca="1" si="14"/>
        <v>-16.29</v>
      </c>
      <c r="U60" s="14">
        <f t="shared" ca="1" si="14"/>
        <v>-14.73</v>
      </c>
      <c r="V60" s="14">
        <f t="shared" ca="1" si="14"/>
        <v>-13.28</v>
      </c>
      <c r="W60" s="14">
        <f t="shared" ca="1" si="14"/>
        <v>-12.01</v>
      </c>
      <c r="X60" s="14">
        <f t="shared" ca="1" si="14"/>
        <v>-9.1259999999999994</v>
      </c>
      <c r="Y60" s="14">
        <f t="shared" ca="1" si="14"/>
        <v>-8.6280000000000001</v>
      </c>
      <c r="Z60" s="14">
        <f t="shared" ca="1" si="14"/>
        <v>-8.1609999999999996</v>
      </c>
      <c r="AA60" s="14">
        <f t="shared" ca="1" si="14"/>
        <v>-7.7220000000000004</v>
      </c>
      <c r="AB60" s="14">
        <f t="shared" ca="1" si="14"/>
        <v>-7.61</v>
      </c>
      <c r="AC60" s="14">
        <f t="shared" ca="1" si="14"/>
        <v>-7.883</v>
      </c>
      <c r="AD60" s="14">
        <f t="shared" ca="1" si="14"/>
        <v>-8.0139999999999993</v>
      </c>
      <c r="AE60" s="14">
        <f t="shared" ca="1" si="14"/>
        <v>-8.077</v>
      </c>
      <c r="AF60" s="14">
        <f t="shared" ca="1" si="14"/>
        <v>-8.077</v>
      </c>
      <c r="AG60" s="14">
        <f t="shared" ca="1" si="14"/>
        <v>-8.14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(1)Se</v>
      </c>
      <c r="F61" s="14">
        <f t="shared" ca="1" si="16"/>
        <v>-23.57</v>
      </c>
      <c r="G61" s="14">
        <f t="shared" ca="1" si="14"/>
        <v>-22.38</v>
      </c>
      <c r="H61" s="14">
        <f t="shared" ca="1" si="14"/>
        <v>-21.62</v>
      </c>
      <c r="I61" s="14">
        <f t="shared" ca="1" si="14"/>
        <v>-21.32</v>
      </c>
      <c r="J61" s="14">
        <f t="shared" ca="1" si="14"/>
        <v>-21.34</v>
      </c>
      <c r="K61" s="14">
        <f t="shared" ca="1" si="14"/>
        <v>-21.53</v>
      </c>
      <c r="L61" s="14">
        <f t="shared" ca="1" si="14"/>
        <v>-21.78</v>
      </c>
      <c r="M61" s="14">
        <f t="shared" ca="1" si="14"/>
        <v>-22.03</v>
      </c>
      <c r="N61" s="14">
        <f t="shared" ca="1" si="14"/>
        <v>-22.25</v>
      </c>
      <c r="O61" s="14">
        <f t="shared" ca="1" si="14"/>
        <v>-23.02</v>
      </c>
      <c r="P61" s="14">
        <f t="shared" ca="1" si="14"/>
        <v>-23.29</v>
      </c>
      <c r="Q61" s="14">
        <f t="shared" ca="1" si="14"/>
        <v>-23.57</v>
      </c>
      <c r="R61" s="14">
        <f t="shared" ca="1" si="14"/>
        <v>-23.86</v>
      </c>
      <c r="S61" s="14">
        <f t="shared" ca="1" si="14"/>
        <v>-24.15</v>
      </c>
      <c r="T61" s="14">
        <f t="shared" ca="1" si="14"/>
        <v>-24.44</v>
      </c>
      <c r="U61" s="14">
        <f t="shared" ca="1" si="14"/>
        <v>-24.72</v>
      </c>
      <c r="V61" s="14">
        <f t="shared" ca="1" si="14"/>
        <v>-24.99</v>
      </c>
      <c r="W61" s="14">
        <f t="shared" ca="1" si="14"/>
        <v>-25.22</v>
      </c>
      <c r="X61" s="14">
        <f t="shared" ca="1" si="14"/>
        <v>-26.06</v>
      </c>
      <c r="Y61" s="14">
        <f t="shared" ca="1" si="14"/>
        <v>-26.32</v>
      </c>
      <c r="Z61" s="14">
        <f t="shared" ca="1" si="14"/>
        <v>-26.58</v>
      </c>
      <c r="AA61" s="14">
        <f t="shared" ca="1" si="14"/>
        <v>-26.85</v>
      </c>
      <c r="AB61" s="14">
        <f t="shared" ca="1" si="14"/>
        <v>-26.99</v>
      </c>
      <c r="AC61" s="14">
        <f t="shared" ca="1" si="14"/>
        <v>-27.82</v>
      </c>
      <c r="AD61" s="14">
        <f t="shared" ca="1" si="14"/>
        <v>-28.29</v>
      </c>
      <c r="AE61" s="14">
        <f t="shared" ca="1" si="14"/>
        <v>-28.53</v>
      </c>
      <c r="AF61" s="14">
        <f t="shared" ca="1" si="14"/>
        <v>-28.53</v>
      </c>
      <c r="AG61" s="14">
        <f t="shared" ca="1" si="14"/>
        <v>-28.76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1</v>
      </c>
      <c r="C62" s="5">
        <f t="shared" si="15"/>
        <v>0</v>
      </c>
      <c r="D62" s="5">
        <f t="shared" si="15"/>
        <v>0</v>
      </c>
      <c r="E62" s="6" t="str">
        <f t="shared" si="15"/>
        <v>(1)Se[a]</v>
      </c>
      <c r="F62" s="14">
        <f t="shared" ca="1" si="16"/>
        <v>-23.57</v>
      </c>
      <c r="G62" s="14">
        <f t="shared" ca="1" si="14"/>
        <v>-22.38</v>
      </c>
      <c r="H62" s="14">
        <f t="shared" ca="1" si="14"/>
        <v>-21.62</v>
      </c>
      <c r="I62" s="14">
        <f t="shared" ca="1" si="14"/>
        <v>-21.32</v>
      </c>
      <c r="J62" s="14">
        <f t="shared" ca="1" si="14"/>
        <v>-21.34</v>
      </c>
      <c r="K62" s="14">
        <f t="shared" ca="1" si="14"/>
        <v>-21.53</v>
      </c>
      <c r="L62" s="14">
        <f t="shared" ca="1" si="14"/>
        <v>-21.78</v>
      </c>
      <c r="M62" s="14">
        <f t="shared" ca="1" si="14"/>
        <v>-22.03</v>
      </c>
      <c r="N62" s="14">
        <f t="shared" ca="1" si="14"/>
        <v>-22.25</v>
      </c>
      <c r="O62" s="14">
        <f t="shared" ca="1" si="14"/>
        <v>-23.02</v>
      </c>
      <c r="P62" s="14">
        <f t="shared" ca="1" si="14"/>
        <v>-23.29</v>
      </c>
      <c r="Q62" s="14">
        <f t="shared" ca="1" si="14"/>
        <v>-23.57</v>
      </c>
      <c r="R62" s="14">
        <f t="shared" ca="1" si="14"/>
        <v>-23.86</v>
      </c>
      <c r="S62" s="14">
        <f t="shared" ca="1" si="14"/>
        <v>-24.15</v>
      </c>
      <c r="T62" s="14">
        <f t="shared" ca="1" si="14"/>
        <v>-24.44</v>
      </c>
      <c r="U62" s="14">
        <f t="shared" ca="1" si="14"/>
        <v>-24.72</v>
      </c>
      <c r="V62" s="14">
        <f t="shared" ca="1" si="14"/>
        <v>-24.99</v>
      </c>
      <c r="W62" s="14">
        <f t="shared" ca="1" si="14"/>
        <v>-25.22</v>
      </c>
      <c r="X62" s="14">
        <f t="shared" ca="1" si="14"/>
        <v>-26.06</v>
      </c>
      <c r="Y62" s="14">
        <f t="shared" ca="1" si="14"/>
        <v>-26.32</v>
      </c>
      <c r="Z62" s="14">
        <f t="shared" ca="1" si="14"/>
        <v>-26.58</v>
      </c>
      <c r="AA62" s="14">
        <f t="shared" ca="1" si="14"/>
        <v>-26.85</v>
      </c>
      <c r="AB62" s="14">
        <f t="shared" ca="1" si="14"/>
        <v>-26.99</v>
      </c>
      <c r="AC62" s="14">
        <f t="shared" ca="1" si="14"/>
        <v>-27.82</v>
      </c>
      <c r="AD62" s="14">
        <f t="shared" ca="1" si="14"/>
        <v>-28.29</v>
      </c>
      <c r="AE62" s="14">
        <f t="shared" ca="1" si="14"/>
        <v>-28.53</v>
      </c>
      <c r="AF62" s="14">
        <f t="shared" ca="1" si="14"/>
        <v>-28.53</v>
      </c>
      <c r="AG62" s="14">
        <f t="shared" ca="1" si="14"/>
        <v>-28.76</v>
      </c>
      <c r="AH62" s="14">
        <f t="shared" ca="1" si="14"/>
        <v>0</v>
      </c>
      <c r="AI62" s="14">
        <f t="shared" ref="G62:AL71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1</v>
      </c>
      <c r="C63" s="5">
        <f t="shared" si="15"/>
        <v>0</v>
      </c>
      <c r="D63" s="5">
        <f t="shared" si="15"/>
        <v>0</v>
      </c>
      <c r="E63" s="6" t="str">
        <f t="shared" si="15"/>
        <v>(1)Se[m]</v>
      </c>
      <c r="F63" s="14">
        <f t="shared" ca="1" si="16"/>
        <v>-23.57</v>
      </c>
      <c r="G63" s="14">
        <f t="shared" ca="1" si="17"/>
        <v>-22.38</v>
      </c>
      <c r="H63" s="14">
        <f t="shared" ca="1" si="17"/>
        <v>-21.62</v>
      </c>
      <c r="I63" s="14">
        <f t="shared" ca="1" si="17"/>
        <v>-21.32</v>
      </c>
      <c r="J63" s="14">
        <f t="shared" ca="1" si="17"/>
        <v>-21.34</v>
      </c>
      <c r="K63" s="14">
        <f t="shared" ca="1" si="17"/>
        <v>-21.53</v>
      </c>
      <c r="L63" s="14">
        <f t="shared" ca="1" si="17"/>
        <v>-21.78</v>
      </c>
      <c r="M63" s="14">
        <f t="shared" ca="1" si="17"/>
        <v>-22.03</v>
      </c>
      <c r="N63" s="14">
        <f t="shared" ca="1" si="17"/>
        <v>-22.25</v>
      </c>
      <c r="O63" s="14">
        <f t="shared" ca="1" si="17"/>
        <v>-23.02</v>
      </c>
      <c r="P63" s="14">
        <f t="shared" ca="1" si="17"/>
        <v>-23.29</v>
      </c>
      <c r="Q63" s="14">
        <f t="shared" ca="1" si="17"/>
        <v>-23.57</v>
      </c>
      <c r="R63" s="14">
        <f t="shared" ca="1" si="17"/>
        <v>-23.86</v>
      </c>
      <c r="S63" s="14">
        <f t="shared" ca="1" si="17"/>
        <v>-24.15</v>
      </c>
      <c r="T63" s="14">
        <f t="shared" ca="1" si="17"/>
        <v>-24.44</v>
      </c>
      <c r="U63" s="14">
        <f t="shared" ca="1" si="17"/>
        <v>-24.72</v>
      </c>
      <c r="V63" s="14">
        <f t="shared" ca="1" si="17"/>
        <v>-24.99</v>
      </c>
      <c r="W63" s="14">
        <f t="shared" ca="1" si="17"/>
        <v>-25.22</v>
      </c>
      <c r="X63" s="14">
        <f t="shared" ca="1" si="17"/>
        <v>-26.06</v>
      </c>
      <c r="Y63" s="14">
        <f t="shared" ca="1" si="17"/>
        <v>-26.32</v>
      </c>
      <c r="Z63" s="14">
        <f t="shared" ca="1" si="17"/>
        <v>-26.58</v>
      </c>
      <c r="AA63" s="14">
        <f t="shared" ca="1" si="17"/>
        <v>-26.85</v>
      </c>
      <c r="AB63" s="14">
        <f t="shared" ca="1" si="17"/>
        <v>-26.99</v>
      </c>
      <c r="AC63" s="14">
        <f t="shared" ca="1" si="17"/>
        <v>-27.82</v>
      </c>
      <c r="AD63" s="14">
        <f t="shared" ca="1" si="17"/>
        <v>-28.29</v>
      </c>
      <c r="AE63" s="14">
        <f t="shared" ca="1" si="17"/>
        <v>-28.53</v>
      </c>
      <c r="AF63" s="14">
        <f t="shared" ca="1" si="17"/>
        <v>-28.53</v>
      </c>
      <c r="AG63" s="14">
        <f t="shared" ca="1" si="17"/>
        <v>-28.76</v>
      </c>
      <c r="AH63" s="14">
        <f t="shared" ca="1" si="17"/>
        <v>0</v>
      </c>
      <c r="AI63" s="14">
        <f t="shared" ca="1" si="17"/>
        <v>0</v>
      </c>
      <c r="AJ63" s="14">
        <f t="shared" ca="1" si="17"/>
        <v>0</v>
      </c>
      <c r="AK63" s="14">
        <f t="shared" ca="1" si="17"/>
        <v>0</v>
      </c>
      <c r="AL63" s="14">
        <f t="shared" ca="1" si="17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1</v>
      </c>
      <c r="C64" s="5">
        <f t="shared" si="15"/>
        <v>0</v>
      </c>
      <c r="D64" s="5">
        <f t="shared" si="15"/>
        <v>0</v>
      </c>
      <c r="E64" s="6" t="str">
        <f t="shared" si="15"/>
        <v>(1)Se[r]</v>
      </c>
      <c r="F64" s="14">
        <f t="shared" ca="1" si="16"/>
        <v>-23.57</v>
      </c>
      <c r="G64" s="14">
        <f t="shared" ca="1" si="17"/>
        <v>-22.38</v>
      </c>
      <c r="H64" s="14">
        <f t="shared" ca="1" si="17"/>
        <v>-21.62</v>
      </c>
      <c r="I64" s="14">
        <f t="shared" ca="1" si="17"/>
        <v>-21.32</v>
      </c>
      <c r="J64" s="14">
        <f t="shared" ca="1" si="17"/>
        <v>-21.34</v>
      </c>
      <c r="K64" s="14">
        <f t="shared" ca="1" si="17"/>
        <v>-21.53</v>
      </c>
      <c r="L64" s="14">
        <f t="shared" ca="1" si="17"/>
        <v>-21.78</v>
      </c>
      <c r="M64" s="14">
        <f t="shared" ca="1" si="17"/>
        <v>-22.03</v>
      </c>
      <c r="N64" s="14">
        <f t="shared" ca="1" si="17"/>
        <v>-22.25</v>
      </c>
      <c r="O64" s="14">
        <f t="shared" ca="1" si="17"/>
        <v>-23.02</v>
      </c>
      <c r="P64" s="14">
        <f t="shared" ca="1" si="17"/>
        <v>-23.29</v>
      </c>
      <c r="Q64" s="14">
        <f t="shared" ca="1" si="17"/>
        <v>-23.57</v>
      </c>
      <c r="R64" s="14">
        <f t="shared" ca="1" si="17"/>
        <v>-23.86</v>
      </c>
      <c r="S64" s="14">
        <f t="shared" ca="1" si="17"/>
        <v>-24.15</v>
      </c>
      <c r="T64" s="14">
        <f t="shared" ca="1" si="17"/>
        <v>-24.44</v>
      </c>
      <c r="U64" s="14">
        <f t="shared" ca="1" si="17"/>
        <v>-24.72</v>
      </c>
      <c r="V64" s="14">
        <f t="shared" ca="1" si="17"/>
        <v>-24.99</v>
      </c>
      <c r="W64" s="14">
        <f t="shared" ca="1" si="17"/>
        <v>-25.22</v>
      </c>
      <c r="X64" s="14">
        <f t="shared" ca="1" si="17"/>
        <v>-26.06</v>
      </c>
      <c r="Y64" s="14">
        <f t="shared" ca="1" si="17"/>
        <v>-26.32</v>
      </c>
      <c r="Z64" s="14">
        <f t="shared" ca="1" si="17"/>
        <v>-26.58</v>
      </c>
      <c r="AA64" s="14">
        <f t="shared" ca="1" si="17"/>
        <v>-26.85</v>
      </c>
      <c r="AB64" s="14">
        <f t="shared" ca="1" si="17"/>
        <v>-26.99</v>
      </c>
      <c r="AC64" s="14">
        <f t="shared" ca="1" si="17"/>
        <v>-27.82</v>
      </c>
      <c r="AD64" s="14">
        <f t="shared" ca="1" si="17"/>
        <v>-28.29</v>
      </c>
      <c r="AE64" s="14">
        <f t="shared" ca="1" si="17"/>
        <v>-28.53</v>
      </c>
      <c r="AF64" s="14">
        <f t="shared" ca="1" si="17"/>
        <v>-28.53</v>
      </c>
      <c r="AG64" s="14">
        <f t="shared" ca="1" si="17"/>
        <v>-28.76</v>
      </c>
      <c r="AH64" s="14">
        <f t="shared" ca="1" si="17"/>
        <v>0</v>
      </c>
      <c r="AI64" s="14">
        <f t="shared" ca="1" si="17"/>
        <v>0</v>
      </c>
      <c r="AJ64" s="14">
        <f t="shared" ca="1" si="17"/>
        <v>0</v>
      </c>
      <c r="AK64" s="14">
        <f t="shared" ca="1" si="17"/>
        <v>0</v>
      </c>
      <c r="AL64" s="14">
        <f t="shared" ca="1" si="17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1</v>
      </c>
      <c r="D65" s="5">
        <f t="shared" si="15"/>
        <v>0</v>
      </c>
      <c r="E65" s="6" t="str">
        <f t="shared" si="15"/>
        <v>(1)Geic]</v>
      </c>
      <c r="F65" s="14">
        <f t="shared" ca="1" si="16"/>
        <v>-17.28</v>
      </c>
      <c r="G65" s="14">
        <f t="shared" ca="1" si="17"/>
        <v>-16.32</v>
      </c>
      <c r="H65" s="14">
        <f t="shared" ca="1" si="17"/>
        <v>-15.18</v>
      </c>
      <c r="I65" s="14">
        <f t="shared" ca="1" si="17"/>
        <v>-13.82</v>
      </c>
      <c r="J65" s="14">
        <f t="shared" ca="1" si="17"/>
        <v>-12.36</v>
      </c>
      <c r="K65" s="14">
        <f t="shared" ca="1" si="17"/>
        <v>-10.95</v>
      </c>
      <c r="L65" s="14">
        <f t="shared" ca="1" si="17"/>
        <v>-9.6379999999999999</v>
      </c>
      <c r="M65" s="14">
        <f t="shared" ca="1" si="17"/>
        <v>-8.4860000000000007</v>
      </c>
      <c r="N65" s="14">
        <f t="shared" ca="1" si="17"/>
        <v>-7.5510000000000002</v>
      </c>
      <c r="O65" s="14">
        <f t="shared" ca="1" si="17"/>
        <v>-6.1029999999999998</v>
      </c>
      <c r="P65" s="14">
        <f t="shared" ca="1" si="17"/>
        <v>-6.0819999999999999</v>
      </c>
      <c r="Q65" s="14">
        <f t="shared" ca="1" si="17"/>
        <v>-6.0990000000000002</v>
      </c>
      <c r="R65" s="14">
        <f t="shared" ca="1" si="17"/>
        <v>-6.1340000000000003</v>
      </c>
      <c r="S65" s="14">
        <f t="shared" ca="1" si="17"/>
        <v>-6.1779999999999999</v>
      </c>
      <c r="T65" s="14">
        <f t="shared" ca="1" si="17"/>
        <v>-6.226</v>
      </c>
      <c r="U65" s="14">
        <f t="shared" ca="1" si="17"/>
        <v>-6.2809999999999997</v>
      </c>
      <c r="V65" s="14">
        <f t="shared" ca="1" si="17"/>
        <v>-6.36</v>
      </c>
      <c r="W65" s="14">
        <f t="shared" ca="1" si="17"/>
        <v>-6.5149999999999997</v>
      </c>
      <c r="X65" s="14">
        <f t="shared" ca="1" si="17"/>
        <v>-7.3369999999999997</v>
      </c>
      <c r="Y65" s="14">
        <f t="shared" ca="1" si="17"/>
        <v>-7.4089999999999998</v>
      </c>
      <c r="Z65" s="14">
        <f t="shared" ca="1" si="17"/>
        <v>-7.4740000000000002</v>
      </c>
      <c r="AA65" s="14">
        <f t="shared" ca="1" si="17"/>
        <v>-7.5410000000000004</v>
      </c>
      <c r="AB65" s="14">
        <f t="shared" ca="1" si="17"/>
        <v>-7.6</v>
      </c>
      <c r="AC65" s="14">
        <f t="shared" ca="1" si="17"/>
        <v>-7.7830000000000004</v>
      </c>
      <c r="AD65" s="14">
        <f t="shared" ca="1" si="17"/>
        <v>-7.8780000000000001</v>
      </c>
      <c r="AE65" s="14">
        <f t="shared" ca="1" si="17"/>
        <v>-7.9269999999999996</v>
      </c>
      <c r="AF65" s="14">
        <f t="shared" ca="1" si="17"/>
        <v>-7.9269999999999996</v>
      </c>
      <c r="AG65" s="14">
        <f t="shared" ca="1" si="17"/>
        <v>-7.976</v>
      </c>
      <c r="AH65" s="14">
        <f t="shared" ca="1" si="17"/>
        <v>0</v>
      </c>
      <c r="AI65" s="14">
        <f t="shared" ca="1" si="17"/>
        <v>0</v>
      </c>
      <c r="AJ65" s="14">
        <f t="shared" ca="1" si="17"/>
        <v>0</v>
      </c>
      <c r="AK65" s="14">
        <f t="shared" ca="1" si="17"/>
        <v>0</v>
      </c>
      <c r="AL65" s="14">
        <f t="shared" ca="1" si="17"/>
        <v>0</v>
      </c>
    </row>
    <row r="66" spans="1:54" ht="21" hidden="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0</v>
      </c>
      <c r="D66" s="5">
        <f t="shared" si="18"/>
        <v>1</v>
      </c>
      <c r="E66" s="6" t="str">
        <f t="shared" si="18"/>
        <v>(3)Ga[1]</v>
      </c>
      <c r="F66" s="14">
        <f t="shared" ref="F66:U74" ca="1" si="19">$A66*H.Ar + $B66*H.Se + $C66*H.Ge + $D66*H.Ga</f>
        <v>-66.099999999999994</v>
      </c>
      <c r="G66" s="14">
        <f t="shared" ca="1" si="19"/>
        <v>-61.67</v>
      </c>
      <c r="H66" s="14">
        <f t="shared" ca="1" si="19"/>
        <v>-57.42</v>
      </c>
      <c r="I66" s="14">
        <f t="shared" ca="1" si="19"/>
        <v>-53.18</v>
      </c>
      <c r="J66" s="14">
        <f t="shared" ca="1" si="19"/>
        <v>-49.01</v>
      </c>
      <c r="K66" s="14">
        <f t="shared" ca="1" si="19"/>
        <v>-45.05</v>
      </c>
      <c r="L66" s="14">
        <f t="shared" ca="1" si="19"/>
        <v>-41.4</v>
      </c>
      <c r="M66" s="14">
        <f t="shared" ca="1" si="19"/>
        <v>-38.08</v>
      </c>
      <c r="N66" s="14">
        <f t="shared" ca="1" si="19"/>
        <v>-35.11</v>
      </c>
      <c r="O66" s="14">
        <f t="shared" ca="1" si="19"/>
        <v>-25.6</v>
      </c>
      <c r="P66" s="14">
        <f t="shared" ca="1" si="19"/>
        <v>-23.53</v>
      </c>
      <c r="Q66" s="14">
        <f t="shared" ca="1" si="19"/>
        <v>-21.56</v>
      </c>
      <c r="R66" s="14">
        <f t="shared" ca="1" si="19"/>
        <v>-19.7</v>
      </c>
      <c r="S66" s="14">
        <f t="shared" ca="1" si="19"/>
        <v>-17.95</v>
      </c>
      <c r="T66" s="14">
        <f t="shared" ca="1" si="19"/>
        <v>-16.29</v>
      </c>
      <c r="U66" s="14">
        <f t="shared" ca="1" si="19"/>
        <v>-14.73</v>
      </c>
      <c r="V66" s="14">
        <f t="shared" ca="1" si="17"/>
        <v>-13.28</v>
      </c>
      <c r="W66" s="14">
        <f t="shared" ca="1" si="17"/>
        <v>-12.01</v>
      </c>
      <c r="X66" s="14">
        <f t="shared" ca="1" si="17"/>
        <v>-9.1259999999999994</v>
      </c>
      <c r="Y66" s="14">
        <f t="shared" ca="1" si="17"/>
        <v>-8.6280000000000001</v>
      </c>
      <c r="Z66" s="14">
        <f t="shared" ca="1" si="17"/>
        <v>-8.1609999999999996</v>
      </c>
      <c r="AA66" s="14">
        <f t="shared" ca="1" si="17"/>
        <v>-7.7220000000000004</v>
      </c>
      <c r="AB66" s="14">
        <f t="shared" ca="1" si="17"/>
        <v>-7.61</v>
      </c>
      <c r="AC66" s="14">
        <f t="shared" ca="1" si="17"/>
        <v>-7.883</v>
      </c>
      <c r="AD66" s="14">
        <f t="shared" ca="1" si="17"/>
        <v>-8.0139999999999993</v>
      </c>
      <c r="AE66" s="14">
        <f t="shared" ca="1" si="17"/>
        <v>-8.077</v>
      </c>
      <c r="AF66" s="14">
        <f t="shared" ca="1" si="17"/>
        <v>-8.077</v>
      </c>
      <c r="AG66" s="14">
        <f t="shared" ca="1" si="17"/>
        <v>-8.14</v>
      </c>
      <c r="AH66" s="14">
        <f t="shared" ca="1" si="17"/>
        <v>0</v>
      </c>
      <c r="AI66" s="14">
        <f t="shared" ca="1" si="17"/>
        <v>0</v>
      </c>
      <c r="AJ66" s="14">
        <f t="shared" ca="1" si="17"/>
        <v>0</v>
      </c>
      <c r="AK66" s="14">
        <f t="shared" ca="1" si="17"/>
        <v>0</v>
      </c>
      <c r="AL66" s="14">
        <f t="shared" ca="1" si="17"/>
        <v>0</v>
      </c>
    </row>
    <row r="67" spans="1:54" ht="21" hidden="1" customHeight="1" outlineLevel="1" thickBot="1" x14ac:dyDescent="0.4">
      <c r="A67" s="5">
        <f t="shared" si="18"/>
        <v>0</v>
      </c>
      <c r="B67" s="5">
        <f t="shared" si="18"/>
        <v>0</v>
      </c>
      <c r="C67" s="5">
        <f t="shared" si="18"/>
        <v>1</v>
      </c>
      <c r="D67" s="5">
        <f t="shared" si="18"/>
        <v>0</v>
      </c>
      <c r="E67" s="6" t="str">
        <f t="shared" si="18"/>
        <v>(3)Ge[1]</v>
      </c>
      <c r="F67" s="14">
        <f t="shared" ca="1" si="19"/>
        <v>-17.28</v>
      </c>
      <c r="G67" s="14">
        <f t="shared" ca="1" si="17"/>
        <v>-16.32</v>
      </c>
      <c r="H67" s="14">
        <f t="shared" ca="1" si="17"/>
        <v>-15.18</v>
      </c>
      <c r="I67" s="14">
        <f t="shared" ca="1" si="17"/>
        <v>-13.82</v>
      </c>
      <c r="J67" s="14">
        <f t="shared" ca="1" si="17"/>
        <v>-12.36</v>
      </c>
      <c r="K67" s="14">
        <f t="shared" ca="1" si="17"/>
        <v>-10.95</v>
      </c>
      <c r="L67" s="14">
        <f t="shared" ca="1" si="17"/>
        <v>-9.6379999999999999</v>
      </c>
      <c r="M67" s="14">
        <f t="shared" ca="1" si="17"/>
        <v>-8.4860000000000007</v>
      </c>
      <c r="N67" s="14">
        <f t="shared" ca="1" si="17"/>
        <v>-7.5510000000000002</v>
      </c>
      <c r="O67" s="14">
        <f t="shared" ca="1" si="17"/>
        <v>-6.1029999999999998</v>
      </c>
      <c r="P67" s="14">
        <f t="shared" ca="1" si="17"/>
        <v>-6.0819999999999999</v>
      </c>
      <c r="Q67" s="14">
        <f t="shared" ca="1" si="17"/>
        <v>-6.0990000000000002</v>
      </c>
      <c r="R67" s="14">
        <f t="shared" ca="1" si="17"/>
        <v>-6.1340000000000003</v>
      </c>
      <c r="S67" s="14">
        <f t="shared" ca="1" si="17"/>
        <v>-6.1779999999999999</v>
      </c>
      <c r="T67" s="14">
        <f t="shared" ca="1" si="17"/>
        <v>-6.226</v>
      </c>
      <c r="U67" s="14">
        <f t="shared" ca="1" si="17"/>
        <v>-6.2809999999999997</v>
      </c>
      <c r="V67" s="14">
        <f t="shared" ca="1" si="17"/>
        <v>-6.36</v>
      </c>
      <c r="W67" s="14">
        <f t="shared" ca="1" si="17"/>
        <v>-6.5149999999999997</v>
      </c>
      <c r="X67" s="14">
        <f t="shared" ca="1" si="17"/>
        <v>-7.3369999999999997</v>
      </c>
      <c r="Y67" s="14">
        <f t="shared" ca="1" si="17"/>
        <v>-7.4089999999999998</v>
      </c>
      <c r="Z67" s="14">
        <f t="shared" ca="1" si="17"/>
        <v>-7.4740000000000002</v>
      </c>
      <c r="AA67" s="14">
        <f t="shared" ca="1" si="17"/>
        <v>-7.5410000000000004</v>
      </c>
      <c r="AB67" s="14">
        <f t="shared" ca="1" si="17"/>
        <v>-7.6</v>
      </c>
      <c r="AC67" s="14">
        <f t="shared" ca="1" si="17"/>
        <v>-7.7830000000000004</v>
      </c>
      <c r="AD67" s="14">
        <f t="shared" ca="1" si="17"/>
        <v>-7.8780000000000001</v>
      </c>
      <c r="AE67" s="14">
        <f t="shared" ca="1" si="17"/>
        <v>-7.9269999999999996</v>
      </c>
      <c r="AF67" s="14">
        <f t="shared" ca="1" si="17"/>
        <v>-7.9269999999999996</v>
      </c>
      <c r="AG67" s="14">
        <f t="shared" ca="1" si="17"/>
        <v>-7.976</v>
      </c>
      <c r="AH67" s="14">
        <f t="shared" ca="1" si="17"/>
        <v>0</v>
      </c>
      <c r="AI67" s="14">
        <f t="shared" ca="1" si="17"/>
        <v>0</v>
      </c>
      <c r="AJ67" s="14">
        <f t="shared" ca="1" si="17"/>
        <v>0</v>
      </c>
      <c r="AK67" s="14">
        <f t="shared" ca="1" si="17"/>
        <v>0</v>
      </c>
      <c r="AL67" s="14">
        <f t="shared" ca="1" si="17"/>
        <v>0</v>
      </c>
    </row>
    <row r="68" spans="1:54" ht="21" hidden="1" customHeight="1" outlineLevel="1" thickBot="1" x14ac:dyDescent="0.4">
      <c r="A68" s="5">
        <f t="shared" si="18"/>
        <v>0</v>
      </c>
      <c r="B68" s="5">
        <f t="shared" si="18"/>
        <v>1</v>
      </c>
      <c r="C68" s="5">
        <f t="shared" si="18"/>
        <v>0</v>
      </c>
      <c r="D68" s="5">
        <f t="shared" si="18"/>
        <v>0</v>
      </c>
      <c r="E68" s="6" t="str">
        <f t="shared" si="18"/>
        <v>(3)Se[1]</v>
      </c>
      <c r="F68" s="14">
        <f t="shared" ca="1" si="19"/>
        <v>-23.57</v>
      </c>
      <c r="G68" s="14">
        <f t="shared" ca="1" si="17"/>
        <v>-22.38</v>
      </c>
      <c r="H68" s="14">
        <f t="shared" ca="1" si="17"/>
        <v>-21.62</v>
      </c>
      <c r="I68" s="14">
        <f t="shared" ca="1" si="17"/>
        <v>-21.32</v>
      </c>
      <c r="J68" s="14">
        <f t="shared" ca="1" si="17"/>
        <v>-21.34</v>
      </c>
      <c r="K68" s="14">
        <f t="shared" ca="1" si="17"/>
        <v>-21.53</v>
      </c>
      <c r="L68" s="14">
        <f t="shared" ca="1" si="17"/>
        <v>-21.78</v>
      </c>
      <c r="M68" s="14">
        <f t="shared" ca="1" si="17"/>
        <v>-22.03</v>
      </c>
      <c r="N68" s="14">
        <f t="shared" ca="1" si="17"/>
        <v>-22.25</v>
      </c>
      <c r="O68" s="14">
        <f t="shared" ca="1" si="17"/>
        <v>-23.02</v>
      </c>
      <c r="P68" s="14">
        <f t="shared" ca="1" si="17"/>
        <v>-23.29</v>
      </c>
      <c r="Q68" s="14">
        <f t="shared" ca="1" si="17"/>
        <v>-23.57</v>
      </c>
      <c r="R68" s="14">
        <f t="shared" ca="1" si="17"/>
        <v>-23.86</v>
      </c>
      <c r="S68" s="14">
        <f t="shared" ca="1" si="17"/>
        <v>-24.15</v>
      </c>
      <c r="T68" s="14">
        <f t="shared" ca="1" si="17"/>
        <v>-24.44</v>
      </c>
      <c r="U68" s="14">
        <f t="shared" ca="1" si="17"/>
        <v>-24.72</v>
      </c>
      <c r="V68" s="14">
        <f t="shared" ca="1" si="17"/>
        <v>-24.99</v>
      </c>
      <c r="W68" s="14">
        <f t="shared" ca="1" si="17"/>
        <v>-25.22</v>
      </c>
      <c r="X68" s="14">
        <f t="shared" ca="1" si="17"/>
        <v>-26.06</v>
      </c>
      <c r="Y68" s="14">
        <f t="shared" ca="1" si="17"/>
        <v>-26.32</v>
      </c>
      <c r="Z68" s="14">
        <f t="shared" ca="1" si="17"/>
        <v>-26.58</v>
      </c>
      <c r="AA68" s="14">
        <f t="shared" ca="1" si="17"/>
        <v>-26.85</v>
      </c>
      <c r="AB68" s="14">
        <f t="shared" ca="1" si="17"/>
        <v>-26.99</v>
      </c>
      <c r="AC68" s="14">
        <f t="shared" ca="1" si="17"/>
        <v>-27.82</v>
      </c>
      <c r="AD68" s="14">
        <f t="shared" ca="1" si="17"/>
        <v>-28.29</v>
      </c>
      <c r="AE68" s="14">
        <f t="shared" ca="1" si="17"/>
        <v>-28.53</v>
      </c>
      <c r="AF68" s="14">
        <f t="shared" ca="1" si="17"/>
        <v>-28.53</v>
      </c>
      <c r="AG68" s="14">
        <f t="shared" ca="1" si="17"/>
        <v>-28.76</v>
      </c>
      <c r="AH68" s="14">
        <f t="shared" ca="1" si="17"/>
        <v>0</v>
      </c>
      <c r="AI68" s="14">
        <f t="shared" ca="1" si="17"/>
        <v>0</v>
      </c>
      <c r="AJ68" s="14">
        <f t="shared" ca="1" si="17"/>
        <v>0</v>
      </c>
      <c r="AK68" s="14">
        <f t="shared" ca="1" si="17"/>
        <v>0</v>
      </c>
      <c r="AL68" s="14">
        <f t="shared" ca="1" si="17"/>
        <v>0</v>
      </c>
    </row>
    <row r="69" spans="1:54" ht="21" hidden="1" customHeight="1" outlineLevel="1" thickBot="1" x14ac:dyDescent="0.4">
      <c r="A69" s="5">
        <f t="shared" si="18"/>
        <v>1</v>
      </c>
      <c r="B69" s="5">
        <f t="shared" si="18"/>
        <v>0</v>
      </c>
      <c r="C69" s="5">
        <f t="shared" si="18"/>
        <v>0</v>
      </c>
      <c r="D69" s="5">
        <f t="shared" si="18"/>
        <v>0</v>
      </c>
      <c r="E69" s="6" t="str">
        <f t="shared" si="18"/>
        <v>H (Ar)</v>
      </c>
      <c r="F69" s="14">
        <f t="shared" ca="1" si="19"/>
        <v>-18.98</v>
      </c>
      <c r="G69" s="14">
        <f t="shared" ca="1" si="17"/>
        <v>-18.96</v>
      </c>
      <c r="H69" s="14">
        <f t="shared" ca="1" si="17"/>
        <v>-18.96</v>
      </c>
      <c r="I69" s="14">
        <f t="shared" ca="1" si="17"/>
        <v>-18.96</v>
      </c>
      <c r="J69" s="14">
        <f t="shared" ca="1" si="17"/>
        <v>-18.97</v>
      </c>
      <c r="K69" s="14">
        <f t="shared" ca="1" si="17"/>
        <v>-18.989999999999998</v>
      </c>
      <c r="L69" s="14">
        <f t="shared" ca="1" si="17"/>
        <v>-19.02</v>
      </c>
      <c r="M69" s="14">
        <f t="shared" ca="1" si="17"/>
        <v>-19.05</v>
      </c>
      <c r="N69" s="14">
        <f t="shared" ca="1" si="17"/>
        <v>-19.079999999999998</v>
      </c>
      <c r="O69" s="14">
        <f t="shared" ca="1" si="17"/>
        <v>-19.2</v>
      </c>
      <c r="P69" s="14">
        <f t="shared" ca="1" si="17"/>
        <v>-19.23</v>
      </c>
      <c r="Q69" s="14">
        <f t="shared" ca="1" si="17"/>
        <v>-19.27</v>
      </c>
      <c r="R69" s="14">
        <f t="shared" ca="1" si="17"/>
        <v>-19.309999999999999</v>
      </c>
      <c r="S69" s="14">
        <f t="shared" ca="1" si="17"/>
        <v>-19.36</v>
      </c>
      <c r="T69" s="14">
        <f t="shared" ca="1" si="17"/>
        <v>-19.399999999999999</v>
      </c>
      <c r="U69" s="14">
        <f t="shared" ca="1" si="17"/>
        <v>-19.440000000000001</v>
      </c>
      <c r="V69" s="14">
        <f t="shared" ca="1" si="17"/>
        <v>-19.47</v>
      </c>
      <c r="W69" s="14">
        <f t="shared" ca="1" si="17"/>
        <v>-19.48</v>
      </c>
      <c r="X69" s="14">
        <f t="shared" ca="1" si="17"/>
        <v>-19.43</v>
      </c>
      <c r="Y69" s="14">
        <f t="shared" ca="1" si="17"/>
        <v>-19.47</v>
      </c>
      <c r="Z69" s="14">
        <f t="shared" ca="1" si="17"/>
        <v>-19.510000000000002</v>
      </c>
      <c r="AA69" s="14">
        <f t="shared" ca="1" si="17"/>
        <v>-19.55</v>
      </c>
      <c r="AB69" s="14">
        <f t="shared" ca="1" si="17"/>
        <v>-19.59</v>
      </c>
      <c r="AC69" s="14">
        <f t="shared" ca="1" si="17"/>
        <v>-19.739999999999998</v>
      </c>
      <c r="AD69" s="14">
        <f t="shared" ca="1" si="17"/>
        <v>-19.809999999999999</v>
      </c>
      <c r="AE69" s="14">
        <f t="shared" ca="1" si="17"/>
        <v>-19.850000000000001</v>
      </c>
      <c r="AF69" s="14">
        <f t="shared" ca="1" si="17"/>
        <v>-19.850000000000001</v>
      </c>
      <c r="AG69" s="14">
        <f t="shared" ca="1" si="17"/>
        <v>-19.88</v>
      </c>
      <c r="AH69" s="14">
        <f t="shared" ca="1" si="17"/>
        <v>0</v>
      </c>
      <c r="AI69" s="14">
        <f t="shared" ca="1" si="17"/>
        <v>0</v>
      </c>
      <c r="AJ69" s="14">
        <f t="shared" ca="1" si="17"/>
        <v>0</v>
      </c>
      <c r="AK69" s="14">
        <f t="shared" ca="1" si="17"/>
        <v>0</v>
      </c>
      <c r="AL69" s="14">
        <f t="shared" ca="1" si="17"/>
        <v>0</v>
      </c>
    </row>
    <row r="70" spans="1:54" ht="21" hidden="1" customHeight="1" outlineLevel="1" thickBot="1" x14ac:dyDescent="0.4">
      <c r="A70" s="5">
        <f t="shared" si="18"/>
        <v>0</v>
      </c>
      <c r="B70" s="5">
        <f t="shared" si="18"/>
        <v>0</v>
      </c>
      <c r="C70" s="5">
        <f t="shared" si="18"/>
        <v>0</v>
      </c>
      <c r="D70" s="5">
        <f t="shared" si="18"/>
        <v>1</v>
      </c>
      <c r="E70" s="6" t="str">
        <f t="shared" si="18"/>
        <v>H (Ga)</v>
      </c>
      <c r="F70" s="14">
        <f t="shared" ca="1" si="19"/>
        <v>-66.099999999999994</v>
      </c>
      <c r="G70" s="14">
        <f t="shared" ca="1" si="17"/>
        <v>-61.67</v>
      </c>
      <c r="H70" s="14">
        <f t="shared" ca="1" si="17"/>
        <v>-57.42</v>
      </c>
      <c r="I70" s="14">
        <f t="shared" ca="1" si="17"/>
        <v>-53.18</v>
      </c>
      <c r="J70" s="14">
        <f t="shared" ca="1" si="17"/>
        <v>-49.01</v>
      </c>
      <c r="K70" s="14">
        <f t="shared" ca="1" si="17"/>
        <v>-45.05</v>
      </c>
      <c r="L70" s="14">
        <f t="shared" ca="1" si="17"/>
        <v>-41.4</v>
      </c>
      <c r="M70" s="14">
        <f t="shared" ca="1" si="17"/>
        <v>-38.08</v>
      </c>
      <c r="N70" s="14">
        <f t="shared" ca="1" si="17"/>
        <v>-35.11</v>
      </c>
      <c r="O70" s="14">
        <f t="shared" ca="1" si="17"/>
        <v>-25.6</v>
      </c>
      <c r="P70" s="14">
        <f t="shared" ca="1" si="17"/>
        <v>-23.53</v>
      </c>
      <c r="Q70" s="14">
        <f t="shared" ca="1" si="17"/>
        <v>-21.56</v>
      </c>
      <c r="R70" s="14">
        <f t="shared" ca="1" si="17"/>
        <v>-19.7</v>
      </c>
      <c r="S70" s="14">
        <f t="shared" ca="1" si="17"/>
        <v>-17.95</v>
      </c>
      <c r="T70" s="14">
        <f t="shared" ca="1" si="17"/>
        <v>-16.29</v>
      </c>
      <c r="U70" s="14">
        <f t="shared" ca="1" si="17"/>
        <v>-14.73</v>
      </c>
      <c r="V70" s="14">
        <f t="shared" ca="1" si="17"/>
        <v>-13.28</v>
      </c>
      <c r="W70" s="14">
        <f t="shared" ca="1" si="17"/>
        <v>-12.01</v>
      </c>
      <c r="X70" s="14">
        <f t="shared" ca="1" si="17"/>
        <v>-9.1259999999999994</v>
      </c>
      <c r="Y70" s="14">
        <f t="shared" ca="1" si="17"/>
        <v>-8.6280000000000001</v>
      </c>
      <c r="Z70" s="14">
        <f t="shared" ca="1" si="17"/>
        <v>-8.1609999999999996</v>
      </c>
      <c r="AA70" s="14">
        <f t="shared" ca="1" si="17"/>
        <v>-7.7220000000000004</v>
      </c>
      <c r="AB70" s="14">
        <f t="shared" ca="1" si="17"/>
        <v>-7.61</v>
      </c>
      <c r="AC70" s="14">
        <f t="shared" ca="1" si="17"/>
        <v>-7.883</v>
      </c>
      <c r="AD70" s="14">
        <f t="shared" ca="1" si="17"/>
        <v>-8.0139999999999993</v>
      </c>
      <c r="AE70" s="14">
        <f t="shared" ca="1" si="17"/>
        <v>-8.077</v>
      </c>
      <c r="AF70" s="14">
        <f t="shared" ca="1" si="17"/>
        <v>-8.077</v>
      </c>
      <c r="AG70" s="14">
        <f t="shared" ca="1" si="17"/>
        <v>-8.14</v>
      </c>
      <c r="AH70" s="14">
        <f t="shared" ca="1" si="17"/>
        <v>0</v>
      </c>
      <c r="AI70" s="14">
        <f t="shared" ca="1" si="17"/>
        <v>0</v>
      </c>
      <c r="AJ70" s="14">
        <f t="shared" ca="1" si="17"/>
        <v>0</v>
      </c>
      <c r="AK70" s="14">
        <f t="shared" ca="1" si="17"/>
        <v>0</v>
      </c>
      <c r="AL70" s="14">
        <f t="shared" ca="1" si="17"/>
        <v>0</v>
      </c>
    </row>
    <row r="71" spans="1:54" ht="21" hidden="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1</v>
      </c>
      <c r="D71" s="5">
        <f t="shared" si="18"/>
        <v>0</v>
      </c>
      <c r="E71" s="6" t="str">
        <f t="shared" si="18"/>
        <v>H (Ge)</v>
      </c>
      <c r="F71" s="14">
        <f t="shared" ca="1" si="19"/>
        <v>-17.28</v>
      </c>
      <c r="G71" s="14">
        <f t="shared" ca="1" si="17"/>
        <v>-16.32</v>
      </c>
      <c r="H71" s="14">
        <f t="shared" ca="1" si="17"/>
        <v>-15.18</v>
      </c>
      <c r="I71" s="14">
        <f t="shared" ca="1" si="17"/>
        <v>-13.82</v>
      </c>
      <c r="J71" s="14">
        <f t="shared" ca="1" si="17"/>
        <v>-12.36</v>
      </c>
      <c r="K71" s="14">
        <f t="shared" ca="1" si="17"/>
        <v>-10.95</v>
      </c>
      <c r="L71" s="14">
        <f t="shared" ca="1" si="17"/>
        <v>-9.6379999999999999</v>
      </c>
      <c r="M71" s="14">
        <f t="shared" ca="1" si="17"/>
        <v>-8.4860000000000007</v>
      </c>
      <c r="N71" s="14">
        <f t="shared" ca="1" si="17"/>
        <v>-7.5510000000000002</v>
      </c>
      <c r="O71" s="14">
        <f t="shared" ca="1" si="17"/>
        <v>-6.1029999999999998</v>
      </c>
      <c r="P71" s="14">
        <f t="shared" ca="1" si="17"/>
        <v>-6.0819999999999999</v>
      </c>
      <c r="Q71" s="14">
        <f t="shared" ref="G71:AL74" ca="1" si="20">$A71*H.Ar + $B71*H.Se + $C71*H.Ge + $D71*H.Ga</f>
        <v>-6.0990000000000002</v>
      </c>
      <c r="R71" s="14">
        <f t="shared" ca="1" si="20"/>
        <v>-6.1340000000000003</v>
      </c>
      <c r="S71" s="14">
        <f t="shared" ca="1" si="20"/>
        <v>-6.1779999999999999</v>
      </c>
      <c r="T71" s="14">
        <f t="shared" ca="1" si="20"/>
        <v>-6.226</v>
      </c>
      <c r="U71" s="14">
        <f t="shared" ca="1" si="20"/>
        <v>-6.2809999999999997</v>
      </c>
      <c r="V71" s="14">
        <f t="shared" ca="1" si="20"/>
        <v>-6.36</v>
      </c>
      <c r="W71" s="14">
        <f t="shared" ca="1" si="20"/>
        <v>-6.5149999999999997</v>
      </c>
      <c r="X71" s="14">
        <f t="shared" ca="1" si="20"/>
        <v>-7.3369999999999997</v>
      </c>
      <c r="Y71" s="14">
        <f t="shared" ca="1" si="20"/>
        <v>-7.4089999999999998</v>
      </c>
      <c r="Z71" s="14">
        <f t="shared" ca="1" si="20"/>
        <v>-7.4740000000000002</v>
      </c>
      <c r="AA71" s="14">
        <f t="shared" ca="1" si="20"/>
        <v>-7.5410000000000004</v>
      </c>
      <c r="AB71" s="14">
        <f t="shared" ca="1" si="20"/>
        <v>-7.6</v>
      </c>
      <c r="AC71" s="14">
        <f t="shared" ca="1" si="20"/>
        <v>-7.7830000000000004</v>
      </c>
      <c r="AD71" s="14">
        <f t="shared" ca="1" si="20"/>
        <v>-7.8780000000000001</v>
      </c>
      <c r="AE71" s="14">
        <f t="shared" ca="1" si="20"/>
        <v>-7.9269999999999996</v>
      </c>
      <c r="AF71" s="14">
        <f t="shared" ca="1" si="20"/>
        <v>-7.9269999999999996</v>
      </c>
      <c r="AG71" s="14">
        <f t="shared" ca="1" si="20"/>
        <v>-7.976</v>
      </c>
      <c r="AH71" s="14">
        <f t="shared" ca="1" si="20"/>
        <v>0</v>
      </c>
      <c r="AI71" s="14">
        <f t="shared" ca="1" si="20"/>
        <v>0</v>
      </c>
      <c r="AJ71" s="14">
        <f t="shared" ca="1" si="20"/>
        <v>0</v>
      </c>
      <c r="AK71" s="14">
        <f t="shared" ca="1" si="20"/>
        <v>0</v>
      </c>
      <c r="AL71" s="14">
        <f t="shared" ca="1" si="20"/>
        <v>0</v>
      </c>
    </row>
    <row r="72" spans="1:54" ht="21" hidden="1" customHeight="1" outlineLevel="1" thickBot="1" x14ac:dyDescent="0.4">
      <c r="A72" s="5">
        <f t="shared" si="18"/>
        <v>0</v>
      </c>
      <c r="B72" s="5">
        <f t="shared" si="18"/>
        <v>1</v>
      </c>
      <c r="C72" s="5">
        <f t="shared" si="18"/>
        <v>0</v>
      </c>
      <c r="D72" s="5">
        <f t="shared" si="18"/>
        <v>0</v>
      </c>
      <c r="E72" s="6" t="str">
        <f t="shared" si="18"/>
        <v>H (Se)</v>
      </c>
      <c r="F72" s="14">
        <f t="shared" ca="1" si="19"/>
        <v>-23.57</v>
      </c>
      <c r="G72" s="14">
        <f t="shared" ca="1" si="20"/>
        <v>-22.38</v>
      </c>
      <c r="H72" s="14">
        <f t="shared" ca="1" si="20"/>
        <v>-21.62</v>
      </c>
      <c r="I72" s="14">
        <f t="shared" ca="1" si="20"/>
        <v>-21.32</v>
      </c>
      <c r="J72" s="14">
        <f t="shared" ca="1" si="20"/>
        <v>-21.34</v>
      </c>
      <c r="K72" s="14">
        <f t="shared" ca="1" si="20"/>
        <v>-21.53</v>
      </c>
      <c r="L72" s="14">
        <f t="shared" ca="1" si="20"/>
        <v>-21.78</v>
      </c>
      <c r="M72" s="14">
        <f t="shared" ca="1" si="20"/>
        <v>-22.03</v>
      </c>
      <c r="N72" s="14">
        <f t="shared" ca="1" si="20"/>
        <v>-22.25</v>
      </c>
      <c r="O72" s="14">
        <f t="shared" ca="1" si="20"/>
        <v>-23.02</v>
      </c>
      <c r="P72" s="14">
        <f t="shared" ca="1" si="20"/>
        <v>-23.29</v>
      </c>
      <c r="Q72" s="14">
        <f t="shared" ca="1" si="20"/>
        <v>-23.57</v>
      </c>
      <c r="R72" s="14">
        <f t="shared" ca="1" si="20"/>
        <v>-23.86</v>
      </c>
      <c r="S72" s="14">
        <f t="shared" ca="1" si="20"/>
        <v>-24.15</v>
      </c>
      <c r="T72" s="14">
        <f t="shared" ca="1" si="20"/>
        <v>-24.44</v>
      </c>
      <c r="U72" s="14">
        <f t="shared" ca="1" si="20"/>
        <v>-24.72</v>
      </c>
      <c r="V72" s="14">
        <f t="shared" ca="1" si="20"/>
        <v>-24.99</v>
      </c>
      <c r="W72" s="14">
        <f t="shared" ca="1" si="20"/>
        <v>-25.22</v>
      </c>
      <c r="X72" s="14">
        <f t="shared" ca="1" si="20"/>
        <v>-26.06</v>
      </c>
      <c r="Y72" s="14">
        <f t="shared" ca="1" si="20"/>
        <v>-26.32</v>
      </c>
      <c r="Z72" s="14">
        <f t="shared" ca="1" si="20"/>
        <v>-26.58</v>
      </c>
      <c r="AA72" s="14">
        <f t="shared" ca="1" si="20"/>
        <v>-26.85</v>
      </c>
      <c r="AB72" s="14">
        <f t="shared" ca="1" si="20"/>
        <v>-26.99</v>
      </c>
      <c r="AC72" s="14">
        <f t="shared" ca="1" si="20"/>
        <v>-27.82</v>
      </c>
      <c r="AD72" s="14">
        <f t="shared" ca="1" si="20"/>
        <v>-28.29</v>
      </c>
      <c r="AE72" s="14">
        <f t="shared" ca="1" si="20"/>
        <v>-28.53</v>
      </c>
      <c r="AF72" s="14">
        <f t="shared" ca="1" si="20"/>
        <v>-28.53</v>
      </c>
      <c r="AG72" s="14">
        <f t="shared" ca="1" si="20"/>
        <v>-28.76</v>
      </c>
      <c r="AH72" s="14">
        <f t="shared" ca="1" si="20"/>
        <v>0</v>
      </c>
      <c r="AI72" s="14">
        <f t="shared" ca="1" si="20"/>
        <v>0</v>
      </c>
      <c r="AJ72" s="14">
        <f t="shared" ca="1" si="20"/>
        <v>0</v>
      </c>
      <c r="AK72" s="14">
        <f t="shared" ca="1" si="20"/>
        <v>0</v>
      </c>
      <c r="AL72" s="14">
        <f t="shared" ca="1" si="20"/>
        <v>0</v>
      </c>
    </row>
    <row r="73" spans="1:54" ht="21" hidden="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>
        <f t="shared" ca="1" si="19"/>
        <v>0</v>
      </c>
      <c r="G73" s="14">
        <f t="shared" ca="1" si="20"/>
        <v>0</v>
      </c>
      <c r="H73" s="14">
        <f t="shared" ca="1" si="20"/>
        <v>0</v>
      </c>
      <c r="I73" s="14">
        <f t="shared" ca="1" si="20"/>
        <v>0</v>
      </c>
      <c r="J73" s="14">
        <f t="shared" ca="1" si="20"/>
        <v>0</v>
      </c>
      <c r="K73" s="14">
        <f t="shared" ca="1" si="20"/>
        <v>0</v>
      </c>
      <c r="L73" s="14">
        <f t="shared" ca="1" si="20"/>
        <v>0</v>
      </c>
      <c r="M73" s="14">
        <f t="shared" ca="1" si="20"/>
        <v>0</v>
      </c>
      <c r="N73" s="14">
        <f t="shared" ca="1" si="20"/>
        <v>0</v>
      </c>
      <c r="O73" s="14">
        <f t="shared" ca="1" si="20"/>
        <v>0</v>
      </c>
      <c r="P73" s="14">
        <f t="shared" ca="1" si="20"/>
        <v>0</v>
      </c>
      <c r="Q73" s="14">
        <f t="shared" ca="1" si="20"/>
        <v>0</v>
      </c>
      <c r="R73" s="14">
        <f t="shared" ca="1" si="20"/>
        <v>0</v>
      </c>
      <c r="S73" s="14">
        <f t="shared" ca="1" si="20"/>
        <v>0</v>
      </c>
      <c r="T73" s="14">
        <f t="shared" ca="1" si="20"/>
        <v>0</v>
      </c>
      <c r="U73" s="14">
        <f t="shared" ca="1" si="20"/>
        <v>0</v>
      </c>
      <c r="V73" s="14">
        <f t="shared" ca="1" si="20"/>
        <v>0</v>
      </c>
      <c r="W73" s="14">
        <f t="shared" ca="1" si="20"/>
        <v>0</v>
      </c>
      <c r="X73" s="14">
        <f t="shared" ca="1" si="20"/>
        <v>0</v>
      </c>
      <c r="Y73" s="14">
        <f t="shared" ca="1" si="20"/>
        <v>0</v>
      </c>
      <c r="Z73" s="14">
        <f t="shared" ca="1" si="20"/>
        <v>0</v>
      </c>
      <c r="AA73" s="14">
        <f t="shared" ca="1" si="20"/>
        <v>0</v>
      </c>
      <c r="AB73" s="14">
        <f t="shared" ca="1" si="20"/>
        <v>0</v>
      </c>
      <c r="AC73" s="14">
        <f t="shared" ca="1" si="20"/>
        <v>0</v>
      </c>
      <c r="AD73" s="14">
        <f t="shared" ca="1" si="20"/>
        <v>0</v>
      </c>
      <c r="AE73" s="14">
        <f t="shared" ca="1" si="20"/>
        <v>0</v>
      </c>
      <c r="AF73" s="14">
        <f t="shared" ca="1" si="20"/>
        <v>0</v>
      </c>
      <c r="AG73" s="14">
        <f t="shared" ca="1" si="20"/>
        <v>0</v>
      </c>
      <c r="AH73" s="14">
        <f t="shared" ca="1" si="20"/>
        <v>0</v>
      </c>
      <c r="AI73" s="14">
        <f t="shared" ca="1" si="20"/>
        <v>0</v>
      </c>
      <c r="AJ73" s="14">
        <f t="shared" ca="1" si="20"/>
        <v>0</v>
      </c>
      <c r="AK73" s="14">
        <f t="shared" ca="1" si="20"/>
        <v>0</v>
      </c>
      <c r="AL73" s="14">
        <f t="shared" ca="1" si="20"/>
        <v>0</v>
      </c>
    </row>
    <row r="74" spans="1:54" ht="21" hidden="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>
        <f t="shared" ca="1" si="19"/>
        <v>0</v>
      </c>
      <c r="G74" s="14">
        <f t="shared" ca="1" si="20"/>
        <v>0</v>
      </c>
      <c r="H74" s="14">
        <f t="shared" ca="1" si="20"/>
        <v>0</v>
      </c>
      <c r="I74" s="14">
        <f t="shared" ca="1" si="20"/>
        <v>0</v>
      </c>
      <c r="J74" s="14">
        <f t="shared" ca="1" si="20"/>
        <v>0</v>
      </c>
      <c r="K74" s="14">
        <f t="shared" ca="1" si="20"/>
        <v>0</v>
      </c>
      <c r="L74" s="14">
        <f t="shared" ca="1" si="20"/>
        <v>0</v>
      </c>
      <c r="M74" s="14">
        <f t="shared" ca="1" si="20"/>
        <v>0</v>
      </c>
      <c r="N74" s="14">
        <f t="shared" ca="1" si="20"/>
        <v>0</v>
      </c>
      <c r="O74" s="14">
        <f t="shared" ca="1" si="20"/>
        <v>0</v>
      </c>
      <c r="P74" s="14">
        <f t="shared" ca="1" si="20"/>
        <v>0</v>
      </c>
      <c r="Q74" s="14">
        <f t="shared" ca="1" si="20"/>
        <v>0</v>
      </c>
      <c r="R74" s="14">
        <f t="shared" ca="1" si="20"/>
        <v>0</v>
      </c>
      <c r="S74" s="14">
        <f t="shared" ca="1" si="20"/>
        <v>0</v>
      </c>
      <c r="T74" s="14">
        <f t="shared" ca="1" si="20"/>
        <v>0</v>
      </c>
      <c r="U74" s="14">
        <f t="shared" ca="1" si="20"/>
        <v>0</v>
      </c>
      <c r="V74" s="14">
        <f t="shared" ca="1" si="20"/>
        <v>0</v>
      </c>
      <c r="W74" s="14">
        <f t="shared" ca="1" si="20"/>
        <v>0</v>
      </c>
      <c r="X74" s="14">
        <f t="shared" ca="1" si="20"/>
        <v>0</v>
      </c>
      <c r="Y74" s="14">
        <f t="shared" ca="1" si="20"/>
        <v>0</v>
      </c>
      <c r="Z74" s="14">
        <f t="shared" ca="1" si="20"/>
        <v>0</v>
      </c>
      <c r="AA74" s="14">
        <f t="shared" ca="1" si="20"/>
        <v>0</v>
      </c>
      <c r="AB74" s="14">
        <f t="shared" ca="1" si="20"/>
        <v>0</v>
      </c>
      <c r="AC74" s="14">
        <f t="shared" ca="1" si="20"/>
        <v>0</v>
      </c>
      <c r="AD74" s="14">
        <f t="shared" ca="1" si="20"/>
        <v>0</v>
      </c>
      <c r="AE74" s="14">
        <f t="shared" ca="1" si="20"/>
        <v>0</v>
      </c>
      <c r="AF74" s="14">
        <f t="shared" ca="1" si="20"/>
        <v>0</v>
      </c>
      <c r="AG74" s="14">
        <f t="shared" ca="1" si="20"/>
        <v>0</v>
      </c>
      <c r="AH74" s="14">
        <f t="shared" ca="1" si="20"/>
        <v>0</v>
      </c>
      <c r="AI74" s="14">
        <f t="shared" ca="1" si="20"/>
        <v>0</v>
      </c>
      <c r="AJ74" s="14">
        <f t="shared" ca="1" si="20"/>
        <v>0</v>
      </c>
      <c r="AK74" s="14">
        <f t="shared" ca="1" si="20"/>
        <v>0</v>
      </c>
      <c r="AL74" s="14">
        <f t="shared" ca="1" si="20"/>
        <v>0</v>
      </c>
    </row>
    <row r="75" spans="1:54" ht="21" hidden="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collapsed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x14ac:dyDescent="0.4">
      <c r="A78" s="88"/>
      <c r="B78" s="88"/>
      <c r="C78" s="89">
        <f>E41</f>
        <v>8.3333333333333339</v>
      </c>
      <c r="D78" s="75"/>
      <c r="E78" s="74" t="s">
        <v>22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1">E45</f>
        <v>Temperature,К</v>
      </c>
      <c r="F79" s="3">
        <f t="shared" ref="F79:AL79" si="22">F3</f>
        <v>273.10000000000002</v>
      </c>
      <c r="G79" s="3">
        <f t="shared" si="22"/>
        <v>293.3</v>
      </c>
      <c r="H79" s="3">
        <f t="shared" si="22"/>
        <v>313.5</v>
      </c>
      <c r="I79" s="3">
        <f t="shared" si="22"/>
        <v>333.7</v>
      </c>
      <c r="J79" s="3">
        <f t="shared" si="22"/>
        <v>353.9</v>
      </c>
      <c r="K79" s="3">
        <f t="shared" si="22"/>
        <v>374.1</v>
      </c>
      <c r="L79" s="3">
        <f t="shared" si="22"/>
        <v>394.3</v>
      </c>
      <c r="M79" s="3">
        <f t="shared" si="22"/>
        <v>414.5</v>
      </c>
      <c r="N79" s="3">
        <f t="shared" si="22"/>
        <v>434.7</v>
      </c>
      <c r="O79" s="3">
        <f t="shared" si="22"/>
        <v>515.4</v>
      </c>
      <c r="P79" s="3">
        <f t="shared" si="22"/>
        <v>535.6</v>
      </c>
      <c r="Q79" s="3">
        <f t="shared" si="22"/>
        <v>555.79999999999995</v>
      </c>
      <c r="R79" s="3">
        <f t="shared" si="22"/>
        <v>576</v>
      </c>
      <c r="S79" s="3">
        <f t="shared" si="22"/>
        <v>596.20000000000005</v>
      </c>
      <c r="T79" s="3">
        <f t="shared" si="22"/>
        <v>616.4</v>
      </c>
      <c r="U79" s="3">
        <f t="shared" si="22"/>
        <v>636.6</v>
      </c>
      <c r="V79" s="3">
        <f t="shared" si="22"/>
        <v>656.8</v>
      </c>
      <c r="W79" s="3">
        <f t="shared" si="22"/>
        <v>677</v>
      </c>
      <c r="X79" s="3">
        <f t="shared" si="22"/>
        <v>757.7</v>
      </c>
      <c r="Y79" s="3">
        <f t="shared" si="22"/>
        <v>777.9</v>
      </c>
      <c r="Z79" s="3">
        <f t="shared" si="22"/>
        <v>798.1</v>
      </c>
      <c r="AA79" s="3">
        <f t="shared" si="22"/>
        <v>818.3</v>
      </c>
      <c r="AB79" s="3">
        <f t="shared" si="22"/>
        <v>838.5</v>
      </c>
      <c r="AC79" s="3">
        <f t="shared" si="22"/>
        <v>919.2</v>
      </c>
      <c r="AD79" s="3">
        <f t="shared" si="22"/>
        <v>939.4</v>
      </c>
      <c r="AE79" s="3">
        <f t="shared" si="22"/>
        <v>959.6</v>
      </c>
      <c r="AF79" s="3">
        <f t="shared" si="22"/>
        <v>979.8</v>
      </c>
      <c r="AG79" s="3">
        <f t="shared" si="22"/>
        <v>1000</v>
      </c>
      <c r="AH79" s="3">
        <f t="shared" si="22"/>
        <v>0</v>
      </c>
      <c r="AI79" s="3">
        <f t="shared" si="22"/>
        <v>0</v>
      </c>
      <c r="AJ79" s="3">
        <f t="shared" si="22"/>
        <v>0</v>
      </c>
      <c r="AK79" s="3">
        <f t="shared" si="22"/>
        <v>0</v>
      </c>
      <c r="AL79" s="3">
        <f t="shared" si="22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3">B46</f>
        <v>0</v>
      </c>
      <c r="C80" s="5">
        <f t="shared" si="23"/>
        <v>1</v>
      </c>
      <c r="D80" s="5">
        <f t="shared" si="23"/>
        <v>0</v>
      </c>
      <c r="E80" s="6" t="str">
        <f t="shared" si="21"/>
        <v>*Ge</v>
      </c>
      <c r="F80" s="14">
        <f t="shared" ref="F80:AL80" si="24">F4*$C$78</f>
        <v>0</v>
      </c>
      <c r="G80" s="14">
        <f t="shared" si="24"/>
        <v>0</v>
      </c>
      <c r="H80" s="14">
        <f t="shared" si="24"/>
        <v>0</v>
      </c>
      <c r="I80" s="14">
        <f t="shared" si="24"/>
        <v>0</v>
      </c>
      <c r="J80" s="14">
        <f t="shared" si="24"/>
        <v>0</v>
      </c>
      <c r="K80" s="14">
        <f t="shared" si="24"/>
        <v>0</v>
      </c>
      <c r="L80" s="14">
        <f t="shared" si="24"/>
        <v>0</v>
      </c>
      <c r="M80" s="14">
        <f t="shared" si="24"/>
        <v>0</v>
      </c>
      <c r="N80" s="14">
        <f t="shared" si="24"/>
        <v>1.6865000000000001E-30</v>
      </c>
      <c r="O80" s="14">
        <f t="shared" si="24"/>
        <v>8.4958333333333343E-19</v>
      </c>
      <c r="P80" s="14">
        <f t="shared" si="24"/>
        <v>6.5161666666666671E-19</v>
      </c>
      <c r="Q80" s="14">
        <f t="shared" si="24"/>
        <v>1.6030833333333334E-18</v>
      </c>
      <c r="R80" s="14">
        <f t="shared" si="24"/>
        <v>2.9692500000000002E-18</v>
      </c>
      <c r="S80" s="14">
        <f t="shared" si="24"/>
        <v>4.9332500000000003E-18</v>
      </c>
      <c r="T80" s="14">
        <f t="shared" si="24"/>
        <v>5.6356666666666665E-18</v>
      </c>
      <c r="U80" s="14">
        <f t="shared" si="24"/>
        <v>7.4950000000000004E-19</v>
      </c>
      <c r="V80" s="14">
        <f t="shared" si="24"/>
        <v>3.931833333333334E-19</v>
      </c>
      <c r="W80" s="14">
        <f t="shared" si="24"/>
        <v>6.1439999999999999E-21</v>
      </c>
      <c r="X80" s="14">
        <f t="shared" si="24"/>
        <v>0</v>
      </c>
      <c r="Y80" s="14">
        <f t="shared" si="24"/>
        <v>0</v>
      </c>
      <c r="Z80" s="14">
        <f t="shared" si="24"/>
        <v>0</v>
      </c>
      <c r="AA80" s="14">
        <f t="shared" si="24"/>
        <v>0</v>
      </c>
      <c r="AB80" s="14">
        <f t="shared" si="24"/>
        <v>0</v>
      </c>
      <c r="AC80" s="14">
        <f t="shared" si="24"/>
        <v>0</v>
      </c>
      <c r="AD80" s="14">
        <f t="shared" si="24"/>
        <v>0</v>
      </c>
      <c r="AE80" s="14">
        <f t="shared" si="24"/>
        <v>0</v>
      </c>
      <c r="AF80" s="14">
        <f t="shared" si="24"/>
        <v>0</v>
      </c>
      <c r="AG80" s="14">
        <f t="shared" si="24"/>
        <v>0</v>
      </c>
      <c r="AH80" s="14">
        <f t="shared" si="24"/>
        <v>0</v>
      </c>
      <c r="AI80" s="14">
        <f t="shared" si="24"/>
        <v>0</v>
      </c>
      <c r="AJ80" s="14">
        <f t="shared" si="24"/>
        <v>0</v>
      </c>
      <c r="AK80" s="14">
        <f t="shared" si="24"/>
        <v>0</v>
      </c>
      <c r="AL80" s="14">
        <f t="shared" si="24"/>
        <v>0</v>
      </c>
    </row>
    <row r="81" spans="1:38" ht="21" hidden="1" customHeight="1" outlineLevel="1" thickBot="1" x14ac:dyDescent="0.4">
      <c r="A81" s="5">
        <f t="shared" ref="A81:D96" si="25">A47</f>
        <v>0</v>
      </c>
      <c r="B81" s="5">
        <f t="shared" si="25"/>
        <v>1</v>
      </c>
      <c r="C81" s="5">
        <f t="shared" si="25"/>
        <v>1</v>
      </c>
      <c r="D81" s="5">
        <f t="shared" si="25"/>
        <v>0</v>
      </c>
      <c r="E81" s="6" t="str">
        <f t="shared" si="21"/>
        <v>*GeSe</v>
      </c>
      <c r="F81" s="14">
        <f t="shared" ref="F81:AL81" si="26">F5*$C$78</f>
        <v>1.4555E-8</v>
      </c>
      <c r="G81" s="14">
        <f t="shared" si="26"/>
        <v>2.598916666666667E-8</v>
      </c>
      <c r="H81" s="14">
        <f t="shared" si="26"/>
        <v>4.0933333333333343E-8</v>
      </c>
      <c r="I81" s="14">
        <f t="shared" si="26"/>
        <v>4.2844166666666668E-8</v>
      </c>
      <c r="J81" s="14">
        <f t="shared" si="26"/>
        <v>6.9623333333333343E-8</v>
      </c>
      <c r="K81" s="14">
        <f t="shared" si="26"/>
        <v>5.5202500000000001E-8</v>
      </c>
      <c r="L81" s="14">
        <f t="shared" si="26"/>
        <v>4.6265000000000004E-8</v>
      </c>
      <c r="M81" s="14">
        <f t="shared" si="26"/>
        <v>6.7731666666666685E-8</v>
      </c>
      <c r="N81" s="14">
        <f t="shared" si="26"/>
        <v>2.2588333333333336E-8</v>
      </c>
      <c r="O81" s="14">
        <f t="shared" si="26"/>
        <v>8.3466666666666669E-27</v>
      </c>
      <c r="P81" s="14">
        <f t="shared" si="26"/>
        <v>5.3939166666666668E-35</v>
      </c>
      <c r="Q81" s="14">
        <f t="shared" si="26"/>
        <v>0</v>
      </c>
      <c r="R81" s="14">
        <f t="shared" si="26"/>
        <v>0</v>
      </c>
      <c r="S81" s="14">
        <f t="shared" si="26"/>
        <v>0</v>
      </c>
      <c r="T81" s="14">
        <f t="shared" si="26"/>
        <v>0</v>
      </c>
      <c r="U81" s="14">
        <f t="shared" si="26"/>
        <v>0</v>
      </c>
      <c r="V81" s="14">
        <f t="shared" si="26"/>
        <v>0</v>
      </c>
      <c r="W81" s="14">
        <f t="shared" si="26"/>
        <v>0</v>
      </c>
      <c r="X81" s="14">
        <f t="shared" si="26"/>
        <v>0</v>
      </c>
      <c r="Y81" s="14">
        <f t="shared" si="26"/>
        <v>0</v>
      </c>
      <c r="Z81" s="14">
        <f t="shared" si="26"/>
        <v>0</v>
      </c>
      <c r="AA81" s="14">
        <f t="shared" si="26"/>
        <v>0</v>
      </c>
      <c r="AB81" s="14">
        <f t="shared" si="26"/>
        <v>0</v>
      </c>
      <c r="AC81" s="14">
        <f t="shared" si="26"/>
        <v>0</v>
      </c>
      <c r="AD81" s="14">
        <f t="shared" si="26"/>
        <v>0</v>
      </c>
      <c r="AE81" s="14">
        <f t="shared" si="26"/>
        <v>0</v>
      </c>
      <c r="AF81" s="14">
        <f t="shared" si="26"/>
        <v>0</v>
      </c>
      <c r="AG81" s="14">
        <f t="shared" si="26"/>
        <v>0</v>
      </c>
      <c r="AH81" s="14">
        <f t="shared" si="26"/>
        <v>0</v>
      </c>
      <c r="AI81" s="14">
        <f t="shared" si="26"/>
        <v>0</v>
      </c>
      <c r="AJ81" s="14">
        <f t="shared" si="26"/>
        <v>0</v>
      </c>
      <c r="AK81" s="14">
        <f t="shared" si="26"/>
        <v>0</v>
      </c>
      <c r="AL81" s="14">
        <f t="shared" si="26"/>
        <v>0</v>
      </c>
    </row>
    <row r="82" spans="1:38" ht="21" hidden="1" customHeight="1" outlineLevel="1" thickBot="1" x14ac:dyDescent="0.4">
      <c r="A82" s="5">
        <f t="shared" si="25"/>
        <v>0</v>
      </c>
      <c r="B82" s="5">
        <f t="shared" si="25"/>
        <v>0</v>
      </c>
      <c r="C82" s="5">
        <f t="shared" si="25"/>
        <v>0</v>
      </c>
      <c r="D82" s="5">
        <f t="shared" si="25"/>
        <v>1</v>
      </c>
      <c r="E82" s="6" t="str">
        <f t="shared" si="21"/>
        <v>*Ga[l]</v>
      </c>
      <c r="F82" s="14">
        <f t="shared" ref="F82:AL82" si="27">F6*$C$78</f>
        <v>0</v>
      </c>
      <c r="G82" s="14">
        <f t="shared" si="27"/>
        <v>0</v>
      </c>
      <c r="H82" s="14">
        <f t="shared" si="27"/>
        <v>0</v>
      </c>
      <c r="I82" s="14">
        <f t="shared" si="27"/>
        <v>0</v>
      </c>
      <c r="J82" s="14">
        <f t="shared" si="27"/>
        <v>0</v>
      </c>
      <c r="K82" s="14">
        <f t="shared" si="27"/>
        <v>0</v>
      </c>
      <c r="L82" s="14">
        <f t="shared" si="27"/>
        <v>0</v>
      </c>
      <c r="M82" s="14">
        <f t="shared" si="27"/>
        <v>0</v>
      </c>
      <c r="N82" s="14">
        <f t="shared" si="27"/>
        <v>0</v>
      </c>
      <c r="O82" s="14">
        <f t="shared" si="27"/>
        <v>0</v>
      </c>
      <c r="P82" s="14">
        <f t="shared" si="27"/>
        <v>0</v>
      </c>
      <c r="Q82" s="14">
        <f t="shared" si="27"/>
        <v>0</v>
      </c>
      <c r="R82" s="14">
        <f t="shared" si="27"/>
        <v>0</v>
      </c>
      <c r="S82" s="14">
        <f t="shared" si="27"/>
        <v>0</v>
      </c>
      <c r="T82" s="14">
        <f t="shared" si="27"/>
        <v>0</v>
      </c>
      <c r="U82" s="14">
        <f t="shared" si="27"/>
        <v>0</v>
      </c>
      <c r="V82" s="14">
        <f t="shared" si="27"/>
        <v>0</v>
      </c>
      <c r="W82" s="14">
        <f t="shared" si="27"/>
        <v>0</v>
      </c>
      <c r="X82" s="14">
        <f t="shared" si="27"/>
        <v>2.1125000000000003E-32</v>
      </c>
      <c r="Y82" s="14">
        <f t="shared" si="27"/>
        <v>5.1563333333333332E-23</v>
      </c>
      <c r="Z82" s="14">
        <f t="shared" si="27"/>
        <v>2.6735000000000002E-14</v>
      </c>
      <c r="AA82" s="14">
        <f t="shared" si="27"/>
        <v>4.0113333333333338E-9</v>
      </c>
      <c r="AB82" s="14">
        <f t="shared" si="27"/>
        <v>9.4841666666666674E-4</v>
      </c>
      <c r="AC82" s="14">
        <f t="shared" si="27"/>
        <v>7.8059166666666666E-2</v>
      </c>
      <c r="AD82" s="14">
        <f t="shared" si="27"/>
        <v>5.6970833333333332E-2</v>
      </c>
      <c r="AE82" s="14">
        <f t="shared" si="27"/>
        <v>4.0588333333333337E-2</v>
      </c>
      <c r="AF82" s="14">
        <f t="shared" si="27"/>
        <v>2.8280000000000003E-2</v>
      </c>
      <c r="AG82" s="14">
        <f t="shared" si="27"/>
        <v>1.9214166666666668E-2</v>
      </c>
      <c r="AH82" s="14">
        <f t="shared" si="27"/>
        <v>0</v>
      </c>
      <c r="AI82" s="14">
        <f t="shared" si="27"/>
        <v>0</v>
      </c>
      <c r="AJ82" s="14">
        <f t="shared" si="27"/>
        <v>0</v>
      </c>
      <c r="AK82" s="14">
        <f t="shared" si="27"/>
        <v>0</v>
      </c>
      <c r="AL82" s="14">
        <f t="shared" si="27"/>
        <v>0</v>
      </c>
    </row>
    <row r="83" spans="1:38" ht="21" hidden="1" customHeight="1" outlineLevel="1" thickBot="1" x14ac:dyDescent="0.4">
      <c r="A83" s="5">
        <f t="shared" si="25"/>
        <v>0</v>
      </c>
      <c r="B83" s="5">
        <f t="shared" si="25"/>
        <v>0</v>
      </c>
      <c r="C83" s="5">
        <f t="shared" si="25"/>
        <v>1</v>
      </c>
      <c r="D83" s="5">
        <f t="shared" si="25"/>
        <v>0</v>
      </c>
      <c r="E83" s="6" t="str">
        <f t="shared" si="21"/>
        <v>*Ge[c]</v>
      </c>
      <c r="F83" s="14">
        <f t="shared" ref="F83:AL83" si="28">F7*$C$78</f>
        <v>0</v>
      </c>
      <c r="G83" s="14">
        <f t="shared" si="28"/>
        <v>0</v>
      </c>
      <c r="H83" s="14">
        <f t="shared" si="28"/>
        <v>0</v>
      </c>
      <c r="I83" s="14">
        <f t="shared" si="28"/>
        <v>0</v>
      </c>
      <c r="J83" s="14">
        <f t="shared" si="28"/>
        <v>0</v>
      </c>
      <c r="K83" s="14">
        <f t="shared" si="28"/>
        <v>0</v>
      </c>
      <c r="L83" s="14">
        <f t="shared" si="28"/>
        <v>0</v>
      </c>
      <c r="M83" s="14">
        <f t="shared" si="28"/>
        <v>0</v>
      </c>
      <c r="N83" s="14">
        <f t="shared" si="28"/>
        <v>1.6865000000000001E-30</v>
      </c>
      <c r="O83" s="14">
        <f t="shared" si="28"/>
        <v>8.4958333333333343E-19</v>
      </c>
      <c r="P83" s="14">
        <f t="shared" si="28"/>
        <v>6.5161666666666671E-19</v>
      </c>
      <c r="Q83" s="14">
        <f t="shared" si="28"/>
        <v>1.6030833333333334E-18</v>
      </c>
      <c r="R83" s="14">
        <f t="shared" si="28"/>
        <v>2.9692500000000002E-18</v>
      </c>
      <c r="S83" s="14">
        <f t="shared" si="28"/>
        <v>4.9332500000000003E-18</v>
      </c>
      <c r="T83" s="14">
        <f t="shared" si="28"/>
        <v>5.6356666666666665E-18</v>
      </c>
      <c r="U83" s="14">
        <f t="shared" si="28"/>
        <v>7.4950000000000004E-19</v>
      </c>
      <c r="V83" s="14">
        <f t="shared" si="28"/>
        <v>3.931833333333334E-19</v>
      </c>
      <c r="W83" s="14">
        <f t="shared" si="28"/>
        <v>6.1439999999999999E-21</v>
      </c>
      <c r="X83" s="14">
        <f t="shared" si="28"/>
        <v>0</v>
      </c>
      <c r="Y83" s="14">
        <f t="shared" si="28"/>
        <v>0</v>
      </c>
      <c r="Z83" s="14">
        <f t="shared" si="28"/>
        <v>0</v>
      </c>
      <c r="AA83" s="14">
        <f t="shared" si="28"/>
        <v>0</v>
      </c>
      <c r="AB83" s="14">
        <f t="shared" si="28"/>
        <v>0</v>
      </c>
      <c r="AC83" s="14">
        <f t="shared" si="28"/>
        <v>0</v>
      </c>
      <c r="AD83" s="14">
        <f t="shared" si="28"/>
        <v>0</v>
      </c>
      <c r="AE83" s="14">
        <f t="shared" si="28"/>
        <v>0</v>
      </c>
      <c r="AF83" s="14">
        <f t="shared" si="28"/>
        <v>0</v>
      </c>
      <c r="AG83" s="14">
        <f t="shared" si="28"/>
        <v>0</v>
      </c>
      <c r="AH83" s="14">
        <f t="shared" si="28"/>
        <v>0</v>
      </c>
      <c r="AI83" s="14">
        <f t="shared" si="28"/>
        <v>0</v>
      </c>
      <c r="AJ83" s="14">
        <f t="shared" si="28"/>
        <v>0</v>
      </c>
      <c r="AK83" s="14">
        <f t="shared" si="28"/>
        <v>0</v>
      </c>
      <c r="AL83" s="14">
        <f t="shared" si="28"/>
        <v>0</v>
      </c>
    </row>
    <row r="84" spans="1:38" ht="21" hidden="1" customHeight="1" outlineLevel="1" thickBot="1" x14ac:dyDescent="0.4">
      <c r="A84" s="5">
        <f t="shared" si="25"/>
        <v>0</v>
      </c>
      <c r="B84" s="5">
        <f t="shared" si="25"/>
        <v>1</v>
      </c>
      <c r="C84" s="5">
        <f t="shared" si="25"/>
        <v>0</v>
      </c>
      <c r="D84" s="5">
        <f t="shared" si="25"/>
        <v>0</v>
      </c>
      <c r="E84" s="6" t="str">
        <f t="shared" si="21"/>
        <v>*Se[m]</v>
      </c>
      <c r="F84" s="14">
        <f t="shared" ref="F84:AL84" si="29">F8*$C$78</f>
        <v>0</v>
      </c>
      <c r="G84" s="14">
        <f t="shared" si="29"/>
        <v>8.7941666666666669E-32</v>
      </c>
      <c r="H84" s="14">
        <f t="shared" si="29"/>
        <v>4.9973333333333339E-24</v>
      </c>
      <c r="I84" s="14">
        <f t="shared" si="29"/>
        <v>6.1616666666666674E-20</v>
      </c>
      <c r="J84" s="14">
        <f t="shared" si="29"/>
        <v>2.0227500000000004E-17</v>
      </c>
      <c r="K84" s="14">
        <f t="shared" si="29"/>
        <v>1.8515833333333332E-16</v>
      </c>
      <c r="L84" s="14">
        <f t="shared" si="29"/>
        <v>1.5015E-15</v>
      </c>
      <c r="M84" s="14">
        <f t="shared" si="29"/>
        <v>1.3017500000000002E-13</v>
      </c>
      <c r="N84" s="14">
        <f t="shared" si="29"/>
        <v>1.4878333333333335E-11</v>
      </c>
      <c r="O84" s="14">
        <f t="shared" si="29"/>
        <v>4.7870833333333334E-8</v>
      </c>
      <c r="P84" s="14">
        <f t="shared" si="29"/>
        <v>4.2300833333333338E-8</v>
      </c>
      <c r="Q84" s="14">
        <f t="shared" si="29"/>
        <v>5.9206666666666666E-8</v>
      </c>
      <c r="R84" s="14">
        <f t="shared" si="29"/>
        <v>6.7797499999999995E-8</v>
      </c>
      <c r="S84" s="14">
        <f t="shared" si="29"/>
        <v>7.0405000000000001E-8</v>
      </c>
      <c r="T84" s="14">
        <f t="shared" si="29"/>
        <v>7.3144166666666668E-8</v>
      </c>
      <c r="U84" s="14">
        <f t="shared" si="29"/>
        <v>3.827666666666667E-8</v>
      </c>
      <c r="V84" s="14">
        <f t="shared" si="29"/>
        <v>5.6208333333333339E-8</v>
      </c>
      <c r="W84" s="14">
        <f t="shared" si="29"/>
        <v>9.3100000000000006E-8</v>
      </c>
      <c r="X84" s="14">
        <f t="shared" si="29"/>
        <v>2.5899166666666673E-7</v>
      </c>
      <c r="Y84" s="14">
        <f t="shared" si="29"/>
        <v>2.9963333333333336E-7</v>
      </c>
      <c r="Z84" s="14">
        <f t="shared" si="29"/>
        <v>2.9726666666666664E-7</v>
      </c>
      <c r="AA84" s="14">
        <f t="shared" si="29"/>
        <v>2.950166666666667E-13</v>
      </c>
      <c r="AB84" s="14">
        <f t="shared" si="29"/>
        <v>5.3993333333333341E-19</v>
      </c>
      <c r="AC84" s="14">
        <f t="shared" si="29"/>
        <v>2.4952500000000001E-11</v>
      </c>
      <c r="AD84" s="14">
        <f t="shared" si="29"/>
        <v>9.0808333333333335E-11</v>
      </c>
      <c r="AE84" s="14">
        <f t="shared" si="29"/>
        <v>2.3265833333333335E-10</v>
      </c>
      <c r="AF84" s="14">
        <f t="shared" si="29"/>
        <v>4.5121666666666667E-10</v>
      </c>
      <c r="AG84" s="14">
        <f t="shared" si="29"/>
        <v>8.0234166666666669E-10</v>
      </c>
      <c r="AH84" s="14">
        <f t="shared" si="29"/>
        <v>0</v>
      </c>
      <c r="AI84" s="14">
        <f t="shared" si="29"/>
        <v>0</v>
      </c>
      <c r="AJ84" s="14">
        <f t="shared" si="29"/>
        <v>0</v>
      </c>
      <c r="AK84" s="14">
        <f t="shared" si="29"/>
        <v>0</v>
      </c>
      <c r="AL84" s="14">
        <f t="shared" si="29"/>
        <v>0</v>
      </c>
    </row>
    <row r="85" spans="1:38" ht="21" hidden="1" customHeight="1" outlineLevel="1" thickBot="1" x14ac:dyDescent="0.4">
      <c r="A85" s="5">
        <f t="shared" si="25"/>
        <v>0</v>
      </c>
      <c r="B85" s="5">
        <f t="shared" si="25"/>
        <v>3</v>
      </c>
      <c r="C85" s="5">
        <f t="shared" si="25"/>
        <v>0</v>
      </c>
      <c r="D85" s="5">
        <f t="shared" si="25"/>
        <v>2</v>
      </c>
      <c r="E85" s="6" t="str">
        <f t="shared" si="21"/>
        <v>Ga2Se3</v>
      </c>
      <c r="F85" s="14">
        <f t="shared" ref="F85:AL85" si="30">F9*$C$78</f>
        <v>0.71193333333333331</v>
      </c>
      <c r="G85" s="14">
        <f t="shared" si="30"/>
        <v>0.70439166666666675</v>
      </c>
      <c r="H85" s="14">
        <f t="shared" si="30"/>
        <v>0.68572500000000003</v>
      </c>
      <c r="I85" s="14">
        <f t="shared" si="30"/>
        <v>0.66012499999999996</v>
      </c>
      <c r="J85" s="14">
        <f t="shared" si="30"/>
        <v>0.64063333333333339</v>
      </c>
      <c r="K85" s="14">
        <f t="shared" si="30"/>
        <v>0.63073333333333337</v>
      </c>
      <c r="L85" s="14">
        <f t="shared" si="30"/>
        <v>0.62549166666666667</v>
      </c>
      <c r="M85" s="14">
        <f t="shared" si="30"/>
        <v>0.61948333333333339</v>
      </c>
      <c r="N85" s="14">
        <f t="shared" si="30"/>
        <v>0.60771666666666679</v>
      </c>
      <c r="O85" s="14">
        <f t="shared" si="30"/>
        <v>0.51836666666666675</v>
      </c>
      <c r="P85" s="14">
        <f t="shared" si="30"/>
        <v>0.50880833333333342</v>
      </c>
      <c r="Q85" s="14">
        <f t="shared" si="30"/>
        <v>0.50415833333333337</v>
      </c>
      <c r="R85" s="14">
        <f t="shared" si="30"/>
        <v>0.50196666666666667</v>
      </c>
      <c r="S85" s="14">
        <f t="shared" si="30"/>
        <v>0.50081666666666669</v>
      </c>
      <c r="T85" s="14">
        <f t="shared" si="30"/>
        <v>0.49950833333333339</v>
      </c>
      <c r="U85" s="14">
        <f t="shared" si="30"/>
        <v>0.49484166666666674</v>
      </c>
      <c r="V85" s="14">
        <f t="shared" si="30"/>
        <v>0.47397500000000004</v>
      </c>
      <c r="W85" s="14">
        <f t="shared" si="30"/>
        <v>0.39985833333333337</v>
      </c>
      <c r="X85" s="14">
        <f t="shared" si="30"/>
        <v>9.7016666666666675E-3</v>
      </c>
      <c r="Y85" s="14">
        <f t="shared" si="30"/>
        <v>2.80525E-3</v>
      </c>
      <c r="Z85" s="14">
        <f t="shared" si="30"/>
        <v>8.2880000000000009E-4</v>
      </c>
      <c r="AA85" s="14">
        <f t="shared" si="30"/>
        <v>2.5113333333333338E-4</v>
      </c>
      <c r="AB85" s="14">
        <f t="shared" si="30"/>
        <v>6.1024166666666671E-5</v>
      </c>
      <c r="AC85" s="14">
        <f t="shared" si="30"/>
        <v>4.2269166666666671E-8</v>
      </c>
      <c r="AD85" s="14">
        <f t="shared" si="30"/>
        <v>7.2459166666666677E-9</v>
      </c>
      <c r="AE85" s="14">
        <f t="shared" si="30"/>
        <v>1.3040833333333334E-9</v>
      </c>
      <c r="AF85" s="14">
        <f t="shared" si="30"/>
        <v>2.4621666666666671E-10</v>
      </c>
      <c r="AG85" s="14">
        <f t="shared" si="30"/>
        <v>4.8675000000000003E-11</v>
      </c>
      <c r="AH85" s="14">
        <f t="shared" si="30"/>
        <v>0</v>
      </c>
      <c r="AI85" s="14">
        <f t="shared" si="30"/>
        <v>0</v>
      </c>
      <c r="AJ85" s="14">
        <f t="shared" si="30"/>
        <v>0</v>
      </c>
      <c r="AK85" s="14">
        <f t="shared" si="30"/>
        <v>0</v>
      </c>
      <c r="AL85" s="14">
        <f t="shared" si="30"/>
        <v>0</v>
      </c>
    </row>
    <row r="86" spans="1:38" ht="21" hidden="1" customHeight="1" outlineLevel="1" thickBot="1" x14ac:dyDescent="0.4">
      <c r="A86" s="5">
        <f t="shared" si="25"/>
        <v>0</v>
      </c>
      <c r="B86" s="5">
        <f t="shared" si="25"/>
        <v>0</v>
      </c>
      <c r="C86" s="5">
        <f t="shared" si="25"/>
        <v>0</v>
      </c>
      <c r="D86" s="5">
        <f t="shared" si="25"/>
        <v>1</v>
      </c>
      <c r="E86" s="6" t="str">
        <f t="shared" si="21"/>
        <v>Ga</v>
      </c>
      <c r="F86" s="14">
        <f t="shared" ref="F86:AL86" si="31">F10*$C$78</f>
        <v>0</v>
      </c>
      <c r="G86" s="14">
        <f t="shared" si="31"/>
        <v>0</v>
      </c>
      <c r="H86" s="14">
        <f t="shared" si="31"/>
        <v>0</v>
      </c>
      <c r="I86" s="14">
        <f t="shared" si="31"/>
        <v>0</v>
      </c>
      <c r="J86" s="14">
        <f t="shared" si="31"/>
        <v>0</v>
      </c>
      <c r="K86" s="14">
        <f t="shared" si="31"/>
        <v>0</v>
      </c>
      <c r="L86" s="14">
        <f t="shared" si="31"/>
        <v>0</v>
      </c>
      <c r="M86" s="14">
        <f t="shared" si="31"/>
        <v>0</v>
      </c>
      <c r="N86" s="14">
        <f t="shared" si="31"/>
        <v>0</v>
      </c>
      <c r="O86" s="14">
        <f t="shared" si="31"/>
        <v>4.5304166666666675E-30</v>
      </c>
      <c r="P86" s="14">
        <f t="shared" si="31"/>
        <v>4.1365833333333336E-28</v>
      </c>
      <c r="Q86" s="14">
        <f t="shared" si="31"/>
        <v>2.8619166666666667E-26</v>
      </c>
      <c r="R86" s="14">
        <f t="shared" si="31"/>
        <v>1.5236666666666668E-24</v>
      </c>
      <c r="S86" s="14">
        <f t="shared" si="31"/>
        <v>6.3623333333333333E-23</v>
      </c>
      <c r="T86" s="14">
        <f t="shared" si="31"/>
        <v>2.1236666666666668E-21</v>
      </c>
      <c r="U86" s="14">
        <f t="shared" si="31"/>
        <v>5.7389166666666671E-20</v>
      </c>
      <c r="V86" s="14">
        <f t="shared" si="31"/>
        <v>1.2415833333333334E-18</v>
      </c>
      <c r="W86" s="14">
        <f t="shared" si="31"/>
        <v>1.9938333333333335E-17</v>
      </c>
      <c r="X86" s="14">
        <f t="shared" si="31"/>
        <v>6.1337500000000002E-14</v>
      </c>
      <c r="Y86" s="14">
        <f t="shared" si="31"/>
        <v>3.241166666666667E-13</v>
      </c>
      <c r="Z86" s="14">
        <f t="shared" si="31"/>
        <v>1.5734166666666667E-12</v>
      </c>
      <c r="AA86" s="14">
        <f t="shared" si="31"/>
        <v>7.0492500000000001E-12</v>
      </c>
      <c r="AB86" s="14">
        <f t="shared" si="31"/>
        <v>2.1691666666666671E-11</v>
      </c>
      <c r="AC86" s="14">
        <f t="shared" si="31"/>
        <v>6.145E-10</v>
      </c>
      <c r="AD86" s="14">
        <f t="shared" si="31"/>
        <v>1.2943333333333335E-9</v>
      </c>
      <c r="AE86" s="14">
        <f t="shared" si="31"/>
        <v>2.6412500000000002E-9</v>
      </c>
      <c r="AF86" s="14">
        <f t="shared" si="31"/>
        <v>5.2320833333333333E-9</v>
      </c>
      <c r="AG86" s="14">
        <f t="shared" si="31"/>
        <v>1.0079166666666667E-8</v>
      </c>
      <c r="AH86" s="14">
        <f t="shared" si="31"/>
        <v>0</v>
      </c>
      <c r="AI86" s="14">
        <f t="shared" si="31"/>
        <v>0</v>
      </c>
      <c r="AJ86" s="14">
        <f t="shared" si="31"/>
        <v>0</v>
      </c>
      <c r="AK86" s="14">
        <f t="shared" si="31"/>
        <v>0</v>
      </c>
      <c r="AL86" s="14">
        <f t="shared" si="31"/>
        <v>0</v>
      </c>
    </row>
    <row r="87" spans="1:38" ht="21" hidden="1" customHeight="1" outlineLevel="1" thickBot="1" x14ac:dyDescent="0.4">
      <c r="A87" s="5">
        <f t="shared" si="25"/>
        <v>0</v>
      </c>
      <c r="B87" s="5">
        <f t="shared" si="25"/>
        <v>1</v>
      </c>
      <c r="C87" s="5">
        <f t="shared" si="25"/>
        <v>0</v>
      </c>
      <c r="D87" s="5">
        <f t="shared" si="25"/>
        <v>0</v>
      </c>
      <c r="E87" s="6" t="str">
        <f t="shared" si="21"/>
        <v>Se</v>
      </c>
      <c r="F87" s="14">
        <f t="shared" ref="F87:AL87" si="32">F11*$C$78</f>
        <v>0</v>
      </c>
      <c r="G87" s="14">
        <f t="shared" si="32"/>
        <v>0</v>
      </c>
      <c r="H87" s="14">
        <f t="shared" si="32"/>
        <v>0</v>
      </c>
      <c r="I87" s="14">
        <f t="shared" si="32"/>
        <v>0</v>
      </c>
      <c r="J87" s="14">
        <f t="shared" si="32"/>
        <v>1.8551666666666668E-35</v>
      </c>
      <c r="K87" s="14">
        <f t="shared" si="32"/>
        <v>1.2234166666666666E-33</v>
      </c>
      <c r="L87" s="14">
        <f t="shared" si="32"/>
        <v>4.8924166666666669E-32</v>
      </c>
      <c r="M87" s="14">
        <f t="shared" si="32"/>
        <v>1.3395000000000002E-30</v>
      </c>
      <c r="N87" s="14">
        <f t="shared" si="32"/>
        <v>2.7433333333333337E-29</v>
      </c>
      <c r="O87" s="14">
        <f t="shared" si="32"/>
        <v>4.2371666666666671E-25</v>
      </c>
      <c r="P87" s="14">
        <f t="shared" si="32"/>
        <v>2.7202500000000001E-24</v>
      </c>
      <c r="Q87" s="14">
        <f t="shared" si="32"/>
        <v>1.4825000000000001E-23</v>
      </c>
      <c r="R87" s="14">
        <f t="shared" si="32"/>
        <v>7.0245833333333348E-23</v>
      </c>
      <c r="S87" s="14">
        <f t="shared" si="32"/>
        <v>2.9458333333333336E-22</v>
      </c>
      <c r="T87" s="14">
        <f t="shared" si="32"/>
        <v>1.1085833333333333E-21</v>
      </c>
      <c r="U87" s="14">
        <f t="shared" si="32"/>
        <v>3.7884166666666674E-21</v>
      </c>
      <c r="V87" s="14">
        <f t="shared" si="32"/>
        <v>1.1897500000000001E-20</v>
      </c>
      <c r="W87" s="14">
        <f t="shared" si="32"/>
        <v>3.4832500000000004E-20</v>
      </c>
      <c r="X87" s="14">
        <f t="shared" si="32"/>
        <v>1.3058333333333335E-18</v>
      </c>
      <c r="Y87" s="14">
        <f t="shared" si="32"/>
        <v>2.7749999999999999E-18</v>
      </c>
      <c r="Z87" s="14">
        <f t="shared" si="32"/>
        <v>5.6194166666666671E-18</v>
      </c>
      <c r="AA87" s="14">
        <f t="shared" si="32"/>
        <v>1.0885833333333333E-17</v>
      </c>
      <c r="AB87" s="14">
        <f t="shared" si="32"/>
        <v>2.279E-17</v>
      </c>
      <c r="AC87" s="14">
        <f t="shared" si="32"/>
        <v>2.3205833333333336E-16</v>
      </c>
      <c r="AD87" s="14">
        <f t="shared" si="32"/>
        <v>3.7163333333333336E-16</v>
      </c>
      <c r="AE87" s="14">
        <f t="shared" si="32"/>
        <v>5.7843333333333334E-16</v>
      </c>
      <c r="AF87" s="14">
        <f t="shared" si="32"/>
        <v>8.7716666666666669E-16</v>
      </c>
      <c r="AG87" s="14">
        <f t="shared" si="32"/>
        <v>1.2985833333333334E-15</v>
      </c>
      <c r="AH87" s="14">
        <f t="shared" si="32"/>
        <v>0</v>
      </c>
      <c r="AI87" s="14">
        <f t="shared" si="32"/>
        <v>0</v>
      </c>
      <c r="AJ87" s="14">
        <f t="shared" si="32"/>
        <v>0</v>
      </c>
      <c r="AK87" s="14">
        <f t="shared" si="32"/>
        <v>0</v>
      </c>
      <c r="AL87" s="14">
        <f t="shared" si="32"/>
        <v>0</v>
      </c>
    </row>
    <row r="88" spans="1:38" ht="21" hidden="1" customHeight="1" outlineLevel="1" thickBot="1" x14ac:dyDescent="0.4">
      <c r="A88" s="5">
        <f t="shared" si="25"/>
        <v>1</v>
      </c>
      <c r="B88" s="5">
        <f t="shared" si="25"/>
        <v>0</v>
      </c>
      <c r="C88" s="5">
        <f t="shared" si="25"/>
        <v>0</v>
      </c>
      <c r="D88" s="5">
        <f t="shared" si="25"/>
        <v>0</v>
      </c>
      <c r="E88" s="6" t="str">
        <f t="shared" si="21"/>
        <v>Ar</v>
      </c>
      <c r="F88" s="14">
        <f t="shared" ref="F88:AL88" si="33">F12*$C$78</f>
        <v>1.666666666666667</v>
      </c>
      <c r="G88" s="14">
        <f t="shared" si="33"/>
        <v>1.666666666666667</v>
      </c>
      <c r="H88" s="14">
        <f t="shared" si="33"/>
        <v>1.666666666666667</v>
      </c>
      <c r="I88" s="14">
        <f t="shared" si="33"/>
        <v>1.666666666666667</v>
      </c>
      <c r="J88" s="14">
        <f t="shared" si="33"/>
        <v>1.666666666666667</v>
      </c>
      <c r="K88" s="14">
        <f t="shared" si="33"/>
        <v>1.666666666666667</v>
      </c>
      <c r="L88" s="14">
        <f t="shared" si="33"/>
        <v>1.666666666666667</v>
      </c>
      <c r="M88" s="14">
        <f t="shared" si="33"/>
        <v>1.666666666666667</v>
      </c>
      <c r="N88" s="14">
        <f t="shared" si="33"/>
        <v>1.666666666666667</v>
      </c>
      <c r="O88" s="14">
        <f t="shared" si="33"/>
        <v>1.666666666666667</v>
      </c>
      <c r="P88" s="14">
        <f t="shared" si="33"/>
        <v>1.666666666666667</v>
      </c>
      <c r="Q88" s="14">
        <f t="shared" si="33"/>
        <v>1.666666666666667</v>
      </c>
      <c r="R88" s="14">
        <f t="shared" si="33"/>
        <v>1.666666666666667</v>
      </c>
      <c r="S88" s="14">
        <f t="shared" si="33"/>
        <v>1.666666666666667</v>
      </c>
      <c r="T88" s="14">
        <f t="shared" si="33"/>
        <v>1.666666666666667</v>
      </c>
      <c r="U88" s="14">
        <f t="shared" si="33"/>
        <v>1.666666666666667</v>
      </c>
      <c r="V88" s="14">
        <f t="shared" si="33"/>
        <v>1.666666666666667</v>
      </c>
      <c r="W88" s="14">
        <f t="shared" si="33"/>
        <v>1.666666666666667</v>
      </c>
      <c r="X88" s="14">
        <f t="shared" si="33"/>
        <v>1.666666666666667</v>
      </c>
      <c r="Y88" s="14">
        <f t="shared" si="33"/>
        <v>1.666666666666667</v>
      </c>
      <c r="Z88" s="14">
        <f t="shared" si="33"/>
        <v>1.666666666666667</v>
      </c>
      <c r="AA88" s="14">
        <f t="shared" si="33"/>
        <v>1.666666666666667</v>
      </c>
      <c r="AB88" s="14">
        <f t="shared" si="33"/>
        <v>1.666666666666667</v>
      </c>
      <c r="AC88" s="14">
        <f t="shared" si="33"/>
        <v>1.666666666666667</v>
      </c>
      <c r="AD88" s="14">
        <f t="shared" si="33"/>
        <v>1.666666666666667</v>
      </c>
      <c r="AE88" s="14">
        <f t="shared" si="33"/>
        <v>1.666666666666667</v>
      </c>
      <c r="AF88" s="14">
        <f t="shared" si="33"/>
        <v>1.666666666666667</v>
      </c>
      <c r="AG88" s="14">
        <f t="shared" si="33"/>
        <v>1.666666666666667</v>
      </c>
      <c r="AH88" s="14">
        <f t="shared" si="33"/>
        <v>0</v>
      </c>
      <c r="AI88" s="14">
        <f t="shared" si="33"/>
        <v>0</v>
      </c>
      <c r="AJ88" s="14">
        <f t="shared" si="33"/>
        <v>0</v>
      </c>
      <c r="AK88" s="14">
        <f t="shared" si="33"/>
        <v>0</v>
      </c>
      <c r="AL88" s="14">
        <f t="shared" si="33"/>
        <v>0</v>
      </c>
    </row>
    <row r="89" spans="1:38" ht="21" hidden="1" customHeight="1" outlineLevel="1" thickBot="1" x14ac:dyDescent="0.4">
      <c r="A89" s="5">
        <f t="shared" si="25"/>
        <v>0</v>
      </c>
      <c r="B89" s="5">
        <f t="shared" si="25"/>
        <v>2</v>
      </c>
      <c r="C89" s="5">
        <f t="shared" si="25"/>
        <v>1</v>
      </c>
      <c r="D89" s="5">
        <f t="shared" si="25"/>
        <v>0</v>
      </c>
      <c r="E89" s="6" t="str">
        <f t="shared" si="21"/>
        <v>(l)GeSe2</v>
      </c>
      <c r="F89" s="14">
        <f t="shared" ref="F89:AL89" si="34">F13*$C$78</f>
        <v>0.32564166666666672</v>
      </c>
      <c r="G89" s="14">
        <f t="shared" si="34"/>
        <v>0.30055833333333337</v>
      </c>
      <c r="H89" s="14">
        <f t="shared" si="34"/>
        <v>0.23616666666666669</v>
      </c>
      <c r="I89" s="14">
        <f t="shared" si="34"/>
        <v>0.14200833333333335</v>
      </c>
      <c r="J89" s="14">
        <f t="shared" si="34"/>
        <v>6.5569166666666664E-2</v>
      </c>
      <c r="K89" s="14">
        <f t="shared" si="34"/>
        <v>2.6386666666666669E-2</v>
      </c>
      <c r="L89" s="14">
        <f t="shared" si="34"/>
        <v>1.0424166666666668E-2</v>
      </c>
      <c r="M89" s="14">
        <f t="shared" si="34"/>
        <v>4.274333333333334E-3</v>
      </c>
      <c r="N89" s="14">
        <f t="shared" si="34"/>
        <v>1.8331666666666668E-3</v>
      </c>
      <c r="O89" s="14">
        <f t="shared" si="34"/>
        <v>2.981416666666667E-5</v>
      </c>
      <c r="P89" s="14">
        <f t="shared" si="34"/>
        <v>7.9167500000000001E-6</v>
      </c>
      <c r="Q89" s="14">
        <f t="shared" si="34"/>
        <v>2.0774166666666665E-6</v>
      </c>
      <c r="R89" s="14">
        <f t="shared" si="34"/>
        <v>5.608166666666667E-7</v>
      </c>
      <c r="S89" s="14">
        <f t="shared" si="34"/>
        <v>1.5842500000000002E-7</v>
      </c>
      <c r="T89" s="14">
        <f t="shared" si="34"/>
        <v>4.7094166666666669E-8</v>
      </c>
      <c r="U89" s="14">
        <f t="shared" si="34"/>
        <v>1.4783333333333335E-8</v>
      </c>
      <c r="V89" s="14">
        <f t="shared" si="34"/>
        <v>4.9723333333333332E-9</v>
      </c>
      <c r="W89" s="14">
        <f t="shared" si="34"/>
        <v>1.8745000000000001E-9</v>
      </c>
      <c r="X89" s="14">
        <f t="shared" si="34"/>
        <v>6.2598333333333336E-11</v>
      </c>
      <c r="Y89" s="14">
        <f t="shared" si="34"/>
        <v>2.5728333333333335E-11</v>
      </c>
      <c r="Z89" s="14">
        <f t="shared" si="34"/>
        <v>1.0792500000000001E-11</v>
      </c>
      <c r="AA89" s="14">
        <f t="shared" si="34"/>
        <v>4.6334166666666666E-12</v>
      </c>
      <c r="AB89" s="14">
        <f t="shared" si="34"/>
        <v>2.5425000000000001E-12</v>
      </c>
      <c r="AC89" s="14">
        <f t="shared" si="34"/>
        <v>1.6413333333333337E-13</v>
      </c>
      <c r="AD89" s="14">
        <f t="shared" si="34"/>
        <v>8.1316666666666674E-14</v>
      </c>
      <c r="AE89" s="14">
        <f t="shared" si="34"/>
        <v>4.0795833333333339E-14</v>
      </c>
      <c r="AF89" s="14">
        <f t="shared" si="34"/>
        <v>2.0737500000000004E-14</v>
      </c>
      <c r="AG89" s="14">
        <f t="shared" si="34"/>
        <v>1.0679166666666667E-14</v>
      </c>
      <c r="AH89" s="14">
        <f t="shared" si="34"/>
        <v>0</v>
      </c>
      <c r="AI89" s="14">
        <f t="shared" si="34"/>
        <v>0</v>
      </c>
      <c r="AJ89" s="14">
        <f t="shared" si="34"/>
        <v>0</v>
      </c>
      <c r="AK89" s="14">
        <f t="shared" si="34"/>
        <v>0</v>
      </c>
      <c r="AL89" s="14">
        <f t="shared" si="34"/>
        <v>0</v>
      </c>
    </row>
    <row r="90" spans="1:38" ht="21" hidden="1" customHeight="1" outlineLevel="1" thickBot="1" x14ac:dyDescent="0.4">
      <c r="A90" s="5">
        <f t="shared" si="25"/>
        <v>0</v>
      </c>
      <c r="B90" s="5">
        <f t="shared" si="25"/>
        <v>1</v>
      </c>
      <c r="C90" s="5">
        <f t="shared" si="25"/>
        <v>1</v>
      </c>
      <c r="D90" s="5">
        <f t="shared" si="25"/>
        <v>0</v>
      </c>
      <c r="E90" s="6" t="str">
        <f t="shared" si="21"/>
        <v>(l)GeSe</v>
      </c>
      <c r="F90" s="14">
        <f t="shared" ref="F90:AL90" si="35">F14*$C$78</f>
        <v>0.34102500000000002</v>
      </c>
      <c r="G90" s="14">
        <f t="shared" si="35"/>
        <v>0.36610000000000004</v>
      </c>
      <c r="H90" s="14">
        <f t="shared" si="35"/>
        <v>0.43047500000000005</v>
      </c>
      <c r="I90" s="14">
        <f t="shared" si="35"/>
        <v>0.52455833333333335</v>
      </c>
      <c r="J90" s="14">
        <f t="shared" si="35"/>
        <v>0.60061666666666669</v>
      </c>
      <c r="K90" s="14">
        <f t="shared" si="35"/>
        <v>0.63815</v>
      </c>
      <c r="L90" s="14">
        <f t="shared" si="35"/>
        <v>0.64790833333333342</v>
      </c>
      <c r="M90" s="14">
        <f t="shared" si="35"/>
        <v>0.63438333333333341</v>
      </c>
      <c r="N90" s="14">
        <f t="shared" si="35"/>
        <v>0.58716666666666661</v>
      </c>
      <c r="O90" s="14">
        <f t="shared" si="35"/>
        <v>0.118025</v>
      </c>
      <c r="P90" s="14">
        <f t="shared" si="35"/>
        <v>5.7696666666666674E-2</v>
      </c>
      <c r="Q90" s="14">
        <f t="shared" si="35"/>
        <v>2.7484999999999999E-2</v>
      </c>
      <c r="R90" s="14">
        <f t="shared" si="35"/>
        <v>1.3200833333333334E-2</v>
      </c>
      <c r="S90" s="14">
        <f t="shared" si="35"/>
        <v>6.488583333333334E-3</v>
      </c>
      <c r="T90" s="14">
        <f t="shared" si="35"/>
        <v>3.2819166666666669E-3</v>
      </c>
      <c r="U90" s="14">
        <f t="shared" si="35"/>
        <v>1.7125833333333335E-3</v>
      </c>
      <c r="V90" s="14">
        <f t="shared" si="35"/>
        <v>9.2891666666666676E-4</v>
      </c>
      <c r="W90" s="14">
        <f t="shared" si="35"/>
        <v>5.3556666666666676E-4</v>
      </c>
      <c r="X90" s="14">
        <f t="shared" si="35"/>
        <v>7.8812500000000012E-5</v>
      </c>
      <c r="Y90" s="14">
        <f t="shared" si="35"/>
        <v>4.8224166666666665E-5</v>
      </c>
      <c r="Z90" s="14">
        <f t="shared" si="35"/>
        <v>2.9885833333333334E-5</v>
      </c>
      <c r="AA90" s="14">
        <f t="shared" si="35"/>
        <v>1.8782500000000002E-5</v>
      </c>
      <c r="AB90" s="14">
        <f t="shared" si="35"/>
        <v>1.3275833333333334E-5</v>
      </c>
      <c r="AC90" s="14">
        <f t="shared" si="35"/>
        <v>2.871666666666667E-6</v>
      </c>
      <c r="AD90" s="14">
        <f t="shared" si="35"/>
        <v>1.9515000000000003E-6</v>
      </c>
      <c r="AE90" s="14">
        <f t="shared" si="35"/>
        <v>1.3364166666666667E-6</v>
      </c>
      <c r="AF90" s="14">
        <f t="shared" si="35"/>
        <v>9.2233333333333335E-7</v>
      </c>
      <c r="AG90" s="14">
        <f t="shared" si="35"/>
        <v>6.4143333333333331E-7</v>
      </c>
      <c r="AH90" s="14">
        <f t="shared" si="35"/>
        <v>0</v>
      </c>
      <c r="AI90" s="14">
        <f t="shared" si="35"/>
        <v>0</v>
      </c>
      <c r="AJ90" s="14">
        <f t="shared" si="35"/>
        <v>0</v>
      </c>
      <c r="AK90" s="14">
        <f t="shared" si="35"/>
        <v>0</v>
      </c>
      <c r="AL90" s="14">
        <f t="shared" si="35"/>
        <v>0</v>
      </c>
    </row>
    <row r="91" spans="1:38" ht="21" hidden="1" customHeight="1" outlineLevel="1" thickBot="1" x14ac:dyDescent="0.4">
      <c r="A91" s="5">
        <f t="shared" si="25"/>
        <v>0</v>
      </c>
      <c r="B91" s="5">
        <f t="shared" si="25"/>
        <v>3</v>
      </c>
      <c r="C91" s="5">
        <f t="shared" si="25"/>
        <v>0</v>
      </c>
      <c r="D91" s="5">
        <f t="shared" si="25"/>
        <v>2</v>
      </c>
      <c r="E91" s="6" t="str">
        <f t="shared" si="21"/>
        <v>(1)Ga2Se3</v>
      </c>
      <c r="F91" s="14">
        <f t="shared" ref="F91:AL91" si="36">F15*$C$78</f>
        <v>0.28805833333333336</v>
      </c>
      <c r="G91" s="14">
        <f t="shared" si="36"/>
        <v>0.29560833333333336</v>
      </c>
      <c r="H91" s="14">
        <f t="shared" si="36"/>
        <v>0.31427500000000003</v>
      </c>
      <c r="I91" s="14">
        <f t="shared" si="36"/>
        <v>0.33987500000000004</v>
      </c>
      <c r="J91" s="14">
        <f t="shared" si="36"/>
        <v>0.35936666666666672</v>
      </c>
      <c r="K91" s="14">
        <f t="shared" si="36"/>
        <v>0.36926666666666669</v>
      </c>
      <c r="L91" s="14">
        <f t="shared" si="36"/>
        <v>0.37450833333333339</v>
      </c>
      <c r="M91" s="14">
        <f t="shared" si="36"/>
        <v>0.38051666666666673</v>
      </c>
      <c r="N91" s="14">
        <f t="shared" si="36"/>
        <v>0.39228333333333332</v>
      </c>
      <c r="O91" s="14">
        <f t="shared" si="36"/>
        <v>0.48163333333333336</v>
      </c>
      <c r="P91" s="14">
        <f t="shared" si="36"/>
        <v>0.49119166666666675</v>
      </c>
      <c r="Q91" s="14">
        <f t="shared" si="36"/>
        <v>0.49584166666666668</v>
      </c>
      <c r="R91" s="14">
        <f t="shared" si="36"/>
        <v>0.49800833333333339</v>
      </c>
      <c r="S91" s="14">
        <f t="shared" si="36"/>
        <v>0.49901666666666666</v>
      </c>
      <c r="T91" s="14">
        <f t="shared" si="36"/>
        <v>0.49945833333333339</v>
      </c>
      <c r="U91" s="14">
        <f t="shared" si="36"/>
        <v>0.49946666666666673</v>
      </c>
      <c r="V91" s="14">
        <f t="shared" si="36"/>
        <v>0.49792500000000001</v>
      </c>
      <c r="W91" s="14">
        <f t="shared" si="36"/>
        <v>0.48407500000000003</v>
      </c>
      <c r="X91" s="14">
        <f t="shared" si="36"/>
        <v>2.7065000000000002E-2</v>
      </c>
      <c r="Y91" s="14">
        <f t="shared" si="36"/>
        <v>8.0428333333333341E-3</v>
      </c>
      <c r="Z91" s="14">
        <f t="shared" si="36"/>
        <v>2.4215000000000005E-3</v>
      </c>
      <c r="AA91" s="14">
        <f t="shared" si="36"/>
        <v>7.4790000000000002E-4</v>
      </c>
      <c r="AB91" s="14">
        <f t="shared" si="36"/>
        <v>1.812416666666667E-4</v>
      </c>
      <c r="AC91" s="14">
        <f t="shared" si="36"/>
        <v>1.2010000000000002E-7</v>
      </c>
      <c r="AD91" s="14">
        <f t="shared" si="36"/>
        <v>2.0444999999999999E-8</v>
      </c>
      <c r="AE91" s="14">
        <f t="shared" si="36"/>
        <v>3.6587500000000004E-9</v>
      </c>
      <c r="AF91" s="14">
        <f t="shared" si="36"/>
        <v>6.8751666666666673E-10</v>
      </c>
      <c r="AG91" s="14">
        <f t="shared" si="36"/>
        <v>1.3539166666666666E-10</v>
      </c>
      <c r="AH91" s="14">
        <f t="shared" si="36"/>
        <v>0</v>
      </c>
      <c r="AI91" s="14">
        <f t="shared" si="36"/>
        <v>0</v>
      </c>
      <c r="AJ91" s="14">
        <f t="shared" si="36"/>
        <v>0</v>
      </c>
      <c r="AK91" s="14">
        <f t="shared" si="36"/>
        <v>0</v>
      </c>
      <c r="AL91" s="14">
        <f t="shared" si="36"/>
        <v>0</v>
      </c>
    </row>
    <row r="92" spans="1:38" ht="21" hidden="1" customHeight="1" outlineLevel="1" thickBot="1" x14ac:dyDescent="0.4">
      <c r="A92" s="5">
        <f t="shared" si="25"/>
        <v>0</v>
      </c>
      <c r="B92" s="5">
        <f t="shared" si="25"/>
        <v>1</v>
      </c>
      <c r="C92" s="5">
        <f t="shared" si="25"/>
        <v>0</v>
      </c>
      <c r="D92" s="5">
        <f t="shared" si="25"/>
        <v>2</v>
      </c>
      <c r="E92" s="6" t="str">
        <f t="shared" si="21"/>
        <v>(1)Ga2Se</v>
      </c>
      <c r="F92" s="14">
        <f t="shared" ref="F92:AL92" si="37">F16*$C$78</f>
        <v>1.9098333333333335E-27</v>
      </c>
      <c r="G92" s="14">
        <f t="shared" si="37"/>
        <v>1.7722500000000003E-25</v>
      </c>
      <c r="H92" s="14">
        <f t="shared" si="37"/>
        <v>1.5780000000000003E-23</v>
      </c>
      <c r="I92" s="14">
        <f t="shared" si="37"/>
        <v>1.6332500000000001E-21</v>
      </c>
      <c r="J92" s="14">
        <f t="shared" si="37"/>
        <v>1.6755000000000003E-19</v>
      </c>
      <c r="K92" s="14">
        <f t="shared" si="37"/>
        <v>1.3674166666666669E-17</v>
      </c>
      <c r="L92" s="14">
        <f t="shared" si="37"/>
        <v>7.9352500000000001E-16</v>
      </c>
      <c r="M92" s="14">
        <f t="shared" si="37"/>
        <v>3.15525E-14</v>
      </c>
      <c r="N92" s="14">
        <f t="shared" si="37"/>
        <v>8.5175000000000008E-13</v>
      </c>
      <c r="O92" s="14">
        <f t="shared" si="37"/>
        <v>3.5192500000000002E-8</v>
      </c>
      <c r="P92" s="14">
        <f t="shared" si="37"/>
        <v>3.5082499999999999E-7</v>
      </c>
      <c r="Q92" s="14">
        <f t="shared" si="37"/>
        <v>3.0774166666666667E-6</v>
      </c>
      <c r="R92" s="14">
        <f t="shared" si="37"/>
        <v>2.3818333333333335E-5</v>
      </c>
      <c r="S92" s="14">
        <f t="shared" si="37"/>
        <v>1.6381666666666667E-4</v>
      </c>
      <c r="T92" s="14">
        <f t="shared" si="37"/>
        <v>1.0094166666666667E-3</v>
      </c>
      <c r="U92" s="14">
        <f t="shared" si="37"/>
        <v>5.599583333333334E-3</v>
      </c>
      <c r="V92" s="14">
        <f t="shared" si="37"/>
        <v>2.7665833333333337E-2</v>
      </c>
      <c r="W92" s="14">
        <f t="shared" si="37"/>
        <v>0.11436666666666667</v>
      </c>
      <c r="X92" s="14">
        <f t="shared" si="37"/>
        <v>0.91666666666666674</v>
      </c>
      <c r="Y92" s="14">
        <f t="shared" si="37"/>
        <v>0.91691666666666671</v>
      </c>
      <c r="Z92" s="14">
        <f t="shared" si="37"/>
        <v>0.89041666666666675</v>
      </c>
      <c r="AA92" s="14">
        <f t="shared" si="37"/>
        <v>0.8490833333333333</v>
      </c>
      <c r="AB92" s="14">
        <f t="shared" si="37"/>
        <v>0.48050000000000004</v>
      </c>
      <c r="AC92" s="14">
        <f t="shared" si="37"/>
        <v>1.1481666666666668E-2</v>
      </c>
      <c r="AD92" s="14">
        <f t="shared" si="37"/>
        <v>4.7150833333333341E-3</v>
      </c>
      <c r="AE92" s="14">
        <f t="shared" si="37"/>
        <v>1.9857500000000001E-3</v>
      </c>
      <c r="AF92" s="14">
        <f t="shared" si="37"/>
        <v>8.5691666666666674E-4</v>
      </c>
      <c r="AG92" s="14">
        <f t="shared" si="37"/>
        <v>3.7843333333333333E-4</v>
      </c>
      <c r="AH92" s="14">
        <f t="shared" si="37"/>
        <v>0</v>
      </c>
      <c r="AI92" s="14">
        <f t="shared" si="37"/>
        <v>0</v>
      </c>
      <c r="AJ92" s="14">
        <f t="shared" si="37"/>
        <v>0</v>
      </c>
      <c r="AK92" s="14">
        <f t="shared" si="37"/>
        <v>0</v>
      </c>
      <c r="AL92" s="14">
        <f t="shared" si="37"/>
        <v>0</v>
      </c>
    </row>
    <row r="93" spans="1:38" ht="21" hidden="1" customHeight="1" outlineLevel="1" thickBot="1" x14ac:dyDescent="0.4">
      <c r="A93" s="5">
        <f t="shared" si="25"/>
        <v>0</v>
      </c>
      <c r="B93" s="5">
        <f t="shared" si="25"/>
        <v>0</v>
      </c>
      <c r="C93" s="5">
        <f t="shared" si="25"/>
        <v>1</v>
      </c>
      <c r="D93" s="5">
        <f t="shared" si="25"/>
        <v>0</v>
      </c>
      <c r="E93" s="6" t="str">
        <f t="shared" si="21"/>
        <v>(1)Ge</v>
      </c>
      <c r="F93" s="14">
        <f t="shared" ref="F93:AL93" si="38">F17*$C$78</f>
        <v>1.2814166666666668E-6</v>
      </c>
      <c r="G93" s="14">
        <f t="shared" si="38"/>
        <v>3.4220833333333335E-6</v>
      </c>
      <c r="H93" s="14">
        <f t="shared" si="38"/>
        <v>1.1641666666666667E-5</v>
      </c>
      <c r="I93" s="14">
        <f t="shared" si="38"/>
        <v>5.1186666666666669E-5</v>
      </c>
      <c r="J93" s="14">
        <f t="shared" si="38"/>
        <v>2.4176666666666667E-4</v>
      </c>
      <c r="K93" s="14">
        <f t="shared" si="38"/>
        <v>1.0657500000000001E-3</v>
      </c>
      <c r="L93" s="14">
        <f t="shared" si="38"/>
        <v>4.1655833333333336E-3</v>
      </c>
      <c r="M93" s="14">
        <f t="shared" si="38"/>
        <v>1.4004166666666666E-2</v>
      </c>
      <c r="N93" s="14">
        <f t="shared" si="38"/>
        <v>3.8835000000000001E-2</v>
      </c>
      <c r="O93" s="14">
        <f t="shared" si="38"/>
        <v>0.27430833333333338</v>
      </c>
      <c r="P93" s="14">
        <f t="shared" si="38"/>
        <v>0.30448333333333338</v>
      </c>
      <c r="Q93" s="14">
        <f t="shared" si="38"/>
        <v>0.31959166666666672</v>
      </c>
      <c r="R93" s="14">
        <f t="shared" si="38"/>
        <v>0.32673333333333338</v>
      </c>
      <c r="S93" s="14">
        <f t="shared" si="38"/>
        <v>0.33009166666666667</v>
      </c>
      <c r="T93" s="14">
        <f t="shared" si="38"/>
        <v>0.33169166666666666</v>
      </c>
      <c r="U93" s="14">
        <f t="shared" si="38"/>
        <v>0.33247500000000002</v>
      </c>
      <c r="V93" s="14">
        <f t="shared" si="38"/>
        <v>0.3328666666666667</v>
      </c>
      <c r="W93" s="14">
        <f t="shared" si="38"/>
        <v>0.33306666666666668</v>
      </c>
      <c r="X93" s="14">
        <f t="shared" si="38"/>
        <v>0.33329166666666671</v>
      </c>
      <c r="Y93" s="14">
        <f t="shared" si="38"/>
        <v>0.33330833333333332</v>
      </c>
      <c r="Z93" s="14">
        <f t="shared" si="38"/>
        <v>0.33331666666666671</v>
      </c>
      <c r="AA93" s="14">
        <f t="shared" si="38"/>
        <v>0.33332500000000004</v>
      </c>
      <c r="AB93" s="14">
        <f t="shared" si="38"/>
        <v>0.32843333333333335</v>
      </c>
      <c r="AC93" s="14">
        <f t="shared" si="38"/>
        <v>0.31443333333333334</v>
      </c>
      <c r="AD93" s="14">
        <f t="shared" si="38"/>
        <v>0.30882500000000002</v>
      </c>
      <c r="AE93" s="14">
        <f t="shared" si="38"/>
        <v>0.30599166666666672</v>
      </c>
      <c r="AF93" s="14">
        <f t="shared" si="38"/>
        <v>0.30599166666666672</v>
      </c>
      <c r="AG93" s="14">
        <f t="shared" si="38"/>
        <v>0.30310833333333337</v>
      </c>
      <c r="AH93" s="14">
        <f t="shared" si="38"/>
        <v>0</v>
      </c>
      <c r="AI93" s="14">
        <f t="shared" si="38"/>
        <v>0</v>
      </c>
      <c r="AJ93" s="14">
        <f t="shared" si="38"/>
        <v>0</v>
      </c>
      <c r="AK93" s="14">
        <f t="shared" si="38"/>
        <v>0</v>
      </c>
      <c r="AL93" s="14">
        <f t="shared" si="38"/>
        <v>0</v>
      </c>
    </row>
    <row r="94" spans="1:38" ht="21" hidden="1" customHeight="1" outlineLevel="1" thickBot="1" x14ac:dyDescent="0.4">
      <c r="A94" s="5">
        <f t="shared" si="25"/>
        <v>0</v>
      </c>
      <c r="B94" s="5">
        <f t="shared" si="25"/>
        <v>0</v>
      </c>
      <c r="C94" s="5">
        <f t="shared" si="25"/>
        <v>0</v>
      </c>
      <c r="D94" s="5">
        <f t="shared" si="25"/>
        <v>1</v>
      </c>
      <c r="E94" s="6" t="str">
        <f t="shared" si="21"/>
        <v>(1)Ga</v>
      </c>
      <c r="F94" s="14">
        <f t="shared" ref="F94:AL94" si="39">F18*$C$78</f>
        <v>2.5587500000000004E-27</v>
      </c>
      <c r="G94" s="14">
        <f t="shared" si="39"/>
        <v>2.1927500000000004E-25</v>
      </c>
      <c r="H94" s="14">
        <f t="shared" si="39"/>
        <v>1.6643333333333333E-23</v>
      </c>
      <c r="I94" s="14">
        <f t="shared" si="39"/>
        <v>1.3069166666666666E-21</v>
      </c>
      <c r="J94" s="14">
        <f t="shared" si="39"/>
        <v>9.3933333333333338E-20</v>
      </c>
      <c r="K94" s="14">
        <f t="shared" si="39"/>
        <v>5.2767500000000001E-18</v>
      </c>
      <c r="L94" s="14">
        <f t="shared" si="39"/>
        <v>2.1618333333333334E-16</v>
      </c>
      <c r="M94" s="14">
        <f t="shared" si="39"/>
        <v>6.3680000000000001E-15</v>
      </c>
      <c r="N94" s="14">
        <f t="shared" si="39"/>
        <v>1.3548333333333333E-13</v>
      </c>
      <c r="O94" s="14">
        <f t="shared" si="39"/>
        <v>3.0436666666666672E-9</v>
      </c>
      <c r="P94" s="14">
        <f t="shared" si="39"/>
        <v>2.6029166666666666E-8</v>
      </c>
      <c r="Q94" s="14">
        <f t="shared" si="39"/>
        <v>1.9570833333333336E-7</v>
      </c>
      <c r="R94" s="14">
        <f t="shared" si="39"/>
        <v>1.3015833333333335E-6</v>
      </c>
      <c r="S94" s="14">
        <f t="shared" si="39"/>
        <v>7.7174166666666667E-6</v>
      </c>
      <c r="T94" s="14">
        <f t="shared" si="39"/>
        <v>4.1122500000000005E-5</v>
      </c>
      <c r="U94" s="14">
        <f t="shared" si="39"/>
        <v>1.9824166666666668E-4</v>
      </c>
      <c r="V94" s="14">
        <f t="shared" si="39"/>
        <v>8.664166666666667E-4</v>
      </c>
      <c r="W94" s="14">
        <f t="shared" si="39"/>
        <v>3.383916666666667E-3</v>
      </c>
      <c r="X94" s="14">
        <f t="shared" si="39"/>
        <v>9.318333333333334E-2</v>
      </c>
      <c r="Y94" s="14">
        <f t="shared" si="39"/>
        <v>0.14440833333333336</v>
      </c>
      <c r="Z94" s="14">
        <f t="shared" si="39"/>
        <v>0.21259166666666668</v>
      </c>
      <c r="AA94" s="14">
        <f t="shared" si="39"/>
        <v>0.29989166666666667</v>
      </c>
      <c r="AB94" s="14">
        <f t="shared" si="39"/>
        <v>0.29375833333333334</v>
      </c>
      <c r="AC94" s="14">
        <f t="shared" si="39"/>
        <v>0.10649166666666668</v>
      </c>
      <c r="AD94" s="14">
        <f t="shared" si="39"/>
        <v>5.8223333333333335E-2</v>
      </c>
      <c r="AE94" s="14">
        <f t="shared" si="39"/>
        <v>4.1930833333333334E-2</v>
      </c>
      <c r="AF94" s="14">
        <f t="shared" si="39"/>
        <v>4.1930833333333334E-2</v>
      </c>
      <c r="AG94" s="14">
        <f t="shared" si="39"/>
        <v>2.9646666666666672E-2</v>
      </c>
      <c r="AH94" s="14">
        <f t="shared" si="39"/>
        <v>0</v>
      </c>
      <c r="AI94" s="14">
        <f t="shared" si="39"/>
        <v>0</v>
      </c>
      <c r="AJ94" s="14">
        <f t="shared" si="39"/>
        <v>0</v>
      </c>
      <c r="AK94" s="14">
        <f t="shared" si="39"/>
        <v>0</v>
      </c>
      <c r="AL94" s="14">
        <f t="shared" si="39"/>
        <v>0</v>
      </c>
    </row>
    <row r="95" spans="1:38" ht="21" hidden="1" customHeight="1" outlineLevel="1" thickBot="1" x14ac:dyDescent="0.4">
      <c r="A95" s="5">
        <f t="shared" si="25"/>
        <v>0</v>
      </c>
      <c r="B95" s="5">
        <f t="shared" si="25"/>
        <v>1</v>
      </c>
      <c r="C95" s="5">
        <f t="shared" si="25"/>
        <v>0</v>
      </c>
      <c r="D95" s="5">
        <f t="shared" si="25"/>
        <v>0</v>
      </c>
      <c r="E95" s="6" t="str">
        <f t="shared" si="21"/>
        <v>(1)Se</v>
      </c>
      <c r="F95" s="14">
        <f t="shared" ref="F95:AL95" si="40">F19*$C$78</f>
        <v>9.1383333333333331E-9</v>
      </c>
      <c r="G95" s="14">
        <f t="shared" si="40"/>
        <v>3.0767500000000001E-8</v>
      </c>
      <c r="H95" s="14">
        <f t="shared" si="40"/>
        <v>7.1227500000000007E-8</v>
      </c>
      <c r="I95" s="14">
        <f t="shared" si="40"/>
        <v>1.0869166666666668E-7</v>
      </c>
      <c r="J95" s="14">
        <f t="shared" si="40"/>
        <v>1.1745000000000001E-7</v>
      </c>
      <c r="K95" s="14">
        <f t="shared" si="40"/>
        <v>1.0411666666666666E-7</v>
      </c>
      <c r="L95" s="14">
        <f t="shared" si="40"/>
        <v>8.5783333333333337E-8</v>
      </c>
      <c r="M95" s="14">
        <f t="shared" si="40"/>
        <v>7.1129166666666672E-8</v>
      </c>
      <c r="N95" s="14">
        <f t="shared" si="40"/>
        <v>6.2784166666666673E-8</v>
      </c>
      <c r="O95" s="14">
        <f t="shared" si="40"/>
        <v>5.1948333333333332E-8</v>
      </c>
      <c r="P95" s="14">
        <f t="shared" si="40"/>
        <v>4.5847500000000001E-8</v>
      </c>
      <c r="Q95" s="14">
        <f t="shared" si="40"/>
        <v>3.9098333333333333E-8</v>
      </c>
      <c r="R95" s="14">
        <f t="shared" si="40"/>
        <v>3.2800000000000003E-8</v>
      </c>
      <c r="S95" s="14">
        <f t="shared" si="40"/>
        <v>2.7328333333333338E-8</v>
      </c>
      <c r="T95" s="14">
        <f t="shared" si="40"/>
        <v>2.2740833333333334E-8</v>
      </c>
      <c r="U95" s="14">
        <f t="shared" si="40"/>
        <v>1.9054166666666668E-8</v>
      </c>
      <c r="V95" s="14">
        <f t="shared" si="40"/>
        <v>1.6526666666666667E-8</v>
      </c>
      <c r="W95" s="14">
        <f t="shared" si="40"/>
        <v>1.6034166666666668E-8</v>
      </c>
      <c r="X95" s="14">
        <f t="shared" si="40"/>
        <v>1.8598333333333335E-8</v>
      </c>
      <c r="Y95" s="14">
        <f t="shared" si="40"/>
        <v>1.5939166666666666E-8</v>
      </c>
      <c r="Z95" s="14">
        <f t="shared" si="40"/>
        <v>1.3544166666666667E-8</v>
      </c>
      <c r="AA95" s="14">
        <f t="shared" si="40"/>
        <v>1.1515000000000001E-8</v>
      </c>
      <c r="AB95" s="14">
        <f t="shared" si="40"/>
        <v>1.0787500000000001E-8</v>
      </c>
      <c r="AC95" s="14">
        <f t="shared" si="40"/>
        <v>6.0987500000000003E-9</v>
      </c>
      <c r="AD95" s="14">
        <f t="shared" si="40"/>
        <v>4.344083333333333E-9</v>
      </c>
      <c r="AE95" s="14">
        <f t="shared" si="40"/>
        <v>3.6682500000000004E-9</v>
      </c>
      <c r="AF95" s="14">
        <f t="shared" si="40"/>
        <v>3.6682500000000004E-9</v>
      </c>
      <c r="AG95" s="14">
        <f t="shared" si="40"/>
        <v>3.1000000000000005E-9</v>
      </c>
      <c r="AH95" s="14">
        <f t="shared" si="40"/>
        <v>0</v>
      </c>
      <c r="AI95" s="14">
        <f t="shared" si="40"/>
        <v>0</v>
      </c>
      <c r="AJ95" s="14">
        <f t="shared" si="40"/>
        <v>0</v>
      </c>
      <c r="AK95" s="14">
        <f t="shared" si="40"/>
        <v>0</v>
      </c>
      <c r="AL95" s="14">
        <f t="shared" si="40"/>
        <v>0</v>
      </c>
    </row>
    <row r="96" spans="1:38" ht="21" hidden="1" customHeight="1" outlineLevel="1" thickBot="1" x14ac:dyDescent="0.4">
      <c r="A96" s="5">
        <f t="shared" si="25"/>
        <v>0</v>
      </c>
      <c r="B96" s="5">
        <f t="shared" si="25"/>
        <v>1</v>
      </c>
      <c r="C96" s="5">
        <f t="shared" si="25"/>
        <v>0</v>
      </c>
      <c r="D96" s="5">
        <f t="shared" si="25"/>
        <v>0</v>
      </c>
      <c r="E96" s="6" t="str">
        <f t="shared" si="21"/>
        <v>(1)Se[a]</v>
      </c>
      <c r="F96" s="14">
        <f t="shared" ref="F96:AL96" si="41">F20*$C$78</f>
        <v>2.1061666666666667E-9</v>
      </c>
      <c r="G96" s="14">
        <f t="shared" si="41"/>
        <v>8.248500000000001E-9</v>
      </c>
      <c r="H96" s="14">
        <f t="shared" si="41"/>
        <v>2.1807500000000002E-8</v>
      </c>
      <c r="I96" s="14">
        <f t="shared" si="41"/>
        <v>3.7430833333333335E-8</v>
      </c>
      <c r="J96" s="14">
        <f t="shared" si="41"/>
        <v>4.4920833333333338E-8</v>
      </c>
      <c r="K96" s="14">
        <f t="shared" si="41"/>
        <v>4.3744999999999999E-8</v>
      </c>
      <c r="L96" s="14">
        <f t="shared" si="41"/>
        <v>3.9230000000000001E-8</v>
      </c>
      <c r="M96" s="14">
        <f t="shared" si="41"/>
        <v>3.5121666666666666E-8</v>
      </c>
      <c r="N96" s="14">
        <f t="shared" si="41"/>
        <v>3.3240000000000005E-8</v>
      </c>
      <c r="O96" s="14">
        <f t="shared" si="41"/>
        <v>3.2345833333333333E-8</v>
      </c>
      <c r="P96" s="14">
        <f t="shared" si="41"/>
        <v>2.8235833333333334E-8</v>
      </c>
      <c r="Q96" s="14">
        <f t="shared" si="41"/>
        <v>2.3804166666666667E-8</v>
      </c>
      <c r="R96" s="14">
        <f t="shared" si="41"/>
        <v>1.9734166666666668E-8</v>
      </c>
      <c r="S96" s="14">
        <f t="shared" si="41"/>
        <v>1.6244166666666668E-8</v>
      </c>
      <c r="T96" s="14">
        <f t="shared" si="41"/>
        <v>1.3351666666666667E-8</v>
      </c>
      <c r="U96" s="14">
        <f t="shared" si="41"/>
        <v>1.1050000000000001E-8</v>
      </c>
      <c r="V96" s="14">
        <f t="shared" si="41"/>
        <v>9.4658333333333339E-9</v>
      </c>
      <c r="W96" s="14">
        <f t="shared" si="41"/>
        <v>9.0700000000000011E-9</v>
      </c>
      <c r="X96" s="14">
        <f t="shared" si="41"/>
        <v>1.0016666666666667E-8</v>
      </c>
      <c r="Y96" s="14">
        <f t="shared" si="41"/>
        <v>8.4816666666666668E-9</v>
      </c>
      <c r="Z96" s="14">
        <f t="shared" si="41"/>
        <v>7.1215000000000003E-9</v>
      </c>
      <c r="AA96" s="14">
        <f t="shared" si="41"/>
        <v>5.9834166666666671E-9</v>
      </c>
      <c r="AB96" s="14">
        <f t="shared" si="41"/>
        <v>5.5402499999999998E-9</v>
      </c>
      <c r="AC96" s="14">
        <f t="shared" si="41"/>
        <v>2.9919166666666669E-9</v>
      </c>
      <c r="AD96" s="14">
        <f t="shared" si="41"/>
        <v>2.0839166666666667E-9</v>
      </c>
      <c r="AE96" s="14">
        <f t="shared" si="41"/>
        <v>1.7403333333333334E-9</v>
      </c>
      <c r="AF96" s="14">
        <f t="shared" si="41"/>
        <v>1.7403333333333334E-9</v>
      </c>
      <c r="AG96" s="14">
        <f t="shared" si="41"/>
        <v>1.4546666666666666E-9</v>
      </c>
      <c r="AH96" s="14">
        <f t="shared" si="41"/>
        <v>0</v>
      </c>
      <c r="AI96" s="14">
        <f t="shared" si="41"/>
        <v>0</v>
      </c>
      <c r="AJ96" s="14">
        <f t="shared" si="41"/>
        <v>0</v>
      </c>
      <c r="AK96" s="14">
        <f t="shared" si="41"/>
        <v>0</v>
      </c>
      <c r="AL96" s="14">
        <f t="shared" si="41"/>
        <v>0</v>
      </c>
    </row>
    <row r="97" spans="1:54" ht="21" hidden="1" customHeight="1" outlineLevel="1" thickBot="1" x14ac:dyDescent="0.4">
      <c r="A97" s="5">
        <f t="shared" ref="A97:D109" si="42">A63</f>
        <v>0</v>
      </c>
      <c r="B97" s="5">
        <f t="shared" si="42"/>
        <v>1</v>
      </c>
      <c r="C97" s="5">
        <f t="shared" si="42"/>
        <v>0</v>
      </c>
      <c r="D97" s="5">
        <f t="shared" si="42"/>
        <v>0</v>
      </c>
      <c r="E97" s="6" t="str">
        <f t="shared" si="21"/>
        <v>(1)Se[m]</v>
      </c>
      <c r="F97" s="14">
        <f t="shared" ref="F97:AL97" si="43">F21*$C$78</f>
        <v>7.6960833333333334E-3</v>
      </c>
      <c r="G97" s="14">
        <f t="shared" si="43"/>
        <v>3.2782499999999999E-2</v>
      </c>
      <c r="H97" s="14">
        <f t="shared" si="43"/>
        <v>9.7191666666666676E-2</v>
      </c>
      <c r="I97" s="14">
        <f t="shared" si="43"/>
        <v>0.19142500000000001</v>
      </c>
      <c r="J97" s="14">
        <f t="shared" si="43"/>
        <v>0.26825000000000004</v>
      </c>
      <c r="K97" s="14">
        <f t="shared" si="43"/>
        <v>0.30907499999999999</v>
      </c>
      <c r="L97" s="14">
        <f t="shared" si="43"/>
        <v>0.33124166666666671</v>
      </c>
      <c r="M97" s="14">
        <f t="shared" si="43"/>
        <v>0.35706666666666664</v>
      </c>
      <c r="N97" s="14">
        <f t="shared" si="43"/>
        <v>0.40916666666666668</v>
      </c>
      <c r="O97" s="14">
        <f t="shared" si="43"/>
        <v>0.88191666666666668</v>
      </c>
      <c r="P97" s="14">
        <f t="shared" si="43"/>
        <v>0.94225000000000014</v>
      </c>
      <c r="Q97" s="14">
        <f t="shared" si="43"/>
        <v>0.97250000000000003</v>
      </c>
      <c r="R97" s="14">
        <f t="shared" si="43"/>
        <v>0.98683333333333334</v>
      </c>
      <c r="S97" s="14">
        <f t="shared" si="43"/>
        <v>0.99383333333333346</v>
      </c>
      <c r="T97" s="14">
        <f t="shared" si="43"/>
        <v>0.99883333333333335</v>
      </c>
      <c r="U97" s="14">
        <f t="shared" si="43"/>
        <v>1.0097500000000001</v>
      </c>
      <c r="V97" s="14">
        <f t="shared" si="43"/>
        <v>1.0556666666666665</v>
      </c>
      <c r="W97" s="14">
        <f t="shared" si="43"/>
        <v>1.2332500000000002</v>
      </c>
      <c r="X97" s="14">
        <f t="shared" si="43"/>
        <v>2.9730000000000003</v>
      </c>
      <c r="Y97" s="14">
        <f t="shared" si="43"/>
        <v>3.0505</v>
      </c>
      <c r="Z97" s="14">
        <f t="shared" si="43"/>
        <v>3.0997500000000002</v>
      </c>
      <c r="AA97" s="14">
        <f t="shared" si="43"/>
        <v>3.1479166666666667</v>
      </c>
      <c r="AB97" s="14">
        <f t="shared" si="43"/>
        <v>3.5187500000000003</v>
      </c>
      <c r="AC97" s="14">
        <f t="shared" si="43"/>
        <v>3.9885000000000002</v>
      </c>
      <c r="AD97" s="14">
        <f t="shared" si="43"/>
        <v>3.9980000000000007</v>
      </c>
      <c r="AE97" s="14">
        <f t="shared" si="43"/>
        <v>3.999166666666667</v>
      </c>
      <c r="AF97" s="14">
        <f t="shared" si="43"/>
        <v>3.999166666666667</v>
      </c>
      <c r="AG97" s="14">
        <f t="shared" si="43"/>
        <v>3.9995833333333337</v>
      </c>
      <c r="AH97" s="14">
        <f t="shared" si="43"/>
        <v>0</v>
      </c>
      <c r="AI97" s="14">
        <f t="shared" si="43"/>
        <v>0</v>
      </c>
      <c r="AJ97" s="14">
        <f t="shared" si="43"/>
        <v>0</v>
      </c>
      <c r="AK97" s="14">
        <f t="shared" si="43"/>
        <v>0</v>
      </c>
      <c r="AL97" s="14">
        <f t="shared" si="43"/>
        <v>0</v>
      </c>
    </row>
    <row r="98" spans="1:54" ht="21" hidden="1" customHeight="1" outlineLevel="1" thickBot="1" x14ac:dyDescent="0.4">
      <c r="A98" s="5">
        <f t="shared" si="42"/>
        <v>0</v>
      </c>
      <c r="B98" s="5">
        <f t="shared" si="42"/>
        <v>1</v>
      </c>
      <c r="C98" s="5">
        <f t="shared" si="42"/>
        <v>0</v>
      </c>
      <c r="D98" s="5">
        <f t="shared" si="42"/>
        <v>0</v>
      </c>
      <c r="E98" s="6" t="str">
        <f t="shared" si="21"/>
        <v>(1)Se[r]</v>
      </c>
      <c r="F98" s="14">
        <f t="shared" ref="F98:AL98" si="44">F22*$C$78</f>
        <v>2.3365833333333338E-11</v>
      </c>
      <c r="G98" s="14">
        <f t="shared" si="44"/>
        <v>1.281E-10</v>
      </c>
      <c r="H98" s="14">
        <f t="shared" si="44"/>
        <v>4.5728333333333339E-10</v>
      </c>
      <c r="I98" s="14">
        <f t="shared" si="44"/>
        <v>1.0284166666666668E-9</v>
      </c>
      <c r="J98" s="14">
        <f t="shared" si="44"/>
        <v>1.5767500000000002E-9</v>
      </c>
      <c r="K98" s="14">
        <f t="shared" si="44"/>
        <v>1.92E-9</v>
      </c>
      <c r="L98" s="14">
        <f t="shared" si="44"/>
        <v>2.1137500000000001E-9</v>
      </c>
      <c r="M98" s="14">
        <f t="shared" si="44"/>
        <v>2.2864166666666668E-9</v>
      </c>
      <c r="N98" s="14">
        <f t="shared" si="44"/>
        <v>2.578416666666667E-9</v>
      </c>
      <c r="O98" s="14">
        <f t="shared" si="44"/>
        <v>4.5342500000000005E-9</v>
      </c>
      <c r="P98" s="14">
        <f t="shared" si="44"/>
        <v>4.4908333333333332E-9</v>
      </c>
      <c r="Q98" s="14">
        <f t="shared" si="44"/>
        <v>4.2658333333333336E-9</v>
      </c>
      <c r="R98" s="14">
        <f t="shared" si="44"/>
        <v>3.959583333333333E-9</v>
      </c>
      <c r="S98" s="14">
        <f t="shared" si="44"/>
        <v>3.6283333333333337E-9</v>
      </c>
      <c r="T98" s="14">
        <f t="shared" si="44"/>
        <v>3.3027500000000004E-9</v>
      </c>
      <c r="U98" s="14">
        <f t="shared" si="44"/>
        <v>3.0125000000000001E-9</v>
      </c>
      <c r="V98" s="14">
        <f t="shared" si="44"/>
        <v>2.8316666666666667E-9</v>
      </c>
      <c r="W98" s="14">
        <f t="shared" si="44"/>
        <v>2.9653333333333334E-9</v>
      </c>
      <c r="X98" s="14">
        <f t="shared" si="44"/>
        <v>4.5110833333333338E-9</v>
      </c>
      <c r="Y98" s="14">
        <f t="shared" si="44"/>
        <v>4.1073333333333334E-9</v>
      </c>
      <c r="Z98" s="14">
        <f t="shared" si="44"/>
        <v>3.6985833333333336E-9</v>
      </c>
      <c r="AA98" s="14">
        <f t="shared" si="44"/>
        <v>3.3245000000000003E-9</v>
      </c>
      <c r="AB98" s="14">
        <f t="shared" si="44"/>
        <v>3.2857500000000002E-9</v>
      </c>
      <c r="AC98" s="14">
        <f t="shared" si="44"/>
        <v>2.2570000000000004E-9</v>
      </c>
      <c r="AD98" s="14">
        <f t="shared" si="44"/>
        <v>1.7542500000000002E-9</v>
      </c>
      <c r="AE98" s="14">
        <f t="shared" si="44"/>
        <v>1.5440000000000003E-9</v>
      </c>
      <c r="AF98" s="14">
        <f t="shared" si="44"/>
        <v>1.5440000000000003E-9</v>
      </c>
      <c r="AG98" s="14">
        <f t="shared" si="44"/>
        <v>1.3580833333333334E-9</v>
      </c>
      <c r="AH98" s="14">
        <f t="shared" si="44"/>
        <v>0</v>
      </c>
      <c r="AI98" s="14">
        <f t="shared" si="44"/>
        <v>0</v>
      </c>
      <c r="AJ98" s="14">
        <f t="shared" si="44"/>
        <v>0</v>
      </c>
      <c r="AK98" s="14">
        <f t="shared" si="44"/>
        <v>0</v>
      </c>
      <c r="AL98" s="14">
        <f t="shared" si="44"/>
        <v>0</v>
      </c>
    </row>
    <row r="99" spans="1:54" ht="21" hidden="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1</v>
      </c>
      <c r="D99" s="5">
        <f t="shared" si="42"/>
        <v>0</v>
      </c>
      <c r="E99" s="6" t="str">
        <f t="shared" si="21"/>
        <v>(1)Geic]</v>
      </c>
      <c r="F99" s="14">
        <f t="shared" ref="F99:AL99" si="45">F23*$C$78</f>
        <v>1.2814166666666668E-6</v>
      </c>
      <c r="G99" s="14">
        <f t="shared" si="45"/>
        <v>3.4220833333333335E-6</v>
      </c>
      <c r="H99" s="14">
        <f t="shared" si="45"/>
        <v>1.1641666666666667E-5</v>
      </c>
      <c r="I99" s="14">
        <f t="shared" si="45"/>
        <v>5.1186666666666669E-5</v>
      </c>
      <c r="J99" s="14">
        <f t="shared" si="45"/>
        <v>2.4176666666666667E-4</v>
      </c>
      <c r="K99" s="14">
        <f t="shared" si="45"/>
        <v>1.0657500000000001E-3</v>
      </c>
      <c r="L99" s="14">
        <f t="shared" si="45"/>
        <v>4.1655833333333336E-3</v>
      </c>
      <c r="M99" s="14">
        <f t="shared" si="45"/>
        <v>1.4004166666666666E-2</v>
      </c>
      <c r="N99" s="14">
        <f t="shared" si="45"/>
        <v>3.8835000000000001E-2</v>
      </c>
      <c r="O99" s="14">
        <f t="shared" si="45"/>
        <v>0.27430833333333338</v>
      </c>
      <c r="P99" s="14">
        <f t="shared" si="45"/>
        <v>0.30448333333333338</v>
      </c>
      <c r="Q99" s="14">
        <f t="shared" si="45"/>
        <v>0.31959166666666672</v>
      </c>
      <c r="R99" s="14">
        <f t="shared" si="45"/>
        <v>0.32673333333333338</v>
      </c>
      <c r="S99" s="14">
        <f t="shared" si="45"/>
        <v>0.33009166666666667</v>
      </c>
      <c r="T99" s="14">
        <f t="shared" si="45"/>
        <v>0.33169166666666666</v>
      </c>
      <c r="U99" s="14">
        <f t="shared" si="45"/>
        <v>0.33247500000000002</v>
      </c>
      <c r="V99" s="14">
        <f t="shared" si="45"/>
        <v>0.3328666666666667</v>
      </c>
      <c r="W99" s="14">
        <f t="shared" si="45"/>
        <v>0.33306666666666668</v>
      </c>
      <c r="X99" s="14">
        <f t="shared" si="45"/>
        <v>0.33329166666666671</v>
      </c>
      <c r="Y99" s="14">
        <f t="shared" si="45"/>
        <v>0.33330833333333332</v>
      </c>
      <c r="Z99" s="14">
        <f t="shared" si="45"/>
        <v>0.33331666666666671</v>
      </c>
      <c r="AA99" s="14">
        <f t="shared" si="45"/>
        <v>0.33332500000000004</v>
      </c>
      <c r="AB99" s="14">
        <f t="shared" si="45"/>
        <v>0.32843333333333335</v>
      </c>
      <c r="AC99" s="14">
        <f t="shared" si="45"/>
        <v>0.31443333333333334</v>
      </c>
      <c r="AD99" s="14">
        <f t="shared" si="45"/>
        <v>0.30882500000000002</v>
      </c>
      <c r="AE99" s="14">
        <f t="shared" si="45"/>
        <v>0.30599166666666672</v>
      </c>
      <c r="AF99" s="14">
        <f t="shared" si="45"/>
        <v>0.30599166666666672</v>
      </c>
      <c r="AG99" s="14">
        <f t="shared" si="45"/>
        <v>0.30310833333333337</v>
      </c>
      <c r="AH99" s="14">
        <f t="shared" si="45"/>
        <v>0</v>
      </c>
      <c r="AI99" s="14">
        <f t="shared" si="45"/>
        <v>0</v>
      </c>
      <c r="AJ99" s="14">
        <f t="shared" si="45"/>
        <v>0</v>
      </c>
      <c r="AK99" s="14">
        <f t="shared" si="45"/>
        <v>0</v>
      </c>
      <c r="AL99" s="14">
        <f t="shared" si="45"/>
        <v>0</v>
      </c>
    </row>
    <row r="100" spans="1:54" ht="21" hidden="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0</v>
      </c>
      <c r="D100" s="5">
        <f t="shared" si="42"/>
        <v>1</v>
      </c>
      <c r="E100" s="6" t="str">
        <f t="shared" si="21"/>
        <v>(3)Ga[1]</v>
      </c>
      <c r="F100" s="14">
        <f t="shared" ref="F100:AL100" si="46">F24*$C$78</f>
        <v>0</v>
      </c>
      <c r="G100" s="14">
        <f t="shared" si="46"/>
        <v>0</v>
      </c>
      <c r="H100" s="14">
        <f t="shared" si="46"/>
        <v>0</v>
      </c>
      <c r="I100" s="14">
        <f t="shared" si="46"/>
        <v>0</v>
      </c>
      <c r="J100" s="14">
        <f t="shared" si="46"/>
        <v>0</v>
      </c>
      <c r="K100" s="14">
        <f t="shared" si="46"/>
        <v>0</v>
      </c>
      <c r="L100" s="14">
        <f t="shared" si="46"/>
        <v>0</v>
      </c>
      <c r="M100" s="14">
        <f t="shared" si="46"/>
        <v>0</v>
      </c>
      <c r="N100" s="14">
        <f t="shared" si="46"/>
        <v>0</v>
      </c>
      <c r="O100" s="14">
        <f t="shared" si="46"/>
        <v>0</v>
      </c>
      <c r="P100" s="14">
        <f t="shared" si="46"/>
        <v>0</v>
      </c>
      <c r="Q100" s="14">
        <f t="shared" si="46"/>
        <v>0</v>
      </c>
      <c r="R100" s="14">
        <f t="shared" si="46"/>
        <v>0</v>
      </c>
      <c r="S100" s="14">
        <f t="shared" si="46"/>
        <v>0</v>
      </c>
      <c r="T100" s="14">
        <f t="shared" si="46"/>
        <v>0</v>
      </c>
      <c r="U100" s="14">
        <f t="shared" si="46"/>
        <v>0</v>
      </c>
      <c r="V100" s="14">
        <f t="shared" si="46"/>
        <v>0</v>
      </c>
      <c r="W100" s="14">
        <f t="shared" si="46"/>
        <v>0</v>
      </c>
      <c r="X100" s="14">
        <f t="shared" si="46"/>
        <v>1.0362500000000001E-27</v>
      </c>
      <c r="Y100" s="14">
        <f t="shared" si="46"/>
        <v>4.0060833333333338E-19</v>
      </c>
      <c r="Z100" s="14">
        <f t="shared" si="46"/>
        <v>4.9627500000000005E-11</v>
      </c>
      <c r="AA100" s="14">
        <f t="shared" si="46"/>
        <v>3.5795833333333333E-6</v>
      </c>
      <c r="AB100" s="14">
        <f t="shared" si="46"/>
        <v>0.7438083333333334</v>
      </c>
      <c r="AC100" s="14">
        <f t="shared" si="46"/>
        <v>1.7925000000000002</v>
      </c>
      <c r="AD100" s="14">
        <f t="shared" si="46"/>
        <v>1.8972500000000003</v>
      </c>
      <c r="AE100" s="14">
        <f t="shared" si="46"/>
        <v>1.9280833333333334</v>
      </c>
      <c r="AF100" s="14">
        <f t="shared" si="46"/>
        <v>1.9280833333333334</v>
      </c>
      <c r="AG100" s="14">
        <f t="shared" si="46"/>
        <v>1.9504166666666669</v>
      </c>
      <c r="AH100" s="14">
        <f t="shared" si="46"/>
        <v>0</v>
      </c>
      <c r="AI100" s="14">
        <f t="shared" si="46"/>
        <v>0</v>
      </c>
      <c r="AJ100" s="14">
        <f t="shared" si="46"/>
        <v>0</v>
      </c>
      <c r="AK100" s="14">
        <f t="shared" si="46"/>
        <v>0</v>
      </c>
      <c r="AL100" s="14">
        <f t="shared" si="46"/>
        <v>0</v>
      </c>
    </row>
    <row r="101" spans="1:54" ht="21" hidden="1" customHeight="1" outlineLevel="1" thickBot="1" x14ac:dyDescent="0.4">
      <c r="A101" s="5">
        <f t="shared" si="42"/>
        <v>0</v>
      </c>
      <c r="B101" s="5">
        <f t="shared" si="42"/>
        <v>0</v>
      </c>
      <c r="C101" s="5">
        <f t="shared" si="42"/>
        <v>1</v>
      </c>
      <c r="D101" s="5">
        <f t="shared" si="42"/>
        <v>0</v>
      </c>
      <c r="E101" s="6" t="str">
        <f t="shared" si="21"/>
        <v>(3)Ge[1]</v>
      </c>
      <c r="F101" s="14">
        <f t="shared" ref="F101:AL101" si="47">F25*$C$78</f>
        <v>0</v>
      </c>
      <c r="G101" s="14">
        <f t="shared" si="47"/>
        <v>0</v>
      </c>
      <c r="H101" s="14">
        <f t="shared" si="47"/>
        <v>0</v>
      </c>
      <c r="I101" s="14">
        <f t="shared" si="47"/>
        <v>0</v>
      </c>
      <c r="J101" s="14">
        <f t="shared" si="47"/>
        <v>0</v>
      </c>
      <c r="K101" s="14">
        <f t="shared" si="47"/>
        <v>0</v>
      </c>
      <c r="L101" s="14">
        <f t="shared" si="47"/>
        <v>0</v>
      </c>
      <c r="M101" s="14">
        <f t="shared" si="47"/>
        <v>0</v>
      </c>
      <c r="N101" s="14">
        <f t="shared" si="47"/>
        <v>0</v>
      </c>
      <c r="O101" s="14">
        <f t="shared" si="47"/>
        <v>0</v>
      </c>
      <c r="P101" s="14">
        <f t="shared" si="47"/>
        <v>0</v>
      </c>
      <c r="Q101" s="14">
        <f t="shared" si="47"/>
        <v>0</v>
      </c>
      <c r="R101" s="14">
        <f t="shared" si="47"/>
        <v>0</v>
      </c>
      <c r="S101" s="14">
        <f t="shared" si="47"/>
        <v>0</v>
      </c>
      <c r="T101" s="14">
        <f t="shared" si="47"/>
        <v>0</v>
      </c>
      <c r="U101" s="14">
        <f t="shared" si="47"/>
        <v>0</v>
      </c>
      <c r="V101" s="14">
        <f t="shared" si="47"/>
        <v>0</v>
      </c>
      <c r="W101" s="14">
        <f t="shared" si="47"/>
        <v>0</v>
      </c>
      <c r="X101" s="14">
        <f t="shared" si="47"/>
        <v>5.0832500000000004E-29</v>
      </c>
      <c r="Y101" s="14">
        <f t="shared" si="47"/>
        <v>1.2598333333333334E-20</v>
      </c>
      <c r="Z101" s="14">
        <f t="shared" si="47"/>
        <v>1.0312500000000001E-12</v>
      </c>
      <c r="AA101" s="14">
        <f t="shared" si="47"/>
        <v>5.0214166666666667E-8</v>
      </c>
      <c r="AB101" s="14">
        <f t="shared" si="47"/>
        <v>9.7833333333333331E-3</v>
      </c>
      <c r="AC101" s="14">
        <f t="shared" si="47"/>
        <v>3.7801666666666671E-2</v>
      </c>
      <c r="AD101" s="14">
        <f t="shared" si="47"/>
        <v>4.9009999999999998E-2</v>
      </c>
      <c r="AE101" s="14">
        <f t="shared" si="47"/>
        <v>5.4686666666666675E-2</v>
      </c>
      <c r="AF101" s="14">
        <f t="shared" si="47"/>
        <v>5.4686666666666675E-2</v>
      </c>
      <c r="AG101" s="14">
        <f t="shared" si="47"/>
        <v>6.0449166666666672E-2</v>
      </c>
      <c r="AH101" s="14">
        <f t="shared" si="47"/>
        <v>0</v>
      </c>
      <c r="AI101" s="14">
        <f t="shared" si="47"/>
        <v>0</v>
      </c>
      <c r="AJ101" s="14">
        <f t="shared" si="47"/>
        <v>0</v>
      </c>
      <c r="AK101" s="14">
        <f t="shared" si="47"/>
        <v>0</v>
      </c>
      <c r="AL101" s="14">
        <f t="shared" si="47"/>
        <v>0</v>
      </c>
    </row>
    <row r="102" spans="1:54" ht="21" hidden="1" customHeight="1" outlineLevel="1" thickBot="1" x14ac:dyDescent="0.4">
      <c r="A102" s="5">
        <f t="shared" si="42"/>
        <v>0</v>
      </c>
      <c r="B102" s="5">
        <f t="shared" si="42"/>
        <v>1</v>
      </c>
      <c r="C102" s="5">
        <f t="shared" si="42"/>
        <v>0</v>
      </c>
      <c r="D102" s="5">
        <f t="shared" si="42"/>
        <v>0</v>
      </c>
      <c r="E102" s="6" t="str">
        <f t="shared" si="21"/>
        <v>(3)Se[1]</v>
      </c>
      <c r="F102" s="14">
        <f t="shared" ref="F102:AL102" si="48">F26*$C$78</f>
        <v>0</v>
      </c>
      <c r="G102" s="14">
        <f t="shared" si="48"/>
        <v>0</v>
      </c>
      <c r="H102" s="14">
        <f t="shared" si="48"/>
        <v>0</v>
      </c>
      <c r="I102" s="14">
        <f t="shared" si="48"/>
        <v>0</v>
      </c>
      <c r="J102" s="14">
        <f t="shared" si="48"/>
        <v>0</v>
      </c>
      <c r="K102" s="14">
        <f t="shared" si="48"/>
        <v>0</v>
      </c>
      <c r="L102" s="14">
        <f t="shared" si="48"/>
        <v>0</v>
      </c>
      <c r="M102" s="14">
        <f t="shared" si="48"/>
        <v>0</v>
      </c>
      <c r="N102" s="14">
        <f t="shared" si="48"/>
        <v>0</v>
      </c>
      <c r="O102" s="14">
        <f t="shared" si="48"/>
        <v>0</v>
      </c>
      <c r="P102" s="14">
        <f t="shared" si="48"/>
        <v>0</v>
      </c>
      <c r="Q102" s="14">
        <f t="shared" si="48"/>
        <v>0</v>
      </c>
      <c r="R102" s="14">
        <f t="shared" si="48"/>
        <v>0</v>
      </c>
      <c r="S102" s="14">
        <f t="shared" si="48"/>
        <v>0</v>
      </c>
      <c r="T102" s="14">
        <f t="shared" si="48"/>
        <v>0</v>
      </c>
      <c r="U102" s="14">
        <f t="shared" si="48"/>
        <v>0</v>
      </c>
      <c r="V102" s="14">
        <f t="shared" si="48"/>
        <v>0</v>
      </c>
      <c r="W102" s="14">
        <f t="shared" si="48"/>
        <v>0</v>
      </c>
      <c r="X102" s="14">
        <f t="shared" si="48"/>
        <v>2.592166666666667E-35</v>
      </c>
      <c r="Y102" s="14">
        <f t="shared" si="48"/>
        <v>4.7325833333333337E-27</v>
      </c>
      <c r="Z102" s="14">
        <f t="shared" si="48"/>
        <v>2.8508333333333338E-19</v>
      </c>
      <c r="AA102" s="14">
        <f t="shared" si="48"/>
        <v>1.0292500000000002E-14</v>
      </c>
      <c r="AB102" s="14">
        <f t="shared" si="48"/>
        <v>1.6736666666666668E-9</v>
      </c>
      <c r="AC102" s="14">
        <f t="shared" si="48"/>
        <v>2.3995833333333338E-9</v>
      </c>
      <c r="AD102" s="14">
        <f t="shared" si="48"/>
        <v>1.8409166666666668E-9</v>
      </c>
      <c r="AE102" s="14">
        <f t="shared" si="48"/>
        <v>1.5913333333333334E-9</v>
      </c>
      <c r="AF102" s="14">
        <f t="shared" si="48"/>
        <v>1.5913333333333334E-9</v>
      </c>
      <c r="AG102" s="14">
        <f t="shared" si="48"/>
        <v>1.3691666666666666E-9</v>
      </c>
      <c r="AH102" s="14">
        <f t="shared" si="48"/>
        <v>0</v>
      </c>
      <c r="AI102" s="14">
        <f t="shared" si="48"/>
        <v>0</v>
      </c>
      <c r="AJ102" s="14">
        <f t="shared" si="48"/>
        <v>0</v>
      </c>
      <c r="AK102" s="14">
        <f t="shared" si="48"/>
        <v>0</v>
      </c>
      <c r="AL102" s="14">
        <f t="shared" si="48"/>
        <v>0</v>
      </c>
    </row>
    <row r="103" spans="1:54" ht="21" hidden="1" customHeight="1" outlineLevel="1" thickBot="1" x14ac:dyDescent="0.4">
      <c r="A103" s="5">
        <f t="shared" si="42"/>
        <v>1</v>
      </c>
      <c r="B103" s="5">
        <f t="shared" si="42"/>
        <v>0</v>
      </c>
      <c r="C103" s="5">
        <f t="shared" si="42"/>
        <v>0</v>
      </c>
      <c r="D103" s="5">
        <f t="shared" si="42"/>
        <v>0</v>
      </c>
      <c r="E103" s="6" t="str">
        <f t="shared" si="21"/>
        <v>H (Ar)</v>
      </c>
      <c r="F103" s="14">
        <f t="shared" ref="F103:AL103" si="49">F27*$C$78</f>
        <v>-158.16666666666669</v>
      </c>
      <c r="G103" s="14">
        <f t="shared" si="49"/>
        <v>-158.00000000000003</v>
      </c>
      <c r="H103" s="14">
        <f t="shared" si="49"/>
        <v>-158.00000000000003</v>
      </c>
      <c r="I103" s="14">
        <f t="shared" si="49"/>
        <v>-158.00000000000003</v>
      </c>
      <c r="J103" s="14">
        <f t="shared" si="49"/>
        <v>-158.08333333333334</v>
      </c>
      <c r="K103" s="14">
        <f t="shared" si="49"/>
        <v>-158.25</v>
      </c>
      <c r="L103" s="14">
        <f t="shared" si="49"/>
        <v>-158.5</v>
      </c>
      <c r="M103" s="14">
        <f t="shared" si="49"/>
        <v>-158.75000000000003</v>
      </c>
      <c r="N103" s="14">
        <f t="shared" si="49"/>
        <v>-159</v>
      </c>
      <c r="O103" s="14">
        <f t="shared" si="49"/>
        <v>-160</v>
      </c>
      <c r="P103" s="14">
        <f t="shared" si="49"/>
        <v>-160.25000000000003</v>
      </c>
      <c r="Q103" s="14">
        <f t="shared" si="49"/>
        <v>-160.58333333333334</v>
      </c>
      <c r="R103" s="14">
        <f t="shared" si="49"/>
        <v>-160.91666666666666</v>
      </c>
      <c r="S103" s="14">
        <f t="shared" si="49"/>
        <v>-161.33333333333334</v>
      </c>
      <c r="T103" s="14">
        <f t="shared" si="49"/>
        <v>-161.66666666666666</v>
      </c>
      <c r="U103" s="14">
        <f t="shared" si="49"/>
        <v>-162.00000000000003</v>
      </c>
      <c r="V103" s="14">
        <f t="shared" si="49"/>
        <v>-162.25</v>
      </c>
      <c r="W103" s="14">
        <f t="shared" si="49"/>
        <v>-162.33333333333334</v>
      </c>
      <c r="X103" s="14">
        <f t="shared" si="49"/>
        <v>-161.91666666666669</v>
      </c>
      <c r="Y103" s="14">
        <f t="shared" si="49"/>
        <v>-162.25</v>
      </c>
      <c r="Z103" s="14">
        <f t="shared" si="49"/>
        <v>-162.58333333333337</v>
      </c>
      <c r="AA103" s="14">
        <f t="shared" si="49"/>
        <v>-162.91666666666669</v>
      </c>
      <c r="AB103" s="14">
        <f t="shared" si="49"/>
        <v>-163.25</v>
      </c>
      <c r="AC103" s="14">
        <f t="shared" si="49"/>
        <v>-164.5</v>
      </c>
      <c r="AD103" s="14">
        <f t="shared" si="49"/>
        <v>-165.08333333333334</v>
      </c>
      <c r="AE103" s="14">
        <f t="shared" si="49"/>
        <v>-165.41666666666669</v>
      </c>
      <c r="AF103" s="14">
        <f t="shared" si="49"/>
        <v>-165.41666666666669</v>
      </c>
      <c r="AG103" s="14">
        <f t="shared" si="49"/>
        <v>-165.66666666666666</v>
      </c>
      <c r="AH103" s="14">
        <f t="shared" si="49"/>
        <v>0</v>
      </c>
      <c r="AI103" s="14">
        <f t="shared" si="49"/>
        <v>0</v>
      </c>
      <c r="AJ103" s="14">
        <f t="shared" si="49"/>
        <v>0</v>
      </c>
      <c r="AK103" s="14">
        <f t="shared" si="49"/>
        <v>0</v>
      </c>
      <c r="AL103" s="14">
        <f t="shared" si="49"/>
        <v>0</v>
      </c>
    </row>
    <row r="104" spans="1:54" ht="21" hidden="1" customHeight="1" outlineLevel="1" thickBot="1" x14ac:dyDescent="0.4">
      <c r="A104" s="5">
        <f t="shared" si="42"/>
        <v>0</v>
      </c>
      <c r="B104" s="5">
        <f t="shared" si="42"/>
        <v>0</v>
      </c>
      <c r="C104" s="5">
        <f t="shared" si="42"/>
        <v>0</v>
      </c>
      <c r="D104" s="5">
        <f t="shared" si="42"/>
        <v>1</v>
      </c>
      <c r="E104" s="6" t="str">
        <f t="shared" si="21"/>
        <v>H (Ga)</v>
      </c>
      <c r="F104" s="14">
        <f t="shared" ref="F104:AL104" si="50">F28*$C$78</f>
        <v>-550.83333333333337</v>
      </c>
      <c r="G104" s="14">
        <f t="shared" si="50"/>
        <v>-513.91666666666674</v>
      </c>
      <c r="H104" s="14">
        <f t="shared" si="50"/>
        <v>-478.50000000000006</v>
      </c>
      <c r="I104" s="14">
        <f t="shared" si="50"/>
        <v>-443.16666666666669</v>
      </c>
      <c r="J104" s="14">
        <f t="shared" si="50"/>
        <v>-408.41666666666669</v>
      </c>
      <c r="K104" s="14">
        <f t="shared" si="50"/>
        <v>-375.41666666666669</v>
      </c>
      <c r="L104" s="14">
        <f t="shared" si="50"/>
        <v>-345</v>
      </c>
      <c r="M104" s="14">
        <f t="shared" si="50"/>
        <v>-317.33333333333331</v>
      </c>
      <c r="N104" s="14">
        <f t="shared" si="50"/>
        <v>-292.58333333333337</v>
      </c>
      <c r="O104" s="14">
        <f t="shared" si="50"/>
        <v>-213.33333333333337</v>
      </c>
      <c r="P104" s="14">
        <f t="shared" si="50"/>
        <v>-196.08333333333334</v>
      </c>
      <c r="Q104" s="14">
        <f t="shared" si="50"/>
        <v>-179.66666666666666</v>
      </c>
      <c r="R104" s="14">
        <f t="shared" si="50"/>
        <v>-164.16666666666669</v>
      </c>
      <c r="S104" s="14">
        <f t="shared" si="50"/>
        <v>-149.58333333333334</v>
      </c>
      <c r="T104" s="14">
        <f t="shared" si="50"/>
        <v>-135.75</v>
      </c>
      <c r="U104" s="14">
        <f t="shared" si="50"/>
        <v>-122.75000000000001</v>
      </c>
      <c r="V104" s="14">
        <f t="shared" si="50"/>
        <v>-110.66666666666667</v>
      </c>
      <c r="W104" s="14">
        <f t="shared" si="50"/>
        <v>-100.08333333333334</v>
      </c>
      <c r="X104" s="14">
        <f t="shared" si="50"/>
        <v>-76.05</v>
      </c>
      <c r="Y104" s="14">
        <f t="shared" si="50"/>
        <v>-71.900000000000006</v>
      </c>
      <c r="Z104" s="14">
        <f t="shared" si="50"/>
        <v>-68.00833333333334</v>
      </c>
      <c r="AA104" s="14">
        <f t="shared" si="50"/>
        <v>-64.350000000000009</v>
      </c>
      <c r="AB104" s="14">
        <f t="shared" si="50"/>
        <v>-63.416666666666671</v>
      </c>
      <c r="AC104" s="14">
        <f t="shared" si="50"/>
        <v>-65.691666666666677</v>
      </c>
      <c r="AD104" s="14">
        <f t="shared" si="50"/>
        <v>-66.783333333333331</v>
      </c>
      <c r="AE104" s="14">
        <f t="shared" si="50"/>
        <v>-67.308333333333337</v>
      </c>
      <c r="AF104" s="14">
        <f t="shared" si="50"/>
        <v>-67.308333333333337</v>
      </c>
      <c r="AG104" s="14">
        <f t="shared" si="50"/>
        <v>-67.833333333333343</v>
      </c>
      <c r="AH104" s="14">
        <f t="shared" si="50"/>
        <v>0</v>
      </c>
      <c r="AI104" s="14">
        <f t="shared" si="50"/>
        <v>0</v>
      </c>
      <c r="AJ104" s="14">
        <f t="shared" si="50"/>
        <v>0</v>
      </c>
      <c r="AK104" s="14">
        <f t="shared" si="50"/>
        <v>0</v>
      </c>
      <c r="AL104" s="14">
        <f t="shared" si="50"/>
        <v>0</v>
      </c>
    </row>
    <row r="105" spans="1:54" ht="21" hidden="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1</v>
      </c>
      <c r="D105" s="5">
        <f t="shared" si="42"/>
        <v>0</v>
      </c>
      <c r="E105" s="6" t="str">
        <f t="shared" si="21"/>
        <v>H (Ge)</v>
      </c>
      <c r="F105" s="14">
        <f t="shared" ref="F105:AL105" si="51">F29*$C$78</f>
        <v>-144.00000000000003</v>
      </c>
      <c r="G105" s="14">
        <f t="shared" si="51"/>
        <v>-136</v>
      </c>
      <c r="H105" s="14">
        <f t="shared" si="51"/>
        <v>-126.5</v>
      </c>
      <c r="I105" s="14">
        <f t="shared" si="51"/>
        <v>-115.16666666666667</v>
      </c>
      <c r="J105" s="14">
        <f t="shared" si="51"/>
        <v>-103</v>
      </c>
      <c r="K105" s="14">
        <f t="shared" si="51"/>
        <v>-91.25</v>
      </c>
      <c r="L105" s="14">
        <f t="shared" si="51"/>
        <v>-80.316666666666677</v>
      </c>
      <c r="M105" s="14">
        <f t="shared" si="51"/>
        <v>-70.716666666666683</v>
      </c>
      <c r="N105" s="14">
        <f t="shared" si="51"/>
        <v>-62.925000000000004</v>
      </c>
      <c r="O105" s="14">
        <f t="shared" si="51"/>
        <v>-50.858333333333334</v>
      </c>
      <c r="P105" s="14">
        <f t="shared" si="51"/>
        <v>-50.683333333333337</v>
      </c>
      <c r="Q105" s="14">
        <f t="shared" si="51"/>
        <v>-50.825000000000003</v>
      </c>
      <c r="R105" s="14">
        <f t="shared" si="51"/>
        <v>-51.116666666666674</v>
      </c>
      <c r="S105" s="14">
        <f t="shared" si="51"/>
        <v>-51.483333333333334</v>
      </c>
      <c r="T105" s="14">
        <f t="shared" si="51"/>
        <v>-51.88333333333334</v>
      </c>
      <c r="U105" s="14">
        <f t="shared" si="51"/>
        <v>-52.341666666666669</v>
      </c>
      <c r="V105" s="14">
        <f t="shared" si="51"/>
        <v>-53.000000000000007</v>
      </c>
      <c r="W105" s="14">
        <f t="shared" si="51"/>
        <v>-54.291666666666671</v>
      </c>
      <c r="X105" s="14">
        <f t="shared" si="51"/>
        <v>-61.141666666666666</v>
      </c>
      <c r="Y105" s="14">
        <f t="shared" si="51"/>
        <v>-61.741666666666667</v>
      </c>
      <c r="Z105" s="14">
        <f t="shared" si="51"/>
        <v>-62.283333333333339</v>
      </c>
      <c r="AA105" s="14">
        <f t="shared" si="51"/>
        <v>-62.841666666666676</v>
      </c>
      <c r="AB105" s="14">
        <f t="shared" si="51"/>
        <v>-63.333333333333336</v>
      </c>
      <c r="AC105" s="14">
        <f t="shared" si="51"/>
        <v>-64.858333333333334</v>
      </c>
      <c r="AD105" s="14">
        <f t="shared" si="51"/>
        <v>-65.650000000000006</v>
      </c>
      <c r="AE105" s="14">
        <f t="shared" si="51"/>
        <v>-66.058333333333337</v>
      </c>
      <c r="AF105" s="14">
        <f t="shared" si="51"/>
        <v>-66.058333333333337</v>
      </c>
      <c r="AG105" s="14">
        <f t="shared" si="51"/>
        <v>-66.466666666666669</v>
      </c>
      <c r="AH105" s="14">
        <f t="shared" si="51"/>
        <v>0</v>
      </c>
      <c r="AI105" s="14">
        <f t="shared" si="51"/>
        <v>0</v>
      </c>
      <c r="AJ105" s="14">
        <f t="shared" si="51"/>
        <v>0</v>
      </c>
      <c r="AK105" s="14">
        <f t="shared" si="51"/>
        <v>0</v>
      </c>
      <c r="AL105" s="14">
        <f t="shared" si="51"/>
        <v>0</v>
      </c>
    </row>
    <row r="106" spans="1:54" ht="21" hidden="1" customHeight="1" outlineLevel="1" thickBot="1" x14ac:dyDescent="0.4">
      <c r="A106" s="5">
        <f t="shared" si="42"/>
        <v>0</v>
      </c>
      <c r="B106" s="5">
        <f t="shared" si="42"/>
        <v>1</v>
      </c>
      <c r="C106" s="5">
        <f t="shared" si="42"/>
        <v>0</v>
      </c>
      <c r="D106" s="5">
        <f t="shared" si="42"/>
        <v>0</v>
      </c>
      <c r="E106" s="6" t="str">
        <f t="shared" si="21"/>
        <v>H (Se)</v>
      </c>
      <c r="F106" s="14">
        <f t="shared" ref="F106:AL106" si="52">F30*$C$78</f>
        <v>-196.41666666666669</v>
      </c>
      <c r="G106" s="14">
        <f t="shared" si="52"/>
        <v>-186.5</v>
      </c>
      <c r="H106" s="14">
        <f t="shared" si="52"/>
        <v>-180.16666666666669</v>
      </c>
      <c r="I106" s="14">
        <f t="shared" si="52"/>
        <v>-177.66666666666669</v>
      </c>
      <c r="J106" s="14">
        <f t="shared" si="52"/>
        <v>-177.83333333333334</v>
      </c>
      <c r="K106" s="14">
        <f t="shared" si="52"/>
        <v>-179.41666666666669</v>
      </c>
      <c r="L106" s="14">
        <f t="shared" si="52"/>
        <v>-181.50000000000003</v>
      </c>
      <c r="M106" s="14">
        <f t="shared" si="52"/>
        <v>-183.58333333333334</v>
      </c>
      <c r="N106" s="14">
        <f t="shared" si="52"/>
        <v>-185.41666666666669</v>
      </c>
      <c r="O106" s="14">
        <f t="shared" si="52"/>
        <v>-191.83333333333334</v>
      </c>
      <c r="P106" s="14">
        <f t="shared" si="52"/>
        <v>-194.08333333333334</v>
      </c>
      <c r="Q106" s="14">
        <f t="shared" si="52"/>
        <v>-196.41666666666669</v>
      </c>
      <c r="R106" s="14">
        <f t="shared" si="52"/>
        <v>-198.83333333333334</v>
      </c>
      <c r="S106" s="14">
        <f t="shared" si="52"/>
        <v>-201.25</v>
      </c>
      <c r="T106" s="14">
        <f t="shared" si="52"/>
        <v>-203.66666666666669</v>
      </c>
      <c r="U106" s="14">
        <f t="shared" si="52"/>
        <v>-206</v>
      </c>
      <c r="V106" s="14">
        <f t="shared" si="52"/>
        <v>-208.25</v>
      </c>
      <c r="W106" s="14">
        <f t="shared" si="52"/>
        <v>-210.16666666666669</v>
      </c>
      <c r="X106" s="14">
        <f t="shared" si="52"/>
        <v>-217.16666666666669</v>
      </c>
      <c r="Y106" s="14">
        <f t="shared" si="52"/>
        <v>-219.33333333333334</v>
      </c>
      <c r="Z106" s="14">
        <f t="shared" si="52"/>
        <v>-221.5</v>
      </c>
      <c r="AA106" s="14">
        <f t="shared" si="52"/>
        <v>-223.75000000000003</v>
      </c>
      <c r="AB106" s="14">
        <f t="shared" si="52"/>
        <v>-224.91666666666666</v>
      </c>
      <c r="AC106" s="14">
        <f t="shared" si="52"/>
        <v>-231.83333333333334</v>
      </c>
      <c r="AD106" s="14">
        <f t="shared" si="52"/>
        <v>-235.75</v>
      </c>
      <c r="AE106" s="14">
        <f t="shared" si="52"/>
        <v>-237.75000000000003</v>
      </c>
      <c r="AF106" s="14">
        <f t="shared" si="52"/>
        <v>-237.75000000000003</v>
      </c>
      <c r="AG106" s="14">
        <f t="shared" si="52"/>
        <v>-239.66666666666669</v>
      </c>
      <c r="AH106" s="14">
        <f t="shared" si="52"/>
        <v>0</v>
      </c>
      <c r="AI106" s="14">
        <f t="shared" si="52"/>
        <v>0</v>
      </c>
      <c r="AJ106" s="14">
        <f t="shared" si="52"/>
        <v>0</v>
      </c>
      <c r="AK106" s="14">
        <f t="shared" si="52"/>
        <v>0</v>
      </c>
      <c r="AL106" s="14">
        <f t="shared" si="52"/>
        <v>0</v>
      </c>
    </row>
    <row r="107" spans="1:54" ht="21" hidden="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>
        <f t="shared" ref="F107:AL107" si="53">F31*$C$78</f>
        <v>0</v>
      </c>
      <c r="G107" s="14">
        <f t="shared" si="53"/>
        <v>0</v>
      </c>
      <c r="H107" s="14">
        <f t="shared" si="53"/>
        <v>0</v>
      </c>
      <c r="I107" s="14">
        <f t="shared" si="53"/>
        <v>0</v>
      </c>
      <c r="J107" s="14">
        <f t="shared" si="53"/>
        <v>0</v>
      </c>
      <c r="K107" s="14">
        <f t="shared" si="53"/>
        <v>0</v>
      </c>
      <c r="L107" s="14">
        <f t="shared" si="53"/>
        <v>0</v>
      </c>
      <c r="M107" s="14">
        <f t="shared" si="53"/>
        <v>0</v>
      </c>
      <c r="N107" s="14">
        <f t="shared" si="53"/>
        <v>0</v>
      </c>
      <c r="O107" s="14">
        <f t="shared" si="53"/>
        <v>0</v>
      </c>
      <c r="P107" s="14">
        <f t="shared" si="53"/>
        <v>0</v>
      </c>
      <c r="Q107" s="14">
        <f t="shared" si="53"/>
        <v>0</v>
      </c>
      <c r="R107" s="14">
        <f t="shared" si="53"/>
        <v>0</v>
      </c>
      <c r="S107" s="14">
        <f t="shared" si="53"/>
        <v>0</v>
      </c>
      <c r="T107" s="14">
        <f t="shared" si="53"/>
        <v>0</v>
      </c>
      <c r="U107" s="14">
        <f t="shared" si="53"/>
        <v>0</v>
      </c>
      <c r="V107" s="14">
        <f t="shared" si="53"/>
        <v>0</v>
      </c>
      <c r="W107" s="14">
        <f t="shared" si="53"/>
        <v>0</v>
      </c>
      <c r="X107" s="14">
        <f t="shared" si="53"/>
        <v>0</v>
      </c>
      <c r="Y107" s="14">
        <f t="shared" si="53"/>
        <v>0</v>
      </c>
      <c r="Z107" s="14">
        <f t="shared" si="53"/>
        <v>0</v>
      </c>
      <c r="AA107" s="14">
        <f t="shared" si="53"/>
        <v>0</v>
      </c>
      <c r="AB107" s="14">
        <f t="shared" si="53"/>
        <v>0</v>
      </c>
      <c r="AC107" s="14">
        <f t="shared" si="53"/>
        <v>0</v>
      </c>
      <c r="AD107" s="14">
        <f t="shared" si="53"/>
        <v>0</v>
      </c>
      <c r="AE107" s="14">
        <f t="shared" si="53"/>
        <v>0</v>
      </c>
      <c r="AF107" s="14">
        <f t="shared" si="53"/>
        <v>0</v>
      </c>
      <c r="AG107" s="14">
        <f t="shared" si="53"/>
        <v>0</v>
      </c>
      <c r="AH107" s="14">
        <f t="shared" si="53"/>
        <v>0</v>
      </c>
      <c r="AI107" s="14">
        <f t="shared" si="53"/>
        <v>0</v>
      </c>
      <c r="AJ107" s="14">
        <f t="shared" si="53"/>
        <v>0</v>
      </c>
      <c r="AK107" s="14">
        <f t="shared" si="53"/>
        <v>0</v>
      </c>
      <c r="AL107" s="14">
        <f t="shared" si="53"/>
        <v>0</v>
      </c>
    </row>
    <row r="108" spans="1:54" ht="21" hidden="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>
        <f t="shared" ref="F108:AL108" si="54">F32*$C$78</f>
        <v>0</v>
      </c>
      <c r="G108" s="14">
        <f t="shared" si="54"/>
        <v>0</v>
      </c>
      <c r="H108" s="14">
        <f t="shared" si="54"/>
        <v>0</v>
      </c>
      <c r="I108" s="14">
        <f t="shared" si="54"/>
        <v>0</v>
      </c>
      <c r="J108" s="14">
        <f t="shared" si="54"/>
        <v>0</v>
      </c>
      <c r="K108" s="14">
        <f t="shared" si="54"/>
        <v>0</v>
      </c>
      <c r="L108" s="14">
        <f t="shared" si="54"/>
        <v>0</v>
      </c>
      <c r="M108" s="14">
        <f t="shared" si="54"/>
        <v>0</v>
      </c>
      <c r="N108" s="14">
        <f t="shared" si="54"/>
        <v>0</v>
      </c>
      <c r="O108" s="14">
        <f t="shared" si="54"/>
        <v>0</v>
      </c>
      <c r="P108" s="14">
        <f t="shared" si="54"/>
        <v>0</v>
      </c>
      <c r="Q108" s="14">
        <f t="shared" si="54"/>
        <v>0</v>
      </c>
      <c r="R108" s="14">
        <f t="shared" si="54"/>
        <v>0</v>
      </c>
      <c r="S108" s="14">
        <f t="shared" si="54"/>
        <v>0</v>
      </c>
      <c r="T108" s="14">
        <f t="shared" si="54"/>
        <v>0</v>
      </c>
      <c r="U108" s="14">
        <f t="shared" si="54"/>
        <v>0</v>
      </c>
      <c r="V108" s="14">
        <f t="shared" si="54"/>
        <v>0</v>
      </c>
      <c r="W108" s="14">
        <f t="shared" si="54"/>
        <v>0</v>
      </c>
      <c r="X108" s="14">
        <f t="shared" si="54"/>
        <v>0</v>
      </c>
      <c r="Y108" s="14">
        <f t="shared" si="54"/>
        <v>0</v>
      </c>
      <c r="Z108" s="14">
        <f t="shared" si="54"/>
        <v>0</v>
      </c>
      <c r="AA108" s="14">
        <f t="shared" si="54"/>
        <v>0</v>
      </c>
      <c r="AB108" s="14">
        <f t="shared" si="54"/>
        <v>0</v>
      </c>
      <c r="AC108" s="14">
        <f t="shared" si="54"/>
        <v>0</v>
      </c>
      <c r="AD108" s="14">
        <f t="shared" si="54"/>
        <v>0</v>
      </c>
      <c r="AE108" s="14">
        <f t="shared" si="54"/>
        <v>0</v>
      </c>
      <c r="AF108" s="14">
        <f t="shared" si="54"/>
        <v>0</v>
      </c>
      <c r="AG108" s="14">
        <f t="shared" si="54"/>
        <v>0</v>
      </c>
      <c r="AH108" s="14">
        <f t="shared" si="54"/>
        <v>0</v>
      </c>
      <c r="AI108" s="14">
        <f t="shared" si="54"/>
        <v>0</v>
      </c>
      <c r="AJ108" s="14">
        <f t="shared" si="54"/>
        <v>0</v>
      </c>
      <c r="AK108" s="14">
        <f t="shared" si="54"/>
        <v>0</v>
      </c>
      <c r="AL108" s="14">
        <f t="shared" si="54"/>
        <v>0</v>
      </c>
    </row>
    <row r="109" spans="1:54" ht="21" hidden="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collapsed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5"/>
      <c r="B112" s="75"/>
      <c r="C112" s="75"/>
      <c r="D112" s="75"/>
      <c r="E112" s="74" t="s">
        <v>23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142" t="s">
        <v>10</v>
      </c>
      <c r="B113" s="143"/>
      <c r="C113" s="23" t="s">
        <v>11</v>
      </c>
      <c r="D113" s="15" t="s">
        <v>12</v>
      </c>
      <c r="E113" s="15"/>
      <c r="F113" s="4">
        <f t="shared" ref="F113:AL113" si="55">F3</f>
        <v>273.10000000000002</v>
      </c>
      <c r="G113" s="4">
        <f t="shared" si="55"/>
        <v>293.3</v>
      </c>
      <c r="H113" s="4">
        <f t="shared" si="55"/>
        <v>313.5</v>
      </c>
      <c r="I113" s="4">
        <f t="shared" si="55"/>
        <v>333.7</v>
      </c>
      <c r="J113" s="4">
        <f t="shared" si="55"/>
        <v>353.9</v>
      </c>
      <c r="K113" s="4">
        <f t="shared" si="55"/>
        <v>374.1</v>
      </c>
      <c r="L113" s="4">
        <f t="shared" si="55"/>
        <v>394.3</v>
      </c>
      <c r="M113" s="4">
        <f t="shared" si="55"/>
        <v>414.5</v>
      </c>
      <c r="N113" s="4">
        <f t="shared" si="55"/>
        <v>434.7</v>
      </c>
      <c r="O113" s="4">
        <f t="shared" si="55"/>
        <v>515.4</v>
      </c>
      <c r="P113" s="4">
        <f t="shared" si="55"/>
        <v>535.6</v>
      </c>
      <c r="Q113" s="4">
        <f t="shared" si="55"/>
        <v>555.79999999999995</v>
      </c>
      <c r="R113" s="4">
        <f t="shared" si="55"/>
        <v>576</v>
      </c>
      <c r="S113" s="4">
        <f t="shared" si="55"/>
        <v>596.20000000000005</v>
      </c>
      <c r="T113" s="4">
        <f t="shared" si="55"/>
        <v>616.4</v>
      </c>
      <c r="U113" s="4">
        <f t="shared" si="55"/>
        <v>636.6</v>
      </c>
      <c r="V113" s="4">
        <f t="shared" si="55"/>
        <v>656.8</v>
      </c>
      <c r="W113" s="4">
        <f t="shared" si="55"/>
        <v>677</v>
      </c>
      <c r="X113" s="4">
        <f t="shared" si="55"/>
        <v>757.7</v>
      </c>
      <c r="Y113" s="4">
        <f t="shared" si="55"/>
        <v>777.9</v>
      </c>
      <c r="Z113" s="4">
        <f t="shared" si="55"/>
        <v>798.1</v>
      </c>
      <c r="AA113" s="4">
        <f t="shared" si="55"/>
        <v>818.3</v>
      </c>
      <c r="AB113" s="4">
        <f t="shared" si="55"/>
        <v>838.5</v>
      </c>
      <c r="AC113" s="4">
        <f t="shared" si="55"/>
        <v>919.2</v>
      </c>
      <c r="AD113" s="4">
        <f t="shared" si="55"/>
        <v>939.4</v>
      </c>
      <c r="AE113" s="4">
        <f t="shared" si="55"/>
        <v>959.6</v>
      </c>
      <c r="AF113" s="4">
        <f t="shared" si="55"/>
        <v>979.8</v>
      </c>
      <c r="AG113" s="4">
        <f t="shared" si="55"/>
        <v>1000</v>
      </c>
      <c r="AH113" s="4">
        <f t="shared" si="55"/>
        <v>0</v>
      </c>
      <c r="AI113" s="4">
        <f t="shared" si="55"/>
        <v>0</v>
      </c>
      <c r="AJ113" s="4">
        <f t="shared" si="55"/>
        <v>0</v>
      </c>
      <c r="AK113" s="4">
        <f t="shared" si="55"/>
        <v>0</v>
      </c>
      <c r="AL113" s="4">
        <f t="shared" si="55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MIN(MIN(F114:AL116),MIN(F41:AL41))</f>
        <v>-1135.6165820000001</v>
      </c>
      <c r="C114" s="24">
        <f>COUNTA(E114:E120)+1</f>
        <v>7</v>
      </c>
      <c r="E114" s="17" t="s">
        <v>34</v>
      </c>
      <c r="F114" s="52">
        <f ca="1">F$113*$B$2*SUMPRODUCT(F$91:F$99,F$57:F$65)/1000</f>
        <v>-133.13363457565376</v>
      </c>
      <c r="G114" s="52">
        <f t="shared" ref="G114:AL114" ca="1" si="56">G$113*$B$2*SUMPRODUCT(G$91:G$99,G$57:G$65)/1000</f>
        <v>-139.10326147871839</v>
      </c>
      <c r="H114" s="52">
        <f t="shared" ca="1" si="56"/>
        <v>-152.68618597186477</v>
      </c>
      <c r="I114" s="52">
        <f t="shared" ca="1" si="56"/>
        <v>-171.93908209074115</v>
      </c>
      <c r="J114" s="52">
        <f t="shared" ca="1" si="56"/>
        <v>-188.20890099920402</v>
      </c>
      <c r="K114" s="52">
        <f t="shared" ca="1" si="56"/>
        <v>-198.44571416473318</v>
      </c>
      <c r="L114" s="52">
        <f t="shared" ca="1" si="56"/>
        <v>-205.80007583577222</v>
      </c>
      <c r="M114" s="52">
        <f t="shared" ca="1" si="56"/>
        <v>-214.47511663039913</v>
      </c>
      <c r="N114" s="52">
        <f t="shared" ca="1" si="56"/>
        <v>-229.22514287958015</v>
      </c>
      <c r="O114" s="52">
        <f t="shared" ca="1" si="56"/>
        <v>-349.5563393564039</v>
      </c>
      <c r="P114" s="52">
        <f t="shared" ca="1" si="56"/>
        <v>-369.99264545741107</v>
      </c>
      <c r="Q114" s="52">
        <f t="shared" ca="1" si="56"/>
        <v>-384.77061266288393</v>
      </c>
      <c r="R114" s="52">
        <f t="shared" ca="1" si="56"/>
        <v>-396.66010848168872</v>
      </c>
      <c r="S114" s="52">
        <f t="shared" ca="1" si="56"/>
        <v>-407.26642083799237</v>
      </c>
      <c r="T114" s="52">
        <f t="shared" ca="1" si="56"/>
        <v>-417.65416527765279</v>
      </c>
      <c r="U114" s="52">
        <f t="shared" ca="1" si="56"/>
        <v>-429.78512898709681</v>
      </c>
      <c r="V114" s="52">
        <f t="shared" ca="1" si="56"/>
        <v>-451.11480139657613</v>
      </c>
      <c r="W114" s="52">
        <f t="shared" ca="1" si="56"/>
        <v>-503.03980798000754</v>
      </c>
      <c r="X114" s="52">
        <f t="shared" ca="1" si="56"/>
        <v>-796.60151527500125</v>
      </c>
      <c r="Y114" s="52">
        <f t="shared" ca="1" si="56"/>
        <v>-822.73302684183943</v>
      </c>
      <c r="Z114" s="52">
        <f t="shared" ca="1" si="56"/>
        <v>-846.34354088873488</v>
      </c>
      <c r="AA114" s="52">
        <f t="shared" ca="1" si="56"/>
        <v>-869.84283024107538</v>
      </c>
      <c r="AB114" s="52">
        <f t="shared" ca="1" si="56"/>
        <v>-854.02093942382908</v>
      </c>
      <c r="AC114" s="52">
        <f t="shared" ca="1" si="56"/>
        <v>-895.68077996568695</v>
      </c>
      <c r="AD114" s="52">
        <f t="shared" ca="1" si="56"/>
        <v>-926.69223930697353</v>
      </c>
      <c r="AE114" s="52">
        <f t="shared" ca="1" si="56"/>
        <v>-952.44327877363605</v>
      </c>
      <c r="AF114" s="52">
        <f t="shared" ca="1" si="56"/>
        <v>-972.08170593607315</v>
      </c>
      <c r="AG114" s="52">
        <f t="shared" ca="1" si="56"/>
        <v>-998.75078950744785</v>
      </c>
      <c r="AH114" s="52">
        <f t="shared" ca="1" si="56"/>
        <v>0</v>
      </c>
      <c r="AI114" s="52">
        <f t="shared" ca="1" si="56"/>
        <v>0</v>
      </c>
      <c r="AJ114" s="52">
        <f t="shared" ca="1" si="56"/>
        <v>0</v>
      </c>
      <c r="AK114" s="52">
        <f t="shared" ca="1" si="56"/>
        <v>0</v>
      </c>
      <c r="AL114" s="52">
        <f t="shared" ca="1" si="56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MAX(MAX(F114:AL116),MAX(F41:AL41))</f>
        <v>0</v>
      </c>
      <c r="C115" s="25">
        <f xml:space="preserve"> COUNTIF(F113:AL113,"&lt;&gt;"&amp;0)</f>
        <v>28</v>
      </c>
      <c r="E115" s="17" t="s">
        <v>52</v>
      </c>
      <c r="F115" s="14">
        <f ca="1">F$113*$B$2*SUMPRODUCT(F$100:F$102,F$66:F$68)/1000</f>
        <v>0</v>
      </c>
      <c r="G115" s="14">
        <f t="shared" ref="G115:AL115" ca="1" si="57">G$113*$B$2*SUMPRODUCT(G$100:G$102,G$66:G$68)/1000</f>
        <v>0</v>
      </c>
      <c r="H115" s="14">
        <f t="shared" ca="1" si="57"/>
        <v>0</v>
      </c>
      <c r="I115" s="14">
        <f t="shared" ca="1" si="57"/>
        <v>0</v>
      </c>
      <c r="J115" s="14">
        <f t="shared" ca="1" si="57"/>
        <v>0</v>
      </c>
      <c r="K115" s="14">
        <f t="shared" ca="1" si="57"/>
        <v>0</v>
      </c>
      <c r="L115" s="14">
        <f t="shared" ca="1" si="57"/>
        <v>0</v>
      </c>
      <c r="M115" s="14">
        <f t="shared" ca="1" si="57"/>
        <v>0</v>
      </c>
      <c r="N115" s="14">
        <f t="shared" ca="1" si="57"/>
        <v>0</v>
      </c>
      <c r="O115" s="14">
        <f t="shared" ca="1" si="57"/>
        <v>0</v>
      </c>
      <c r="P115" s="14">
        <f t="shared" ca="1" si="57"/>
        <v>0</v>
      </c>
      <c r="Q115" s="14">
        <f t="shared" ca="1" si="57"/>
        <v>0</v>
      </c>
      <c r="R115" s="14">
        <f t="shared" ca="1" si="57"/>
        <v>0</v>
      </c>
      <c r="S115" s="14">
        <f t="shared" ca="1" si="57"/>
        <v>0</v>
      </c>
      <c r="T115" s="14">
        <f t="shared" ca="1" si="57"/>
        <v>0</v>
      </c>
      <c r="U115" s="14">
        <f t="shared" ca="1" si="57"/>
        <v>0</v>
      </c>
      <c r="V115" s="14">
        <f t="shared" ca="1" si="57"/>
        <v>0</v>
      </c>
      <c r="W115" s="14">
        <f t="shared" ca="1" si="57"/>
        <v>0</v>
      </c>
      <c r="X115" s="14">
        <f t="shared" ca="1" si="57"/>
        <v>-6.192657432914424E-26</v>
      </c>
      <c r="Y115" s="14">
        <f t="shared" ca="1" si="57"/>
        <v>-2.295950685355751E-17</v>
      </c>
      <c r="Z115" s="14">
        <f t="shared" ca="1" si="57"/>
        <v>-2.7387124451629889E-9</v>
      </c>
      <c r="AA115" s="14">
        <f t="shared" ca="1" si="57"/>
        <v>-1.9064263877626006E-4</v>
      </c>
      <c r="AB115" s="14">
        <f t="shared" ca="1" si="57"/>
        <v>-39.980897883064543</v>
      </c>
      <c r="AC115" s="14">
        <f t="shared" ca="1" si="57"/>
        <v>-110.24186664292597</v>
      </c>
      <c r="AD115" s="14">
        <f t="shared" ca="1" si="57"/>
        <v>-121.77307110529472</v>
      </c>
      <c r="AE115" s="14">
        <f t="shared" ca="1" si="57"/>
        <v>-127.71040795557241</v>
      </c>
      <c r="AF115" s="14">
        <f t="shared" ca="1" si="57"/>
        <v>-130.39876793963094</v>
      </c>
      <c r="AG115" s="14">
        <f t="shared" ca="1" si="57"/>
        <v>-136.01303309959204</v>
      </c>
      <c r="AH115" s="14">
        <f t="shared" ca="1" si="57"/>
        <v>0</v>
      </c>
      <c r="AI115" s="14">
        <f t="shared" ca="1" si="57"/>
        <v>0</v>
      </c>
      <c r="AJ115" s="14">
        <f t="shared" ca="1" si="57"/>
        <v>0</v>
      </c>
      <c r="AK115" s="14">
        <f t="shared" ca="1" si="57"/>
        <v>0</v>
      </c>
      <c r="AL115" s="14">
        <f t="shared" ca="1" si="57"/>
        <v>0</v>
      </c>
    </row>
    <row r="116" spans="1:38" ht="21" customHeight="1" outlineLevel="1" thickBot="1" x14ac:dyDescent="0.4">
      <c r="E116" s="17" t="s">
        <v>14</v>
      </c>
      <c r="F116" s="14">
        <f ca="1">F$113*$B$2*SUMPRODUCT(F$85:F$87,F$51:F$53)/1000</f>
        <v>-328.02022042135377</v>
      </c>
      <c r="G116" s="14">
        <f t="shared" ref="G116:AL116" ca="1" si="58">G$113*$B$2*SUMPRODUCT(G$85:G$87,G$51:G$53)/1000</f>
        <v>-327.19886794481545</v>
      </c>
      <c r="H116" s="14">
        <f t="shared" ca="1" si="58"/>
        <v>-321.19719435917443</v>
      </c>
      <c r="I116" s="14">
        <f t="shared" ca="1" si="58"/>
        <v>-311.9494133456385</v>
      </c>
      <c r="J116" s="14">
        <f t="shared" ca="1" si="58"/>
        <v>-305.45586394608262</v>
      </c>
      <c r="K116" s="14">
        <f t="shared" ca="1" si="58"/>
        <v>-303.48125316758677</v>
      </c>
      <c r="L116" s="14">
        <f t="shared" ca="1" si="58"/>
        <v>-303.77832495666593</v>
      </c>
      <c r="M116" s="14">
        <f t="shared" ca="1" si="58"/>
        <v>-303.69844913020938</v>
      </c>
      <c r="N116" s="14">
        <f t="shared" ca="1" si="58"/>
        <v>-300.85163820343337</v>
      </c>
      <c r="O116" s="14">
        <f t="shared" ca="1" si="58"/>
        <v>-267.1399362661387</v>
      </c>
      <c r="P116" s="14">
        <f t="shared" ca="1" si="58"/>
        <v>-264.94569748817889</v>
      </c>
      <c r="Q116" s="14">
        <f t="shared" ca="1" si="58"/>
        <v>-265.20295940719126</v>
      </c>
      <c r="R116" s="14">
        <f t="shared" ca="1" si="58"/>
        <v>-266.79532798828797</v>
      </c>
      <c r="S116" s="14">
        <f t="shared" ca="1" si="58"/>
        <v>-268.9897915154973</v>
      </c>
      <c r="T116" s="14">
        <f t="shared" ca="1" si="58"/>
        <v>-271.1049615629986</v>
      </c>
      <c r="U116" s="14">
        <f t="shared" ca="1" si="58"/>
        <v>-271.40173574328054</v>
      </c>
      <c r="V116" s="14">
        <f t="shared" ca="1" si="58"/>
        <v>-262.79621337113429</v>
      </c>
      <c r="W116" s="14">
        <f t="shared" ca="1" si="58"/>
        <v>-224.35667088179801</v>
      </c>
      <c r="X116" s="14">
        <f t="shared" ca="1" si="58"/>
        <v>-5.8938753667952755</v>
      </c>
      <c r="Y116" s="14">
        <f t="shared" ca="1" si="58"/>
        <v>-1.7457368451805173</v>
      </c>
      <c r="Z116" s="14">
        <f t="shared" ca="1" si="58"/>
        <v>-0.52831727954934393</v>
      </c>
      <c r="AA116" s="14">
        <f t="shared" ca="1" si="58"/>
        <v>-0.1640201254538784</v>
      </c>
      <c r="AB116" s="14">
        <f t="shared" ca="1" si="58"/>
        <v>-4.0923333136367035E-2</v>
      </c>
      <c r="AC116" s="14">
        <f t="shared" ca="1" si="58"/>
        <v>-3.2091988245072996E-5</v>
      </c>
      <c r="AD116" s="14">
        <f t="shared" ca="1" si="58"/>
        <v>-5.7913663404253592E-6</v>
      </c>
      <c r="AE116" s="14">
        <f t="shared" ca="1" si="58"/>
        <v>-1.2288315426471078E-6</v>
      </c>
      <c r="AF116" s="14">
        <f t="shared" ca="1" si="58"/>
        <v>-5.4834922285764367E-7</v>
      </c>
      <c r="AG116" s="14">
        <f t="shared" ca="1" si="58"/>
        <v>-7.2366549486476562E-7</v>
      </c>
      <c r="AH116" s="14">
        <f t="shared" ca="1" si="58"/>
        <v>0</v>
      </c>
      <c r="AI116" s="14">
        <f t="shared" ca="1" si="58"/>
        <v>0</v>
      </c>
      <c r="AJ116" s="14">
        <f t="shared" ca="1" si="58"/>
        <v>0</v>
      </c>
      <c r="AK116" s="14">
        <f t="shared" ca="1" si="58"/>
        <v>0</v>
      </c>
      <c r="AL116" s="14">
        <f t="shared" ca="1" si="58"/>
        <v>0</v>
      </c>
    </row>
    <row r="117" spans="1:38" ht="21" customHeight="1" outlineLevel="1" thickBot="1" x14ac:dyDescent="0.4">
      <c r="E117" s="17" t="s">
        <v>35</v>
      </c>
      <c r="F117" s="14">
        <f ca="1">F116+F114</f>
        <v>-461.15385499700756</v>
      </c>
      <c r="G117" s="14">
        <f t="shared" ref="G117:AL117" ca="1" si="59">G116+G114</f>
        <v>-466.30212942353387</v>
      </c>
      <c r="H117" s="14">
        <f t="shared" ca="1" si="59"/>
        <v>-473.88338033103923</v>
      </c>
      <c r="I117" s="14">
        <f t="shared" ca="1" si="59"/>
        <v>-483.88849543637969</v>
      </c>
      <c r="J117" s="14">
        <f t="shared" ca="1" si="59"/>
        <v>-493.66476494528661</v>
      </c>
      <c r="K117" s="14">
        <f t="shared" ca="1" si="59"/>
        <v>-501.92696733231992</v>
      </c>
      <c r="L117" s="14">
        <f t="shared" ca="1" si="59"/>
        <v>-509.57840079243817</v>
      </c>
      <c r="M117" s="14">
        <f t="shared" ca="1" si="59"/>
        <v>-518.17356576060854</v>
      </c>
      <c r="N117" s="14">
        <f t="shared" ca="1" si="59"/>
        <v>-530.07678108301354</v>
      </c>
      <c r="O117" s="14">
        <f t="shared" ca="1" si="59"/>
        <v>-616.69627562254254</v>
      </c>
      <c r="P117" s="14">
        <f t="shared" ca="1" si="59"/>
        <v>-634.93834294558997</v>
      </c>
      <c r="Q117" s="14">
        <f t="shared" ca="1" si="59"/>
        <v>-649.97357207007519</v>
      </c>
      <c r="R117" s="14">
        <f t="shared" ca="1" si="59"/>
        <v>-663.45543646997669</v>
      </c>
      <c r="S117" s="14">
        <f t="shared" ca="1" si="59"/>
        <v>-676.25621235348967</v>
      </c>
      <c r="T117" s="14">
        <f t="shared" ca="1" si="59"/>
        <v>-688.75912684065133</v>
      </c>
      <c r="U117" s="14">
        <f t="shared" ca="1" si="59"/>
        <v>-701.18686473037735</v>
      </c>
      <c r="V117" s="14">
        <f t="shared" ca="1" si="59"/>
        <v>-713.91101476771041</v>
      </c>
      <c r="W117" s="14">
        <f t="shared" ca="1" si="59"/>
        <v>-727.39647886180558</v>
      </c>
      <c r="X117" s="14">
        <f t="shared" ca="1" si="59"/>
        <v>-802.49539064179658</v>
      </c>
      <c r="Y117" s="14">
        <f t="shared" ca="1" si="59"/>
        <v>-824.47876368701998</v>
      </c>
      <c r="Z117" s="14">
        <f t="shared" ca="1" si="59"/>
        <v>-846.87185816828423</v>
      </c>
      <c r="AA117" s="14">
        <f t="shared" ca="1" si="59"/>
        <v>-870.00685036652931</v>
      </c>
      <c r="AB117" s="14">
        <f t="shared" ca="1" si="59"/>
        <v>-854.06186275696541</v>
      </c>
      <c r="AC117" s="14">
        <f t="shared" ca="1" si="59"/>
        <v>-895.68081205767521</v>
      </c>
      <c r="AD117" s="14">
        <f t="shared" ca="1" si="59"/>
        <v>-926.69224509833987</v>
      </c>
      <c r="AE117" s="14">
        <f t="shared" ca="1" si="59"/>
        <v>-952.44328000246765</v>
      </c>
      <c r="AF117" s="14">
        <f t="shared" ca="1" si="59"/>
        <v>-972.0817064844224</v>
      </c>
      <c r="AG117" s="14">
        <f t="shared" ca="1" si="59"/>
        <v>-998.75079023111334</v>
      </c>
      <c r="AH117" s="14">
        <f t="shared" ca="1" si="59"/>
        <v>0</v>
      </c>
      <c r="AI117" s="14">
        <f t="shared" ca="1" si="59"/>
        <v>0</v>
      </c>
      <c r="AJ117" s="14">
        <f t="shared" ca="1" si="59"/>
        <v>0</v>
      </c>
      <c r="AK117" s="14">
        <f t="shared" ca="1" si="59"/>
        <v>0</v>
      </c>
      <c r="AL117" s="14">
        <f t="shared" ca="1" si="59"/>
        <v>0</v>
      </c>
    </row>
    <row r="118" spans="1:38" ht="21" customHeight="1" outlineLevel="1" thickBot="1" x14ac:dyDescent="0.4">
      <c r="E118" s="17" t="s">
        <v>53</v>
      </c>
      <c r="F118" s="14">
        <f ca="1">F116+F115</f>
        <v>-328.02022042135377</v>
      </c>
      <c r="G118" s="14">
        <f t="shared" ref="G118:AL118" ca="1" si="60">G116+G115</f>
        <v>-327.19886794481545</v>
      </c>
      <c r="H118" s="14">
        <f t="shared" ca="1" si="60"/>
        <v>-321.19719435917443</v>
      </c>
      <c r="I118" s="14">
        <f t="shared" ca="1" si="60"/>
        <v>-311.9494133456385</v>
      </c>
      <c r="J118" s="14">
        <f t="shared" ca="1" si="60"/>
        <v>-305.45586394608262</v>
      </c>
      <c r="K118" s="14">
        <f t="shared" ca="1" si="60"/>
        <v>-303.48125316758677</v>
      </c>
      <c r="L118" s="14">
        <f t="shared" ca="1" si="60"/>
        <v>-303.77832495666593</v>
      </c>
      <c r="M118" s="14">
        <f t="shared" ca="1" si="60"/>
        <v>-303.69844913020938</v>
      </c>
      <c r="N118" s="14">
        <f t="shared" ca="1" si="60"/>
        <v>-300.85163820343337</v>
      </c>
      <c r="O118" s="14">
        <f t="shared" ca="1" si="60"/>
        <v>-267.1399362661387</v>
      </c>
      <c r="P118" s="14">
        <f t="shared" ca="1" si="60"/>
        <v>-264.94569748817889</v>
      </c>
      <c r="Q118" s="14">
        <f t="shared" ca="1" si="60"/>
        <v>-265.20295940719126</v>
      </c>
      <c r="R118" s="14">
        <f t="shared" ca="1" si="60"/>
        <v>-266.79532798828797</v>
      </c>
      <c r="S118" s="14">
        <f t="shared" ca="1" si="60"/>
        <v>-268.9897915154973</v>
      </c>
      <c r="T118" s="14">
        <f t="shared" ca="1" si="60"/>
        <v>-271.1049615629986</v>
      </c>
      <c r="U118" s="14">
        <f t="shared" ca="1" si="60"/>
        <v>-271.40173574328054</v>
      </c>
      <c r="V118" s="14">
        <f t="shared" ca="1" si="60"/>
        <v>-262.79621337113429</v>
      </c>
      <c r="W118" s="14">
        <f t="shared" ca="1" si="60"/>
        <v>-224.35667088179801</v>
      </c>
      <c r="X118" s="14">
        <f t="shared" ca="1" si="60"/>
        <v>-5.8938753667952755</v>
      </c>
      <c r="Y118" s="14">
        <f t="shared" ca="1" si="60"/>
        <v>-1.7457368451805173</v>
      </c>
      <c r="Z118" s="14">
        <f t="shared" ca="1" si="60"/>
        <v>-0.52831728228805641</v>
      </c>
      <c r="AA118" s="14">
        <f t="shared" ca="1" si="60"/>
        <v>-0.16421076809265467</v>
      </c>
      <c r="AB118" s="14">
        <f t="shared" ca="1" si="60"/>
        <v>-40.021821216200912</v>
      </c>
      <c r="AC118" s="14">
        <f t="shared" ca="1" si="60"/>
        <v>-110.24189873491422</v>
      </c>
      <c r="AD118" s="14">
        <f t="shared" ca="1" si="60"/>
        <v>-121.77307689666105</v>
      </c>
      <c r="AE118" s="14">
        <f t="shared" ca="1" si="60"/>
        <v>-127.71040918440394</v>
      </c>
      <c r="AF118" s="14">
        <f t="shared" ca="1" si="60"/>
        <v>-130.39876848798016</v>
      </c>
      <c r="AG118" s="14">
        <f t="shared" ca="1" si="60"/>
        <v>-136.01303382325753</v>
      </c>
      <c r="AH118" s="14">
        <f t="shared" ca="1" si="60"/>
        <v>0</v>
      </c>
      <c r="AI118" s="14">
        <f t="shared" ca="1" si="60"/>
        <v>0</v>
      </c>
      <c r="AJ118" s="14">
        <f t="shared" ca="1" si="60"/>
        <v>0</v>
      </c>
      <c r="AK118" s="14">
        <f t="shared" ca="1" si="60"/>
        <v>0</v>
      </c>
      <c r="AL118" s="14">
        <f t="shared" ca="1" si="60"/>
        <v>0</v>
      </c>
    </row>
    <row r="119" spans="1:38" ht="21" customHeight="1" outlineLevel="1" thickBot="1" x14ac:dyDescent="0.4">
      <c r="E119" s="17" t="s">
        <v>83</v>
      </c>
      <c r="F119" s="14">
        <f ca="1">F117+F118-F116</f>
        <v>-461.15385499700756</v>
      </c>
      <c r="G119" s="14">
        <f t="shared" ref="G119:AL119" ca="1" si="61">G117+G118-G116</f>
        <v>-466.30212942353387</v>
      </c>
      <c r="H119" s="14">
        <f t="shared" ca="1" si="61"/>
        <v>-473.88338033103923</v>
      </c>
      <c r="I119" s="14">
        <f t="shared" ca="1" si="61"/>
        <v>-483.88849543637969</v>
      </c>
      <c r="J119" s="14">
        <f t="shared" ca="1" si="61"/>
        <v>-493.66476494528666</v>
      </c>
      <c r="K119" s="14">
        <f t="shared" ca="1" si="61"/>
        <v>-501.92696733231998</v>
      </c>
      <c r="L119" s="14">
        <f t="shared" ca="1" si="61"/>
        <v>-509.57840079243812</v>
      </c>
      <c r="M119" s="14">
        <f t="shared" ca="1" si="61"/>
        <v>-518.17356576060854</v>
      </c>
      <c r="N119" s="14">
        <f t="shared" ca="1" si="61"/>
        <v>-530.07678108301354</v>
      </c>
      <c r="O119" s="14">
        <f t="shared" ca="1" si="61"/>
        <v>-616.69627562254254</v>
      </c>
      <c r="P119" s="14">
        <f t="shared" ca="1" si="61"/>
        <v>-634.93834294558997</v>
      </c>
      <c r="Q119" s="14">
        <f t="shared" ca="1" si="61"/>
        <v>-649.97357207007531</v>
      </c>
      <c r="R119" s="14">
        <f t="shared" ca="1" si="61"/>
        <v>-663.4554364699768</v>
      </c>
      <c r="S119" s="14">
        <f t="shared" ca="1" si="61"/>
        <v>-676.25621235348967</v>
      </c>
      <c r="T119" s="14">
        <f t="shared" ca="1" si="61"/>
        <v>-688.75912684065133</v>
      </c>
      <c r="U119" s="14">
        <f t="shared" ca="1" si="61"/>
        <v>-701.18686473037724</v>
      </c>
      <c r="V119" s="14">
        <f t="shared" ca="1" si="61"/>
        <v>-713.91101476771041</v>
      </c>
      <c r="W119" s="14">
        <f t="shared" ca="1" si="61"/>
        <v>-727.39647886180558</v>
      </c>
      <c r="X119" s="14">
        <f t="shared" ca="1" si="61"/>
        <v>-802.49539064179658</v>
      </c>
      <c r="Y119" s="14">
        <f t="shared" ca="1" si="61"/>
        <v>-824.47876368701998</v>
      </c>
      <c r="Z119" s="14">
        <f t="shared" ca="1" si="61"/>
        <v>-846.87185817102295</v>
      </c>
      <c r="AA119" s="14">
        <f t="shared" ca="1" si="61"/>
        <v>-870.00704100916801</v>
      </c>
      <c r="AB119" s="14">
        <f t="shared" ca="1" si="61"/>
        <v>-894.04276064003</v>
      </c>
      <c r="AC119" s="14">
        <f t="shared" ca="1" si="61"/>
        <v>-1005.9226787006012</v>
      </c>
      <c r="AD119" s="14">
        <f t="shared" ca="1" si="61"/>
        <v>-1048.4653162036345</v>
      </c>
      <c r="AE119" s="14">
        <f t="shared" ca="1" si="61"/>
        <v>-1080.1536879580401</v>
      </c>
      <c r="AF119" s="14">
        <f t="shared" ca="1" si="61"/>
        <v>-1102.4804744240535</v>
      </c>
      <c r="AG119" s="14">
        <f t="shared" ca="1" si="61"/>
        <v>-1134.7638233307052</v>
      </c>
      <c r="AH119" s="14">
        <f t="shared" ca="1" si="61"/>
        <v>0</v>
      </c>
      <c r="AI119" s="14">
        <f t="shared" ca="1" si="61"/>
        <v>0</v>
      </c>
      <c r="AJ119" s="14">
        <f t="shared" ca="1" si="61"/>
        <v>0</v>
      </c>
      <c r="AK119" s="14">
        <f t="shared" ca="1" si="61"/>
        <v>0</v>
      </c>
      <c r="AL119" s="14">
        <f t="shared" ca="1" si="61"/>
        <v>0</v>
      </c>
    </row>
    <row r="120" spans="1:38" ht="21" customHeight="1" outlineLevel="1" x14ac:dyDescent="0.35"/>
    <row r="121" spans="1:38" ht="21" customHeight="1" outlineLevel="1" thickBot="1" x14ac:dyDescent="0.4"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293.3</v>
      </c>
      <c r="H122" s="4">
        <f ca="1"/>
        <v>313.5</v>
      </c>
      <c r="I122" s="4">
        <f ca="1"/>
        <v>333.7</v>
      </c>
      <c r="J122" s="4">
        <f ca="1"/>
        <v>353.9</v>
      </c>
      <c r="K122" s="4">
        <f ca="1"/>
        <v>374.1</v>
      </c>
      <c r="L122" s="4">
        <f ca="1"/>
        <v>394.3</v>
      </c>
      <c r="M122" s="4">
        <f ca="1"/>
        <v>414.5</v>
      </c>
      <c r="N122" s="4">
        <f ca="1"/>
        <v>434.7</v>
      </c>
      <c r="O122" s="4">
        <f ca="1"/>
        <v>515.4</v>
      </c>
      <c r="P122" s="4">
        <f ca="1"/>
        <v>535.6</v>
      </c>
      <c r="Q122" s="4">
        <f ca="1"/>
        <v>555.79999999999995</v>
      </c>
      <c r="R122" s="4">
        <f ca="1"/>
        <v>576</v>
      </c>
      <c r="S122" s="4">
        <f ca="1"/>
        <v>596.20000000000005</v>
      </c>
      <c r="T122" s="20">
        <f ca="1"/>
        <v>616.4</v>
      </c>
      <c r="U122" s="65">
        <f ca="1"/>
        <v>636.6</v>
      </c>
      <c r="V122" s="66">
        <f ca="1"/>
        <v>656.8</v>
      </c>
      <c r="W122" s="68">
        <f ca="1"/>
        <v>677</v>
      </c>
      <c r="X122" s="62">
        <f ca="1"/>
        <v>757.7</v>
      </c>
      <c r="Y122" s="4">
        <f ca="1"/>
        <v>777.9</v>
      </c>
      <c r="Z122" s="4">
        <f ca="1"/>
        <v>798.1</v>
      </c>
      <c r="AA122" s="4">
        <f ca="1"/>
        <v>818.3</v>
      </c>
      <c r="AB122" s="4">
        <f ca="1"/>
        <v>838.5</v>
      </c>
      <c r="AC122" s="4">
        <f ca="1"/>
        <v>919.2</v>
      </c>
      <c r="AD122" s="4">
        <f ca="1"/>
        <v>939.4</v>
      </c>
      <c r="AE122" s="4">
        <f ca="1"/>
        <v>959.6</v>
      </c>
      <c r="AF122" s="4">
        <f ca="1"/>
        <v>979.8</v>
      </c>
      <c r="AG122" s="4">
        <f ca="1"/>
        <v>1000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1(тв): </v>
      </c>
      <c r="F123" s="55">
        <f ca="1"/>
        <v>-133.13363457565376</v>
      </c>
      <c r="G123" s="55">
        <f ca="1"/>
        <v>-139.10326147871839</v>
      </c>
      <c r="H123" s="55">
        <f ca="1"/>
        <v>-152.68618597186477</v>
      </c>
      <c r="I123" s="55">
        <f ca="1"/>
        <v>-171.93908209074115</v>
      </c>
      <c r="J123" s="55">
        <f ca="1"/>
        <v>-188.20890099920402</v>
      </c>
      <c r="K123" s="55">
        <f ca="1"/>
        <v>-198.44571416473318</v>
      </c>
      <c r="L123" s="55">
        <f ca="1"/>
        <v>-205.80007583577222</v>
      </c>
      <c r="M123" s="55">
        <f ca="1"/>
        <v>-214.47511663039913</v>
      </c>
      <c r="N123" s="55">
        <f ca="1"/>
        <v>-229.22514287958015</v>
      </c>
      <c r="O123" s="55">
        <f ca="1"/>
        <v>-349.5563393564039</v>
      </c>
      <c r="P123" s="55">
        <f ca="1"/>
        <v>-369.99264545741107</v>
      </c>
      <c r="Q123" s="55">
        <f ca="1"/>
        <v>-384.77061266288393</v>
      </c>
      <c r="R123" s="55">
        <f ca="1"/>
        <v>-396.66010848168872</v>
      </c>
      <c r="S123" s="55">
        <f ca="1"/>
        <v>-407.26642083799237</v>
      </c>
      <c r="T123" s="55">
        <f ca="1"/>
        <v>-417.65416527765279</v>
      </c>
      <c r="U123" s="55">
        <f ca="1"/>
        <v>-429.78512898709681</v>
      </c>
      <c r="V123" s="55">
        <f ca="1"/>
        <v>-451.11480139657613</v>
      </c>
      <c r="W123" s="55">
        <f ca="1"/>
        <v>-503.03980798000754</v>
      </c>
      <c r="X123" s="55">
        <f ca="1"/>
        <v>-796.60151527500125</v>
      </c>
      <c r="Y123" s="55">
        <f ca="1"/>
        <v>-822.73302684183943</v>
      </c>
      <c r="Z123" s="55">
        <f ca="1"/>
        <v>-846.34354088873488</v>
      </c>
      <c r="AA123" s="55">
        <f ca="1"/>
        <v>-869.84283024107538</v>
      </c>
      <c r="AB123" s="55">
        <f ca="1"/>
        <v>-854.02093942382908</v>
      </c>
      <c r="AC123" s="55">
        <f ca="1"/>
        <v>-895.68077996568695</v>
      </c>
      <c r="AD123" s="55">
        <f ca="1"/>
        <v>-926.69223930697353</v>
      </c>
      <c r="AE123" s="55">
        <f ca="1"/>
        <v>-952.44327877363605</v>
      </c>
      <c r="AF123" s="55">
        <f ca="1"/>
        <v>-972.08170593607315</v>
      </c>
      <c r="AG123" s="55">
        <f ca="1"/>
        <v>-998.75078950744785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Раствор 3 (жид): </v>
      </c>
      <c r="F124" s="55">
        <f ca="1"/>
        <v>0</v>
      </c>
      <c r="G124" s="55">
        <f ca="1"/>
        <v>0</v>
      </c>
      <c r="H124" s="55">
        <f ca="1"/>
        <v>0</v>
      </c>
      <c r="I124" s="55">
        <f ca="1"/>
        <v>0</v>
      </c>
      <c r="J124" s="55">
        <f ca="1"/>
        <v>0</v>
      </c>
      <c r="K124" s="55">
        <f ca="1"/>
        <v>0</v>
      </c>
      <c r="L124" s="55">
        <f ca="1"/>
        <v>0</v>
      </c>
      <c r="M124" s="55">
        <f ca="1"/>
        <v>0</v>
      </c>
      <c r="N124" s="55">
        <f ca="1"/>
        <v>0</v>
      </c>
      <c r="O124" s="55">
        <f ca="1"/>
        <v>0</v>
      </c>
      <c r="P124" s="55">
        <f ca="1"/>
        <v>0</v>
      </c>
      <c r="Q124" s="55">
        <f ca="1"/>
        <v>0</v>
      </c>
      <c r="R124" s="55">
        <f ca="1"/>
        <v>0</v>
      </c>
      <c r="S124" s="55">
        <f ca="1"/>
        <v>0</v>
      </c>
      <c r="T124" s="55">
        <f ca="1"/>
        <v>0</v>
      </c>
      <c r="U124" s="55">
        <f ca="1"/>
        <v>0</v>
      </c>
      <c r="V124" s="55">
        <f ca="1"/>
        <v>0</v>
      </c>
      <c r="W124" s="55">
        <f ca="1"/>
        <v>0</v>
      </c>
      <c r="X124" s="55">
        <f ca="1"/>
        <v>-6.192657432914424E-26</v>
      </c>
      <c r="Y124" s="55">
        <f ca="1"/>
        <v>-2.295950685355751E-17</v>
      </c>
      <c r="Z124" s="55">
        <f ca="1"/>
        <v>-2.7387124451629889E-9</v>
      </c>
      <c r="AA124" s="55">
        <f ca="1"/>
        <v>-1.9064263877626006E-4</v>
      </c>
      <c r="AB124" s="55">
        <f ca="1"/>
        <v>-39.980897883064543</v>
      </c>
      <c r="AC124" s="55">
        <f ca="1"/>
        <v>-110.24186664292597</v>
      </c>
      <c r="AD124" s="55">
        <f ca="1"/>
        <v>-121.77307110529472</v>
      </c>
      <c r="AE124" s="55">
        <f ca="1"/>
        <v>-127.71040795557241</v>
      </c>
      <c r="AF124" s="55">
        <f ca="1"/>
        <v>-130.39876793963094</v>
      </c>
      <c r="AG124" s="55">
        <f ca="1"/>
        <v>-136.01303309959204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 без Ar: </v>
      </c>
      <c r="F125" s="55">
        <f ca="1"/>
        <v>-328.02022042135377</v>
      </c>
      <c r="G125" s="55">
        <f ca="1"/>
        <v>-327.19886794481545</v>
      </c>
      <c r="H125" s="55">
        <f ca="1"/>
        <v>-321.19719435917443</v>
      </c>
      <c r="I125" s="55">
        <f ca="1"/>
        <v>-311.9494133456385</v>
      </c>
      <c r="J125" s="55">
        <f ca="1"/>
        <v>-305.45586394608262</v>
      </c>
      <c r="K125" s="55">
        <f ca="1"/>
        <v>-303.48125316758677</v>
      </c>
      <c r="L125" s="55">
        <f ca="1"/>
        <v>-303.77832495666593</v>
      </c>
      <c r="M125" s="55">
        <f ca="1"/>
        <v>-303.69844913020938</v>
      </c>
      <c r="N125" s="55">
        <f ca="1"/>
        <v>-300.85163820343337</v>
      </c>
      <c r="O125" s="55">
        <f ca="1"/>
        <v>-267.1399362661387</v>
      </c>
      <c r="P125" s="55">
        <f ca="1"/>
        <v>-264.94569748817889</v>
      </c>
      <c r="Q125" s="55">
        <f ca="1"/>
        <v>-265.20295940719126</v>
      </c>
      <c r="R125" s="55">
        <f ca="1"/>
        <v>-266.79532798828797</v>
      </c>
      <c r="S125" s="55">
        <f ca="1"/>
        <v>-268.9897915154973</v>
      </c>
      <c r="T125" s="55">
        <f ca="1"/>
        <v>-271.1049615629986</v>
      </c>
      <c r="U125" s="55">
        <f ca="1"/>
        <v>-271.40173574328054</v>
      </c>
      <c r="V125" s="55">
        <f ca="1"/>
        <v>-262.79621337113429</v>
      </c>
      <c r="W125" s="55">
        <f ca="1"/>
        <v>-224.35667088179801</v>
      </c>
      <c r="X125" s="55">
        <f ca="1"/>
        <v>-5.8938753667952755</v>
      </c>
      <c r="Y125" s="55">
        <f ca="1"/>
        <v>-1.7457368451805173</v>
      </c>
      <c r="Z125" s="55">
        <f ca="1"/>
        <v>-0.52831727954934393</v>
      </c>
      <c r="AA125" s="55">
        <f ca="1"/>
        <v>-0.1640201254538784</v>
      </c>
      <c r="AB125" s="55">
        <f ca="1"/>
        <v>-4.0923333136367035E-2</v>
      </c>
      <c r="AC125" s="55">
        <f ca="1"/>
        <v>-3.2091988245072996E-5</v>
      </c>
      <c r="AD125" s="55">
        <f ca="1"/>
        <v>-5.7913663404253592E-6</v>
      </c>
      <c r="AE125" s="55">
        <f ca="1"/>
        <v>-1.2288315426471078E-6</v>
      </c>
      <c r="AF125" s="55">
        <f ca="1"/>
        <v>-5.4834922285764367E-7</v>
      </c>
      <c r="AG125" s="55">
        <f ca="1"/>
        <v>-7.2366549486476562E-7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 xml:space="preserve">Раствор 1 + газовая без Ar: </v>
      </c>
      <c r="F126" s="55">
        <f ca="1"/>
        <v>-461.15385499700756</v>
      </c>
      <c r="G126" s="55">
        <f ca="1"/>
        <v>-466.30212942353387</v>
      </c>
      <c r="H126" s="55">
        <f ca="1"/>
        <v>-473.88338033103923</v>
      </c>
      <c r="I126" s="55">
        <f ca="1"/>
        <v>-483.88849543637969</v>
      </c>
      <c r="J126" s="55">
        <f ca="1"/>
        <v>-493.66476494528661</v>
      </c>
      <c r="K126" s="55">
        <f ca="1"/>
        <v>-501.92696733231992</v>
      </c>
      <c r="L126" s="55">
        <f ca="1"/>
        <v>-509.57840079243817</v>
      </c>
      <c r="M126" s="55">
        <f ca="1"/>
        <v>-518.17356576060854</v>
      </c>
      <c r="N126" s="55">
        <f ca="1"/>
        <v>-530.07678108301354</v>
      </c>
      <c r="O126" s="55">
        <f ca="1"/>
        <v>-616.69627562254254</v>
      </c>
      <c r="P126" s="55">
        <f ca="1"/>
        <v>-634.93834294558997</v>
      </c>
      <c r="Q126" s="55">
        <f ca="1"/>
        <v>-649.97357207007519</v>
      </c>
      <c r="R126" s="55">
        <f ca="1"/>
        <v>-663.45543646997669</v>
      </c>
      <c r="S126" s="55">
        <f ca="1"/>
        <v>-676.25621235348967</v>
      </c>
      <c r="T126" s="55">
        <f ca="1"/>
        <v>-688.75912684065133</v>
      </c>
      <c r="U126" s="55">
        <f ca="1"/>
        <v>-701.18686473037735</v>
      </c>
      <c r="V126" s="55">
        <f ca="1"/>
        <v>-713.91101476771041</v>
      </c>
      <c r="W126" s="55">
        <f ca="1"/>
        <v>-727.39647886180558</v>
      </c>
      <c r="X126" s="55">
        <f ca="1"/>
        <v>-802.49539064179658</v>
      </c>
      <c r="Y126" s="55">
        <f ca="1"/>
        <v>-824.47876368701998</v>
      </c>
      <c r="Z126" s="55">
        <f ca="1"/>
        <v>-846.87185816828423</v>
      </c>
      <c r="AA126" s="55">
        <f ca="1"/>
        <v>-870.00685036652931</v>
      </c>
      <c r="AB126" s="55">
        <f ca="1"/>
        <v>-854.06186275696541</v>
      </c>
      <c r="AC126" s="55">
        <f ca="1"/>
        <v>-895.68081205767521</v>
      </c>
      <c r="AD126" s="55">
        <f ca="1"/>
        <v>-926.69224509833987</v>
      </c>
      <c r="AE126" s="55">
        <f ca="1"/>
        <v>-952.44328000246765</v>
      </c>
      <c r="AF126" s="55">
        <f ca="1"/>
        <v>-972.0817064844224</v>
      </c>
      <c r="AG126" s="55">
        <f ca="1"/>
        <v>-998.75079023111334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str">
        <f ca="1"/>
        <v xml:space="preserve">Раствор 3 + газовая без Ar: </v>
      </c>
      <c r="F127" s="55">
        <f ca="1"/>
        <v>-328.02022042135377</v>
      </c>
      <c r="G127" s="55">
        <f ca="1"/>
        <v>-327.19886794481545</v>
      </c>
      <c r="H127" s="55">
        <f ca="1"/>
        <v>-321.19719435917443</v>
      </c>
      <c r="I127" s="55">
        <f ca="1"/>
        <v>-311.9494133456385</v>
      </c>
      <c r="J127" s="55">
        <f ca="1"/>
        <v>-305.45586394608262</v>
      </c>
      <c r="K127" s="55">
        <f ca="1"/>
        <v>-303.48125316758677</v>
      </c>
      <c r="L127" s="55">
        <f ca="1"/>
        <v>-303.77832495666593</v>
      </c>
      <c r="M127" s="55">
        <f ca="1"/>
        <v>-303.69844913020938</v>
      </c>
      <c r="N127" s="55">
        <f ca="1"/>
        <v>-300.85163820343337</v>
      </c>
      <c r="O127" s="55">
        <f ca="1"/>
        <v>-267.1399362661387</v>
      </c>
      <c r="P127" s="55">
        <f ca="1"/>
        <v>-264.94569748817889</v>
      </c>
      <c r="Q127" s="55">
        <f ca="1"/>
        <v>-265.20295940719126</v>
      </c>
      <c r="R127" s="55">
        <f ca="1"/>
        <v>-266.79532798828797</v>
      </c>
      <c r="S127" s="55">
        <f ca="1"/>
        <v>-268.9897915154973</v>
      </c>
      <c r="T127" s="55">
        <f ca="1"/>
        <v>-271.1049615629986</v>
      </c>
      <c r="U127" s="55">
        <f ca="1"/>
        <v>-271.40173574328054</v>
      </c>
      <c r="V127" s="55">
        <f ca="1"/>
        <v>-262.79621337113429</v>
      </c>
      <c r="W127" s="55">
        <f ca="1"/>
        <v>-224.35667088179801</v>
      </c>
      <c r="X127" s="55">
        <f ca="1"/>
        <v>-5.8938753667952755</v>
      </c>
      <c r="Y127" s="55">
        <f ca="1"/>
        <v>-1.7457368451805173</v>
      </c>
      <c r="Z127" s="55">
        <f ca="1"/>
        <v>-0.52831728228805641</v>
      </c>
      <c r="AA127" s="55">
        <f ca="1"/>
        <v>-0.16421076809265467</v>
      </c>
      <c r="AB127" s="55">
        <f ca="1"/>
        <v>-40.021821216200912</v>
      </c>
      <c r="AC127" s="55">
        <f ca="1"/>
        <v>-110.24189873491422</v>
      </c>
      <c r="AD127" s="55">
        <f ca="1"/>
        <v>-121.77307689666105</v>
      </c>
      <c r="AE127" s="55">
        <f ca="1"/>
        <v>-127.71040918440394</v>
      </c>
      <c r="AF127" s="55">
        <f ca="1"/>
        <v>-130.39876848798016</v>
      </c>
      <c r="AG127" s="55">
        <f ca="1"/>
        <v>-136.01303382325753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str">
        <f ca="1"/>
        <v>P1+P3+газ без Ar</v>
      </c>
      <c r="F128" s="55">
        <f ca="1"/>
        <v>-461.15385499700756</v>
      </c>
      <c r="G128" s="55">
        <f ca="1"/>
        <v>-466.30212942353387</v>
      </c>
      <c r="H128" s="55">
        <f ca="1"/>
        <v>-473.88338033103923</v>
      </c>
      <c r="I128" s="55">
        <f ca="1"/>
        <v>-483.88849543637969</v>
      </c>
      <c r="J128" s="55">
        <f ca="1"/>
        <v>-493.66476494528666</v>
      </c>
      <c r="K128" s="55">
        <f ca="1"/>
        <v>-501.92696733231998</v>
      </c>
      <c r="L128" s="55">
        <f ca="1"/>
        <v>-509.57840079243812</v>
      </c>
      <c r="M128" s="55">
        <f ca="1"/>
        <v>-518.17356576060854</v>
      </c>
      <c r="N128" s="55">
        <f ca="1"/>
        <v>-530.07678108301354</v>
      </c>
      <c r="O128" s="55">
        <f ca="1"/>
        <v>-616.69627562254254</v>
      </c>
      <c r="P128" s="55">
        <f ca="1"/>
        <v>-634.93834294558997</v>
      </c>
      <c r="Q128" s="55">
        <f ca="1"/>
        <v>-649.97357207007531</v>
      </c>
      <c r="R128" s="55">
        <f ca="1"/>
        <v>-663.4554364699768</v>
      </c>
      <c r="S128" s="55">
        <f ca="1"/>
        <v>-676.25621235348967</v>
      </c>
      <c r="T128" s="55">
        <f ca="1"/>
        <v>-688.75912684065133</v>
      </c>
      <c r="U128" s="55">
        <f ca="1"/>
        <v>-701.18686473037724</v>
      </c>
      <c r="V128" s="55">
        <f ca="1"/>
        <v>-713.91101476771041</v>
      </c>
      <c r="W128" s="55">
        <f ca="1"/>
        <v>-727.39647886180558</v>
      </c>
      <c r="X128" s="55">
        <f ca="1"/>
        <v>-802.49539064179658</v>
      </c>
      <c r="Y128" s="55">
        <f ca="1"/>
        <v>-824.47876368701998</v>
      </c>
      <c r="Z128" s="55">
        <f ca="1"/>
        <v>-846.87185817102295</v>
      </c>
      <c r="AA128" s="55">
        <f ca="1"/>
        <v>-870.00704100916801</v>
      </c>
      <c r="AB128" s="55">
        <f ca="1"/>
        <v>-894.04276064003</v>
      </c>
      <c r="AC128" s="55">
        <f ca="1"/>
        <v>-1005.9226787006012</v>
      </c>
      <c r="AD128" s="55">
        <f ca="1"/>
        <v>-1048.4653162036345</v>
      </c>
      <c r="AE128" s="55">
        <f ca="1"/>
        <v>-1080.1536879580401</v>
      </c>
      <c r="AF128" s="55">
        <f ca="1"/>
        <v>-1102.4804744240535</v>
      </c>
      <c r="AG128" s="55">
        <f ca="1"/>
        <v>-1134.7638233307052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14" priority="66" operator="equal">
      <formula>0</formula>
    </cfRule>
  </conditionalFormatting>
  <conditionalFormatting sqref="A80:D109">
    <cfRule type="cellIs" dxfId="13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topLeftCell="A77" zoomScale="85" zoomScaleNormal="85" zoomScaleSheetLayoutView="25" workbookViewId="0">
      <selection activeCell="AZ128" sqref="AZ128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45" t="s">
        <v>0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19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 t="s">
        <v>94</v>
      </c>
      <c r="F3" s="3">
        <v>273.10000000000002</v>
      </c>
      <c r="G3" s="3">
        <v>345.8</v>
      </c>
      <c r="H3" s="3">
        <v>418.5</v>
      </c>
      <c r="I3" s="3">
        <v>491.2</v>
      </c>
      <c r="J3" s="3">
        <v>563.9</v>
      </c>
      <c r="K3" s="3">
        <v>636.6</v>
      </c>
      <c r="L3" s="3">
        <v>709.3</v>
      </c>
      <c r="M3" s="3">
        <v>781.9</v>
      </c>
      <c r="N3" s="3">
        <v>854.6</v>
      </c>
      <c r="O3" s="3">
        <v>927.3</v>
      </c>
      <c r="P3" s="3">
        <v>1000</v>
      </c>
      <c r="Q3" s="3"/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0</v>
      </c>
      <c r="D4" s="44">
        <f t="shared" si="0"/>
        <v>0</v>
      </c>
      <c r="E4" s="6" t="s">
        <v>90</v>
      </c>
      <c r="F4" s="49">
        <v>2.2147E-8</v>
      </c>
      <c r="G4" s="49">
        <v>2.2195000000000001E-8</v>
      </c>
      <c r="H4" s="49">
        <v>2.6612E-8</v>
      </c>
      <c r="I4" s="49">
        <v>2.0637000000000001E-8</v>
      </c>
      <c r="J4" s="49">
        <v>3.152E-8</v>
      </c>
      <c r="K4" s="49">
        <v>3.7354999999999999E-8</v>
      </c>
      <c r="L4" s="49">
        <v>7.7942999999999999E-8</v>
      </c>
      <c r="M4" s="49">
        <v>1.1916E-7</v>
      </c>
      <c r="N4" s="49">
        <v>1.1024E-7</v>
      </c>
      <c r="O4" s="49">
        <v>5.362E-8</v>
      </c>
      <c r="P4" s="49">
        <v>2.0621E-8</v>
      </c>
      <c r="Q4" s="49"/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3</v>
      </c>
      <c r="C5" s="44">
        <f t="shared" si="0"/>
        <v>0</v>
      </c>
      <c r="D5" s="44">
        <f t="shared" si="0"/>
        <v>0</v>
      </c>
      <c r="E5" s="6" t="s">
        <v>44</v>
      </c>
      <c r="F5" s="49">
        <v>2.7272000000000002E-25</v>
      </c>
      <c r="G5" s="49">
        <v>1.2489E-18</v>
      </c>
      <c r="H5" s="49">
        <v>2.1093000000000001E-14</v>
      </c>
      <c r="I5" s="49">
        <v>1.6926000000000001E-11</v>
      </c>
      <c r="J5" s="49">
        <v>2.3089000000000002E-9</v>
      </c>
      <c r="K5" s="49">
        <v>1.2146E-7</v>
      </c>
      <c r="L5" s="49">
        <v>3.1574999999999998E-6</v>
      </c>
      <c r="M5" s="49">
        <v>3.8272999999999998E-5</v>
      </c>
      <c r="N5" s="49">
        <v>2.5968999999999998E-4</v>
      </c>
      <c r="O5" s="49">
        <v>1.0351E-3</v>
      </c>
      <c r="P5" s="49">
        <v>2.2520000000000001E-3</v>
      </c>
      <c r="Q5" s="49"/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4</v>
      </c>
      <c r="C6" s="44">
        <f t="shared" si="0"/>
        <v>0</v>
      </c>
      <c r="D6" s="44">
        <f t="shared" si="0"/>
        <v>0</v>
      </c>
      <c r="E6" s="6" t="s">
        <v>45</v>
      </c>
      <c r="F6" s="49">
        <v>2.8659000000000002E-23</v>
      </c>
      <c r="G6" s="49">
        <v>2.9185E-17</v>
      </c>
      <c r="H6" s="49">
        <v>1.719E-13</v>
      </c>
      <c r="I6" s="49">
        <v>6.3020000000000006E-11</v>
      </c>
      <c r="J6" s="49">
        <v>4.7312000000000004E-9</v>
      </c>
      <c r="K6" s="49">
        <v>1.6171000000000001E-7</v>
      </c>
      <c r="L6" s="49">
        <v>3.0736000000000001E-6</v>
      </c>
      <c r="M6" s="49">
        <v>2.7920999999999999E-5</v>
      </c>
      <c r="N6" s="49">
        <v>1.4166E-4</v>
      </c>
      <c r="O6" s="49">
        <v>4.036E-4</v>
      </c>
      <c r="P6" s="49">
        <v>5.7357000000000003E-4</v>
      </c>
      <c r="Q6" s="49"/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5</v>
      </c>
      <c r="C7" s="44">
        <f t="shared" si="0"/>
        <v>0</v>
      </c>
      <c r="D7" s="44">
        <f t="shared" si="0"/>
        <v>0</v>
      </c>
      <c r="E7" s="6" t="s">
        <v>46</v>
      </c>
      <c r="F7" s="49">
        <v>8.2633999999999998E-20</v>
      </c>
      <c r="G7" s="49">
        <v>2.5112999999999999E-14</v>
      </c>
      <c r="H7" s="49">
        <v>6.3243000000000006E-11</v>
      </c>
      <c r="I7" s="49">
        <v>1.2296999999999999E-8</v>
      </c>
      <c r="J7" s="49">
        <v>5.6937999999999998E-7</v>
      </c>
      <c r="K7" s="49">
        <v>1.3833E-5</v>
      </c>
      <c r="L7" s="49">
        <v>2.0672E-4</v>
      </c>
      <c r="M7" s="49">
        <v>1.4942E-3</v>
      </c>
      <c r="N7" s="49">
        <v>5.9605999999999999E-3</v>
      </c>
      <c r="O7" s="49">
        <v>1.2670000000000001E-2</v>
      </c>
      <c r="P7" s="49">
        <v>1.2201999999999999E-2</v>
      </c>
      <c r="Q7" s="49"/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6</v>
      </c>
      <c r="C8" s="44">
        <f t="shared" si="0"/>
        <v>0</v>
      </c>
      <c r="D8" s="44">
        <f t="shared" si="0"/>
        <v>0</v>
      </c>
      <c r="E8" s="6" t="s">
        <v>47</v>
      </c>
      <c r="F8" s="49">
        <v>3.1684999999999997E-17</v>
      </c>
      <c r="G8" s="49">
        <v>1.1852E-12</v>
      </c>
      <c r="H8" s="49">
        <v>7.1219999999999998E-10</v>
      </c>
      <c r="I8" s="49">
        <v>4.8587999999999998E-8</v>
      </c>
      <c r="J8" s="49">
        <v>1.0198E-6</v>
      </c>
      <c r="K8" s="49">
        <v>1.3874E-5</v>
      </c>
      <c r="L8" s="49">
        <v>1.3478000000000001E-4</v>
      </c>
      <c r="M8" s="49">
        <v>6.6381000000000003E-4</v>
      </c>
      <c r="N8" s="49">
        <v>1.83E-3</v>
      </c>
      <c r="O8" s="49">
        <v>2.6026999999999999E-3</v>
      </c>
      <c r="P8" s="49">
        <v>1.5475E-3</v>
      </c>
      <c r="Q8" s="49"/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7</v>
      </c>
      <c r="C9" s="44">
        <f t="shared" si="0"/>
        <v>0</v>
      </c>
      <c r="D9" s="44">
        <f t="shared" si="0"/>
        <v>0</v>
      </c>
      <c r="E9" s="6" t="s">
        <v>50</v>
      </c>
      <c r="F9" s="49">
        <v>2.7152E-18</v>
      </c>
      <c r="G9" s="49">
        <v>1.849E-13</v>
      </c>
      <c r="H9" s="49">
        <v>1.5342E-10</v>
      </c>
      <c r="I9" s="49">
        <v>1.2622E-8</v>
      </c>
      <c r="J9" s="49">
        <v>2.9997000000000001E-7</v>
      </c>
      <c r="K9" s="49">
        <v>4.6295000000000003E-6</v>
      </c>
      <c r="L9" s="49">
        <v>5.1235E-5</v>
      </c>
      <c r="M9" s="49">
        <v>2.7140999999999998E-4</v>
      </c>
      <c r="N9" s="49">
        <v>7.5522999999999996E-4</v>
      </c>
      <c r="O9" s="49">
        <v>9.8893000000000006E-4</v>
      </c>
      <c r="P9" s="49">
        <v>4.7684000000000002E-4</v>
      </c>
      <c r="Q9" s="49"/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8</v>
      </c>
      <c r="C10" s="44">
        <f t="shared" si="0"/>
        <v>0</v>
      </c>
      <c r="D10" s="44">
        <f t="shared" si="0"/>
        <v>0</v>
      </c>
      <c r="E10" s="6" t="s">
        <v>48</v>
      </c>
      <c r="F10" s="49">
        <v>4.8741E-20</v>
      </c>
      <c r="G10" s="49">
        <v>5.3561999999999997E-15</v>
      </c>
      <c r="H10" s="49">
        <v>5.6777000000000003E-12</v>
      </c>
      <c r="I10" s="49">
        <v>5.3358000000000003E-10</v>
      </c>
      <c r="J10" s="49">
        <v>1.3795E-8</v>
      </c>
      <c r="K10" s="49">
        <v>2.3421999999999999E-7</v>
      </c>
      <c r="L10" s="49">
        <v>2.8820000000000001E-6</v>
      </c>
      <c r="M10" s="49">
        <v>1.6099999999999998E-5</v>
      </c>
      <c r="N10" s="49">
        <v>4.4483000000000001E-5</v>
      </c>
      <c r="O10" s="49">
        <v>5.2898000000000001E-5</v>
      </c>
      <c r="P10" s="49">
        <v>2.0443999999999999E-5</v>
      </c>
      <c r="Q10" s="49"/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2</v>
      </c>
      <c r="C11" s="44">
        <f t="shared" si="0"/>
        <v>0</v>
      </c>
      <c r="D11" s="44">
        <f t="shared" si="0"/>
        <v>0</v>
      </c>
      <c r="E11" s="6" t="s">
        <v>49</v>
      </c>
      <c r="F11" s="49">
        <v>3.8015999999999999E-20</v>
      </c>
      <c r="G11" s="49">
        <v>1.1182000000000001E-14</v>
      </c>
      <c r="H11" s="49">
        <v>3.5247999999999997E-11</v>
      </c>
      <c r="I11" s="49">
        <v>9.2913E-9</v>
      </c>
      <c r="J11" s="49">
        <v>5.7400999999999999E-7</v>
      </c>
      <c r="K11" s="49">
        <v>1.6116999999999998E-5</v>
      </c>
      <c r="L11" s="49">
        <v>2.4930999999999998E-4</v>
      </c>
      <c r="M11" s="49">
        <v>2.0631999999999998E-3</v>
      </c>
      <c r="N11" s="49">
        <v>1.0800000000000001E-2</v>
      </c>
      <c r="O11" s="49">
        <v>3.805E-2</v>
      </c>
      <c r="P11" s="49">
        <v>8.5966000000000001E-2</v>
      </c>
      <c r="Q11" s="49"/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1</v>
      </c>
      <c r="C12" s="44">
        <f t="shared" si="0"/>
        <v>0</v>
      </c>
      <c r="D12" s="44">
        <f t="shared" si="0"/>
        <v>0</v>
      </c>
      <c r="E12" s="6" t="s">
        <v>2</v>
      </c>
      <c r="F12" s="49">
        <v>0</v>
      </c>
      <c r="G12" s="49">
        <v>2.7645999999999999E-30</v>
      </c>
      <c r="H12" s="49">
        <v>3.4106000000000001E-24</v>
      </c>
      <c r="I12" s="49">
        <v>6.3331000000000004E-20</v>
      </c>
      <c r="J12" s="49">
        <v>9.4456999999999996E-17</v>
      </c>
      <c r="K12" s="49">
        <v>3.0341000000000003E-14</v>
      </c>
      <c r="L12" s="49">
        <v>3.1922000000000001E-12</v>
      </c>
      <c r="M12" s="49">
        <v>1.312E-10</v>
      </c>
      <c r="N12" s="49">
        <v>2.7546E-9</v>
      </c>
      <c r="O12" s="49">
        <v>3.4509000000000001E-8</v>
      </c>
      <c r="P12" s="49">
        <v>2.6654E-7</v>
      </c>
      <c r="Q12" s="49"/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2</v>
      </c>
      <c r="E13" s="6" t="s">
        <v>43</v>
      </c>
      <c r="F13" s="49">
        <v>1.8006E-10</v>
      </c>
      <c r="G13" s="49">
        <v>3.1866999999999998E-7</v>
      </c>
      <c r="H13" s="49">
        <v>3.5216999999999998E-5</v>
      </c>
      <c r="I13" s="49">
        <v>8.6364999999999999E-4</v>
      </c>
      <c r="J13" s="49">
        <v>8.4177999999999996E-3</v>
      </c>
      <c r="K13" s="49">
        <v>3.8850999999999997E-2</v>
      </c>
      <c r="L13" s="49">
        <v>7.6590000000000005E-2</v>
      </c>
      <c r="M13" s="49">
        <v>9.6535999999999997E-2</v>
      </c>
      <c r="N13" s="49">
        <v>0.10704</v>
      </c>
      <c r="O13" s="49">
        <v>0.11336</v>
      </c>
      <c r="P13" s="49">
        <v>0.11648</v>
      </c>
      <c r="Q13" s="49"/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/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1</v>
      </c>
      <c r="E15" s="6" t="s">
        <v>91</v>
      </c>
      <c r="F15" s="49">
        <v>0.24</v>
      </c>
      <c r="G15" s="49">
        <v>0.24</v>
      </c>
      <c r="H15" s="49">
        <v>0.23993</v>
      </c>
      <c r="I15" s="49">
        <v>0.23827000000000001</v>
      </c>
      <c r="J15" s="49">
        <v>0.22316</v>
      </c>
      <c r="K15" s="49">
        <v>0.1623</v>
      </c>
      <c r="L15" s="49">
        <v>8.6820999999999995E-2</v>
      </c>
      <c r="M15" s="49">
        <v>4.6927000000000003E-2</v>
      </c>
      <c r="N15" s="49">
        <v>2.5912999999999999E-2</v>
      </c>
      <c r="O15" s="49">
        <v>1.3278E-2</v>
      </c>
      <c r="P15" s="49">
        <v>7.045E-3</v>
      </c>
      <c r="Q15" s="49"/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6" t="s">
        <v>92</v>
      </c>
      <c r="F16" s="49">
        <v>0.08</v>
      </c>
      <c r="G16" s="49">
        <v>0.08</v>
      </c>
      <c r="H16" s="49">
        <v>0.08</v>
      </c>
      <c r="I16" s="49">
        <v>0.08</v>
      </c>
      <c r="J16" s="49">
        <v>0.08</v>
      </c>
      <c r="K16" s="49">
        <v>0.08</v>
      </c>
      <c r="L16" s="49">
        <v>0.08</v>
      </c>
      <c r="M16" s="49">
        <v>0.08</v>
      </c>
      <c r="N16" s="49">
        <v>0.08</v>
      </c>
      <c r="O16" s="49">
        <v>0.08</v>
      </c>
      <c r="P16" s="49">
        <v>0.08</v>
      </c>
      <c r="Q16" s="49"/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1</v>
      </c>
      <c r="C17" s="44">
        <f t="shared" si="0"/>
        <v>0</v>
      </c>
      <c r="D17" s="44">
        <f t="shared" si="0"/>
        <v>0</v>
      </c>
      <c r="E17" s="6" t="s">
        <v>93</v>
      </c>
      <c r="F17" s="49">
        <v>0.48</v>
      </c>
      <c r="G17" s="49">
        <v>0.48</v>
      </c>
      <c r="H17" s="49">
        <v>0.47996</v>
      </c>
      <c r="I17" s="49">
        <v>0.47914000000000001</v>
      </c>
      <c r="J17" s="49">
        <v>0.47156999999999999</v>
      </c>
      <c r="K17" s="49">
        <v>0.44092999999999999</v>
      </c>
      <c r="L17" s="49">
        <v>0.40067000000000003</v>
      </c>
      <c r="M17" s="49">
        <v>0.36563000000000001</v>
      </c>
      <c r="N17" s="49">
        <v>0.30359000000000003</v>
      </c>
      <c r="O17" s="49">
        <v>0.19950999999999999</v>
      </c>
      <c r="P17" s="49">
        <v>0.10874</v>
      </c>
      <c r="Q17" s="49"/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1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 t="s">
        <v>27</v>
      </c>
      <c r="F18" s="49">
        <v>-18.62</v>
      </c>
      <c r="G18" s="49">
        <v>-18.64</v>
      </c>
      <c r="H18" s="49">
        <v>-18.739999999999998</v>
      </c>
      <c r="I18" s="49">
        <v>-18.88</v>
      </c>
      <c r="J18" s="49">
        <v>-19.07</v>
      </c>
      <c r="K18" s="49">
        <v>-19.36</v>
      </c>
      <c r="L18" s="49">
        <v>-19.66</v>
      </c>
      <c r="M18" s="49">
        <v>-19.88</v>
      </c>
      <c r="N18" s="49">
        <v>-20.11</v>
      </c>
      <c r="O18" s="49">
        <v>-20.36</v>
      </c>
      <c r="P18" s="49">
        <v>-20.62</v>
      </c>
      <c r="Q18" s="49"/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1</v>
      </c>
      <c r="E19" s="6" t="s">
        <v>5</v>
      </c>
      <c r="F19" s="49">
        <v>-5.8710000000000004</v>
      </c>
      <c r="G19" s="49">
        <v>-6.41</v>
      </c>
      <c r="H19" s="49">
        <v>-6.8849999999999998</v>
      </c>
      <c r="I19" s="49">
        <v>-7.3090000000000002</v>
      </c>
      <c r="J19" s="49">
        <v>-7.7190000000000003</v>
      </c>
      <c r="K19" s="49">
        <v>-8.2479999999999993</v>
      </c>
      <c r="L19" s="49">
        <v>-8.9949999999999992</v>
      </c>
      <c r="M19" s="49">
        <v>-9.7469999999999999</v>
      </c>
      <c r="N19" s="49">
        <v>-10.41</v>
      </c>
      <c r="O19" s="49">
        <v>-10.98</v>
      </c>
      <c r="P19" s="49">
        <v>-11.43</v>
      </c>
      <c r="Q19" s="49"/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1</v>
      </c>
      <c r="D20" s="44">
        <f t="shared" si="1"/>
        <v>0</v>
      </c>
      <c r="E20" s="6" t="s">
        <v>6</v>
      </c>
      <c r="F20" s="49">
        <v>6.2590000000000003</v>
      </c>
      <c r="G20" s="49">
        <v>2.9529999999999998</v>
      </c>
      <c r="H20" s="49">
        <v>0.67290000000000005</v>
      </c>
      <c r="I20" s="49">
        <v>-1.0149999999999999</v>
      </c>
      <c r="J20" s="49">
        <v>-2.3050000000000002</v>
      </c>
      <c r="K20" s="49">
        <v>-3.2450000000000001</v>
      </c>
      <c r="L20" s="49">
        <v>-3.9470000000000001</v>
      </c>
      <c r="M20" s="49">
        <v>-4.5590000000000002</v>
      </c>
      <c r="N20" s="49">
        <v>-5.0259999999999998</v>
      </c>
      <c r="O20" s="49">
        <v>-5.2619999999999996</v>
      </c>
      <c r="P20" s="49">
        <v>-5.367</v>
      </c>
      <c r="Q20" s="49"/>
      <c r="R20" s="49"/>
      <c r="S20" s="49"/>
      <c r="T20" s="49"/>
      <c r="U20" s="49"/>
      <c r="V20" s="49"/>
      <c r="W20" s="49"/>
      <c r="X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1</v>
      </c>
      <c r="C21" s="44">
        <f t="shared" si="1"/>
        <v>0</v>
      </c>
      <c r="D21" s="44">
        <f t="shared" si="1"/>
        <v>0</v>
      </c>
      <c r="E21" s="48" t="s">
        <v>7</v>
      </c>
      <c r="F21" s="49">
        <v>-4.7</v>
      </c>
      <c r="G21" s="49">
        <v>-5.09</v>
      </c>
      <c r="H21" s="49">
        <v>-5.5179999999999998</v>
      </c>
      <c r="I21" s="49">
        <v>-5.9349999999999996</v>
      </c>
      <c r="J21" s="49">
        <v>-6.3140000000000001</v>
      </c>
      <c r="K21" s="49">
        <v>-6.6210000000000004</v>
      </c>
      <c r="L21" s="49">
        <v>-6.8689999999999998</v>
      </c>
      <c r="M21" s="49">
        <v>-7.1319999999999997</v>
      </c>
      <c r="N21" s="49">
        <v>-7.4260000000000002</v>
      </c>
      <c r="O21" s="49">
        <v>-7.7830000000000004</v>
      </c>
      <c r="P21" s="49">
        <v>-8.2449999999999992</v>
      </c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>
        <f t="shared" ref="D34:D37" si="3">MATCH(C34,$E$4:$E$33)</f>
        <v>15</v>
      </c>
      <c r="E34" s="11" t="str">
        <f ca="1">OFFSET($E$3:$AL$3,$D34,0)</f>
        <v>H (Ar)</v>
      </c>
      <c r="F34" s="14">
        <f t="shared" ref="F34:AL37" ca="1" si="4">OFFSET($E$3:$AL$3,$D34,0)</f>
        <v>-18.62</v>
      </c>
      <c r="G34" s="14">
        <f t="shared" ca="1" si="4"/>
        <v>-18.64</v>
      </c>
      <c r="H34" s="14">
        <f t="shared" ca="1" si="4"/>
        <v>-18.739999999999998</v>
      </c>
      <c r="I34" s="14">
        <f t="shared" ca="1" si="4"/>
        <v>-18.88</v>
      </c>
      <c r="J34" s="14">
        <f t="shared" ca="1" si="4"/>
        <v>-19.07</v>
      </c>
      <c r="K34" s="14">
        <f t="shared" ca="1" si="4"/>
        <v>-19.36</v>
      </c>
      <c r="L34" s="14">
        <f t="shared" ca="1" si="4"/>
        <v>-19.66</v>
      </c>
      <c r="M34" s="14">
        <f t="shared" ca="1" si="4"/>
        <v>-19.88</v>
      </c>
      <c r="N34" s="14">
        <f t="shared" ca="1" si="4"/>
        <v>-20.11</v>
      </c>
      <c r="O34" s="14">
        <f t="shared" ca="1" si="4"/>
        <v>-20.36</v>
      </c>
      <c r="P34" s="14">
        <f t="shared" ca="1" si="4"/>
        <v>-20.62</v>
      </c>
      <c r="Q34" s="14">
        <f t="shared" ca="1" si="4"/>
        <v>0</v>
      </c>
      <c r="R34" s="14">
        <f t="shared" ca="1" si="4"/>
        <v>0</v>
      </c>
      <c r="S34" s="14">
        <f t="shared" ca="1" si="4"/>
        <v>0</v>
      </c>
      <c r="T34" s="14">
        <f t="shared" ca="1" si="4"/>
        <v>0</v>
      </c>
      <c r="U34" s="14">
        <f t="shared" ca="1" si="4"/>
        <v>0</v>
      </c>
      <c r="V34" s="14">
        <f t="shared" ca="1" si="4"/>
        <v>0</v>
      </c>
      <c r="W34" s="14">
        <f t="shared" ca="1" si="4"/>
        <v>0</v>
      </c>
      <c r="X34" s="14">
        <f t="shared" ca="1" si="4"/>
        <v>0</v>
      </c>
      <c r="Y34" s="14">
        <f t="shared" ca="1" si="4"/>
        <v>0</v>
      </c>
      <c r="Z34" s="14">
        <f t="shared" ca="1" si="4"/>
        <v>0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si="3"/>
        <v>16</v>
      </c>
      <c r="E35" s="11" t="str">
        <f t="shared" ref="E35:E37" ca="1" si="5">OFFSET($E$3:$AL$3,$D35,0)</f>
        <v>H (Ga)</v>
      </c>
      <c r="F35" s="14">
        <f t="shared" ca="1" si="4"/>
        <v>-5.8710000000000004</v>
      </c>
      <c r="G35" s="14">
        <f t="shared" ca="1" si="4"/>
        <v>-6.41</v>
      </c>
      <c r="H35" s="14">
        <f t="shared" ca="1" si="4"/>
        <v>-6.8849999999999998</v>
      </c>
      <c r="I35" s="14">
        <f t="shared" ca="1" si="4"/>
        <v>-7.3090000000000002</v>
      </c>
      <c r="J35" s="14">
        <f t="shared" ca="1" si="4"/>
        <v>-7.7190000000000003</v>
      </c>
      <c r="K35" s="14">
        <f t="shared" ca="1" si="4"/>
        <v>-8.2479999999999993</v>
      </c>
      <c r="L35" s="14">
        <f t="shared" ca="1" si="4"/>
        <v>-8.9949999999999992</v>
      </c>
      <c r="M35" s="14">
        <f t="shared" ca="1" si="4"/>
        <v>-9.7469999999999999</v>
      </c>
      <c r="N35" s="14">
        <f t="shared" ca="1" si="4"/>
        <v>-10.41</v>
      </c>
      <c r="O35" s="14">
        <f t="shared" ca="1" si="4"/>
        <v>-10.98</v>
      </c>
      <c r="P35" s="14">
        <f t="shared" ca="1" si="4"/>
        <v>-11.43</v>
      </c>
      <c r="Q35" s="14">
        <f t="shared" ca="1" si="4"/>
        <v>0</v>
      </c>
      <c r="R35" s="14">
        <f t="shared" ca="1" si="4"/>
        <v>0</v>
      </c>
      <c r="S35" s="14">
        <f t="shared" ca="1" si="4"/>
        <v>0</v>
      </c>
      <c r="T35" s="14">
        <f t="shared" ca="1" si="4"/>
        <v>0</v>
      </c>
      <c r="U35" s="14">
        <f t="shared" ca="1" si="4"/>
        <v>0</v>
      </c>
      <c r="V35" s="14">
        <f t="shared" ca="1" si="4"/>
        <v>0</v>
      </c>
      <c r="W35" s="14">
        <f t="shared" ca="1" si="4"/>
        <v>0</v>
      </c>
      <c r="X35" s="14">
        <f t="shared" ca="1" si="4"/>
        <v>0</v>
      </c>
      <c r="Y35" s="14">
        <f t="shared" ca="1" si="4"/>
        <v>0</v>
      </c>
      <c r="Z35" s="14">
        <f t="shared" ca="1" si="4"/>
        <v>0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3"/>
        <v>17</v>
      </c>
      <c r="E36" s="11" t="str">
        <f t="shared" ca="1" si="5"/>
        <v>H (Ge)</v>
      </c>
      <c r="F36" s="14">
        <f t="shared" ca="1" si="4"/>
        <v>6.2590000000000003</v>
      </c>
      <c r="G36" s="14">
        <f t="shared" ca="1" si="4"/>
        <v>2.9529999999999998</v>
      </c>
      <c r="H36" s="14">
        <f t="shared" ca="1" si="4"/>
        <v>0.67290000000000005</v>
      </c>
      <c r="I36" s="14">
        <f t="shared" ca="1" si="4"/>
        <v>-1.0149999999999999</v>
      </c>
      <c r="J36" s="14">
        <f t="shared" ca="1" si="4"/>
        <v>-2.3050000000000002</v>
      </c>
      <c r="K36" s="14">
        <f t="shared" ca="1" si="4"/>
        <v>-3.2450000000000001</v>
      </c>
      <c r="L36" s="14">
        <f t="shared" ca="1" si="4"/>
        <v>-3.9470000000000001</v>
      </c>
      <c r="M36" s="14">
        <f t="shared" ca="1" si="4"/>
        <v>-4.5590000000000002</v>
      </c>
      <c r="N36" s="14">
        <f t="shared" ca="1" si="4"/>
        <v>-5.0259999999999998</v>
      </c>
      <c r="O36" s="14">
        <f t="shared" ca="1" si="4"/>
        <v>-5.2619999999999996</v>
      </c>
      <c r="P36" s="14">
        <f t="shared" ca="1" si="4"/>
        <v>-5.367</v>
      </c>
      <c r="Q36" s="14">
        <f t="shared" ca="1" si="4"/>
        <v>0</v>
      </c>
      <c r="R36" s="14">
        <f t="shared" ca="1" si="4"/>
        <v>0</v>
      </c>
      <c r="S36" s="14">
        <f t="shared" ca="1" si="4"/>
        <v>0</v>
      </c>
      <c r="T36" s="14">
        <f t="shared" ca="1" si="4"/>
        <v>0</v>
      </c>
      <c r="U36" s="14">
        <f t="shared" ca="1" si="4"/>
        <v>0</v>
      </c>
      <c r="V36" s="14">
        <f t="shared" ca="1" si="4"/>
        <v>0</v>
      </c>
      <c r="W36" s="14">
        <f t="shared" ca="1" si="4"/>
        <v>0</v>
      </c>
      <c r="X36" s="14">
        <f t="shared" ca="1" si="4"/>
        <v>0</v>
      </c>
      <c r="Y36" s="14">
        <f t="shared" ca="1" si="4"/>
        <v>0</v>
      </c>
      <c r="Z36" s="14">
        <f t="shared" ca="1" si="4"/>
        <v>0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3"/>
        <v>18</v>
      </c>
      <c r="E37" s="11" t="str">
        <f t="shared" ca="1" si="5"/>
        <v>H (Se)</v>
      </c>
      <c r="F37" s="14">
        <f t="shared" ca="1" si="4"/>
        <v>-4.7</v>
      </c>
      <c r="G37" s="14">
        <f t="shared" ca="1" si="4"/>
        <v>-5.09</v>
      </c>
      <c r="H37" s="14">
        <f t="shared" ca="1" si="4"/>
        <v>-5.5179999999999998</v>
      </c>
      <c r="I37" s="14">
        <f t="shared" ca="1" si="4"/>
        <v>-5.9349999999999996</v>
      </c>
      <c r="J37" s="14">
        <f t="shared" ca="1" si="4"/>
        <v>-6.3140000000000001</v>
      </c>
      <c r="K37" s="14">
        <f t="shared" ca="1" si="4"/>
        <v>-6.6210000000000004</v>
      </c>
      <c r="L37" s="14">
        <f t="shared" ca="1" si="4"/>
        <v>-6.8689999999999998</v>
      </c>
      <c r="M37" s="14">
        <f t="shared" ca="1" si="4"/>
        <v>-7.1319999999999997</v>
      </c>
      <c r="N37" s="14">
        <f t="shared" ca="1" si="4"/>
        <v>-7.4260000000000002</v>
      </c>
      <c r="O37" s="14">
        <f t="shared" ca="1" si="4"/>
        <v>-7.7830000000000004</v>
      </c>
      <c r="P37" s="14">
        <f t="shared" ca="1" si="4"/>
        <v>-8.2449999999999992</v>
      </c>
      <c r="Q37" s="14">
        <f t="shared" ca="1" si="4"/>
        <v>0</v>
      </c>
      <c r="R37" s="14">
        <f t="shared" ca="1" si="4"/>
        <v>0</v>
      </c>
      <c r="S37" s="14">
        <f t="shared" ca="1" si="4"/>
        <v>0</v>
      </c>
      <c r="T37" s="14">
        <f t="shared" ca="1" si="4"/>
        <v>0</v>
      </c>
      <c r="U37" s="14">
        <f t="shared" ca="1" si="4"/>
        <v>0</v>
      </c>
      <c r="V37" s="14">
        <f t="shared" ca="1" si="4"/>
        <v>0</v>
      </c>
      <c r="W37" s="14">
        <f t="shared" ca="1" si="4"/>
        <v>0</v>
      </c>
      <c r="X37" s="14">
        <f t="shared" ca="1" si="4"/>
        <v>0</v>
      </c>
      <c r="Y37" s="14">
        <f t="shared" ca="1" si="4"/>
        <v>0</v>
      </c>
      <c r="Z37" s="14">
        <f t="shared" ca="1" si="4"/>
        <v>0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20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6">G3</f>
        <v>345.8</v>
      </c>
      <c r="H40" s="8">
        <f t="shared" si="6"/>
        <v>418.5</v>
      </c>
      <c r="I40" s="8">
        <f t="shared" si="6"/>
        <v>491.2</v>
      </c>
      <c r="J40" s="8">
        <f t="shared" si="6"/>
        <v>563.9</v>
      </c>
      <c r="K40" s="8">
        <f t="shared" si="6"/>
        <v>636.6</v>
      </c>
      <c r="L40" s="8">
        <f t="shared" si="6"/>
        <v>709.3</v>
      </c>
      <c r="M40" s="8">
        <f t="shared" si="6"/>
        <v>781.9</v>
      </c>
      <c r="N40" s="8">
        <f t="shared" si="6"/>
        <v>854.6</v>
      </c>
      <c r="O40" s="8">
        <f t="shared" si="6"/>
        <v>927.3</v>
      </c>
      <c r="P40" s="8">
        <f t="shared" si="6"/>
        <v>1000</v>
      </c>
      <c r="Q40" s="8">
        <f t="shared" si="6"/>
        <v>0</v>
      </c>
      <c r="R40" s="8">
        <f t="shared" si="6"/>
        <v>0</v>
      </c>
      <c r="S40" s="8">
        <f t="shared" si="6"/>
        <v>0</v>
      </c>
      <c r="T40" s="8">
        <f t="shared" si="6"/>
        <v>0</v>
      </c>
      <c r="U40" s="8">
        <f t="shared" si="6"/>
        <v>0</v>
      </c>
      <c r="V40" s="8">
        <f t="shared" si="6"/>
        <v>0</v>
      </c>
      <c r="W40" s="8">
        <f t="shared" si="6"/>
        <v>0</v>
      </c>
      <c r="X40" s="8">
        <f t="shared" si="6"/>
        <v>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hidden="1" customHeight="1" outlineLevel="1" thickTop="1" x14ac:dyDescent="0.35">
      <c r="A41" s="9">
        <f t="array" ref="A41">Values!D3:G3/Values!$E$3</f>
        <v>1.6666666666666667</v>
      </c>
      <c r="B41" s="9">
        <f t="array" ref="B41">Values!E3:H3/Values!$E$3</f>
        <v>1</v>
      </c>
      <c r="C41" s="9">
        <f t="array" ref="C41">Values!F3:I3/Values!$E$3</f>
        <v>1.6666666666666667</v>
      </c>
      <c r="D41" s="9">
        <f t="array" ref="D41">Values!G3:J3/Values!$E$3</f>
        <v>4</v>
      </c>
      <c r="E41" s="9">
        <f>SUM(A41:D41)</f>
        <v>8.3333333333333339</v>
      </c>
      <c r="F41" s="10">
        <f t="shared" ref="F41:AL41" ca="1" si="7">($B$41*H.Ge+$C$41*H.Ga+$D$41*H.Se)*F$40*$B$2/1000</f>
        <v>-50.695423823700011</v>
      </c>
      <c r="G41" s="10">
        <f t="shared" ca="1" si="7"/>
        <v>-80.764037053700008</v>
      </c>
      <c r="H41" s="10">
        <f t="shared" ca="1" si="7"/>
        <v>-114.389318312325</v>
      </c>
      <c r="I41" s="10">
        <f t="shared" ca="1" si="7"/>
        <v>-150.85239024800001</v>
      </c>
      <c r="J41" s="10">
        <f t="shared" ca="1" si="7"/>
        <v>-189.53918283030001</v>
      </c>
      <c r="K41" s="10">
        <f t="shared" ca="1" si="7"/>
        <v>-230.11716885630003</v>
      </c>
      <c r="L41" s="10">
        <f t="shared" ca="1" si="7"/>
        <v>-273.72932933779998</v>
      </c>
      <c r="M41" s="10">
        <f t="shared" ca="1" si="7"/>
        <v>-320.71263765660001</v>
      </c>
      <c r="N41" s="10">
        <f t="shared" ca="1" si="7"/>
        <v>-370.05817413600005</v>
      </c>
      <c r="O41" s="10">
        <f t="shared" ca="1" si="7"/>
        <v>-421.69270077990006</v>
      </c>
      <c r="P41" s="10">
        <f t="shared" ca="1" si="7"/>
        <v>-477.22735650000004</v>
      </c>
      <c r="Q41" s="10">
        <f t="shared" ca="1" si="7"/>
        <v>0</v>
      </c>
      <c r="R41" s="10">
        <f t="shared" ca="1" si="7"/>
        <v>0</v>
      </c>
      <c r="S41" s="10">
        <f t="shared" ca="1" si="7"/>
        <v>0</v>
      </c>
      <c r="T41" s="10">
        <f t="shared" ca="1" si="7"/>
        <v>0</v>
      </c>
      <c r="U41" s="10">
        <f t="shared" ca="1" si="7"/>
        <v>0</v>
      </c>
      <c r="V41" s="10">
        <f t="shared" ca="1" si="7"/>
        <v>0</v>
      </c>
      <c r="W41" s="10">
        <f t="shared" ca="1" si="7"/>
        <v>0</v>
      </c>
      <c r="X41" s="10">
        <f t="shared" ca="1" si="7"/>
        <v>0</v>
      </c>
      <c r="Y41" s="10">
        <f t="shared" ca="1" si="7"/>
        <v>0</v>
      </c>
      <c r="Z41" s="10">
        <f t="shared" ca="1" si="7"/>
        <v>0</v>
      </c>
      <c r="AA41" s="10">
        <f t="shared" ca="1" si="7"/>
        <v>0</v>
      </c>
      <c r="AB41" s="10">
        <f t="shared" ca="1" si="7"/>
        <v>0</v>
      </c>
      <c r="AC41" s="10">
        <f t="shared" ca="1" si="7"/>
        <v>0</v>
      </c>
      <c r="AD41" s="10">
        <f t="shared" ca="1" si="7"/>
        <v>0</v>
      </c>
      <c r="AE41" s="10">
        <f t="shared" ca="1" si="7"/>
        <v>0</v>
      </c>
      <c r="AF41" s="10">
        <f t="shared" ca="1" si="7"/>
        <v>0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hidden="1" customHeight="1" outlineLevel="1" x14ac:dyDescent="0.35">
      <c r="U42" s="55"/>
      <c r="V42" s="55"/>
      <c r="W42" s="55"/>
    </row>
    <row r="43" spans="1:54" ht="21" customHeight="1" collapsed="1" thickTop="1" x14ac:dyDescent="0.35">
      <c r="U43" s="55"/>
      <c r="V43" s="55"/>
      <c r="W43" s="55"/>
    </row>
    <row r="44" spans="1:54" ht="21" customHeight="1" x14ac:dyDescent="0.4">
      <c r="A44" s="75"/>
      <c r="B44" s="75"/>
      <c r="C44" s="75"/>
      <c r="D44" s="75"/>
      <c r="E44" s="74" t="s">
        <v>21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8">E3</f>
        <v>Temperature,К Pressure, at</v>
      </c>
      <c r="F45" s="3">
        <f t="shared" si="8"/>
        <v>273.10000000000002</v>
      </c>
      <c r="G45" s="3">
        <f t="shared" si="8"/>
        <v>345.8</v>
      </c>
      <c r="H45" s="3">
        <f t="shared" si="8"/>
        <v>418.5</v>
      </c>
      <c r="I45" s="3">
        <f t="shared" si="8"/>
        <v>491.2</v>
      </c>
      <c r="J45" s="3">
        <f t="shared" si="8"/>
        <v>563.9</v>
      </c>
      <c r="K45" s="3">
        <f t="shared" si="8"/>
        <v>636.6</v>
      </c>
      <c r="L45" s="3">
        <f t="shared" si="8"/>
        <v>709.3</v>
      </c>
      <c r="M45" s="3">
        <f t="shared" si="8"/>
        <v>781.9</v>
      </c>
      <c r="N45" s="3">
        <f t="shared" si="8"/>
        <v>854.6</v>
      </c>
      <c r="O45" s="3">
        <f t="shared" si="8"/>
        <v>927.3</v>
      </c>
      <c r="P45" s="3">
        <f t="shared" si="8"/>
        <v>1000</v>
      </c>
      <c r="Q45" s="3">
        <f t="shared" si="8"/>
        <v>0</v>
      </c>
      <c r="R45" s="3">
        <f t="shared" si="8"/>
        <v>0</v>
      </c>
      <c r="S45" s="3">
        <f t="shared" si="8"/>
        <v>0</v>
      </c>
      <c r="T45" s="3">
        <f t="shared" si="8"/>
        <v>0</v>
      </c>
      <c r="U45" s="3">
        <f t="shared" si="8"/>
        <v>0</v>
      </c>
      <c r="V45" s="3">
        <f t="shared" si="8"/>
        <v>0</v>
      </c>
      <c r="W45" s="3">
        <f t="shared" si="8"/>
        <v>0</v>
      </c>
      <c r="X45" s="3">
        <f t="shared" si="8"/>
        <v>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1</v>
      </c>
      <c r="C46" s="5">
        <f t="shared" si="9"/>
        <v>0</v>
      </c>
      <c r="D46" s="5">
        <f t="shared" si="9"/>
        <v>0</v>
      </c>
      <c r="E46" s="6" t="str">
        <f t="shared" si="9"/>
        <v>*Se[1]</v>
      </c>
      <c r="F46" s="14">
        <f t="shared" ref="F46:U55" ca="1" si="10">$A46*H.Ar + $B46*H.Se + $C46*H.Ge + $D46*H.Ga</f>
        <v>-4.7</v>
      </c>
      <c r="G46" s="14">
        <f t="shared" ca="1" si="10"/>
        <v>-5.09</v>
      </c>
      <c r="H46" s="14">
        <f t="shared" ca="1" si="10"/>
        <v>-5.5179999999999998</v>
      </c>
      <c r="I46" s="14">
        <f t="shared" ca="1" si="10"/>
        <v>-5.9349999999999996</v>
      </c>
      <c r="J46" s="14">
        <f t="shared" ca="1" si="10"/>
        <v>-6.3140000000000001</v>
      </c>
      <c r="K46" s="14">
        <f t="shared" ca="1" si="10"/>
        <v>-6.6210000000000004</v>
      </c>
      <c r="L46" s="14">
        <f t="shared" ca="1" si="10"/>
        <v>-6.8689999999999998</v>
      </c>
      <c r="M46" s="14">
        <f t="shared" ca="1" si="10"/>
        <v>-7.1319999999999997</v>
      </c>
      <c r="N46" s="14">
        <f t="shared" ca="1" si="10"/>
        <v>-7.4260000000000002</v>
      </c>
      <c r="O46" s="14">
        <f t="shared" ca="1" si="10"/>
        <v>-7.7830000000000004</v>
      </c>
      <c r="P46" s="14">
        <f t="shared" ca="1" si="10"/>
        <v>-8.2449999999999992</v>
      </c>
      <c r="Q46" s="14">
        <f t="shared" ca="1" si="10"/>
        <v>0</v>
      </c>
      <c r="R46" s="14">
        <f t="shared" ca="1" si="10"/>
        <v>0</v>
      </c>
      <c r="S46" s="14">
        <f t="shared" ca="1" si="10"/>
        <v>0</v>
      </c>
      <c r="T46" s="14">
        <f t="shared" ca="1" si="10"/>
        <v>0</v>
      </c>
      <c r="U46" s="14">
        <f t="shared" ca="1" si="10"/>
        <v>0</v>
      </c>
      <c r="V46" s="14">
        <f t="shared" ref="V46:AL46" ca="1" si="11">$A46*H.Ar + $B46*H.Se + $C46*H.Ge + $D46*H.Ga</f>
        <v>0</v>
      </c>
      <c r="W46" s="14">
        <f t="shared" ca="1" si="11"/>
        <v>0</v>
      </c>
      <c r="X46" s="14">
        <f t="shared" ca="1" si="11"/>
        <v>0</v>
      </c>
      <c r="Y46" s="14">
        <f t="shared" ca="1" si="11"/>
        <v>0</v>
      </c>
      <c r="Z46" s="14">
        <f t="shared" ca="1" si="11"/>
        <v>0</v>
      </c>
      <c r="AA46" s="14">
        <f t="shared" ca="1" si="11"/>
        <v>0</v>
      </c>
      <c r="AB46" s="14">
        <f t="shared" ca="1" si="11"/>
        <v>0</v>
      </c>
      <c r="AC46" s="14">
        <f t="shared" ca="1" si="11"/>
        <v>0</v>
      </c>
      <c r="AD46" s="14">
        <f t="shared" ca="1" si="11"/>
        <v>0</v>
      </c>
      <c r="AE46" s="14">
        <f t="shared" ca="1" si="11"/>
        <v>0</v>
      </c>
      <c r="AF46" s="14">
        <f t="shared" ca="1" si="11"/>
        <v>0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3</v>
      </c>
      <c r="C47" s="5">
        <f t="shared" si="9"/>
        <v>0</v>
      </c>
      <c r="D47" s="5">
        <f t="shared" si="9"/>
        <v>0</v>
      </c>
      <c r="E47" s="6" t="str">
        <f t="shared" si="9"/>
        <v>Se3</v>
      </c>
      <c r="F47" s="14">
        <f t="shared" ca="1" si="10"/>
        <v>-14.100000000000001</v>
      </c>
      <c r="G47" s="14">
        <f t="shared" ref="G47:AL54" ca="1" si="12">$A47*H.Ar + $B47*H.Se + $C47*H.Ge + $D47*H.Ga</f>
        <v>-15.27</v>
      </c>
      <c r="H47" s="14">
        <f t="shared" ca="1" si="12"/>
        <v>-16.553999999999998</v>
      </c>
      <c r="I47" s="14">
        <f t="shared" ca="1" si="12"/>
        <v>-17.805</v>
      </c>
      <c r="J47" s="14">
        <f t="shared" ca="1" si="12"/>
        <v>-18.942</v>
      </c>
      <c r="K47" s="14">
        <f t="shared" ca="1" si="12"/>
        <v>-19.863</v>
      </c>
      <c r="L47" s="14">
        <f t="shared" ca="1" si="12"/>
        <v>-20.606999999999999</v>
      </c>
      <c r="M47" s="14">
        <f t="shared" ca="1" si="12"/>
        <v>-21.396000000000001</v>
      </c>
      <c r="N47" s="14">
        <f t="shared" ca="1" si="12"/>
        <v>-22.277999999999999</v>
      </c>
      <c r="O47" s="14">
        <f t="shared" ca="1" si="12"/>
        <v>-23.349</v>
      </c>
      <c r="P47" s="14">
        <f t="shared" ca="1" si="12"/>
        <v>-24.734999999999999</v>
      </c>
      <c r="Q47" s="14">
        <f t="shared" ca="1" si="12"/>
        <v>0</v>
      </c>
      <c r="R47" s="14">
        <f t="shared" ca="1" si="12"/>
        <v>0</v>
      </c>
      <c r="S47" s="14">
        <f t="shared" ca="1" si="12"/>
        <v>0</v>
      </c>
      <c r="T47" s="14">
        <f t="shared" ca="1" si="12"/>
        <v>0</v>
      </c>
      <c r="U47" s="14">
        <f t="shared" ca="1" si="12"/>
        <v>0</v>
      </c>
      <c r="V47" s="14">
        <f t="shared" ca="1" si="12"/>
        <v>0</v>
      </c>
      <c r="W47" s="14">
        <f t="shared" ca="1" si="12"/>
        <v>0</v>
      </c>
      <c r="X47" s="14">
        <f t="shared" ca="1" si="12"/>
        <v>0</v>
      </c>
      <c r="Y47" s="14">
        <f t="shared" ca="1" si="12"/>
        <v>0</v>
      </c>
      <c r="Z47" s="14">
        <f t="shared" ca="1" si="12"/>
        <v>0</v>
      </c>
      <c r="AA47" s="14">
        <f t="shared" ca="1" si="12"/>
        <v>0</v>
      </c>
      <c r="AB47" s="14">
        <f t="shared" ca="1" si="12"/>
        <v>0</v>
      </c>
      <c r="AC47" s="14">
        <f t="shared" ca="1" si="12"/>
        <v>0</v>
      </c>
      <c r="AD47" s="14">
        <f t="shared" ca="1" si="12"/>
        <v>0</v>
      </c>
      <c r="AE47" s="14">
        <f t="shared" ca="1" si="12"/>
        <v>0</v>
      </c>
      <c r="AF47" s="14">
        <f t="shared" ca="1" si="12"/>
        <v>0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4</v>
      </c>
      <c r="C48" s="5">
        <f t="shared" si="9"/>
        <v>0</v>
      </c>
      <c r="D48" s="5">
        <f t="shared" si="9"/>
        <v>0</v>
      </c>
      <c r="E48" s="6" t="str">
        <f t="shared" si="9"/>
        <v>Se4</v>
      </c>
      <c r="F48" s="14">
        <f t="shared" ca="1" si="10"/>
        <v>-18.8</v>
      </c>
      <c r="G48" s="14">
        <f t="shared" ca="1" si="12"/>
        <v>-20.36</v>
      </c>
      <c r="H48" s="14">
        <f t="shared" ca="1" si="12"/>
        <v>-22.071999999999999</v>
      </c>
      <c r="I48" s="14">
        <f t="shared" ca="1" si="12"/>
        <v>-23.74</v>
      </c>
      <c r="J48" s="14">
        <f t="shared" ca="1" si="12"/>
        <v>-25.256</v>
      </c>
      <c r="K48" s="14">
        <f t="shared" ca="1" si="12"/>
        <v>-26.484000000000002</v>
      </c>
      <c r="L48" s="14">
        <f t="shared" ca="1" si="12"/>
        <v>-27.475999999999999</v>
      </c>
      <c r="M48" s="14">
        <f t="shared" ca="1" si="12"/>
        <v>-28.527999999999999</v>
      </c>
      <c r="N48" s="14">
        <f t="shared" ca="1" si="12"/>
        <v>-29.704000000000001</v>
      </c>
      <c r="O48" s="14">
        <f t="shared" ca="1" si="12"/>
        <v>-31.132000000000001</v>
      </c>
      <c r="P48" s="14">
        <f t="shared" ca="1" si="12"/>
        <v>-32.979999999999997</v>
      </c>
      <c r="Q48" s="14">
        <f t="shared" ca="1" si="12"/>
        <v>0</v>
      </c>
      <c r="R48" s="14">
        <f t="shared" ca="1" si="12"/>
        <v>0</v>
      </c>
      <c r="S48" s="14">
        <f t="shared" ca="1" si="12"/>
        <v>0</v>
      </c>
      <c r="T48" s="14">
        <f t="shared" ca="1" si="12"/>
        <v>0</v>
      </c>
      <c r="U48" s="14">
        <f t="shared" ca="1" si="12"/>
        <v>0</v>
      </c>
      <c r="V48" s="14">
        <f t="shared" ca="1" si="12"/>
        <v>0</v>
      </c>
      <c r="W48" s="14">
        <f t="shared" ca="1" si="12"/>
        <v>0</v>
      </c>
      <c r="X48" s="14">
        <f t="shared" ca="1" si="12"/>
        <v>0</v>
      </c>
      <c r="Y48" s="14">
        <f t="shared" ca="1" si="12"/>
        <v>0</v>
      </c>
      <c r="Z48" s="14">
        <f t="shared" ca="1" si="12"/>
        <v>0</v>
      </c>
      <c r="AA48" s="14">
        <f t="shared" ca="1" si="12"/>
        <v>0</v>
      </c>
      <c r="AB48" s="14">
        <f t="shared" ca="1" si="12"/>
        <v>0</v>
      </c>
      <c r="AC48" s="14">
        <f t="shared" ca="1" si="12"/>
        <v>0</v>
      </c>
      <c r="AD48" s="14">
        <f t="shared" ca="1" si="12"/>
        <v>0</v>
      </c>
      <c r="AE48" s="14">
        <f t="shared" ca="1" si="12"/>
        <v>0</v>
      </c>
      <c r="AF48" s="14">
        <f t="shared" ca="1" si="12"/>
        <v>0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5</v>
      </c>
      <c r="C49" s="5">
        <f t="shared" si="9"/>
        <v>0</v>
      </c>
      <c r="D49" s="5">
        <f t="shared" si="9"/>
        <v>0</v>
      </c>
      <c r="E49" s="6" t="str">
        <f t="shared" si="9"/>
        <v>Se5</v>
      </c>
      <c r="F49" s="14">
        <f t="shared" ca="1" si="10"/>
        <v>-23.5</v>
      </c>
      <c r="G49" s="14">
        <f t="shared" ca="1" si="12"/>
        <v>-25.45</v>
      </c>
      <c r="H49" s="14">
        <f t="shared" ca="1" si="12"/>
        <v>-27.59</v>
      </c>
      <c r="I49" s="14">
        <f t="shared" ca="1" si="12"/>
        <v>-29.674999999999997</v>
      </c>
      <c r="J49" s="14">
        <f t="shared" ca="1" si="12"/>
        <v>-31.57</v>
      </c>
      <c r="K49" s="14">
        <f t="shared" ca="1" si="12"/>
        <v>-33.105000000000004</v>
      </c>
      <c r="L49" s="14">
        <f t="shared" ca="1" si="12"/>
        <v>-34.344999999999999</v>
      </c>
      <c r="M49" s="14">
        <f t="shared" ca="1" si="12"/>
        <v>-35.659999999999997</v>
      </c>
      <c r="N49" s="14">
        <f t="shared" ca="1" si="12"/>
        <v>-37.130000000000003</v>
      </c>
      <c r="O49" s="14">
        <f t="shared" ca="1" si="12"/>
        <v>-38.914999999999999</v>
      </c>
      <c r="P49" s="14">
        <f t="shared" ca="1" si="12"/>
        <v>-41.224999999999994</v>
      </c>
      <c r="Q49" s="14">
        <f t="shared" ca="1" si="12"/>
        <v>0</v>
      </c>
      <c r="R49" s="14">
        <f t="shared" ca="1" si="12"/>
        <v>0</v>
      </c>
      <c r="S49" s="14">
        <f t="shared" ca="1" si="12"/>
        <v>0</v>
      </c>
      <c r="T49" s="14">
        <f t="shared" ca="1" si="12"/>
        <v>0</v>
      </c>
      <c r="U49" s="14">
        <f t="shared" ca="1" si="12"/>
        <v>0</v>
      </c>
      <c r="V49" s="14">
        <f t="shared" ca="1" si="12"/>
        <v>0</v>
      </c>
      <c r="W49" s="14">
        <f t="shared" ca="1" si="12"/>
        <v>0</v>
      </c>
      <c r="X49" s="14">
        <f t="shared" ca="1" si="12"/>
        <v>0</v>
      </c>
      <c r="Y49" s="14">
        <f t="shared" ca="1" si="12"/>
        <v>0</v>
      </c>
      <c r="Z49" s="14">
        <f t="shared" ca="1" si="12"/>
        <v>0</v>
      </c>
      <c r="AA49" s="14">
        <f t="shared" ca="1" si="12"/>
        <v>0</v>
      </c>
      <c r="AB49" s="14">
        <f t="shared" ca="1" si="12"/>
        <v>0</v>
      </c>
      <c r="AC49" s="14">
        <f t="shared" ca="1" si="12"/>
        <v>0</v>
      </c>
      <c r="AD49" s="14">
        <f t="shared" ca="1" si="12"/>
        <v>0</v>
      </c>
      <c r="AE49" s="14">
        <f t="shared" ca="1" si="12"/>
        <v>0</v>
      </c>
      <c r="AF49" s="14">
        <f t="shared" ca="1" si="12"/>
        <v>0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6</v>
      </c>
      <c r="C50" s="5">
        <f t="shared" si="9"/>
        <v>0</v>
      </c>
      <c r="D50" s="5">
        <f t="shared" si="9"/>
        <v>0</v>
      </c>
      <c r="E50" s="6" t="str">
        <f t="shared" si="9"/>
        <v>Se6</v>
      </c>
      <c r="F50" s="14">
        <f t="shared" ca="1" si="10"/>
        <v>-28.200000000000003</v>
      </c>
      <c r="G50" s="14">
        <f t="shared" ca="1" si="12"/>
        <v>-30.54</v>
      </c>
      <c r="H50" s="14">
        <f t="shared" ca="1" si="12"/>
        <v>-33.107999999999997</v>
      </c>
      <c r="I50" s="14">
        <f t="shared" ca="1" si="12"/>
        <v>-35.61</v>
      </c>
      <c r="J50" s="14">
        <f t="shared" ca="1" si="12"/>
        <v>-37.884</v>
      </c>
      <c r="K50" s="14">
        <f t="shared" ca="1" si="12"/>
        <v>-39.725999999999999</v>
      </c>
      <c r="L50" s="14">
        <f t="shared" ca="1" si="12"/>
        <v>-41.213999999999999</v>
      </c>
      <c r="M50" s="14">
        <f t="shared" ca="1" si="12"/>
        <v>-42.792000000000002</v>
      </c>
      <c r="N50" s="14">
        <f t="shared" ca="1" si="12"/>
        <v>-44.555999999999997</v>
      </c>
      <c r="O50" s="14">
        <f t="shared" ca="1" si="12"/>
        <v>-46.698</v>
      </c>
      <c r="P50" s="14">
        <f t="shared" ca="1" si="12"/>
        <v>-49.47</v>
      </c>
      <c r="Q50" s="14">
        <f t="shared" ca="1" si="12"/>
        <v>0</v>
      </c>
      <c r="R50" s="14">
        <f t="shared" ca="1" si="12"/>
        <v>0</v>
      </c>
      <c r="S50" s="14">
        <f t="shared" ca="1" si="12"/>
        <v>0</v>
      </c>
      <c r="T50" s="14">
        <f t="shared" ca="1" si="12"/>
        <v>0</v>
      </c>
      <c r="U50" s="14">
        <f t="shared" ca="1" si="12"/>
        <v>0</v>
      </c>
      <c r="V50" s="14">
        <f t="shared" ca="1" si="12"/>
        <v>0</v>
      </c>
      <c r="W50" s="14">
        <f t="shared" ca="1" si="12"/>
        <v>0</v>
      </c>
      <c r="X50" s="14">
        <f t="shared" ca="1" si="12"/>
        <v>0</v>
      </c>
      <c r="Y50" s="14">
        <f t="shared" ca="1" si="12"/>
        <v>0</v>
      </c>
      <c r="Z50" s="14">
        <f t="shared" ca="1" si="12"/>
        <v>0</v>
      </c>
      <c r="AA50" s="14">
        <f t="shared" ca="1" si="12"/>
        <v>0</v>
      </c>
      <c r="AB50" s="14">
        <f t="shared" ca="1" si="12"/>
        <v>0</v>
      </c>
      <c r="AC50" s="14">
        <f t="shared" ca="1" si="12"/>
        <v>0</v>
      </c>
      <c r="AD50" s="14">
        <f t="shared" ca="1" si="12"/>
        <v>0</v>
      </c>
      <c r="AE50" s="14">
        <f t="shared" ca="1" si="12"/>
        <v>0</v>
      </c>
      <c r="AF50" s="14">
        <f t="shared" ca="1" si="12"/>
        <v>0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7</v>
      </c>
      <c r="C51" s="5">
        <f t="shared" si="9"/>
        <v>0</v>
      </c>
      <c r="D51" s="5">
        <f t="shared" si="9"/>
        <v>0</v>
      </c>
      <c r="E51" s="6" t="str">
        <f t="shared" si="9"/>
        <v>Se7</v>
      </c>
      <c r="F51" s="14">
        <f t="shared" ca="1" si="10"/>
        <v>-32.9</v>
      </c>
      <c r="G51" s="14">
        <f t="shared" ca="1" si="12"/>
        <v>-35.629999999999995</v>
      </c>
      <c r="H51" s="14">
        <f t="shared" ca="1" si="12"/>
        <v>-38.625999999999998</v>
      </c>
      <c r="I51" s="14">
        <f t="shared" ca="1" si="12"/>
        <v>-41.544999999999995</v>
      </c>
      <c r="J51" s="14">
        <f t="shared" ca="1" si="12"/>
        <v>-44.198</v>
      </c>
      <c r="K51" s="14">
        <f t="shared" ca="1" si="12"/>
        <v>-46.347000000000001</v>
      </c>
      <c r="L51" s="14">
        <f t="shared" ca="1" si="12"/>
        <v>-48.082999999999998</v>
      </c>
      <c r="M51" s="14">
        <f t="shared" ca="1" si="12"/>
        <v>-49.923999999999999</v>
      </c>
      <c r="N51" s="14">
        <f t="shared" ca="1" si="12"/>
        <v>-51.981999999999999</v>
      </c>
      <c r="O51" s="14">
        <f t="shared" ca="1" si="12"/>
        <v>-54.481000000000002</v>
      </c>
      <c r="P51" s="14">
        <f t="shared" ca="1" si="12"/>
        <v>-57.714999999999996</v>
      </c>
      <c r="Q51" s="14">
        <f t="shared" ca="1" si="12"/>
        <v>0</v>
      </c>
      <c r="R51" s="14">
        <f t="shared" ca="1" si="12"/>
        <v>0</v>
      </c>
      <c r="S51" s="14">
        <f t="shared" ca="1" si="12"/>
        <v>0</v>
      </c>
      <c r="T51" s="14">
        <f t="shared" ca="1" si="12"/>
        <v>0</v>
      </c>
      <c r="U51" s="14">
        <f t="shared" ca="1" si="12"/>
        <v>0</v>
      </c>
      <c r="V51" s="14">
        <f t="shared" ca="1" si="12"/>
        <v>0</v>
      </c>
      <c r="W51" s="14">
        <f t="shared" ca="1" si="12"/>
        <v>0</v>
      </c>
      <c r="X51" s="14">
        <f t="shared" ca="1" si="12"/>
        <v>0</v>
      </c>
      <c r="Y51" s="14">
        <f t="shared" ca="1" si="12"/>
        <v>0</v>
      </c>
      <c r="Z51" s="14">
        <f t="shared" ca="1" si="12"/>
        <v>0</v>
      </c>
      <c r="AA51" s="14">
        <f t="shared" ca="1" si="12"/>
        <v>0</v>
      </c>
      <c r="AB51" s="14">
        <f t="shared" ca="1" si="12"/>
        <v>0</v>
      </c>
      <c r="AC51" s="14">
        <f t="shared" ca="1" si="12"/>
        <v>0</v>
      </c>
      <c r="AD51" s="14">
        <f t="shared" ca="1" si="12"/>
        <v>0</v>
      </c>
      <c r="AE51" s="14">
        <f t="shared" ca="1" si="12"/>
        <v>0</v>
      </c>
      <c r="AF51" s="14">
        <f t="shared" ca="1" si="12"/>
        <v>0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8</v>
      </c>
      <c r="C52" s="5">
        <f t="shared" si="9"/>
        <v>0</v>
      </c>
      <c r="D52" s="5">
        <f t="shared" si="9"/>
        <v>0</v>
      </c>
      <c r="E52" s="6" t="str">
        <f t="shared" si="9"/>
        <v>Se8</v>
      </c>
      <c r="F52" s="14">
        <f t="shared" ca="1" si="10"/>
        <v>-37.6</v>
      </c>
      <c r="G52" s="14">
        <f t="shared" ca="1" si="12"/>
        <v>-40.72</v>
      </c>
      <c r="H52" s="14">
        <f t="shared" ca="1" si="12"/>
        <v>-44.143999999999998</v>
      </c>
      <c r="I52" s="14">
        <f t="shared" ca="1" si="12"/>
        <v>-47.48</v>
      </c>
      <c r="J52" s="14">
        <f t="shared" ca="1" si="12"/>
        <v>-50.512</v>
      </c>
      <c r="K52" s="14">
        <f t="shared" ca="1" si="12"/>
        <v>-52.968000000000004</v>
      </c>
      <c r="L52" s="14">
        <f t="shared" ca="1" si="12"/>
        <v>-54.951999999999998</v>
      </c>
      <c r="M52" s="14">
        <f t="shared" ca="1" si="12"/>
        <v>-57.055999999999997</v>
      </c>
      <c r="N52" s="14">
        <f t="shared" ca="1" si="12"/>
        <v>-59.408000000000001</v>
      </c>
      <c r="O52" s="14">
        <f t="shared" ca="1" si="12"/>
        <v>-62.264000000000003</v>
      </c>
      <c r="P52" s="14">
        <f t="shared" ca="1" si="12"/>
        <v>-65.959999999999994</v>
      </c>
      <c r="Q52" s="14">
        <f t="shared" ca="1" si="12"/>
        <v>0</v>
      </c>
      <c r="R52" s="14">
        <f t="shared" ca="1" si="12"/>
        <v>0</v>
      </c>
      <c r="S52" s="14">
        <f t="shared" ca="1" si="12"/>
        <v>0</v>
      </c>
      <c r="T52" s="14">
        <f t="shared" ca="1" si="12"/>
        <v>0</v>
      </c>
      <c r="U52" s="14">
        <f t="shared" ca="1" si="12"/>
        <v>0</v>
      </c>
      <c r="V52" s="14">
        <f t="shared" ca="1" si="12"/>
        <v>0</v>
      </c>
      <c r="W52" s="14">
        <f t="shared" ca="1" si="12"/>
        <v>0</v>
      </c>
      <c r="X52" s="14">
        <f t="shared" ca="1" si="12"/>
        <v>0</v>
      </c>
      <c r="Y52" s="14">
        <f t="shared" ca="1" si="12"/>
        <v>0</v>
      </c>
      <c r="Z52" s="14">
        <f t="shared" ca="1" si="12"/>
        <v>0</v>
      </c>
      <c r="AA52" s="14">
        <f t="shared" ca="1" si="12"/>
        <v>0</v>
      </c>
      <c r="AB52" s="14">
        <f t="shared" ca="1" si="12"/>
        <v>0</v>
      </c>
      <c r="AC52" s="14">
        <f t="shared" ca="1" si="12"/>
        <v>0</v>
      </c>
      <c r="AD52" s="14">
        <f t="shared" ca="1" si="12"/>
        <v>0</v>
      </c>
      <c r="AE52" s="14">
        <f t="shared" ca="1" si="12"/>
        <v>0</v>
      </c>
      <c r="AF52" s="14">
        <f t="shared" ca="1" si="12"/>
        <v>0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2</v>
      </c>
      <c r="C53" s="5">
        <f t="shared" si="9"/>
        <v>0</v>
      </c>
      <c r="D53" s="5">
        <f t="shared" si="9"/>
        <v>0</v>
      </c>
      <c r="E53" s="6" t="str">
        <f t="shared" si="9"/>
        <v>Se2</v>
      </c>
      <c r="F53" s="14">
        <f t="shared" ca="1" si="10"/>
        <v>-9.4</v>
      </c>
      <c r="G53" s="14">
        <f t="shared" ca="1" si="12"/>
        <v>-10.18</v>
      </c>
      <c r="H53" s="14">
        <f t="shared" ca="1" si="12"/>
        <v>-11.036</v>
      </c>
      <c r="I53" s="14">
        <f t="shared" ca="1" si="12"/>
        <v>-11.87</v>
      </c>
      <c r="J53" s="14">
        <f t="shared" ca="1" si="12"/>
        <v>-12.628</v>
      </c>
      <c r="K53" s="14">
        <f t="shared" ca="1" si="12"/>
        <v>-13.242000000000001</v>
      </c>
      <c r="L53" s="14">
        <f t="shared" ca="1" si="12"/>
        <v>-13.738</v>
      </c>
      <c r="M53" s="14">
        <f t="shared" ca="1" si="12"/>
        <v>-14.263999999999999</v>
      </c>
      <c r="N53" s="14">
        <f t="shared" ca="1" si="12"/>
        <v>-14.852</v>
      </c>
      <c r="O53" s="14">
        <f t="shared" ca="1" si="12"/>
        <v>-15.566000000000001</v>
      </c>
      <c r="P53" s="14">
        <f t="shared" ca="1" si="12"/>
        <v>-16.489999999999998</v>
      </c>
      <c r="Q53" s="14">
        <f t="shared" ca="1" si="12"/>
        <v>0</v>
      </c>
      <c r="R53" s="14">
        <f t="shared" ca="1" si="12"/>
        <v>0</v>
      </c>
      <c r="S53" s="14">
        <f t="shared" ca="1" si="12"/>
        <v>0</v>
      </c>
      <c r="T53" s="14">
        <f t="shared" ca="1" si="12"/>
        <v>0</v>
      </c>
      <c r="U53" s="14">
        <f t="shared" ca="1" si="12"/>
        <v>0</v>
      </c>
      <c r="V53" s="14">
        <f t="shared" ca="1" si="12"/>
        <v>0</v>
      </c>
      <c r="W53" s="14">
        <f t="shared" ca="1" si="12"/>
        <v>0</v>
      </c>
      <c r="X53" s="14">
        <f t="shared" ca="1" si="12"/>
        <v>0</v>
      </c>
      <c r="Y53" s="14">
        <f t="shared" ca="1" si="12"/>
        <v>0</v>
      </c>
      <c r="Z53" s="14">
        <f t="shared" ca="1" si="12"/>
        <v>0</v>
      </c>
      <c r="AA53" s="14">
        <f t="shared" ca="1" si="12"/>
        <v>0</v>
      </c>
      <c r="AB53" s="14">
        <f t="shared" ca="1" si="12"/>
        <v>0</v>
      </c>
      <c r="AC53" s="14">
        <f t="shared" ca="1" si="12"/>
        <v>0</v>
      </c>
      <c r="AD53" s="14">
        <f t="shared" ca="1" si="12"/>
        <v>0</v>
      </c>
      <c r="AE53" s="14">
        <f t="shared" ca="1" si="12"/>
        <v>0</v>
      </c>
      <c r="AF53" s="14">
        <f t="shared" ca="1" si="12"/>
        <v>0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1</v>
      </c>
      <c r="C54" s="5">
        <f t="shared" si="9"/>
        <v>0</v>
      </c>
      <c r="D54" s="5">
        <f t="shared" si="9"/>
        <v>0</v>
      </c>
      <c r="E54" s="6" t="str">
        <f t="shared" si="9"/>
        <v>Se</v>
      </c>
      <c r="F54" s="14">
        <f t="shared" ca="1" si="10"/>
        <v>-4.7</v>
      </c>
      <c r="G54" s="14">
        <f t="shared" ca="1" si="12"/>
        <v>-5.09</v>
      </c>
      <c r="H54" s="14">
        <f t="shared" ca="1" si="12"/>
        <v>-5.5179999999999998</v>
      </c>
      <c r="I54" s="14">
        <f t="shared" ca="1" si="12"/>
        <v>-5.9349999999999996</v>
      </c>
      <c r="J54" s="14">
        <f t="shared" ca="1" si="12"/>
        <v>-6.3140000000000001</v>
      </c>
      <c r="K54" s="14">
        <f t="shared" ca="1" si="12"/>
        <v>-6.6210000000000004</v>
      </c>
      <c r="L54" s="14">
        <f t="shared" ca="1" si="12"/>
        <v>-6.8689999999999998</v>
      </c>
      <c r="M54" s="14">
        <f t="shared" ca="1" si="12"/>
        <v>-7.1319999999999997</v>
      </c>
      <c r="N54" s="14">
        <f t="shared" ca="1" si="12"/>
        <v>-7.4260000000000002</v>
      </c>
      <c r="O54" s="14">
        <f t="shared" ca="1" si="12"/>
        <v>-7.7830000000000004</v>
      </c>
      <c r="P54" s="14">
        <f t="shared" ca="1" si="12"/>
        <v>-8.2449999999999992</v>
      </c>
      <c r="Q54" s="14">
        <f t="shared" ca="1" si="12"/>
        <v>0</v>
      </c>
      <c r="R54" s="14">
        <f t="shared" ca="1" si="12"/>
        <v>0</v>
      </c>
      <c r="S54" s="14">
        <f t="shared" ca="1" si="12"/>
        <v>0</v>
      </c>
      <c r="T54" s="14">
        <f t="shared" ca="1" si="12"/>
        <v>0</v>
      </c>
      <c r="U54" s="14">
        <f t="shared" ref="U54:AL54" ca="1" si="13">$A54*H.Ar + $B54*H.Se + $C54*H.Ge + $D54*H.Ga</f>
        <v>0</v>
      </c>
      <c r="V54" s="14">
        <f t="shared" ca="1" si="13"/>
        <v>0</v>
      </c>
      <c r="W54" s="14">
        <f t="shared" ca="1" si="13"/>
        <v>0</v>
      </c>
      <c r="X54" s="14">
        <f t="shared" ca="1" si="13"/>
        <v>0</v>
      </c>
      <c r="Y54" s="14">
        <f t="shared" ca="1" si="13"/>
        <v>0</v>
      </c>
      <c r="Z54" s="14">
        <f t="shared" ca="1" si="13"/>
        <v>0</v>
      </c>
      <c r="AA54" s="14">
        <f t="shared" ca="1" si="13"/>
        <v>0</v>
      </c>
      <c r="AB54" s="14">
        <f t="shared" ca="1" si="13"/>
        <v>0</v>
      </c>
      <c r="AC54" s="14">
        <f t="shared" ca="1" si="13"/>
        <v>0</v>
      </c>
      <c r="AD54" s="14">
        <f t="shared" ca="1" si="13"/>
        <v>0</v>
      </c>
      <c r="AE54" s="14">
        <f t="shared" ca="1" si="13"/>
        <v>0</v>
      </c>
      <c r="AF54" s="14">
        <f t="shared" ca="1" si="13"/>
        <v>0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1</v>
      </c>
      <c r="C55" s="5">
        <f t="shared" si="9"/>
        <v>0</v>
      </c>
      <c r="D55" s="5">
        <f t="shared" si="9"/>
        <v>2</v>
      </c>
      <c r="E55" s="6" t="str">
        <f t="shared" si="9"/>
        <v>Ga2Se</v>
      </c>
      <c r="F55" s="14">
        <f t="shared" ca="1" si="10"/>
        <v>-16.442</v>
      </c>
      <c r="G55" s="14">
        <f t="shared" ref="G55:AL62" ca="1" si="14">$A55*H.Ar + $B55*H.Se + $C55*H.Ge + $D55*H.Ga</f>
        <v>-17.91</v>
      </c>
      <c r="H55" s="14">
        <f t="shared" ca="1" si="14"/>
        <v>-19.288</v>
      </c>
      <c r="I55" s="14">
        <f t="shared" ca="1" si="14"/>
        <v>-20.553000000000001</v>
      </c>
      <c r="J55" s="14">
        <f t="shared" ca="1" si="14"/>
        <v>-21.752000000000002</v>
      </c>
      <c r="K55" s="14">
        <f t="shared" ca="1" si="14"/>
        <v>-23.116999999999997</v>
      </c>
      <c r="L55" s="14">
        <f t="shared" ca="1" si="14"/>
        <v>-24.858999999999998</v>
      </c>
      <c r="M55" s="14">
        <f t="shared" ca="1" si="14"/>
        <v>-26.625999999999998</v>
      </c>
      <c r="N55" s="14">
        <f t="shared" ca="1" si="14"/>
        <v>-28.246000000000002</v>
      </c>
      <c r="O55" s="14">
        <f t="shared" ca="1" si="14"/>
        <v>-29.743000000000002</v>
      </c>
      <c r="P55" s="14">
        <f t="shared" ca="1" si="14"/>
        <v>-31.104999999999997</v>
      </c>
      <c r="Q55" s="14">
        <f t="shared" ca="1" si="14"/>
        <v>0</v>
      </c>
      <c r="R55" s="14">
        <f t="shared" ca="1" si="14"/>
        <v>0</v>
      </c>
      <c r="S55" s="14">
        <f t="shared" ca="1" si="14"/>
        <v>0</v>
      </c>
      <c r="T55" s="14">
        <f t="shared" ca="1" si="14"/>
        <v>0</v>
      </c>
      <c r="U55" s="14">
        <f t="shared" ca="1" si="14"/>
        <v>0</v>
      </c>
      <c r="V55" s="14">
        <f t="shared" ca="1" si="14"/>
        <v>0</v>
      </c>
      <c r="W55" s="14">
        <f t="shared" ca="1" si="14"/>
        <v>0</v>
      </c>
      <c r="X55" s="14">
        <f t="shared" ca="1" si="14"/>
        <v>0</v>
      </c>
      <c r="Y55" s="14">
        <f t="shared" ca="1" si="14"/>
        <v>0</v>
      </c>
      <c r="Z55" s="14">
        <f t="shared" ca="1" si="14"/>
        <v>0</v>
      </c>
      <c r="AA55" s="14">
        <f t="shared" ca="1" si="14"/>
        <v>0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1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 t="str">
        <f t="shared" si="15"/>
        <v>Ar</v>
      </c>
      <c r="F56" s="14">
        <f t="shared" ref="F56:U65" ca="1" si="16">$A56*H.Ar + $B56*H.Se + $C56*H.Ge + $D56*H.Ga</f>
        <v>-18.62</v>
      </c>
      <c r="G56" s="14">
        <f t="shared" ca="1" si="16"/>
        <v>-18.64</v>
      </c>
      <c r="H56" s="14">
        <f t="shared" ca="1" si="16"/>
        <v>-18.739999999999998</v>
      </c>
      <c r="I56" s="14">
        <f t="shared" ca="1" si="16"/>
        <v>-18.88</v>
      </c>
      <c r="J56" s="14">
        <f t="shared" ca="1" si="16"/>
        <v>-19.07</v>
      </c>
      <c r="K56" s="14">
        <f t="shared" ca="1" si="16"/>
        <v>-19.36</v>
      </c>
      <c r="L56" s="14">
        <f t="shared" ca="1" si="16"/>
        <v>-19.66</v>
      </c>
      <c r="M56" s="14">
        <f t="shared" ca="1" si="16"/>
        <v>-19.88</v>
      </c>
      <c r="N56" s="14">
        <f t="shared" ca="1" si="16"/>
        <v>-20.11</v>
      </c>
      <c r="O56" s="14">
        <f t="shared" ca="1" si="16"/>
        <v>-20.36</v>
      </c>
      <c r="P56" s="14">
        <f t="shared" ca="1" si="16"/>
        <v>-20.62</v>
      </c>
      <c r="Q56" s="14">
        <f t="shared" ca="1" si="16"/>
        <v>0</v>
      </c>
      <c r="R56" s="14">
        <f t="shared" ca="1" si="16"/>
        <v>0</v>
      </c>
      <c r="S56" s="14">
        <f t="shared" ca="1" si="16"/>
        <v>0</v>
      </c>
      <c r="T56" s="14">
        <f t="shared" ca="1" si="16"/>
        <v>0</v>
      </c>
      <c r="U56" s="14">
        <f t="shared" ca="1" si="16"/>
        <v>0</v>
      </c>
      <c r="V56" s="14">
        <f t="shared" ca="1" si="14"/>
        <v>0</v>
      </c>
      <c r="W56" s="14">
        <f t="shared" ca="1" si="14"/>
        <v>0</v>
      </c>
      <c r="X56" s="14">
        <f t="shared" ca="1" si="14"/>
        <v>0</v>
      </c>
      <c r="Y56" s="14">
        <f t="shared" ca="1" si="14"/>
        <v>0</v>
      </c>
      <c r="Z56" s="14">
        <f t="shared" ca="1" si="14"/>
        <v>0</v>
      </c>
      <c r="AA56" s="14">
        <f t="shared" ca="1" si="14"/>
        <v>0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1</v>
      </c>
      <c r="E57" s="6" t="str">
        <f t="shared" si="15"/>
        <v>(1)Ga[1]</v>
      </c>
      <c r="F57" s="14">
        <f t="shared" ca="1" si="16"/>
        <v>-5.8710000000000004</v>
      </c>
      <c r="G57" s="14">
        <f t="shared" ca="1" si="14"/>
        <v>-6.41</v>
      </c>
      <c r="H57" s="14">
        <f t="shared" ca="1" si="14"/>
        <v>-6.8849999999999998</v>
      </c>
      <c r="I57" s="14">
        <f t="shared" ca="1" si="14"/>
        <v>-7.3090000000000002</v>
      </c>
      <c r="J57" s="14">
        <f t="shared" ca="1" si="14"/>
        <v>-7.7190000000000003</v>
      </c>
      <c r="K57" s="14">
        <f t="shared" ca="1" si="14"/>
        <v>-8.2479999999999993</v>
      </c>
      <c r="L57" s="14">
        <f t="shared" ca="1" si="14"/>
        <v>-8.9949999999999992</v>
      </c>
      <c r="M57" s="14">
        <f t="shared" ca="1" si="14"/>
        <v>-9.7469999999999999</v>
      </c>
      <c r="N57" s="14">
        <f t="shared" ca="1" si="14"/>
        <v>-10.41</v>
      </c>
      <c r="O57" s="14">
        <f t="shared" ca="1" si="14"/>
        <v>-10.98</v>
      </c>
      <c r="P57" s="14">
        <f t="shared" ca="1" si="14"/>
        <v>-11.43</v>
      </c>
      <c r="Q57" s="14">
        <f t="shared" ca="1" si="14"/>
        <v>0</v>
      </c>
      <c r="R57" s="14">
        <f t="shared" ca="1" si="14"/>
        <v>0</v>
      </c>
      <c r="S57" s="14">
        <f t="shared" ca="1" si="14"/>
        <v>0</v>
      </c>
      <c r="T57" s="14">
        <f t="shared" ca="1" si="14"/>
        <v>0</v>
      </c>
      <c r="U57" s="14">
        <f t="shared" ca="1" si="14"/>
        <v>0</v>
      </c>
      <c r="V57" s="14">
        <f t="shared" ca="1" si="14"/>
        <v>0</v>
      </c>
      <c r="W57" s="14">
        <f t="shared" ca="1" si="14"/>
        <v>0</v>
      </c>
      <c r="X57" s="14">
        <f t="shared" ca="1" si="14"/>
        <v>0</v>
      </c>
      <c r="Y57" s="14">
        <f t="shared" ca="1" si="14"/>
        <v>0</v>
      </c>
      <c r="Z57" s="14">
        <f t="shared" ca="1" si="14"/>
        <v>0</v>
      </c>
      <c r="AA57" s="14">
        <f t="shared" ca="1" si="14"/>
        <v>0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(1)Ge[1]</v>
      </c>
      <c r="F58" s="14">
        <f t="shared" ca="1" si="16"/>
        <v>6.2590000000000003</v>
      </c>
      <c r="G58" s="14">
        <f t="shared" ca="1" si="14"/>
        <v>2.9529999999999998</v>
      </c>
      <c r="H58" s="14">
        <f t="shared" ca="1" si="14"/>
        <v>0.67290000000000005</v>
      </c>
      <c r="I58" s="14">
        <f t="shared" ca="1" si="14"/>
        <v>-1.0149999999999999</v>
      </c>
      <c r="J58" s="14">
        <f t="shared" ca="1" si="14"/>
        <v>-2.3050000000000002</v>
      </c>
      <c r="K58" s="14">
        <f t="shared" ca="1" si="14"/>
        <v>-3.2450000000000001</v>
      </c>
      <c r="L58" s="14">
        <f t="shared" ca="1" si="14"/>
        <v>-3.9470000000000001</v>
      </c>
      <c r="M58" s="14">
        <f t="shared" ca="1" si="14"/>
        <v>-4.5590000000000002</v>
      </c>
      <c r="N58" s="14">
        <f t="shared" ca="1" si="14"/>
        <v>-5.0259999999999998</v>
      </c>
      <c r="O58" s="14">
        <f t="shared" ca="1" si="14"/>
        <v>-5.2619999999999996</v>
      </c>
      <c r="P58" s="14">
        <f t="shared" ca="1" si="14"/>
        <v>-5.367</v>
      </c>
      <c r="Q58" s="14">
        <f t="shared" ca="1" si="14"/>
        <v>0</v>
      </c>
      <c r="R58" s="14">
        <f t="shared" ca="1" si="14"/>
        <v>0</v>
      </c>
      <c r="S58" s="14">
        <f t="shared" ca="1" si="14"/>
        <v>0</v>
      </c>
      <c r="T58" s="14">
        <f t="shared" ca="1" si="14"/>
        <v>0</v>
      </c>
      <c r="U58" s="14">
        <f t="shared" ca="1" si="14"/>
        <v>0</v>
      </c>
      <c r="V58" s="14">
        <f t="shared" ca="1" si="14"/>
        <v>0</v>
      </c>
      <c r="W58" s="14">
        <f t="shared" ca="1" si="14"/>
        <v>0</v>
      </c>
      <c r="X58" s="14">
        <f t="shared" ca="1" si="14"/>
        <v>0</v>
      </c>
      <c r="Y58" s="14">
        <f t="shared" ca="1" si="14"/>
        <v>0</v>
      </c>
      <c r="Z58" s="14">
        <f t="shared" ca="1" si="14"/>
        <v>0</v>
      </c>
      <c r="AA58" s="14">
        <f t="shared" ca="1" si="14"/>
        <v>0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1</v>
      </c>
      <c r="C59" s="5">
        <f t="shared" si="15"/>
        <v>0</v>
      </c>
      <c r="D59" s="5">
        <f t="shared" si="15"/>
        <v>0</v>
      </c>
      <c r="E59" s="6" t="str">
        <f t="shared" si="15"/>
        <v>(1)Se[1]</v>
      </c>
      <c r="F59" s="14">
        <f t="shared" ca="1" si="16"/>
        <v>-4.7</v>
      </c>
      <c r="G59" s="14">
        <f t="shared" ca="1" si="14"/>
        <v>-5.09</v>
      </c>
      <c r="H59" s="14">
        <f t="shared" ca="1" si="14"/>
        <v>-5.5179999999999998</v>
      </c>
      <c r="I59" s="14">
        <f t="shared" ca="1" si="14"/>
        <v>-5.9349999999999996</v>
      </c>
      <c r="J59" s="14">
        <f t="shared" ca="1" si="14"/>
        <v>-6.3140000000000001</v>
      </c>
      <c r="K59" s="14">
        <f t="shared" ca="1" si="14"/>
        <v>-6.6210000000000004</v>
      </c>
      <c r="L59" s="14">
        <f t="shared" ca="1" si="14"/>
        <v>-6.8689999999999998</v>
      </c>
      <c r="M59" s="14">
        <f t="shared" ca="1" si="14"/>
        <v>-7.1319999999999997</v>
      </c>
      <c r="N59" s="14">
        <f t="shared" ca="1" si="14"/>
        <v>-7.4260000000000002</v>
      </c>
      <c r="O59" s="14">
        <f t="shared" ca="1" si="14"/>
        <v>-7.7830000000000004</v>
      </c>
      <c r="P59" s="14">
        <f t="shared" ca="1" si="14"/>
        <v>-8.2449999999999992</v>
      </c>
      <c r="Q59" s="14">
        <f t="shared" ca="1" si="14"/>
        <v>0</v>
      </c>
      <c r="R59" s="14">
        <f t="shared" ca="1" si="14"/>
        <v>0</v>
      </c>
      <c r="S59" s="14">
        <f t="shared" ca="1" si="14"/>
        <v>0</v>
      </c>
      <c r="T59" s="14">
        <f t="shared" ca="1" si="14"/>
        <v>0</v>
      </c>
      <c r="U59" s="14">
        <f t="shared" ca="1" si="14"/>
        <v>0</v>
      </c>
      <c r="V59" s="14">
        <f t="shared" ca="1" si="14"/>
        <v>0</v>
      </c>
      <c r="W59" s="14">
        <f t="shared" ca="1" si="14"/>
        <v>0</v>
      </c>
      <c r="X59" s="14">
        <f t="shared" ca="1" si="14"/>
        <v>0</v>
      </c>
      <c r="Y59" s="14">
        <f t="shared" ca="1" si="14"/>
        <v>0</v>
      </c>
      <c r="Z59" s="14">
        <f t="shared" ca="1" si="14"/>
        <v>0</v>
      </c>
      <c r="AA59" s="14">
        <f t="shared" ca="1" si="14"/>
        <v>0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1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 t="str">
        <f t="shared" si="15"/>
        <v>H (Ar)</v>
      </c>
      <c r="F60" s="14">
        <f t="shared" ca="1" si="16"/>
        <v>-18.62</v>
      </c>
      <c r="G60" s="14">
        <f t="shared" ca="1" si="14"/>
        <v>-18.64</v>
      </c>
      <c r="H60" s="14">
        <f t="shared" ca="1" si="14"/>
        <v>-18.739999999999998</v>
      </c>
      <c r="I60" s="14">
        <f t="shared" ca="1" si="14"/>
        <v>-18.88</v>
      </c>
      <c r="J60" s="14">
        <f t="shared" ca="1" si="14"/>
        <v>-19.07</v>
      </c>
      <c r="K60" s="14">
        <f t="shared" ca="1" si="14"/>
        <v>-19.36</v>
      </c>
      <c r="L60" s="14">
        <f t="shared" ca="1" si="14"/>
        <v>-19.66</v>
      </c>
      <c r="M60" s="14">
        <f t="shared" ca="1" si="14"/>
        <v>-19.88</v>
      </c>
      <c r="N60" s="14">
        <f t="shared" ca="1" si="14"/>
        <v>-20.11</v>
      </c>
      <c r="O60" s="14">
        <f t="shared" ca="1" si="14"/>
        <v>-20.36</v>
      </c>
      <c r="P60" s="14">
        <f t="shared" ca="1" si="14"/>
        <v>-20.62</v>
      </c>
      <c r="Q60" s="14">
        <f t="shared" ca="1" si="14"/>
        <v>0</v>
      </c>
      <c r="R60" s="14">
        <f t="shared" ca="1" si="14"/>
        <v>0</v>
      </c>
      <c r="S60" s="14">
        <f t="shared" ca="1" si="14"/>
        <v>0</v>
      </c>
      <c r="T60" s="14">
        <f t="shared" ca="1" si="14"/>
        <v>0</v>
      </c>
      <c r="U60" s="14">
        <f t="shared" ca="1" si="14"/>
        <v>0</v>
      </c>
      <c r="V60" s="14">
        <f t="shared" ca="1" si="14"/>
        <v>0</v>
      </c>
      <c r="W60" s="14">
        <f t="shared" ca="1" si="14"/>
        <v>0</v>
      </c>
      <c r="X60" s="14">
        <f t="shared" ca="1" si="14"/>
        <v>0</v>
      </c>
      <c r="Y60" s="14">
        <f t="shared" ca="1" si="14"/>
        <v>0</v>
      </c>
      <c r="Z60" s="14">
        <f t="shared" ca="1" si="14"/>
        <v>0</v>
      </c>
      <c r="AA60" s="14">
        <f t="shared" ca="1" si="14"/>
        <v>0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1</v>
      </c>
      <c r="E61" s="6" t="str">
        <f t="shared" si="15"/>
        <v>H (Ga)</v>
      </c>
      <c r="F61" s="14">
        <f t="shared" ca="1" si="16"/>
        <v>-5.8710000000000004</v>
      </c>
      <c r="G61" s="14">
        <f t="shared" ca="1" si="14"/>
        <v>-6.41</v>
      </c>
      <c r="H61" s="14">
        <f t="shared" ca="1" si="14"/>
        <v>-6.8849999999999998</v>
      </c>
      <c r="I61" s="14">
        <f t="shared" ca="1" si="14"/>
        <v>-7.3090000000000002</v>
      </c>
      <c r="J61" s="14">
        <f t="shared" ca="1" si="14"/>
        <v>-7.7190000000000003</v>
      </c>
      <c r="K61" s="14">
        <f t="shared" ca="1" si="14"/>
        <v>-8.2479999999999993</v>
      </c>
      <c r="L61" s="14">
        <f t="shared" ca="1" si="14"/>
        <v>-8.9949999999999992</v>
      </c>
      <c r="M61" s="14">
        <f t="shared" ca="1" si="14"/>
        <v>-9.7469999999999999</v>
      </c>
      <c r="N61" s="14">
        <f t="shared" ca="1" si="14"/>
        <v>-10.41</v>
      </c>
      <c r="O61" s="14">
        <f t="shared" ca="1" si="14"/>
        <v>-10.98</v>
      </c>
      <c r="P61" s="14">
        <f t="shared" ca="1" si="14"/>
        <v>-11.43</v>
      </c>
      <c r="Q61" s="14">
        <f t="shared" ca="1" si="14"/>
        <v>0</v>
      </c>
      <c r="R61" s="14">
        <f t="shared" ca="1" si="14"/>
        <v>0</v>
      </c>
      <c r="S61" s="14">
        <f t="shared" ca="1" si="14"/>
        <v>0</v>
      </c>
      <c r="T61" s="14">
        <f t="shared" ca="1" si="14"/>
        <v>0</v>
      </c>
      <c r="U61" s="14">
        <f t="shared" ca="1" si="14"/>
        <v>0</v>
      </c>
      <c r="V61" s="14">
        <f t="shared" ca="1" si="14"/>
        <v>0</v>
      </c>
      <c r="W61" s="14">
        <f t="shared" ca="1" si="14"/>
        <v>0</v>
      </c>
      <c r="X61" s="14">
        <f t="shared" ca="1" si="14"/>
        <v>0</v>
      </c>
      <c r="Y61" s="14">
        <f t="shared" ca="1" si="14"/>
        <v>0</v>
      </c>
      <c r="Z61" s="14">
        <f t="shared" ca="1" si="14"/>
        <v>0</v>
      </c>
      <c r="AA61" s="14">
        <f t="shared" ca="1" si="14"/>
        <v>0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1</v>
      </c>
      <c r="D62" s="5">
        <f t="shared" si="15"/>
        <v>0</v>
      </c>
      <c r="E62" s="6" t="str">
        <f t="shared" si="15"/>
        <v>H (Ge)</v>
      </c>
      <c r="F62" s="14">
        <f t="shared" ca="1" si="16"/>
        <v>6.2590000000000003</v>
      </c>
      <c r="G62" s="14">
        <f t="shared" ca="1" si="14"/>
        <v>2.9529999999999998</v>
      </c>
      <c r="H62" s="14">
        <f t="shared" ca="1" si="14"/>
        <v>0.67290000000000005</v>
      </c>
      <c r="I62" s="14">
        <f t="shared" ca="1" si="14"/>
        <v>-1.0149999999999999</v>
      </c>
      <c r="J62" s="14">
        <f t="shared" ca="1" si="14"/>
        <v>-2.3050000000000002</v>
      </c>
      <c r="K62" s="14">
        <f t="shared" ca="1" si="14"/>
        <v>-3.2450000000000001</v>
      </c>
      <c r="L62" s="14">
        <f t="shared" ca="1" si="14"/>
        <v>-3.9470000000000001</v>
      </c>
      <c r="M62" s="14">
        <f t="shared" ca="1" si="14"/>
        <v>-4.5590000000000002</v>
      </c>
      <c r="N62" s="14">
        <f t="shared" ca="1" si="14"/>
        <v>-5.0259999999999998</v>
      </c>
      <c r="O62" s="14">
        <f t="shared" ca="1" si="14"/>
        <v>-5.2619999999999996</v>
      </c>
      <c r="P62" s="14">
        <f t="shared" ca="1" si="14"/>
        <v>-5.367</v>
      </c>
      <c r="Q62" s="14">
        <f t="shared" ca="1" si="14"/>
        <v>0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1</v>
      </c>
      <c r="C63" s="5">
        <f t="shared" si="15"/>
        <v>0</v>
      </c>
      <c r="D63" s="5">
        <f t="shared" si="15"/>
        <v>0</v>
      </c>
      <c r="E63" s="6" t="str">
        <f t="shared" si="15"/>
        <v>H (Se)</v>
      </c>
      <c r="F63" s="14">
        <f t="shared" ca="1" si="16"/>
        <v>-4.7</v>
      </c>
      <c r="G63" s="14">
        <f t="shared" ref="G63:AL71" ca="1" si="18">$A63*H.Ar + $B63*H.Se + $C63*H.Ge + $D63*H.Ga</f>
        <v>-5.09</v>
      </c>
      <c r="H63" s="14">
        <f t="shared" ca="1" si="18"/>
        <v>-5.5179999999999998</v>
      </c>
      <c r="I63" s="14">
        <f t="shared" ca="1" si="18"/>
        <v>-5.9349999999999996</v>
      </c>
      <c r="J63" s="14">
        <f t="shared" ca="1" si="18"/>
        <v>-6.3140000000000001</v>
      </c>
      <c r="K63" s="14">
        <f t="shared" ca="1" si="18"/>
        <v>-6.6210000000000004</v>
      </c>
      <c r="L63" s="14">
        <f t="shared" ca="1" si="18"/>
        <v>-6.8689999999999998</v>
      </c>
      <c r="M63" s="14">
        <f t="shared" ca="1" si="18"/>
        <v>-7.1319999999999997</v>
      </c>
      <c r="N63" s="14">
        <f t="shared" ca="1" si="18"/>
        <v>-7.4260000000000002</v>
      </c>
      <c r="O63" s="14">
        <f t="shared" ca="1" si="18"/>
        <v>-7.7830000000000004</v>
      </c>
      <c r="P63" s="14">
        <f t="shared" ca="1" si="18"/>
        <v>-8.2449999999999992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8"/>
      <c r="B78" s="88"/>
      <c r="C78" s="89">
        <f>E41</f>
        <v>8.3333333333333339</v>
      </c>
      <c r="D78" s="75"/>
      <c r="E78" s="74" t="s">
        <v>22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3">E45</f>
        <v>Temperature,К Pressure, at</v>
      </c>
      <c r="F79" s="3">
        <f t="shared" ref="F79:AL79" si="24">F3</f>
        <v>273.10000000000002</v>
      </c>
      <c r="G79" s="3">
        <f t="shared" si="24"/>
        <v>345.8</v>
      </c>
      <c r="H79" s="3">
        <f t="shared" si="24"/>
        <v>418.5</v>
      </c>
      <c r="I79" s="3">
        <f t="shared" si="24"/>
        <v>491.2</v>
      </c>
      <c r="J79" s="3">
        <f t="shared" si="24"/>
        <v>563.9</v>
      </c>
      <c r="K79" s="3">
        <f t="shared" si="24"/>
        <v>636.6</v>
      </c>
      <c r="L79" s="3">
        <f t="shared" si="24"/>
        <v>709.3</v>
      </c>
      <c r="M79" s="3">
        <f t="shared" si="24"/>
        <v>781.9</v>
      </c>
      <c r="N79" s="3">
        <f t="shared" si="24"/>
        <v>854.6</v>
      </c>
      <c r="O79" s="3">
        <f t="shared" si="24"/>
        <v>927.3</v>
      </c>
      <c r="P79" s="3">
        <f t="shared" si="24"/>
        <v>1000</v>
      </c>
      <c r="Q79" s="3">
        <f t="shared" si="24"/>
        <v>0</v>
      </c>
      <c r="R79" s="3">
        <f t="shared" si="24"/>
        <v>0</v>
      </c>
      <c r="S79" s="3">
        <f t="shared" si="24"/>
        <v>0</v>
      </c>
      <c r="T79" s="3">
        <f t="shared" si="24"/>
        <v>0</v>
      </c>
      <c r="U79" s="3">
        <f t="shared" si="24"/>
        <v>0</v>
      </c>
      <c r="V79" s="3">
        <f t="shared" si="24"/>
        <v>0</v>
      </c>
      <c r="W79" s="3">
        <f t="shared" si="24"/>
        <v>0</v>
      </c>
      <c r="X79" s="3">
        <f t="shared" si="24"/>
        <v>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1</v>
      </c>
      <c r="C80" s="5">
        <f t="shared" si="25"/>
        <v>0</v>
      </c>
      <c r="D80" s="5">
        <f t="shared" si="25"/>
        <v>0</v>
      </c>
      <c r="E80" s="6" t="str">
        <f t="shared" si="23"/>
        <v>*Se[1]</v>
      </c>
      <c r="F80" s="14">
        <f t="shared" ref="F80:AL80" si="26">F4*$C$78</f>
        <v>1.8455833333333335E-7</v>
      </c>
      <c r="G80" s="14">
        <f t="shared" si="26"/>
        <v>1.8495833333333335E-7</v>
      </c>
      <c r="H80" s="14">
        <f t="shared" si="26"/>
        <v>2.2176666666666669E-7</v>
      </c>
      <c r="I80" s="14">
        <f t="shared" si="26"/>
        <v>1.7197500000000003E-7</v>
      </c>
      <c r="J80" s="14">
        <f t="shared" si="26"/>
        <v>2.6266666666666669E-7</v>
      </c>
      <c r="K80" s="14">
        <f t="shared" si="26"/>
        <v>3.1129166666666669E-7</v>
      </c>
      <c r="L80" s="14">
        <f t="shared" si="26"/>
        <v>6.4952500000000004E-7</v>
      </c>
      <c r="M80" s="14">
        <f t="shared" si="26"/>
        <v>9.9300000000000006E-7</v>
      </c>
      <c r="N80" s="14">
        <f t="shared" si="26"/>
        <v>9.1866666666666669E-7</v>
      </c>
      <c r="O80" s="14">
        <f t="shared" si="26"/>
        <v>4.4683333333333336E-7</v>
      </c>
      <c r="P80" s="14">
        <f t="shared" si="26"/>
        <v>1.7184166666666667E-7</v>
      </c>
      <c r="Q80" s="14">
        <f t="shared" si="26"/>
        <v>0</v>
      </c>
      <c r="R80" s="14">
        <f t="shared" si="26"/>
        <v>0</v>
      </c>
      <c r="S80" s="14">
        <f t="shared" si="26"/>
        <v>0</v>
      </c>
      <c r="T80" s="14">
        <f t="shared" si="26"/>
        <v>0</v>
      </c>
      <c r="U80" s="14">
        <f t="shared" si="26"/>
        <v>0</v>
      </c>
      <c r="V80" s="14">
        <f t="shared" si="26"/>
        <v>0</v>
      </c>
      <c r="W80" s="14">
        <f t="shared" si="26"/>
        <v>0</v>
      </c>
      <c r="X80" s="14">
        <f t="shared" si="26"/>
        <v>0</v>
      </c>
      <c r="Y80" s="14">
        <f t="shared" si="26"/>
        <v>0</v>
      </c>
      <c r="Z80" s="14">
        <f t="shared" si="26"/>
        <v>0</v>
      </c>
      <c r="AA80" s="14">
        <f t="shared" si="26"/>
        <v>0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3</v>
      </c>
      <c r="C81" s="5">
        <f t="shared" si="27"/>
        <v>0</v>
      </c>
      <c r="D81" s="5">
        <f t="shared" si="27"/>
        <v>0</v>
      </c>
      <c r="E81" s="6" t="str">
        <f t="shared" si="23"/>
        <v>Se3</v>
      </c>
      <c r="F81" s="14">
        <f t="shared" ref="F81:AL81" si="28">F5*$C$78</f>
        <v>2.2726666666666668E-24</v>
      </c>
      <c r="G81" s="14">
        <f t="shared" si="28"/>
        <v>1.0407500000000001E-17</v>
      </c>
      <c r="H81" s="14">
        <f t="shared" si="28"/>
        <v>1.7577500000000003E-13</v>
      </c>
      <c r="I81" s="14">
        <f t="shared" si="28"/>
        <v>1.4105000000000002E-10</v>
      </c>
      <c r="J81" s="14">
        <f t="shared" si="28"/>
        <v>1.9240833333333335E-8</v>
      </c>
      <c r="K81" s="14">
        <f t="shared" si="28"/>
        <v>1.0121666666666668E-6</v>
      </c>
      <c r="L81" s="14">
        <f t="shared" si="28"/>
        <v>2.6312499999999999E-5</v>
      </c>
      <c r="M81" s="14">
        <f t="shared" si="28"/>
        <v>3.1894166666666669E-4</v>
      </c>
      <c r="N81" s="14">
        <f t="shared" si="28"/>
        <v>2.1640833333333334E-3</v>
      </c>
      <c r="O81" s="14">
        <f t="shared" si="28"/>
        <v>8.6258333333333343E-3</v>
      </c>
      <c r="P81" s="14">
        <f t="shared" si="28"/>
        <v>1.8766666666666668E-2</v>
      </c>
      <c r="Q81" s="14">
        <f t="shared" si="28"/>
        <v>0</v>
      </c>
      <c r="R81" s="14">
        <f t="shared" si="28"/>
        <v>0</v>
      </c>
      <c r="S81" s="14">
        <f t="shared" si="28"/>
        <v>0</v>
      </c>
      <c r="T81" s="14">
        <f t="shared" si="28"/>
        <v>0</v>
      </c>
      <c r="U81" s="14">
        <f t="shared" si="28"/>
        <v>0</v>
      </c>
      <c r="V81" s="14">
        <f t="shared" si="28"/>
        <v>0</v>
      </c>
      <c r="W81" s="14">
        <f t="shared" si="28"/>
        <v>0</v>
      </c>
      <c r="X81" s="14">
        <f t="shared" si="28"/>
        <v>0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4</v>
      </c>
      <c r="C82" s="5">
        <f t="shared" si="27"/>
        <v>0</v>
      </c>
      <c r="D82" s="5">
        <f t="shared" si="27"/>
        <v>0</v>
      </c>
      <c r="E82" s="6" t="str">
        <f t="shared" si="23"/>
        <v>Se4</v>
      </c>
      <c r="F82" s="14">
        <f t="shared" ref="F82:AL82" si="29">F6*$C$78</f>
        <v>2.3882500000000002E-22</v>
      </c>
      <c r="G82" s="14">
        <f t="shared" si="29"/>
        <v>2.4320833333333335E-16</v>
      </c>
      <c r="H82" s="14">
        <f t="shared" si="29"/>
        <v>1.4325000000000002E-12</v>
      </c>
      <c r="I82" s="14">
        <f t="shared" si="29"/>
        <v>5.2516666666666677E-10</v>
      </c>
      <c r="J82" s="14">
        <f t="shared" si="29"/>
        <v>3.942666666666667E-8</v>
      </c>
      <c r="K82" s="14">
        <f t="shared" si="29"/>
        <v>1.3475833333333335E-6</v>
      </c>
      <c r="L82" s="14">
        <f t="shared" si="29"/>
        <v>2.5613333333333334E-5</v>
      </c>
      <c r="M82" s="14">
        <f t="shared" si="29"/>
        <v>2.32675E-4</v>
      </c>
      <c r="N82" s="14">
        <f t="shared" si="29"/>
        <v>1.1805000000000001E-3</v>
      </c>
      <c r="O82" s="14">
        <f t="shared" si="29"/>
        <v>3.3633333333333336E-3</v>
      </c>
      <c r="P82" s="14">
        <f t="shared" si="29"/>
        <v>4.7797500000000001E-3</v>
      </c>
      <c r="Q82" s="14">
        <f t="shared" si="29"/>
        <v>0</v>
      </c>
      <c r="R82" s="14">
        <f t="shared" si="29"/>
        <v>0</v>
      </c>
      <c r="S82" s="14">
        <f t="shared" si="29"/>
        <v>0</v>
      </c>
      <c r="T82" s="14">
        <f t="shared" si="29"/>
        <v>0</v>
      </c>
      <c r="U82" s="14">
        <f t="shared" si="29"/>
        <v>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5</v>
      </c>
      <c r="C83" s="5">
        <f t="shared" si="27"/>
        <v>0</v>
      </c>
      <c r="D83" s="5">
        <f t="shared" si="27"/>
        <v>0</v>
      </c>
      <c r="E83" s="6" t="str">
        <f t="shared" si="23"/>
        <v>Se5</v>
      </c>
      <c r="F83" s="14">
        <f t="shared" ref="F83:AL83" si="30">F7*$C$78</f>
        <v>6.8861666666666669E-19</v>
      </c>
      <c r="G83" s="14">
        <f t="shared" si="30"/>
        <v>2.0927500000000001E-13</v>
      </c>
      <c r="H83" s="14">
        <f t="shared" si="30"/>
        <v>5.2702500000000005E-10</v>
      </c>
      <c r="I83" s="14">
        <f t="shared" si="30"/>
        <v>1.02475E-7</v>
      </c>
      <c r="J83" s="14">
        <f t="shared" si="30"/>
        <v>4.7448333333333333E-6</v>
      </c>
      <c r="K83" s="14">
        <f t="shared" si="30"/>
        <v>1.1527500000000001E-4</v>
      </c>
      <c r="L83" s="14">
        <f t="shared" si="30"/>
        <v>1.7226666666666668E-3</v>
      </c>
      <c r="M83" s="14">
        <f t="shared" si="30"/>
        <v>1.2451666666666668E-2</v>
      </c>
      <c r="N83" s="14">
        <f t="shared" si="30"/>
        <v>4.967166666666667E-2</v>
      </c>
      <c r="O83" s="14">
        <f t="shared" si="30"/>
        <v>0.10558333333333335</v>
      </c>
      <c r="P83" s="14">
        <f t="shared" si="30"/>
        <v>0.10168333333333333</v>
      </c>
      <c r="Q83" s="14">
        <f t="shared" si="30"/>
        <v>0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0</v>
      </c>
      <c r="V83" s="14">
        <f t="shared" si="30"/>
        <v>0</v>
      </c>
      <c r="W83" s="14">
        <f t="shared" si="30"/>
        <v>0</v>
      </c>
      <c r="X83" s="14">
        <f t="shared" si="30"/>
        <v>0</v>
      </c>
      <c r="Y83" s="14">
        <f t="shared" si="30"/>
        <v>0</v>
      </c>
      <c r="Z83" s="14">
        <f t="shared" si="30"/>
        <v>0</v>
      </c>
      <c r="AA83" s="14">
        <f t="shared" si="30"/>
        <v>0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6</v>
      </c>
      <c r="C84" s="5">
        <f t="shared" si="27"/>
        <v>0</v>
      </c>
      <c r="D84" s="5">
        <f t="shared" si="27"/>
        <v>0</v>
      </c>
      <c r="E84" s="6" t="str">
        <f t="shared" si="23"/>
        <v>Se6</v>
      </c>
      <c r="F84" s="14">
        <f t="shared" ref="F84:AL84" si="31">F8*$C$78</f>
        <v>2.6404166666666666E-16</v>
      </c>
      <c r="G84" s="14">
        <f t="shared" si="31"/>
        <v>9.8766666666666673E-12</v>
      </c>
      <c r="H84" s="14">
        <f t="shared" si="31"/>
        <v>5.9349999999999999E-9</v>
      </c>
      <c r="I84" s="14">
        <f t="shared" si="31"/>
        <v>4.0490000000000003E-7</v>
      </c>
      <c r="J84" s="14">
        <f t="shared" si="31"/>
        <v>8.498333333333333E-6</v>
      </c>
      <c r="K84" s="14">
        <f t="shared" si="31"/>
        <v>1.1561666666666667E-4</v>
      </c>
      <c r="L84" s="14">
        <f t="shared" si="31"/>
        <v>1.1231666666666668E-3</v>
      </c>
      <c r="M84" s="14">
        <f t="shared" si="31"/>
        <v>5.5317500000000002E-3</v>
      </c>
      <c r="N84" s="14">
        <f t="shared" si="31"/>
        <v>1.5250000000000001E-2</v>
      </c>
      <c r="O84" s="14">
        <f t="shared" si="31"/>
        <v>2.1689166666666666E-2</v>
      </c>
      <c r="P84" s="14">
        <f t="shared" si="31"/>
        <v>1.2895833333333334E-2</v>
      </c>
      <c r="Q84" s="14">
        <f t="shared" si="31"/>
        <v>0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0</v>
      </c>
      <c r="V84" s="14">
        <f t="shared" si="31"/>
        <v>0</v>
      </c>
      <c r="W84" s="14">
        <f t="shared" si="31"/>
        <v>0</v>
      </c>
      <c r="X84" s="14">
        <f t="shared" si="31"/>
        <v>0</v>
      </c>
      <c r="Y84" s="14">
        <f t="shared" si="31"/>
        <v>0</v>
      </c>
      <c r="Z84" s="14">
        <f t="shared" si="31"/>
        <v>0</v>
      </c>
      <c r="AA84" s="14">
        <f t="shared" si="31"/>
        <v>0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7</v>
      </c>
      <c r="C85" s="5">
        <f t="shared" si="27"/>
        <v>0</v>
      </c>
      <c r="D85" s="5">
        <f t="shared" si="27"/>
        <v>0</v>
      </c>
      <c r="E85" s="6" t="str">
        <f t="shared" si="23"/>
        <v>Se7</v>
      </c>
      <c r="F85" s="14">
        <f t="shared" ref="F85:AL85" si="32">F9*$C$78</f>
        <v>2.262666666666667E-17</v>
      </c>
      <c r="G85" s="14">
        <f t="shared" si="32"/>
        <v>1.5408333333333334E-12</v>
      </c>
      <c r="H85" s="14">
        <f t="shared" si="32"/>
        <v>1.2785000000000001E-9</v>
      </c>
      <c r="I85" s="14">
        <f t="shared" si="32"/>
        <v>1.0518333333333334E-7</v>
      </c>
      <c r="J85" s="14">
        <f t="shared" si="32"/>
        <v>2.4997500000000001E-6</v>
      </c>
      <c r="K85" s="14">
        <f t="shared" si="32"/>
        <v>3.8579166666666672E-5</v>
      </c>
      <c r="L85" s="14">
        <f t="shared" si="32"/>
        <v>4.2695833333333339E-4</v>
      </c>
      <c r="M85" s="14">
        <f t="shared" si="32"/>
        <v>2.2617499999999999E-3</v>
      </c>
      <c r="N85" s="14">
        <f t="shared" si="32"/>
        <v>6.2935833333333333E-3</v>
      </c>
      <c r="O85" s="14">
        <f t="shared" si="32"/>
        <v>8.2410833333333346E-3</v>
      </c>
      <c r="P85" s="14">
        <f t="shared" si="32"/>
        <v>3.973666666666667E-3</v>
      </c>
      <c r="Q85" s="14">
        <f t="shared" si="32"/>
        <v>0</v>
      </c>
      <c r="R85" s="14">
        <f t="shared" si="32"/>
        <v>0</v>
      </c>
      <c r="S85" s="14">
        <f t="shared" si="32"/>
        <v>0</v>
      </c>
      <c r="T85" s="14">
        <f t="shared" si="32"/>
        <v>0</v>
      </c>
      <c r="U85" s="14">
        <f t="shared" si="32"/>
        <v>0</v>
      </c>
      <c r="V85" s="14">
        <f t="shared" si="32"/>
        <v>0</v>
      </c>
      <c r="W85" s="14">
        <f t="shared" si="32"/>
        <v>0</v>
      </c>
      <c r="X85" s="14">
        <f t="shared" si="32"/>
        <v>0</v>
      </c>
      <c r="Y85" s="14">
        <f t="shared" si="32"/>
        <v>0</v>
      </c>
      <c r="Z85" s="14">
        <f t="shared" si="32"/>
        <v>0</v>
      </c>
      <c r="AA85" s="14">
        <f t="shared" si="32"/>
        <v>0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8</v>
      </c>
      <c r="C86" s="5">
        <f t="shared" si="27"/>
        <v>0</v>
      </c>
      <c r="D86" s="5">
        <f t="shared" si="27"/>
        <v>0</v>
      </c>
      <c r="E86" s="6" t="str">
        <f t="shared" si="23"/>
        <v>Se8</v>
      </c>
      <c r="F86" s="14">
        <f t="shared" ref="F86:AL86" si="33">F10*$C$78</f>
        <v>4.0617500000000003E-19</v>
      </c>
      <c r="G86" s="14">
        <f t="shared" si="33"/>
        <v>4.4635000000000004E-14</v>
      </c>
      <c r="H86" s="14">
        <f t="shared" si="33"/>
        <v>4.7314166666666671E-11</v>
      </c>
      <c r="I86" s="14">
        <f t="shared" si="33"/>
        <v>4.4465000000000003E-9</v>
      </c>
      <c r="J86" s="14">
        <f t="shared" si="33"/>
        <v>1.1495833333333335E-7</v>
      </c>
      <c r="K86" s="14">
        <f t="shared" si="33"/>
        <v>1.9518333333333335E-6</v>
      </c>
      <c r="L86" s="14">
        <f t="shared" si="33"/>
        <v>2.401666666666667E-5</v>
      </c>
      <c r="M86" s="14">
        <f t="shared" si="33"/>
        <v>1.3416666666666666E-4</v>
      </c>
      <c r="N86" s="14">
        <f t="shared" si="33"/>
        <v>3.7069166666666667E-4</v>
      </c>
      <c r="O86" s="14">
        <f t="shared" si="33"/>
        <v>4.4081666666666671E-4</v>
      </c>
      <c r="P86" s="14">
        <f t="shared" si="33"/>
        <v>1.7036666666666667E-4</v>
      </c>
      <c r="Q86" s="14">
        <f t="shared" si="33"/>
        <v>0</v>
      </c>
      <c r="R86" s="14">
        <f t="shared" si="33"/>
        <v>0</v>
      </c>
      <c r="S86" s="14">
        <f t="shared" si="33"/>
        <v>0</v>
      </c>
      <c r="T86" s="14">
        <f t="shared" si="33"/>
        <v>0</v>
      </c>
      <c r="U86" s="14">
        <f t="shared" si="33"/>
        <v>0</v>
      </c>
      <c r="V86" s="14">
        <f t="shared" si="33"/>
        <v>0</v>
      </c>
      <c r="W86" s="14">
        <f t="shared" si="33"/>
        <v>0</v>
      </c>
      <c r="X86" s="14">
        <f t="shared" si="33"/>
        <v>0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2</v>
      </c>
      <c r="C87" s="5">
        <f t="shared" si="27"/>
        <v>0</v>
      </c>
      <c r="D87" s="5">
        <f t="shared" si="27"/>
        <v>0</v>
      </c>
      <c r="E87" s="6" t="str">
        <f t="shared" si="23"/>
        <v>Se2</v>
      </c>
      <c r="F87" s="14">
        <f t="shared" ref="F87:AL87" si="34">F11*$C$78</f>
        <v>3.1680000000000002E-19</v>
      </c>
      <c r="G87" s="14">
        <f t="shared" si="34"/>
        <v>9.3183333333333339E-14</v>
      </c>
      <c r="H87" s="14">
        <f t="shared" si="34"/>
        <v>2.9373333333333332E-10</v>
      </c>
      <c r="I87" s="14">
        <f t="shared" si="34"/>
        <v>7.742750000000001E-8</v>
      </c>
      <c r="J87" s="14">
        <f t="shared" si="34"/>
        <v>4.7834166666666665E-6</v>
      </c>
      <c r="K87" s="14">
        <f t="shared" si="34"/>
        <v>1.3430833333333332E-4</v>
      </c>
      <c r="L87" s="14">
        <f t="shared" si="34"/>
        <v>2.0775833333333332E-3</v>
      </c>
      <c r="M87" s="14">
        <f t="shared" si="34"/>
        <v>1.7193333333333335E-2</v>
      </c>
      <c r="N87" s="14">
        <f t="shared" si="34"/>
        <v>9.0000000000000011E-2</v>
      </c>
      <c r="O87" s="14">
        <f t="shared" si="34"/>
        <v>0.31708333333333338</v>
      </c>
      <c r="P87" s="14">
        <f t="shared" si="34"/>
        <v>0.71638333333333337</v>
      </c>
      <c r="Q87" s="14">
        <f t="shared" si="34"/>
        <v>0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1</v>
      </c>
      <c r="C88" s="5">
        <f t="shared" si="27"/>
        <v>0</v>
      </c>
      <c r="D88" s="5">
        <f t="shared" si="27"/>
        <v>0</v>
      </c>
      <c r="E88" s="6" t="str">
        <f t="shared" si="23"/>
        <v>Se</v>
      </c>
      <c r="F88" s="14">
        <f t="shared" ref="F88:AL88" si="35">F12*$C$78</f>
        <v>0</v>
      </c>
      <c r="G88" s="14">
        <f t="shared" si="35"/>
        <v>2.3038333333333335E-29</v>
      </c>
      <c r="H88" s="14">
        <f t="shared" si="35"/>
        <v>2.842166666666667E-23</v>
      </c>
      <c r="I88" s="14">
        <f t="shared" si="35"/>
        <v>5.2775833333333342E-19</v>
      </c>
      <c r="J88" s="14">
        <f t="shared" si="35"/>
        <v>7.8714166666666667E-16</v>
      </c>
      <c r="K88" s="14">
        <f t="shared" si="35"/>
        <v>2.5284166666666673E-13</v>
      </c>
      <c r="L88" s="14">
        <f t="shared" si="35"/>
        <v>2.660166666666667E-11</v>
      </c>
      <c r="M88" s="14">
        <f t="shared" si="35"/>
        <v>1.0933333333333335E-9</v>
      </c>
      <c r="N88" s="14">
        <f t="shared" si="35"/>
        <v>2.2955000000000003E-8</v>
      </c>
      <c r="O88" s="14">
        <f t="shared" si="35"/>
        <v>2.8757500000000006E-7</v>
      </c>
      <c r="P88" s="14">
        <f t="shared" si="35"/>
        <v>2.221166666666667E-6</v>
      </c>
      <c r="Q88" s="14">
        <f t="shared" si="35"/>
        <v>0</v>
      </c>
      <c r="R88" s="14">
        <f t="shared" si="35"/>
        <v>0</v>
      </c>
      <c r="S88" s="14">
        <f t="shared" si="35"/>
        <v>0</v>
      </c>
      <c r="T88" s="14">
        <f t="shared" si="35"/>
        <v>0</v>
      </c>
      <c r="U88" s="14">
        <f t="shared" si="35"/>
        <v>0</v>
      </c>
      <c r="V88" s="14">
        <f t="shared" si="35"/>
        <v>0</v>
      </c>
      <c r="W88" s="14">
        <f t="shared" si="35"/>
        <v>0</v>
      </c>
      <c r="X88" s="14">
        <f t="shared" si="35"/>
        <v>0</v>
      </c>
      <c r="Y88" s="14">
        <f t="shared" si="35"/>
        <v>0</v>
      </c>
      <c r="Z88" s="14">
        <f t="shared" si="35"/>
        <v>0</v>
      </c>
      <c r="AA88" s="14">
        <f t="shared" si="35"/>
        <v>0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1</v>
      </c>
      <c r="C89" s="5">
        <f t="shared" si="27"/>
        <v>0</v>
      </c>
      <c r="D89" s="5">
        <f t="shared" si="27"/>
        <v>2</v>
      </c>
      <c r="E89" s="6" t="str">
        <f t="shared" si="23"/>
        <v>Ga2Se</v>
      </c>
      <c r="F89" s="14">
        <f t="shared" ref="F89:AL89" si="36">F13*$C$78</f>
        <v>1.5005000000000001E-9</v>
      </c>
      <c r="G89" s="14">
        <f t="shared" si="36"/>
        <v>2.6555833333333333E-6</v>
      </c>
      <c r="H89" s="14">
        <f t="shared" si="36"/>
        <v>2.9347500000000002E-4</v>
      </c>
      <c r="I89" s="14">
        <f t="shared" si="36"/>
        <v>7.197083333333334E-3</v>
      </c>
      <c r="J89" s="14">
        <f t="shared" si="36"/>
        <v>7.014833333333334E-2</v>
      </c>
      <c r="K89" s="14">
        <f t="shared" si="36"/>
        <v>0.32375833333333331</v>
      </c>
      <c r="L89" s="14">
        <f t="shared" si="36"/>
        <v>0.6382500000000001</v>
      </c>
      <c r="M89" s="14">
        <f t="shared" si="36"/>
        <v>0.80446666666666666</v>
      </c>
      <c r="N89" s="14">
        <f t="shared" si="36"/>
        <v>0.89200000000000002</v>
      </c>
      <c r="O89" s="14">
        <f t="shared" si="36"/>
        <v>0.94466666666666677</v>
      </c>
      <c r="P89" s="14">
        <f t="shared" si="36"/>
        <v>0.97066666666666679</v>
      </c>
      <c r="Q89" s="14">
        <f t="shared" si="36"/>
        <v>0</v>
      </c>
      <c r="R89" s="14">
        <f t="shared" si="36"/>
        <v>0</v>
      </c>
      <c r="S89" s="14">
        <f t="shared" si="36"/>
        <v>0</v>
      </c>
      <c r="T89" s="14">
        <f t="shared" si="36"/>
        <v>0</v>
      </c>
      <c r="U89" s="14">
        <f t="shared" si="36"/>
        <v>0</v>
      </c>
      <c r="V89" s="14">
        <f t="shared" si="36"/>
        <v>0</v>
      </c>
      <c r="W89" s="14">
        <f t="shared" si="36"/>
        <v>0</v>
      </c>
      <c r="X89" s="14">
        <f t="shared" si="36"/>
        <v>0</v>
      </c>
      <c r="Y89" s="14">
        <f t="shared" si="36"/>
        <v>0</v>
      </c>
      <c r="Z89" s="14">
        <f t="shared" si="36"/>
        <v>0</v>
      </c>
      <c r="AA89" s="14">
        <f t="shared" si="36"/>
        <v>0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1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 t="str">
        <f t="shared" si="23"/>
        <v>Ar</v>
      </c>
      <c r="F90" s="14">
        <f t="shared" ref="F90:AL90" si="37">F14*$C$78</f>
        <v>1.666666666666667</v>
      </c>
      <c r="G90" s="14">
        <f t="shared" si="37"/>
        <v>1.666666666666667</v>
      </c>
      <c r="H90" s="14">
        <f t="shared" si="37"/>
        <v>1.666666666666667</v>
      </c>
      <c r="I90" s="14">
        <f t="shared" si="37"/>
        <v>1.666666666666667</v>
      </c>
      <c r="J90" s="14">
        <f t="shared" si="37"/>
        <v>1.666666666666667</v>
      </c>
      <c r="K90" s="14">
        <f t="shared" si="37"/>
        <v>1.666666666666667</v>
      </c>
      <c r="L90" s="14">
        <f t="shared" si="37"/>
        <v>1.666666666666667</v>
      </c>
      <c r="M90" s="14">
        <f t="shared" si="37"/>
        <v>1.666666666666667</v>
      </c>
      <c r="N90" s="14">
        <f t="shared" si="37"/>
        <v>1.666666666666667</v>
      </c>
      <c r="O90" s="14">
        <f t="shared" si="37"/>
        <v>1.666666666666667</v>
      </c>
      <c r="P90" s="14">
        <f t="shared" si="37"/>
        <v>1.666666666666667</v>
      </c>
      <c r="Q90" s="14">
        <f t="shared" si="37"/>
        <v>0</v>
      </c>
      <c r="R90" s="14">
        <f t="shared" si="37"/>
        <v>0</v>
      </c>
      <c r="S90" s="14">
        <f t="shared" si="37"/>
        <v>0</v>
      </c>
      <c r="T90" s="14">
        <f t="shared" si="37"/>
        <v>0</v>
      </c>
      <c r="U90" s="14">
        <f t="shared" si="37"/>
        <v>0</v>
      </c>
      <c r="V90" s="14">
        <f t="shared" si="37"/>
        <v>0</v>
      </c>
      <c r="W90" s="14">
        <f t="shared" si="37"/>
        <v>0</v>
      </c>
      <c r="X90" s="14">
        <f t="shared" si="37"/>
        <v>0</v>
      </c>
      <c r="Y90" s="14">
        <f t="shared" si="37"/>
        <v>0</v>
      </c>
      <c r="Z90" s="14">
        <f t="shared" si="37"/>
        <v>0</v>
      </c>
      <c r="AA90" s="14">
        <f t="shared" si="37"/>
        <v>0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1</v>
      </c>
      <c r="E91" s="6" t="str">
        <f t="shared" si="23"/>
        <v>(1)Ga[1]</v>
      </c>
      <c r="F91" s="14">
        <f t="shared" ref="F91:AL91" si="38">F15*$C$78</f>
        <v>2</v>
      </c>
      <c r="G91" s="14">
        <f t="shared" si="38"/>
        <v>2</v>
      </c>
      <c r="H91" s="14">
        <f t="shared" si="38"/>
        <v>1.9994166666666668</v>
      </c>
      <c r="I91" s="14">
        <f t="shared" si="38"/>
        <v>1.9855833333333335</v>
      </c>
      <c r="J91" s="14">
        <f t="shared" si="38"/>
        <v>1.8596666666666668</v>
      </c>
      <c r="K91" s="14">
        <f t="shared" si="38"/>
        <v>1.3525</v>
      </c>
      <c r="L91" s="14">
        <f t="shared" si="38"/>
        <v>0.72350833333333331</v>
      </c>
      <c r="M91" s="14">
        <f t="shared" si="38"/>
        <v>0.3910583333333334</v>
      </c>
      <c r="N91" s="14">
        <f t="shared" si="38"/>
        <v>0.21594166666666667</v>
      </c>
      <c r="O91" s="14">
        <f t="shared" si="38"/>
        <v>0.11065000000000001</v>
      </c>
      <c r="P91" s="14">
        <f t="shared" si="38"/>
        <v>5.8708333333333335E-2</v>
      </c>
      <c r="Q91" s="14">
        <f t="shared" si="38"/>
        <v>0</v>
      </c>
      <c r="R91" s="14">
        <f t="shared" si="38"/>
        <v>0</v>
      </c>
      <c r="S91" s="14">
        <f t="shared" si="38"/>
        <v>0</v>
      </c>
      <c r="T91" s="14">
        <f t="shared" si="38"/>
        <v>0</v>
      </c>
      <c r="U91" s="14">
        <f t="shared" si="38"/>
        <v>0</v>
      </c>
      <c r="V91" s="14">
        <f t="shared" si="38"/>
        <v>0</v>
      </c>
      <c r="W91" s="14">
        <f t="shared" si="38"/>
        <v>0</v>
      </c>
      <c r="X91" s="14">
        <f t="shared" si="38"/>
        <v>0</v>
      </c>
      <c r="Y91" s="14">
        <f t="shared" si="38"/>
        <v>0</v>
      </c>
      <c r="Z91" s="14">
        <f t="shared" si="38"/>
        <v>0</v>
      </c>
      <c r="AA91" s="14">
        <f t="shared" si="38"/>
        <v>0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1</v>
      </c>
      <c r="D92" s="5">
        <f t="shared" si="27"/>
        <v>0</v>
      </c>
      <c r="E92" s="6" t="str">
        <f t="shared" si="23"/>
        <v>(1)Ge[1]</v>
      </c>
      <c r="F92" s="14">
        <f t="shared" ref="F92:AL92" si="39">F16*$C$78</f>
        <v>0.66666666666666674</v>
      </c>
      <c r="G92" s="14">
        <f t="shared" si="39"/>
        <v>0.66666666666666674</v>
      </c>
      <c r="H92" s="14">
        <f t="shared" si="39"/>
        <v>0.66666666666666674</v>
      </c>
      <c r="I92" s="14">
        <f t="shared" si="39"/>
        <v>0.66666666666666674</v>
      </c>
      <c r="J92" s="14">
        <f t="shared" si="39"/>
        <v>0.66666666666666674</v>
      </c>
      <c r="K92" s="14">
        <f t="shared" si="39"/>
        <v>0.66666666666666674</v>
      </c>
      <c r="L92" s="14">
        <f t="shared" si="39"/>
        <v>0.66666666666666674</v>
      </c>
      <c r="M92" s="14">
        <f t="shared" si="39"/>
        <v>0.66666666666666674</v>
      </c>
      <c r="N92" s="14">
        <f t="shared" si="39"/>
        <v>0.66666666666666674</v>
      </c>
      <c r="O92" s="14">
        <f t="shared" si="39"/>
        <v>0.66666666666666674</v>
      </c>
      <c r="P92" s="14">
        <f t="shared" si="39"/>
        <v>0.66666666666666674</v>
      </c>
      <c r="Q92" s="14">
        <f t="shared" si="39"/>
        <v>0</v>
      </c>
      <c r="R92" s="14">
        <f t="shared" si="39"/>
        <v>0</v>
      </c>
      <c r="S92" s="14">
        <f t="shared" si="39"/>
        <v>0</v>
      </c>
      <c r="T92" s="14">
        <f t="shared" si="39"/>
        <v>0</v>
      </c>
      <c r="U92" s="14">
        <f t="shared" si="39"/>
        <v>0</v>
      </c>
      <c r="V92" s="14">
        <f t="shared" si="39"/>
        <v>0</v>
      </c>
      <c r="W92" s="14">
        <f t="shared" si="39"/>
        <v>0</v>
      </c>
      <c r="X92" s="14">
        <f t="shared" si="39"/>
        <v>0</v>
      </c>
      <c r="Y92" s="14">
        <f t="shared" si="39"/>
        <v>0</v>
      </c>
      <c r="Z92" s="14">
        <f t="shared" si="39"/>
        <v>0</v>
      </c>
      <c r="AA92" s="14">
        <f t="shared" si="39"/>
        <v>0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0</v>
      </c>
      <c r="B93" s="5">
        <f t="shared" si="27"/>
        <v>1</v>
      </c>
      <c r="C93" s="5">
        <f t="shared" si="27"/>
        <v>0</v>
      </c>
      <c r="D93" s="5">
        <f t="shared" si="27"/>
        <v>0</v>
      </c>
      <c r="E93" s="6" t="str">
        <f t="shared" si="23"/>
        <v>(1)Se[1]</v>
      </c>
      <c r="F93" s="14">
        <f t="shared" ref="F93:AL93" si="40">F17*$C$78</f>
        <v>4</v>
      </c>
      <c r="G93" s="14">
        <f t="shared" si="40"/>
        <v>4</v>
      </c>
      <c r="H93" s="14">
        <f t="shared" si="40"/>
        <v>3.9996666666666671</v>
      </c>
      <c r="I93" s="14">
        <f t="shared" si="40"/>
        <v>3.9928333333333339</v>
      </c>
      <c r="J93" s="14">
        <f t="shared" si="40"/>
        <v>3.9297500000000003</v>
      </c>
      <c r="K93" s="14">
        <f t="shared" si="40"/>
        <v>3.6744166666666667</v>
      </c>
      <c r="L93" s="14">
        <f t="shared" si="40"/>
        <v>3.338916666666667</v>
      </c>
      <c r="M93" s="14">
        <f t="shared" si="40"/>
        <v>3.0469166666666672</v>
      </c>
      <c r="N93" s="14">
        <f t="shared" si="40"/>
        <v>2.5299166666666673</v>
      </c>
      <c r="O93" s="14">
        <f t="shared" si="40"/>
        <v>1.6625833333333333</v>
      </c>
      <c r="P93" s="14">
        <f t="shared" si="40"/>
        <v>0.90616666666666679</v>
      </c>
      <c r="Q93" s="14">
        <f t="shared" si="40"/>
        <v>0</v>
      </c>
      <c r="R93" s="14">
        <f t="shared" si="40"/>
        <v>0</v>
      </c>
      <c r="S93" s="14">
        <f t="shared" si="40"/>
        <v>0</v>
      </c>
      <c r="T93" s="14">
        <f t="shared" si="40"/>
        <v>0</v>
      </c>
      <c r="U93" s="14">
        <f t="shared" si="40"/>
        <v>0</v>
      </c>
      <c r="V93" s="14">
        <f t="shared" si="40"/>
        <v>0</v>
      </c>
      <c r="W93" s="14">
        <f t="shared" si="40"/>
        <v>0</v>
      </c>
      <c r="X93" s="14">
        <f t="shared" si="40"/>
        <v>0</v>
      </c>
      <c r="Y93" s="14">
        <f t="shared" si="40"/>
        <v>0</v>
      </c>
      <c r="Z93" s="14">
        <f t="shared" si="40"/>
        <v>0</v>
      </c>
      <c r="AA93" s="14">
        <f t="shared" si="40"/>
        <v>0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1</v>
      </c>
      <c r="B94" s="5">
        <f t="shared" si="27"/>
        <v>0</v>
      </c>
      <c r="C94" s="5">
        <f t="shared" si="27"/>
        <v>0</v>
      </c>
      <c r="D94" s="5">
        <f t="shared" si="27"/>
        <v>0</v>
      </c>
      <c r="E94" s="6" t="str">
        <f t="shared" si="23"/>
        <v>H (Ar)</v>
      </c>
      <c r="F94" s="14">
        <f t="shared" ref="F94:AL94" si="41">F18*$C$78</f>
        <v>-155.16666666666669</v>
      </c>
      <c r="G94" s="14">
        <f t="shared" si="41"/>
        <v>-155.33333333333334</v>
      </c>
      <c r="H94" s="14">
        <f t="shared" si="41"/>
        <v>-156.16666666666666</v>
      </c>
      <c r="I94" s="14">
        <f t="shared" si="41"/>
        <v>-157.33333333333334</v>
      </c>
      <c r="J94" s="14">
        <f t="shared" si="41"/>
        <v>-158.91666666666669</v>
      </c>
      <c r="K94" s="14">
        <f t="shared" si="41"/>
        <v>-161.33333333333334</v>
      </c>
      <c r="L94" s="14">
        <f t="shared" si="41"/>
        <v>-163.83333333333334</v>
      </c>
      <c r="M94" s="14">
        <f t="shared" si="41"/>
        <v>-165.66666666666666</v>
      </c>
      <c r="N94" s="14">
        <f t="shared" si="41"/>
        <v>-167.58333333333334</v>
      </c>
      <c r="O94" s="14">
        <f t="shared" si="41"/>
        <v>-169.66666666666669</v>
      </c>
      <c r="P94" s="14">
        <f t="shared" si="41"/>
        <v>-171.83333333333334</v>
      </c>
      <c r="Q94" s="14">
        <f t="shared" si="41"/>
        <v>0</v>
      </c>
      <c r="R94" s="14">
        <f t="shared" si="41"/>
        <v>0</v>
      </c>
      <c r="S94" s="14">
        <f t="shared" si="41"/>
        <v>0</v>
      </c>
      <c r="T94" s="14">
        <f t="shared" si="41"/>
        <v>0</v>
      </c>
      <c r="U94" s="14">
        <f t="shared" si="41"/>
        <v>0</v>
      </c>
      <c r="V94" s="14">
        <f t="shared" si="41"/>
        <v>0</v>
      </c>
      <c r="W94" s="14">
        <f t="shared" si="41"/>
        <v>0</v>
      </c>
      <c r="X94" s="14">
        <f t="shared" si="41"/>
        <v>0</v>
      </c>
      <c r="Y94" s="14">
        <f t="shared" si="41"/>
        <v>0</v>
      </c>
      <c r="Z94" s="14">
        <f t="shared" si="41"/>
        <v>0</v>
      </c>
      <c r="AA94" s="14">
        <f t="shared" si="41"/>
        <v>0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1</v>
      </c>
      <c r="E95" s="6" t="str">
        <f t="shared" si="23"/>
        <v>H (Ga)</v>
      </c>
      <c r="F95" s="14">
        <f t="shared" ref="F95:AL95" si="42">F19*$C$78</f>
        <v>-48.925000000000004</v>
      </c>
      <c r="G95" s="14">
        <f t="shared" si="42"/>
        <v>-53.416666666666671</v>
      </c>
      <c r="H95" s="14">
        <f t="shared" si="42"/>
        <v>-57.375</v>
      </c>
      <c r="I95" s="14">
        <f t="shared" si="42"/>
        <v>-60.908333333333339</v>
      </c>
      <c r="J95" s="14">
        <f t="shared" si="42"/>
        <v>-64.325000000000003</v>
      </c>
      <c r="K95" s="14">
        <f t="shared" si="42"/>
        <v>-68.733333333333334</v>
      </c>
      <c r="L95" s="14">
        <f t="shared" si="42"/>
        <v>-74.958333333333329</v>
      </c>
      <c r="M95" s="14">
        <f t="shared" si="42"/>
        <v>-81.225000000000009</v>
      </c>
      <c r="N95" s="14">
        <f t="shared" si="42"/>
        <v>-86.750000000000014</v>
      </c>
      <c r="O95" s="14">
        <f t="shared" si="42"/>
        <v>-91.500000000000014</v>
      </c>
      <c r="P95" s="14">
        <f t="shared" si="42"/>
        <v>-95.25</v>
      </c>
      <c r="Q95" s="14">
        <f t="shared" si="42"/>
        <v>0</v>
      </c>
      <c r="R95" s="14">
        <f t="shared" si="42"/>
        <v>0</v>
      </c>
      <c r="S95" s="14">
        <f t="shared" si="42"/>
        <v>0</v>
      </c>
      <c r="T95" s="14">
        <f t="shared" si="42"/>
        <v>0</v>
      </c>
      <c r="U95" s="14">
        <f t="shared" si="42"/>
        <v>0</v>
      </c>
      <c r="V95" s="14">
        <f t="shared" si="42"/>
        <v>0</v>
      </c>
      <c r="W95" s="14">
        <f t="shared" si="42"/>
        <v>0</v>
      </c>
      <c r="X95" s="14">
        <f t="shared" si="42"/>
        <v>0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1</v>
      </c>
      <c r="D96" s="5">
        <f t="shared" si="27"/>
        <v>0</v>
      </c>
      <c r="E96" s="6" t="str">
        <f t="shared" si="23"/>
        <v>H (Ge)</v>
      </c>
      <c r="F96" s="14">
        <f t="shared" ref="F96:AL96" si="43">F20*$C$78</f>
        <v>52.158333333333339</v>
      </c>
      <c r="G96" s="14">
        <f t="shared" si="43"/>
        <v>24.608333333333334</v>
      </c>
      <c r="H96" s="14">
        <f t="shared" si="43"/>
        <v>5.6075000000000008</v>
      </c>
      <c r="I96" s="14">
        <f t="shared" si="43"/>
        <v>-8.4583333333333339</v>
      </c>
      <c r="J96" s="14">
        <f t="shared" si="43"/>
        <v>-19.208333333333336</v>
      </c>
      <c r="K96" s="14">
        <f t="shared" si="43"/>
        <v>-27.041666666666668</v>
      </c>
      <c r="L96" s="14">
        <f t="shared" si="43"/>
        <v>-32.891666666666673</v>
      </c>
      <c r="M96" s="14">
        <f t="shared" si="43"/>
        <v>-37.991666666666674</v>
      </c>
      <c r="N96" s="14">
        <f t="shared" si="43"/>
        <v>-41.883333333333333</v>
      </c>
      <c r="O96" s="14">
        <f t="shared" si="43"/>
        <v>-43.85</v>
      </c>
      <c r="P96" s="14">
        <f t="shared" si="43"/>
        <v>-44.725000000000001</v>
      </c>
      <c r="Q96" s="14">
        <f t="shared" si="43"/>
        <v>0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1</v>
      </c>
      <c r="C97" s="5">
        <f t="shared" si="44"/>
        <v>0</v>
      </c>
      <c r="D97" s="5">
        <f t="shared" si="44"/>
        <v>0</v>
      </c>
      <c r="E97" s="6" t="str">
        <f t="shared" si="23"/>
        <v>H (Se)</v>
      </c>
      <c r="F97" s="14">
        <f t="shared" ref="F97:AL97" si="45">F21*$C$78</f>
        <v>-39.166666666666671</v>
      </c>
      <c r="G97" s="14">
        <f t="shared" si="45"/>
        <v>-42.416666666666671</v>
      </c>
      <c r="H97" s="14">
        <f t="shared" si="45"/>
        <v>-45.983333333333334</v>
      </c>
      <c r="I97" s="14">
        <f t="shared" si="45"/>
        <v>-49.458333333333336</v>
      </c>
      <c r="J97" s="14">
        <f t="shared" si="45"/>
        <v>-52.616666666666674</v>
      </c>
      <c r="K97" s="14">
        <f t="shared" si="45"/>
        <v>-55.175000000000004</v>
      </c>
      <c r="L97" s="14">
        <f t="shared" si="45"/>
        <v>-57.241666666666667</v>
      </c>
      <c r="M97" s="14">
        <f t="shared" si="45"/>
        <v>-59.433333333333337</v>
      </c>
      <c r="N97" s="14">
        <f t="shared" si="45"/>
        <v>-61.88333333333334</v>
      </c>
      <c r="O97" s="14">
        <f t="shared" si="45"/>
        <v>-64.858333333333334</v>
      </c>
      <c r="P97" s="14">
        <f t="shared" si="45"/>
        <v>-68.708333333333329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23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142" t="s">
        <v>10</v>
      </c>
      <c r="B113" s="143"/>
      <c r="C113" s="23" t="s">
        <v>11</v>
      </c>
      <c r="D113" s="15" t="s">
        <v>12</v>
      </c>
      <c r="E113" s="15"/>
      <c r="F113" s="4">
        <f t="shared" ref="F113:AL113" si="57">F3</f>
        <v>273.10000000000002</v>
      </c>
      <c r="G113" s="4">
        <f t="shared" si="57"/>
        <v>345.8</v>
      </c>
      <c r="H113" s="4">
        <f t="shared" si="57"/>
        <v>418.5</v>
      </c>
      <c r="I113" s="4">
        <f t="shared" si="57"/>
        <v>491.2</v>
      </c>
      <c r="J113" s="4">
        <f t="shared" si="57"/>
        <v>563.9</v>
      </c>
      <c r="K113" s="4">
        <f t="shared" si="57"/>
        <v>636.6</v>
      </c>
      <c r="L113" s="4">
        <f t="shared" si="57"/>
        <v>709.3</v>
      </c>
      <c r="M113" s="4">
        <f t="shared" si="57"/>
        <v>781.9</v>
      </c>
      <c r="N113" s="4">
        <f t="shared" si="57"/>
        <v>854.6</v>
      </c>
      <c r="O113" s="4">
        <f t="shared" si="57"/>
        <v>927.3</v>
      </c>
      <c r="P113" s="4">
        <f t="shared" si="57"/>
        <v>1000</v>
      </c>
      <c r="Q113" s="4">
        <f t="shared" si="57"/>
        <v>0</v>
      </c>
      <c r="R113" s="4">
        <f t="shared" si="57"/>
        <v>0</v>
      </c>
      <c r="S113" s="4">
        <f t="shared" si="57"/>
        <v>0</v>
      </c>
      <c r="T113" s="4">
        <f t="shared" si="57"/>
        <v>0</v>
      </c>
      <c r="U113" s="4">
        <f t="shared" si="57"/>
        <v>0</v>
      </c>
      <c r="V113" s="4">
        <f t="shared" si="57"/>
        <v>0</v>
      </c>
      <c r="W113" s="4">
        <f t="shared" si="57"/>
        <v>0</v>
      </c>
      <c r="X113" s="4">
        <f t="shared" si="57"/>
        <v>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MIN(MIN(F114:AL116),MIN(F41:AL41))</f>
        <v>-494.0343372456166</v>
      </c>
      <c r="C114" s="24">
        <f>COUNTA(E114:E121)+1</f>
        <v>4</v>
      </c>
      <c r="E114" s="17" t="s">
        <v>13</v>
      </c>
      <c r="F114" s="52">
        <f ca="1">F$113*$B$2*SUMPRODUCT(F$91:F$93,F$57:F$59)/1000</f>
        <v>-59.876580188200009</v>
      </c>
      <c r="G114" s="52">
        <f t="shared" ref="G114:AL114" ca="1" si="58">G$113*$B$2*SUMPRODUCT(G$91:G$93,G$57:G$59)/1000</f>
        <v>-89.737392999800008</v>
      </c>
      <c r="H114" s="52">
        <f t="shared" ca="1" si="58"/>
        <v>-123.13514537491896</v>
      </c>
      <c r="I114" s="52">
        <f t="shared" ca="1" si="58"/>
        <v>-158.81673653344666</v>
      </c>
      <c r="J114" s="52">
        <f t="shared" ca="1" si="58"/>
        <v>-190.84201348430571</v>
      </c>
      <c r="K114" s="52">
        <f t="shared" ca="1" si="58"/>
        <v>-199.26632360269048</v>
      </c>
      <c r="L114" s="52">
        <f t="shared" ca="1" si="58"/>
        <v>-189.15743287018171</v>
      </c>
      <c r="M114" s="52">
        <f t="shared" ca="1" si="58"/>
        <v>-185.81198127592629</v>
      </c>
      <c r="N114" s="52">
        <f t="shared" ca="1" si="58"/>
        <v>-173.27491239534285</v>
      </c>
      <c r="O114" s="52">
        <f t="shared" ca="1" si="58"/>
        <v>-136.18099918470756</v>
      </c>
      <c r="P114" s="52">
        <f t="shared" ca="1" si="58"/>
        <v>-97.449102974375009</v>
      </c>
      <c r="Q114" s="52">
        <f t="shared" ca="1" si="58"/>
        <v>0</v>
      </c>
      <c r="R114" s="52">
        <f t="shared" ca="1" si="58"/>
        <v>0</v>
      </c>
      <c r="S114" s="52">
        <f t="shared" ca="1" si="58"/>
        <v>0</v>
      </c>
      <c r="T114" s="52">
        <f t="shared" ca="1" si="58"/>
        <v>0</v>
      </c>
      <c r="U114" s="52">
        <f t="shared" ca="1" si="58"/>
        <v>0</v>
      </c>
      <c r="V114" s="52">
        <f t="shared" ca="1" si="58"/>
        <v>0</v>
      </c>
      <c r="W114" s="52">
        <f t="shared" ca="1" si="58"/>
        <v>0</v>
      </c>
      <c r="X114" s="52">
        <f t="shared" ca="1" si="58"/>
        <v>0</v>
      </c>
      <c r="Y114" s="52">
        <f t="shared" ca="1" si="58"/>
        <v>0</v>
      </c>
      <c r="Z114" s="52">
        <f t="shared" ca="1" si="58"/>
        <v>0</v>
      </c>
      <c r="AA114" s="52">
        <f t="shared" ca="1" si="58"/>
        <v>0</v>
      </c>
      <c r="AB114" s="52">
        <f t="shared" ca="1" si="58"/>
        <v>0</v>
      </c>
      <c r="AC114" s="52">
        <f t="shared" ca="1" si="58"/>
        <v>0</v>
      </c>
      <c r="AD114" s="52">
        <f t="shared" ca="1" si="58"/>
        <v>0</v>
      </c>
      <c r="AE114" s="52">
        <f t="shared" ca="1" si="58"/>
        <v>0</v>
      </c>
      <c r="AF114" s="52">
        <f t="shared" ca="1" si="58"/>
        <v>0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MAX(MAX(F114:AL116),MAX(F41:AL41))</f>
        <v>0</v>
      </c>
      <c r="C115" s="25">
        <f xml:space="preserve"> COUNTIF(F113:AL113,"&lt;&gt;"&amp;0)</f>
        <v>11</v>
      </c>
      <c r="E115" s="17" t="s">
        <v>14</v>
      </c>
      <c r="F115" s="14">
        <f ca="1">F$113*$B$2*SUMPRODUCT(F$81:F$89,F$47:F$55)/1000</f>
        <v>-5.6020712254966536E-8</v>
      </c>
      <c r="G115" s="14">
        <f t="shared" ref="G115:AL115" ca="1" si="59">G$113*$B$2*SUMPRODUCT(G$81:G$89,G$47:G$55)/1000</f>
        <v>-1.3674768290841376E-4</v>
      </c>
      <c r="H115" s="14">
        <f t="shared" ca="1" si="59"/>
        <v>-1.9697463300094687E-2</v>
      </c>
      <c r="I115" s="14">
        <f t="shared" ca="1" si="59"/>
        <v>-0.60421805216248547</v>
      </c>
      <c r="J115" s="14">
        <f t="shared" ca="1" si="59"/>
        <v>-7.1571429562131987</v>
      </c>
      <c r="K115" s="14">
        <f t="shared" ca="1" si="59"/>
        <v>-39.678823284138353</v>
      </c>
      <c r="L115" s="14">
        <f t="shared" ca="1" si="59"/>
        <v>-94.49729740249613</v>
      </c>
      <c r="M115" s="14">
        <f t="shared" ca="1" si="59"/>
        <v>-146.14326405481754</v>
      </c>
      <c r="N115" s="14">
        <f t="shared" ca="1" si="59"/>
        <v>-209.53160139537641</v>
      </c>
      <c r="O115" s="14">
        <f t="shared" ca="1" si="59"/>
        <v>-300.20643334106489</v>
      </c>
      <c r="P115" s="14">
        <f t="shared" ca="1" si="59"/>
        <v>-396.58523427124157</v>
      </c>
      <c r="Q115" s="14">
        <f t="shared" ca="1" si="59"/>
        <v>0</v>
      </c>
      <c r="R115" s="14">
        <f t="shared" ca="1" si="59"/>
        <v>0</v>
      </c>
      <c r="S115" s="14">
        <f t="shared" ca="1" si="59"/>
        <v>0</v>
      </c>
      <c r="T115" s="14">
        <f t="shared" ca="1" si="59"/>
        <v>0</v>
      </c>
      <c r="U115" s="14">
        <f t="shared" ca="1" si="59"/>
        <v>0</v>
      </c>
      <c r="V115" s="14">
        <f t="shared" ca="1" si="59"/>
        <v>0</v>
      </c>
      <c r="W115" s="14">
        <f t="shared" ca="1" si="59"/>
        <v>0</v>
      </c>
      <c r="X115" s="14">
        <f t="shared" ca="1" si="59"/>
        <v>0</v>
      </c>
      <c r="Y115" s="14">
        <f t="shared" ca="1" si="59"/>
        <v>0</v>
      </c>
      <c r="Z115" s="14">
        <f t="shared" ca="1" si="59"/>
        <v>0</v>
      </c>
      <c r="AA115" s="14">
        <f t="shared" ca="1" si="59"/>
        <v>0</v>
      </c>
      <c r="AB115" s="14">
        <f t="shared" ca="1" si="59"/>
        <v>0</v>
      </c>
      <c r="AC115" s="14">
        <f t="shared" ca="1" si="59"/>
        <v>0</v>
      </c>
      <c r="AD115" s="14">
        <f t="shared" ca="1" si="59"/>
        <v>0</v>
      </c>
      <c r="AE115" s="14">
        <f t="shared" ca="1" si="59"/>
        <v>0</v>
      </c>
      <c r="AF115" s="14">
        <f t="shared" ca="1" si="59"/>
        <v>0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16</v>
      </c>
      <c r="F116" s="14">
        <f ca="1">F115+F114</f>
        <v>-59.876580244220719</v>
      </c>
      <c r="G116" s="14">
        <f t="shared" ref="G116:AL116" ca="1" si="60">G115+G114</f>
        <v>-89.73752974748291</v>
      </c>
      <c r="H116" s="14">
        <f t="shared" ca="1" si="60"/>
        <v>-123.15484283821905</v>
      </c>
      <c r="I116" s="14">
        <f t="shared" ca="1" si="60"/>
        <v>-159.42095458560914</v>
      </c>
      <c r="J116" s="14">
        <f t="shared" ca="1" si="60"/>
        <v>-197.9991564405189</v>
      </c>
      <c r="K116" s="14">
        <f t="shared" ca="1" si="60"/>
        <v>-238.94514688682884</v>
      </c>
      <c r="L116" s="14">
        <f t="shared" ca="1" si="60"/>
        <v>-283.65473027267785</v>
      </c>
      <c r="M116" s="14">
        <f t="shared" ca="1" si="60"/>
        <v>-331.95524533074382</v>
      </c>
      <c r="N116" s="14">
        <f t="shared" ca="1" si="60"/>
        <v>-382.80651379071924</v>
      </c>
      <c r="O116" s="14">
        <f t="shared" ca="1" si="60"/>
        <v>-436.38743252577245</v>
      </c>
      <c r="P116" s="14">
        <f t="shared" ca="1" si="60"/>
        <v>-494.0343372456166</v>
      </c>
      <c r="Q116" s="14">
        <f t="shared" ca="1" si="60"/>
        <v>0</v>
      </c>
      <c r="R116" s="14">
        <f t="shared" ca="1" si="60"/>
        <v>0</v>
      </c>
      <c r="S116" s="14">
        <f t="shared" ca="1" si="60"/>
        <v>0</v>
      </c>
      <c r="T116" s="14">
        <f t="shared" ca="1" si="60"/>
        <v>0</v>
      </c>
      <c r="U116" s="14">
        <f t="shared" ca="1" si="60"/>
        <v>0</v>
      </c>
      <c r="V116" s="14">
        <f t="shared" ca="1" si="60"/>
        <v>0</v>
      </c>
      <c r="W116" s="14">
        <f t="shared" ca="1" si="60"/>
        <v>0</v>
      </c>
      <c r="X116" s="14">
        <f t="shared" ca="1" si="60"/>
        <v>0</v>
      </c>
      <c r="Y116" s="14">
        <f t="shared" ca="1" si="60"/>
        <v>0</v>
      </c>
      <c r="Z116" s="14">
        <f t="shared" ca="1" si="60"/>
        <v>0</v>
      </c>
      <c r="AA116" s="14">
        <f t="shared" ca="1" si="60"/>
        <v>0</v>
      </c>
      <c r="AB116" s="14">
        <f t="shared" ca="1" si="60"/>
        <v>0</v>
      </c>
      <c r="AC116" s="14">
        <f t="shared" ca="1" si="60"/>
        <v>0</v>
      </c>
      <c r="AD116" s="14">
        <f t="shared" ca="1" si="60"/>
        <v>0</v>
      </c>
      <c r="AE116" s="14">
        <f t="shared" ca="1" si="60"/>
        <v>0</v>
      </c>
      <c r="AF116" s="14">
        <f t="shared" ca="1" si="60"/>
        <v>0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</row>
    <row r="118" spans="1:38" ht="21" customHeight="1" outlineLevel="1" thickBot="1" x14ac:dyDescent="0.4"/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345.8</v>
      </c>
      <c r="H122" s="4">
        <f ca="1"/>
        <v>418.5</v>
      </c>
      <c r="I122" s="4">
        <f ca="1"/>
        <v>491.2</v>
      </c>
      <c r="J122" s="4">
        <f ca="1"/>
        <v>563.9</v>
      </c>
      <c r="K122" s="4">
        <f ca="1"/>
        <v>636.6</v>
      </c>
      <c r="L122" s="4">
        <f ca="1"/>
        <v>709.3</v>
      </c>
      <c r="M122" s="4">
        <f ca="1"/>
        <v>781.9</v>
      </c>
      <c r="N122" s="4">
        <f ca="1"/>
        <v>854.6</v>
      </c>
      <c r="O122" s="4">
        <f ca="1"/>
        <v>927.3</v>
      </c>
      <c r="P122" s="4">
        <f ca="1"/>
        <v>1000</v>
      </c>
      <c r="Q122" s="4" t="e">
        <f ca="1"/>
        <v>#N/A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65" t="e">
        <f ca="1"/>
        <v>#N/A</v>
      </c>
      <c r="V122" s="66" t="e">
        <f ca="1"/>
        <v>#N/A</v>
      </c>
      <c r="W122" s="68" t="e">
        <f ca="1"/>
        <v>#N/A</v>
      </c>
      <c r="X122" s="62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>
        <f ca="1"/>
        <v>-59.876580188200009</v>
      </c>
      <c r="G123" s="55">
        <f ca="1"/>
        <v>-89.737392999800008</v>
      </c>
      <c r="H123" s="55">
        <f ca="1"/>
        <v>-123.13514537491896</v>
      </c>
      <c r="I123" s="55">
        <f ca="1"/>
        <v>-158.81673653344666</v>
      </c>
      <c r="J123" s="55">
        <f ca="1"/>
        <v>-190.84201348430571</v>
      </c>
      <c r="K123" s="55">
        <f ca="1"/>
        <v>-199.26632360269048</v>
      </c>
      <c r="L123" s="55">
        <f ca="1"/>
        <v>-189.15743287018171</v>
      </c>
      <c r="M123" s="55">
        <f ca="1"/>
        <v>-185.81198127592629</v>
      </c>
      <c r="N123" s="55">
        <f ca="1"/>
        <v>-173.27491239534285</v>
      </c>
      <c r="O123" s="55">
        <f ca="1"/>
        <v>-136.18099918470756</v>
      </c>
      <c r="P123" s="55">
        <f ca="1"/>
        <v>-97.449102974375009</v>
      </c>
      <c r="Q123" s="55" t="e">
        <f ca="1"/>
        <v>#N/A</v>
      </c>
      <c r="R123" s="55" t="e">
        <f ca="1"/>
        <v>#N/A</v>
      </c>
      <c r="S123" s="55" t="e">
        <f ca="1"/>
        <v>#N/A</v>
      </c>
      <c r="T123" s="55" t="e">
        <f ca="1"/>
        <v>#N/A</v>
      </c>
      <c r="U123" s="55" t="e">
        <f ca="1"/>
        <v>#N/A</v>
      </c>
      <c r="V123" s="55" t="e">
        <f ca="1"/>
        <v>#N/A</v>
      </c>
      <c r="W123" s="55" t="e">
        <f ca="1"/>
        <v>#N/A</v>
      </c>
      <c r="X123" s="55" t="e">
        <f ca="1"/>
        <v>#N/A</v>
      </c>
      <c r="Y123" s="55" t="e">
        <f ca="1"/>
        <v>#N/A</v>
      </c>
      <c r="Z123" s="55" t="e">
        <f ca="1"/>
        <v>#N/A</v>
      </c>
      <c r="AA123" s="55" t="e">
        <f ca="1"/>
        <v>#N/A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-5.6020712254966536E-8</v>
      </c>
      <c r="G124" s="55">
        <f ca="1"/>
        <v>-1.3674768290841376E-4</v>
      </c>
      <c r="H124" s="55">
        <f ca="1"/>
        <v>-1.9697463300094687E-2</v>
      </c>
      <c r="I124" s="55">
        <f ca="1"/>
        <v>-0.60421805216248547</v>
      </c>
      <c r="J124" s="55">
        <f ca="1"/>
        <v>-7.1571429562131987</v>
      </c>
      <c r="K124" s="55">
        <f ca="1"/>
        <v>-39.678823284138353</v>
      </c>
      <c r="L124" s="55">
        <f ca="1"/>
        <v>-94.49729740249613</v>
      </c>
      <c r="M124" s="55">
        <f ca="1"/>
        <v>-146.14326405481754</v>
      </c>
      <c r="N124" s="55">
        <f ca="1"/>
        <v>-209.53160139537641</v>
      </c>
      <c r="O124" s="55">
        <f ca="1"/>
        <v>-300.20643334106489</v>
      </c>
      <c r="P124" s="55">
        <f ca="1"/>
        <v>-396.58523427124157</v>
      </c>
      <c r="Q124" s="55" t="e">
        <f ca="1"/>
        <v>#N/A</v>
      </c>
      <c r="R124" s="55" t="e">
        <f ca="1"/>
        <v>#N/A</v>
      </c>
      <c r="S124" s="55" t="e">
        <f ca="1"/>
        <v>#N/A</v>
      </c>
      <c r="T124" s="55" t="e">
        <f ca="1"/>
        <v>#N/A</v>
      </c>
      <c r="U124" s="55" t="e">
        <f ca="1"/>
        <v>#N/A</v>
      </c>
      <c r="V124" s="55" t="e">
        <f ca="1"/>
        <v>#N/A</v>
      </c>
      <c r="W124" s="55" t="e">
        <f ca="1"/>
        <v>#N/A</v>
      </c>
      <c r="X124" s="55" t="e">
        <f ca="1"/>
        <v>#N/A</v>
      </c>
      <c r="Y124" s="55" t="e">
        <f ca="1"/>
        <v>#N/A</v>
      </c>
      <c r="Z124" s="55" t="e">
        <f ca="1"/>
        <v>#N/A</v>
      </c>
      <c r="AA124" s="55" t="e">
        <f ca="1"/>
        <v>#N/A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Раствор + газовая без Ar: </v>
      </c>
      <c r="F125" s="55">
        <f ca="1"/>
        <v>-59.876580244220719</v>
      </c>
      <c r="G125" s="55">
        <f ca="1"/>
        <v>-89.73752974748291</v>
      </c>
      <c r="H125" s="55">
        <f ca="1"/>
        <v>-123.15484283821905</v>
      </c>
      <c r="I125" s="55">
        <f ca="1"/>
        <v>-159.42095458560914</v>
      </c>
      <c r="J125" s="55">
        <f ca="1"/>
        <v>-197.9991564405189</v>
      </c>
      <c r="K125" s="55">
        <f ca="1"/>
        <v>-238.94514688682884</v>
      </c>
      <c r="L125" s="55">
        <f ca="1"/>
        <v>-283.65473027267785</v>
      </c>
      <c r="M125" s="55">
        <f ca="1"/>
        <v>-331.95524533074382</v>
      </c>
      <c r="N125" s="55">
        <f ca="1"/>
        <v>-382.80651379071924</v>
      </c>
      <c r="O125" s="55">
        <f ca="1"/>
        <v>-436.38743252577245</v>
      </c>
      <c r="P125" s="55">
        <f ca="1"/>
        <v>-494.0343372456166</v>
      </c>
      <c r="Q125" s="55" t="e">
        <f ca="1"/>
        <v>#N/A</v>
      </c>
      <c r="R125" s="55" t="e">
        <f ca="1"/>
        <v>#N/A</v>
      </c>
      <c r="S125" s="55" t="e">
        <f ca="1"/>
        <v>#N/A</v>
      </c>
      <c r="T125" s="55" t="e">
        <f ca="1"/>
        <v>#N/A</v>
      </c>
      <c r="U125" s="55" t="e">
        <f ca="1"/>
        <v>#N/A</v>
      </c>
      <c r="V125" s="55" t="e">
        <f ca="1"/>
        <v>#N/A</v>
      </c>
      <c r="W125" s="55" t="e">
        <f ca="1"/>
        <v>#N/A</v>
      </c>
      <c r="X125" s="55" t="e">
        <f ca="1"/>
        <v>#N/A</v>
      </c>
      <c r="Y125" s="55" t="e">
        <f ca="1"/>
        <v>#N/A</v>
      </c>
      <c r="Z125" s="55" t="e">
        <f ca="1"/>
        <v>#N/A</v>
      </c>
      <c r="AA125" s="55" t="e">
        <f ca="1"/>
        <v>#N/A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e">
        <f ca="1"/>
        <v>#N/A</v>
      </c>
      <c r="F126" s="55" t="e">
        <f ca="1"/>
        <v>#N/A</v>
      </c>
      <c r="G126" s="55" t="e">
        <f ca="1"/>
        <v>#N/A</v>
      </c>
      <c r="H126" s="55" t="e">
        <f ca="1"/>
        <v>#N/A</v>
      </c>
      <c r="I126" s="55" t="e">
        <f ca="1"/>
        <v>#N/A</v>
      </c>
      <c r="J126" s="55" t="e">
        <f ca="1"/>
        <v>#N/A</v>
      </c>
      <c r="K126" s="55" t="e">
        <f ca="1"/>
        <v>#N/A</v>
      </c>
      <c r="L126" s="55" t="e">
        <f ca="1"/>
        <v>#N/A</v>
      </c>
      <c r="M126" s="55" t="e">
        <f ca="1"/>
        <v>#N/A</v>
      </c>
      <c r="N126" s="55" t="e">
        <f ca="1"/>
        <v>#N/A</v>
      </c>
      <c r="O126" s="55" t="e">
        <f ca="1"/>
        <v>#N/A</v>
      </c>
      <c r="P126" s="55" t="e">
        <f ca="1"/>
        <v>#N/A</v>
      </c>
      <c r="Q126" s="55" t="e">
        <f ca="1"/>
        <v>#N/A</v>
      </c>
      <c r="R126" s="55" t="e">
        <f ca="1"/>
        <v>#N/A</v>
      </c>
      <c r="S126" s="55" t="e">
        <f ca="1"/>
        <v>#N/A</v>
      </c>
      <c r="T126" s="55" t="e">
        <f ca="1"/>
        <v>#N/A</v>
      </c>
      <c r="U126" s="55" t="e">
        <f ca="1"/>
        <v>#N/A</v>
      </c>
      <c r="V126" s="55" t="e">
        <f ca="1"/>
        <v>#N/A</v>
      </c>
      <c r="W126" s="55" t="e">
        <f ca="1"/>
        <v>#N/A</v>
      </c>
      <c r="X126" s="55" t="e">
        <f ca="1"/>
        <v>#N/A</v>
      </c>
      <c r="Y126" s="55" t="e">
        <f ca="1"/>
        <v>#N/A</v>
      </c>
      <c r="Z126" s="55" t="e">
        <f ca="1"/>
        <v>#N/A</v>
      </c>
      <c r="AA126" s="55" t="e">
        <f ca="1"/>
        <v>#N/A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11" priority="53" operator="equal">
      <formula>0</formula>
    </cfRule>
  </conditionalFormatting>
  <conditionalFormatting sqref="A80:D109">
    <cfRule type="cellIs" dxfId="10" priority="52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6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10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9">
      <colorScale>
        <cfvo type="min"/>
        <cfvo type="max"/>
        <color rgb="FFFFEF9C"/>
        <color rgb="FF63BE7B"/>
      </colorScale>
    </cfRule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8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7">
      <colorScale>
        <cfvo type="min"/>
        <cfvo type="max"/>
        <color rgb="FFFFEF9C"/>
        <color rgb="FF63BE7B"/>
      </colorScale>
    </cfRule>
  </conditionalFormatting>
  <conditionalFormatting sqref="A46:D75">
    <cfRule type="cellIs" dxfId="9" priority="5" operator="equal">
      <formula>0</formula>
    </cfRule>
  </conditionalFormatting>
  <conditionalFormatting sqref="F20:AL20">
    <cfRule type="colorScale" priority="1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2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9467FA4-E0FB-4D01-8E75-9A948969D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FLUID!F29:AK29</xm:f>
              <xm:sqref>AL29</xm:sqref>
            </x14:sparkline>
            <x14:sparkline>
              <xm:f>FLUID!F30:AK30</xm:f>
              <xm:sqref>AL30</xm:sqref>
            </x14:sparkline>
            <x14:sparkline>
              <xm:f>FLUID!F31:AK31</xm:f>
              <xm:sqref>AL31</xm:sqref>
            </x14:sparkline>
            <x14:sparkline>
              <xm:f>FLUID!F32:AK32</xm:f>
              <xm:sqref>AL32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topLeftCell="A9" zoomScale="85" zoomScaleNormal="85" zoomScaleSheetLayoutView="25" workbookViewId="0">
      <selection activeCell="AZ20" sqref="AZ20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46" t="s">
        <v>25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19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 t="s">
        <v>82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520.9</v>
      </c>
      <c r="R3" s="3">
        <v>537.5</v>
      </c>
      <c r="S3" s="3">
        <v>603.5</v>
      </c>
      <c r="T3" s="3">
        <v>669.6</v>
      </c>
      <c r="U3" s="3">
        <v>686.1</v>
      </c>
      <c r="V3" s="3">
        <v>702.7</v>
      </c>
      <c r="W3" s="3">
        <v>719.2</v>
      </c>
      <c r="X3" s="3">
        <v>735.7</v>
      </c>
      <c r="Y3" s="4">
        <v>752.2</v>
      </c>
      <c r="Z3" s="4">
        <v>768.7</v>
      </c>
      <c r="AA3" s="4">
        <v>785.2</v>
      </c>
      <c r="AB3" s="4">
        <v>801.8</v>
      </c>
      <c r="AC3" s="4">
        <v>818.3</v>
      </c>
      <c r="AD3" s="4">
        <v>834.8</v>
      </c>
      <c r="AE3" s="4">
        <v>851.3</v>
      </c>
      <c r="AF3" s="4">
        <v>867.8</v>
      </c>
      <c r="AG3" s="4">
        <v>933.9</v>
      </c>
      <c r="AH3" s="4">
        <v>1000</v>
      </c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1</v>
      </c>
      <c r="D4" s="44">
        <f t="shared" si="0"/>
        <v>0</v>
      </c>
      <c r="E4" s="6" t="s">
        <v>39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5.3772999999999998E-32</v>
      </c>
      <c r="N4" s="49">
        <v>1.5348000000000001E-24</v>
      </c>
      <c r="O4" s="49">
        <v>5.4907000000000001E-11</v>
      </c>
      <c r="P4" s="49">
        <v>1.0671E-9</v>
      </c>
      <c r="Q4" s="49">
        <v>0.1</v>
      </c>
      <c r="R4" s="49">
        <v>0.1</v>
      </c>
      <c r="S4" s="49">
        <v>0.1</v>
      </c>
      <c r="T4" s="49">
        <v>0.1</v>
      </c>
      <c r="U4" s="49">
        <v>0.1</v>
      </c>
      <c r="V4" s="49">
        <v>0.1</v>
      </c>
      <c r="W4" s="49">
        <v>0.1</v>
      </c>
      <c r="X4" s="49">
        <v>0.1</v>
      </c>
      <c r="Y4" s="55">
        <v>0.1</v>
      </c>
      <c r="Z4" s="55">
        <v>0.1</v>
      </c>
      <c r="AA4" s="55">
        <v>0.1</v>
      </c>
      <c r="AB4" s="55">
        <v>8.9244000000000004E-2</v>
      </c>
      <c r="AC4" s="55">
        <v>8.7581000000000006E-2</v>
      </c>
      <c r="AD4" s="55">
        <v>8.5822999999999997E-2</v>
      </c>
      <c r="AE4" s="55">
        <v>8.3868999999999999E-2</v>
      </c>
      <c r="AF4" s="55">
        <v>8.1675999999999999E-2</v>
      </c>
      <c r="AG4" s="55">
        <v>6.9655999999999996E-2</v>
      </c>
      <c r="AH4" s="55">
        <v>4.8920999999999999E-2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1</v>
      </c>
      <c r="C5" s="44">
        <f t="shared" si="0"/>
        <v>1</v>
      </c>
      <c r="D5" s="44">
        <f t="shared" si="0"/>
        <v>0</v>
      </c>
      <c r="E5" s="6" t="s">
        <v>38</v>
      </c>
      <c r="F5" s="49">
        <v>0.1</v>
      </c>
      <c r="G5" s="49">
        <v>0.1</v>
      </c>
      <c r="H5" s="49">
        <v>0.1</v>
      </c>
      <c r="I5" s="49">
        <v>0.1</v>
      </c>
      <c r="J5" s="49">
        <v>0.1</v>
      </c>
      <c r="K5" s="49">
        <v>0.2</v>
      </c>
      <c r="L5" s="49">
        <v>0.2</v>
      </c>
      <c r="M5" s="49">
        <v>0.2</v>
      </c>
      <c r="N5" s="49">
        <v>0.2</v>
      </c>
      <c r="O5" s="49">
        <v>0.2</v>
      </c>
      <c r="P5" s="49">
        <v>0.2</v>
      </c>
      <c r="Q5" s="49">
        <v>1.9595999999999999E-7</v>
      </c>
      <c r="R5" s="49">
        <v>3.8421000000000002E-9</v>
      </c>
      <c r="S5" s="49">
        <v>3.7591999999999998E-13</v>
      </c>
      <c r="T5" s="49">
        <v>1.0288E-20</v>
      </c>
      <c r="U5" s="49">
        <v>6.8252999999999997E-23</v>
      </c>
      <c r="V5" s="49">
        <v>1.5939E-27</v>
      </c>
      <c r="W5" s="49">
        <v>2.2882E-32</v>
      </c>
      <c r="X5" s="49">
        <v>0</v>
      </c>
      <c r="Y5" s="55">
        <v>0</v>
      </c>
      <c r="Z5" s="55">
        <v>0</v>
      </c>
      <c r="AA5" s="55">
        <v>0</v>
      </c>
      <c r="AB5" s="55">
        <v>0</v>
      </c>
      <c r="AC5" s="55">
        <v>0</v>
      </c>
      <c r="AD5" s="55">
        <v>0</v>
      </c>
      <c r="AE5" s="55">
        <v>0</v>
      </c>
      <c r="AF5" s="55">
        <v>0</v>
      </c>
      <c r="AG5" s="55">
        <v>0</v>
      </c>
      <c r="AH5" s="55">
        <v>0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0</v>
      </c>
      <c r="D6" s="44">
        <f t="shared" si="0"/>
        <v>1</v>
      </c>
      <c r="E6" s="6" t="s">
        <v>78</v>
      </c>
      <c r="F6" s="49">
        <v>0</v>
      </c>
      <c r="G6" s="49">
        <v>0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0</v>
      </c>
      <c r="N6" s="49">
        <v>0</v>
      </c>
      <c r="O6" s="49">
        <v>0</v>
      </c>
      <c r="P6" s="49">
        <v>0</v>
      </c>
      <c r="Q6" s="49">
        <v>0</v>
      </c>
      <c r="R6" s="49">
        <v>0</v>
      </c>
      <c r="S6" s="49">
        <v>0</v>
      </c>
      <c r="T6" s="49">
        <v>3.5951000000000002E-34</v>
      </c>
      <c r="U6" s="49">
        <v>4.4337999999999999E-29</v>
      </c>
      <c r="V6" s="49">
        <v>3.6580000000000002E-26</v>
      </c>
      <c r="W6" s="49">
        <v>1.8552E-22</v>
      </c>
      <c r="X6" s="49">
        <v>2.7423000000000002E-30</v>
      </c>
      <c r="Y6" s="55">
        <v>4.1469000000000002E-19</v>
      </c>
      <c r="Z6" s="55">
        <v>7.2405000000000003E-17</v>
      </c>
      <c r="AA6" s="55">
        <v>1.4522E-16</v>
      </c>
      <c r="AB6" s="55">
        <v>8.6198000000000002E-8</v>
      </c>
      <c r="AC6" s="55">
        <v>3.9130000000000002E-7</v>
      </c>
      <c r="AD6" s="55">
        <v>2.5989999999999999E-7</v>
      </c>
      <c r="AE6" s="55">
        <v>1.9763E-7</v>
      </c>
      <c r="AF6" s="55">
        <v>1.7905999999999999E-7</v>
      </c>
      <c r="AG6" s="55">
        <v>4.4642999999999998E-8</v>
      </c>
      <c r="AH6" s="55">
        <v>1.4543999999999999E-8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1</v>
      </c>
      <c r="C7" s="44">
        <f t="shared" si="0"/>
        <v>0</v>
      </c>
      <c r="D7" s="44">
        <f t="shared" si="0"/>
        <v>2</v>
      </c>
      <c r="E7" s="6" t="s">
        <v>97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6.3694000000000001E-24</v>
      </c>
      <c r="U7" s="49">
        <v>6.0374999999999997E-19</v>
      </c>
      <c r="V7" s="49">
        <v>1.7322E-15</v>
      </c>
      <c r="W7" s="49">
        <v>2.8695000000000001E-11</v>
      </c>
      <c r="X7" s="49">
        <v>9.1489999999999994E-8</v>
      </c>
      <c r="Y7" s="55">
        <v>3.7073000000000002E-2</v>
      </c>
      <c r="Z7" s="55">
        <v>5.2242999999999998E-2</v>
      </c>
      <c r="AA7" s="55">
        <v>5.7151E-2</v>
      </c>
      <c r="AB7" s="55">
        <v>3.0810999999999997E-8</v>
      </c>
      <c r="AC7" s="55">
        <v>7.0034000000000001E-20</v>
      </c>
      <c r="AD7" s="55">
        <v>0</v>
      </c>
      <c r="AE7" s="55">
        <v>0</v>
      </c>
      <c r="AF7" s="55">
        <v>0</v>
      </c>
      <c r="AG7" s="55">
        <v>0</v>
      </c>
      <c r="AH7" s="55">
        <v>0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0</v>
      </c>
      <c r="C8" s="44">
        <f t="shared" si="0"/>
        <v>1</v>
      </c>
      <c r="D8" s="44">
        <f t="shared" si="0"/>
        <v>0</v>
      </c>
      <c r="E8" s="6" t="s">
        <v>37</v>
      </c>
      <c r="F8" s="49">
        <v>0</v>
      </c>
      <c r="G8" s="49">
        <v>0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5.3772999999999998E-32</v>
      </c>
      <c r="N8" s="49">
        <v>1.5348000000000001E-24</v>
      </c>
      <c r="O8" s="49">
        <v>5.4907000000000001E-11</v>
      </c>
      <c r="P8" s="49">
        <v>1.0671E-9</v>
      </c>
      <c r="Q8" s="49">
        <v>0.1</v>
      </c>
      <c r="R8" s="49">
        <v>0.1</v>
      </c>
      <c r="S8" s="49">
        <v>0.1</v>
      </c>
      <c r="T8" s="49">
        <v>0.1</v>
      </c>
      <c r="U8" s="49">
        <v>0.1</v>
      </c>
      <c r="V8" s="49">
        <v>0.1</v>
      </c>
      <c r="W8" s="49">
        <v>0.1</v>
      </c>
      <c r="X8" s="49">
        <v>0.1</v>
      </c>
      <c r="Y8" s="55">
        <v>0.1</v>
      </c>
      <c r="Z8" s="55">
        <v>0.1</v>
      </c>
      <c r="AA8" s="55">
        <v>0.1</v>
      </c>
      <c r="AB8" s="55">
        <v>8.9244000000000004E-2</v>
      </c>
      <c r="AC8" s="55">
        <v>8.7581000000000006E-2</v>
      </c>
      <c r="AD8" s="55">
        <v>8.5822999999999997E-2</v>
      </c>
      <c r="AE8" s="55">
        <v>8.3868999999999999E-2</v>
      </c>
      <c r="AF8" s="55">
        <v>8.1675999999999999E-2</v>
      </c>
      <c r="AG8" s="55">
        <v>6.9655999999999996E-2</v>
      </c>
      <c r="AH8" s="55">
        <v>4.8920999999999999E-2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1</v>
      </c>
      <c r="C9" s="44">
        <f t="shared" si="0"/>
        <v>0</v>
      </c>
      <c r="D9" s="44">
        <f t="shared" si="0"/>
        <v>0</v>
      </c>
      <c r="E9" s="6" t="s">
        <v>36</v>
      </c>
      <c r="F9" s="49">
        <v>1.1638999999999999E-21</v>
      </c>
      <c r="G9" s="49">
        <v>1.1626E-17</v>
      </c>
      <c r="H9" s="49">
        <v>3.9641599999999999E-12</v>
      </c>
      <c r="I9" s="49">
        <v>1.1706000000000001E-9</v>
      </c>
      <c r="J9" s="49">
        <v>3.5366000000000001E-7</v>
      </c>
      <c r="K9" s="49">
        <v>0.1</v>
      </c>
      <c r="L9" s="49">
        <v>0.1</v>
      </c>
      <c r="M9" s="49">
        <v>0.1</v>
      </c>
      <c r="N9" s="49">
        <v>0.1</v>
      </c>
      <c r="O9" s="49">
        <v>0.1</v>
      </c>
      <c r="P9" s="49">
        <v>0.1</v>
      </c>
      <c r="Q9" s="49">
        <v>0.3</v>
      </c>
      <c r="R9" s="49">
        <v>0.3</v>
      </c>
      <c r="S9" s="49">
        <v>0.3</v>
      </c>
      <c r="T9" s="49">
        <v>0.3</v>
      </c>
      <c r="U9" s="49">
        <v>0.3</v>
      </c>
      <c r="V9" s="49">
        <v>0.3</v>
      </c>
      <c r="W9" s="49">
        <v>0.3</v>
      </c>
      <c r="X9" s="49">
        <v>0.3</v>
      </c>
      <c r="Y9" s="55">
        <v>0.37414999999999998</v>
      </c>
      <c r="Z9" s="55">
        <v>0.40449000000000002</v>
      </c>
      <c r="AA9" s="55">
        <v>0.4143</v>
      </c>
      <c r="AB9" s="55">
        <v>0.47771999999999998</v>
      </c>
      <c r="AC9" s="55">
        <v>0.47964000000000001</v>
      </c>
      <c r="AD9" s="55">
        <v>0.47993999999999998</v>
      </c>
      <c r="AE9" s="55">
        <v>0.47999000000000003</v>
      </c>
      <c r="AF9" s="55">
        <v>0.48</v>
      </c>
      <c r="AG9" s="55">
        <v>0.48</v>
      </c>
      <c r="AH9" s="55">
        <v>0.48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2</v>
      </c>
      <c r="C10" s="44">
        <f t="shared" si="0"/>
        <v>1</v>
      </c>
      <c r="D10" s="44">
        <f t="shared" si="0"/>
        <v>0</v>
      </c>
      <c r="E10" s="6" t="s">
        <v>42</v>
      </c>
      <c r="F10" s="49">
        <v>0.1</v>
      </c>
      <c r="G10" s="49">
        <v>0.1</v>
      </c>
      <c r="H10" s="49">
        <v>0.1</v>
      </c>
      <c r="I10" s="49">
        <v>0.1</v>
      </c>
      <c r="J10" s="49">
        <v>0.1</v>
      </c>
      <c r="K10" s="49">
        <v>2.9696000000000002E-9</v>
      </c>
      <c r="L10" s="49">
        <v>3.3152000000000001E-10</v>
      </c>
      <c r="M10" s="49">
        <v>2.7948E-11</v>
      </c>
      <c r="N10" s="49">
        <v>7.0472999999999997E-13</v>
      </c>
      <c r="O10" s="49">
        <v>2.309E-27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9">
        <v>0</v>
      </c>
      <c r="W10" s="49">
        <v>0</v>
      </c>
      <c r="X10" s="49">
        <v>0</v>
      </c>
      <c r="Y10" s="55">
        <v>0</v>
      </c>
      <c r="Z10" s="55">
        <v>0</v>
      </c>
      <c r="AA10" s="55">
        <v>0</v>
      </c>
      <c r="AB10" s="55">
        <v>0</v>
      </c>
      <c r="AC10" s="55">
        <v>0</v>
      </c>
      <c r="AD10" s="55">
        <v>0</v>
      </c>
      <c r="AE10" s="55">
        <v>0</v>
      </c>
      <c r="AF10" s="55">
        <v>0</v>
      </c>
      <c r="AG10" s="55">
        <v>0</v>
      </c>
      <c r="AH10" s="55">
        <v>0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3</v>
      </c>
      <c r="C11" s="44">
        <f t="shared" si="0"/>
        <v>0</v>
      </c>
      <c r="D11" s="44">
        <f t="shared" si="0"/>
        <v>2</v>
      </c>
      <c r="E11" s="6" t="s">
        <v>41</v>
      </c>
      <c r="F11" s="49">
        <v>0.06</v>
      </c>
      <c r="G11" s="49">
        <v>0.06</v>
      </c>
      <c r="H11" s="49">
        <v>0.06</v>
      </c>
      <c r="I11" s="49">
        <v>0.06</v>
      </c>
      <c r="J11" s="49">
        <v>0.06</v>
      </c>
      <c r="K11" s="49">
        <v>0.06</v>
      </c>
      <c r="L11" s="49">
        <v>0.06</v>
      </c>
      <c r="M11" s="49">
        <v>0.06</v>
      </c>
      <c r="N11" s="49">
        <v>0.06</v>
      </c>
      <c r="O11" s="49">
        <v>0.06</v>
      </c>
      <c r="P11" s="49">
        <v>0.06</v>
      </c>
      <c r="Q11" s="49">
        <v>0.06</v>
      </c>
      <c r="R11" s="49">
        <v>0.06</v>
      </c>
      <c r="S11" s="49">
        <v>0.06</v>
      </c>
      <c r="T11" s="49">
        <v>0.06</v>
      </c>
      <c r="U11" s="49">
        <v>0.06</v>
      </c>
      <c r="V11" s="49">
        <v>0.06</v>
      </c>
      <c r="W11" s="49">
        <v>0.06</v>
      </c>
      <c r="X11" s="49">
        <v>0.06</v>
      </c>
      <c r="Y11" s="55">
        <v>2.2926999999999999E-2</v>
      </c>
      <c r="Z11" s="55">
        <v>7.7565999999999998E-3</v>
      </c>
      <c r="AA11" s="55">
        <v>2.8487E-3</v>
      </c>
      <c r="AB11" s="55">
        <v>7.5883000000000005E-4</v>
      </c>
      <c r="AC11" s="55">
        <v>1.1998999999999999E-4</v>
      </c>
      <c r="AD11" s="55">
        <v>2.0021E-5</v>
      </c>
      <c r="AE11" s="55">
        <v>3.5053000000000001E-6</v>
      </c>
      <c r="AF11" s="55">
        <v>6.4165000000000003E-7</v>
      </c>
      <c r="AG11" s="55">
        <v>1.0583E-9</v>
      </c>
      <c r="AH11" s="55">
        <v>2.8193999999999999E-12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1</v>
      </c>
      <c r="C12" s="44">
        <f t="shared" si="0"/>
        <v>0</v>
      </c>
      <c r="D12" s="44">
        <f t="shared" si="0"/>
        <v>2</v>
      </c>
      <c r="E12" s="6" t="s">
        <v>43</v>
      </c>
      <c r="F12" s="49">
        <v>0</v>
      </c>
      <c r="G12" s="49">
        <v>0</v>
      </c>
      <c r="H12" s="49">
        <v>0</v>
      </c>
      <c r="I12" s="49">
        <v>0</v>
      </c>
      <c r="J12" s="49">
        <v>0</v>
      </c>
      <c r="K12" s="49">
        <v>0</v>
      </c>
      <c r="L12" s="49">
        <v>0</v>
      </c>
      <c r="M12" s="49">
        <v>0</v>
      </c>
      <c r="N12" s="49">
        <v>0</v>
      </c>
      <c r="O12" s="49">
        <v>2.0043000000000001E-32</v>
      </c>
      <c r="P12" s="49">
        <v>2.3445E-30</v>
      </c>
      <c r="Q12" s="49">
        <v>1.3805000000000001E-26</v>
      </c>
      <c r="R12" s="49">
        <v>7.3119000000000001E-25</v>
      </c>
      <c r="S12" s="49">
        <v>7.7330999999999999E-19</v>
      </c>
      <c r="T12" s="49">
        <v>6.6347E-14</v>
      </c>
      <c r="U12" s="49">
        <v>8.3351999999999997E-13</v>
      </c>
      <c r="V12" s="49">
        <v>9.4128000000000004E-12</v>
      </c>
      <c r="W12" s="49">
        <v>9.6235000000000004E-11</v>
      </c>
      <c r="X12" s="49">
        <v>8.9664000000000002E-10</v>
      </c>
      <c r="Y12" s="55">
        <v>2.9265000000000002E-9</v>
      </c>
      <c r="Z12" s="55">
        <v>7.7960999999999996E-9</v>
      </c>
      <c r="AA12" s="55">
        <v>2.0885999999999999E-8</v>
      </c>
      <c r="AB12" s="55">
        <v>3.7773999999999998E-8</v>
      </c>
      <c r="AC12" s="55">
        <v>3.7906000000000002E-8</v>
      </c>
      <c r="AD12" s="55">
        <v>3.7667000000000002E-8</v>
      </c>
      <c r="AE12" s="55">
        <v>3.6985999999999998E-8</v>
      </c>
      <c r="AF12" s="55">
        <v>3.5881000000000002E-8</v>
      </c>
      <c r="AG12" s="55">
        <v>2.8110999999999999E-8</v>
      </c>
      <c r="AH12" s="55">
        <v>1.7788E-8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1</v>
      </c>
      <c r="B13" s="44">
        <f t="shared" si="0"/>
        <v>0</v>
      </c>
      <c r="C13" s="44">
        <f t="shared" si="0"/>
        <v>0</v>
      </c>
      <c r="D13" s="44">
        <f t="shared" si="0"/>
        <v>0</v>
      </c>
      <c r="E13" s="6" t="s">
        <v>1</v>
      </c>
      <c r="F13" s="49">
        <v>0.2</v>
      </c>
      <c r="G13" s="49">
        <v>0.2</v>
      </c>
      <c r="H13" s="49">
        <v>0.2</v>
      </c>
      <c r="I13" s="49">
        <v>0.2</v>
      </c>
      <c r="J13" s="49">
        <v>0.2</v>
      </c>
      <c r="K13" s="49">
        <v>0.2</v>
      </c>
      <c r="L13" s="49">
        <v>0.2</v>
      </c>
      <c r="M13" s="49">
        <v>0.2</v>
      </c>
      <c r="N13" s="49">
        <v>0.2</v>
      </c>
      <c r="O13" s="49">
        <v>0.2</v>
      </c>
      <c r="P13" s="49">
        <v>0.2</v>
      </c>
      <c r="Q13" s="49">
        <v>0.2</v>
      </c>
      <c r="R13" s="49">
        <v>0.2</v>
      </c>
      <c r="S13" s="49">
        <v>0.2</v>
      </c>
      <c r="T13" s="49">
        <v>0.2</v>
      </c>
      <c r="U13" s="49">
        <v>0.2</v>
      </c>
      <c r="V13" s="49">
        <v>0.2</v>
      </c>
      <c r="W13" s="49">
        <v>0.2</v>
      </c>
      <c r="X13" s="49">
        <v>0.2</v>
      </c>
      <c r="Y13" s="55">
        <v>0.2</v>
      </c>
      <c r="Z13" s="55">
        <v>0.2</v>
      </c>
      <c r="AA13" s="55">
        <v>0.2</v>
      </c>
      <c r="AB13" s="55">
        <v>0.2</v>
      </c>
      <c r="AC13" s="55">
        <v>0.2</v>
      </c>
      <c r="AD13" s="55">
        <v>0.2</v>
      </c>
      <c r="AE13" s="55">
        <v>0.2</v>
      </c>
      <c r="AF13" s="55">
        <v>0.2</v>
      </c>
      <c r="AG13" s="55">
        <v>0.2</v>
      </c>
      <c r="AH13" s="55">
        <v>0.2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0</v>
      </c>
      <c r="C14" s="44">
        <f t="shared" si="0"/>
        <v>0</v>
      </c>
      <c r="D14" s="44">
        <f t="shared" si="0"/>
        <v>1</v>
      </c>
      <c r="E14" s="6" t="s">
        <v>98</v>
      </c>
      <c r="F14" s="49">
        <v>0</v>
      </c>
      <c r="G14" s="49">
        <v>0</v>
      </c>
      <c r="H14" s="49">
        <v>0</v>
      </c>
      <c r="I14" s="49">
        <v>0</v>
      </c>
      <c r="J14" s="49">
        <v>0</v>
      </c>
      <c r="K14" s="49">
        <v>0</v>
      </c>
      <c r="L14" s="49">
        <v>0</v>
      </c>
      <c r="M14" s="49">
        <v>0</v>
      </c>
      <c r="N14" s="49">
        <v>0</v>
      </c>
      <c r="O14" s="49">
        <v>0</v>
      </c>
      <c r="P14" s="49">
        <v>0</v>
      </c>
      <c r="Q14" s="49">
        <v>0</v>
      </c>
      <c r="R14" s="49">
        <v>0</v>
      </c>
      <c r="S14" s="49">
        <v>3.4998000000000001E-19</v>
      </c>
      <c r="T14" s="49">
        <v>1.144E-13</v>
      </c>
      <c r="U14" s="49">
        <v>1.4259E-12</v>
      </c>
      <c r="V14" s="49">
        <v>3.7888999999999997E-12</v>
      </c>
      <c r="W14" s="49">
        <v>6.1160999999999994E-11</v>
      </c>
      <c r="X14" s="49">
        <v>8.1475000000000008E-18</v>
      </c>
      <c r="Y14" s="55">
        <v>3.6451000000000002E-10</v>
      </c>
      <c r="Z14" s="55">
        <v>1.3507E-8</v>
      </c>
      <c r="AA14" s="55">
        <v>2.0163000000000001E-7</v>
      </c>
      <c r="AB14" s="55">
        <v>0.11848</v>
      </c>
      <c r="AC14" s="55">
        <v>0.11976000000000001</v>
      </c>
      <c r="AD14" s="55">
        <v>0.11996</v>
      </c>
      <c r="AE14" s="55">
        <v>0.11999</v>
      </c>
      <c r="AF14" s="55">
        <v>0.12</v>
      </c>
      <c r="AG14" s="55">
        <v>0.12</v>
      </c>
      <c r="AH14" s="55">
        <v>0.12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1</v>
      </c>
      <c r="D15" s="44">
        <f t="shared" si="0"/>
        <v>0</v>
      </c>
      <c r="E15" s="6" t="s">
        <v>99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</v>
      </c>
      <c r="R15" s="49">
        <v>0</v>
      </c>
      <c r="S15" s="49">
        <v>1.2240999999999999E-15</v>
      </c>
      <c r="T15" s="49">
        <v>4.0812E-12</v>
      </c>
      <c r="U15" s="49">
        <v>1.8063E-11</v>
      </c>
      <c r="V15" s="49">
        <v>1.7662000000000001E-11</v>
      </c>
      <c r="W15" s="49">
        <v>1.0905E-10</v>
      </c>
      <c r="X15" s="49">
        <v>5.7466999999999996E-18</v>
      </c>
      <c r="Y15" s="55">
        <v>1.5723999999999999E-10</v>
      </c>
      <c r="Z15" s="55">
        <v>4.0661000000000003E-9</v>
      </c>
      <c r="AA15" s="55">
        <v>4.2791000000000002E-8</v>
      </c>
      <c r="AB15" s="55">
        <v>2.1513000000000001E-2</v>
      </c>
      <c r="AC15" s="55">
        <v>2.4837000000000001E-2</v>
      </c>
      <c r="AD15" s="55">
        <v>2.8353E-2</v>
      </c>
      <c r="AE15" s="55">
        <v>3.2261999999999999E-2</v>
      </c>
      <c r="AF15" s="55">
        <v>3.6649000000000001E-2</v>
      </c>
      <c r="AG15" s="55">
        <v>6.0687999999999999E-2</v>
      </c>
      <c r="AH15" s="55">
        <v>0.10216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1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6" t="s">
        <v>27</v>
      </c>
      <c r="F16" s="49">
        <v>-18.88</v>
      </c>
      <c r="G16" s="49">
        <v>-18.87</v>
      </c>
      <c r="H16" s="49">
        <v>-18.87</v>
      </c>
      <c r="I16" s="49">
        <v>-18.88</v>
      </c>
      <c r="J16" s="49">
        <v>-18.89</v>
      </c>
      <c r="K16" s="49">
        <v>-18.91</v>
      </c>
      <c r="L16" s="49">
        <v>-18.93</v>
      </c>
      <c r="M16" s="49">
        <v>-18.95</v>
      </c>
      <c r="N16" s="49">
        <v>-18.98</v>
      </c>
      <c r="O16" s="49">
        <v>-19.100000000000001</v>
      </c>
      <c r="P16" s="49">
        <v>-19.13</v>
      </c>
      <c r="Q16" s="49">
        <v>-19.2</v>
      </c>
      <c r="R16" s="49">
        <v>-19.23</v>
      </c>
      <c r="S16" s="49">
        <v>-19.37</v>
      </c>
      <c r="T16" s="49">
        <v>-19.510000000000002</v>
      </c>
      <c r="U16" s="49">
        <v>-19.54</v>
      </c>
      <c r="V16" s="49">
        <v>-19.579999999999998</v>
      </c>
      <c r="W16" s="49">
        <v>-19.61</v>
      </c>
      <c r="X16" s="49">
        <v>-19.64</v>
      </c>
      <c r="Y16" s="55">
        <v>-19.52</v>
      </c>
      <c r="Z16" s="55">
        <v>-19.489999999999998</v>
      </c>
      <c r="AA16" s="55">
        <v>-19.5</v>
      </c>
      <c r="AB16" s="55">
        <v>-19.52</v>
      </c>
      <c r="AC16" s="55">
        <v>-19.55</v>
      </c>
      <c r="AD16" s="55">
        <v>-19.579999999999998</v>
      </c>
      <c r="AE16" s="55">
        <v>-19.61</v>
      </c>
      <c r="AF16" s="55">
        <v>-19.64</v>
      </c>
      <c r="AG16" s="55">
        <v>-19.760000000000002</v>
      </c>
      <c r="AH16" s="55">
        <v>-19.88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1</v>
      </c>
      <c r="E17" s="6" t="s">
        <v>5</v>
      </c>
      <c r="F17" s="49">
        <v>-66.3</v>
      </c>
      <c r="G17" s="49">
        <v>-62.81</v>
      </c>
      <c r="H17" s="49">
        <v>-59.71</v>
      </c>
      <c r="I17" s="49">
        <v>-56.94</v>
      </c>
      <c r="J17" s="49">
        <v>-54.44</v>
      </c>
      <c r="K17" s="49">
        <v>-51.07</v>
      </c>
      <c r="L17" s="49">
        <v>-47.7</v>
      </c>
      <c r="M17" s="49">
        <v>-44.59</v>
      </c>
      <c r="N17" s="49">
        <v>-41.72</v>
      </c>
      <c r="O17" s="49">
        <v>-32.06</v>
      </c>
      <c r="P17" s="49">
        <v>-30.02</v>
      </c>
      <c r="Q17" s="49">
        <v>-26.27</v>
      </c>
      <c r="R17" s="49">
        <v>-24.55</v>
      </c>
      <c r="S17" s="49">
        <v>-18.5</v>
      </c>
      <c r="T17" s="49">
        <v>-13.49</v>
      </c>
      <c r="U17" s="49">
        <v>-12.36</v>
      </c>
      <c r="V17" s="49">
        <v>-11.28</v>
      </c>
      <c r="W17" s="49">
        <v>-10.24</v>
      </c>
      <c r="X17" s="49">
        <v>-9.24</v>
      </c>
      <c r="Y17" s="55">
        <v>-8.68</v>
      </c>
      <c r="Z17" s="55">
        <v>-8.2560000000000002</v>
      </c>
      <c r="AA17" s="55">
        <v>-7.8470000000000004</v>
      </c>
      <c r="AB17" s="55">
        <v>-7.6349999999999998</v>
      </c>
      <c r="AC17" s="55">
        <v>-7.7149999999999999</v>
      </c>
      <c r="AD17" s="55">
        <v>-7.7960000000000003</v>
      </c>
      <c r="AE17" s="55">
        <v>-7.8789999999999996</v>
      </c>
      <c r="AF17" s="55">
        <v>-7.9630000000000001</v>
      </c>
      <c r="AG17" s="55">
        <v>-8.3190000000000008</v>
      </c>
      <c r="AH17" s="55">
        <v>-8.7249999999999996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1</v>
      </c>
      <c r="D18" s="44">
        <f t="shared" si="0"/>
        <v>0</v>
      </c>
      <c r="E18" s="6" t="s">
        <v>6</v>
      </c>
      <c r="F18" s="49">
        <v>-16.29</v>
      </c>
      <c r="G18" s="49">
        <v>-15.65</v>
      </c>
      <c r="H18" s="49">
        <v>-15.09</v>
      </c>
      <c r="I18" s="49">
        <v>-14.59</v>
      </c>
      <c r="J18" s="49">
        <v>-14.16</v>
      </c>
      <c r="K18" s="49">
        <v>-13.03</v>
      </c>
      <c r="L18" s="49">
        <v>-11.8</v>
      </c>
      <c r="M18" s="49">
        <v>-10.67</v>
      </c>
      <c r="N18" s="49">
        <v>-9.6150000000000002</v>
      </c>
      <c r="O18" s="49">
        <v>-6.04</v>
      </c>
      <c r="P18" s="49">
        <v>-5.2759999999999998</v>
      </c>
      <c r="Q18" s="49">
        <v>-4.1150000000000002</v>
      </c>
      <c r="R18" s="49">
        <v>-4.1550000000000002</v>
      </c>
      <c r="S18" s="49">
        <v>-4.3170000000000002</v>
      </c>
      <c r="T18" s="49">
        <v>-4.4809999999999999</v>
      </c>
      <c r="U18" s="49">
        <v>-4.5220000000000002</v>
      </c>
      <c r="V18" s="49">
        <v>-4.5620000000000003</v>
      </c>
      <c r="W18" s="49">
        <v>-4.6029999999999998</v>
      </c>
      <c r="X18" s="49">
        <v>-4.6429999999999998</v>
      </c>
      <c r="Y18" s="55">
        <v>-4.6829999999999998</v>
      </c>
      <c r="Z18" s="55">
        <v>-4.7220000000000004</v>
      </c>
      <c r="AA18" s="55">
        <v>-4.7619999999999996</v>
      </c>
      <c r="AB18" s="55">
        <v>-4.8010000000000002</v>
      </c>
      <c r="AC18" s="55">
        <v>-4.84</v>
      </c>
      <c r="AD18" s="55">
        <v>-4.8780000000000001</v>
      </c>
      <c r="AE18" s="55">
        <v>-4.9169999999999998</v>
      </c>
      <c r="AF18" s="55">
        <v>-4.9550000000000001</v>
      </c>
      <c r="AG18" s="55">
        <v>-5.1040000000000001</v>
      </c>
      <c r="AH18" s="55">
        <v>-5.2489999999999997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6" t="s">
        <v>7</v>
      </c>
      <c r="F19" s="49">
        <v>-23.52</v>
      </c>
      <c r="G19" s="49">
        <v>-22.41</v>
      </c>
      <c r="H19" s="49">
        <v>-21.42</v>
      </c>
      <c r="I19" s="49">
        <v>-20.54</v>
      </c>
      <c r="J19" s="49">
        <v>-19.760000000000002</v>
      </c>
      <c r="K19" s="49">
        <v>-19.79</v>
      </c>
      <c r="L19" s="49">
        <v>-20.03</v>
      </c>
      <c r="M19" s="49">
        <v>-20.28</v>
      </c>
      <c r="N19" s="49">
        <v>-20.52</v>
      </c>
      <c r="O19" s="49">
        <v>-21.52</v>
      </c>
      <c r="P19" s="49">
        <v>-21.77</v>
      </c>
      <c r="Q19" s="49">
        <v>-22.27</v>
      </c>
      <c r="R19" s="49">
        <v>-22.51</v>
      </c>
      <c r="S19" s="49">
        <v>-23.48</v>
      </c>
      <c r="T19" s="49">
        <v>-24.41</v>
      </c>
      <c r="U19" s="49">
        <v>-24.64</v>
      </c>
      <c r="V19" s="49">
        <v>-24.86</v>
      </c>
      <c r="W19" s="49">
        <v>-25.09</v>
      </c>
      <c r="X19" s="49">
        <v>-25.31</v>
      </c>
      <c r="Y19" s="55">
        <v>-25.53</v>
      </c>
      <c r="Z19" s="55">
        <v>-25.75</v>
      </c>
      <c r="AA19" s="55">
        <v>-25.96</v>
      </c>
      <c r="AB19" s="55">
        <v>-26.18</v>
      </c>
      <c r="AC19" s="55">
        <v>-26.39</v>
      </c>
      <c r="AD19" s="55">
        <v>-26.6</v>
      </c>
      <c r="AE19" s="55">
        <v>-26.81</v>
      </c>
      <c r="AF19" s="55">
        <v>-27.02</v>
      </c>
      <c r="AG19" s="55">
        <v>-27.83</v>
      </c>
      <c r="AH19" s="55">
        <v>-28.62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48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>
        <f>MATCH(C34,$E$4:$E$33)</f>
        <v>13</v>
      </c>
      <c r="E34" s="11" t="str">
        <f ca="1">OFFSET($E$3:$AL$3,$D34,0)</f>
        <v>H (Ar)</v>
      </c>
      <c r="F34" s="14">
        <f t="shared" ref="F34:AL37" ca="1" si="3">OFFSET($E$3:$AL$3,$D34,0)</f>
        <v>-18.88</v>
      </c>
      <c r="G34" s="14">
        <f t="shared" ca="1" si="3"/>
        <v>-18.87</v>
      </c>
      <c r="H34" s="14">
        <f t="shared" ca="1" si="3"/>
        <v>-18.87</v>
      </c>
      <c r="I34" s="14">
        <f t="shared" ca="1" si="3"/>
        <v>-18.88</v>
      </c>
      <c r="J34" s="14">
        <f t="shared" ca="1" si="3"/>
        <v>-18.89</v>
      </c>
      <c r="K34" s="14">
        <f t="shared" ca="1" si="3"/>
        <v>-18.91</v>
      </c>
      <c r="L34" s="14">
        <f t="shared" ca="1" si="3"/>
        <v>-18.93</v>
      </c>
      <c r="M34" s="14">
        <f t="shared" ca="1" si="3"/>
        <v>-18.95</v>
      </c>
      <c r="N34" s="14">
        <f t="shared" ca="1" si="3"/>
        <v>-18.98</v>
      </c>
      <c r="O34" s="14">
        <f t="shared" ca="1" si="3"/>
        <v>-19.100000000000001</v>
      </c>
      <c r="P34" s="14">
        <f t="shared" ca="1" si="3"/>
        <v>-19.13</v>
      </c>
      <c r="Q34" s="14">
        <f t="shared" ca="1" si="3"/>
        <v>-19.2</v>
      </c>
      <c r="R34" s="14">
        <f t="shared" ca="1" si="3"/>
        <v>-19.23</v>
      </c>
      <c r="S34" s="14">
        <f t="shared" ca="1" si="3"/>
        <v>-19.37</v>
      </c>
      <c r="T34" s="14">
        <f t="shared" ca="1" si="3"/>
        <v>-19.510000000000002</v>
      </c>
      <c r="U34" s="14">
        <f t="shared" ca="1" si="3"/>
        <v>-19.54</v>
      </c>
      <c r="V34" s="14">
        <f t="shared" ca="1" si="3"/>
        <v>-19.579999999999998</v>
      </c>
      <c r="W34" s="14">
        <f t="shared" ca="1" si="3"/>
        <v>-19.61</v>
      </c>
      <c r="X34" s="14">
        <f t="shared" ca="1" si="3"/>
        <v>-19.64</v>
      </c>
      <c r="Y34" s="14">
        <f t="shared" ca="1" si="3"/>
        <v>-19.52</v>
      </c>
      <c r="Z34" s="14">
        <f t="shared" ca="1" si="3"/>
        <v>-19.489999999999998</v>
      </c>
      <c r="AA34" s="14">
        <f t="shared" ca="1" si="3"/>
        <v>-19.5</v>
      </c>
      <c r="AB34" s="14">
        <f t="shared" ca="1" si="3"/>
        <v>-19.52</v>
      </c>
      <c r="AC34" s="14">
        <f t="shared" ca="1" si="3"/>
        <v>-19.55</v>
      </c>
      <c r="AD34" s="14">
        <f t="shared" ca="1" si="3"/>
        <v>-19.579999999999998</v>
      </c>
      <c r="AE34" s="14">
        <f t="shared" ca="1" si="3"/>
        <v>-19.61</v>
      </c>
      <c r="AF34" s="14">
        <f t="shared" ca="1" si="3"/>
        <v>-19.64</v>
      </c>
      <c r="AG34" s="14">
        <f t="shared" ca="1" si="3"/>
        <v>-19.760000000000002</v>
      </c>
      <c r="AH34" s="14">
        <f t="shared" ca="1" si="3"/>
        <v>-19.88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ref="D35:D37" si="4">MATCH(C35,$E$4:$E$33)</f>
        <v>14</v>
      </c>
      <c r="E35" s="11" t="str">
        <f t="shared" ref="E35:E37" ca="1" si="5">OFFSET($E$3:$AL$3,$D35,0)</f>
        <v>H (Ga)</v>
      </c>
      <c r="F35" s="14">
        <f t="shared" ca="1" si="3"/>
        <v>-66.3</v>
      </c>
      <c r="G35" s="14">
        <f t="shared" ca="1" si="3"/>
        <v>-62.81</v>
      </c>
      <c r="H35" s="14">
        <f t="shared" ca="1" si="3"/>
        <v>-59.71</v>
      </c>
      <c r="I35" s="14">
        <f t="shared" ca="1" si="3"/>
        <v>-56.94</v>
      </c>
      <c r="J35" s="14">
        <f t="shared" ca="1" si="3"/>
        <v>-54.44</v>
      </c>
      <c r="K35" s="14">
        <f t="shared" ca="1" si="3"/>
        <v>-51.07</v>
      </c>
      <c r="L35" s="14">
        <f t="shared" ca="1" si="3"/>
        <v>-47.7</v>
      </c>
      <c r="M35" s="14">
        <f t="shared" ca="1" si="3"/>
        <v>-44.59</v>
      </c>
      <c r="N35" s="14">
        <f t="shared" ca="1" si="3"/>
        <v>-41.72</v>
      </c>
      <c r="O35" s="14">
        <f t="shared" ca="1" si="3"/>
        <v>-32.06</v>
      </c>
      <c r="P35" s="14">
        <f t="shared" ca="1" si="3"/>
        <v>-30.02</v>
      </c>
      <c r="Q35" s="14">
        <f t="shared" ca="1" si="3"/>
        <v>-26.27</v>
      </c>
      <c r="R35" s="14">
        <f t="shared" ca="1" si="3"/>
        <v>-24.55</v>
      </c>
      <c r="S35" s="14">
        <f t="shared" ca="1" si="3"/>
        <v>-18.5</v>
      </c>
      <c r="T35" s="14">
        <f t="shared" ca="1" si="3"/>
        <v>-13.49</v>
      </c>
      <c r="U35" s="14">
        <f t="shared" ca="1" si="3"/>
        <v>-12.36</v>
      </c>
      <c r="V35" s="14">
        <f t="shared" ca="1" si="3"/>
        <v>-11.28</v>
      </c>
      <c r="W35" s="14">
        <f t="shared" ca="1" si="3"/>
        <v>-10.24</v>
      </c>
      <c r="X35" s="14">
        <f t="shared" ca="1" si="3"/>
        <v>-9.24</v>
      </c>
      <c r="Y35" s="14">
        <f t="shared" ca="1" si="3"/>
        <v>-8.68</v>
      </c>
      <c r="Z35" s="14">
        <f t="shared" ca="1" si="3"/>
        <v>-8.2560000000000002</v>
      </c>
      <c r="AA35" s="14">
        <f t="shared" ca="1" si="3"/>
        <v>-7.8470000000000004</v>
      </c>
      <c r="AB35" s="14">
        <f t="shared" ca="1" si="3"/>
        <v>-7.6349999999999998</v>
      </c>
      <c r="AC35" s="14">
        <f t="shared" ca="1" si="3"/>
        <v>-7.7149999999999999</v>
      </c>
      <c r="AD35" s="14">
        <f t="shared" ca="1" si="3"/>
        <v>-7.7960000000000003</v>
      </c>
      <c r="AE35" s="14">
        <f t="shared" ca="1" si="3"/>
        <v>-7.8789999999999996</v>
      </c>
      <c r="AF35" s="14">
        <f t="shared" ca="1" si="3"/>
        <v>-7.9630000000000001</v>
      </c>
      <c r="AG35" s="14">
        <f t="shared" ca="1" si="3"/>
        <v>-8.3190000000000008</v>
      </c>
      <c r="AH35" s="14">
        <f t="shared" ca="1" si="3"/>
        <v>-8.7249999999999996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4"/>
        <v>15</v>
      </c>
      <c r="E36" s="11" t="str">
        <f t="shared" ca="1" si="5"/>
        <v>H (Ge)</v>
      </c>
      <c r="F36" s="14">
        <f t="shared" ca="1" si="3"/>
        <v>-16.29</v>
      </c>
      <c r="G36" s="14">
        <f t="shared" ca="1" si="3"/>
        <v>-15.65</v>
      </c>
      <c r="H36" s="14">
        <f t="shared" ca="1" si="3"/>
        <v>-15.09</v>
      </c>
      <c r="I36" s="14">
        <f t="shared" ca="1" si="3"/>
        <v>-14.59</v>
      </c>
      <c r="J36" s="14">
        <f t="shared" ca="1" si="3"/>
        <v>-14.16</v>
      </c>
      <c r="K36" s="14">
        <f t="shared" ca="1" si="3"/>
        <v>-13.03</v>
      </c>
      <c r="L36" s="14">
        <f t="shared" ca="1" si="3"/>
        <v>-11.8</v>
      </c>
      <c r="M36" s="14">
        <f t="shared" ca="1" si="3"/>
        <v>-10.67</v>
      </c>
      <c r="N36" s="14">
        <f t="shared" ca="1" si="3"/>
        <v>-9.6150000000000002</v>
      </c>
      <c r="O36" s="14">
        <f t="shared" ca="1" si="3"/>
        <v>-6.04</v>
      </c>
      <c r="P36" s="14">
        <f t="shared" ca="1" si="3"/>
        <v>-5.2759999999999998</v>
      </c>
      <c r="Q36" s="14">
        <f t="shared" ca="1" si="3"/>
        <v>-4.1150000000000002</v>
      </c>
      <c r="R36" s="14">
        <f t="shared" ca="1" si="3"/>
        <v>-4.1550000000000002</v>
      </c>
      <c r="S36" s="14">
        <f t="shared" ca="1" si="3"/>
        <v>-4.3170000000000002</v>
      </c>
      <c r="T36" s="14">
        <f t="shared" ca="1" si="3"/>
        <v>-4.4809999999999999</v>
      </c>
      <c r="U36" s="14">
        <f t="shared" ca="1" si="3"/>
        <v>-4.5220000000000002</v>
      </c>
      <c r="V36" s="14">
        <f t="shared" ca="1" si="3"/>
        <v>-4.5620000000000003</v>
      </c>
      <c r="W36" s="14">
        <f t="shared" ca="1" si="3"/>
        <v>-4.6029999999999998</v>
      </c>
      <c r="X36" s="14">
        <f t="shared" ca="1" si="3"/>
        <v>-4.6429999999999998</v>
      </c>
      <c r="Y36" s="14">
        <f t="shared" ca="1" si="3"/>
        <v>-4.6829999999999998</v>
      </c>
      <c r="Z36" s="14">
        <f t="shared" ca="1" si="3"/>
        <v>-4.7220000000000004</v>
      </c>
      <c r="AA36" s="14">
        <f t="shared" ca="1" si="3"/>
        <v>-4.7619999999999996</v>
      </c>
      <c r="AB36" s="14">
        <f t="shared" ca="1" si="3"/>
        <v>-4.8010000000000002</v>
      </c>
      <c r="AC36" s="14">
        <f t="shared" ca="1" si="3"/>
        <v>-4.84</v>
      </c>
      <c r="AD36" s="14">
        <f t="shared" ca="1" si="3"/>
        <v>-4.8780000000000001</v>
      </c>
      <c r="AE36" s="14">
        <f t="shared" ca="1" si="3"/>
        <v>-4.9169999999999998</v>
      </c>
      <c r="AF36" s="14">
        <f t="shared" ca="1" si="3"/>
        <v>-4.9550000000000001</v>
      </c>
      <c r="AG36" s="14">
        <f t="shared" ca="1" si="3"/>
        <v>-5.1040000000000001</v>
      </c>
      <c r="AH36" s="14">
        <f t="shared" ca="1" si="3"/>
        <v>-5.2489999999999997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4"/>
        <v>16</v>
      </c>
      <c r="E37" s="11" t="str">
        <f t="shared" ca="1" si="5"/>
        <v>H (Se)</v>
      </c>
      <c r="F37" s="14">
        <f t="shared" ca="1" si="3"/>
        <v>-23.52</v>
      </c>
      <c r="G37" s="14">
        <f t="shared" ca="1" si="3"/>
        <v>-22.41</v>
      </c>
      <c r="H37" s="14">
        <f t="shared" ca="1" si="3"/>
        <v>-21.42</v>
      </c>
      <c r="I37" s="14">
        <f t="shared" ca="1" si="3"/>
        <v>-20.54</v>
      </c>
      <c r="J37" s="14">
        <f t="shared" ca="1" si="3"/>
        <v>-19.760000000000002</v>
      </c>
      <c r="K37" s="14">
        <f t="shared" ca="1" si="3"/>
        <v>-19.79</v>
      </c>
      <c r="L37" s="14">
        <f t="shared" ca="1" si="3"/>
        <v>-20.03</v>
      </c>
      <c r="M37" s="14">
        <f t="shared" ca="1" si="3"/>
        <v>-20.28</v>
      </c>
      <c r="N37" s="14">
        <f t="shared" ca="1" si="3"/>
        <v>-20.52</v>
      </c>
      <c r="O37" s="14">
        <f t="shared" ca="1" si="3"/>
        <v>-21.52</v>
      </c>
      <c r="P37" s="14">
        <f t="shared" ca="1" si="3"/>
        <v>-21.77</v>
      </c>
      <c r="Q37" s="14">
        <f t="shared" ca="1" si="3"/>
        <v>-22.27</v>
      </c>
      <c r="R37" s="14">
        <f t="shared" ca="1" si="3"/>
        <v>-22.51</v>
      </c>
      <c r="S37" s="14">
        <f t="shared" ca="1" si="3"/>
        <v>-23.48</v>
      </c>
      <c r="T37" s="14">
        <f t="shared" ca="1" si="3"/>
        <v>-24.41</v>
      </c>
      <c r="U37" s="14">
        <f t="shared" ca="1" si="3"/>
        <v>-24.64</v>
      </c>
      <c r="V37" s="14">
        <f t="shared" ca="1" si="3"/>
        <v>-24.86</v>
      </c>
      <c r="W37" s="14">
        <f t="shared" ca="1" si="3"/>
        <v>-25.09</v>
      </c>
      <c r="X37" s="14">
        <f t="shared" ca="1" si="3"/>
        <v>-25.31</v>
      </c>
      <c r="Y37" s="14">
        <f t="shared" ca="1" si="3"/>
        <v>-25.53</v>
      </c>
      <c r="Z37" s="14">
        <f t="shared" ca="1" si="3"/>
        <v>-25.75</v>
      </c>
      <c r="AA37" s="14">
        <f t="shared" ca="1" si="3"/>
        <v>-25.96</v>
      </c>
      <c r="AB37" s="14">
        <f t="shared" ca="1" si="3"/>
        <v>-26.18</v>
      </c>
      <c r="AC37" s="14">
        <f t="shared" ca="1" si="3"/>
        <v>-26.39</v>
      </c>
      <c r="AD37" s="14">
        <f t="shared" ca="1" si="3"/>
        <v>-26.6</v>
      </c>
      <c r="AE37" s="14">
        <f t="shared" ca="1" si="3"/>
        <v>-26.81</v>
      </c>
      <c r="AF37" s="14">
        <f t="shared" ca="1" si="3"/>
        <v>-27.02</v>
      </c>
      <c r="AG37" s="14">
        <f t="shared" ca="1" si="3"/>
        <v>-27.83</v>
      </c>
      <c r="AH37" s="14">
        <f t="shared" ca="1" si="3"/>
        <v>-28.62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20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6">G3</f>
        <v>289.7</v>
      </c>
      <c r="H40" s="8">
        <f t="shared" si="6"/>
        <v>306.2</v>
      </c>
      <c r="I40" s="8">
        <f t="shared" si="6"/>
        <v>322.7</v>
      </c>
      <c r="J40" s="8">
        <f t="shared" si="6"/>
        <v>339.2</v>
      </c>
      <c r="K40" s="8">
        <f t="shared" si="6"/>
        <v>355.7</v>
      </c>
      <c r="L40" s="8">
        <f t="shared" si="6"/>
        <v>372.3</v>
      </c>
      <c r="M40" s="8">
        <f t="shared" si="6"/>
        <v>388.8</v>
      </c>
      <c r="N40" s="8">
        <f t="shared" si="6"/>
        <v>405.3</v>
      </c>
      <c r="O40" s="8">
        <f t="shared" si="6"/>
        <v>471.4</v>
      </c>
      <c r="P40" s="8">
        <f t="shared" si="6"/>
        <v>487.9</v>
      </c>
      <c r="Q40" s="8">
        <f t="shared" si="6"/>
        <v>520.9</v>
      </c>
      <c r="R40" s="8">
        <f t="shared" si="6"/>
        <v>537.5</v>
      </c>
      <c r="S40" s="8">
        <f t="shared" si="6"/>
        <v>603.5</v>
      </c>
      <c r="T40" s="8">
        <f t="shared" si="6"/>
        <v>669.6</v>
      </c>
      <c r="U40" s="8">
        <f t="shared" si="6"/>
        <v>686.1</v>
      </c>
      <c r="V40" s="8">
        <f t="shared" si="6"/>
        <v>702.7</v>
      </c>
      <c r="W40" s="8">
        <f t="shared" si="6"/>
        <v>719.2</v>
      </c>
      <c r="X40" s="8">
        <f t="shared" si="6"/>
        <v>735.7</v>
      </c>
      <c r="Y40" s="8">
        <f t="shared" si="6"/>
        <v>752.2</v>
      </c>
      <c r="Z40" s="8">
        <f t="shared" si="6"/>
        <v>768.7</v>
      </c>
      <c r="AA40" s="8">
        <f t="shared" si="6"/>
        <v>785.2</v>
      </c>
      <c r="AB40" s="8">
        <f t="shared" si="6"/>
        <v>801.8</v>
      </c>
      <c r="AC40" s="8">
        <f t="shared" si="6"/>
        <v>818.3</v>
      </c>
      <c r="AD40" s="8">
        <f t="shared" si="6"/>
        <v>834.8</v>
      </c>
      <c r="AE40" s="8">
        <f t="shared" si="6"/>
        <v>851.3</v>
      </c>
      <c r="AF40" s="8">
        <f t="shared" si="6"/>
        <v>867.8</v>
      </c>
      <c r="AG40" s="8">
        <f t="shared" si="6"/>
        <v>933.9</v>
      </c>
      <c r="AH40" s="8">
        <f t="shared" si="6"/>
        <v>1000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hidden="1" customHeight="1" outlineLevel="1" thickTop="1" x14ac:dyDescent="0.35">
      <c r="A41" s="9">
        <f t="array" ref="A41">Values!D3:G3/Values!$E$3</f>
        <v>1.6666666666666667</v>
      </c>
      <c r="B41" s="9">
        <f t="array" ref="B41">Values!E3:H3/Values!$E$3</f>
        <v>1</v>
      </c>
      <c r="C41" s="9">
        <f t="array" ref="C41">Values!F3:I3/Values!$E$3</f>
        <v>1.6666666666666667</v>
      </c>
      <c r="D41" s="9">
        <f t="array" ref="D41">Values!G3:J3/Values!$E$3</f>
        <v>4</v>
      </c>
      <c r="E41" s="9">
        <f>SUM(A41:D41)</f>
        <v>8.3333333333333339</v>
      </c>
      <c r="F41" s="10">
        <f t="shared" ref="F41:AL41" ca="1" si="7">($B$41*H.Ge+$C$41*H.Ga+$D$41*H.Se)*F$40*$B$2/1000</f>
        <v>-501.52728925650013</v>
      </c>
      <c r="G41" s="10">
        <f t="shared" ca="1" si="7"/>
        <v>-505.76500421600008</v>
      </c>
      <c r="H41" s="10">
        <f t="shared" ca="1" si="7"/>
        <v>-509.90980463800008</v>
      </c>
      <c r="I41" s="10">
        <f t="shared" ca="1" si="7"/>
        <v>-514.21403559750001</v>
      </c>
      <c r="J41" s="10">
        <f t="shared" ca="1" si="7"/>
        <v>-518.74320704000002</v>
      </c>
      <c r="K41" s="10">
        <f t="shared" ca="1" si="7"/>
        <v>-524.37873079600013</v>
      </c>
      <c r="L41" s="10">
        <f t="shared" ca="1" si="7"/>
        <v>-530.62861295700009</v>
      </c>
      <c r="M41" s="10">
        <f t="shared" ca="1" si="7"/>
        <v>-536.96930054400013</v>
      </c>
      <c r="N41" s="10">
        <f t="shared" ca="1" si="7"/>
        <v>-543.31801578074999</v>
      </c>
      <c r="O41" s="10">
        <f t="shared" ca="1" si="7"/>
        <v>-570.48978376600007</v>
      </c>
      <c r="P41" s="10">
        <f t="shared" ca="1" si="7"/>
        <v>-577.62291304479993</v>
      </c>
      <c r="Q41" s="10">
        <f t="shared" ca="1" si="7"/>
        <v>-593.25631901725001</v>
      </c>
      <c r="R41" s="10">
        <f t="shared" ca="1" si="7"/>
        <v>-603.81994946875011</v>
      </c>
      <c r="S41" s="10">
        <f t="shared" ca="1" si="7"/>
        <v>-647.6492154027502</v>
      </c>
      <c r="T41" s="10">
        <f t="shared" ca="1" si="7"/>
        <v>-693.72081967320003</v>
      </c>
      <c r="U41" s="10">
        <f t="shared" ca="1" si="7"/>
        <v>-705.55367185290015</v>
      </c>
      <c r="V41" s="10">
        <f t="shared" ca="1" si="7"/>
        <v>-717.48286081830008</v>
      </c>
      <c r="W41" s="10">
        <f t="shared" ca="1" si="7"/>
        <v>-729.71158518920004</v>
      </c>
      <c r="X41" s="10">
        <f t="shared" ca="1" si="7"/>
        <v>-741.88540032494996</v>
      </c>
      <c r="Y41" s="10">
        <f t="shared" ca="1" si="7"/>
        <v>-758.44073524070006</v>
      </c>
      <c r="Z41" s="10">
        <f t="shared" ca="1" si="7"/>
        <v>-776.43472781430012</v>
      </c>
      <c r="AA41" s="10">
        <f t="shared" ca="1" si="7"/>
        <v>-794.39558045380011</v>
      </c>
      <c r="AB41" s="10">
        <f t="shared" ca="1" si="7"/>
        <v>-814.96103946059986</v>
      </c>
      <c r="AC41" s="10">
        <f t="shared" ca="1" si="7"/>
        <v>-838.61954484875002</v>
      </c>
      <c r="AD41" s="10">
        <f t="shared" ca="1" si="7"/>
        <v>-862.56044003480008</v>
      </c>
      <c r="AE41" s="10">
        <f t="shared" ca="1" si="7"/>
        <v>-886.80995255469998</v>
      </c>
      <c r="AF41" s="10">
        <f t="shared" ca="1" si="7"/>
        <v>-911.34340968400011</v>
      </c>
      <c r="AG41" s="10">
        <f t="shared" ca="1" si="7"/>
        <v>-1011.6825609379499</v>
      </c>
      <c r="AH41" s="10">
        <f t="shared" ca="1" si="7"/>
        <v>-1116.393458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hidden="1" customHeight="1" outlineLevel="1" x14ac:dyDescent="0.35">
      <c r="U42" s="55"/>
      <c r="V42" s="55"/>
      <c r="W42" s="55"/>
    </row>
    <row r="43" spans="1:54" ht="21" customHeight="1" collapsed="1" thickTop="1" x14ac:dyDescent="0.35">
      <c r="U43" s="55"/>
      <c r="V43" s="55"/>
      <c r="W43" s="55"/>
    </row>
    <row r="44" spans="1:54" ht="21" customHeight="1" thickBot="1" x14ac:dyDescent="0.45">
      <c r="A44" s="75"/>
      <c r="B44" s="75"/>
      <c r="C44" s="75"/>
      <c r="D44" s="75"/>
      <c r="E44" s="74" t="s">
        <v>21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8">E3</f>
        <v>Temperature,К</v>
      </c>
      <c r="F45" s="3">
        <f t="shared" si="8"/>
        <v>273.10000000000002</v>
      </c>
      <c r="G45" s="3">
        <f t="shared" si="8"/>
        <v>289.7</v>
      </c>
      <c r="H45" s="3">
        <f t="shared" si="8"/>
        <v>306.2</v>
      </c>
      <c r="I45" s="3">
        <f t="shared" si="8"/>
        <v>322.7</v>
      </c>
      <c r="J45" s="3">
        <f t="shared" si="8"/>
        <v>339.2</v>
      </c>
      <c r="K45" s="3">
        <f t="shared" si="8"/>
        <v>355.7</v>
      </c>
      <c r="L45" s="3">
        <f t="shared" si="8"/>
        <v>372.3</v>
      </c>
      <c r="M45" s="3">
        <f t="shared" si="8"/>
        <v>388.8</v>
      </c>
      <c r="N45" s="3">
        <f t="shared" si="8"/>
        <v>405.3</v>
      </c>
      <c r="O45" s="3">
        <f t="shared" si="8"/>
        <v>471.4</v>
      </c>
      <c r="P45" s="3">
        <f t="shared" si="8"/>
        <v>487.9</v>
      </c>
      <c r="Q45" s="3">
        <f t="shared" si="8"/>
        <v>520.9</v>
      </c>
      <c r="R45" s="3">
        <f t="shared" si="8"/>
        <v>537.5</v>
      </c>
      <c r="S45" s="3">
        <f t="shared" si="8"/>
        <v>603.5</v>
      </c>
      <c r="T45" s="3">
        <f t="shared" si="8"/>
        <v>669.6</v>
      </c>
      <c r="U45" s="3">
        <f t="shared" si="8"/>
        <v>686.1</v>
      </c>
      <c r="V45" s="3">
        <f t="shared" si="8"/>
        <v>702.7</v>
      </c>
      <c r="W45" s="3">
        <f t="shared" si="8"/>
        <v>719.2</v>
      </c>
      <c r="X45" s="3">
        <f t="shared" si="8"/>
        <v>735.7</v>
      </c>
      <c r="Y45" s="3">
        <f t="shared" si="8"/>
        <v>752.2</v>
      </c>
      <c r="Z45" s="3">
        <f t="shared" si="8"/>
        <v>768.7</v>
      </c>
      <c r="AA45" s="3">
        <f t="shared" si="8"/>
        <v>785.2</v>
      </c>
      <c r="AB45" s="3">
        <f t="shared" si="8"/>
        <v>801.8</v>
      </c>
      <c r="AC45" s="3">
        <f t="shared" si="8"/>
        <v>818.3</v>
      </c>
      <c r="AD45" s="3">
        <f t="shared" si="8"/>
        <v>834.8</v>
      </c>
      <c r="AE45" s="3">
        <f t="shared" si="8"/>
        <v>851.3</v>
      </c>
      <c r="AF45" s="3">
        <f t="shared" si="8"/>
        <v>867.8</v>
      </c>
      <c r="AG45" s="3">
        <f t="shared" si="8"/>
        <v>933.9</v>
      </c>
      <c r="AH45" s="3">
        <f t="shared" si="8"/>
        <v>1000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1</v>
      </c>
      <c r="D46" s="5">
        <f t="shared" si="9"/>
        <v>0</v>
      </c>
      <c r="E46" s="6" t="str">
        <f t="shared" si="9"/>
        <v>*Ge</v>
      </c>
      <c r="F46" s="14">
        <f t="shared" ref="F46:U55" ca="1" si="10">$A46*H.Ar + $B46*H.Se + $C46*H.Ge + $D46*H.Ga</f>
        <v>-16.29</v>
      </c>
      <c r="G46" s="14">
        <f t="shared" ca="1" si="10"/>
        <v>-15.65</v>
      </c>
      <c r="H46" s="14">
        <f t="shared" ca="1" si="10"/>
        <v>-15.09</v>
      </c>
      <c r="I46" s="14">
        <f t="shared" ca="1" si="10"/>
        <v>-14.59</v>
      </c>
      <c r="J46" s="14">
        <f t="shared" ca="1" si="10"/>
        <v>-14.16</v>
      </c>
      <c r="K46" s="14">
        <f t="shared" ca="1" si="10"/>
        <v>-13.03</v>
      </c>
      <c r="L46" s="14">
        <f t="shared" ca="1" si="10"/>
        <v>-11.8</v>
      </c>
      <c r="M46" s="14">
        <f t="shared" ca="1" si="10"/>
        <v>-10.67</v>
      </c>
      <c r="N46" s="14">
        <f t="shared" ca="1" si="10"/>
        <v>-9.6150000000000002</v>
      </c>
      <c r="O46" s="14">
        <f t="shared" ca="1" si="10"/>
        <v>-6.04</v>
      </c>
      <c r="P46" s="14">
        <f t="shared" ca="1" si="10"/>
        <v>-5.2759999999999998</v>
      </c>
      <c r="Q46" s="14">
        <f t="shared" ca="1" si="10"/>
        <v>-4.1150000000000002</v>
      </c>
      <c r="R46" s="14">
        <f t="shared" ca="1" si="10"/>
        <v>-4.1550000000000002</v>
      </c>
      <c r="S46" s="14">
        <f t="shared" ca="1" si="10"/>
        <v>-4.3170000000000002</v>
      </c>
      <c r="T46" s="14">
        <f t="shared" ca="1" si="10"/>
        <v>-4.4809999999999999</v>
      </c>
      <c r="U46" s="14">
        <f t="shared" ca="1" si="10"/>
        <v>-4.5220000000000002</v>
      </c>
      <c r="V46" s="14">
        <f t="shared" ref="V46:AL46" ca="1" si="11">$A46*H.Ar + $B46*H.Se + $C46*H.Ge + $D46*H.Ga</f>
        <v>-4.5620000000000003</v>
      </c>
      <c r="W46" s="14">
        <f t="shared" ca="1" si="11"/>
        <v>-4.6029999999999998</v>
      </c>
      <c r="X46" s="14">
        <f t="shared" ca="1" si="11"/>
        <v>-4.6429999999999998</v>
      </c>
      <c r="Y46" s="14">
        <f t="shared" ca="1" si="11"/>
        <v>-4.6829999999999998</v>
      </c>
      <c r="Z46" s="14">
        <f t="shared" ca="1" si="11"/>
        <v>-4.7220000000000004</v>
      </c>
      <c r="AA46" s="14">
        <f t="shared" ca="1" si="11"/>
        <v>-4.7619999999999996</v>
      </c>
      <c r="AB46" s="14">
        <f t="shared" ca="1" si="11"/>
        <v>-4.8010000000000002</v>
      </c>
      <c r="AC46" s="14">
        <f t="shared" ca="1" si="11"/>
        <v>-4.84</v>
      </c>
      <c r="AD46" s="14">
        <f t="shared" ca="1" si="11"/>
        <v>-4.8780000000000001</v>
      </c>
      <c r="AE46" s="14">
        <f t="shared" ca="1" si="11"/>
        <v>-4.9169999999999998</v>
      </c>
      <c r="AF46" s="14">
        <f t="shared" ca="1" si="11"/>
        <v>-4.9550000000000001</v>
      </c>
      <c r="AG46" s="14">
        <f t="shared" ca="1" si="11"/>
        <v>-5.1040000000000001</v>
      </c>
      <c r="AH46" s="14">
        <f t="shared" ca="1" si="11"/>
        <v>-5.2489999999999997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customHeight="1" outlineLevel="1" thickBot="1" x14ac:dyDescent="0.4">
      <c r="A47" s="5">
        <f t="shared" si="9"/>
        <v>0</v>
      </c>
      <c r="B47" s="5">
        <f t="shared" si="9"/>
        <v>1</v>
      </c>
      <c r="C47" s="5">
        <f t="shared" si="9"/>
        <v>1</v>
      </c>
      <c r="D47" s="5">
        <f t="shared" si="9"/>
        <v>0</v>
      </c>
      <c r="E47" s="6" t="str">
        <f t="shared" si="9"/>
        <v>*GeSe</v>
      </c>
      <c r="F47" s="14">
        <f t="shared" ca="1" si="10"/>
        <v>-39.81</v>
      </c>
      <c r="G47" s="14">
        <f t="shared" ref="G47:AL54" ca="1" si="12">$A47*H.Ar + $B47*H.Se + $C47*H.Ge + $D47*H.Ga</f>
        <v>-38.06</v>
      </c>
      <c r="H47" s="14">
        <f t="shared" ca="1" si="12"/>
        <v>-36.510000000000005</v>
      </c>
      <c r="I47" s="14">
        <f t="shared" ca="1" si="12"/>
        <v>-35.129999999999995</v>
      </c>
      <c r="J47" s="14">
        <f t="shared" ca="1" si="12"/>
        <v>-33.92</v>
      </c>
      <c r="K47" s="14">
        <f t="shared" ca="1" si="12"/>
        <v>-32.82</v>
      </c>
      <c r="L47" s="14">
        <f t="shared" ca="1" si="12"/>
        <v>-31.830000000000002</v>
      </c>
      <c r="M47" s="14">
        <f t="shared" ca="1" si="12"/>
        <v>-30.950000000000003</v>
      </c>
      <c r="N47" s="14">
        <f t="shared" ca="1" si="12"/>
        <v>-30.134999999999998</v>
      </c>
      <c r="O47" s="14">
        <f t="shared" ca="1" si="12"/>
        <v>-27.56</v>
      </c>
      <c r="P47" s="14">
        <f t="shared" ca="1" si="12"/>
        <v>-27.045999999999999</v>
      </c>
      <c r="Q47" s="14">
        <f t="shared" ca="1" si="12"/>
        <v>-26.384999999999998</v>
      </c>
      <c r="R47" s="14">
        <f t="shared" ca="1" si="12"/>
        <v>-26.665000000000003</v>
      </c>
      <c r="S47" s="14">
        <f t="shared" ca="1" si="12"/>
        <v>-27.797000000000001</v>
      </c>
      <c r="T47" s="14">
        <f t="shared" ca="1" si="12"/>
        <v>-28.890999999999998</v>
      </c>
      <c r="U47" s="14">
        <f t="shared" ca="1" si="12"/>
        <v>-29.161999999999999</v>
      </c>
      <c r="V47" s="14">
        <f t="shared" ca="1" si="12"/>
        <v>-29.422000000000001</v>
      </c>
      <c r="W47" s="14">
        <f t="shared" ca="1" si="12"/>
        <v>-29.692999999999998</v>
      </c>
      <c r="X47" s="14">
        <f t="shared" ca="1" si="12"/>
        <v>-29.952999999999999</v>
      </c>
      <c r="Y47" s="14">
        <f t="shared" ca="1" si="12"/>
        <v>-30.213000000000001</v>
      </c>
      <c r="Z47" s="14">
        <f t="shared" ca="1" si="12"/>
        <v>-30.472000000000001</v>
      </c>
      <c r="AA47" s="14">
        <f t="shared" ca="1" si="12"/>
        <v>-30.722000000000001</v>
      </c>
      <c r="AB47" s="14">
        <f t="shared" ca="1" si="12"/>
        <v>-30.981000000000002</v>
      </c>
      <c r="AC47" s="14">
        <f t="shared" ca="1" si="12"/>
        <v>-31.23</v>
      </c>
      <c r="AD47" s="14">
        <f t="shared" ca="1" si="12"/>
        <v>-31.478000000000002</v>
      </c>
      <c r="AE47" s="14">
        <f t="shared" ca="1" si="12"/>
        <v>-31.726999999999997</v>
      </c>
      <c r="AF47" s="14">
        <f t="shared" ca="1" si="12"/>
        <v>-31.975000000000001</v>
      </c>
      <c r="AG47" s="14">
        <f t="shared" ca="1" si="12"/>
        <v>-32.933999999999997</v>
      </c>
      <c r="AH47" s="14">
        <f t="shared" ca="1" si="12"/>
        <v>-33.869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customHeight="1" outlineLevel="1" thickBot="1" x14ac:dyDescent="0.4">
      <c r="A48" s="5">
        <f t="shared" si="9"/>
        <v>0</v>
      </c>
      <c r="B48" s="5">
        <f t="shared" si="9"/>
        <v>0</v>
      </c>
      <c r="C48" s="5">
        <f t="shared" si="9"/>
        <v>0</v>
      </c>
      <c r="D48" s="5">
        <f t="shared" si="9"/>
        <v>1</v>
      </c>
      <c r="E48" s="6" t="str">
        <f t="shared" si="9"/>
        <v>*Ga[1]</v>
      </c>
      <c r="F48" s="14">
        <f t="shared" ca="1" si="10"/>
        <v>-66.3</v>
      </c>
      <c r="G48" s="14">
        <f t="shared" ca="1" si="12"/>
        <v>-62.81</v>
      </c>
      <c r="H48" s="14">
        <f t="shared" ca="1" si="12"/>
        <v>-59.71</v>
      </c>
      <c r="I48" s="14">
        <f t="shared" ca="1" si="12"/>
        <v>-56.94</v>
      </c>
      <c r="J48" s="14">
        <f t="shared" ca="1" si="12"/>
        <v>-54.44</v>
      </c>
      <c r="K48" s="14">
        <f t="shared" ca="1" si="12"/>
        <v>-51.07</v>
      </c>
      <c r="L48" s="14">
        <f t="shared" ca="1" si="12"/>
        <v>-47.7</v>
      </c>
      <c r="M48" s="14">
        <f t="shared" ca="1" si="12"/>
        <v>-44.59</v>
      </c>
      <c r="N48" s="14">
        <f t="shared" ca="1" si="12"/>
        <v>-41.72</v>
      </c>
      <c r="O48" s="14">
        <f t="shared" ca="1" si="12"/>
        <v>-32.06</v>
      </c>
      <c r="P48" s="14">
        <f t="shared" ca="1" si="12"/>
        <v>-30.02</v>
      </c>
      <c r="Q48" s="14">
        <f t="shared" ca="1" si="12"/>
        <v>-26.27</v>
      </c>
      <c r="R48" s="14">
        <f t="shared" ca="1" si="12"/>
        <v>-24.55</v>
      </c>
      <c r="S48" s="14">
        <f t="shared" ca="1" si="12"/>
        <v>-18.5</v>
      </c>
      <c r="T48" s="14">
        <f t="shared" ca="1" si="12"/>
        <v>-13.49</v>
      </c>
      <c r="U48" s="14">
        <f t="shared" ca="1" si="12"/>
        <v>-12.36</v>
      </c>
      <c r="V48" s="14">
        <f t="shared" ca="1" si="12"/>
        <v>-11.28</v>
      </c>
      <c r="W48" s="14">
        <f t="shared" ca="1" si="12"/>
        <v>-10.24</v>
      </c>
      <c r="X48" s="14">
        <f t="shared" ca="1" si="12"/>
        <v>-9.24</v>
      </c>
      <c r="Y48" s="14">
        <f t="shared" ca="1" si="12"/>
        <v>-8.68</v>
      </c>
      <c r="Z48" s="14">
        <f t="shared" ca="1" si="12"/>
        <v>-8.2560000000000002</v>
      </c>
      <c r="AA48" s="14">
        <f t="shared" ca="1" si="12"/>
        <v>-7.8470000000000004</v>
      </c>
      <c r="AB48" s="14">
        <f t="shared" ca="1" si="12"/>
        <v>-7.6349999999999998</v>
      </c>
      <c r="AC48" s="14">
        <f t="shared" ca="1" si="12"/>
        <v>-7.7149999999999999</v>
      </c>
      <c r="AD48" s="14">
        <f t="shared" ca="1" si="12"/>
        <v>-7.7960000000000003</v>
      </c>
      <c r="AE48" s="14">
        <f t="shared" ca="1" si="12"/>
        <v>-7.8789999999999996</v>
      </c>
      <c r="AF48" s="14">
        <f t="shared" ca="1" si="12"/>
        <v>-7.9630000000000001</v>
      </c>
      <c r="AG48" s="14">
        <f t="shared" ca="1" si="12"/>
        <v>-8.3190000000000008</v>
      </c>
      <c r="AH48" s="14">
        <f t="shared" ca="1" si="12"/>
        <v>-8.7249999999999996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customHeight="1" outlineLevel="1" thickBot="1" x14ac:dyDescent="0.4">
      <c r="A49" s="5">
        <f t="shared" si="9"/>
        <v>0</v>
      </c>
      <c r="B49" s="5">
        <f t="shared" si="9"/>
        <v>1</v>
      </c>
      <c r="C49" s="5">
        <f t="shared" si="9"/>
        <v>0</v>
      </c>
      <c r="D49" s="5">
        <f t="shared" si="9"/>
        <v>2</v>
      </c>
      <c r="E49" s="6" t="str">
        <f t="shared" si="9"/>
        <v>*Ga2Se</v>
      </c>
      <c r="F49" s="14">
        <f t="shared" ca="1" si="10"/>
        <v>-156.12</v>
      </c>
      <c r="G49" s="14">
        <f t="shared" ca="1" si="12"/>
        <v>-148.03</v>
      </c>
      <c r="H49" s="14">
        <f t="shared" ca="1" si="12"/>
        <v>-140.84</v>
      </c>
      <c r="I49" s="14">
        <f t="shared" ca="1" si="12"/>
        <v>-134.41999999999999</v>
      </c>
      <c r="J49" s="14">
        <f t="shared" ca="1" si="12"/>
        <v>-128.63999999999999</v>
      </c>
      <c r="K49" s="14">
        <f t="shared" ca="1" si="12"/>
        <v>-121.93</v>
      </c>
      <c r="L49" s="14">
        <f t="shared" ca="1" si="12"/>
        <v>-115.43</v>
      </c>
      <c r="M49" s="14">
        <f t="shared" ca="1" si="12"/>
        <v>-109.46000000000001</v>
      </c>
      <c r="N49" s="14">
        <f t="shared" ca="1" si="12"/>
        <v>-103.96</v>
      </c>
      <c r="O49" s="14">
        <f t="shared" ca="1" si="12"/>
        <v>-85.64</v>
      </c>
      <c r="P49" s="14">
        <f t="shared" ca="1" si="12"/>
        <v>-81.81</v>
      </c>
      <c r="Q49" s="14">
        <f t="shared" ca="1" si="12"/>
        <v>-74.81</v>
      </c>
      <c r="R49" s="14">
        <f t="shared" ca="1" si="12"/>
        <v>-71.61</v>
      </c>
      <c r="S49" s="14">
        <f t="shared" ca="1" si="12"/>
        <v>-60.480000000000004</v>
      </c>
      <c r="T49" s="14">
        <f t="shared" ca="1" si="12"/>
        <v>-51.39</v>
      </c>
      <c r="U49" s="14">
        <f t="shared" ca="1" si="12"/>
        <v>-49.36</v>
      </c>
      <c r="V49" s="14">
        <f t="shared" ca="1" si="12"/>
        <v>-47.42</v>
      </c>
      <c r="W49" s="14">
        <f t="shared" ca="1" si="12"/>
        <v>-45.57</v>
      </c>
      <c r="X49" s="14">
        <f t="shared" ca="1" si="12"/>
        <v>-43.79</v>
      </c>
      <c r="Y49" s="14">
        <f t="shared" ca="1" si="12"/>
        <v>-42.89</v>
      </c>
      <c r="Z49" s="14">
        <f t="shared" ca="1" si="12"/>
        <v>-42.262</v>
      </c>
      <c r="AA49" s="14">
        <f t="shared" ca="1" si="12"/>
        <v>-41.654000000000003</v>
      </c>
      <c r="AB49" s="14">
        <f t="shared" ca="1" si="12"/>
        <v>-41.45</v>
      </c>
      <c r="AC49" s="14">
        <f t="shared" ca="1" si="12"/>
        <v>-41.82</v>
      </c>
      <c r="AD49" s="14">
        <f t="shared" ca="1" si="12"/>
        <v>-42.192</v>
      </c>
      <c r="AE49" s="14">
        <f t="shared" ca="1" si="12"/>
        <v>-42.567999999999998</v>
      </c>
      <c r="AF49" s="14">
        <f t="shared" ca="1" si="12"/>
        <v>-42.945999999999998</v>
      </c>
      <c r="AG49" s="14">
        <f t="shared" ca="1" si="12"/>
        <v>-44.468000000000004</v>
      </c>
      <c r="AH49" s="14">
        <f t="shared" ca="1" si="12"/>
        <v>-46.07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customHeight="1" outlineLevel="1" thickBot="1" x14ac:dyDescent="0.4">
      <c r="A50" s="5">
        <f t="shared" si="9"/>
        <v>0</v>
      </c>
      <c r="B50" s="5">
        <f t="shared" si="9"/>
        <v>0</v>
      </c>
      <c r="C50" s="5">
        <f t="shared" si="9"/>
        <v>1</v>
      </c>
      <c r="D50" s="5">
        <f t="shared" si="9"/>
        <v>0</v>
      </c>
      <c r="E50" s="6" t="str">
        <f t="shared" si="9"/>
        <v>*Ge[c]</v>
      </c>
      <c r="F50" s="14">
        <f t="shared" ca="1" si="10"/>
        <v>-16.29</v>
      </c>
      <c r="G50" s="14">
        <f t="shared" ca="1" si="12"/>
        <v>-15.65</v>
      </c>
      <c r="H50" s="14">
        <f t="shared" ca="1" si="12"/>
        <v>-15.09</v>
      </c>
      <c r="I50" s="14">
        <f t="shared" ca="1" si="12"/>
        <v>-14.59</v>
      </c>
      <c r="J50" s="14">
        <f t="shared" ca="1" si="12"/>
        <v>-14.16</v>
      </c>
      <c r="K50" s="14">
        <f t="shared" ca="1" si="12"/>
        <v>-13.03</v>
      </c>
      <c r="L50" s="14">
        <f t="shared" ca="1" si="12"/>
        <v>-11.8</v>
      </c>
      <c r="M50" s="14">
        <f t="shared" ca="1" si="12"/>
        <v>-10.67</v>
      </c>
      <c r="N50" s="14">
        <f t="shared" ca="1" si="12"/>
        <v>-9.6150000000000002</v>
      </c>
      <c r="O50" s="14">
        <f t="shared" ca="1" si="12"/>
        <v>-6.04</v>
      </c>
      <c r="P50" s="14">
        <f t="shared" ca="1" si="12"/>
        <v>-5.2759999999999998</v>
      </c>
      <c r="Q50" s="14">
        <f t="shared" ca="1" si="12"/>
        <v>-4.1150000000000002</v>
      </c>
      <c r="R50" s="14">
        <f t="shared" ca="1" si="12"/>
        <v>-4.1550000000000002</v>
      </c>
      <c r="S50" s="14">
        <f t="shared" ca="1" si="12"/>
        <v>-4.3170000000000002</v>
      </c>
      <c r="T50" s="14">
        <f t="shared" ca="1" si="12"/>
        <v>-4.4809999999999999</v>
      </c>
      <c r="U50" s="14">
        <f t="shared" ca="1" si="12"/>
        <v>-4.5220000000000002</v>
      </c>
      <c r="V50" s="14">
        <f t="shared" ca="1" si="12"/>
        <v>-4.5620000000000003</v>
      </c>
      <c r="W50" s="14">
        <f t="shared" ca="1" si="12"/>
        <v>-4.6029999999999998</v>
      </c>
      <c r="X50" s="14">
        <f t="shared" ca="1" si="12"/>
        <v>-4.6429999999999998</v>
      </c>
      <c r="Y50" s="14">
        <f t="shared" ca="1" si="12"/>
        <v>-4.6829999999999998</v>
      </c>
      <c r="Z50" s="14">
        <f t="shared" ca="1" si="12"/>
        <v>-4.7220000000000004</v>
      </c>
      <c r="AA50" s="14">
        <f t="shared" ca="1" si="12"/>
        <v>-4.7619999999999996</v>
      </c>
      <c r="AB50" s="14">
        <f t="shared" ca="1" si="12"/>
        <v>-4.8010000000000002</v>
      </c>
      <c r="AC50" s="14">
        <f t="shared" ca="1" si="12"/>
        <v>-4.84</v>
      </c>
      <c r="AD50" s="14">
        <f t="shared" ca="1" si="12"/>
        <v>-4.8780000000000001</v>
      </c>
      <c r="AE50" s="14">
        <f t="shared" ca="1" si="12"/>
        <v>-4.9169999999999998</v>
      </c>
      <c r="AF50" s="14">
        <f t="shared" ca="1" si="12"/>
        <v>-4.9550000000000001</v>
      </c>
      <c r="AG50" s="14">
        <f t="shared" ca="1" si="12"/>
        <v>-5.1040000000000001</v>
      </c>
      <c r="AH50" s="14">
        <f t="shared" ca="1" si="12"/>
        <v>-5.2489999999999997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customHeight="1" outlineLevel="1" thickBot="1" x14ac:dyDescent="0.4">
      <c r="A51" s="5">
        <f t="shared" si="9"/>
        <v>0</v>
      </c>
      <c r="B51" s="5">
        <f t="shared" si="9"/>
        <v>1</v>
      </c>
      <c r="C51" s="5">
        <f t="shared" si="9"/>
        <v>0</v>
      </c>
      <c r="D51" s="5">
        <f t="shared" si="9"/>
        <v>0</v>
      </c>
      <c r="E51" s="6" t="str">
        <f t="shared" si="9"/>
        <v>*Se[m]</v>
      </c>
      <c r="F51" s="14">
        <f t="shared" ca="1" si="10"/>
        <v>-23.52</v>
      </c>
      <c r="G51" s="14">
        <f t="shared" ca="1" si="12"/>
        <v>-22.41</v>
      </c>
      <c r="H51" s="14">
        <f t="shared" ca="1" si="12"/>
        <v>-21.42</v>
      </c>
      <c r="I51" s="14">
        <f t="shared" ca="1" si="12"/>
        <v>-20.54</v>
      </c>
      <c r="J51" s="14">
        <f t="shared" ca="1" si="12"/>
        <v>-19.760000000000002</v>
      </c>
      <c r="K51" s="14">
        <f t="shared" ca="1" si="12"/>
        <v>-19.79</v>
      </c>
      <c r="L51" s="14">
        <f t="shared" ca="1" si="12"/>
        <v>-20.03</v>
      </c>
      <c r="M51" s="14">
        <f t="shared" ca="1" si="12"/>
        <v>-20.28</v>
      </c>
      <c r="N51" s="14">
        <f t="shared" ca="1" si="12"/>
        <v>-20.52</v>
      </c>
      <c r="O51" s="14">
        <f t="shared" ca="1" si="12"/>
        <v>-21.52</v>
      </c>
      <c r="P51" s="14">
        <f t="shared" ca="1" si="12"/>
        <v>-21.77</v>
      </c>
      <c r="Q51" s="14">
        <f t="shared" ca="1" si="12"/>
        <v>-22.27</v>
      </c>
      <c r="R51" s="14">
        <f t="shared" ca="1" si="12"/>
        <v>-22.51</v>
      </c>
      <c r="S51" s="14">
        <f t="shared" ca="1" si="12"/>
        <v>-23.48</v>
      </c>
      <c r="T51" s="14">
        <f t="shared" ca="1" si="12"/>
        <v>-24.41</v>
      </c>
      <c r="U51" s="14">
        <f t="shared" ca="1" si="12"/>
        <v>-24.64</v>
      </c>
      <c r="V51" s="14">
        <f t="shared" ca="1" si="12"/>
        <v>-24.86</v>
      </c>
      <c r="W51" s="14">
        <f t="shared" ca="1" si="12"/>
        <v>-25.09</v>
      </c>
      <c r="X51" s="14">
        <f t="shared" ca="1" si="12"/>
        <v>-25.31</v>
      </c>
      <c r="Y51" s="14">
        <f t="shared" ca="1" si="12"/>
        <v>-25.53</v>
      </c>
      <c r="Z51" s="14">
        <f t="shared" ca="1" si="12"/>
        <v>-25.75</v>
      </c>
      <c r="AA51" s="14">
        <f t="shared" ca="1" si="12"/>
        <v>-25.96</v>
      </c>
      <c r="AB51" s="14">
        <f t="shared" ca="1" si="12"/>
        <v>-26.18</v>
      </c>
      <c r="AC51" s="14">
        <f t="shared" ca="1" si="12"/>
        <v>-26.39</v>
      </c>
      <c r="AD51" s="14">
        <f t="shared" ca="1" si="12"/>
        <v>-26.6</v>
      </c>
      <c r="AE51" s="14">
        <f t="shared" ca="1" si="12"/>
        <v>-26.81</v>
      </c>
      <c r="AF51" s="14">
        <f t="shared" ca="1" si="12"/>
        <v>-27.02</v>
      </c>
      <c r="AG51" s="14">
        <f t="shared" ca="1" si="12"/>
        <v>-27.83</v>
      </c>
      <c r="AH51" s="14">
        <f t="shared" ca="1" si="12"/>
        <v>-28.62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customHeight="1" outlineLevel="1" thickBot="1" x14ac:dyDescent="0.4">
      <c r="A52" s="5">
        <f t="shared" si="9"/>
        <v>0</v>
      </c>
      <c r="B52" s="5">
        <f t="shared" si="9"/>
        <v>2</v>
      </c>
      <c r="C52" s="5">
        <f t="shared" si="9"/>
        <v>1</v>
      </c>
      <c r="D52" s="5">
        <f t="shared" si="9"/>
        <v>0</v>
      </c>
      <c r="E52" s="6" t="str">
        <f t="shared" si="9"/>
        <v>*GeSe2</v>
      </c>
      <c r="F52" s="14">
        <f t="shared" ca="1" si="10"/>
        <v>-63.33</v>
      </c>
      <c r="G52" s="14">
        <f t="shared" ca="1" si="12"/>
        <v>-60.47</v>
      </c>
      <c r="H52" s="14">
        <f t="shared" ca="1" si="12"/>
        <v>-57.930000000000007</v>
      </c>
      <c r="I52" s="14">
        <f t="shared" ca="1" si="12"/>
        <v>-55.67</v>
      </c>
      <c r="J52" s="14">
        <f t="shared" ca="1" si="12"/>
        <v>-53.680000000000007</v>
      </c>
      <c r="K52" s="14">
        <f t="shared" ca="1" si="12"/>
        <v>-52.61</v>
      </c>
      <c r="L52" s="14">
        <f t="shared" ca="1" si="12"/>
        <v>-51.86</v>
      </c>
      <c r="M52" s="14">
        <f t="shared" ca="1" si="12"/>
        <v>-51.230000000000004</v>
      </c>
      <c r="N52" s="14">
        <f t="shared" ca="1" si="12"/>
        <v>-50.655000000000001</v>
      </c>
      <c r="O52" s="14">
        <f t="shared" ca="1" si="12"/>
        <v>-49.08</v>
      </c>
      <c r="P52" s="14">
        <f t="shared" ca="1" si="12"/>
        <v>-48.816000000000003</v>
      </c>
      <c r="Q52" s="14">
        <f t="shared" ca="1" si="12"/>
        <v>-48.655000000000001</v>
      </c>
      <c r="R52" s="14">
        <f t="shared" ca="1" si="12"/>
        <v>-49.175000000000004</v>
      </c>
      <c r="S52" s="14">
        <f t="shared" ca="1" si="12"/>
        <v>-51.277000000000001</v>
      </c>
      <c r="T52" s="14">
        <f t="shared" ca="1" si="12"/>
        <v>-53.301000000000002</v>
      </c>
      <c r="U52" s="14">
        <f t="shared" ca="1" si="12"/>
        <v>-53.802</v>
      </c>
      <c r="V52" s="14">
        <f t="shared" ca="1" si="12"/>
        <v>-54.281999999999996</v>
      </c>
      <c r="W52" s="14">
        <f t="shared" ca="1" si="12"/>
        <v>-54.783000000000001</v>
      </c>
      <c r="X52" s="14">
        <f t="shared" ca="1" si="12"/>
        <v>-55.262999999999998</v>
      </c>
      <c r="Y52" s="14">
        <f t="shared" ca="1" si="12"/>
        <v>-55.743000000000002</v>
      </c>
      <c r="Z52" s="14">
        <f t="shared" ca="1" si="12"/>
        <v>-56.222000000000001</v>
      </c>
      <c r="AA52" s="14">
        <f t="shared" ca="1" si="12"/>
        <v>-56.682000000000002</v>
      </c>
      <c r="AB52" s="14">
        <f t="shared" ca="1" si="12"/>
        <v>-57.161000000000001</v>
      </c>
      <c r="AC52" s="14">
        <f t="shared" ca="1" si="12"/>
        <v>-57.620000000000005</v>
      </c>
      <c r="AD52" s="14">
        <f t="shared" ca="1" si="12"/>
        <v>-58.078000000000003</v>
      </c>
      <c r="AE52" s="14">
        <f t="shared" ca="1" si="12"/>
        <v>-58.536999999999999</v>
      </c>
      <c r="AF52" s="14">
        <f t="shared" ca="1" si="12"/>
        <v>-58.994999999999997</v>
      </c>
      <c r="AG52" s="14">
        <f t="shared" ca="1" si="12"/>
        <v>-60.763999999999996</v>
      </c>
      <c r="AH52" s="14">
        <f t="shared" ca="1" si="12"/>
        <v>-62.489000000000004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customHeight="1" outlineLevel="1" thickBot="1" x14ac:dyDescent="0.4">
      <c r="A53" s="5">
        <f t="shared" si="9"/>
        <v>0</v>
      </c>
      <c r="B53" s="5">
        <f t="shared" si="9"/>
        <v>3</v>
      </c>
      <c r="C53" s="5">
        <f t="shared" si="9"/>
        <v>0</v>
      </c>
      <c r="D53" s="5">
        <f t="shared" si="9"/>
        <v>2</v>
      </c>
      <c r="E53" s="6" t="str">
        <f t="shared" si="9"/>
        <v>Ga2Se3</v>
      </c>
      <c r="F53" s="14">
        <f t="shared" ca="1" si="10"/>
        <v>-203.16</v>
      </c>
      <c r="G53" s="14">
        <f t="shared" ca="1" si="12"/>
        <v>-192.85000000000002</v>
      </c>
      <c r="H53" s="14">
        <f t="shared" ca="1" si="12"/>
        <v>-183.68</v>
      </c>
      <c r="I53" s="14">
        <f t="shared" ca="1" si="12"/>
        <v>-175.5</v>
      </c>
      <c r="J53" s="14">
        <f t="shared" ca="1" si="12"/>
        <v>-168.16</v>
      </c>
      <c r="K53" s="14">
        <f t="shared" ca="1" si="12"/>
        <v>-161.51</v>
      </c>
      <c r="L53" s="14">
        <f t="shared" ca="1" si="12"/>
        <v>-155.49</v>
      </c>
      <c r="M53" s="14">
        <f t="shared" ca="1" si="12"/>
        <v>-150.02000000000001</v>
      </c>
      <c r="N53" s="14">
        <f t="shared" ca="1" si="12"/>
        <v>-145</v>
      </c>
      <c r="O53" s="14">
        <f t="shared" ca="1" si="12"/>
        <v>-128.68</v>
      </c>
      <c r="P53" s="14">
        <f t="shared" ca="1" si="12"/>
        <v>-125.35</v>
      </c>
      <c r="Q53" s="14">
        <f t="shared" ca="1" si="12"/>
        <v>-119.35</v>
      </c>
      <c r="R53" s="14">
        <f t="shared" ca="1" si="12"/>
        <v>-116.63</v>
      </c>
      <c r="S53" s="14">
        <f t="shared" ca="1" si="12"/>
        <v>-107.44</v>
      </c>
      <c r="T53" s="14">
        <f t="shared" ca="1" si="12"/>
        <v>-100.21000000000001</v>
      </c>
      <c r="U53" s="14">
        <f t="shared" ca="1" si="12"/>
        <v>-98.64</v>
      </c>
      <c r="V53" s="14">
        <f t="shared" ca="1" si="12"/>
        <v>-97.14</v>
      </c>
      <c r="W53" s="14">
        <f t="shared" ca="1" si="12"/>
        <v>-95.75</v>
      </c>
      <c r="X53" s="14">
        <f t="shared" ca="1" si="12"/>
        <v>-94.41</v>
      </c>
      <c r="Y53" s="14">
        <f t="shared" ca="1" si="12"/>
        <v>-93.95</v>
      </c>
      <c r="Z53" s="14">
        <f t="shared" ca="1" si="12"/>
        <v>-93.762</v>
      </c>
      <c r="AA53" s="14">
        <f t="shared" ca="1" si="12"/>
        <v>-93.573999999999998</v>
      </c>
      <c r="AB53" s="14">
        <f t="shared" ca="1" si="12"/>
        <v>-93.809999999999988</v>
      </c>
      <c r="AC53" s="14">
        <f t="shared" ca="1" si="12"/>
        <v>-94.6</v>
      </c>
      <c r="AD53" s="14">
        <f t="shared" ca="1" si="12"/>
        <v>-95.39200000000001</v>
      </c>
      <c r="AE53" s="14">
        <f t="shared" ca="1" si="12"/>
        <v>-96.187999999999988</v>
      </c>
      <c r="AF53" s="14">
        <f t="shared" ca="1" si="12"/>
        <v>-96.986000000000004</v>
      </c>
      <c r="AG53" s="14">
        <f t="shared" ca="1" si="12"/>
        <v>-100.128</v>
      </c>
      <c r="AH53" s="14">
        <f t="shared" ca="1" si="12"/>
        <v>-103.31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customHeight="1" outlineLevel="1" thickBot="1" x14ac:dyDescent="0.4">
      <c r="A54" s="5">
        <f t="shared" si="9"/>
        <v>0</v>
      </c>
      <c r="B54" s="5">
        <f t="shared" si="9"/>
        <v>1</v>
      </c>
      <c r="C54" s="5">
        <f t="shared" si="9"/>
        <v>0</v>
      </c>
      <c r="D54" s="5">
        <f t="shared" si="9"/>
        <v>2</v>
      </c>
      <c r="E54" s="6" t="str">
        <f t="shared" si="9"/>
        <v>Ga2Se</v>
      </c>
      <c r="F54" s="14">
        <f t="shared" ca="1" si="10"/>
        <v>-156.12</v>
      </c>
      <c r="G54" s="14">
        <f t="shared" ca="1" si="12"/>
        <v>-148.03</v>
      </c>
      <c r="H54" s="14">
        <f t="shared" ca="1" si="12"/>
        <v>-140.84</v>
      </c>
      <c r="I54" s="14">
        <f t="shared" ca="1" si="12"/>
        <v>-134.41999999999999</v>
      </c>
      <c r="J54" s="14">
        <f t="shared" ca="1" si="12"/>
        <v>-128.63999999999999</v>
      </c>
      <c r="K54" s="14">
        <f t="shared" ca="1" si="12"/>
        <v>-121.93</v>
      </c>
      <c r="L54" s="14">
        <f t="shared" ca="1" si="12"/>
        <v>-115.43</v>
      </c>
      <c r="M54" s="14">
        <f t="shared" ca="1" si="12"/>
        <v>-109.46000000000001</v>
      </c>
      <c r="N54" s="14">
        <f t="shared" ca="1" si="12"/>
        <v>-103.96</v>
      </c>
      <c r="O54" s="14">
        <f t="shared" ca="1" si="12"/>
        <v>-85.64</v>
      </c>
      <c r="P54" s="14">
        <f t="shared" ca="1" si="12"/>
        <v>-81.81</v>
      </c>
      <c r="Q54" s="14">
        <f t="shared" ca="1" si="12"/>
        <v>-74.81</v>
      </c>
      <c r="R54" s="14">
        <f t="shared" ca="1" si="12"/>
        <v>-71.61</v>
      </c>
      <c r="S54" s="14">
        <f t="shared" ca="1" si="12"/>
        <v>-60.480000000000004</v>
      </c>
      <c r="T54" s="14">
        <f t="shared" ca="1" si="12"/>
        <v>-51.39</v>
      </c>
      <c r="U54" s="14">
        <f t="shared" ref="U54:AL54" ca="1" si="13">$A54*H.Ar + $B54*H.Se + $C54*H.Ge + $D54*H.Ga</f>
        <v>-49.36</v>
      </c>
      <c r="V54" s="14">
        <f t="shared" ca="1" si="13"/>
        <v>-47.42</v>
      </c>
      <c r="W54" s="14">
        <f t="shared" ca="1" si="13"/>
        <v>-45.57</v>
      </c>
      <c r="X54" s="14">
        <f t="shared" ca="1" si="13"/>
        <v>-43.79</v>
      </c>
      <c r="Y54" s="14">
        <f t="shared" ca="1" si="13"/>
        <v>-42.89</v>
      </c>
      <c r="Z54" s="14">
        <f t="shared" ca="1" si="13"/>
        <v>-42.262</v>
      </c>
      <c r="AA54" s="14">
        <f t="shared" ca="1" si="13"/>
        <v>-41.654000000000003</v>
      </c>
      <c r="AB54" s="14">
        <f t="shared" ca="1" si="13"/>
        <v>-41.45</v>
      </c>
      <c r="AC54" s="14">
        <f t="shared" ca="1" si="13"/>
        <v>-41.82</v>
      </c>
      <c r="AD54" s="14">
        <f t="shared" ca="1" si="13"/>
        <v>-42.192</v>
      </c>
      <c r="AE54" s="14">
        <f t="shared" ca="1" si="13"/>
        <v>-42.567999999999998</v>
      </c>
      <c r="AF54" s="14">
        <f t="shared" ca="1" si="13"/>
        <v>-42.945999999999998</v>
      </c>
      <c r="AG54" s="14">
        <f t="shared" ca="1" si="13"/>
        <v>-44.468000000000004</v>
      </c>
      <c r="AH54" s="14">
        <f t="shared" ca="1" si="13"/>
        <v>-46.07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customHeight="1" outlineLevel="1" thickBot="1" x14ac:dyDescent="0.4">
      <c r="A55" s="5">
        <f t="shared" si="9"/>
        <v>1</v>
      </c>
      <c r="B55" s="5">
        <f t="shared" si="9"/>
        <v>0</v>
      </c>
      <c r="C55" s="5">
        <f t="shared" si="9"/>
        <v>0</v>
      </c>
      <c r="D55" s="5">
        <f t="shared" si="9"/>
        <v>0</v>
      </c>
      <c r="E55" s="6" t="str">
        <f t="shared" si="9"/>
        <v>Ar</v>
      </c>
      <c r="F55" s="14">
        <f t="shared" ca="1" si="10"/>
        <v>-18.88</v>
      </c>
      <c r="G55" s="14">
        <f t="shared" ref="G55:AL62" ca="1" si="14">$A55*H.Ar + $B55*H.Se + $C55*H.Ge + $D55*H.Ga</f>
        <v>-18.87</v>
      </c>
      <c r="H55" s="14">
        <f t="shared" ca="1" si="14"/>
        <v>-18.87</v>
      </c>
      <c r="I55" s="14">
        <f t="shared" ca="1" si="14"/>
        <v>-18.88</v>
      </c>
      <c r="J55" s="14">
        <f t="shared" ca="1" si="14"/>
        <v>-18.89</v>
      </c>
      <c r="K55" s="14">
        <f t="shared" ca="1" si="14"/>
        <v>-18.91</v>
      </c>
      <c r="L55" s="14">
        <f t="shared" ca="1" si="14"/>
        <v>-18.93</v>
      </c>
      <c r="M55" s="14">
        <f t="shared" ca="1" si="14"/>
        <v>-18.95</v>
      </c>
      <c r="N55" s="14">
        <f t="shared" ca="1" si="14"/>
        <v>-18.98</v>
      </c>
      <c r="O55" s="14">
        <f t="shared" ca="1" si="14"/>
        <v>-19.100000000000001</v>
      </c>
      <c r="P55" s="14">
        <f t="shared" ca="1" si="14"/>
        <v>-19.13</v>
      </c>
      <c r="Q55" s="14">
        <f t="shared" ca="1" si="14"/>
        <v>-19.2</v>
      </c>
      <c r="R55" s="14">
        <f t="shared" ca="1" si="14"/>
        <v>-19.23</v>
      </c>
      <c r="S55" s="14">
        <f t="shared" ca="1" si="14"/>
        <v>-19.37</v>
      </c>
      <c r="T55" s="14">
        <f t="shared" ca="1" si="14"/>
        <v>-19.510000000000002</v>
      </c>
      <c r="U55" s="14">
        <f t="shared" ca="1" si="14"/>
        <v>-19.54</v>
      </c>
      <c r="V55" s="14">
        <f t="shared" ca="1" si="14"/>
        <v>-19.579999999999998</v>
      </c>
      <c r="W55" s="14">
        <f t="shared" ca="1" si="14"/>
        <v>-19.61</v>
      </c>
      <c r="X55" s="14">
        <f t="shared" ca="1" si="14"/>
        <v>-19.64</v>
      </c>
      <c r="Y55" s="14">
        <f t="shared" ca="1" si="14"/>
        <v>-19.52</v>
      </c>
      <c r="Z55" s="14">
        <f t="shared" ca="1" si="14"/>
        <v>-19.489999999999998</v>
      </c>
      <c r="AA55" s="14">
        <f t="shared" ca="1" si="14"/>
        <v>-19.5</v>
      </c>
      <c r="AB55" s="14">
        <f t="shared" ca="1" si="14"/>
        <v>-19.52</v>
      </c>
      <c r="AC55" s="14">
        <f t="shared" ca="1" si="14"/>
        <v>-19.55</v>
      </c>
      <c r="AD55" s="14">
        <f t="shared" ca="1" si="14"/>
        <v>-19.579999999999998</v>
      </c>
      <c r="AE55" s="14">
        <f t="shared" ca="1" si="14"/>
        <v>-19.61</v>
      </c>
      <c r="AF55" s="14">
        <f t="shared" ca="1" si="14"/>
        <v>-19.64</v>
      </c>
      <c r="AG55" s="14">
        <f t="shared" ca="1" si="14"/>
        <v>-19.760000000000002</v>
      </c>
      <c r="AH55" s="14">
        <f t="shared" ca="1" si="14"/>
        <v>-19.88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customHeight="1" outlineLevel="1" thickBot="1" x14ac:dyDescent="0.4">
      <c r="A56" s="5">
        <f t="shared" ref="A56:E65" si="15">A14</f>
        <v>0</v>
      </c>
      <c r="B56" s="5">
        <f t="shared" si="15"/>
        <v>0</v>
      </c>
      <c r="C56" s="5">
        <f t="shared" si="15"/>
        <v>0</v>
      </c>
      <c r="D56" s="5">
        <f t="shared" si="15"/>
        <v>1</v>
      </c>
      <c r="E56" s="6" t="str">
        <f t="shared" si="15"/>
        <v>(1)Ga[l]</v>
      </c>
      <c r="F56" s="14">
        <f t="shared" ref="F56:U65" ca="1" si="16">$A56*H.Ar + $B56*H.Se + $C56*H.Ge + $D56*H.Ga</f>
        <v>-66.3</v>
      </c>
      <c r="G56" s="14">
        <f t="shared" ca="1" si="16"/>
        <v>-62.81</v>
      </c>
      <c r="H56" s="14">
        <f t="shared" ca="1" si="16"/>
        <v>-59.71</v>
      </c>
      <c r="I56" s="14">
        <f t="shared" ca="1" si="16"/>
        <v>-56.94</v>
      </c>
      <c r="J56" s="14">
        <f t="shared" ca="1" si="16"/>
        <v>-54.44</v>
      </c>
      <c r="K56" s="14">
        <f t="shared" ca="1" si="16"/>
        <v>-51.07</v>
      </c>
      <c r="L56" s="14">
        <f t="shared" ca="1" si="16"/>
        <v>-47.7</v>
      </c>
      <c r="M56" s="14">
        <f t="shared" ca="1" si="16"/>
        <v>-44.59</v>
      </c>
      <c r="N56" s="14">
        <f t="shared" ca="1" si="16"/>
        <v>-41.72</v>
      </c>
      <c r="O56" s="14">
        <f t="shared" ca="1" si="16"/>
        <v>-32.06</v>
      </c>
      <c r="P56" s="14">
        <f t="shared" ca="1" si="16"/>
        <v>-30.02</v>
      </c>
      <c r="Q56" s="14">
        <f t="shared" ca="1" si="16"/>
        <v>-26.27</v>
      </c>
      <c r="R56" s="14">
        <f t="shared" ca="1" si="16"/>
        <v>-24.55</v>
      </c>
      <c r="S56" s="14">
        <f t="shared" ca="1" si="16"/>
        <v>-18.5</v>
      </c>
      <c r="T56" s="14">
        <f t="shared" ca="1" si="16"/>
        <v>-13.49</v>
      </c>
      <c r="U56" s="14">
        <f t="shared" ca="1" si="16"/>
        <v>-12.36</v>
      </c>
      <c r="V56" s="14">
        <f t="shared" ca="1" si="14"/>
        <v>-11.28</v>
      </c>
      <c r="W56" s="14">
        <f t="shared" ca="1" si="14"/>
        <v>-10.24</v>
      </c>
      <c r="X56" s="14">
        <f t="shared" ca="1" si="14"/>
        <v>-9.24</v>
      </c>
      <c r="Y56" s="14">
        <f t="shared" ca="1" si="14"/>
        <v>-8.68</v>
      </c>
      <c r="Z56" s="14">
        <f t="shared" ca="1" si="14"/>
        <v>-8.2560000000000002</v>
      </c>
      <c r="AA56" s="14">
        <f t="shared" ca="1" si="14"/>
        <v>-7.8470000000000004</v>
      </c>
      <c r="AB56" s="14">
        <f t="shared" ca="1" si="14"/>
        <v>-7.6349999999999998</v>
      </c>
      <c r="AC56" s="14">
        <f t="shared" ca="1" si="14"/>
        <v>-7.7149999999999999</v>
      </c>
      <c r="AD56" s="14">
        <f t="shared" ca="1" si="14"/>
        <v>-7.7960000000000003</v>
      </c>
      <c r="AE56" s="14">
        <f t="shared" ca="1" si="14"/>
        <v>-7.8789999999999996</v>
      </c>
      <c r="AF56" s="14">
        <f t="shared" ca="1" si="14"/>
        <v>-7.9630000000000001</v>
      </c>
      <c r="AG56" s="14">
        <f t="shared" ca="1" si="14"/>
        <v>-8.3190000000000008</v>
      </c>
      <c r="AH56" s="14">
        <f t="shared" ca="1" si="14"/>
        <v>-8.7249999999999996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1</v>
      </c>
      <c r="D57" s="5">
        <f t="shared" si="15"/>
        <v>0</v>
      </c>
      <c r="E57" s="6" t="str">
        <f t="shared" si="15"/>
        <v>(1)Ge[l]</v>
      </c>
      <c r="F57" s="14">
        <f t="shared" ca="1" si="16"/>
        <v>-16.29</v>
      </c>
      <c r="G57" s="14">
        <f t="shared" ca="1" si="14"/>
        <v>-15.65</v>
      </c>
      <c r="H57" s="14">
        <f t="shared" ca="1" si="14"/>
        <v>-15.09</v>
      </c>
      <c r="I57" s="14">
        <f t="shared" ca="1" si="14"/>
        <v>-14.59</v>
      </c>
      <c r="J57" s="14">
        <f t="shared" ca="1" si="14"/>
        <v>-14.16</v>
      </c>
      <c r="K57" s="14">
        <f t="shared" ca="1" si="14"/>
        <v>-13.03</v>
      </c>
      <c r="L57" s="14">
        <f t="shared" ca="1" si="14"/>
        <v>-11.8</v>
      </c>
      <c r="M57" s="14">
        <f t="shared" ca="1" si="14"/>
        <v>-10.67</v>
      </c>
      <c r="N57" s="14">
        <f t="shared" ca="1" si="14"/>
        <v>-9.6150000000000002</v>
      </c>
      <c r="O57" s="14">
        <f t="shared" ca="1" si="14"/>
        <v>-6.04</v>
      </c>
      <c r="P57" s="14">
        <f t="shared" ca="1" si="14"/>
        <v>-5.2759999999999998</v>
      </c>
      <c r="Q57" s="14">
        <f t="shared" ca="1" si="14"/>
        <v>-4.1150000000000002</v>
      </c>
      <c r="R57" s="14">
        <f t="shared" ca="1" si="14"/>
        <v>-4.1550000000000002</v>
      </c>
      <c r="S57" s="14">
        <f t="shared" ca="1" si="14"/>
        <v>-4.3170000000000002</v>
      </c>
      <c r="T57" s="14">
        <f t="shared" ca="1" si="14"/>
        <v>-4.4809999999999999</v>
      </c>
      <c r="U57" s="14">
        <f t="shared" ca="1" si="14"/>
        <v>-4.5220000000000002</v>
      </c>
      <c r="V57" s="14">
        <f t="shared" ca="1" si="14"/>
        <v>-4.5620000000000003</v>
      </c>
      <c r="W57" s="14">
        <f t="shared" ca="1" si="14"/>
        <v>-4.6029999999999998</v>
      </c>
      <c r="X57" s="14">
        <f t="shared" ca="1" si="14"/>
        <v>-4.6429999999999998</v>
      </c>
      <c r="Y57" s="14">
        <f t="shared" ca="1" si="14"/>
        <v>-4.6829999999999998</v>
      </c>
      <c r="Z57" s="14">
        <f t="shared" ca="1" si="14"/>
        <v>-4.7220000000000004</v>
      </c>
      <c r="AA57" s="14">
        <f t="shared" ca="1" si="14"/>
        <v>-4.7619999999999996</v>
      </c>
      <c r="AB57" s="14">
        <f t="shared" ca="1" si="14"/>
        <v>-4.8010000000000002</v>
      </c>
      <c r="AC57" s="14">
        <f t="shared" ca="1" si="14"/>
        <v>-4.84</v>
      </c>
      <c r="AD57" s="14">
        <f t="shared" ca="1" si="14"/>
        <v>-4.8780000000000001</v>
      </c>
      <c r="AE57" s="14">
        <f t="shared" ca="1" si="14"/>
        <v>-4.9169999999999998</v>
      </c>
      <c r="AF57" s="14">
        <f t="shared" ca="1" si="14"/>
        <v>-4.9550000000000001</v>
      </c>
      <c r="AG57" s="14">
        <f t="shared" ca="1" si="14"/>
        <v>-5.1040000000000001</v>
      </c>
      <c r="AH57" s="14">
        <f t="shared" ca="1" si="14"/>
        <v>-5.2489999999999997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customHeight="1" outlineLevel="1" thickBot="1" x14ac:dyDescent="0.4">
      <c r="A58" s="5">
        <f t="shared" si="15"/>
        <v>1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 t="str">
        <f t="shared" si="15"/>
        <v>H (Ar)</v>
      </c>
      <c r="F58" s="14">
        <f t="shared" ca="1" si="16"/>
        <v>-18.88</v>
      </c>
      <c r="G58" s="14">
        <f t="shared" ca="1" si="14"/>
        <v>-18.87</v>
      </c>
      <c r="H58" s="14">
        <f t="shared" ca="1" si="14"/>
        <v>-18.87</v>
      </c>
      <c r="I58" s="14">
        <f t="shared" ca="1" si="14"/>
        <v>-18.88</v>
      </c>
      <c r="J58" s="14">
        <f t="shared" ca="1" si="14"/>
        <v>-18.89</v>
      </c>
      <c r="K58" s="14">
        <f t="shared" ca="1" si="14"/>
        <v>-18.91</v>
      </c>
      <c r="L58" s="14">
        <f t="shared" ca="1" si="14"/>
        <v>-18.93</v>
      </c>
      <c r="M58" s="14">
        <f t="shared" ca="1" si="14"/>
        <v>-18.95</v>
      </c>
      <c r="N58" s="14">
        <f t="shared" ca="1" si="14"/>
        <v>-18.98</v>
      </c>
      <c r="O58" s="14">
        <f t="shared" ca="1" si="14"/>
        <v>-19.100000000000001</v>
      </c>
      <c r="P58" s="14">
        <f t="shared" ca="1" si="14"/>
        <v>-19.13</v>
      </c>
      <c r="Q58" s="14">
        <f t="shared" ca="1" si="14"/>
        <v>-19.2</v>
      </c>
      <c r="R58" s="14">
        <f t="shared" ca="1" si="14"/>
        <v>-19.23</v>
      </c>
      <c r="S58" s="14">
        <f t="shared" ca="1" si="14"/>
        <v>-19.37</v>
      </c>
      <c r="T58" s="14">
        <f t="shared" ca="1" si="14"/>
        <v>-19.510000000000002</v>
      </c>
      <c r="U58" s="14">
        <f t="shared" ca="1" si="14"/>
        <v>-19.54</v>
      </c>
      <c r="V58" s="14">
        <f t="shared" ca="1" si="14"/>
        <v>-19.579999999999998</v>
      </c>
      <c r="W58" s="14">
        <f t="shared" ca="1" si="14"/>
        <v>-19.61</v>
      </c>
      <c r="X58" s="14">
        <f t="shared" ca="1" si="14"/>
        <v>-19.64</v>
      </c>
      <c r="Y58" s="14">
        <f t="shared" ca="1" si="14"/>
        <v>-19.52</v>
      </c>
      <c r="Z58" s="14">
        <f t="shared" ca="1" si="14"/>
        <v>-19.489999999999998</v>
      </c>
      <c r="AA58" s="14">
        <f t="shared" ca="1" si="14"/>
        <v>-19.5</v>
      </c>
      <c r="AB58" s="14">
        <f t="shared" ca="1" si="14"/>
        <v>-19.52</v>
      </c>
      <c r="AC58" s="14">
        <f t="shared" ca="1" si="14"/>
        <v>-19.55</v>
      </c>
      <c r="AD58" s="14">
        <f t="shared" ca="1" si="14"/>
        <v>-19.579999999999998</v>
      </c>
      <c r="AE58" s="14">
        <f t="shared" ca="1" si="14"/>
        <v>-19.61</v>
      </c>
      <c r="AF58" s="14">
        <f t="shared" ca="1" si="14"/>
        <v>-19.64</v>
      </c>
      <c r="AG58" s="14">
        <f t="shared" ca="1" si="14"/>
        <v>-19.760000000000002</v>
      </c>
      <c r="AH58" s="14">
        <f t="shared" ca="1" si="14"/>
        <v>-19.88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1</v>
      </c>
      <c r="E59" s="6" t="str">
        <f t="shared" si="15"/>
        <v>H (Ga)</v>
      </c>
      <c r="F59" s="14">
        <f t="shared" ca="1" si="16"/>
        <v>-66.3</v>
      </c>
      <c r="G59" s="14">
        <f t="shared" ca="1" si="14"/>
        <v>-62.81</v>
      </c>
      <c r="H59" s="14">
        <f t="shared" ca="1" si="14"/>
        <v>-59.71</v>
      </c>
      <c r="I59" s="14">
        <f t="shared" ca="1" si="14"/>
        <v>-56.94</v>
      </c>
      <c r="J59" s="14">
        <f t="shared" ca="1" si="14"/>
        <v>-54.44</v>
      </c>
      <c r="K59" s="14">
        <f t="shared" ca="1" si="14"/>
        <v>-51.07</v>
      </c>
      <c r="L59" s="14">
        <f t="shared" ca="1" si="14"/>
        <v>-47.7</v>
      </c>
      <c r="M59" s="14">
        <f t="shared" ca="1" si="14"/>
        <v>-44.59</v>
      </c>
      <c r="N59" s="14">
        <f t="shared" ca="1" si="14"/>
        <v>-41.72</v>
      </c>
      <c r="O59" s="14">
        <f t="shared" ca="1" si="14"/>
        <v>-32.06</v>
      </c>
      <c r="P59" s="14">
        <f t="shared" ca="1" si="14"/>
        <v>-30.02</v>
      </c>
      <c r="Q59" s="14">
        <f t="shared" ca="1" si="14"/>
        <v>-26.27</v>
      </c>
      <c r="R59" s="14">
        <f t="shared" ca="1" si="14"/>
        <v>-24.55</v>
      </c>
      <c r="S59" s="14">
        <f t="shared" ca="1" si="14"/>
        <v>-18.5</v>
      </c>
      <c r="T59" s="14">
        <f t="shared" ca="1" si="14"/>
        <v>-13.49</v>
      </c>
      <c r="U59" s="14">
        <f t="shared" ca="1" si="14"/>
        <v>-12.36</v>
      </c>
      <c r="V59" s="14">
        <f t="shared" ca="1" si="14"/>
        <v>-11.28</v>
      </c>
      <c r="W59" s="14">
        <f t="shared" ca="1" si="14"/>
        <v>-10.24</v>
      </c>
      <c r="X59" s="14">
        <f t="shared" ca="1" si="14"/>
        <v>-9.24</v>
      </c>
      <c r="Y59" s="14">
        <f t="shared" ca="1" si="14"/>
        <v>-8.68</v>
      </c>
      <c r="Z59" s="14">
        <f t="shared" ca="1" si="14"/>
        <v>-8.2560000000000002</v>
      </c>
      <c r="AA59" s="14">
        <f t="shared" ca="1" si="14"/>
        <v>-7.8470000000000004</v>
      </c>
      <c r="AB59" s="14">
        <f t="shared" ca="1" si="14"/>
        <v>-7.6349999999999998</v>
      </c>
      <c r="AC59" s="14">
        <f t="shared" ca="1" si="14"/>
        <v>-7.7149999999999999</v>
      </c>
      <c r="AD59" s="14">
        <f t="shared" ca="1" si="14"/>
        <v>-7.7960000000000003</v>
      </c>
      <c r="AE59" s="14">
        <f t="shared" ca="1" si="14"/>
        <v>-7.8789999999999996</v>
      </c>
      <c r="AF59" s="14">
        <f t="shared" ca="1" si="14"/>
        <v>-7.9630000000000001</v>
      </c>
      <c r="AG59" s="14">
        <f t="shared" ca="1" si="14"/>
        <v>-8.3190000000000008</v>
      </c>
      <c r="AH59" s="14">
        <f t="shared" ca="1" si="14"/>
        <v>-8.7249999999999996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1</v>
      </c>
      <c r="D60" s="5">
        <f t="shared" si="15"/>
        <v>0</v>
      </c>
      <c r="E60" s="6" t="str">
        <f t="shared" si="15"/>
        <v>H (Ge)</v>
      </c>
      <c r="F60" s="14">
        <f t="shared" ca="1" si="16"/>
        <v>-16.29</v>
      </c>
      <c r="G60" s="14">
        <f t="shared" ca="1" si="14"/>
        <v>-15.65</v>
      </c>
      <c r="H60" s="14">
        <f t="shared" ca="1" si="14"/>
        <v>-15.09</v>
      </c>
      <c r="I60" s="14">
        <f t="shared" ca="1" si="14"/>
        <v>-14.59</v>
      </c>
      <c r="J60" s="14">
        <f t="shared" ca="1" si="14"/>
        <v>-14.16</v>
      </c>
      <c r="K60" s="14">
        <f t="shared" ca="1" si="14"/>
        <v>-13.03</v>
      </c>
      <c r="L60" s="14">
        <f t="shared" ca="1" si="14"/>
        <v>-11.8</v>
      </c>
      <c r="M60" s="14">
        <f t="shared" ca="1" si="14"/>
        <v>-10.67</v>
      </c>
      <c r="N60" s="14">
        <f t="shared" ca="1" si="14"/>
        <v>-9.6150000000000002</v>
      </c>
      <c r="O60" s="14">
        <f t="shared" ca="1" si="14"/>
        <v>-6.04</v>
      </c>
      <c r="P60" s="14">
        <f t="shared" ca="1" si="14"/>
        <v>-5.2759999999999998</v>
      </c>
      <c r="Q60" s="14">
        <f t="shared" ca="1" si="14"/>
        <v>-4.1150000000000002</v>
      </c>
      <c r="R60" s="14">
        <f t="shared" ca="1" si="14"/>
        <v>-4.1550000000000002</v>
      </c>
      <c r="S60" s="14">
        <f t="shared" ca="1" si="14"/>
        <v>-4.3170000000000002</v>
      </c>
      <c r="T60" s="14">
        <f t="shared" ca="1" si="14"/>
        <v>-4.4809999999999999</v>
      </c>
      <c r="U60" s="14">
        <f t="shared" ca="1" si="14"/>
        <v>-4.5220000000000002</v>
      </c>
      <c r="V60" s="14">
        <f t="shared" ca="1" si="14"/>
        <v>-4.5620000000000003</v>
      </c>
      <c r="W60" s="14">
        <f t="shared" ca="1" si="14"/>
        <v>-4.6029999999999998</v>
      </c>
      <c r="X60" s="14">
        <f t="shared" ca="1" si="14"/>
        <v>-4.6429999999999998</v>
      </c>
      <c r="Y60" s="14">
        <f t="shared" ca="1" si="14"/>
        <v>-4.6829999999999998</v>
      </c>
      <c r="Z60" s="14">
        <f t="shared" ca="1" si="14"/>
        <v>-4.7220000000000004</v>
      </c>
      <c r="AA60" s="14">
        <f t="shared" ca="1" si="14"/>
        <v>-4.7619999999999996</v>
      </c>
      <c r="AB60" s="14">
        <f t="shared" ca="1" si="14"/>
        <v>-4.8010000000000002</v>
      </c>
      <c r="AC60" s="14">
        <f t="shared" ca="1" si="14"/>
        <v>-4.84</v>
      </c>
      <c r="AD60" s="14">
        <f t="shared" ca="1" si="14"/>
        <v>-4.8780000000000001</v>
      </c>
      <c r="AE60" s="14">
        <f t="shared" ca="1" si="14"/>
        <v>-4.9169999999999998</v>
      </c>
      <c r="AF60" s="14">
        <f t="shared" ca="1" si="14"/>
        <v>-4.9550000000000001</v>
      </c>
      <c r="AG60" s="14">
        <f t="shared" ca="1" si="14"/>
        <v>-5.1040000000000001</v>
      </c>
      <c r="AH60" s="14">
        <f t="shared" ca="1" si="14"/>
        <v>-5.2489999999999997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H (Se)</v>
      </c>
      <c r="F61" s="14">
        <f t="shared" ca="1" si="16"/>
        <v>-23.52</v>
      </c>
      <c r="G61" s="14">
        <f t="shared" ca="1" si="14"/>
        <v>-22.41</v>
      </c>
      <c r="H61" s="14">
        <f t="shared" ca="1" si="14"/>
        <v>-21.42</v>
      </c>
      <c r="I61" s="14">
        <f t="shared" ca="1" si="14"/>
        <v>-20.54</v>
      </c>
      <c r="J61" s="14">
        <f t="shared" ca="1" si="14"/>
        <v>-19.760000000000002</v>
      </c>
      <c r="K61" s="14">
        <f t="shared" ca="1" si="14"/>
        <v>-19.79</v>
      </c>
      <c r="L61" s="14">
        <f t="shared" ca="1" si="14"/>
        <v>-20.03</v>
      </c>
      <c r="M61" s="14">
        <f t="shared" ca="1" si="14"/>
        <v>-20.28</v>
      </c>
      <c r="N61" s="14">
        <f t="shared" ca="1" si="14"/>
        <v>-20.52</v>
      </c>
      <c r="O61" s="14">
        <f t="shared" ca="1" si="14"/>
        <v>-21.52</v>
      </c>
      <c r="P61" s="14">
        <f t="shared" ca="1" si="14"/>
        <v>-21.77</v>
      </c>
      <c r="Q61" s="14">
        <f t="shared" ca="1" si="14"/>
        <v>-22.27</v>
      </c>
      <c r="R61" s="14">
        <f t="shared" ca="1" si="14"/>
        <v>-22.51</v>
      </c>
      <c r="S61" s="14">
        <f t="shared" ca="1" si="14"/>
        <v>-23.48</v>
      </c>
      <c r="T61" s="14">
        <f t="shared" ca="1" si="14"/>
        <v>-24.41</v>
      </c>
      <c r="U61" s="14">
        <f t="shared" ca="1" si="14"/>
        <v>-24.64</v>
      </c>
      <c r="V61" s="14">
        <f t="shared" ca="1" si="14"/>
        <v>-24.86</v>
      </c>
      <c r="W61" s="14">
        <f t="shared" ca="1" si="14"/>
        <v>-25.09</v>
      </c>
      <c r="X61" s="14">
        <f t="shared" ca="1" si="14"/>
        <v>-25.31</v>
      </c>
      <c r="Y61" s="14">
        <f t="shared" ca="1" si="14"/>
        <v>-25.53</v>
      </c>
      <c r="Z61" s="14">
        <f t="shared" ca="1" si="14"/>
        <v>-25.75</v>
      </c>
      <c r="AA61" s="14">
        <f t="shared" ca="1" si="14"/>
        <v>-25.96</v>
      </c>
      <c r="AB61" s="14">
        <f t="shared" ca="1" si="14"/>
        <v>-26.18</v>
      </c>
      <c r="AC61" s="14">
        <f t="shared" ca="1" si="14"/>
        <v>-26.39</v>
      </c>
      <c r="AD61" s="14">
        <f t="shared" ca="1" si="14"/>
        <v>-26.6</v>
      </c>
      <c r="AE61" s="14">
        <f t="shared" ca="1" si="14"/>
        <v>-26.81</v>
      </c>
      <c r="AF61" s="14">
        <f t="shared" ca="1" si="14"/>
        <v>-27.02</v>
      </c>
      <c r="AG61" s="14">
        <f t="shared" ca="1" si="14"/>
        <v>-27.83</v>
      </c>
      <c r="AH61" s="14">
        <f t="shared" ca="1" si="14"/>
        <v>-28.62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>
        <f t="shared" ca="1" si="16"/>
        <v>0</v>
      </c>
      <c r="G62" s="14">
        <f t="shared" ca="1" si="14"/>
        <v>0</v>
      </c>
      <c r="H62" s="14">
        <f t="shared" ca="1" si="14"/>
        <v>0</v>
      </c>
      <c r="I62" s="14">
        <f t="shared" ca="1" si="14"/>
        <v>0</v>
      </c>
      <c r="J62" s="14">
        <f t="shared" ca="1" si="14"/>
        <v>0</v>
      </c>
      <c r="K62" s="14">
        <f t="shared" ca="1" si="14"/>
        <v>0</v>
      </c>
      <c r="L62" s="14">
        <f t="shared" ca="1" si="14"/>
        <v>0</v>
      </c>
      <c r="M62" s="14">
        <f t="shared" ca="1" si="14"/>
        <v>0</v>
      </c>
      <c r="N62" s="14">
        <f t="shared" ca="1" si="14"/>
        <v>0</v>
      </c>
      <c r="O62" s="14">
        <f t="shared" ca="1" si="14"/>
        <v>0</v>
      </c>
      <c r="P62" s="14">
        <f t="shared" ca="1" si="14"/>
        <v>0</v>
      </c>
      <c r="Q62" s="14">
        <f t="shared" ca="1" si="14"/>
        <v>0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ref="G63:AL71" ca="1" si="18">$A63*H.Ar + $B63*H.Se + $C63*H.Ge + $D63*H.Ga</f>
        <v>0</v>
      </c>
      <c r="H63" s="14">
        <f t="shared" ca="1" si="18"/>
        <v>0</v>
      </c>
      <c r="I63" s="14">
        <f t="shared" ca="1" si="18"/>
        <v>0</v>
      </c>
      <c r="J63" s="14">
        <f t="shared" ca="1" si="18"/>
        <v>0</v>
      </c>
      <c r="K63" s="14">
        <f t="shared" ca="1" si="18"/>
        <v>0</v>
      </c>
      <c r="L63" s="14">
        <f t="shared" ca="1" si="18"/>
        <v>0</v>
      </c>
      <c r="M63" s="14">
        <f t="shared" ca="1" si="18"/>
        <v>0</v>
      </c>
      <c r="N63" s="14">
        <f t="shared" ca="1" si="18"/>
        <v>0</v>
      </c>
      <c r="O63" s="14">
        <f t="shared" ca="1" si="18"/>
        <v>0</v>
      </c>
      <c r="P63" s="14">
        <f t="shared" ca="1" si="18"/>
        <v>0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U76" s="55"/>
      <c r="V76" s="55"/>
      <c r="W76" s="55"/>
    </row>
    <row r="77" spans="1:54" ht="21" customHeight="1" x14ac:dyDescent="0.35">
      <c r="U77" s="55"/>
      <c r="V77" s="55"/>
      <c r="W77" s="55"/>
    </row>
    <row r="78" spans="1:54" ht="21" customHeight="1" thickBot="1" x14ac:dyDescent="0.45">
      <c r="A78" s="88"/>
      <c r="B78" s="88"/>
      <c r="C78" s="89">
        <f>E41</f>
        <v>8.3333333333333339</v>
      </c>
      <c r="D78" s="75"/>
      <c r="E78" s="74" t="s">
        <v>22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3">E45</f>
        <v>Temperature,К</v>
      </c>
      <c r="F79" s="3">
        <f t="shared" ref="F79:AL79" si="24">F3</f>
        <v>273.10000000000002</v>
      </c>
      <c r="G79" s="3">
        <f t="shared" si="24"/>
        <v>289.7</v>
      </c>
      <c r="H79" s="3">
        <f t="shared" si="24"/>
        <v>306.2</v>
      </c>
      <c r="I79" s="3">
        <f t="shared" si="24"/>
        <v>322.7</v>
      </c>
      <c r="J79" s="3">
        <f t="shared" si="24"/>
        <v>339.2</v>
      </c>
      <c r="K79" s="3">
        <f t="shared" si="24"/>
        <v>355.7</v>
      </c>
      <c r="L79" s="3">
        <f t="shared" si="24"/>
        <v>372.3</v>
      </c>
      <c r="M79" s="3">
        <f t="shared" si="24"/>
        <v>388.8</v>
      </c>
      <c r="N79" s="3">
        <f t="shared" si="24"/>
        <v>405.3</v>
      </c>
      <c r="O79" s="3">
        <f t="shared" si="24"/>
        <v>471.4</v>
      </c>
      <c r="P79" s="3">
        <f t="shared" si="24"/>
        <v>487.9</v>
      </c>
      <c r="Q79" s="3">
        <f t="shared" si="24"/>
        <v>520.9</v>
      </c>
      <c r="R79" s="3">
        <f t="shared" si="24"/>
        <v>537.5</v>
      </c>
      <c r="S79" s="3">
        <f t="shared" si="24"/>
        <v>603.5</v>
      </c>
      <c r="T79" s="3">
        <f t="shared" si="24"/>
        <v>669.6</v>
      </c>
      <c r="U79" s="3">
        <f t="shared" si="24"/>
        <v>686.1</v>
      </c>
      <c r="V79" s="3">
        <f t="shared" si="24"/>
        <v>702.7</v>
      </c>
      <c r="W79" s="3">
        <f t="shared" si="24"/>
        <v>719.2</v>
      </c>
      <c r="X79" s="3">
        <f t="shared" si="24"/>
        <v>735.7</v>
      </c>
      <c r="Y79" s="3">
        <f t="shared" si="24"/>
        <v>752.2</v>
      </c>
      <c r="Z79" s="3">
        <f t="shared" si="24"/>
        <v>768.7</v>
      </c>
      <c r="AA79" s="3">
        <f t="shared" si="24"/>
        <v>785.2</v>
      </c>
      <c r="AB79" s="3">
        <f t="shared" si="24"/>
        <v>801.8</v>
      </c>
      <c r="AC79" s="3">
        <f t="shared" si="24"/>
        <v>818.3</v>
      </c>
      <c r="AD79" s="3">
        <f t="shared" si="24"/>
        <v>834.8</v>
      </c>
      <c r="AE79" s="3">
        <f t="shared" si="24"/>
        <v>851.3</v>
      </c>
      <c r="AF79" s="3">
        <f t="shared" si="24"/>
        <v>867.8</v>
      </c>
      <c r="AG79" s="3">
        <f t="shared" si="24"/>
        <v>933.9</v>
      </c>
      <c r="AH79" s="3">
        <f t="shared" si="24"/>
        <v>1000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1</v>
      </c>
      <c r="D80" s="5">
        <f t="shared" si="25"/>
        <v>0</v>
      </c>
      <c r="E80" s="6" t="str">
        <f t="shared" si="23"/>
        <v>*Ge</v>
      </c>
      <c r="F80" s="14">
        <f t="shared" ref="F80:AL80" si="26">F4*$C$78</f>
        <v>0</v>
      </c>
      <c r="G80" s="14">
        <f t="shared" si="26"/>
        <v>0</v>
      </c>
      <c r="H80" s="14">
        <f t="shared" si="26"/>
        <v>0</v>
      </c>
      <c r="I80" s="14">
        <f t="shared" si="26"/>
        <v>0</v>
      </c>
      <c r="J80" s="14">
        <f t="shared" si="26"/>
        <v>0</v>
      </c>
      <c r="K80" s="14">
        <f t="shared" si="26"/>
        <v>0</v>
      </c>
      <c r="L80" s="14">
        <f t="shared" si="26"/>
        <v>0</v>
      </c>
      <c r="M80" s="14">
        <f t="shared" si="26"/>
        <v>4.4810833333333339E-31</v>
      </c>
      <c r="N80" s="14">
        <f t="shared" si="26"/>
        <v>1.2790000000000002E-23</v>
      </c>
      <c r="O80" s="14">
        <f t="shared" si="26"/>
        <v>4.5755833333333337E-10</v>
      </c>
      <c r="P80" s="14">
        <f t="shared" si="26"/>
        <v>8.8925000000000001E-9</v>
      </c>
      <c r="Q80" s="14">
        <f t="shared" si="26"/>
        <v>0.83333333333333348</v>
      </c>
      <c r="R80" s="14">
        <f t="shared" si="26"/>
        <v>0.83333333333333348</v>
      </c>
      <c r="S80" s="14">
        <f t="shared" si="26"/>
        <v>0.83333333333333348</v>
      </c>
      <c r="T80" s="14">
        <f t="shared" si="26"/>
        <v>0.83333333333333348</v>
      </c>
      <c r="U80" s="14">
        <f t="shared" si="26"/>
        <v>0.83333333333333348</v>
      </c>
      <c r="V80" s="14">
        <f t="shared" si="26"/>
        <v>0.83333333333333348</v>
      </c>
      <c r="W80" s="14">
        <f t="shared" si="26"/>
        <v>0.83333333333333348</v>
      </c>
      <c r="X80" s="14">
        <f t="shared" si="26"/>
        <v>0.83333333333333348</v>
      </c>
      <c r="Y80" s="14">
        <f t="shared" si="26"/>
        <v>0.83333333333333348</v>
      </c>
      <c r="Z80" s="14">
        <f t="shared" si="26"/>
        <v>0.83333333333333348</v>
      </c>
      <c r="AA80" s="14">
        <f t="shared" si="26"/>
        <v>0.83333333333333348</v>
      </c>
      <c r="AB80" s="14">
        <f t="shared" si="26"/>
        <v>0.74370000000000014</v>
      </c>
      <c r="AC80" s="14">
        <f t="shared" si="26"/>
        <v>0.72984166666666672</v>
      </c>
      <c r="AD80" s="14">
        <f t="shared" si="26"/>
        <v>0.71519166666666667</v>
      </c>
      <c r="AE80" s="14">
        <f t="shared" si="26"/>
        <v>0.69890833333333335</v>
      </c>
      <c r="AF80" s="14">
        <f t="shared" si="26"/>
        <v>0.68063333333333342</v>
      </c>
      <c r="AG80" s="14">
        <f t="shared" si="26"/>
        <v>0.58046666666666669</v>
      </c>
      <c r="AH80" s="14">
        <f t="shared" si="26"/>
        <v>0.40767500000000001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customHeight="1" outlineLevel="1" thickBot="1" x14ac:dyDescent="0.4">
      <c r="A81" s="5">
        <f t="shared" ref="A81:D96" si="27">A47</f>
        <v>0</v>
      </c>
      <c r="B81" s="5">
        <f t="shared" si="27"/>
        <v>1</v>
      </c>
      <c r="C81" s="5">
        <f t="shared" si="27"/>
        <v>1</v>
      </c>
      <c r="D81" s="5">
        <f t="shared" si="27"/>
        <v>0</v>
      </c>
      <c r="E81" s="6" t="str">
        <f t="shared" si="23"/>
        <v>*GeSe</v>
      </c>
      <c r="F81" s="14">
        <f t="shared" ref="F81:AL81" si="28">F5*$C$78</f>
        <v>0.83333333333333348</v>
      </c>
      <c r="G81" s="14">
        <f t="shared" si="28"/>
        <v>0.83333333333333348</v>
      </c>
      <c r="H81" s="14">
        <f t="shared" si="28"/>
        <v>0.83333333333333348</v>
      </c>
      <c r="I81" s="14">
        <f t="shared" si="28"/>
        <v>0.83333333333333348</v>
      </c>
      <c r="J81" s="14">
        <f t="shared" si="28"/>
        <v>0.83333333333333348</v>
      </c>
      <c r="K81" s="14">
        <f t="shared" si="28"/>
        <v>1.666666666666667</v>
      </c>
      <c r="L81" s="14">
        <f t="shared" si="28"/>
        <v>1.666666666666667</v>
      </c>
      <c r="M81" s="14">
        <f t="shared" si="28"/>
        <v>1.666666666666667</v>
      </c>
      <c r="N81" s="14">
        <f t="shared" si="28"/>
        <v>1.666666666666667</v>
      </c>
      <c r="O81" s="14">
        <f t="shared" si="28"/>
        <v>1.666666666666667</v>
      </c>
      <c r="P81" s="14">
        <f t="shared" si="28"/>
        <v>1.666666666666667</v>
      </c>
      <c r="Q81" s="14">
        <f t="shared" si="28"/>
        <v>1.6330000000000001E-6</v>
      </c>
      <c r="R81" s="14">
        <f t="shared" si="28"/>
        <v>3.2017500000000002E-8</v>
      </c>
      <c r="S81" s="14">
        <f t="shared" si="28"/>
        <v>3.1326666666666666E-12</v>
      </c>
      <c r="T81" s="14">
        <f t="shared" si="28"/>
        <v>8.5733333333333331E-20</v>
      </c>
      <c r="U81" s="14">
        <f t="shared" si="28"/>
        <v>5.6877499999999998E-22</v>
      </c>
      <c r="V81" s="14">
        <f t="shared" si="28"/>
        <v>1.32825E-26</v>
      </c>
      <c r="W81" s="14">
        <f t="shared" si="28"/>
        <v>1.9068333333333335E-31</v>
      </c>
      <c r="X81" s="14">
        <f t="shared" si="28"/>
        <v>0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customHeight="1" outlineLevel="1" thickBot="1" x14ac:dyDescent="0.4">
      <c r="A82" s="5">
        <f t="shared" si="27"/>
        <v>0</v>
      </c>
      <c r="B82" s="5">
        <f t="shared" si="27"/>
        <v>0</v>
      </c>
      <c r="C82" s="5">
        <f t="shared" si="27"/>
        <v>0</v>
      </c>
      <c r="D82" s="5">
        <f t="shared" si="27"/>
        <v>1</v>
      </c>
      <c r="E82" s="6" t="str">
        <f t="shared" si="23"/>
        <v>*Ga[1]</v>
      </c>
      <c r="F82" s="14">
        <f t="shared" ref="F82:AL82" si="29">F6*$C$78</f>
        <v>0</v>
      </c>
      <c r="G82" s="14">
        <f t="shared" si="29"/>
        <v>0</v>
      </c>
      <c r="H82" s="14">
        <f t="shared" si="29"/>
        <v>0</v>
      </c>
      <c r="I82" s="14">
        <f t="shared" si="29"/>
        <v>0</v>
      </c>
      <c r="J82" s="14">
        <f t="shared" si="29"/>
        <v>0</v>
      </c>
      <c r="K82" s="14">
        <f t="shared" si="29"/>
        <v>0</v>
      </c>
      <c r="L82" s="14">
        <f t="shared" si="29"/>
        <v>0</v>
      </c>
      <c r="M82" s="14">
        <f t="shared" si="29"/>
        <v>0</v>
      </c>
      <c r="N82" s="14">
        <f t="shared" si="29"/>
        <v>0</v>
      </c>
      <c r="O82" s="14">
        <f t="shared" si="29"/>
        <v>0</v>
      </c>
      <c r="P82" s="14">
        <f t="shared" si="29"/>
        <v>0</v>
      </c>
      <c r="Q82" s="14">
        <f t="shared" si="29"/>
        <v>0</v>
      </c>
      <c r="R82" s="14">
        <f t="shared" si="29"/>
        <v>0</v>
      </c>
      <c r="S82" s="14">
        <f t="shared" si="29"/>
        <v>0</v>
      </c>
      <c r="T82" s="14">
        <f t="shared" si="29"/>
        <v>2.9959166666666672E-33</v>
      </c>
      <c r="U82" s="14">
        <f t="shared" si="29"/>
        <v>3.6948333333333337E-28</v>
      </c>
      <c r="V82" s="14">
        <f t="shared" si="29"/>
        <v>3.0483333333333339E-25</v>
      </c>
      <c r="W82" s="14">
        <f t="shared" si="29"/>
        <v>1.546E-21</v>
      </c>
      <c r="X82" s="14">
        <f t="shared" si="29"/>
        <v>2.2852500000000003E-29</v>
      </c>
      <c r="Y82" s="14">
        <f t="shared" si="29"/>
        <v>3.4557500000000003E-18</v>
      </c>
      <c r="Z82" s="14">
        <f t="shared" si="29"/>
        <v>6.0337500000000007E-16</v>
      </c>
      <c r="AA82" s="14">
        <f t="shared" si="29"/>
        <v>1.2101666666666668E-15</v>
      </c>
      <c r="AB82" s="14">
        <f t="shared" si="29"/>
        <v>7.1831666666666678E-7</v>
      </c>
      <c r="AC82" s="14">
        <f t="shared" si="29"/>
        <v>3.2608333333333336E-6</v>
      </c>
      <c r="AD82" s="14">
        <f t="shared" si="29"/>
        <v>2.1658333333333335E-6</v>
      </c>
      <c r="AE82" s="14">
        <f t="shared" si="29"/>
        <v>1.6469166666666668E-6</v>
      </c>
      <c r="AF82" s="14">
        <f t="shared" si="29"/>
        <v>1.4921666666666667E-6</v>
      </c>
      <c r="AG82" s="14">
        <f t="shared" si="29"/>
        <v>3.72025E-7</v>
      </c>
      <c r="AH82" s="14">
        <f t="shared" si="29"/>
        <v>1.212E-7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customHeight="1" outlineLevel="1" thickBot="1" x14ac:dyDescent="0.4">
      <c r="A83" s="5">
        <f t="shared" si="27"/>
        <v>0</v>
      </c>
      <c r="B83" s="5">
        <f t="shared" si="27"/>
        <v>1</v>
      </c>
      <c r="C83" s="5">
        <f t="shared" si="27"/>
        <v>0</v>
      </c>
      <c r="D83" s="5">
        <f t="shared" si="27"/>
        <v>2</v>
      </c>
      <c r="E83" s="6" t="str">
        <f t="shared" si="23"/>
        <v>*Ga2Se</v>
      </c>
      <c r="F83" s="14">
        <f t="shared" ref="F83:AL83" si="30">F7*$C$78</f>
        <v>0</v>
      </c>
      <c r="G83" s="14">
        <f t="shared" si="30"/>
        <v>0</v>
      </c>
      <c r="H83" s="14">
        <f t="shared" si="30"/>
        <v>0</v>
      </c>
      <c r="I83" s="14">
        <f t="shared" si="30"/>
        <v>0</v>
      </c>
      <c r="J83" s="14">
        <f t="shared" si="30"/>
        <v>0</v>
      </c>
      <c r="K83" s="14">
        <f t="shared" si="30"/>
        <v>0</v>
      </c>
      <c r="L83" s="14">
        <f t="shared" si="30"/>
        <v>0</v>
      </c>
      <c r="M83" s="14">
        <f t="shared" si="30"/>
        <v>0</v>
      </c>
      <c r="N83" s="14">
        <f t="shared" si="30"/>
        <v>0</v>
      </c>
      <c r="O83" s="14">
        <f t="shared" si="30"/>
        <v>0</v>
      </c>
      <c r="P83" s="14">
        <f t="shared" si="30"/>
        <v>0</v>
      </c>
      <c r="Q83" s="14">
        <f t="shared" si="30"/>
        <v>0</v>
      </c>
      <c r="R83" s="14">
        <f t="shared" si="30"/>
        <v>0</v>
      </c>
      <c r="S83" s="14">
        <f t="shared" si="30"/>
        <v>0</v>
      </c>
      <c r="T83" s="14">
        <f t="shared" si="30"/>
        <v>5.3078333333333333E-23</v>
      </c>
      <c r="U83" s="14">
        <f t="shared" si="30"/>
        <v>5.0312500000000001E-18</v>
      </c>
      <c r="V83" s="14">
        <f t="shared" si="30"/>
        <v>1.4435E-14</v>
      </c>
      <c r="W83" s="14">
        <f t="shared" si="30"/>
        <v>2.3912500000000004E-10</v>
      </c>
      <c r="X83" s="14">
        <f t="shared" si="30"/>
        <v>7.624166666666667E-7</v>
      </c>
      <c r="Y83" s="14">
        <f t="shared" si="30"/>
        <v>0.30894166666666673</v>
      </c>
      <c r="Z83" s="14">
        <f t="shared" si="30"/>
        <v>0.43535833333333335</v>
      </c>
      <c r="AA83" s="14">
        <f t="shared" si="30"/>
        <v>0.47625833333333339</v>
      </c>
      <c r="AB83" s="14">
        <f t="shared" si="30"/>
        <v>2.5675833333333332E-7</v>
      </c>
      <c r="AC83" s="14">
        <f t="shared" si="30"/>
        <v>5.8361666666666677E-19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customHeight="1" outlineLevel="1" thickBot="1" x14ac:dyDescent="0.4">
      <c r="A84" s="5">
        <f t="shared" si="27"/>
        <v>0</v>
      </c>
      <c r="B84" s="5">
        <f t="shared" si="27"/>
        <v>0</v>
      </c>
      <c r="C84" s="5">
        <f t="shared" si="27"/>
        <v>1</v>
      </c>
      <c r="D84" s="5">
        <f t="shared" si="27"/>
        <v>0</v>
      </c>
      <c r="E84" s="6" t="str">
        <f t="shared" si="23"/>
        <v>*Ge[c]</v>
      </c>
      <c r="F84" s="14">
        <f t="shared" ref="F84:AL84" si="31">F8*$C$78</f>
        <v>0</v>
      </c>
      <c r="G84" s="14">
        <f t="shared" si="31"/>
        <v>0</v>
      </c>
      <c r="H84" s="14">
        <f t="shared" si="31"/>
        <v>0</v>
      </c>
      <c r="I84" s="14">
        <f t="shared" si="31"/>
        <v>0</v>
      </c>
      <c r="J84" s="14">
        <f t="shared" si="31"/>
        <v>0</v>
      </c>
      <c r="K84" s="14">
        <f t="shared" si="31"/>
        <v>0</v>
      </c>
      <c r="L84" s="14">
        <f t="shared" si="31"/>
        <v>0</v>
      </c>
      <c r="M84" s="14">
        <f t="shared" si="31"/>
        <v>4.4810833333333339E-31</v>
      </c>
      <c r="N84" s="14">
        <f t="shared" si="31"/>
        <v>1.2790000000000002E-23</v>
      </c>
      <c r="O84" s="14">
        <f t="shared" si="31"/>
        <v>4.5755833333333337E-10</v>
      </c>
      <c r="P84" s="14">
        <f t="shared" si="31"/>
        <v>8.8925000000000001E-9</v>
      </c>
      <c r="Q84" s="14">
        <f t="shared" si="31"/>
        <v>0.83333333333333348</v>
      </c>
      <c r="R84" s="14">
        <f t="shared" si="31"/>
        <v>0.83333333333333348</v>
      </c>
      <c r="S84" s="14">
        <f t="shared" si="31"/>
        <v>0.83333333333333348</v>
      </c>
      <c r="T84" s="14">
        <f t="shared" si="31"/>
        <v>0.83333333333333348</v>
      </c>
      <c r="U84" s="14">
        <f t="shared" si="31"/>
        <v>0.83333333333333348</v>
      </c>
      <c r="V84" s="14">
        <f t="shared" si="31"/>
        <v>0.83333333333333348</v>
      </c>
      <c r="W84" s="14">
        <f t="shared" si="31"/>
        <v>0.83333333333333348</v>
      </c>
      <c r="X84" s="14">
        <f t="shared" si="31"/>
        <v>0.83333333333333348</v>
      </c>
      <c r="Y84" s="14">
        <f t="shared" si="31"/>
        <v>0.83333333333333348</v>
      </c>
      <c r="Z84" s="14">
        <f t="shared" si="31"/>
        <v>0.83333333333333348</v>
      </c>
      <c r="AA84" s="14">
        <f t="shared" si="31"/>
        <v>0.83333333333333348</v>
      </c>
      <c r="AB84" s="14">
        <f t="shared" si="31"/>
        <v>0.74370000000000014</v>
      </c>
      <c r="AC84" s="14">
        <f t="shared" si="31"/>
        <v>0.72984166666666672</v>
      </c>
      <c r="AD84" s="14">
        <f t="shared" si="31"/>
        <v>0.71519166666666667</v>
      </c>
      <c r="AE84" s="14">
        <f t="shared" si="31"/>
        <v>0.69890833333333335</v>
      </c>
      <c r="AF84" s="14">
        <f t="shared" si="31"/>
        <v>0.68063333333333342</v>
      </c>
      <c r="AG84" s="14">
        <f t="shared" si="31"/>
        <v>0.58046666666666669</v>
      </c>
      <c r="AH84" s="14">
        <f t="shared" si="31"/>
        <v>0.40767500000000001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customHeight="1" outlineLevel="1" thickBot="1" x14ac:dyDescent="0.4">
      <c r="A85" s="5">
        <f t="shared" si="27"/>
        <v>0</v>
      </c>
      <c r="B85" s="5">
        <f t="shared" si="27"/>
        <v>1</v>
      </c>
      <c r="C85" s="5">
        <f t="shared" si="27"/>
        <v>0</v>
      </c>
      <c r="D85" s="5">
        <f t="shared" si="27"/>
        <v>0</v>
      </c>
      <c r="E85" s="6" t="str">
        <f t="shared" si="23"/>
        <v>*Se[m]</v>
      </c>
      <c r="F85" s="14">
        <f t="shared" ref="F85:AL85" si="32">F9*$C$78</f>
        <v>9.6991666666666663E-21</v>
      </c>
      <c r="G85" s="14">
        <f t="shared" si="32"/>
        <v>9.6883333333333333E-17</v>
      </c>
      <c r="H85" s="14">
        <f t="shared" si="32"/>
        <v>3.3034666666666667E-11</v>
      </c>
      <c r="I85" s="14">
        <f t="shared" si="32"/>
        <v>9.755000000000002E-9</v>
      </c>
      <c r="J85" s="14">
        <f t="shared" si="32"/>
        <v>2.9471666666666669E-6</v>
      </c>
      <c r="K85" s="14">
        <f t="shared" si="32"/>
        <v>0.83333333333333348</v>
      </c>
      <c r="L85" s="14">
        <f t="shared" si="32"/>
        <v>0.83333333333333348</v>
      </c>
      <c r="M85" s="14">
        <f t="shared" si="32"/>
        <v>0.83333333333333348</v>
      </c>
      <c r="N85" s="14">
        <f t="shared" si="32"/>
        <v>0.83333333333333348</v>
      </c>
      <c r="O85" s="14">
        <f t="shared" si="32"/>
        <v>0.83333333333333348</v>
      </c>
      <c r="P85" s="14">
        <f t="shared" si="32"/>
        <v>0.83333333333333348</v>
      </c>
      <c r="Q85" s="14">
        <f t="shared" si="32"/>
        <v>2.5</v>
      </c>
      <c r="R85" s="14">
        <f t="shared" si="32"/>
        <v>2.5</v>
      </c>
      <c r="S85" s="14">
        <f t="shared" si="32"/>
        <v>2.5</v>
      </c>
      <c r="T85" s="14">
        <f t="shared" si="32"/>
        <v>2.5</v>
      </c>
      <c r="U85" s="14">
        <f t="shared" si="32"/>
        <v>2.5</v>
      </c>
      <c r="V85" s="14">
        <f t="shared" si="32"/>
        <v>2.5</v>
      </c>
      <c r="W85" s="14">
        <f t="shared" si="32"/>
        <v>2.5</v>
      </c>
      <c r="X85" s="14">
        <f t="shared" si="32"/>
        <v>2.5</v>
      </c>
      <c r="Y85" s="14">
        <f t="shared" si="32"/>
        <v>3.1179166666666669</v>
      </c>
      <c r="Z85" s="14">
        <f t="shared" si="32"/>
        <v>3.3707500000000006</v>
      </c>
      <c r="AA85" s="14">
        <f t="shared" si="32"/>
        <v>3.4525000000000001</v>
      </c>
      <c r="AB85" s="14">
        <f t="shared" si="32"/>
        <v>3.9810000000000003</v>
      </c>
      <c r="AC85" s="14">
        <f t="shared" si="32"/>
        <v>3.9970000000000003</v>
      </c>
      <c r="AD85" s="14">
        <f t="shared" si="32"/>
        <v>3.9995000000000003</v>
      </c>
      <c r="AE85" s="14">
        <f t="shared" si="32"/>
        <v>3.999916666666667</v>
      </c>
      <c r="AF85" s="14">
        <f t="shared" si="32"/>
        <v>4</v>
      </c>
      <c r="AG85" s="14">
        <f t="shared" si="32"/>
        <v>4</v>
      </c>
      <c r="AH85" s="14">
        <f t="shared" si="32"/>
        <v>4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customHeight="1" outlineLevel="1" thickBot="1" x14ac:dyDescent="0.4">
      <c r="A86" s="5">
        <f t="shared" si="27"/>
        <v>0</v>
      </c>
      <c r="B86" s="5">
        <f t="shared" si="27"/>
        <v>2</v>
      </c>
      <c r="C86" s="5">
        <f t="shared" si="27"/>
        <v>1</v>
      </c>
      <c r="D86" s="5">
        <f t="shared" si="27"/>
        <v>0</v>
      </c>
      <c r="E86" s="6" t="str">
        <f t="shared" si="23"/>
        <v>*GeSe2</v>
      </c>
      <c r="F86" s="14">
        <f t="shared" ref="F86:AL86" si="33">F10*$C$78</f>
        <v>0.83333333333333348</v>
      </c>
      <c r="G86" s="14">
        <f t="shared" si="33"/>
        <v>0.83333333333333348</v>
      </c>
      <c r="H86" s="14">
        <f t="shared" si="33"/>
        <v>0.83333333333333348</v>
      </c>
      <c r="I86" s="14">
        <f t="shared" si="33"/>
        <v>0.83333333333333348</v>
      </c>
      <c r="J86" s="14">
        <f t="shared" si="33"/>
        <v>0.83333333333333348</v>
      </c>
      <c r="K86" s="14">
        <f t="shared" si="33"/>
        <v>2.4746666666666671E-8</v>
      </c>
      <c r="L86" s="14">
        <f t="shared" si="33"/>
        <v>2.7626666666666671E-9</v>
      </c>
      <c r="M86" s="14">
        <f t="shared" si="33"/>
        <v>2.3289999999999999E-10</v>
      </c>
      <c r="N86" s="14">
        <f t="shared" si="33"/>
        <v>5.87275E-12</v>
      </c>
      <c r="O86" s="14">
        <f t="shared" si="33"/>
        <v>1.9241666666666667E-26</v>
      </c>
      <c r="P86" s="14">
        <f t="shared" si="33"/>
        <v>0</v>
      </c>
      <c r="Q86" s="14">
        <f t="shared" si="33"/>
        <v>0</v>
      </c>
      <c r="R86" s="14">
        <f t="shared" si="33"/>
        <v>0</v>
      </c>
      <c r="S86" s="14">
        <f t="shared" si="33"/>
        <v>0</v>
      </c>
      <c r="T86" s="14">
        <f t="shared" si="33"/>
        <v>0</v>
      </c>
      <c r="U86" s="14">
        <f t="shared" si="33"/>
        <v>0</v>
      </c>
      <c r="V86" s="14">
        <f t="shared" si="33"/>
        <v>0</v>
      </c>
      <c r="W86" s="14">
        <f t="shared" si="33"/>
        <v>0</v>
      </c>
      <c r="X86" s="14">
        <f t="shared" si="33"/>
        <v>0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customHeight="1" outlineLevel="1" thickBot="1" x14ac:dyDescent="0.4">
      <c r="A87" s="5">
        <f t="shared" si="27"/>
        <v>0</v>
      </c>
      <c r="B87" s="5">
        <f t="shared" si="27"/>
        <v>3</v>
      </c>
      <c r="C87" s="5">
        <f t="shared" si="27"/>
        <v>0</v>
      </c>
      <c r="D87" s="5">
        <f t="shared" si="27"/>
        <v>2</v>
      </c>
      <c r="E87" s="6" t="str">
        <f t="shared" si="23"/>
        <v>Ga2Se3</v>
      </c>
      <c r="F87" s="14">
        <f t="shared" ref="F87:AL87" si="34">F11*$C$78</f>
        <v>0.5</v>
      </c>
      <c r="G87" s="14">
        <f t="shared" si="34"/>
        <v>0.5</v>
      </c>
      <c r="H87" s="14">
        <f t="shared" si="34"/>
        <v>0.5</v>
      </c>
      <c r="I87" s="14">
        <f t="shared" si="34"/>
        <v>0.5</v>
      </c>
      <c r="J87" s="14">
        <f t="shared" si="34"/>
        <v>0.5</v>
      </c>
      <c r="K87" s="14">
        <f t="shared" si="34"/>
        <v>0.5</v>
      </c>
      <c r="L87" s="14">
        <f t="shared" si="34"/>
        <v>0.5</v>
      </c>
      <c r="M87" s="14">
        <f t="shared" si="34"/>
        <v>0.5</v>
      </c>
      <c r="N87" s="14">
        <f t="shared" si="34"/>
        <v>0.5</v>
      </c>
      <c r="O87" s="14">
        <f t="shared" si="34"/>
        <v>0.5</v>
      </c>
      <c r="P87" s="14">
        <f t="shared" si="34"/>
        <v>0.5</v>
      </c>
      <c r="Q87" s="14">
        <f t="shared" si="34"/>
        <v>0.5</v>
      </c>
      <c r="R87" s="14">
        <f t="shared" si="34"/>
        <v>0.5</v>
      </c>
      <c r="S87" s="14">
        <f t="shared" si="34"/>
        <v>0.5</v>
      </c>
      <c r="T87" s="14">
        <f t="shared" si="34"/>
        <v>0.5</v>
      </c>
      <c r="U87" s="14">
        <f t="shared" si="34"/>
        <v>0.5</v>
      </c>
      <c r="V87" s="14">
        <f t="shared" si="34"/>
        <v>0.5</v>
      </c>
      <c r="W87" s="14">
        <f t="shared" si="34"/>
        <v>0.5</v>
      </c>
      <c r="X87" s="14">
        <f t="shared" si="34"/>
        <v>0.5</v>
      </c>
      <c r="Y87" s="14">
        <f t="shared" si="34"/>
        <v>0.19105833333333333</v>
      </c>
      <c r="Z87" s="14">
        <f t="shared" si="34"/>
        <v>6.4638333333333339E-2</v>
      </c>
      <c r="AA87" s="14">
        <f t="shared" si="34"/>
        <v>2.3739166666666669E-2</v>
      </c>
      <c r="AB87" s="14">
        <f t="shared" si="34"/>
        <v>6.3235833333333338E-3</v>
      </c>
      <c r="AC87" s="14">
        <f t="shared" si="34"/>
        <v>9.9991666666666675E-4</v>
      </c>
      <c r="AD87" s="14">
        <f t="shared" si="34"/>
        <v>1.6684166666666668E-4</v>
      </c>
      <c r="AE87" s="14">
        <f t="shared" si="34"/>
        <v>2.9210833333333335E-5</v>
      </c>
      <c r="AF87" s="14">
        <f t="shared" si="34"/>
        <v>5.3470833333333342E-6</v>
      </c>
      <c r="AG87" s="14">
        <f t="shared" si="34"/>
        <v>8.8191666666666674E-9</v>
      </c>
      <c r="AH87" s="14">
        <f t="shared" si="34"/>
        <v>2.3495000000000002E-11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customHeight="1" outlineLevel="1" thickBot="1" x14ac:dyDescent="0.4">
      <c r="A88" s="5">
        <f t="shared" si="27"/>
        <v>0</v>
      </c>
      <c r="B88" s="5">
        <f t="shared" si="27"/>
        <v>1</v>
      </c>
      <c r="C88" s="5">
        <f t="shared" si="27"/>
        <v>0</v>
      </c>
      <c r="D88" s="5">
        <f t="shared" si="27"/>
        <v>2</v>
      </c>
      <c r="E88" s="6" t="str">
        <f t="shared" si="23"/>
        <v>Ga2Se</v>
      </c>
      <c r="F88" s="14">
        <f t="shared" ref="F88:AL88" si="35">F12*$C$78</f>
        <v>0</v>
      </c>
      <c r="G88" s="14">
        <f t="shared" si="35"/>
        <v>0</v>
      </c>
      <c r="H88" s="14">
        <f t="shared" si="35"/>
        <v>0</v>
      </c>
      <c r="I88" s="14">
        <f t="shared" si="35"/>
        <v>0</v>
      </c>
      <c r="J88" s="14">
        <f t="shared" si="35"/>
        <v>0</v>
      </c>
      <c r="K88" s="14">
        <f t="shared" si="35"/>
        <v>0</v>
      </c>
      <c r="L88" s="14">
        <f t="shared" si="35"/>
        <v>0</v>
      </c>
      <c r="M88" s="14">
        <f t="shared" si="35"/>
        <v>0</v>
      </c>
      <c r="N88" s="14">
        <f t="shared" si="35"/>
        <v>0</v>
      </c>
      <c r="O88" s="14">
        <f t="shared" si="35"/>
        <v>1.6702500000000001E-31</v>
      </c>
      <c r="P88" s="14">
        <f t="shared" si="35"/>
        <v>1.9537500000000001E-29</v>
      </c>
      <c r="Q88" s="14">
        <f t="shared" si="35"/>
        <v>1.1504166666666669E-25</v>
      </c>
      <c r="R88" s="14">
        <f t="shared" si="35"/>
        <v>6.0932500000000006E-24</v>
      </c>
      <c r="S88" s="14">
        <f t="shared" si="35"/>
        <v>6.4442500000000002E-18</v>
      </c>
      <c r="T88" s="14">
        <f t="shared" si="35"/>
        <v>5.528916666666667E-13</v>
      </c>
      <c r="U88" s="14">
        <f t="shared" si="35"/>
        <v>6.9460000000000005E-12</v>
      </c>
      <c r="V88" s="14">
        <f t="shared" si="35"/>
        <v>7.8440000000000016E-11</v>
      </c>
      <c r="W88" s="14">
        <f t="shared" si="35"/>
        <v>8.0195833333333345E-10</v>
      </c>
      <c r="X88" s="14">
        <f t="shared" si="35"/>
        <v>7.4720000000000007E-9</v>
      </c>
      <c r="Y88" s="14">
        <f t="shared" si="35"/>
        <v>2.4387500000000002E-8</v>
      </c>
      <c r="Z88" s="14">
        <f t="shared" si="35"/>
        <v>6.4967500000000003E-8</v>
      </c>
      <c r="AA88" s="14">
        <f t="shared" si="35"/>
        <v>1.7405E-7</v>
      </c>
      <c r="AB88" s="14">
        <f t="shared" si="35"/>
        <v>3.1478333333333334E-7</v>
      </c>
      <c r="AC88" s="14">
        <f t="shared" si="35"/>
        <v>3.1588333333333337E-7</v>
      </c>
      <c r="AD88" s="14">
        <f t="shared" si="35"/>
        <v>3.1389166666666673E-7</v>
      </c>
      <c r="AE88" s="14">
        <f t="shared" si="35"/>
        <v>3.0821666666666667E-7</v>
      </c>
      <c r="AF88" s="14">
        <f t="shared" si="35"/>
        <v>2.9900833333333337E-7</v>
      </c>
      <c r="AG88" s="14">
        <f t="shared" si="35"/>
        <v>2.3425833333333335E-7</v>
      </c>
      <c r="AH88" s="14">
        <f t="shared" si="35"/>
        <v>1.4823333333333334E-7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customHeight="1" outlineLevel="1" thickBot="1" x14ac:dyDescent="0.4">
      <c r="A89" s="5">
        <f t="shared" si="27"/>
        <v>1</v>
      </c>
      <c r="B89" s="5">
        <f t="shared" si="27"/>
        <v>0</v>
      </c>
      <c r="C89" s="5">
        <f t="shared" si="27"/>
        <v>0</v>
      </c>
      <c r="D89" s="5">
        <f t="shared" si="27"/>
        <v>0</v>
      </c>
      <c r="E89" s="6" t="str">
        <f t="shared" si="23"/>
        <v>Ar</v>
      </c>
      <c r="F89" s="14">
        <f t="shared" ref="F89:AL89" si="36">F13*$C$78</f>
        <v>1.666666666666667</v>
      </c>
      <c r="G89" s="14">
        <f t="shared" si="36"/>
        <v>1.666666666666667</v>
      </c>
      <c r="H89" s="14">
        <f t="shared" si="36"/>
        <v>1.666666666666667</v>
      </c>
      <c r="I89" s="14">
        <f t="shared" si="36"/>
        <v>1.666666666666667</v>
      </c>
      <c r="J89" s="14">
        <f t="shared" si="36"/>
        <v>1.666666666666667</v>
      </c>
      <c r="K89" s="14">
        <f t="shared" si="36"/>
        <v>1.666666666666667</v>
      </c>
      <c r="L89" s="14">
        <f t="shared" si="36"/>
        <v>1.666666666666667</v>
      </c>
      <c r="M89" s="14">
        <f t="shared" si="36"/>
        <v>1.666666666666667</v>
      </c>
      <c r="N89" s="14">
        <f t="shared" si="36"/>
        <v>1.666666666666667</v>
      </c>
      <c r="O89" s="14">
        <f t="shared" si="36"/>
        <v>1.666666666666667</v>
      </c>
      <c r="P89" s="14">
        <f t="shared" si="36"/>
        <v>1.666666666666667</v>
      </c>
      <c r="Q89" s="14">
        <f t="shared" si="36"/>
        <v>1.666666666666667</v>
      </c>
      <c r="R89" s="14">
        <f t="shared" si="36"/>
        <v>1.666666666666667</v>
      </c>
      <c r="S89" s="14">
        <f t="shared" si="36"/>
        <v>1.666666666666667</v>
      </c>
      <c r="T89" s="14">
        <f t="shared" si="36"/>
        <v>1.666666666666667</v>
      </c>
      <c r="U89" s="14">
        <f t="shared" si="36"/>
        <v>1.666666666666667</v>
      </c>
      <c r="V89" s="14">
        <f t="shared" si="36"/>
        <v>1.666666666666667</v>
      </c>
      <c r="W89" s="14">
        <f t="shared" si="36"/>
        <v>1.666666666666667</v>
      </c>
      <c r="X89" s="14">
        <f t="shared" si="36"/>
        <v>1.666666666666667</v>
      </c>
      <c r="Y89" s="14">
        <f t="shared" si="36"/>
        <v>1.666666666666667</v>
      </c>
      <c r="Z89" s="14">
        <f t="shared" si="36"/>
        <v>1.666666666666667</v>
      </c>
      <c r="AA89" s="14">
        <f t="shared" si="36"/>
        <v>1.666666666666667</v>
      </c>
      <c r="AB89" s="14">
        <f t="shared" si="36"/>
        <v>1.666666666666667</v>
      </c>
      <c r="AC89" s="14">
        <f t="shared" si="36"/>
        <v>1.666666666666667</v>
      </c>
      <c r="AD89" s="14">
        <f t="shared" si="36"/>
        <v>1.666666666666667</v>
      </c>
      <c r="AE89" s="14">
        <f t="shared" si="36"/>
        <v>1.666666666666667</v>
      </c>
      <c r="AF89" s="14">
        <f t="shared" si="36"/>
        <v>1.666666666666667</v>
      </c>
      <c r="AG89" s="14">
        <f t="shared" si="36"/>
        <v>1.666666666666667</v>
      </c>
      <c r="AH89" s="14">
        <f t="shared" si="36"/>
        <v>1.666666666666667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customHeight="1" outlineLevel="1" thickBot="1" x14ac:dyDescent="0.4">
      <c r="A90" s="5">
        <f t="shared" si="27"/>
        <v>0</v>
      </c>
      <c r="B90" s="5">
        <f t="shared" si="27"/>
        <v>0</v>
      </c>
      <c r="C90" s="5">
        <f t="shared" si="27"/>
        <v>0</v>
      </c>
      <c r="D90" s="5">
        <f t="shared" si="27"/>
        <v>1</v>
      </c>
      <c r="E90" s="6" t="str">
        <f t="shared" si="23"/>
        <v>(1)Ga[l]</v>
      </c>
      <c r="F90" s="14">
        <f t="shared" ref="F90:AL90" si="37">F14*$C$78</f>
        <v>0</v>
      </c>
      <c r="G90" s="14">
        <f t="shared" si="37"/>
        <v>0</v>
      </c>
      <c r="H90" s="14">
        <f t="shared" si="37"/>
        <v>0</v>
      </c>
      <c r="I90" s="14">
        <f t="shared" si="37"/>
        <v>0</v>
      </c>
      <c r="J90" s="14">
        <f t="shared" si="37"/>
        <v>0</v>
      </c>
      <c r="K90" s="14">
        <f t="shared" si="37"/>
        <v>0</v>
      </c>
      <c r="L90" s="14">
        <f t="shared" si="37"/>
        <v>0</v>
      </c>
      <c r="M90" s="14">
        <f t="shared" si="37"/>
        <v>0</v>
      </c>
      <c r="N90" s="14">
        <f t="shared" si="37"/>
        <v>0</v>
      </c>
      <c r="O90" s="14">
        <f t="shared" si="37"/>
        <v>0</v>
      </c>
      <c r="P90" s="14">
        <f t="shared" si="37"/>
        <v>0</v>
      </c>
      <c r="Q90" s="14">
        <f t="shared" si="37"/>
        <v>0</v>
      </c>
      <c r="R90" s="14">
        <f t="shared" si="37"/>
        <v>0</v>
      </c>
      <c r="S90" s="14">
        <f t="shared" si="37"/>
        <v>2.9165000000000002E-18</v>
      </c>
      <c r="T90" s="14">
        <f t="shared" si="37"/>
        <v>9.5333333333333338E-13</v>
      </c>
      <c r="U90" s="14">
        <f t="shared" si="37"/>
        <v>1.1882500000000001E-11</v>
      </c>
      <c r="V90" s="14">
        <f t="shared" si="37"/>
        <v>3.1574166666666669E-11</v>
      </c>
      <c r="W90" s="14">
        <f t="shared" si="37"/>
        <v>5.09675E-10</v>
      </c>
      <c r="X90" s="14">
        <f t="shared" si="37"/>
        <v>6.7895833333333348E-17</v>
      </c>
      <c r="Y90" s="14">
        <f t="shared" si="37"/>
        <v>3.0375833333333339E-9</v>
      </c>
      <c r="Z90" s="14">
        <f t="shared" si="37"/>
        <v>1.1255833333333334E-7</v>
      </c>
      <c r="AA90" s="14">
        <f t="shared" si="37"/>
        <v>1.6802500000000001E-6</v>
      </c>
      <c r="AB90" s="14">
        <f t="shared" si="37"/>
        <v>0.9873333333333334</v>
      </c>
      <c r="AC90" s="14">
        <f t="shared" si="37"/>
        <v>0.99800000000000011</v>
      </c>
      <c r="AD90" s="14">
        <f t="shared" si="37"/>
        <v>0.9996666666666667</v>
      </c>
      <c r="AE90" s="14">
        <f t="shared" si="37"/>
        <v>0.99991666666666679</v>
      </c>
      <c r="AF90" s="14">
        <f t="shared" si="37"/>
        <v>1</v>
      </c>
      <c r="AG90" s="14">
        <f t="shared" si="37"/>
        <v>1</v>
      </c>
      <c r="AH90" s="14">
        <f t="shared" si="37"/>
        <v>1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1</v>
      </c>
      <c r="D91" s="5">
        <f t="shared" si="27"/>
        <v>0</v>
      </c>
      <c r="E91" s="6" t="str">
        <f t="shared" si="23"/>
        <v>(1)Ge[l]</v>
      </c>
      <c r="F91" s="14">
        <f t="shared" ref="F91:AL91" si="38">F15*$C$78</f>
        <v>0</v>
      </c>
      <c r="G91" s="14">
        <f t="shared" si="38"/>
        <v>0</v>
      </c>
      <c r="H91" s="14">
        <f t="shared" si="38"/>
        <v>0</v>
      </c>
      <c r="I91" s="14">
        <f t="shared" si="38"/>
        <v>0</v>
      </c>
      <c r="J91" s="14">
        <f t="shared" si="38"/>
        <v>0</v>
      </c>
      <c r="K91" s="14">
        <f t="shared" si="38"/>
        <v>0</v>
      </c>
      <c r="L91" s="14">
        <f t="shared" si="38"/>
        <v>0</v>
      </c>
      <c r="M91" s="14">
        <f t="shared" si="38"/>
        <v>0</v>
      </c>
      <c r="N91" s="14">
        <f t="shared" si="38"/>
        <v>0</v>
      </c>
      <c r="O91" s="14">
        <f t="shared" si="38"/>
        <v>0</v>
      </c>
      <c r="P91" s="14">
        <f t="shared" si="38"/>
        <v>0</v>
      </c>
      <c r="Q91" s="14">
        <f t="shared" si="38"/>
        <v>0</v>
      </c>
      <c r="R91" s="14">
        <f t="shared" si="38"/>
        <v>0</v>
      </c>
      <c r="S91" s="14">
        <f t="shared" si="38"/>
        <v>1.0200833333333333E-14</v>
      </c>
      <c r="T91" s="14">
        <f t="shared" si="38"/>
        <v>3.4010000000000001E-11</v>
      </c>
      <c r="U91" s="14">
        <f t="shared" si="38"/>
        <v>1.50525E-10</v>
      </c>
      <c r="V91" s="14">
        <f t="shared" si="38"/>
        <v>1.4718333333333335E-10</v>
      </c>
      <c r="W91" s="14">
        <f t="shared" si="38"/>
        <v>9.0875000000000009E-10</v>
      </c>
      <c r="X91" s="14">
        <f t="shared" si="38"/>
        <v>4.7889166666666669E-17</v>
      </c>
      <c r="Y91" s="14">
        <f t="shared" si="38"/>
        <v>1.3103333333333333E-9</v>
      </c>
      <c r="Z91" s="14">
        <f t="shared" si="38"/>
        <v>3.3884166666666672E-8</v>
      </c>
      <c r="AA91" s="14">
        <f t="shared" si="38"/>
        <v>3.565916666666667E-7</v>
      </c>
      <c r="AB91" s="14">
        <f t="shared" si="38"/>
        <v>0.17927500000000002</v>
      </c>
      <c r="AC91" s="14">
        <f t="shared" si="38"/>
        <v>0.20697500000000002</v>
      </c>
      <c r="AD91" s="14">
        <f t="shared" si="38"/>
        <v>0.23627500000000001</v>
      </c>
      <c r="AE91" s="14">
        <f t="shared" si="38"/>
        <v>0.26885000000000003</v>
      </c>
      <c r="AF91" s="14">
        <f t="shared" si="38"/>
        <v>0.30540833333333334</v>
      </c>
      <c r="AG91" s="14">
        <f t="shared" si="38"/>
        <v>0.50573333333333337</v>
      </c>
      <c r="AH91" s="14">
        <f t="shared" si="38"/>
        <v>0.85133333333333339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customHeight="1" outlineLevel="1" thickBot="1" x14ac:dyDescent="0.4">
      <c r="A92" s="5">
        <f t="shared" si="27"/>
        <v>1</v>
      </c>
      <c r="B92" s="5">
        <f t="shared" si="27"/>
        <v>0</v>
      </c>
      <c r="C92" s="5">
        <f t="shared" si="27"/>
        <v>0</v>
      </c>
      <c r="D92" s="5">
        <f t="shared" si="27"/>
        <v>0</v>
      </c>
      <c r="E92" s="6" t="str">
        <f t="shared" si="23"/>
        <v>H (Ar)</v>
      </c>
      <c r="F92" s="14">
        <f t="shared" ref="F92:AL92" si="39">F16*$C$78</f>
        <v>-157.33333333333334</v>
      </c>
      <c r="G92" s="14">
        <f t="shared" si="39"/>
        <v>-157.25000000000003</v>
      </c>
      <c r="H92" s="14">
        <f t="shared" si="39"/>
        <v>-157.25000000000003</v>
      </c>
      <c r="I92" s="14">
        <f t="shared" si="39"/>
        <v>-157.33333333333334</v>
      </c>
      <c r="J92" s="14">
        <f t="shared" si="39"/>
        <v>-157.41666666666669</v>
      </c>
      <c r="K92" s="14">
        <f t="shared" si="39"/>
        <v>-157.58333333333334</v>
      </c>
      <c r="L92" s="14">
        <f t="shared" si="39"/>
        <v>-157.75</v>
      </c>
      <c r="M92" s="14">
        <f t="shared" si="39"/>
        <v>-157.91666666666669</v>
      </c>
      <c r="N92" s="14">
        <f t="shared" si="39"/>
        <v>-158.16666666666669</v>
      </c>
      <c r="O92" s="14">
        <f t="shared" si="39"/>
        <v>-159.16666666666669</v>
      </c>
      <c r="P92" s="14">
        <f t="shared" si="39"/>
        <v>-159.41666666666666</v>
      </c>
      <c r="Q92" s="14">
        <f t="shared" si="39"/>
        <v>-160</v>
      </c>
      <c r="R92" s="14">
        <f t="shared" si="39"/>
        <v>-160.25000000000003</v>
      </c>
      <c r="S92" s="14">
        <f t="shared" si="39"/>
        <v>-161.41666666666669</v>
      </c>
      <c r="T92" s="14">
        <f t="shared" si="39"/>
        <v>-162.58333333333337</v>
      </c>
      <c r="U92" s="14">
        <f t="shared" si="39"/>
        <v>-162.83333333333334</v>
      </c>
      <c r="V92" s="14">
        <f t="shared" si="39"/>
        <v>-163.16666666666666</v>
      </c>
      <c r="W92" s="14">
        <f t="shared" si="39"/>
        <v>-163.41666666666669</v>
      </c>
      <c r="X92" s="14">
        <f t="shared" si="39"/>
        <v>-163.66666666666669</v>
      </c>
      <c r="Y92" s="14">
        <f t="shared" si="39"/>
        <v>-162.66666666666669</v>
      </c>
      <c r="Z92" s="14">
        <f t="shared" si="39"/>
        <v>-162.41666666666666</v>
      </c>
      <c r="AA92" s="14">
        <f t="shared" si="39"/>
        <v>-162.5</v>
      </c>
      <c r="AB92" s="14">
        <f t="shared" si="39"/>
        <v>-162.66666666666669</v>
      </c>
      <c r="AC92" s="14">
        <f t="shared" si="39"/>
        <v>-162.91666666666669</v>
      </c>
      <c r="AD92" s="14">
        <f t="shared" si="39"/>
        <v>-163.16666666666666</v>
      </c>
      <c r="AE92" s="14">
        <f t="shared" si="39"/>
        <v>-163.41666666666669</v>
      </c>
      <c r="AF92" s="14">
        <f t="shared" si="39"/>
        <v>-163.66666666666669</v>
      </c>
      <c r="AG92" s="14">
        <f t="shared" si="39"/>
        <v>-164.66666666666669</v>
      </c>
      <c r="AH92" s="14">
        <f t="shared" si="39"/>
        <v>-165.66666666666666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customHeight="1" outlineLevel="1" thickBot="1" x14ac:dyDescent="0.4">
      <c r="A93" s="5">
        <f t="shared" si="27"/>
        <v>0</v>
      </c>
      <c r="B93" s="5">
        <f t="shared" si="27"/>
        <v>0</v>
      </c>
      <c r="C93" s="5">
        <f t="shared" si="27"/>
        <v>0</v>
      </c>
      <c r="D93" s="5">
        <f t="shared" si="27"/>
        <v>1</v>
      </c>
      <c r="E93" s="6" t="str">
        <f t="shared" si="23"/>
        <v>H (Ga)</v>
      </c>
      <c r="F93" s="14">
        <f t="shared" ref="F93:AL93" si="40">F17*$C$78</f>
        <v>-552.5</v>
      </c>
      <c r="G93" s="14">
        <f t="shared" si="40"/>
        <v>-523.41666666666674</v>
      </c>
      <c r="H93" s="14">
        <f t="shared" si="40"/>
        <v>-497.58333333333337</v>
      </c>
      <c r="I93" s="14">
        <f t="shared" si="40"/>
        <v>-474.5</v>
      </c>
      <c r="J93" s="14">
        <f t="shared" si="40"/>
        <v>-453.66666666666669</v>
      </c>
      <c r="K93" s="14">
        <f t="shared" si="40"/>
        <v>-425.58333333333337</v>
      </c>
      <c r="L93" s="14">
        <f t="shared" si="40"/>
        <v>-397.50000000000006</v>
      </c>
      <c r="M93" s="14">
        <f t="shared" si="40"/>
        <v>-371.58333333333337</v>
      </c>
      <c r="N93" s="14">
        <f t="shared" si="40"/>
        <v>-347.66666666666669</v>
      </c>
      <c r="O93" s="14">
        <f t="shared" si="40"/>
        <v>-267.16666666666669</v>
      </c>
      <c r="P93" s="14">
        <f t="shared" si="40"/>
        <v>-250.16666666666669</v>
      </c>
      <c r="Q93" s="14">
        <f t="shared" si="40"/>
        <v>-218.91666666666669</v>
      </c>
      <c r="R93" s="14">
        <f t="shared" si="40"/>
        <v>-204.58333333333334</v>
      </c>
      <c r="S93" s="14">
        <f t="shared" si="40"/>
        <v>-154.16666666666669</v>
      </c>
      <c r="T93" s="14">
        <f t="shared" si="40"/>
        <v>-112.41666666666667</v>
      </c>
      <c r="U93" s="14">
        <f t="shared" si="40"/>
        <v>-103</v>
      </c>
      <c r="V93" s="14">
        <f t="shared" si="40"/>
        <v>-94</v>
      </c>
      <c r="W93" s="14">
        <f t="shared" si="40"/>
        <v>-85.333333333333343</v>
      </c>
      <c r="X93" s="14">
        <f t="shared" si="40"/>
        <v>-77.000000000000014</v>
      </c>
      <c r="Y93" s="14">
        <f t="shared" si="40"/>
        <v>-72.333333333333343</v>
      </c>
      <c r="Z93" s="14">
        <f t="shared" si="40"/>
        <v>-68.800000000000011</v>
      </c>
      <c r="AA93" s="14">
        <f t="shared" si="40"/>
        <v>-65.39166666666668</v>
      </c>
      <c r="AB93" s="14">
        <f t="shared" si="40"/>
        <v>-63.625</v>
      </c>
      <c r="AC93" s="14">
        <f t="shared" si="40"/>
        <v>-64.291666666666671</v>
      </c>
      <c r="AD93" s="14">
        <f t="shared" si="40"/>
        <v>-64.966666666666669</v>
      </c>
      <c r="AE93" s="14">
        <f t="shared" si="40"/>
        <v>-65.658333333333331</v>
      </c>
      <c r="AF93" s="14">
        <f t="shared" si="40"/>
        <v>-66.358333333333334</v>
      </c>
      <c r="AG93" s="14">
        <f t="shared" si="40"/>
        <v>-69.325000000000017</v>
      </c>
      <c r="AH93" s="14">
        <f t="shared" si="40"/>
        <v>-72.708333333333329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1</v>
      </c>
      <c r="D94" s="5">
        <f t="shared" si="27"/>
        <v>0</v>
      </c>
      <c r="E94" s="6" t="str">
        <f t="shared" si="23"/>
        <v>H (Ge)</v>
      </c>
      <c r="F94" s="14">
        <f t="shared" ref="F94:AL94" si="41">F18*$C$78</f>
        <v>-135.75</v>
      </c>
      <c r="G94" s="14">
        <f t="shared" si="41"/>
        <v>-130.41666666666669</v>
      </c>
      <c r="H94" s="14">
        <f t="shared" si="41"/>
        <v>-125.75000000000001</v>
      </c>
      <c r="I94" s="14">
        <f t="shared" si="41"/>
        <v>-121.58333333333334</v>
      </c>
      <c r="J94" s="14">
        <f t="shared" si="41"/>
        <v>-118.00000000000001</v>
      </c>
      <c r="K94" s="14">
        <f t="shared" si="41"/>
        <v>-108.58333333333334</v>
      </c>
      <c r="L94" s="14">
        <f t="shared" si="41"/>
        <v>-98.333333333333343</v>
      </c>
      <c r="M94" s="14">
        <f t="shared" si="41"/>
        <v>-88.916666666666671</v>
      </c>
      <c r="N94" s="14">
        <f t="shared" si="41"/>
        <v>-80.125000000000014</v>
      </c>
      <c r="O94" s="14">
        <f t="shared" si="41"/>
        <v>-50.333333333333336</v>
      </c>
      <c r="P94" s="14">
        <f t="shared" si="41"/>
        <v>-43.966666666666669</v>
      </c>
      <c r="Q94" s="14">
        <f t="shared" si="41"/>
        <v>-34.291666666666671</v>
      </c>
      <c r="R94" s="14">
        <f t="shared" si="41"/>
        <v>-34.625000000000007</v>
      </c>
      <c r="S94" s="14">
        <f t="shared" si="41"/>
        <v>-35.975000000000001</v>
      </c>
      <c r="T94" s="14">
        <f t="shared" si="41"/>
        <v>-37.341666666666669</v>
      </c>
      <c r="U94" s="14">
        <f t="shared" si="41"/>
        <v>-37.683333333333337</v>
      </c>
      <c r="V94" s="14">
        <f t="shared" si="41"/>
        <v>-38.016666666666673</v>
      </c>
      <c r="W94" s="14">
        <f t="shared" si="41"/>
        <v>-38.358333333333334</v>
      </c>
      <c r="X94" s="14">
        <f t="shared" si="41"/>
        <v>-38.69166666666667</v>
      </c>
      <c r="Y94" s="14">
        <f t="shared" si="41"/>
        <v>-39.024999999999999</v>
      </c>
      <c r="Z94" s="14">
        <f t="shared" si="41"/>
        <v>-39.350000000000009</v>
      </c>
      <c r="AA94" s="14">
        <f t="shared" si="41"/>
        <v>-39.68333333333333</v>
      </c>
      <c r="AB94" s="14">
        <f t="shared" si="41"/>
        <v>-40.00833333333334</v>
      </c>
      <c r="AC94" s="14">
        <f t="shared" si="41"/>
        <v>-40.333333333333336</v>
      </c>
      <c r="AD94" s="14">
        <f t="shared" si="41"/>
        <v>-40.650000000000006</v>
      </c>
      <c r="AE94" s="14">
        <f t="shared" si="41"/>
        <v>-40.975000000000001</v>
      </c>
      <c r="AF94" s="14">
        <f t="shared" si="41"/>
        <v>-41.291666666666671</v>
      </c>
      <c r="AG94" s="14">
        <f t="shared" si="41"/>
        <v>-42.533333333333339</v>
      </c>
      <c r="AH94" s="14">
        <f t="shared" si="41"/>
        <v>-43.741666666666667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customHeight="1" outlineLevel="1" thickBot="1" x14ac:dyDescent="0.4">
      <c r="A95" s="5">
        <f t="shared" si="27"/>
        <v>0</v>
      </c>
      <c r="B95" s="5">
        <f t="shared" si="27"/>
        <v>1</v>
      </c>
      <c r="C95" s="5">
        <f t="shared" si="27"/>
        <v>0</v>
      </c>
      <c r="D95" s="5">
        <f t="shared" si="27"/>
        <v>0</v>
      </c>
      <c r="E95" s="6" t="str">
        <f t="shared" si="23"/>
        <v>H (Se)</v>
      </c>
      <c r="F95" s="14">
        <f t="shared" ref="F95:AL95" si="42">F19*$C$78</f>
        <v>-196</v>
      </c>
      <c r="G95" s="14">
        <f t="shared" si="42"/>
        <v>-186.75000000000003</v>
      </c>
      <c r="H95" s="14">
        <f t="shared" si="42"/>
        <v>-178.50000000000003</v>
      </c>
      <c r="I95" s="14">
        <f t="shared" si="42"/>
        <v>-171.16666666666669</v>
      </c>
      <c r="J95" s="14">
        <f t="shared" si="42"/>
        <v>-164.66666666666669</v>
      </c>
      <c r="K95" s="14">
        <f t="shared" si="42"/>
        <v>-164.91666666666666</v>
      </c>
      <c r="L95" s="14">
        <f t="shared" si="42"/>
        <v>-166.91666666666669</v>
      </c>
      <c r="M95" s="14">
        <f t="shared" si="42"/>
        <v>-169.00000000000003</v>
      </c>
      <c r="N95" s="14">
        <f t="shared" si="42"/>
        <v>-171</v>
      </c>
      <c r="O95" s="14">
        <f t="shared" si="42"/>
        <v>-179.33333333333334</v>
      </c>
      <c r="P95" s="14">
        <f t="shared" si="42"/>
        <v>-181.41666666666669</v>
      </c>
      <c r="Q95" s="14">
        <f t="shared" si="42"/>
        <v>-185.58333333333334</v>
      </c>
      <c r="R95" s="14">
        <f t="shared" si="42"/>
        <v>-187.58333333333337</v>
      </c>
      <c r="S95" s="14">
        <f t="shared" si="42"/>
        <v>-195.66666666666669</v>
      </c>
      <c r="T95" s="14">
        <f t="shared" si="42"/>
        <v>-203.41666666666669</v>
      </c>
      <c r="U95" s="14">
        <f t="shared" si="42"/>
        <v>-205.33333333333334</v>
      </c>
      <c r="V95" s="14">
        <f t="shared" si="42"/>
        <v>-207.16666666666669</v>
      </c>
      <c r="W95" s="14">
        <f t="shared" si="42"/>
        <v>-209.08333333333334</v>
      </c>
      <c r="X95" s="14">
        <f t="shared" si="42"/>
        <v>-210.91666666666666</v>
      </c>
      <c r="Y95" s="14">
        <f t="shared" si="42"/>
        <v>-212.75000000000003</v>
      </c>
      <c r="Z95" s="14">
        <f t="shared" si="42"/>
        <v>-214.58333333333334</v>
      </c>
      <c r="AA95" s="14">
        <f t="shared" si="42"/>
        <v>-216.33333333333334</v>
      </c>
      <c r="AB95" s="14">
        <f t="shared" si="42"/>
        <v>-218.16666666666669</v>
      </c>
      <c r="AC95" s="14">
        <f t="shared" si="42"/>
        <v>-219.91666666666669</v>
      </c>
      <c r="AD95" s="14">
        <f t="shared" si="42"/>
        <v>-221.66666666666669</v>
      </c>
      <c r="AE95" s="14">
        <f t="shared" si="42"/>
        <v>-223.41666666666669</v>
      </c>
      <c r="AF95" s="14">
        <f t="shared" si="42"/>
        <v>-225.16666666666669</v>
      </c>
      <c r="AG95" s="14">
        <f t="shared" si="42"/>
        <v>-231.91666666666666</v>
      </c>
      <c r="AH95" s="14">
        <f t="shared" si="42"/>
        <v>-238.50000000000003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0</v>
      </c>
      <c r="D96" s="5">
        <f t="shared" si="27"/>
        <v>0</v>
      </c>
      <c r="E96" s="6">
        <f t="shared" si="23"/>
        <v>0</v>
      </c>
      <c r="F96" s="14">
        <f t="shared" ref="F96:AL96" si="43">F20*$C$78</f>
        <v>0</v>
      </c>
      <c r="G96" s="14">
        <f t="shared" si="43"/>
        <v>0</v>
      </c>
      <c r="H96" s="14">
        <f t="shared" si="43"/>
        <v>0</v>
      </c>
      <c r="I96" s="14">
        <f t="shared" si="43"/>
        <v>0</v>
      </c>
      <c r="J96" s="14">
        <f t="shared" si="43"/>
        <v>0</v>
      </c>
      <c r="K96" s="14">
        <f t="shared" si="43"/>
        <v>0</v>
      </c>
      <c r="L96" s="14">
        <f t="shared" si="43"/>
        <v>0</v>
      </c>
      <c r="M96" s="14">
        <f t="shared" si="43"/>
        <v>0</v>
      </c>
      <c r="N96" s="14">
        <f t="shared" si="43"/>
        <v>0</v>
      </c>
      <c r="O96" s="14">
        <f t="shared" si="43"/>
        <v>0</v>
      </c>
      <c r="P96" s="14">
        <f t="shared" si="43"/>
        <v>0</v>
      </c>
      <c r="Q96" s="14">
        <f t="shared" si="43"/>
        <v>0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U110" s="55"/>
      <c r="V110" s="55"/>
      <c r="W110" s="55"/>
    </row>
    <row r="111" spans="1:54" ht="21" customHeight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23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142" t="s">
        <v>10</v>
      </c>
      <c r="B113" s="143"/>
      <c r="C113" s="23" t="s">
        <v>11</v>
      </c>
      <c r="D113" s="15" t="s">
        <v>12</v>
      </c>
      <c r="E113" s="15"/>
      <c r="F113" s="4">
        <f t="shared" ref="F113:AL113" si="57">F3</f>
        <v>273.10000000000002</v>
      </c>
      <c r="G113" s="4">
        <f t="shared" si="57"/>
        <v>289.7</v>
      </c>
      <c r="H113" s="4">
        <f t="shared" si="57"/>
        <v>306.2</v>
      </c>
      <c r="I113" s="4">
        <f t="shared" si="57"/>
        <v>322.7</v>
      </c>
      <c r="J113" s="4">
        <f t="shared" si="57"/>
        <v>339.2</v>
      </c>
      <c r="K113" s="4">
        <f t="shared" si="57"/>
        <v>355.7</v>
      </c>
      <c r="L113" s="4">
        <f t="shared" si="57"/>
        <v>372.3</v>
      </c>
      <c r="M113" s="4">
        <f t="shared" si="57"/>
        <v>388.8</v>
      </c>
      <c r="N113" s="4">
        <f t="shared" si="57"/>
        <v>405.3</v>
      </c>
      <c r="O113" s="4">
        <f t="shared" si="57"/>
        <v>471.4</v>
      </c>
      <c r="P113" s="4">
        <f t="shared" si="57"/>
        <v>487.9</v>
      </c>
      <c r="Q113" s="4">
        <f t="shared" si="57"/>
        <v>520.9</v>
      </c>
      <c r="R113" s="4">
        <f t="shared" si="57"/>
        <v>537.5</v>
      </c>
      <c r="S113" s="4">
        <f t="shared" si="57"/>
        <v>603.5</v>
      </c>
      <c r="T113" s="4">
        <f t="shared" si="57"/>
        <v>669.6</v>
      </c>
      <c r="U113" s="4">
        <f t="shared" si="57"/>
        <v>686.1</v>
      </c>
      <c r="V113" s="4">
        <f t="shared" si="57"/>
        <v>702.7</v>
      </c>
      <c r="W113" s="4">
        <f t="shared" si="57"/>
        <v>719.2</v>
      </c>
      <c r="X113" s="4">
        <f t="shared" si="57"/>
        <v>735.7</v>
      </c>
      <c r="Y113" s="4">
        <f t="shared" si="57"/>
        <v>752.2</v>
      </c>
      <c r="Z113" s="4">
        <f t="shared" si="57"/>
        <v>768.7</v>
      </c>
      <c r="AA113" s="4">
        <f t="shared" si="57"/>
        <v>785.2</v>
      </c>
      <c r="AB113" s="4">
        <f t="shared" si="57"/>
        <v>801.8</v>
      </c>
      <c r="AC113" s="4">
        <f t="shared" si="57"/>
        <v>818.3</v>
      </c>
      <c r="AD113" s="4">
        <f t="shared" si="57"/>
        <v>834.8</v>
      </c>
      <c r="AE113" s="4">
        <f t="shared" si="57"/>
        <v>851.3</v>
      </c>
      <c r="AF113" s="4">
        <f t="shared" si="57"/>
        <v>867.8</v>
      </c>
      <c r="AG113" s="4">
        <f t="shared" si="57"/>
        <v>933.9</v>
      </c>
      <c r="AH113" s="4">
        <f t="shared" si="57"/>
        <v>1000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-1116.393458</v>
      </c>
      <c r="C114" s="24">
        <f>COUNTA(E114:E121)+1</f>
        <v>5</v>
      </c>
      <c r="E114" s="17" t="s">
        <v>32</v>
      </c>
      <c r="F114" s="52">
        <f t="shared" ref="F114:AL114" ca="1" si="58">F$113*$B$2*SUMPRODUCT(F$90:F$91,F$56:F$57)/1000</f>
        <v>0</v>
      </c>
      <c r="G114" s="52">
        <f t="shared" ca="1" si="58"/>
        <v>0</v>
      </c>
      <c r="H114" s="52">
        <f t="shared" ca="1" si="58"/>
        <v>0</v>
      </c>
      <c r="I114" s="52">
        <f t="shared" ca="1" si="58"/>
        <v>0</v>
      </c>
      <c r="J114" s="52">
        <f t="shared" ca="1" si="58"/>
        <v>0</v>
      </c>
      <c r="K114" s="52">
        <f t="shared" ca="1" si="58"/>
        <v>0</v>
      </c>
      <c r="L114" s="52">
        <f t="shared" ca="1" si="58"/>
        <v>0</v>
      </c>
      <c r="M114" s="52">
        <f t="shared" ca="1" si="58"/>
        <v>0</v>
      </c>
      <c r="N114" s="52">
        <f t="shared" ca="1" si="58"/>
        <v>0</v>
      </c>
      <c r="O114" s="52">
        <f t="shared" ca="1" si="58"/>
        <v>0</v>
      </c>
      <c r="P114" s="52">
        <f t="shared" ca="1" si="58"/>
        <v>0</v>
      </c>
      <c r="Q114" s="52">
        <f t="shared" ca="1" si="58"/>
        <v>0</v>
      </c>
      <c r="R114" s="52">
        <f t="shared" ca="1" si="58"/>
        <v>0</v>
      </c>
      <c r="S114" s="52">
        <f t="shared" ca="1" si="58"/>
        <v>-2.2123961577716461E-13</v>
      </c>
      <c r="T114" s="52">
        <f t="shared" ca="1" si="58"/>
        <v>-9.2006271211381218E-10</v>
      </c>
      <c r="U114" s="52">
        <f t="shared" ca="1" si="58"/>
        <v>-4.7207768335252883E-9</v>
      </c>
      <c r="V114" s="52">
        <f t="shared" ca="1" si="58"/>
        <v>-6.0038955899807469E-9</v>
      </c>
      <c r="W114" s="52">
        <f t="shared" ca="1" si="58"/>
        <v>-5.6222259061590312E-8</v>
      </c>
      <c r="X114" s="52">
        <f t="shared" ca="1" si="58"/>
        <v>-5.1976381214482683E-15</v>
      </c>
      <c r="Y114" s="52">
        <f t="shared" ca="1" si="58"/>
        <v>-2.0327614931030894E-7</v>
      </c>
      <c r="Z114" s="52">
        <f t="shared" ca="1" si="58"/>
        <v>-6.9619932682954571E-6</v>
      </c>
      <c r="AA114" s="52">
        <f t="shared" ca="1" si="58"/>
        <v>-9.716441474314485E-5</v>
      </c>
      <c r="AB114" s="52">
        <f t="shared" ca="1" si="58"/>
        <v>-55.992417174978577</v>
      </c>
      <c r="AC114" s="52">
        <f t="shared" ca="1" si="58"/>
        <v>-59.20171373586016</v>
      </c>
      <c r="AD114" s="52">
        <f t="shared" ca="1" si="58"/>
        <v>-62.093348781443275</v>
      </c>
      <c r="AE114" s="52">
        <f t="shared" ca="1" si="58"/>
        <v>-65.120805275592986</v>
      </c>
      <c r="AF114" s="52">
        <f t="shared" ca="1" si="58"/>
        <v>-68.374553966353034</v>
      </c>
      <c r="AG114" s="52">
        <f t="shared" ca="1" si="58"/>
        <v>-84.63957754907689</v>
      </c>
      <c r="AH114" s="52">
        <f t="shared" ca="1" si="58"/>
        <v>-109.698591839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29</v>
      </c>
      <c r="E115" s="17" t="s">
        <v>14</v>
      </c>
      <c r="F115" s="14">
        <f t="shared" ref="F115:AL115" ca="1" si="59">F$113*$B$2*SUMPRODUCT(F$87:F$88,F$53:F$54)/1000</f>
        <v>-230.65668512100004</v>
      </c>
      <c r="G115" s="14">
        <f t="shared" ca="1" si="59"/>
        <v>-232.25992442625002</v>
      </c>
      <c r="H115" s="14">
        <f t="shared" ca="1" si="59"/>
        <v>-233.81544681600002</v>
      </c>
      <c r="I115" s="14">
        <f t="shared" ca="1" si="59"/>
        <v>-235.4410729125</v>
      </c>
      <c r="J115" s="14">
        <f t="shared" ca="1" si="59"/>
        <v>-237.12900787200002</v>
      </c>
      <c r="K115" s="14">
        <f t="shared" ca="1" si="59"/>
        <v>-238.83030007574999</v>
      </c>
      <c r="L115" s="14">
        <f t="shared" ca="1" si="59"/>
        <v>-240.65874177075005</v>
      </c>
      <c r="M115" s="14">
        <f t="shared" ca="1" si="59"/>
        <v>-242.48314677600004</v>
      </c>
      <c r="N115" s="14">
        <f t="shared" ca="1" si="59"/>
        <v>-244.31534662500005</v>
      </c>
      <c r="O115" s="14">
        <f t="shared" ca="1" si="59"/>
        <v>-252.17775400200003</v>
      </c>
      <c r="P115" s="14">
        <f t="shared" ca="1" si="59"/>
        <v>-254.25019717124999</v>
      </c>
      <c r="Q115" s="14">
        <f t="shared" ca="1" si="59"/>
        <v>-258.45380050874996</v>
      </c>
      <c r="R115" s="14">
        <f t="shared" ca="1" si="59"/>
        <v>-260.61228628125002</v>
      </c>
      <c r="S115" s="14">
        <f t="shared" ca="1" si="59"/>
        <v>-269.55625628999996</v>
      </c>
      <c r="T115" s="14">
        <f t="shared" ca="1" si="59"/>
        <v>-278.95403586615828</v>
      </c>
      <c r="U115" s="14">
        <f t="shared" ca="1" si="59"/>
        <v>-281.34980915595582</v>
      </c>
      <c r="V115" s="14">
        <f t="shared" ca="1" si="59"/>
        <v>-283.7750407372323</v>
      </c>
      <c r="W115" s="14">
        <f t="shared" ca="1" si="59"/>
        <v>-286.2823698685329</v>
      </c>
      <c r="X115" s="14">
        <f t="shared" ca="1" si="59"/>
        <v>-288.75193196971827</v>
      </c>
      <c r="Y115" s="14">
        <f t="shared" ca="1" si="59"/>
        <v>-112.2618672109526</v>
      </c>
      <c r="Z115" s="14">
        <f t="shared" ca="1" si="59"/>
        <v>-38.735594687381337</v>
      </c>
      <c r="AA115" s="14">
        <f t="shared" ca="1" si="59"/>
        <v>-14.502354272415763</v>
      </c>
      <c r="AB115" s="14">
        <f t="shared" ca="1" si="59"/>
        <v>-3.9547963427916573</v>
      </c>
      <c r="AC115" s="14">
        <f t="shared" ca="1" si="59"/>
        <v>-0.64367149908653609</v>
      </c>
      <c r="AD115" s="14">
        <f t="shared" ca="1" si="59"/>
        <v>-0.11055955780735784</v>
      </c>
      <c r="AE115" s="14">
        <f t="shared" ca="1" si="59"/>
        <v>-1.9980522905538464E-2</v>
      </c>
      <c r="AF115" s="14">
        <f t="shared" ca="1" si="59"/>
        <v>-3.8344639472439389E-3</v>
      </c>
      <c r="AG115" s="14">
        <f t="shared" ca="1" si="59"/>
        <v>-8.7743850608978764E-5</v>
      </c>
      <c r="AH115" s="14">
        <f t="shared" ca="1" si="59"/>
        <v>-5.6800813847027529E-5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t="shared" ref="F116:AL116" ca="1" si="60">F$113*$B$2*SUMPRODUCT(F$87:F$89,F$53:F$55)/1000</f>
        <v>-302.10772888100007</v>
      </c>
      <c r="G116" s="14">
        <f t="shared" ca="1" si="60"/>
        <v>-308.01387436875001</v>
      </c>
      <c r="H116" s="14">
        <f t="shared" ca="1" si="60"/>
        <v>-313.88399867100003</v>
      </c>
      <c r="I116" s="14">
        <f t="shared" ca="1" si="60"/>
        <v>-319.86894483250001</v>
      </c>
      <c r="J116" s="14">
        <f t="shared" ca="1" si="60"/>
        <v>-325.92077283200001</v>
      </c>
      <c r="K116" s="14">
        <f t="shared" ca="1" si="60"/>
        <v>-332.03982217825001</v>
      </c>
      <c r="L116" s="14">
        <f t="shared" ca="1" si="60"/>
        <v>-338.32139921325006</v>
      </c>
      <c r="M116" s="14">
        <f t="shared" ca="1" si="60"/>
        <v>-344.58188097600009</v>
      </c>
      <c r="N116" s="14">
        <f t="shared" ca="1" si="60"/>
        <v>-350.91546798000007</v>
      </c>
      <c r="O116" s="14">
        <f t="shared" ca="1" si="60"/>
        <v>-376.94708105200004</v>
      </c>
      <c r="P116" s="14">
        <f t="shared" ca="1" si="60"/>
        <v>-383.58954757375</v>
      </c>
      <c r="Q116" s="14">
        <f t="shared" ca="1" si="60"/>
        <v>-397.04653810875004</v>
      </c>
      <c r="R116" s="14">
        <f t="shared" ca="1" si="60"/>
        <v>-403.84513846875012</v>
      </c>
      <c r="S116" s="14">
        <f t="shared" ca="1" si="60"/>
        <v>-431.54759050249999</v>
      </c>
      <c r="T116" s="14">
        <f t="shared" ca="1" si="60"/>
        <v>-459.98697468615831</v>
      </c>
      <c r="U116" s="14">
        <f t="shared" ca="1" si="60"/>
        <v>-467.1289140109559</v>
      </c>
      <c r="V116" s="14">
        <f t="shared" ca="1" si="60"/>
        <v>-474.43852633223236</v>
      </c>
      <c r="W116" s="14">
        <f t="shared" ca="1" si="60"/>
        <v>-481.72178740853286</v>
      </c>
      <c r="X116" s="14">
        <f t="shared" ca="1" si="60"/>
        <v>-488.98100037971835</v>
      </c>
      <c r="Y116" s="14">
        <f t="shared" ca="1" si="60"/>
        <v>-315.7307636909527</v>
      </c>
      <c r="Z116" s="14">
        <f t="shared" ca="1" si="60"/>
        <v>-246.34814695988138</v>
      </c>
      <c r="AA116" s="14">
        <f t="shared" ca="1" si="60"/>
        <v>-226.68007977241584</v>
      </c>
      <c r="AB116" s="14">
        <f t="shared" ca="1" si="60"/>
        <v>-220.8404134627917</v>
      </c>
      <c r="AC116" s="14">
        <f t="shared" ca="1" si="60"/>
        <v>-222.33269998658665</v>
      </c>
      <c r="AD116" s="14">
        <f t="shared" ca="1" si="60"/>
        <v>-226.61671833780733</v>
      </c>
      <c r="AE116" s="14">
        <f t="shared" ca="1" si="60"/>
        <v>-231.35698852040557</v>
      </c>
      <c r="AF116" s="14">
        <f t="shared" ca="1" si="60"/>
        <v>-236.18541060394733</v>
      </c>
      <c r="AG116" s="14">
        <f t="shared" ca="1" si="60"/>
        <v>-255.72450812385074</v>
      </c>
      <c r="AH116" s="14">
        <f t="shared" ca="1" si="60"/>
        <v>-275.48715680081392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33</v>
      </c>
      <c r="F117" s="14">
        <f ca="1">F115+F114</f>
        <v>-230.65668512100004</v>
      </c>
      <c r="G117" s="14">
        <f t="shared" ref="G117:AL117" ca="1" si="61">G115+G114</f>
        <v>-232.25992442625002</v>
      </c>
      <c r="H117" s="14">
        <f t="shared" ca="1" si="61"/>
        <v>-233.81544681600002</v>
      </c>
      <c r="I117" s="14">
        <f t="shared" ca="1" si="61"/>
        <v>-235.4410729125</v>
      </c>
      <c r="J117" s="14">
        <f t="shared" ca="1" si="61"/>
        <v>-237.12900787200002</v>
      </c>
      <c r="K117" s="14">
        <f t="shared" ca="1" si="61"/>
        <v>-238.83030007574999</v>
      </c>
      <c r="L117" s="14">
        <f t="shared" ca="1" si="61"/>
        <v>-240.65874177075005</v>
      </c>
      <c r="M117" s="14">
        <f t="shared" ca="1" si="61"/>
        <v>-242.48314677600004</v>
      </c>
      <c r="N117" s="14">
        <f t="shared" ca="1" si="61"/>
        <v>-244.31534662500005</v>
      </c>
      <c r="O117" s="14">
        <f t="shared" ca="1" si="61"/>
        <v>-252.17775400200003</v>
      </c>
      <c r="P117" s="14">
        <f t="shared" ca="1" si="61"/>
        <v>-254.25019717124999</v>
      </c>
      <c r="Q117" s="14">
        <f t="shared" ca="1" si="61"/>
        <v>-258.45380050874996</v>
      </c>
      <c r="R117" s="14">
        <f t="shared" ca="1" si="61"/>
        <v>-260.61228628125002</v>
      </c>
      <c r="S117" s="14">
        <f t="shared" ca="1" si="61"/>
        <v>-269.55625629000019</v>
      </c>
      <c r="T117" s="14">
        <f t="shared" ca="1" si="61"/>
        <v>-278.95403586707835</v>
      </c>
      <c r="U117" s="14">
        <f t="shared" ca="1" si="61"/>
        <v>-281.34980916067661</v>
      </c>
      <c r="V117" s="14">
        <f t="shared" ca="1" si="61"/>
        <v>-283.77504074323622</v>
      </c>
      <c r="W117" s="14">
        <f t="shared" ca="1" si="61"/>
        <v>-286.28236992475513</v>
      </c>
      <c r="X117" s="14">
        <f t="shared" ca="1" si="61"/>
        <v>-288.75193196971827</v>
      </c>
      <c r="Y117" s="14">
        <f t="shared" ca="1" si="61"/>
        <v>-112.26186741422875</v>
      </c>
      <c r="Z117" s="14">
        <f t="shared" ca="1" si="61"/>
        <v>-38.735601649374608</v>
      </c>
      <c r="AA117" s="14">
        <f t="shared" ca="1" si="61"/>
        <v>-14.502451436830507</v>
      </c>
      <c r="AB117" s="14">
        <f t="shared" ca="1" si="61"/>
        <v>-59.947213517770237</v>
      </c>
      <c r="AC117" s="14">
        <f t="shared" ca="1" si="61"/>
        <v>-59.845385234946697</v>
      </c>
      <c r="AD117" s="14">
        <f t="shared" ca="1" si="61"/>
        <v>-62.203908339250631</v>
      </c>
      <c r="AE117" s="14">
        <f t="shared" ca="1" si="61"/>
        <v>-65.140785798498527</v>
      </c>
      <c r="AF117" s="14">
        <f t="shared" ca="1" si="61"/>
        <v>-68.378388430300276</v>
      </c>
      <c r="AG117" s="14">
        <f t="shared" ca="1" si="61"/>
        <v>-84.639665292927504</v>
      </c>
      <c r="AH117" s="14">
        <f t="shared" ca="1" si="61"/>
        <v>-109.69864863981385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520.9</v>
      </c>
      <c r="R122" s="4">
        <f ca="1"/>
        <v>537.5</v>
      </c>
      <c r="S122" s="4">
        <f ca="1"/>
        <v>603.5</v>
      </c>
      <c r="T122" s="20">
        <f ca="1"/>
        <v>669.6</v>
      </c>
      <c r="U122" s="65">
        <f ca="1"/>
        <v>686.1</v>
      </c>
      <c r="V122" s="66">
        <f ca="1"/>
        <v>702.7</v>
      </c>
      <c r="W122" s="68">
        <f ca="1"/>
        <v>719.2</v>
      </c>
      <c r="X122" s="62">
        <f ca="1"/>
        <v>735.7</v>
      </c>
      <c r="Y122" s="4">
        <f ca="1"/>
        <v>752.2</v>
      </c>
      <c r="Z122" s="4">
        <f ca="1"/>
        <v>768.7</v>
      </c>
      <c r="AA122" s="4">
        <f ca="1"/>
        <v>785.2</v>
      </c>
      <c r="AB122" s="4">
        <f ca="1"/>
        <v>801.8</v>
      </c>
      <c r="AC122" s="4">
        <f ca="1"/>
        <v>818.3</v>
      </c>
      <c r="AD122" s="4">
        <f ca="1"/>
        <v>834.8</v>
      </c>
      <c r="AE122" s="4">
        <f ca="1"/>
        <v>851.3</v>
      </c>
      <c r="AF122" s="4">
        <f ca="1"/>
        <v>867.8</v>
      </c>
      <c r="AG122" s="4">
        <f ca="1"/>
        <v>933.9</v>
      </c>
      <c r="AH122" s="4">
        <f ca="1"/>
        <v>1000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55">
        <f ca="1"/>
        <v>0</v>
      </c>
      <c r="G123" s="55">
        <f ca="1"/>
        <v>0</v>
      </c>
      <c r="H123" s="55">
        <f ca="1"/>
        <v>0</v>
      </c>
      <c r="I123" s="55">
        <f ca="1"/>
        <v>0</v>
      </c>
      <c r="J123" s="55">
        <f ca="1"/>
        <v>0</v>
      </c>
      <c r="K123" s="55">
        <f ca="1"/>
        <v>0</v>
      </c>
      <c r="L123" s="55">
        <f ca="1"/>
        <v>0</v>
      </c>
      <c r="M123" s="55">
        <f ca="1"/>
        <v>0</v>
      </c>
      <c r="N123" s="55">
        <f ca="1"/>
        <v>0</v>
      </c>
      <c r="O123" s="55">
        <f ca="1"/>
        <v>0</v>
      </c>
      <c r="P123" s="55">
        <f ca="1"/>
        <v>0</v>
      </c>
      <c r="Q123" s="55">
        <f ca="1"/>
        <v>0</v>
      </c>
      <c r="R123" s="55">
        <f ca="1"/>
        <v>0</v>
      </c>
      <c r="S123" s="55">
        <f ca="1"/>
        <v>-2.2123961577716461E-13</v>
      </c>
      <c r="T123" s="55">
        <f ca="1"/>
        <v>-9.2006271211381218E-10</v>
      </c>
      <c r="U123" s="55">
        <f ca="1"/>
        <v>-4.7207768335252883E-9</v>
      </c>
      <c r="V123" s="55">
        <f ca="1"/>
        <v>-6.0038955899807469E-9</v>
      </c>
      <c r="W123" s="55">
        <f ca="1"/>
        <v>-5.6222259061590312E-8</v>
      </c>
      <c r="X123" s="55">
        <f ca="1"/>
        <v>-5.1976381214482683E-15</v>
      </c>
      <c r="Y123" s="55">
        <f ca="1"/>
        <v>-2.0327614931030894E-7</v>
      </c>
      <c r="Z123" s="55">
        <f ca="1"/>
        <v>-6.9619932682954571E-6</v>
      </c>
      <c r="AA123" s="55">
        <f ca="1"/>
        <v>-9.716441474314485E-5</v>
      </c>
      <c r="AB123" s="55">
        <f ca="1"/>
        <v>-55.992417174978577</v>
      </c>
      <c r="AC123" s="55">
        <f ca="1"/>
        <v>-59.20171373586016</v>
      </c>
      <c r="AD123" s="55">
        <f ca="1"/>
        <v>-62.093348781443275</v>
      </c>
      <c r="AE123" s="55">
        <f ca="1"/>
        <v>-65.120805275592986</v>
      </c>
      <c r="AF123" s="55">
        <f ca="1"/>
        <v>-68.374553966353034</v>
      </c>
      <c r="AG123" s="55">
        <f ca="1"/>
        <v>-84.63957754907689</v>
      </c>
      <c r="AH123" s="55">
        <f ca="1"/>
        <v>-109.698591839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-230.65668512100004</v>
      </c>
      <c r="G124" s="55">
        <f ca="1"/>
        <v>-232.25992442625002</v>
      </c>
      <c r="H124" s="55">
        <f ca="1"/>
        <v>-233.81544681600002</v>
      </c>
      <c r="I124" s="55">
        <f ca="1"/>
        <v>-235.4410729125</v>
      </c>
      <c r="J124" s="55">
        <f ca="1"/>
        <v>-237.12900787200002</v>
      </c>
      <c r="K124" s="55">
        <f ca="1"/>
        <v>-238.83030007574999</v>
      </c>
      <c r="L124" s="55">
        <f ca="1"/>
        <v>-240.65874177075005</v>
      </c>
      <c r="M124" s="55">
        <f ca="1"/>
        <v>-242.48314677600004</v>
      </c>
      <c r="N124" s="55">
        <f ca="1"/>
        <v>-244.31534662500005</v>
      </c>
      <c r="O124" s="55">
        <f ca="1"/>
        <v>-252.17775400200003</v>
      </c>
      <c r="P124" s="55">
        <f ca="1"/>
        <v>-254.25019717124999</v>
      </c>
      <c r="Q124" s="55">
        <f ca="1"/>
        <v>-258.45380050874996</v>
      </c>
      <c r="R124" s="55">
        <f ca="1"/>
        <v>-260.61228628125002</v>
      </c>
      <c r="S124" s="55">
        <f ca="1"/>
        <v>-269.55625628999996</v>
      </c>
      <c r="T124" s="55">
        <f ca="1"/>
        <v>-278.95403586615828</v>
      </c>
      <c r="U124" s="55">
        <f ca="1"/>
        <v>-281.34980915595582</v>
      </c>
      <c r="V124" s="55">
        <f ca="1"/>
        <v>-283.7750407372323</v>
      </c>
      <c r="W124" s="55">
        <f ca="1"/>
        <v>-286.2823698685329</v>
      </c>
      <c r="X124" s="55">
        <f ca="1"/>
        <v>-288.75193196971827</v>
      </c>
      <c r="Y124" s="55">
        <f ca="1"/>
        <v>-112.2618672109526</v>
      </c>
      <c r="Z124" s="55">
        <f ca="1"/>
        <v>-38.735594687381337</v>
      </c>
      <c r="AA124" s="55">
        <f ca="1"/>
        <v>-14.502354272415763</v>
      </c>
      <c r="AB124" s="55">
        <f ca="1"/>
        <v>-3.9547963427916573</v>
      </c>
      <c r="AC124" s="55">
        <f ca="1"/>
        <v>-0.64367149908653609</v>
      </c>
      <c r="AD124" s="55">
        <f ca="1"/>
        <v>-0.11055955780735784</v>
      </c>
      <c r="AE124" s="55">
        <f ca="1"/>
        <v>-1.9980522905538464E-2</v>
      </c>
      <c r="AF124" s="55">
        <f ca="1"/>
        <v>-3.8344639472439389E-3</v>
      </c>
      <c r="AG124" s="55">
        <f ca="1"/>
        <v>-8.7743850608978764E-5</v>
      </c>
      <c r="AH124" s="55">
        <f ca="1"/>
        <v>-5.6800813847027529E-5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-302.10772888100007</v>
      </c>
      <c r="G125" s="55">
        <f ca="1"/>
        <v>-308.01387436875001</v>
      </c>
      <c r="H125" s="55">
        <f ca="1"/>
        <v>-313.88399867100003</v>
      </c>
      <c r="I125" s="55">
        <f ca="1"/>
        <v>-319.86894483250001</v>
      </c>
      <c r="J125" s="55">
        <f ca="1"/>
        <v>-325.92077283200001</v>
      </c>
      <c r="K125" s="55">
        <f ca="1"/>
        <v>-332.03982217825001</v>
      </c>
      <c r="L125" s="55">
        <f ca="1"/>
        <v>-338.32139921325006</v>
      </c>
      <c r="M125" s="55">
        <f ca="1"/>
        <v>-344.58188097600009</v>
      </c>
      <c r="N125" s="55">
        <f ca="1"/>
        <v>-350.91546798000007</v>
      </c>
      <c r="O125" s="55">
        <f ca="1"/>
        <v>-376.94708105200004</v>
      </c>
      <c r="P125" s="55">
        <f ca="1"/>
        <v>-383.58954757375</v>
      </c>
      <c r="Q125" s="55">
        <f ca="1"/>
        <v>-397.04653810875004</v>
      </c>
      <c r="R125" s="55">
        <f ca="1"/>
        <v>-403.84513846875012</v>
      </c>
      <c r="S125" s="55">
        <f ca="1"/>
        <v>-431.54759050249999</v>
      </c>
      <c r="T125" s="55">
        <f ca="1"/>
        <v>-459.98697468615831</v>
      </c>
      <c r="U125" s="55">
        <f ca="1"/>
        <v>-467.1289140109559</v>
      </c>
      <c r="V125" s="55">
        <f ca="1"/>
        <v>-474.43852633223236</v>
      </c>
      <c r="W125" s="55">
        <f ca="1"/>
        <v>-481.72178740853286</v>
      </c>
      <c r="X125" s="55">
        <f ca="1"/>
        <v>-488.98100037971835</v>
      </c>
      <c r="Y125" s="55">
        <f ca="1"/>
        <v>-315.7307636909527</v>
      </c>
      <c r="Z125" s="55">
        <f ca="1"/>
        <v>-246.34814695988138</v>
      </c>
      <c r="AA125" s="55">
        <f ca="1"/>
        <v>-226.68007977241584</v>
      </c>
      <c r="AB125" s="55">
        <f ca="1"/>
        <v>-220.8404134627917</v>
      </c>
      <c r="AC125" s="55">
        <f ca="1"/>
        <v>-222.33269998658665</v>
      </c>
      <c r="AD125" s="55">
        <f ca="1"/>
        <v>-226.61671833780733</v>
      </c>
      <c r="AE125" s="55">
        <f ca="1"/>
        <v>-231.35698852040557</v>
      </c>
      <c r="AF125" s="55">
        <f ca="1"/>
        <v>-236.18541060394733</v>
      </c>
      <c r="AG125" s="55">
        <f ca="1"/>
        <v>-255.72450812385074</v>
      </c>
      <c r="AH125" s="55">
        <f ca="1"/>
        <v>-275.48715680081392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>Раствор + газовая без Ar</v>
      </c>
      <c r="F126" s="55">
        <f ca="1"/>
        <v>-230.65668512100004</v>
      </c>
      <c r="G126" s="55">
        <f ca="1"/>
        <v>-232.25992442625002</v>
      </c>
      <c r="H126" s="55">
        <f ca="1"/>
        <v>-233.81544681600002</v>
      </c>
      <c r="I126" s="55">
        <f ca="1"/>
        <v>-235.4410729125</v>
      </c>
      <c r="J126" s="55">
        <f ca="1"/>
        <v>-237.12900787200002</v>
      </c>
      <c r="K126" s="55">
        <f ca="1"/>
        <v>-238.83030007574999</v>
      </c>
      <c r="L126" s="55">
        <f ca="1"/>
        <v>-240.65874177075005</v>
      </c>
      <c r="M126" s="55">
        <f ca="1"/>
        <v>-242.48314677600004</v>
      </c>
      <c r="N126" s="55">
        <f ca="1"/>
        <v>-244.31534662500005</v>
      </c>
      <c r="O126" s="55">
        <f ca="1"/>
        <v>-252.17775400200003</v>
      </c>
      <c r="P126" s="55">
        <f ca="1"/>
        <v>-254.25019717124999</v>
      </c>
      <c r="Q126" s="55">
        <f ca="1"/>
        <v>-258.45380050874996</v>
      </c>
      <c r="R126" s="55">
        <f ca="1"/>
        <v>-260.61228628125002</v>
      </c>
      <c r="S126" s="55">
        <f ca="1"/>
        <v>-269.55625629000019</v>
      </c>
      <c r="T126" s="55">
        <f ca="1"/>
        <v>-278.95403586707835</v>
      </c>
      <c r="U126" s="55">
        <f ca="1"/>
        <v>-281.34980916067661</v>
      </c>
      <c r="V126" s="55">
        <f ca="1"/>
        <v>-283.77504074323622</v>
      </c>
      <c r="W126" s="55">
        <f ca="1"/>
        <v>-286.28236992475513</v>
      </c>
      <c r="X126" s="55">
        <f ca="1"/>
        <v>-288.75193196971827</v>
      </c>
      <c r="Y126" s="55">
        <f ca="1"/>
        <v>-112.26186741422875</v>
      </c>
      <c r="Z126" s="55">
        <f ca="1"/>
        <v>-38.735601649374608</v>
      </c>
      <c r="AA126" s="55">
        <f ca="1"/>
        <v>-14.502451436830507</v>
      </c>
      <c r="AB126" s="55">
        <f ca="1"/>
        <v>-59.947213517770237</v>
      </c>
      <c r="AC126" s="55">
        <f ca="1"/>
        <v>-59.845385234946697</v>
      </c>
      <c r="AD126" s="55">
        <f ca="1"/>
        <v>-62.203908339250631</v>
      </c>
      <c r="AE126" s="55">
        <f ca="1"/>
        <v>-65.140785798498527</v>
      </c>
      <c r="AF126" s="55">
        <f ca="1"/>
        <v>-68.378388430300276</v>
      </c>
      <c r="AG126" s="55">
        <f ca="1"/>
        <v>-84.639665292927504</v>
      </c>
      <c r="AH126" s="55">
        <f ca="1"/>
        <v>-109.69864863981385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8" priority="49" operator="equal">
      <formula>0</formula>
    </cfRule>
  </conditionalFormatting>
  <conditionalFormatting sqref="A80:D109">
    <cfRule type="cellIs" dxfId="7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Q158"/>
  <sheetViews>
    <sheetView tabSelected="1" zoomScale="85" zoomScaleNormal="85" workbookViewId="0">
      <pane ySplit="1" topLeftCell="A106" activePane="bottomLeft" state="frozen"/>
      <selection pane="bottomLeft" activeCell="DE132" sqref="DE132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3" width="4.26953125" hidden="1" customWidth="1"/>
    <col min="34" max="34" width="4.26953125" customWidth="1"/>
    <col min="35" max="94" width="4.26953125" hidden="1" customWidth="1"/>
    <col min="95" max="95" width="3.453125" style="55" customWidth="1"/>
    <col min="96" max="16384" width="8.7265625" style="37"/>
  </cols>
  <sheetData>
    <row r="1" spans="1:94" ht="18.75" customHeight="1" thickBot="1" x14ac:dyDescent="0.4">
      <c r="A1" s="34" t="s">
        <v>17</v>
      </c>
      <c r="B1" s="39">
        <v>290</v>
      </c>
      <c r="C1" s="69">
        <v>1000</v>
      </c>
      <c r="D1" s="70" t="s">
        <v>18</v>
      </c>
      <c r="E1" s="71">
        <v>80</v>
      </c>
      <c r="F1" s="37"/>
      <c r="G1" s="37"/>
      <c r="H1" s="37"/>
      <c r="I1" s="37"/>
      <c r="J1" s="37"/>
    </row>
    <row r="2" spans="1:94" ht="23.25" customHeight="1" thickTop="1" thickBot="1" x14ac:dyDescent="0.4">
      <c r="A2" s="4" t="s">
        <v>28</v>
      </c>
      <c r="B2" s="72">
        <f>FLUID!F45</f>
        <v>273.10000000000002</v>
      </c>
      <c r="C2" s="72">
        <f>FLUID!G45</f>
        <v>345.8</v>
      </c>
      <c r="D2" s="72">
        <f>FLUID!H45</f>
        <v>418.5</v>
      </c>
      <c r="E2" s="72">
        <f>FLUID!I45</f>
        <v>491.2</v>
      </c>
      <c r="F2" s="72">
        <f>FLUID!J45</f>
        <v>563.9</v>
      </c>
      <c r="G2" s="72">
        <f>FLUID!K45</f>
        <v>636.6</v>
      </c>
      <c r="H2" s="72">
        <f>FLUID!L45</f>
        <v>709.3</v>
      </c>
      <c r="I2" s="72">
        <f>FLUID!M45</f>
        <v>781.9</v>
      </c>
      <c r="J2" s="72">
        <f>FLUID!N45</f>
        <v>854.6</v>
      </c>
      <c r="K2" s="72">
        <f>FLUID!O45</f>
        <v>927.3</v>
      </c>
      <c r="L2" s="72">
        <f>FLUID!P45</f>
        <v>1000</v>
      </c>
      <c r="M2" s="72">
        <f>FLUID!Q45</f>
        <v>0</v>
      </c>
      <c r="N2" s="72">
        <f>FLUID!R45</f>
        <v>0</v>
      </c>
      <c r="O2" s="72">
        <f>FLUID!S45</f>
        <v>0</v>
      </c>
      <c r="P2" s="72">
        <f>FLUID!T45</f>
        <v>0</v>
      </c>
      <c r="Q2" s="72">
        <f>FLUID!U45</f>
        <v>0</v>
      </c>
      <c r="R2" s="72">
        <f>FLUID!V45</f>
        <v>0</v>
      </c>
      <c r="S2" s="72">
        <f>FLUID!W45</f>
        <v>0</v>
      </c>
      <c r="T2" s="72">
        <f>FLUID!X45</f>
        <v>0</v>
      </c>
      <c r="U2" s="72">
        <f>FLUID!Y45</f>
        <v>0</v>
      </c>
      <c r="V2" s="72">
        <f>FLUID!Z45</f>
        <v>0</v>
      </c>
      <c r="W2" s="72">
        <f>FLUID!AA45</f>
        <v>0</v>
      </c>
      <c r="X2" s="72">
        <f>FLUID!AB45</f>
        <v>0</v>
      </c>
      <c r="Y2" s="72">
        <f>FLUID!AC45</f>
        <v>0</v>
      </c>
      <c r="Z2" s="72">
        <f>FLUID!AD45</f>
        <v>0</v>
      </c>
      <c r="AA2" s="72">
        <f>FLUID!AE45</f>
        <v>0</v>
      </c>
      <c r="AB2" s="72">
        <f>FLUID!AF45</f>
        <v>0</v>
      </c>
      <c r="AC2" s="72">
        <f>FLUID!AG45</f>
        <v>0</v>
      </c>
      <c r="AD2" s="72">
        <f>FLUID!AH45</f>
        <v>0</v>
      </c>
      <c r="AE2" s="72">
        <f>FLUID!AI45</f>
        <v>0</v>
      </c>
      <c r="AF2" s="72">
        <f>FLUID!AJ45</f>
        <v>0</v>
      </c>
      <c r="AG2" s="72">
        <f>FLUID!AK45</f>
        <v>0</v>
      </c>
      <c r="AH2" s="72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</row>
    <row r="3" spans="1:94" ht="22.5" hidden="1" outlineLevel="1" thickTop="1" thickBot="1" x14ac:dyDescent="0.4">
      <c r="A3" s="48" t="str">
        <f>FLUID!E46</f>
        <v>*Se[1]</v>
      </c>
      <c r="B3" s="16">
        <f ca="1">FLUID!F46</f>
        <v>-4.7</v>
      </c>
      <c r="C3" s="16">
        <f ca="1">FLUID!G46</f>
        <v>-5.09</v>
      </c>
      <c r="D3" s="16">
        <f ca="1">FLUID!H46</f>
        <v>-5.5179999999999998</v>
      </c>
      <c r="E3" s="16">
        <f ca="1">FLUID!I46</f>
        <v>-5.9349999999999996</v>
      </c>
      <c r="F3" s="14">
        <f ca="1">FLUID!J46</f>
        <v>-6.3140000000000001</v>
      </c>
      <c r="G3" s="14">
        <f ca="1">FLUID!K46</f>
        <v>-6.6210000000000004</v>
      </c>
      <c r="H3" s="14">
        <f ca="1">FLUID!L46</f>
        <v>-6.8689999999999998</v>
      </c>
      <c r="I3" s="14">
        <f ca="1">FLUID!M46</f>
        <v>-7.1319999999999997</v>
      </c>
      <c r="J3" s="14">
        <f ca="1">FLUID!N46</f>
        <v>-7.4260000000000002</v>
      </c>
      <c r="K3" s="14">
        <f ca="1">FLUID!O46</f>
        <v>-7.7830000000000004</v>
      </c>
      <c r="L3" s="14">
        <f ca="1">FLUID!P46</f>
        <v>-8.2449999999999992</v>
      </c>
      <c r="M3" s="14">
        <f ca="1">FLUID!Q46</f>
        <v>0</v>
      </c>
      <c r="N3" s="14">
        <f ca="1">FLUID!R46</f>
        <v>0</v>
      </c>
      <c r="O3" s="14">
        <f ca="1">FLUID!S46</f>
        <v>0</v>
      </c>
      <c r="P3" s="14">
        <f ca="1">FLUID!T46</f>
        <v>0</v>
      </c>
      <c r="Q3" s="14">
        <f ca="1">FLUID!U46</f>
        <v>0</v>
      </c>
      <c r="R3" s="14">
        <f ca="1">FLUID!V46</f>
        <v>0</v>
      </c>
      <c r="S3" s="14">
        <f ca="1">FLUID!W46</f>
        <v>0</v>
      </c>
      <c r="T3" s="14">
        <f ca="1">FLUID!X46</f>
        <v>0</v>
      </c>
      <c r="U3" s="14">
        <f ca="1">FLUID!Y46</f>
        <v>0</v>
      </c>
      <c r="V3" s="14">
        <f ca="1">FLUID!Z46</f>
        <v>0</v>
      </c>
      <c r="W3" s="14">
        <f ca="1">FLUID!AA46</f>
        <v>0</v>
      </c>
      <c r="X3" s="14">
        <f ca="1">FLUID!AB46</f>
        <v>0</v>
      </c>
      <c r="Y3" s="14">
        <f ca="1">FLUID!AC46</f>
        <v>0</v>
      </c>
      <c r="Z3" s="14">
        <f ca="1">FLUID!AD46</f>
        <v>0</v>
      </c>
      <c r="AA3" s="14">
        <f ca="1">FLUID!AE46</f>
        <v>0</v>
      </c>
      <c r="AB3" s="14">
        <f ca="1">FLUID!AF46</f>
        <v>0</v>
      </c>
      <c r="AC3" s="14">
        <f ca="1">FLUID!AG46</f>
        <v>0</v>
      </c>
      <c r="AD3" s="14">
        <f ca="1">FLUID!AH46</f>
        <v>0</v>
      </c>
      <c r="AE3" s="14">
        <f ca="1">FLUID!AI46</f>
        <v>0</v>
      </c>
      <c r="AF3" s="14">
        <f ca="1">FLUID!AJ46</f>
        <v>0</v>
      </c>
      <c r="AG3" s="14">
        <f ca="1">FLUID!AK46</f>
        <v>0</v>
      </c>
      <c r="AH3" s="14">
        <f ca="1">FLUID!AL46</f>
        <v>0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</row>
    <row r="4" spans="1:94" ht="22.5" hidden="1" outlineLevel="1" thickTop="1" thickBot="1" x14ac:dyDescent="0.4">
      <c r="A4" s="36" t="str">
        <f>FLUID!E47</f>
        <v>Se3</v>
      </c>
      <c r="B4" s="16">
        <f ca="1">FLUID!F47</f>
        <v>-14.100000000000001</v>
      </c>
      <c r="C4" s="16">
        <f ca="1">FLUID!G47</f>
        <v>-15.27</v>
      </c>
      <c r="D4" s="16">
        <f ca="1">FLUID!H47</f>
        <v>-16.553999999999998</v>
      </c>
      <c r="E4" s="16">
        <f ca="1">FLUID!I47</f>
        <v>-17.805</v>
      </c>
      <c r="F4" s="14">
        <f ca="1">FLUID!J47</f>
        <v>-18.942</v>
      </c>
      <c r="G4" s="14">
        <f ca="1">FLUID!K47</f>
        <v>-19.863</v>
      </c>
      <c r="H4" s="14">
        <f ca="1">FLUID!L47</f>
        <v>-20.606999999999999</v>
      </c>
      <c r="I4" s="14">
        <f ca="1">FLUID!M47</f>
        <v>-21.396000000000001</v>
      </c>
      <c r="J4" s="14">
        <f ca="1">FLUID!N47</f>
        <v>-22.277999999999999</v>
      </c>
      <c r="K4" s="14">
        <f ca="1">FLUID!O47</f>
        <v>-23.349</v>
      </c>
      <c r="L4" s="14">
        <f ca="1">FLUID!P47</f>
        <v>-24.734999999999999</v>
      </c>
      <c r="M4" s="14">
        <f ca="1">FLUID!Q47</f>
        <v>0</v>
      </c>
      <c r="N4" s="14">
        <f ca="1">FLUID!R47</f>
        <v>0</v>
      </c>
      <c r="O4" s="14">
        <f ca="1">FLUID!S47</f>
        <v>0</v>
      </c>
      <c r="P4" s="14">
        <f ca="1">FLUID!T47</f>
        <v>0</v>
      </c>
      <c r="Q4" s="14">
        <f ca="1">FLUID!U47</f>
        <v>0</v>
      </c>
      <c r="R4" s="14">
        <f ca="1">FLUID!V47</f>
        <v>0</v>
      </c>
      <c r="S4" s="14">
        <f ca="1">FLUID!W47</f>
        <v>0</v>
      </c>
      <c r="T4" s="14">
        <f ca="1">FLUID!X47</f>
        <v>0</v>
      </c>
      <c r="U4" s="14">
        <f ca="1">FLUID!Y47</f>
        <v>0</v>
      </c>
      <c r="V4" s="14">
        <f ca="1">FLUID!Z47</f>
        <v>0</v>
      </c>
      <c r="W4" s="14">
        <f ca="1">FLUID!AA47</f>
        <v>0</v>
      </c>
      <c r="X4" s="14">
        <f ca="1">FLUID!AB47</f>
        <v>0</v>
      </c>
      <c r="Y4" s="14">
        <f ca="1">FLUID!AC47</f>
        <v>0</v>
      </c>
      <c r="Z4" s="14">
        <f ca="1">FLUID!AD47</f>
        <v>0</v>
      </c>
      <c r="AA4" s="14">
        <f ca="1">FLUID!AE47</f>
        <v>0</v>
      </c>
      <c r="AB4" s="14">
        <f ca="1">FLUID!AF47</f>
        <v>0</v>
      </c>
      <c r="AC4" s="14">
        <f ca="1">FLUID!AG47</f>
        <v>0</v>
      </c>
      <c r="AD4" s="14">
        <f ca="1">FLUID!AH47</f>
        <v>0</v>
      </c>
      <c r="AE4" s="14">
        <f ca="1">FLUID!AI47</f>
        <v>0</v>
      </c>
      <c r="AF4" s="14">
        <f ca="1">FLUID!AJ47</f>
        <v>0</v>
      </c>
      <c r="AG4" s="14">
        <f ca="1">FLUID!AK47</f>
        <v>0</v>
      </c>
      <c r="AH4" s="14">
        <f ca="1">FLUID!AL47</f>
        <v>0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</row>
    <row r="5" spans="1:94" ht="22.5" hidden="1" outlineLevel="1" thickTop="1" thickBot="1" x14ac:dyDescent="0.4">
      <c r="A5" s="36" t="str">
        <f>FLUID!E48</f>
        <v>Se4</v>
      </c>
      <c r="B5" s="16">
        <f ca="1">FLUID!F48</f>
        <v>-18.8</v>
      </c>
      <c r="C5" s="16">
        <f ca="1">FLUID!G48</f>
        <v>-20.36</v>
      </c>
      <c r="D5" s="16">
        <f ca="1">FLUID!H48</f>
        <v>-22.071999999999999</v>
      </c>
      <c r="E5" s="16">
        <f ca="1">FLUID!I48</f>
        <v>-23.74</v>
      </c>
      <c r="F5" s="14">
        <f ca="1">FLUID!J48</f>
        <v>-25.256</v>
      </c>
      <c r="G5" s="14">
        <f ca="1">FLUID!K48</f>
        <v>-26.484000000000002</v>
      </c>
      <c r="H5" s="14">
        <f ca="1">FLUID!L48</f>
        <v>-27.475999999999999</v>
      </c>
      <c r="I5" s="14">
        <f ca="1">FLUID!M48</f>
        <v>-28.527999999999999</v>
      </c>
      <c r="J5" s="14">
        <f ca="1">FLUID!N48</f>
        <v>-29.704000000000001</v>
      </c>
      <c r="K5" s="14">
        <f ca="1">FLUID!O48</f>
        <v>-31.132000000000001</v>
      </c>
      <c r="L5" s="14">
        <f ca="1">FLUID!P48</f>
        <v>-32.979999999999997</v>
      </c>
      <c r="M5" s="14">
        <f ca="1">FLUID!Q48</f>
        <v>0</v>
      </c>
      <c r="N5" s="14">
        <f ca="1">FLUID!R48</f>
        <v>0</v>
      </c>
      <c r="O5" s="14">
        <f ca="1">FLUID!S48</f>
        <v>0</v>
      </c>
      <c r="P5" s="14">
        <f ca="1">FLUID!T48</f>
        <v>0</v>
      </c>
      <c r="Q5" s="14">
        <f ca="1">FLUID!U48</f>
        <v>0</v>
      </c>
      <c r="R5" s="14">
        <f ca="1">FLUID!V48</f>
        <v>0</v>
      </c>
      <c r="S5" s="14">
        <f ca="1">FLUID!W48</f>
        <v>0</v>
      </c>
      <c r="T5" s="14">
        <f ca="1">FLUID!X48</f>
        <v>0</v>
      </c>
      <c r="U5" s="14">
        <f ca="1">FLUID!Y48</f>
        <v>0</v>
      </c>
      <c r="V5" s="14">
        <f ca="1">FLUID!Z48</f>
        <v>0</v>
      </c>
      <c r="W5" s="14">
        <f ca="1">FLUID!AA48</f>
        <v>0</v>
      </c>
      <c r="X5" s="14">
        <f ca="1">FLUID!AB48</f>
        <v>0</v>
      </c>
      <c r="Y5" s="14">
        <f ca="1">FLUID!AC48</f>
        <v>0</v>
      </c>
      <c r="Z5" s="14">
        <f ca="1">FLUID!AD48</f>
        <v>0</v>
      </c>
      <c r="AA5" s="14">
        <f ca="1">FLUID!AE48</f>
        <v>0</v>
      </c>
      <c r="AB5" s="14">
        <f ca="1">FLUID!AF48</f>
        <v>0</v>
      </c>
      <c r="AC5" s="14">
        <f ca="1">FLUID!AG48</f>
        <v>0</v>
      </c>
      <c r="AD5" s="14">
        <f ca="1">FLUID!AH48</f>
        <v>0</v>
      </c>
      <c r="AE5" s="14">
        <f ca="1">FLUID!AI48</f>
        <v>0</v>
      </c>
      <c r="AF5" s="14">
        <f ca="1">FLUID!AJ48</f>
        <v>0</v>
      </c>
      <c r="AG5" s="14">
        <f ca="1">FLUID!AK48</f>
        <v>0</v>
      </c>
      <c r="AH5" s="14">
        <f ca="1">FLUID!AL48</f>
        <v>0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</row>
    <row r="6" spans="1:94" ht="22.5" hidden="1" outlineLevel="1" thickTop="1" thickBot="1" x14ac:dyDescent="0.4">
      <c r="A6" s="36" t="str">
        <f>FLUID!E49</f>
        <v>Se5</v>
      </c>
      <c r="B6" s="16">
        <f ca="1">FLUID!F49</f>
        <v>-23.5</v>
      </c>
      <c r="C6" s="16">
        <f ca="1">FLUID!G49</f>
        <v>-25.45</v>
      </c>
      <c r="D6" s="16">
        <f ca="1">FLUID!H49</f>
        <v>-27.59</v>
      </c>
      <c r="E6" s="16">
        <f ca="1">FLUID!I49</f>
        <v>-29.674999999999997</v>
      </c>
      <c r="F6" s="14">
        <f ca="1">FLUID!J49</f>
        <v>-31.57</v>
      </c>
      <c r="G6" s="14">
        <f ca="1">FLUID!K49</f>
        <v>-33.105000000000004</v>
      </c>
      <c r="H6" s="14">
        <f ca="1">FLUID!L49</f>
        <v>-34.344999999999999</v>
      </c>
      <c r="I6" s="14">
        <f ca="1">FLUID!M49</f>
        <v>-35.659999999999997</v>
      </c>
      <c r="J6" s="14">
        <f ca="1">FLUID!N49</f>
        <v>-37.130000000000003</v>
      </c>
      <c r="K6" s="14">
        <f ca="1">FLUID!O49</f>
        <v>-38.914999999999999</v>
      </c>
      <c r="L6" s="14">
        <f ca="1">FLUID!P49</f>
        <v>-41.224999999999994</v>
      </c>
      <c r="M6" s="14">
        <f ca="1">FLUID!Q49</f>
        <v>0</v>
      </c>
      <c r="N6" s="14">
        <f ca="1">FLUID!R49</f>
        <v>0</v>
      </c>
      <c r="O6" s="14">
        <f ca="1">FLUID!S49</f>
        <v>0</v>
      </c>
      <c r="P6" s="14">
        <f ca="1">FLUID!T49</f>
        <v>0</v>
      </c>
      <c r="Q6" s="14">
        <f ca="1">FLUID!U49</f>
        <v>0</v>
      </c>
      <c r="R6" s="14">
        <f ca="1">FLUID!V49</f>
        <v>0</v>
      </c>
      <c r="S6" s="14">
        <f ca="1">FLUID!W49</f>
        <v>0</v>
      </c>
      <c r="T6" s="14">
        <f ca="1">FLUID!X49</f>
        <v>0</v>
      </c>
      <c r="U6" s="14">
        <f ca="1">FLUID!Y49</f>
        <v>0</v>
      </c>
      <c r="V6" s="14">
        <f ca="1">FLUID!Z49</f>
        <v>0</v>
      </c>
      <c r="W6" s="14">
        <f ca="1">FLUID!AA49</f>
        <v>0</v>
      </c>
      <c r="X6" s="14">
        <f ca="1">FLUID!AB49</f>
        <v>0</v>
      </c>
      <c r="Y6" s="14">
        <f ca="1">FLUID!AC49</f>
        <v>0</v>
      </c>
      <c r="Z6" s="14">
        <f ca="1">FLUID!AD49</f>
        <v>0</v>
      </c>
      <c r="AA6" s="14">
        <f ca="1">FLUID!AE49</f>
        <v>0</v>
      </c>
      <c r="AB6" s="14">
        <f ca="1">FLUID!AF49</f>
        <v>0</v>
      </c>
      <c r="AC6" s="14">
        <f ca="1">FLUID!AG49</f>
        <v>0</v>
      </c>
      <c r="AD6" s="14">
        <f ca="1">FLUID!AH49</f>
        <v>0</v>
      </c>
      <c r="AE6" s="14">
        <f ca="1">FLUID!AI49</f>
        <v>0</v>
      </c>
      <c r="AF6" s="14">
        <f ca="1">FLUID!AJ49</f>
        <v>0</v>
      </c>
      <c r="AG6" s="14">
        <f ca="1">FLUID!AK49</f>
        <v>0</v>
      </c>
      <c r="AH6" s="14">
        <f ca="1">FLUID!AL49</f>
        <v>0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</row>
    <row r="7" spans="1:94" ht="22.5" hidden="1" outlineLevel="1" thickTop="1" thickBot="1" x14ac:dyDescent="0.4">
      <c r="A7" s="36" t="str">
        <f>FLUID!E50</f>
        <v>Se6</v>
      </c>
      <c r="B7" s="16">
        <f ca="1">FLUID!F50</f>
        <v>-28.200000000000003</v>
      </c>
      <c r="C7" s="16">
        <f ca="1">FLUID!G50</f>
        <v>-30.54</v>
      </c>
      <c r="D7" s="16">
        <f ca="1">FLUID!H50</f>
        <v>-33.107999999999997</v>
      </c>
      <c r="E7" s="16">
        <f ca="1">FLUID!I50</f>
        <v>-35.61</v>
      </c>
      <c r="F7" s="14">
        <f ca="1">FLUID!J50</f>
        <v>-37.884</v>
      </c>
      <c r="G7" s="14">
        <f ca="1">FLUID!K50</f>
        <v>-39.725999999999999</v>
      </c>
      <c r="H7" s="14">
        <f ca="1">FLUID!L50</f>
        <v>-41.213999999999999</v>
      </c>
      <c r="I7" s="14">
        <f ca="1">FLUID!M50</f>
        <v>-42.792000000000002</v>
      </c>
      <c r="J7" s="14">
        <f ca="1">FLUID!N50</f>
        <v>-44.555999999999997</v>
      </c>
      <c r="K7" s="14">
        <f ca="1">FLUID!O50</f>
        <v>-46.698</v>
      </c>
      <c r="L7" s="14">
        <f ca="1">FLUID!P50</f>
        <v>-49.47</v>
      </c>
      <c r="M7" s="14">
        <f ca="1">FLUID!Q50</f>
        <v>0</v>
      </c>
      <c r="N7" s="14">
        <f ca="1">FLUID!R50</f>
        <v>0</v>
      </c>
      <c r="O7" s="14">
        <f ca="1">FLUID!S50</f>
        <v>0</v>
      </c>
      <c r="P7" s="14">
        <f ca="1">FLUID!T50</f>
        <v>0</v>
      </c>
      <c r="Q7" s="14">
        <f ca="1">FLUID!U50</f>
        <v>0</v>
      </c>
      <c r="R7" s="14">
        <f ca="1">FLUID!V50</f>
        <v>0</v>
      </c>
      <c r="S7" s="14">
        <f ca="1">FLUID!W50</f>
        <v>0</v>
      </c>
      <c r="T7" s="14">
        <f ca="1">FLUID!X50</f>
        <v>0</v>
      </c>
      <c r="U7" s="14">
        <f ca="1">FLUID!Y50</f>
        <v>0</v>
      </c>
      <c r="V7" s="14">
        <f ca="1">FLUID!Z50</f>
        <v>0</v>
      </c>
      <c r="W7" s="14">
        <f ca="1">FLUID!AA50</f>
        <v>0</v>
      </c>
      <c r="X7" s="14">
        <f ca="1">FLUID!AB50</f>
        <v>0</v>
      </c>
      <c r="Y7" s="14">
        <f ca="1">FLUID!AC50</f>
        <v>0</v>
      </c>
      <c r="Z7" s="14">
        <f ca="1">FLUID!AD50</f>
        <v>0</v>
      </c>
      <c r="AA7" s="14">
        <f ca="1">FLUID!AE50</f>
        <v>0</v>
      </c>
      <c r="AB7" s="14">
        <f ca="1">FLUID!AF50</f>
        <v>0</v>
      </c>
      <c r="AC7" s="14">
        <f ca="1">FLUID!AG50</f>
        <v>0</v>
      </c>
      <c r="AD7" s="14">
        <f ca="1">FLUID!AH50</f>
        <v>0</v>
      </c>
      <c r="AE7" s="14">
        <f ca="1">FLUID!AI50</f>
        <v>0</v>
      </c>
      <c r="AF7" s="14">
        <f ca="1">FLUID!AJ50</f>
        <v>0</v>
      </c>
      <c r="AG7" s="14">
        <f ca="1">FLUID!AK50</f>
        <v>0</v>
      </c>
      <c r="AH7" s="14">
        <f ca="1">FLUID!AL50</f>
        <v>0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</row>
    <row r="8" spans="1:94" ht="22.5" hidden="1" outlineLevel="1" thickTop="1" thickBot="1" x14ac:dyDescent="0.4">
      <c r="A8" s="36" t="str">
        <f>FLUID!E51</f>
        <v>Se7</v>
      </c>
      <c r="B8" s="16">
        <f ca="1">FLUID!F51</f>
        <v>-32.9</v>
      </c>
      <c r="C8" s="16">
        <f ca="1">FLUID!G51</f>
        <v>-35.629999999999995</v>
      </c>
      <c r="D8" s="16">
        <f ca="1">FLUID!H51</f>
        <v>-38.625999999999998</v>
      </c>
      <c r="E8" s="16">
        <f ca="1">FLUID!I51</f>
        <v>-41.544999999999995</v>
      </c>
      <c r="F8" s="14">
        <f ca="1">FLUID!J51</f>
        <v>-44.198</v>
      </c>
      <c r="G8" s="14">
        <f ca="1">FLUID!K51</f>
        <v>-46.347000000000001</v>
      </c>
      <c r="H8" s="14">
        <f ca="1">FLUID!L51</f>
        <v>-48.082999999999998</v>
      </c>
      <c r="I8" s="14">
        <f ca="1">FLUID!M51</f>
        <v>-49.923999999999999</v>
      </c>
      <c r="J8" s="14">
        <f ca="1">FLUID!N51</f>
        <v>-51.981999999999999</v>
      </c>
      <c r="K8" s="14">
        <f ca="1">FLUID!O51</f>
        <v>-54.481000000000002</v>
      </c>
      <c r="L8" s="14">
        <f ca="1">FLUID!P51</f>
        <v>-57.714999999999996</v>
      </c>
      <c r="M8" s="14">
        <f ca="1">FLUID!Q51</f>
        <v>0</v>
      </c>
      <c r="N8" s="14">
        <f ca="1">FLUID!R51</f>
        <v>0</v>
      </c>
      <c r="O8" s="14">
        <f ca="1">FLUID!S51</f>
        <v>0</v>
      </c>
      <c r="P8" s="14">
        <f ca="1">FLUID!T51</f>
        <v>0</v>
      </c>
      <c r="Q8" s="14">
        <f ca="1">FLUID!U51</f>
        <v>0</v>
      </c>
      <c r="R8" s="14">
        <f ca="1">FLUID!V51</f>
        <v>0</v>
      </c>
      <c r="S8" s="14">
        <f ca="1">FLUID!W51</f>
        <v>0</v>
      </c>
      <c r="T8" s="14">
        <f ca="1">FLUID!X51</f>
        <v>0</v>
      </c>
      <c r="U8" s="14">
        <f ca="1">FLUID!Y51</f>
        <v>0</v>
      </c>
      <c r="V8" s="14">
        <f ca="1">FLUID!Z51</f>
        <v>0</v>
      </c>
      <c r="W8" s="14">
        <f ca="1">FLUID!AA51</f>
        <v>0</v>
      </c>
      <c r="X8" s="14">
        <f ca="1">FLUID!AB51</f>
        <v>0</v>
      </c>
      <c r="Y8" s="14">
        <f ca="1">FLUID!AC51</f>
        <v>0</v>
      </c>
      <c r="Z8" s="14">
        <f ca="1">FLUID!AD51</f>
        <v>0</v>
      </c>
      <c r="AA8" s="14">
        <f ca="1">FLUID!AE51</f>
        <v>0</v>
      </c>
      <c r="AB8" s="14">
        <f ca="1">FLUID!AF51</f>
        <v>0</v>
      </c>
      <c r="AC8" s="14">
        <f ca="1">FLUID!AG51</f>
        <v>0</v>
      </c>
      <c r="AD8" s="14">
        <f ca="1">FLUID!AH51</f>
        <v>0</v>
      </c>
      <c r="AE8" s="14">
        <f ca="1">FLUID!AI51</f>
        <v>0</v>
      </c>
      <c r="AF8" s="14">
        <f ca="1">FLUID!AJ51</f>
        <v>0</v>
      </c>
      <c r="AG8" s="14">
        <f ca="1">FLUID!AK51</f>
        <v>0</v>
      </c>
      <c r="AH8" s="14">
        <f ca="1">FLUID!AL51</f>
        <v>0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</row>
    <row r="9" spans="1:94" ht="22.5" hidden="1" outlineLevel="1" thickTop="1" thickBot="1" x14ac:dyDescent="0.4">
      <c r="A9" s="36" t="str">
        <f>FLUID!E52</f>
        <v>Se8</v>
      </c>
      <c r="B9" s="16">
        <f ca="1">FLUID!F52</f>
        <v>-37.6</v>
      </c>
      <c r="C9" s="16">
        <f ca="1">FLUID!G52</f>
        <v>-40.72</v>
      </c>
      <c r="D9" s="16">
        <f ca="1">FLUID!H52</f>
        <v>-44.143999999999998</v>
      </c>
      <c r="E9" s="16">
        <f ca="1">FLUID!I52</f>
        <v>-47.48</v>
      </c>
      <c r="F9" s="14">
        <f ca="1">FLUID!J52</f>
        <v>-50.512</v>
      </c>
      <c r="G9" s="14">
        <f ca="1">FLUID!K52</f>
        <v>-52.968000000000004</v>
      </c>
      <c r="H9" s="14">
        <f ca="1">FLUID!L52</f>
        <v>-54.951999999999998</v>
      </c>
      <c r="I9" s="14">
        <f ca="1">FLUID!M52</f>
        <v>-57.055999999999997</v>
      </c>
      <c r="J9" s="14">
        <f ca="1">FLUID!N52</f>
        <v>-59.408000000000001</v>
      </c>
      <c r="K9" s="14">
        <f ca="1">FLUID!O52</f>
        <v>-62.264000000000003</v>
      </c>
      <c r="L9" s="14">
        <f ca="1">FLUID!P52</f>
        <v>-65.959999999999994</v>
      </c>
      <c r="M9" s="14">
        <f ca="1">FLUID!Q52</f>
        <v>0</v>
      </c>
      <c r="N9" s="14">
        <f ca="1">FLUID!R52</f>
        <v>0</v>
      </c>
      <c r="O9" s="14">
        <f ca="1">FLUID!S52</f>
        <v>0</v>
      </c>
      <c r="P9" s="14">
        <f ca="1">FLUID!T52</f>
        <v>0</v>
      </c>
      <c r="Q9" s="14">
        <f ca="1">FLUID!U52</f>
        <v>0</v>
      </c>
      <c r="R9" s="14">
        <f ca="1">FLUID!V52</f>
        <v>0</v>
      </c>
      <c r="S9" s="14">
        <f ca="1">FLUID!W52</f>
        <v>0</v>
      </c>
      <c r="T9" s="14">
        <f ca="1">FLUID!X52</f>
        <v>0</v>
      </c>
      <c r="U9" s="14">
        <f ca="1">FLUID!Y52</f>
        <v>0</v>
      </c>
      <c r="V9" s="14">
        <f ca="1">FLUID!Z52</f>
        <v>0</v>
      </c>
      <c r="W9" s="14">
        <f ca="1">FLUID!AA52</f>
        <v>0</v>
      </c>
      <c r="X9" s="14">
        <f ca="1">FLUID!AB52</f>
        <v>0</v>
      </c>
      <c r="Y9" s="14">
        <f ca="1">FLUID!AC52</f>
        <v>0</v>
      </c>
      <c r="Z9" s="14">
        <f ca="1">FLUID!AD52</f>
        <v>0</v>
      </c>
      <c r="AA9" s="14">
        <f ca="1">FLUID!AE52</f>
        <v>0</v>
      </c>
      <c r="AB9" s="14">
        <f ca="1">FLUID!AF52</f>
        <v>0</v>
      </c>
      <c r="AC9" s="14">
        <f ca="1">FLUID!AG52</f>
        <v>0</v>
      </c>
      <c r="AD9" s="14">
        <f ca="1">FLUID!AH52</f>
        <v>0</v>
      </c>
      <c r="AE9" s="14">
        <f ca="1">FLUID!AI52</f>
        <v>0</v>
      </c>
      <c r="AF9" s="14">
        <f ca="1">FLUID!AJ52</f>
        <v>0</v>
      </c>
      <c r="AG9" s="14">
        <f ca="1">FLUID!AK52</f>
        <v>0</v>
      </c>
      <c r="AH9" s="14">
        <f ca="1">FLUID!AL52</f>
        <v>0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</row>
    <row r="10" spans="1:94" ht="22.5" hidden="1" outlineLevel="1" thickTop="1" thickBot="1" x14ac:dyDescent="0.4">
      <c r="A10" s="36" t="str">
        <f>FLUID!E53</f>
        <v>Se2</v>
      </c>
      <c r="B10" s="16">
        <f ca="1">FLUID!F53</f>
        <v>-9.4</v>
      </c>
      <c r="C10" s="16">
        <f ca="1">FLUID!G53</f>
        <v>-10.18</v>
      </c>
      <c r="D10" s="16">
        <f ca="1">FLUID!H53</f>
        <v>-11.036</v>
      </c>
      <c r="E10" s="16">
        <f ca="1">FLUID!I53</f>
        <v>-11.87</v>
      </c>
      <c r="F10" s="14">
        <f ca="1">FLUID!J53</f>
        <v>-12.628</v>
      </c>
      <c r="G10" s="14">
        <f ca="1">FLUID!K53</f>
        <v>-13.242000000000001</v>
      </c>
      <c r="H10" s="14">
        <f ca="1">FLUID!L53</f>
        <v>-13.738</v>
      </c>
      <c r="I10" s="14">
        <f ca="1">FLUID!M53</f>
        <v>-14.263999999999999</v>
      </c>
      <c r="J10" s="14">
        <f ca="1">FLUID!N53</f>
        <v>-14.852</v>
      </c>
      <c r="K10" s="14">
        <f ca="1">FLUID!O53</f>
        <v>-15.566000000000001</v>
      </c>
      <c r="L10" s="14">
        <f ca="1">FLUID!P53</f>
        <v>-16.489999999999998</v>
      </c>
      <c r="M10" s="14">
        <f ca="1">FLUID!Q53</f>
        <v>0</v>
      </c>
      <c r="N10" s="14">
        <f ca="1">FLUID!R53</f>
        <v>0</v>
      </c>
      <c r="O10" s="14">
        <f ca="1">FLUID!S53</f>
        <v>0</v>
      </c>
      <c r="P10" s="14">
        <f ca="1">FLUID!T53</f>
        <v>0</v>
      </c>
      <c r="Q10" s="14">
        <f ca="1">FLUID!U53</f>
        <v>0</v>
      </c>
      <c r="R10" s="14">
        <f ca="1">FLUID!V53</f>
        <v>0</v>
      </c>
      <c r="S10" s="14">
        <f ca="1">FLUID!W53</f>
        <v>0</v>
      </c>
      <c r="T10" s="14">
        <f ca="1">FLUID!X53</f>
        <v>0</v>
      </c>
      <c r="U10" s="14">
        <f ca="1">FLUID!Y53</f>
        <v>0</v>
      </c>
      <c r="V10" s="14">
        <f ca="1">FLUID!Z53</f>
        <v>0</v>
      </c>
      <c r="W10" s="14">
        <f ca="1">FLUID!AA53</f>
        <v>0</v>
      </c>
      <c r="X10" s="14">
        <f ca="1">FLUID!AB53</f>
        <v>0</v>
      </c>
      <c r="Y10" s="14">
        <f ca="1">FLUID!AC53</f>
        <v>0</v>
      </c>
      <c r="Z10" s="14">
        <f ca="1">FLUID!AD53</f>
        <v>0</v>
      </c>
      <c r="AA10" s="14">
        <f ca="1">FLUID!AE53</f>
        <v>0</v>
      </c>
      <c r="AB10" s="14">
        <f ca="1">FLUID!AF53</f>
        <v>0</v>
      </c>
      <c r="AC10" s="14">
        <f ca="1">FLUID!AG53</f>
        <v>0</v>
      </c>
      <c r="AD10" s="14">
        <f ca="1">FLUID!AH53</f>
        <v>0</v>
      </c>
      <c r="AE10" s="14">
        <f ca="1">FLUID!AI53</f>
        <v>0</v>
      </c>
      <c r="AF10" s="14">
        <f ca="1">FLUID!AJ53</f>
        <v>0</v>
      </c>
      <c r="AG10" s="14">
        <f ca="1">FLUID!AK53</f>
        <v>0</v>
      </c>
      <c r="AH10" s="14">
        <f ca="1">FLUID!AL53</f>
        <v>0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</row>
    <row r="11" spans="1:94" ht="22.5" hidden="1" outlineLevel="1" thickTop="1" thickBot="1" x14ac:dyDescent="0.4">
      <c r="A11" s="36" t="str">
        <f>FLUID!E54</f>
        <v>Se</v>
      </c>
      <c r="B11" s="16">
        <f ca="1">FLUID!F54</f>
        <v>-4.7</v>
      </c>
      <c r="C11" s="16">
        <f ca="1">FLUID!G54</f>
        <v>-5.09</v>
      </c>
      <c r="D11" s="16">
        <f ca="1">FLUID!H54</f>
        <v>-5.5179999999999998</v>
      </c>
      <c r="E11" s="16">
        <f ca="1">FLUID!I54</f>
        <v>-5.9349999999999996</v>
      </c>
      <c r="F11" s="14">
        <f ca="1">FLUID!J54</f>
        <v>-6.3140000000000001</v>
      </c>
      <c r="G11" s="14">
        <f ca="1">FLUID!K54</f>
        <v>-6.6210000000000004</v>
      </c>
      <c r="H11" s="14">
        <f ca="1">FLUID!L54</f>
        <v>-6.8689999999999998</v>
      </c>
      <c r="I11" s="14">
        <f ca="1">FLUID!M54</f>
        <v>-7.1319999999999997</v>
      </c>
      <c r="J11" s="14">
        <f ca="1">FLUID!N54</f>
        <v>-7.4260000000000002</v>
      </c>
      <c r="K11" s="14">
        <f ca="1">FLUID!O54</f>
        <v>-7.7830000000000004</v>
      </c>
      <c r="L11" s="14">
        <f ca="1">FLUID!P54</f>
        <v>-8.2449999999999992</v>
      </c>
      <c r="M11" s="14">
        <f ca="1">FLUID!Q54</f>
        <v>0</v>
      </c>
      <c r="N11" s="14">
        <f ca="1">FLUID!R54</f>
        <v>0</v>
      </c>
      <c r="O11" s="14">
        <f ca="1">FLUID!S54</f>
        <v>0</v>
      </c>
      <c r="P11" s="14">
        <f ca="1">FLUID!T54</f>
        <v>0</v>
      </c>
      <c r="Q11" s="14">
        <f ca="1">FLUID!U54</f>
        <v>0</v>
      </c>
      <c r="R11" s="14">
        <f ca="1">FLUID!V54</f>
        <v>0</v>
      </c>
      <c r="S11" s="14">
        <f ca="1">FLUID!W54</f>
        <v>0</v>
      </c>
      <c r="T11" s="14">
        <f ca="1">FLUID!X54</f>
        <v>0</v>
      </c>
      <c r="U11" s="14">
        <f ca="1">FLUID!Y54</f>
        <v>0</v>
      </c>
      <c r="V11" s="14">
        <f ca="1">FLUID!Z54</f>
        <v>0</v>
      </c>
      <c r="W11" s="14">
        <f ca="1">FLUID!AA54</f>
        <v>0</v>
      </c>
      <c r="X11" s="14">
        <f ca="1">FLUID!AB54</f>
        <v>0</v>
      </c>
      <c r="Y11" s="14">
        <f ca="1">FLUID!AC54</f>
        <v>0</v>
      </c>
      <c r="Z11" s="14">
        <f ca="1">FLUID!AD54</f>
        <v>0</v>
      </c>
      <c r="AA11" s="14">
        <f ca="1">FLUID!AE54</f>
        <v>0</v>
      </c>
      <c r="AB11" s="14">
        <f ca="1">FLUID!AF54</f>
        <v>0</v>
      </c>
      <c r="AC11" s="14">
        <f ca="1">FLUID!AG54</f>
        <v>0</v>
      </c>
      <c r="AD11" s="14">
        <f ca="1">FLUID!AH54</f>
        <v>0</v>
      </c>
      <c r="AE11" s="14">
        <f ca="1">FLUID!AI54</f>
        <v>0</v>
      </c>
      <c r="AF11" s="14">
        <f ca="1">FLUID!AJ54</f>
        <v>0</v>
      </c>
      <c r="AG11" s="14">
        <f ca="1">FLUID!AK54</f>
        <v>0</v>
      </c>
      <c r="AH11" s="14">
        <f ca="1">FLUID!AL54</f>
        <v>0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</row>
    <row r="12" spans="1:94" ht="22.5" hidden="1" outlineLevel="1" thickTop="1" thickBot="1" x14ac:dyDescent="0.4">
      <c r="A12" s="36" t="str">
        <f>FLUID!E55</f>
        <v>Ga2Se</v>
      </c>
      <c r="B12" s="16">
        <f ca="1">FLUID!F55</f>
        <v>-16.442</v>
      </c>
      <c r="C12" s="16">
        <f ca="1">FLUID!G55</f>
        <v>-17.91</v>
      </c>
      <c r="D12" s="16">
        <f ca="1">FLUID!H55</f>
        <v>-19.288</v>
      </c>
      <c r="E12" s="16">
        <f ca="1">FLUID!I55</f>
        <v>-20.553000000000001</v>
      </c>
      <c r="F12" s="14">
        <f ca="1">FLUID!J55</f>
        <v>-21.752000000000002</v>
      </c>
      <c r="G12" s="14">
        <f ca="1">FLUID!K55</f>
        <v>-23.116999999999997</v>
      </c>
      <c r="H12" s="14">
        <f ca="1">FLUID!L55</f>
        <v>-24.858999999999998</v>
      </c>
      <c r="I12" s="14">
        <f ca="1">FLUID!M55</f>
        <v>-26.625999999999998</v>
      </c>
      <c r="J12" s="14">
        <f ca="1">FLUID!N55</f>
        <v>-28.246000000000002</v>
      </c>
      <c r="K12" s="14">
        <f ca="1">FLUID!O55</f>
        <v>-29.743000000000002</v>
      </c>
      <c r="L12" s="14">
        <f ca="1">FLUID!P55</f>
        <v>-31.104999999999997</v>
      </c>
      <c r="M12" s="14">
        <f ca="1">FLUID!Q55</f>
        <v>0</v>
      </c>
      <c r="N12" s="14">
        <f ca="1">FLUID!R55</f>
        <v>0</v>
      </c>
      <c r="O12" s="14">
        <f ca="1">FLUID!S55</f>
        <v>0</v>
      </c>
      <c r="P12" s="14">
        <f ca="1">FLUID!T55</f>
        <v>0</v>
      </c>
      <c r="Q12" s="14">
        <f ca="1">FLUID!U55</f>
        <v>0</v>
      </c>
      <c r="R12" s="14">
        <f ca="1">FLUID!V55</f>
        <v>0</v>
      </c>
      <c r="S12" s="14">
        <f ca="1">FLUID!W55</f>
        <v>0</v>
      </c>
      <c r="T12" s="14">
        <f ca="1">FLUID!X55</f>
        <v>0</v>
      </c>
      <c r="U12" s="14">
        <f ca="1">FLUID!Y55</f>
        <v>0</v>
      </c>
      <c r="V12" s="14">
        <f ca="1">FLUID!Z55</f>
        <v>0</v>
      </c>
      <c r="W12" s="14">
        <f ca="1">FLUID!AA55</f>
        <v>0</v>
      </c>
      <c r="X12" s="14">
        <f ca="1">FLUID!AB55</f>
        <v>0</v>
      </c>
      <c r="Y12" s="14">
        <f ca="1">FLUID!AC55</f>
        <v>0</v>
      </c>
      <c r="Z12" s="14">
        <f ca="1">FLUID!AD55</f>
        <v>0</v>
      </c>
      <c r="AA12" s="14">
        <f ca="1">FLUID!AE55</f>
        <v>0</v>
      </c>
      <c r="AB12" s="14">
        <f ca="1">FLUID!AF55</f>
        <v>0</v>
      </c>
      <c r="AC12" s="14">
        <f ca="1">FLUID!AG55</f>
        <v>0</v>
      </c>
      <c r="AD12" s="14">
        <f ca="1">FLUID!AH55</f>
        <v>0</v>
      </c>
      <c r="AE12" s="14">
        <f ca="1">FLUID!AI55</f>
        <v>0</v>
      </c>
      <c r="AF12" s="14">
        <f ca="1">FLUID!AJ55</f>
        <v>0</v>
      </c>
      <c r="AG12" s="14">
        <f ca="1">FLUID!AK55</f>
        <v>0</v>
      </c>
      <c r="AH12" s="14">
        <f ca="1">FLUID!AL55</f>
        <v>0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</row>
    <row r="13" spans="1:94" ht="22.5" hidden="1" outlineLevel="1" thickTop="1" thickBot="1" x14ac:dyDescent="0.4">
      <c r="A13" s="36" t="str">
        <f>FLUID!E56</f>
        <v>Ar</v>
      </c>
      <c r="B13" s="16">
        <f ca="1">FLUID!F56</f>
        <v>-18.62</v>
      </c>
      <c r="C13" s="16">
        <f ca="1">FLUID!G56</f>
        <v>-18.64</v>
      </c>
      <c r="D13" s="16">
        <f ca="1">FLUID!H56</f>
        <v>-18.739999999999998</v>
      </c>
      <c r="E13" s="16">
        <f ca="1">FLUID!I56</f>
        <v>-18.88</v>
      </c>
      <c r="F13" s="14">
        <f ca="1">FLUID!J56</f>
        <v>-19.07</v>
      </c>
      <c r="G13" s="14">
        <f ca="1">FLUID!K56</f>
        <v>-19.36</v>
      </c>
      <c r="H13" s="14">
        <f ca="1">FLUID!L56</f>
        <v>-19.66</v>
      </c>
      <c r="I13" s="14">
        <f ca="1">FLUID!M56</f>
        <v>-19.88</v>
      </c>
      <c r="J13" s="14">
        <f ca="1">FLUID!N56</f>
        <v>-20.11</v>
      </c>
      <c r="K13" s="14">
        <f ca="1">FLUID!O56</f>
        <v>-20.36</v>
      </c>
      <c r="L13" s="14">
        <f ca="1">FLUID!P56</f>
        <v>-20.62</v>
      </c>
      <c r="M13" s="14">
        <f ca="1">FLUID!Q56</f>
        <v>0</v>
      </c>
      <c r="N13" s="14">
        <f ca="1">FLUID!R56</f>
        <v>0</v>
      </c>
      <c r="O13" s="14">
        <f ca="1">FLUID!S56</f>
        <v>0</v>
      </c>
      <c r="P13" s="14">
        <f ca="1">FLUID!T56</f>
        <v>0</v>
      </c>
      <c r="Q13" s="14">
        <f ca="1">FLUID!U56</f>
        <v>0</v>
      </c>
      <c r="R13" s="14">
        <f ca="1">FLUID!V56</f>
        <v>0</v>
      </c>
      <c r="S13" s="14">
        <f ca="1">FLUID!W56</f>
        <v>0</v>
      </c>
      <c r="T13" s="14">
        <f ca="1">FLUID!X56</f>
        <v>0</v>
      </c>
      <c r="U13" s="14">
        <f ca="1">FLUID!Y56</f>
        <v>0</v>
      </c>
      <c r="V13" s="14">
        <f ca="1">FLUID!Z56</f>
        <v>0</v>
      </c>
      <c r="W13" s="14">
        <f ca="1">FLUID!AA56</f>
        <v>0</v>
      </c>
      <c r="X13" s="14">
        <f ca="1">FLUID!AB56</f>
        <v>0</v>
      </c>
      <c r="Y13" s="14">
        <f ca="1">FLUID!AC56</f>
        <v>0</v>
      </c>
      <c r="Z13" s="14">
        <f ca="1">FLUID!AD56</f>
        <v>0</v>
      </c>
      <c r="AA13" s="14">
        <f ca="1">FLUID!AE56</f>
        <v>0</v>
      </c>
      <c r="AB13" s="14">
        <f ca="1">FLUID!AF56</f>
        <v>0</v>
      </c>
      <c r="AC13" s="14">
        <f ca="1">FLUID!AG56</f>
        <v>0</v>
      </c>
      <c r="AD13" s="14">
        <f ca="1">FLUID!AH56</f>
        <v>0</v>
      </c>
      <c r="AE13" s="14">
        <f ca="1">FLUID!AI56</f>
        <v>0</v>
      </c>
      <c r="AF13" s="14">
        <f ca="1">FLUID!AJ56</f>
        <v>0</v>
      </c>
      <c r="AG13" s="14">
        <f ca="1">FLUID!AK56</f>
        <v>0</v>
      </c>
      <c r="AH13" s="14">
        <f ca="1">FLUID!AL56</f>
        <v>0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</row>
    <row r="14" spans="1:94" ht="22.5" hidden="1" outlineLevel="1" thickTop="1" thickBot="1" x14ac:dyDescent="0.4">
      <c r="A14" s="36" t="str">
        <f>FLUID!E57</f>
        <v>(1)Ga[1]</v>
      </c>
      <c r="B14" s="16">
        <f ca="1">FLUID!F57</f>
        <v>-5.8710000000000004</v>
      </c>
      <c r="C14" s="16">
        <f ca="1">FLUID!G57</f>
        <v>-6.41</v>
      </c>
      <c r="D14" s="16">
        <f ca="1">FLUID!H57</f>
        <v>-6.8849999999999998</v>
      </c>
      <c r="E14" s="16">
        <f ca="1">FLUID!I57</f>
        <v>-7.3090000000000002</v>
      </c>
      <c r="F14" s="14">
        <f ca="1">FLUID!J57</f>
        <v>-7.7190000000000003</v>
      </c>
      <c r="G14" s="14">
        <f ca="1">FLUID!K57</f>
        <v>-8.2479999999999993</v>
      </c>
      <c r="H14" s="14">
        <f ca="1">FLUID!L57</f>
        <v>-8.9949999999999992</v>
      </c>
      <c r="I14" s="14">
        <f ca="1">FLUID!M57</f>
        <v>-9.7469999999999999</v>
      </c>
      <c r="J14" s="14">
        <f ca="1">FLUID!N57</f>
        <v>-10.41</v>
      </c>
      <c r="K14" s="14">
        <f ca="1">FLUID!O57</f>
        <v>-10.98</v>
      </c>
      <c r="L14" s="14">
        <f ca="1">FLUID!P57</f>
        <v>-11.43</v>
      </c>
      <c r="M14" s="14">
        <f ca="1">FLUID!Q57</f>
        <v>0</v>
      </c>
      <c r="N14" s="14">
        <f ca="1">FLUID!R57</f>
        <v>0</v>
      </c>
      <c r="O14" s="14">
        <f ca="1">FLUID!S57</f>
        <v>0</v>
      </c>
      <c r="P14" s="14">
        <f ca="1">FLUID!T57</f>
        <v>0</v>
      </c>
      <c r="Q14" s="14">
        <f ca="1">FLUID!U57</f>
        <v>0</v>
      </c>
      <c r="R14" s="14">
        <f ca="1">FLUID!V57</f>
        <v>0</v>
      </c>
      <c r="S14" s="14">
        <f ca="1">FLUID!W57</f>
        <v>0</v>
      </c>
      <c r="T14" s="14">
        <f ca="1">FLUID!X57</f>
        <v>0</v>
      </c>
      <c r="U14" s="14">
        <f ca="1">FLUID!Y57</f>
        <v>0</v>
      </c>
      <c r="V14" s="14">
        <f ca="1">FLUID!Z57</f>
        <v>0</v>
      </c>
      <c r="W14" s="14">
        <f ca="1">FLUID!AA57</f>
        <v>0</v>
      </c>
      <c r="X14" s="14">
        <f ca="1">FLUID!AB57</f>
        <v>0</v>
      </c>
      <c r="Y14" s="14">
        <f ca="1">FLUID!AC57</f>
        <v>0</v>
      </c>
      <c r="Z14" s="14">
        <f ca="1">FLUID!AD57</f>
        <v>0</v>
      </c>
      <c r="AA14" s="14">
        <f ca="1">FLUID!AE57</f>
        <v>0</v>
      </c>
      <c r="AB14" s="14">
        <f ca="1">FLUID!AF57</f>
        <v>0</v>
      </c>
      <c r="AC14" s="14">
        <f ca="1">FLUID!AG57</f>
        <v>0</v>
      </c>
      <c r="AD14" s="14">
        <f ca="1">FLUID!AH57</f>
        <v>0</v>
      </c>
      <c r="AE14" s="14">
        <f ca="1">FLUID!AI57</f>
        <v>0</v>
      </c>
      <c r="AF14" s="14">
        <f ca="1">FLUID!AJ57</f>
        <v>0</v>
      </c>
      <c r="AG14" s="14">
        <f ca="1">FLUID!AK57</f>
        <v>0</v>
      </c>
      <c r="AH14" s="14">
        <f ca="1">FLUID!AL57</f>
        <v>0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</row>
    <row r="15" spans="1:94" ht="22.5" hidden="1" outlineLevel="1" thickTop="1" thickBot="1" x14ac:dyDescent="0.4">
      <c r="A15" s="36" t="str">
        <f>FLUID!E58</f>
        <v>(1)Ge[1]</v>
      </c>
      <c r="B15" s="16">
        <f ca="1">FLUID!F58</f>
        <v>6.2590000000000003</v>
      </c>
      <c r="C15" s="16">
        <f ca="1">FLUID!G58</f>
        <v>2.9529999999999998</v>
      </c>
      <c r="D15" s="16">
        <f ca="1">FLUID!H58</f>
        <v>0.67290000000000005</v>
      </c>
      <c r="E15" s="16">
        <f ca="1">FLUID!I58</f>
        <v>-1.0149999999999999</v>
      </c>
      <c r="F15" s="14">
        <f ca="1">FLUID!J58</f>
        <v>-2.3050000000000002</v>
      </c>
      <c r="G15" s="14">
        <f ca="1">FLUID!K58</f>
        <v>-3.2450000000000001</v>
      </c>
      <c r="H15" s="14">
        <f ca="1">FLUID!L58</f>
        <v>-3.9470000000000001</v>
      </c>
      <c r="I15" s="14">
        <f ca="1">FLUID!M58</f>
        <v>-4.5590000000000002</v>
      </c>
      <c r="J15" s="14">
        <f ca="1">FLUID!N58</f>
        <v>-5.0259999999999998</v>
      </c>
      <c r="K15" s="14">
        <f ca="1">FLUID!O58</f>
        <v>-5.2619999999999996</v>
      </c>
      <c r="L15" s="14">
        <f ca="1">FLUID!P58</f>
        <v>-5.367</v>
      </c>
      <c r="M15" s="14">
        <f ca="1">FLUID!Q58</f>
        <v>0</v>
      </c>
      <c r="N15" s="14">
        <f ca="1">FLUID!R58</f>
        <v>0</v>
      </c>
      <c r="O15" s="14">
        <f ca="1">FLUID!S58</f>
        <v>0</v>
      </c>
      <c r="P15" s="14">
        <f ca="1">FLUID!T58</f>
        <v>0</v>
      </c>
      <c r="Q15" s="14">
        <f ca="1">FLUID!U58</f>
        <v>0</v>
      </c>
      <c r="R15" s="14">
        <f ca="1">FLUID!V58</f>
        <v>0</v>
      </c>
      <c r="S15" s="14">
        <f ca="1">FLUID!W58</f>
        <v>0</v>
      </c>
      <c r="T15" s="14">
        <f ca="1">FLUID!X58</f>
        <v>0</v>
      </c>
      <c r="U15" s="14">
        <f ca="1">FLUID!Y58</f>
        <v>0</v>
      </c>
      <c r="V15" s="14">
        <f ca="1">FLUID!Z58</f>
        <v>0</v>
      </c>
      <c r="W15" s="14">
        <f ca="1">FLUID!AA58</f>
        <v>0</v>
      </c>
      <c r="X15" s="14">
        <f ca="1">FLUID!AB58</f>
        <v>0</v>
      </c>
      <c r="Y15" s="14">
        <f ca="1">FLUID!AC58</f>
        <v>0</v>
      </c>
      <c r="Z15" s="14">
        <f ca="1">FLUID!AD58</f>
        <v>0</v>
      </c>
      <c r="AA15" s="14">
        <f ca="1">FLUID!AE58</f>
        <v>0</v>
      </c>
      <c r="AB15" s="14">
        <f ca="1">FLUID!AF58</f>
        <v>0</v>
      </c>
      <c r="AC15" s="14">
        <f ca="1">FLUID!AG58</f>
        <v>0</v>
      </c>
      <c r="AD15" s="14">
        <f ca="1">FLUID!AH58</f>
        <v>0</v>
      </c>
      <c r="AE15" s="14">
        <f ca="1">FLUID!AI58</f>
        <v>0</v>
      </c>
      <c r="AF15" s="14">
        <f ca="1">FLUID!AJ58</f>
        <v>0</v>
      </c>
      <c r="AG15" s="14">
        <f ca="1">FLUID!AK58</f>
        <v>0</v>
      </c>
      <c r="AH15" s="14">
        <f ca="1">FLUID!AL58</f>
        <v>0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</row>
    <row r="16" spans="1:94" ht="22.5" hidden="1" outlineLevel="1" thickTop="1" thickBot="1" x14ac:dyDescent="0.4">
      <c r="A16" s="36" t="str">
        <f>FLUID!E59</f>
        <v>(1)Se[1]</v>
      </c>
      <c r="B16" s="16">
        <f ca="1">FLUID!F59</f>
        <v>-4.7</v>
      </c>
      <c r="C16" s="16">
        <f ca="1">FLUID!G59</f>
        <v>-5.09</v>
      </c>
      <c r="D16" s="16">
        <f ca="1">FLUID!H59</f>
        <v>-5.5179999999999998</v>
      </c>
      <c r="E16" s="16">
        <f ca="1">FLUID!I59</f>
        <v>-5.9349999999999996</v>
      </c>
      <c r="F16" s="14">
        <f ca="1">FLUID!J59</f>
        <v>-6.3140000000000001</v>
      </c>
      <c r="G16" s="14">
        <f ca="1">FLUID!K59</f>
        <v>-6.6210000000000004</v>
      </c>
      <c r="H16" s="14">
        <f ca="1">FLUID!L59</f>
        <v>-6.8689999999999998</v>
      </c>
      <c r="I16" s="14">
        <f ca="1">FLUID!M59</f>
        <v>-7.1319999999999997</v>
      </c>
      <c r="J16" s="14">
        <f ca="1">FLUID!N59</f>
        <v>-7.4260000000000002</v>
      </c>
      <c r="K16" s="14">
        <f ca="1">FLUID!O59</f>
        <v>-7.7830000000000004</v>
      </c>
      <c r="L16" s="14">
        <f ca="1">FLUID!P59</f>
        <v>-8.2449999999999992</v>
      </c>
      <c r="M16" s="14">
        <f ca="1">FLUID!Q59</f>
        <v>0</v>
      </c>
      <c r="N16" s="14">
        <f ca="1">FLUID!R59</f>
        <v>0</v>
      </c>
      <c r="O16" s="14">
        <f ca="1">FLUID!S59</f>
        <v>0</v>
      </c>
      <c r="P16" s="14">
        <f ca="1">FLUID!T59</f>
        <v>0</v>
      </c>
      <c r="Q16" s="14">
        <f ca="1">FLUID!U59</f>
        <v>0</v>
      </c>
      <c r="R16" s="14">
        <f ca="1">FLUID!V59</f>
        <v>0</v>
      </c>
      <c r="S16" s="14">
        <f ca="1">FLUID!W59</f>
        <v>0</v>
      </c>
      <c r="T16" s="14">
        <f ca="1">FLUID!X59</f>
        <v>0</v>
      </c>
      <c r="U16" s="14">
        <f ca="1">FLUID!Y59</f>
        <v>0</v>
      </c>
      <c r="V16" s="14">
        <f ca="1">FLUID!Z59</f>
        <v>0</v>
      </c>
      <c r="W16" s="14">
        <f ca="1">FLUID!AA59</f>
        <v>0</v>
      </c>
      <c r="X16" s="14">
        <f ca="1">FLUID!AB59</f>
        <v>0</v>
      </c>
      <c r="Y16" s="14">
        <f ca="1">FLUID!AC59</f>
        <v>0</v>
      </c>
      <c r="Z16" s="14">
        <f ca="1">FLUID!AD59</f>
        <v>0</v>
      </c>
      <c r="AA16" s="14">
        <f ca="1">FLUID!AE59</f>
        <v>0</v>
      </c>
      <c r="AB16" s="14">
        <f ca="1">FLUID!AF59</f>
        <v>0</v>
      </c>
      <c r="AC16" s="14">
        <f ca="1">FLUID!AG59</f>
        <v>0</v>
      </c>
      <c r="AD16" s="14">
        <f ca="1">FLUID!AH59</f>
        <v>0</v>
      </c>
      <c r="AE16" s="14">
        <f ca="1">FLUID!AI59</f>
        <v>0</v>
      </c>
      <c r="AF16" s="14">
        <f ca="1">FLUID!AJ59</f>
        <v>0</v>
      </c>
      <c r="AG16" s="14">
        <f ca="1">FLUID!AK59</f>
        <v>0</v>
      </c>
      <c r="AH16" s="14">
        <f ca="1">FLUID!AL59</f>
        <v>0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</row>
    <row r="17" spans="1:94" ht="22.5" hidden="1" outlineLevel="1" thickTop="1" thickBot="1" x14ac:dyDescent="0.4">
      <c r="A17" s="36" t="str">
        <f>FLUID!E60</f>
        <v>H (Ar)</v>
      </c>
      <c r="B17" s="16">
        <f ca="1">FLUID!F60</f>
        <v>-18.62</v>
      </c>
      <c r="C17" s="16">
        <f ca="1">FLUID!G60</f>
        <v>-18.64</v>
      </c>
      <c r="D17" s="16">
        <f ca="1">FLUID!H60</f>
        <v>-18.739999999999998</v>
      </c>
      <c r="E17" s="16">
        <f ca="1">FLUID!I60</f>
        <v>-18.88</v>
      </c>
      <c r="F17" s="14">
        <f ca="1">FLUID!J60</f>
        <v>-19.07</v>
      </c>
      <c r="G17" s="14">
        <f ca="1">FLUID!K60</f>
        <v>-19.36</v>
      </c>
      <c r="H17" s="14">
        <f ca="1">FLUID!L60</f>
        <v>-19.66</v>
      </c>
      <c r="I17" s="14">
        <f ca="1">FLUID!M60</f>
        <v>-19.88</v>
      </c>
      <c r="J17" s="14">
        <f ca="1">FLUID!N60</f>
        <v>-20.11</v>
      </c>
      <c r="K17" s="14">
        <f ca="1">FLUID!O60</f>
        <v>-20.36</v>
      </c>
      <c r="L17" s="14">
        <f ca="1">FLUID!P60</f>
        <v>-20.62</v>
      </c>
      <c r="M17" s="14">
        <f ca="1">FLUID!Q60</f>
        <v>0</v>
      </c>
      <c r="N17" s="14">
        <f ca="1">FLUID!R60</f>
        <v>0</v>
      </c>
      <c r="O17" s="14">
        <f ca="1">FLUID!S60</f>
        <v>0</v>
      </c>
      <c r="P17" s="14">
        <f ca="1">FLUID!T60</f>
        <v>0</v>
      </c>
      <c r="Q17" s="14">
        <f ca="1">FLUID!U60</f>
        <v>0</v>
      </c>
      <c r="R17" s="14">
        <f ca="1">FLUID!V60</f>
        <v>0</v>
      </c>
      <c r="S17" s="14">
        <f ca="1">FLUID!W60</f>
        <v>0</v>
      </c>
      <c r="T17" s="14">
        <f ca="1">FLUID!X60</f>
        <v>0</v>
      </c>
      <c r="U17" s="14">
        <f ca="1">FLUID!Y60</f>
        <v>0</v>
      </c>
      <c r="V17" s="14">
        <f ca="1">FLUID!Z60</f>
        <v>0</v>
      </c>
      <c r="W17" s="14">
        <f ca="1">FLUID!AA60</f>
        <v>0</v>
      </c>
      <c r="X17" s="14">
        <f ca="1">FLUID!AB60</f>
        <v>0</v>
      </c>
      <c r="Y17" s="14">
        <f ca="1">FLUID!AC60</f>
        <v>0</v>
      </c>
      <c r="Z17" s="14">
        <f ca="1">FLUID!AD60</f>
        <v>0</v>
      </c>
      <c r="AA17" s="14">
        <f ca="1">FLUID!AE60</f>
        <v>0</v>
      </c>
      <c r="AB17" s="14">
        <f ca="1">FLUID!AF60</f>
        <v>0</v>
      </c>
      <c r="AC17" s="14">
        <f ca="1">FLUID!AG60</f>
        <v>0</v>
      </c>
      <c r="AD17" s="14">
        <f ca="1">FLUID!AH60</f>
        <v>0</v>
      </c>
      <c r="AE17" s="14">
        <f ca="1">FLUID!AI60</f>
        <v>0</v>
      </c>
      <c r="AF17" s="14">
        <f ca="1">FLUID!AJ60</f>
        <v>0</v>
      </c>
      <c r="AG17" s="14">
        <f ca="1">FLUID!AK60</f>
        <v>0</v>
      </c>
      <c r="AH17" s="14">
        <f ca="1">FLUID!AL60</f>
        <v>0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</row>
    <row r="18" spans="1:94" ht="22.5" hidden="1" outlineLevel="1" thickTop="1" thickBot="1" x14ac:dyDescent="0.4">
      <c r="A18" s="36" t="str">
        <f>FLUID!E61</f>
        <v>H (Ga)</v>
      </c>
      <c r="B18" s="16">
        <f ca="1">FLUID!F61</f>
        <v>-5.8710000000000004</v>
      </c>
      <c r="C18" s="16">
        <f ca="1">FLUID!G61</f>
        <v>-6.41</v>
      </c>
      <c r="D18" s="16">
        <f ca="1">FLUID!H61</f>
        <v>-6.8849999999999998</v>
      </c>
      <c r="E18" s="16">
        <f ca="1">FLUID!I61</f>
        <v>-7.3090000000000002</v>
      </c>
      <c r="F18" s="14">
        <f ca="1">FLUID!J61</f>
        <v>-7.7190000000000003</v>
      </c>
      <c r="G18" s="14">
        <f ca="1">FLUID!K61</f>
        <v>-8.2479999999999993</v>
      </c>
      <c r="H18" s="14">
        <f ca="1">FLUID!L61</f>
        <v>-8.9949999999999992</v>
      </c>
      <c r="I18" s="14">
        <f ca="1">FLUID!M61</f>
        <v>-9.7469999999999999</v>
      </c>
      <c r="J18" s="14">
        <f ca="1">FLUID!N61</f>
        <v>-10.41</v>
      </c>
      <c r="K18" s="14">
        <f ca="1">FLUID!O61</f>
        <v>-10.98</v>
      </c>
      <c r="L18" s="14">
        <f ca="1">FLUID!P61</f>
        <v>-11.43</v>
      </c>
      <c r="M18" s="14">
        <f ca="1">FLUID!Q61</f>
        <v>0</v>
      </c>
      <c r="N18" s="14">
        <f ca="1">FLUID!R61</f>
        <v>0</v>
      </c>
      <c r="O18" s="14">
        <f ca="1">FLUID!S61</f>
        <v>0</v>
      </c>
      <c r="P18" s="14">
        <f ca="1">FLUID!T61</f>
        <v>0</v>
      </c>
      <c r="Q18" s="14">
        <f ca="1">FLUID!U61</f>
        <v>0</v>
      </c>
      <c r="R18" s="14">
        <f ca="1">FLUID!V61</f>
        <v>0</v>
      </c>
      <c r="S18" s="14">
        <f ca="1">FLUID!W61</f>
        <v>0</v>
      </c>
      <c r="T18" s="14">
        <f ca="1">FLUID!X61</f>
        <v>0</v>
      </c>
      <c r="U18" s="14">
        <f ca="1">FLUID!Y61</f>
        <v>0</v>
      </c>
      <c r="V18" s="14">
        <f ca="1">FLUID!Z61</f>
        <v>0</v>
      </c>
      <c r="W18" s="14">
        <f ca="1">FLUID!AA61</f>
        <v>0</v>
      </c>
      <c r="X18" s="14">
        <f ca="1">FLUID!AB61</f>
        <v>0</v>
      </c>
      <c r="Y18" s="14">
        <f ca="1">FLUID!AC61</f>
        <v>0</v>
      </c>
      <c r="Z18" s="14">
        <f ca="1">FLUID!AD61</f>
        <v>0</v>
      </c>
      <c r="AA18" s="14">
        <f ca="1">FLUID!AE61</f>
        <v>0</v>
      </c>
      <c r="AB18" s="14">
        <f ca="1">FLUID!AF61</f>
        <v>0</v>
      </c>
      <c r="AC18" s="14">
        <f ca="1">FLUID!AG61</f>
        <v>0</v>
      </c>
      <c r="AD18" s="14">
        <f ca="1">FLUID!AH61</f>
        <v>0</v>
      </c>
      <c r="AE18" s="14">
        <f ca="1">FLUID!AI61</f>
        <v>0</v>
      </c>
      <c r="AF18" s="14">
        <f ca="1">FLUID!AJ61</f>
        <v>0</v>
      </c>
      <c r="AG18" s="14">
        <f ca="1">FLUID!AK61</f>
        <v>0</v>
      </c>
      <c r="AH18" s="14">
        <f ca="1">FLUID!AL61</f>
        <v>0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</row>
    <row r="19" spans="1:94" ht="22.5" hidden="1" customHeight="1" outlineLevel="1" thickBot="1" x14ac:dyDescent="0.4">
      <c r="A19" s="36" t="str">
        <f>FLUID!E62</f>
        <v>H (Ge)</v>
      </c>
      <c r="B19" s="16">
        <f ca="1">FLUID!F62</f>
        <v>6.2590000000000003</v>
      </c>
      <c r="C19" s="16">
        <f ca="1">FLUID!G62</f>
        <v>2.9529999999999998</v>
      </c>
      <c r="D19" s="16">
        <f ca="1">FLUID!H62</f>
        <v>0.67290000000000005</v>
      </c>
      <c r="E19" s="16">
        <f ca="1">FLUID!I62</f>
        <v>-1.0149999999999999</v>
      </c>
      <c r="F19" s="14">
        <f ca="1">FLUID!J62</f>
        <v>-2.3050000000000002</v>
      </c>
      <c r="G19" s="14">
        <f ca="1">FLUID!K62</f>
        <v>-3.2450000000000001</v>
      </c>
      <c r="H19" s="14">
        <f ca="1">FLUID!L62</f>
        <v>-3.9470000000000001</v>
      </c>
      <c r="I19" s="14">
        <f ca="1">FLUID!M62</f>
        <v>-4.5590000000000002</v>
      </c>
      <c r="J19" s="14">
        <f ca="1">FLUID!N62</f>
        <v>-5.0259999999999998</v>
      </c>
      <c r="K19" s="14">
        <f ca="1">FLUID!O62</f>
        <v>-5.2619999999999996</v>
      </c>
      <c r="L19" s="14">
        <f ca="1">FLUID!P62</f>
        <v>-5.367</v>
      </c>
      <c r="M19" s="14">
        <f ca="1">FLUID!Q62</f>
        <v>0</v>
      </c>
      <c r="N19" s="14">
        <f ca="1">FLUID!R62</f>
        <v>0</v>
      </c>
      <c r="O19" s="14">
        <f ca="1">FLUID!S62</f>
        <v>0</v>
      </c>
      <c r="P19" s="14">
        <f ca="1">FLUID!T62</f>
        <v>0</v>
      </c>
      <c r="Q19" s="14">
        <f ca="1">FLUID!U62</f>
        <v>0</v>
      </c>
      <c r="R19" s="14">
        <f ca="1">FLUID!V62</f>
        <v>0</v>
      </c>
      <c r="S19" s="14">
        <f ca="1">FLUID!W62</f>
        <v>0</v>
      </c>
      <c r="T19" s="14">
        <f ca="1">FLUID!X62</f>
        <v>0</v>
      </c>
      <c r="U19" s="14">
        <f ca="1">FLUID!Y62</f>
        <v>0</v>
      </c>
      <c r="V19" s="14">
        <f ca="1">FLUID!Z62</f>
        <v>0</v>
      </c>
      <c r="W19" s="14">
        <f ca="1">FLUID!AA62</f>
        <v>0</v>
      </c>
      <c r="X19" s="14">
        <f ca="1">FLUID!AB62</f>
        <v>0</v>
      </c>
      <c r="Y19" s="14">
        <f ca="1">FLUID!AC62</f>
        <v>0</v>
      </c>
      <c r="Z19" s="14">
        <f ca="1">FLUID!AD62</f>
        <v>0</v>
      </c>
      <c r="AA19" s="14">
        <f ca="1">FLUID!AE62</f>
        <v>0</v>
      </c>
      <c r="AB19" s="14">
        <f ca="1">FLUID!AF62</f>
        <v>0</v>
      </c>
      <c r="AC19" s="14">
        <f ca="1">FLUID!AG62</f>
        <v>0</v>
      </c>
      <c r="AD19" s="14">
        <f ca="1">FLUID!AH62</f>
        <v>0</v>
      </c>
      <c r="AE19" s="14">
        <f ca="1">FLUID!AI62</f>
        <v>0</v>
      </c>
      <c r="AF19" s="14">
        <f ca="1">FLUID!AJ62</f>
        <v>0</v>
      </c>
      <c r="AG19" s="14">
        <f ca="1">FLUID!AK62</f>
        <v>0</v>
      </c>
      <c r="AH19" s="14">
        <f ca="1">FLUID!AL62</f>
        <v>0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</row>
    <row r="20" spans="1:94" ht="22.5" hidden="1" customHeight="1" outlineLevel="1" thickBot="1" x14ac:dyDescent="0.4">
      <c r="A20" s="36" t="str">
        <f>FLUID!E63</f>
        <v>H (Se)</v>
      </c>
      <c r="B20" s="16">
        <f ca="1">FLUID!F63</f>
        <v>-4.7</v>
      </c>
      <c r="C20" s="16">
        <f ca="1">FLUID!G63</f>
        <v>-5.09</v>
      </c>
      <c r="D20" s="16">
        <f ca="1">FLUID!H63</f>
        <v>-5.5179999999999998</v>
      </c>
      <c r="E20" s="16">
        <f ca="1">FLUID!I63</f>
        <v>-5.9349999999999996</v>
      </c>
      <c r="F20" s="14">
        <f ca="1">FLUID!J63</f>
        <v>-6.3140000000000001</v>
      </c>
      <c r="G20" s="14">
        <f ca="1">FLUID!K63</f>
        <v>-6.6210000000000004</v>
      </c>
      <c r="H20" s="14">
        <f ca="1">FLUID!L63</f>
        <v>-6.8689999999999998</v>
      </c>
      <c r="I20" s="14">
        <f ca="1">FLUID!M63</f>
        <v>-7.1319999999999997</v>
      </c>
      <c r="J20" s="14">
        <f ca="1">FLUID!N63</f>
        <v>-7.4260000000000002</v>
      </c>
      <c r="K20" s="14">
        <f ca="1">FLUID!O63</f>
        <v>-7.7830000000000004</v>
      </c>
      <c r="L20" s="14">
        <f ca="1">FLUID!P63</f>
        <v>-8.2449999999999992</v>
      </c>
      <c r="M20" s="14">
        <f ca="1">FLUID!Q63</f>
        <v>0</v>
      </c>
      <c r="N20" s="14">
        <f ca="1">FLUID!R63</f>
        <v>0</v>
      </c>
      <c r="O20" s="14">
        <f ca="1">FLUID!S63</f>
        <v>0</v>
      </c>
      <c r="P20" s="14">
        <f ca="1">FLUID!T63</f>
        <v>0</v>
      </c>
      <c r="Q20" s="14">
        <f ca="1">FLUID!U63</f>
        <v>0</v>
      </c>
      <c r="R20" s="14">
        <f ca="1">FLUID!V63</f>
        <v>0</v>
      </c>
      <c r="S20" s="14">
        <f ca="1">FLUID!W63</f>
        <v>0</v>
      </c>
      <c r="T20" s="14">
        <f ca="1">FLUID!X63</f>
        <v>0</v>
      </c>
      <c r="U20" s="14">
        <f ca="1">FLUID!Y63</f>
        <v>0</v>
      </c>
      <c r="V20" s="14">
        <f ca="1">FLUID!Z63</f>
        <v>0</v>
      </c>
      <c r="W20" s="14">
        <f ca="1">FLUID!AA63</f>
        <v>0</v>
      </c>
      <c r="X20" s="14">
        <f ca="1">FLUID!AB63</f>
        <v>0</v>
      </c>
      <c r="Y20" s="14">
        <f ca="1">FLUID!AC63</f>
        <v>0</v>
      </c>
      <c r="Z20" s="14">
        <f ca="1">FLUID!AD63</f>
        <v>0</v>
      </c>
      <c r="AA20" s="14">
        <f ca="1">FLUID!AE63</f>
        <v>0</v>
      </c>
      <c r="AB20" s="14">
        <f ca="1">FLUID!AF63</f>
        <v>0</v>
      </c>
      <c r="AC20" s="14">
        <f ca="1">FLUID!AG63</f>
        <v>0</v>
      </c>
      <c r="AD20" s="14">
        <f ca="1">FLUID!AH63</f>
        <v>0</v>
      </c>
      <c r="AE20" s="14">
        <f ca="1">FLUID!AI63</f>
        <v>0</v>
      </c>
      <c r="AF20" s="14">
        <f ca="1">FLUID!AJ63</f>
        <v>0</v>
      </c>
      <c r="AG20" s="14">
        <f ca="1">FLUID!AK63</f>
        <v>0</v>
      </c>
      <c r="AH20" s="14">
        <f ca="1">FLUID!AL63</f>
        <v>0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</row>
    <row r="21" spans="1:94" ht="22.5" hidden="1" customHeight="1" outlineLevel="1" thickBot="1" x14ac:dyDescent="0.4">
      <c r="A21" s="36">
        <f>FLUID!E64</f>
        <v>0</v>
      </c>
      <c r="B21" s="16">
        <f ca="1">FLUID!F64</f>
        <v>0</v>
      </c>
      <c r="C21" s="16">
        <f ca="1">FLUID!G64</f>
        <v>0</v>
      </c>
      <c r="D21" s="16">
        <f ca="1">FLUID!H64</f>
        <v>0</v>
      </c>
      <c r="E21" s="16">
        <f ca="1">FLUID!I64</f>
        <v>0</v>
      </c>
      <c r="F21" s="14">
        <f ca="1">FLUID!J64</f>
        <v>0</v>
      </c>
      <c r="G21" s="14">
        <f ca="1">FLUID!K64</f>
        <v>0</v>
      </c>
      <c r="H21" s="14">
        <f ca="1">FLUID!L64</f>
        <v>0</v>
      </c>
      <c r="I21" s="14">
        <f ca="1">FLUID!M64</f>
        <v>0</v>
      </c>
      <c r="J21" s="14">
        <f ca="1">FLUID!N64</f>
        <v>0</v>
      </c>
      <c r="K21" s="14">
        <f ca="1">FLUID!O64</f>
        <v>0</v>
      </c>
      <c r="L21" s="14">
        <f ca="1">FLUID!P64</f>
        <v>0</v>
      </c>
      <c r="M21" s="14">
        <f ca="1">FLUID!Q64</f>
        <v>0</v>
      </c>
      <c r="N21" s="14">
        <f ca="1">FLUID!R64</f>
        <v>0</v>
      </c>
      <c r="O21" s="14">
        <f ca="1">FLUID!S64</f>
        <v>0</v>
      </c>
      <c r="P21" s="14">
        <f ca="1">FLUID!T64</f>
        <v>0</v>
      </c>
      <c r="Q21" s="14">
        <f ca="1">FLUID!U64</f>
        <v>0</v>
      </c>
      <c r="R21" s="14">
        <f ca="1">FLUID!V64</f>
        <v>0</v>
      </c>
      <c r="S21" s="14">
        <f ca="1">FLUID!W64</f>
        <v>0</v>
      </c>
      <c r="T21" s="14">
        <f ca="1">FLUID!X64</f>
        <v>0</v>
      </c>
      <c r="U21" s="14">
        <f ca="1">FLUID!Y64</f>
        <v>0</v>
      </c>
      <c r="V21" s="14">
        <f ca="1">FLUID!Z64</f>
        <v>0</v>
      </c>
      <c r="W21" s="14">
        <f ca="1">FLUID!AA64</f>
        <v>0</v>
      </c>
      <c r="X21" s="14">
        <f ca="1">FLUID!AB64</f>
        <v>0</v>
      </c>
      <c r="Y21" s="14">
        <f ca="1">FLUID!AC64</f>
        <v>0</v>
      </c>
      <c r="Z21" s="14">
        <f ca="1">FLUID!AD64</f>
        <v>0</v>
      </c>
      <c r="AA21" s="14">
        <f ca="1">FLUID!AE64</f>
        <v>0</v>
      </c>
      <c r="AB21" s="14">
        <f ca="1">FLUID!AF64</f>
        <v>0</v>
      </c>
      <c r="AC21" s="14">
        <f ca="1">FLUID!AG64</f>
        <v>0</v>
      </c>
      <c r="AD21" s="14">
        <f ca="1">FLUID!AH64</f>
        <v>0</v>
      </c>
      <c r="AE21" s="14">
        <f ca="1">FLUID!AI64</f>
        <v>0</v>
      </c>
      <c r="AF21" s="14">
        <f ca="1">FLUID!AJ64</f>
        <v>0</v>
      </c>
      <c r="AG21" s="14">
        <f ca="1">FLUID!AK64</f>
        <v>0</v>
      </c>
      <c r="AH21" s="14">
        <f ca="1">FLUID!AL64</f>
        <v>0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</row>
    <row r="22" spans="1:94" ht="22.5" hidden="1" customHeight="1" outlineLevel="1" thickBot="1" x14ac:dyDescent="0.4">
      <c r="A22" s="36">
        <f>FLUID!E65</f>
        <v>0</v>
      </c>
      <c r="B22" s="16">
        <f ca="1">FLUID!F65</f>
        <v>0</v>
      </c>
      <c r="C22" s="16">
        <f ca="1">FLUID!G65</f>
        <v>0</v>
      </c>
      <c r="D22" s="16">
        <f ca="1">FLUID!H65</f>
        <v>0</v>
      </c>
      <c r="E22" s="16">
        <f ca="1">FLUID!I65</f>
        <v>0</v>
      </c>
      <c r="F22" s="14">
        <f ca="1">FLUID!J65</f>
        <v>0</v>
      </c>
      <c r="G22" s="14">
        <f ca="1">FLUID!K65</f>
        <v>0</v>
      </c>
      <c r="H22" s="14">
        <f ca="1">FLUID!L65</f>
        <v>0</v>
      </c>
      <c r="I22" s="14">
        <f ca="1">FLUID!M65</f>
        <v>0</v>
      </c>
      <c r="J22" s="14">
        <f ca="1">FLUID!N65</f>
        <v>0</v>
      </c>
      <c r="K22" s="14">
        <f ca="1">FLUID!O65</f>
        <v>0</v>
      </c>
      <c r="L22" s="14">
        <f ca="1">FLUID!P65</f>
        <v>0</v>
      </c>
      <c r="M22" s="14">
        <f ca="1">FLUID!Q65</f>
        <v>0</v>
      </c>
      <c r="N22" s="14">
        <f ca="1">FLUID!R65</f>
        <v>0</v>
      </c>
      <c r="O22" s="14">
        <f ca="1">FLUID!S65</f>
        <v>0</v>
      </c>
      <c r="P22" s="14">
        <f ca="1">FLUID!T65</f>
        <v>0</v>
      </c>
      <c r="Q22" s="14">
        <f ca="1">FLUID!U65</f>
        <v>0</v>
      </c>
      <c r="R22" s="14">
        <f ca="1">FLUID!V65</f>
        <v>0</v>
      </c>
      <c r="S22" s="14">
        <f ca="1">FLUID!W65</f>
        <v>0</v>
      </c>
      <c r="T22" s="14">
        <f ca="1">FLUID!X65</f>
        <v>0</v>
      </c>
      <c r="U22" s="14">
        <f ca="1">FLUID!Y65</f>
        <v>0</v>
      </c>
      <c r="V22" s="14">
        <f ca="1">FLUID!Z65</f>
        <v>0</v>
      </c>
      <c r="W22" s="14">
        <f ca="1">FLUID!AA65</f>
        <v>0</v>
      </c>
      <c r="X22" s="14">
        <f ca="1">FLUID!AB65</f>
        <v>0</v>
      </c>
      <c r="Y22" s="14">
        <f ca="1">FLUID!AC65</f>
        <v>0</v>
      </c>
      <c r="Z22" s="14">
        <f ca="1">FLUID!AD65</f>
        <v>0</v>
      </c>
      <c r="AA22" s="14">
        <f ca="1">FLUID!AE65</f>
        <v>0</v>
      </c>
      <c r="AB22" s="14">
        <f ca="1">FLUID!AF65</f>
        <v>0</v>
      </c>
      <c r="AC22" s="14">
        <f ca="1">FLUID!AG65</f>
        <v>0</v>
      </c>
      <c r="AD22" s="14">
        <f ca="1">FLUID!AH65</f>
        <v>0</v>
      </c>
      <c r="AE22" s="14">
        <f ca="1">FLUID!AI65</f>
        <v>0</v>
      </c>
      <c r="AF22" s="14">
        <f ca="1">FLUID!AJ65</f>
        <v>0</v>
      </c>
      <c r="AG22" s="14">
        <f ca="1">FLUID!AK65</f>
        <v>0</v>
      </c>
      <c r="AH22" s="14">
        <f ca="1">FLUID!AL65</f>
        <v>0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</row>
    <row r="23" spans="1:94" ht="22.5" hidden="1" customHeight="1" outlineLevel="1" thickBot="1" x14ac:dyDescent="0.4">
      <c r="A23" s="36">
        <f>FLUID!E66</f>
        <v>0</v>
      </c>
      <c r="B23" s="16">
        <f ca="1">FLUID!F66</f>
        <v>0</v>
      </c>
      <c r="C23" s="16">
        <f ca="1">FLUID!G66</f>
        <v>0</v>
      </c>
      <c r="D23" s="16">
        <f ca="1">FLUID!H66</f>
        <v>0</v>
      </c>
      <c r="E23" s="16">
        <f ca="1">FLUID!I66</f>
        <v>0</v>
      </c>
      <c r="F23" s="14">
        <f ca="1">FLUID!J66</f>
        <v>0</v>
      </c>
      <c r="G23" s="14">
        <f ca="1">FLUID!K66</f>
        <v>0</v>
      </c>
      <c r="H23" s="14">
        <f ca="1">FLUID!L66</f>
        <v>0</v>
      </c>
      <c r="I23" s="14">
        <f ca="1">FLUID!M66</f>
        <v>0</v>
      </c>
      <c r="J23" s="14">
        <f ca="1">FLUID!N66</f>
        <v>0</v>
      </c>
      <c r="K23" s="14">
        <f ca="1">FLUID!O66</f>
        <v>0</v>
      </c>
      <c r="L23" s="14">
        <f ca="1">FLUID!P66</f>
        <v>0</v>
      </c>
      <c r="M23" s="14">
        <f ca="1">FLUID!Q66</f>
        <v>0</v>
      </c>
      <c r="N23" s="14">
        <f ca="1">FLUID!R66</f>
        <v>0</v>
      </c>
      <c r="O23" s="14">
        <f ca="1">FLUID!S66</f>
        <v>0</v>
      </c>
      <c r="P23" s="14">
        <f ca="1">FLUID!T66</f>
        <v>0</v>
      </c>
      <c r="Q23" s="14">
        <f ca="1">FLUID!U66</f>
        <v>0</v>
      </c>
      <c r="R23" s="14">
        <f ca="1">FLUID!V66</f>
        <v>0</v>
      </c>
      <c r="S23" s="14">
        <f ca="1">FLUID!W66</f>
        <v>0</v>
      </c>
      <c r="T23" s="14">
        <f ca="1">FLUID!X66</f>
        <v>0</v>
      </c>
      <c r="U23" s="14">
        <f ca="1">FLUID!Y66</f>
        <v>0</v>
      </c>
      <c r="V23" s="14">
        <f ca="1">FLUID!Z66</f>
        <v>0</v>
      </c>
      <c r="W23" s="14">
        <f ca="1">FLUID!AA66</f>
        <v>0</v>
      </c>
      <c r="X23" s="14">
        <f ca="1">FLUID!AB66</f>
        <v>0</v>
      </c>
      <c r="Y23" s="14">
        <f ca="1">FLUID!AC66</f>
        <v>0</v>
      </c>
      <c r="Z23" s="14">
        <f ca="1">FLUID!AD66</f>
        <v>0</v>
      </c>
      <c r="AA23" s="14">
        <f ca="1">FLUID!AE66</f>
        <v>0</v>
      </c>
      <c r="AB23" s="14">
        <f ca="1">FLUID!AF66</f>
        <v>0</v>
      </c>
      <c r="AC23" s="14">
        <f ca="1">FLUID!AG66</f>
        <v>0</v>
      </c>
      <c r="AD23" s="14">
        <f ca="1">FLUID!AH66</f>
        <v>0</v>
      </c>
      <c r="AE23" s="14">
        <f ca="1">FLUID!AI66</f>
        <v>0</v>
      </c>
      <c r="AF23" s="14">
        <f ca="1">FLUID!AJ66</f>
        <v>0</v>
      </c>
      <c r="AG23" s="14">
        <f ca="1">FLUID!AK66</f>
        <v>0</v>
      </c>
      <c r="AH23" s="14">
        <f ca="1">FLUID!AL66</f>
        <v>0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</row>
    <row r="24" spans="1:94" ht="22.5" hidden="1" customHeight="1" outlineLevel="1" thickBot="1" x14ac:dyDescent="0.4">
      <c r="A24" s="36">
        <f>FLUID!E67</f>
        <v>0</v>
      </c>
      <c r="B24" s="16">
        <f ca="1">FLUID!F67</f>
        <v>0</v>
      </c>
      <c r="C24" s="16">
        <f ca="1">FLUID!G67</f>
        <v>0</v>
      </c>
      <c r="D24" s="16">
        <f ca="1">FLUID!H67</f>
        <v>0</v>
      </c>
      <c r="E24" s="16">
        <f ca="1">FLUID!I67</f>
        <v>0</v>
      </c>
      <c r="F24" s="14">
        <f ca="1">FLUID!J67</f>
        <v>0</v>
      </c>
      <c r="G24" s="14">
        <f ca="1">FLUID!K67</f>
        <v>0</v>
      </c>
      <c r="H24" s="14">
        <f ca="1">FLUID!L67</f>
        <v>0</v>
      </c>
      <c r="I24" s="14">
        <f ca="1">FLUID!M67</f>
        <v>0</v>
      </c>
      <c r="J24" s="14">
        <f ca="1">FLUID!N67</f>
        <v>0</v>
      </c>
      <c r="K24" s="14">
        <f ca="1">FLUID!O67</f>
        <v>0</v>
      </c>
      <c r="L24" s="14">
        <f ca="1">FLUID!P67</f>
        <v>0</v>
      </c>
      <c r="M24" s="14">
        <f ca="1">FLUID!Q67</f>
        <v>0</v>
      </c>
      <c r="N24" s="14">
        <f ca="1">FLUID!R67</f>
        <v>0</v>
      </c>
      <c r="O24" s="14">
        <f ca="1">FLUID!S67</f>
        <v>0</v>
      </c>
      <c r="P24" s="14">
        <f ca="1">FLUID!T67</f>
        <v>0</v>
      </c>
      <c r="Q24" s="14">
        <f ca="1">FLUID!U67</f>
        <v>0</v>
      </c>
      <c r="R24" s="14">
        <f ca="1">FLUID!V67</f>
        <v>0</v>
      </c>
      <c r="S24" s="14">
        <f ca="1">FLUID!W67</f>
        <v>0</v>
      </c>
      <c r="T24" s="14">
        <f ca="1">FLUID!X67</f>
        <v>0</v>
      </c>
      <c r="U24" s="14">
        <f ca="1">FLUID!Y67</f>
        <v>0</v>
      </c>
      <c r="V24" s="14">
        <f ca="1">FLUID!Z67</f>
        <v>0</v>
      </c>
      <c r="W24" s="14">
        <f ca="1">FLUID!AA67</f>
        <v>0</v>
      </c>
      <c r="X24" s="14">
        <f ca="1">FLUID!AB67</f>
        <v>0</v>
      </c>
      <c r="Y24" s="14">
        <f ca="1">FLUID!AC67</f>
        <v>0</v>
      </c>
      <c r="Z24" s="14">
        <f ca="1">FLUID!AD67</f>
        <v>0</v>
      </c>
      <c r="AA24" s="14">
        <f ca="1">FLUID!AE67</f>
        <v>0</v>
      </c>
      <c r="AB24" s="14">
        <f ca="1">FLUID!AF67</f>
        <v>0</v>
      </c>
      <c r="AC24" s="14">
        <f ca="1">FLUID!AG67</f>
        <v>0</v>
      </c>
      <c r="AD24" s="14">
        <f ca="1">FLUID!AH67</f>
        <v>0</v>
      </c>
      <c r="AE24" s="14">
        <f ca="1">FLUID!AI67</f>
        <v>0</v>
      </c>
      <c r="AF24" s="14">
        <f ca="1">FLUID!AJ67</f>
        <v>0</v>
      </c>
      <c r="AG24" s="14">
        <f ca="1">FLUID!AK67</f>
        <v>0</v>
      </c>
      <c r="AH24" s="14">
        <f ca="1">FLUID!AL67</f>
        <v>0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</row>
    <row r="25" spans="1:94" ht="22.5" hidden="1" customHeight="1" outlineLevel="1" thickBot="1" x14ac:dyDescent="0.4">
      <c r="A25" s="36">
        <f>FLUID!E68</f>
        <v>0</v>
      </c>
      <c r="B25" s="16">
        <f ca="1">FLUID!F68</f>
        <v>0</v>
      </c>
      <c r="C25" s="16">
        <f ca="1">FLUID!G68</f>
        <v>0</v>
      </c>
      <c r="D25" s="16">
        <f ca="1">FLUID!H68</f>
        <v>0</v>
      </c>
      <c r="E25" s="16">
        <f ca="1">FLUID!I68</f>
        <v>0</v>
      </c>
      <c r="F25" s="14">
        <f ca="1">FLUID!J68</f>
        <v>0</v>
      </c>
      <c r="G25" s="14">
        <f ca="1">FLUID!K68</f>
        <v>0</v>
      </c>
      <c r="H25" s="14">
        <f ca="1">FLUID!L68</f>
        <v>0</v>
      </c>
      <c r="I25" s="14">
        <f ca="1">FLUID!M68</f>
        <v>0</v>
      </c>
      <c r="J25" s="14">
        <f ca="1">FLUID!N68</f>
        <v>0</v>
      </c>
      <c r="K25" s="14">
        <f ca="1">FLUID!O68</f>
        <v>0</v>
      </c>
      <c r="L25" s="14">
        <f ca="1">FLUID!P68</f>
        <v>0</v>
      </c>
      <c r="M25" s="14">
        <f ca="1">FLUID!Q68</f>
        <v>0</v>
      </c>
      <c r="N25" s="14">
        <f ca="1">FLUID!R68</f>
        <v>0</v>
      </c>
      <c r="O25" s="14">
        <f ca="1">FLUID!S68</f>
        <v>0</v>
      </c>
      <c r="P25" s="14">
        <f ca="1">FLUID!T68</f>
        <v>0</v>
      </c>
      <c r="Q25" s="14">
        <f ca="1">FLUID!U68</f>
        <v>0</v>
      </c>
      <c r="R25" s="14">
        <f ca="1">FLUID!V68</f>
        <v>0</v>
      </c>
      <c r="S25" s="14">
        <f ca="1">FLUID!W68</f>
        <v>0</v>
      </c>
      <c r="T25" s="14">
        <f ca="1">FLUID!X68</f>
        <v>0</v>
      </c>
      <c r="U25" s="14">
        <f ca="1">FLUID!Y68</f>
        <v>0</v>
      </c>
      <c r="V25" s="14">
        <f ca="1">FLUID!Z68</f>
        <v>0</v>
      </c>
      <c r="W25" s="14">
        <f ca="1">FLUID!AA68</f>
        <v>0</v>
      </c>
      <c r="X25" s="14">
        <f ca="1">FLUID!AB68</f>
        <v>0</v>
      </c>
      <c r="Y25" s="14">
        <f ca="1">FLUID!AC68</f>
        <v>0</v>
      </c>
      <c r="Z25" s="14">
        <f ca="1">FLUID!AD68</f>
        <v>0</v>
      </c>
      <c r="AA25" s="14">
        <f ca="1">FLUID!AE68</f>
        <v>0</v>
      </c>
      <c r="AB25" s="14">
        <f ca="1">FLUID!AF68</f>
        <v>0</v>
      </c>
      <c r="AC25" s="14">
        <f ca="1">FLUID!AG68</f>
        <v>0</v>
      </c>
      <c r="AD25" s="14">
        <f ca="1">FLUID!AH68</f>
        <v>0</v>
      </c>
      <c r="AE25" s="14">
        <f ca="1">FLUID!AI68</f>
        <v>0</v>
      </c>
      <c r="AF25" s="14">
        <f ca="1">FLUID!AJ68</f>
        <v>0</v>
      </c>
      <c r="AG25" s="14">
        <f ca="1">FLUID!AK68</f>
        <v>0</v>
      </c>
      <c r="AH25" s="14">
        <f ca="1">FLUID!AL68</f>
        <v>0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</row>
    <row r="26" spans="1:94" ht="22.5" hidden="1" customHeight="1" outlineLevel="1" thickBot="1" x14ac:dyDescent="0.4">
      <c r="A26" s="36">
        <f>FLUID!E69</f>
        <v>0</v>
      </c>
      <c r="B26" s="16">
        <f ca="1">FLUID!F69</f>
        <v>0</v>
      </c>
      <c r="C26" s="16">
        <f ca="1">FLUID!G69</f>
        <v>0</v>
      </c>
      <c r="D26" s="16">
        <f ca="1">FLUID!H69</f>
        <v>0</v>
      </c>
      <c r="E26" s="16">
        <f ca="1">FLUID!I69</f>
        <v>0</v>
      </c>
      <c r="F26" s="14">
        <f ca="1">FLUID!J69</f>
        <v>0</v>
      </c>
      <c r="G26" s="14">
        <f ca="1">FLUID!K69</f>
        <v>0</v>
      </c>
      <c r="H26" s="14">
        <f ca="1">FLUID!L69</f>
        <v>0</v>
      </c>
      <c r="I26" s="14">
        <f ca="1">FLUID!M69</f>
        <v>0</v>
      </c>
      <c r="J26" s="14">
        <f ca="1">FLUID!N69</f>
        <v>0</v>
      </c>
      <c r="K26" s="14">
        <f ca="1">FLUID!O69</f>
        <v>0</v>
      </c>
      <c r="L26" s="14">
        <f ca="1">FLUID!P69</f>
        <v>0</v>
      </c>
      <c r="M26" s="14">
        <f ca="1">FLUID!Q69</f>
        <v>0</v>
      </c>
      <c r="N26" s="14">
        <f ca="1">FLUID!R69</f>
        <v>0</v>
      </c>
      <c r="O26" s="14">
        <f ca="1">FLUID!S69</f>
        <v>0</v>
      </c>
      <c r="P26" s="14">
        <f ca="1">FLUID!T69</f>
        <v>0</v>
      </c>
      <c r="Q26" s="14">
        <f ca="1">FLUID!U69</f>
        <v>0</v>
      </c>
      <c r="R26" s="14">
        <f ca="1">FLUID!V69</f>
        <v>0</v>
      </c>
      <c r="S26" s="14">
        <f ca="1">FLUID!W69</f>
        <v>0</v>
      </c>
      <c r="T26" s="14">
        <f ca="1">FLUID!X69</f>
        <v>0</v>
      </c>
      <c r="U26" s="14">
        <f ca="1">FLUID!Y69</f>
        <v>0</v>
      </c>
      <c r="V26" s="14">
        <f ca="1">FLUID!Z69</f>
        <v>0</v>
      </c>
      <c r="W26" s="14">
        <f ca="1">FLUID!AA69</f>
        <v>0</v>
      </c>
      <c r="X26" s="14">
        <f ca="1">FLUID!AB69</f>
        <v>0</v>
      </c>
      <c r="Y26" s="14">
        <f ca="1">FLUID!AC69</f>
        <v>0</v>
      </c>
      <c r="Z26" s="14">
        <f ca="1">FLUID!AD69</f>
        <v>0</v>
      </c>
      <c r="AA26" s="14">
        <f ca="1">FLUID!AE69</f>
        <v>0</v>
      </c>
      <c r="AB26" s="14">
        <f ca="1">FLUID!AF69</f>
        <v>0</v>
      </c>
      <c r="AC26" s="14">
        <f ca="1">FLUID!AG69</f>
        <v>0</v>
      </c>
      <c r="AD26" s="14">
        <f ca="1">FLUID!AH69</f>
        <v>0</v>
      </c>
      <c r="AE26" s="14">
        <f ca="1">FLUID!AI69</f>
        <v>0</v>
      </c>
      <c r="AF26" s="14">
        <f ca="1">FLUID!AJ69</f>
        <v>0</v>
      </c>
      <c r="AG26" s="14">
        <f ca="1">FLUID!AK69</f>
        <v>0</v>
      </c>
      <c r="AH26" s="14">
        <f ca="1">FLUID!AL69</f>
        <v>0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</row>
    <row r="27" spans="1:94" ht="22.5" hidden="1" customHeight="1" outlineLevel="1" thickBot="1" x14ac:dyDescent="0.4">
      <c r="A27" s="36">
        <f>FLUID!E70</f>
        <v>0</v>
      </c>
      <c r="B27" s="16">
        <f ca="1">FLUID!F70</f>
        <v>0</v>
      </c>
      <c r="C27" s="16">
        <f ca="1">FLUID!G70</f>
        <v>0</v>
      </c>
      <c r="D27" s="16">
        <f ca="1">FLUID!H70</f>
        <v>0</v>
      </c>
      <c r="E27" s="16">
        <f ca="1">FLUID!I70</f>
        <v>0</v>
      </c>
      <c r="F27" s="14">
        <f ca="1">FLUID!J70</f>
        <v>0</v>
      </c>
      <c r="G27" s="14">
        <f ca="1">FLUID!K70</f>
        <v>0</v>
      </c>
      <c r="H27" s="14">
        <f ca="1">FLUID!L70</f>
        <v>0</v>
      </c>
      <c r="I27" s="14">
        <f ca="1">FLUID!M70</f>
        <v>0</v>
      </c>
      <c r="J27" s="14">
        <f ca="1">FLUID!N70</f>
        <v>0</v>
      </c>
      <c r="K27" s="14">
        <f ca="1">FLUID!O70</f>
        <v>0</v>
      </c>
      <c r="L27" s="14">
        <f ca="1">FLUID!P70</f>
        <v>0</v>
      </c>
      <c r="M27" s="14">
        <f ca="1">FLUID!Q70</f>
        <v>0</v>
      </c>
      <c r="N27" s="14">
        <f ca="1">FLUID!R70</f>
        <v>0</v>
      </c>
      <c r="O27" s="14">
        <f ca="1">FLUID!S70</f>
        <v>0</v>
      </c>
      <c r="P27" s="14">
        <f ca="1">FLUID!T70</f>
        <v>0</v>
      </c>
      <c r="Q27" s="14">
        <f ca="1">FLUID!U70</f>
        <v>0</v>
      </c>
      <c r="R27" s="14">
        <f ca="1">FLUID!V70</f>
        <v>0</v>
      </c>
      <c r="S27" s="14">
        <f ca="1">FLUID!W70</f>
        <v>0</v>
      </c>
      <c r="T27" s="14">
        <f ca="1">FLUID!X70</f>
        <v>0</v>
      </c>
      <c r="U27" s="14">
        <f ca="1">FLUID!Y70</f>
        <v>0</v>
      </c>
      <c r="V27" s="14">
        <f ca="1">FLUID!Z70</f>
        <v>0</v>
      </c>
      <c r="W27" s="14">
        <f ca="1">FLUID!AA70</f>
        <v>0</v>
      </c>
      <c r="X27" s="14">
        <f ca="1">FLUID!AB70</f>
        <v>0</v>
      </c>
      <c r="Y27" s="14">
        <f ca="1">FLUID!AC70</f>
        <v>0</v>
      </c>
      <c r="Z27" s="14">
        <f ca="1">FLUID!AD70</f>
        <v>0</v>
      </c>
      <c r="AA27" s="14">
        <f ca="1">FLUID!AE70</f>
        <v>0</v>
      </c>
      <c r="AB27" s="14">
        <f ca="1">FLUID!AF70</f>
        <v>0</v>
      </c>
      <c r="AC27" s="14">
        <f ca="1">FLUID!AG70</f>
        <v>0</v>
      </c>
      <c r="AD27" s="14">
        <f ca="1">FLUID!AH70</f>
        <v>0</v>
      </c>
      <c r="AE27" s="14">
        <f ca="1">FLUID!AI70</f>
        <v>0</v>
      </c>
      <c r="AF27" s="14">
        <f ca="1">FLUID!AJ70</f>
        <v>0</v>
      </c>
      <c r="AG27" s="14">
        <f ca="1">FLUID!AK70</f>
        <v>0</v>
      </c>
      <c r="AH27" s="14">
        <f ca="1">FLUID!AL70</f>
        <v>0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</row>
    <row r="28" spans="1:94" ht="22.5" hidden="1" customHeight="1" outlineLevel="1" thickBot="1" x14ac:dyDescent="0.4">
      <c r="A28" s="36">
        <f>FLUID!E71</f>
        <v>0</v>
      </c>
      <c r="B28" s="16">
        <f ca="1">FLUID!F71</f>
        <v>0</v>
      </c>
      <c r="C28" s="16">
        <f ca="1">FLUID!G71</f>
        <v>0</v>
      </c>
      <c r="D28" s="16">
        <f ca="1">FLUID!H71</f>
        <v>0</v>
      </c>
      <c r="E28" s="16">
        <f ca="1">FLUID!I71</f>
        <v>0</v>
      </c>
      <c r="F28" s="14">
        <f ca="1">FLUID!J71</f>
        <v>0</v>
      </c>
      <c r="G28" s="14">
        <f ca="1">FLUID!K71</f>
        <v>0</v>
      </c>
      <c r="H28" s="14">
        <f ca="1">FLUID!L71</f>
        <v>0</v>
      </c>
      <c r="I28" s="14">
        <f ca="1">FLUID!M71</f>
        <v>0</v>
      </c>
      <c r="J28" s="14">
        <f ca="1">FLUID!N71</f>
        <v>0</v>
      </c>
      <c r="K28" s="14">
        <f ca="1">FLUID!O71</f>
        <v>0</v>
      </c>
      <c r="L28" s="14">
        <f ca="1">FLUID!P71</f>
        <v>0</v>
      </c>
      <c r="M28" s="14">
        <f ca="1">FLUID!Q71</f>
        <v>0</v>
      </c>
      <c r="N28" s="14">
        <f ca="1">FLUID!R71</f>
        <v>0</v>
      </c>
      <c r="O28" s="14">
        <f ca="1">FLUID!S71</f>
        <v>0</v>
      </c>
      <c r="P28" s="14">
        <f ca="1">FLUID!T71</f>
        <v>0</v>
      </c>
      <c r="Q28" s="14">
        <f ca="1">FLUID!U71</f>
        <v>0</v>
      </c>
      <c r="R28" s="14">
        <f ca="1">FLUID!V71</f>
        <v>0</v>
      </c>
      <c r="S28" s="14">
        <f ca="1">FLUID!W71</f>
        <v>0</v>
      </c>
      <c r="T28" s="14">
        <f ca="1">FLUID!X71</f>
        <v>0</v>
      </c>
      <c r="U28" s="14">
        <f ca="1">FLUID!Y71</f>
        <v>0</v>
      </c>
      <c r="V28" s="14">
        <f ca="1">FLUID!Z71</f>
        <v>0</v>
      </c>
      <c r="W28" s="14">
        <f ca="1">FLUID!AA71</f>
        <v>0</v>
      </c>
      <c r="X28" s="14">
        <f ca="1">FLUID!AB71</f>
        <v>0</v>
      </c>
      <c r="Y28" s="14">
        <f ca="1">FLUID!AC71</f>
        <v>0</v>
      </c>
      <c r="Z28" s="14">
        <f ca="1">FLUID!AD71</f>
        <v>0</v>
      </c>
      <c r="AA28" s="14">
        <f ca="1">FLUID!AE71</f>
        <v>0</v>
      </c>
      <c r="AB28" s="14">
        <f ca="1">FLUID!AF71</f>
        <v>0</v>
      </c>
      <c r="AC28" s="14">
        <f ca="1">FLUID!AG71</f>
        <v>0</v>
      </c>
      <c r="AD28" s="14">
        <f ca="1">FLUID!AH71</f>
        <v>0</v>
      </c>
      <c r="AE28" s="14">
        <f ca="1">FLUID!AI71</f>
        <v>0</v>
      </c>
      <c r="AF28" s="14">
        <f ca="1">FLUID!AJ71</f>
        <v>0</v>
      </c>
      <c r="AG28" s="14">
        <f ca="1">FLUID!AK71</f>
        <v>0</v>
      </c>
      <c r="AH28" s="14">
        <f ca="1">FLUID!AL71</f>
        <v>0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</row>
    <row r="29" spans="1:94" ht="22.5" hidden="1" customHeight="1" outlineLevel="1" thickBot="1" x14ac:dyDescent="0.4">
      <c r="A29" s="36">
        <f>FLUID!E72</f>
        <v>0</v>
      </c>
      <c r="B29" s="16">
        <f ca="1">FLUID!F72</f>
        <v>0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</row>
    <row r="30" spans="1:94" ht="22.5" hidden="1" customHeight="1" outlineLevel="1" thickBot="1" x14ac:dyDescent="0.4">
      <c r="A30" s="36">
        <f>FLUID!E73</f>
        <v>0</v>
      </c>
      <c r="B30" s="16">
        <f ca="1">FLUID!F73</f>
        <v>0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</row>
    <row r="31" spans="1:94" ht="22.5" hidden="1" customHeight="1" outlineLevel="1" thickBot="1" x14ac:dyDescent="0.4">
      <c r="A31" s="36">
        <f>FLUID!E74</f>
        <v>0</v>
      </c>
      <c r="B31" s="16">
        <f ca="1">FLUID!F74</f>
        <v>0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</row>
    <row r="32" spans="1:94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</row>
    <row r="33" spans="1:94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</row>
    <row r="34" spans="1:94" ht="22.5" thickTop="1" thickBot="1" x14ac:dyDescent="0.4">
      <c r="A34" s="4" t="s">
        <v>29</v>
      </c>
      <c r="B34" s="72">
        <f>SOLID!F45</f>
        <v>273.10000000000002</v>
      </c>
      <c r="C34" s="72">
        <f>SOLID!G45</f>
        <v>289.7</v>
      </c>
      <c r="D34" s="72">
        <f>SOLID!H45</f>
        <v>306.2</v>
      </c>
      <c r="E34" s="72">
        <f>SOLID!I45</f>
        <v>322.7</v>
      </c>
      <c r="F34" s="72">
        <f>SOLID!J45</f>
        <v>339.2</v>
      </c>
      <c r="G34" s="72">
        <f>SOLID!K45</f>
        <v>355.7</v>
      </c>
      <c r="H34" s="72">
        <f>SOLID!L45</f>
        <v>372.3</v>
      </c>
      <c r="I34" s="72">
        <f>SOLID!M45</f>
        <v>388.8</v>
      </c>
      <c r="J34" s="72">
        <f>SOLID!N45</f>
        <v>405.3</v>
      </c>
      <c r="K34" s="72">
        <f>SOLID!O45</f>
        <v>471.4</v>
      </c>
      <c r="L34" s="72">
        <f>SOLID!P45</f>
        <v>487.9</v>
      </c>
      <c r="M34" s="72">
        <f>SOLID!Q45</f>
        <v>520.9</v>
      </c>
      <c r="N34" s="72">
        <f>SOLID!R45</f>
        <v>537.5</v>
      </c>
      <c r="O34" s="72">
        <f>SOLID!S45</f>
        <v>603.5</v>
      </c>
      <c r="P34" s="72">
        <f>SOLID!T45</f>
        <v>669.6</v>
      </c>
      <c r="Q34" s="72">
        <f>SOLID!U45</f>
        <v>686.1</v>
      </c>
      <c r="R34" s="72">
        <f>SOLID!V45</f>
        <v>702.7</v>
      </c>
      <c r="S34" s="72">
        <f>SOLID!W45</f>
        <v>719.2</v>
      </c>
      <c r="T34" s="72">
        <f>SOLID!X45</f>
        <v>735.7</v>
      </c>
      <c r="U34" s="72">
        <f>SOLID!Y45</f>
        <v>752.2</v>
      </c>
      <c r="V34" s="72">
        <f>SOLID!Z45</f>
        <v>768.7</v>
      </c>
      <c r="W34" s="72">
        <f>SOLID!AA45</f>
        <v>785.2</v>
      </c>
      <c r="X34" s="72">
        <f>SOLID!AB45</f>
        <v>801.8</v>
      </c>
      <c r="Y34" s="72">
        <f>SOLID!AC45</f>
        <v>818.3</v>
      </c>
      <c r="Z34" s="72">
        <f>SOLID!AD45</f>
        <v>834.8</v>
      </c>
      <c r="AA34" s="72">
        <f>SOLID!AE45</f>
        <v>851.3</v>
      </c>
      <c r="AB34" s="72">
        <f>SOLID!AF45</f>
        <v>867.8</v>
      </c>
      <c r="AC34" s="72">
        <f>SOLID!AG45</f>
        <v>933.9</v>
      </c>
      <c r="AD34" s="72">
        <f>SOLID!AH45</f>
        <v>1000</v>
      </c>
      <c r="AE34" s="72">
        <f>SOLID!AI45</f>
        <v>0</v>
      </c>
      <c r="AF34" s="72">
        <f>SOLID!AJ45</f>
        <v>0</v>
      </c>
      <c r="AG34" s="72">
        <f>SOLID!AK45</f>
        <v>0</v>
      </c>
      <c r="AH34" s="72">
        <f>SOLID!AL45</f>
        <v>0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</row>
    <row r="35" spans="1:94" ht="22.5" hidden="1" outlineLevel="1" thickTop="1" thickBot="1" x14ac:dyDescent="0.4">
      <c r="A35" s="35" t="str">
        <f>SOLID!E46</f>
        <v>*Ge</v>
      </c>
      <c r="B35" s="16">
        <f ca="1">SOLID!F46</f>
        <v>-16.29</v>
      </c>
      <c r="C35" s="16">
        <f ca="1">SOLID!G46</f>
        <v>-15.65</v>
      </c>
      <c r="D35" s="16">
        <f ca="1">SOLID!H46</f>
        <v>-15.09</v>
      </c>
      <c r="E35" s="16">
        <f ca="1">SOLID!I46</f>
        <v>-14.59</v>
      </c>
      <c r="F35" s="14">
        <f ca="1">SOLID!J46</f>
        <v>-14.16</v>
      </c>
      <c r="G35" s="14">
        <f ca="1">SOLID!K46</f>
        <v>-13.03</v>
      </c>
      <c r="H35" s="14">
        <f ca="1">SOLID!L46</f>
        <v>-11.8</v>
      </c>
      <c r="I35" s="14">
        <f ca="1">SOLID!M46</f>
        <v>-10.67</v>
      </c>
      <c r="J35" s="14">
        <f ca="1">SOLID!N46</f>
        <v>-9.6150000000000002</v>
      </c>
      <c r="K35" s="14">
        <f ca="1">SOLID!O46</f>
        <v>-6.04</v>
      </c>
      <c r="L35" s="14">
        <f ca="1">SOLID!P46</f>
        <v>-5.2759999999999998</v>
      </c>
      <c r="M35" s="14">
        <f ca="1">SOLID!Q46</f>
        <v>-4.1150000000000002</v>
      </c>
      <c r="N35" s="14">
        <f ca="1">SOLID!R46</f>
        <v>-4.1550000000000002</v>
      </c>
      <c r="O35" s="14">
        <f ca="1">SOLID!S46</f>
        <v>-4.3170000000000002</v>
      </c>
      <c r="P35" s="14">
        <f ca="1">SOLID!T46</f>
        <v>-4.4809999999999999</v>
      </c>
      <c r="Q35" s="14">
        <f ca="1">SOLID!U46</f>
        <v>-4.5220000000000002</v>
      </c>
      <c r="R35" s="14">
        <f ca="1">SOLID!V46</f>
        <v>-4.5620000000000003</v>
      </c>
      <c r="S35" s="14">
        <f ca="1">SOLID!W46</f>
        <v>-4.6029999999999998</v>
      </c>
      <c r="T35" s="14">
        <f ca="1">SOLID!X46</f>
        <v>-4.6429999999999998</v>
      </c>
      <c r="U35" s="14">
        <f ca="1">SOLID!Y46</f>
        <v>-4.6829999999999998</v>
      </c>
      <c r="V35" s="14">
        <f ca="1">SOLID!Z46</f>
        <v>-4.7220000000000004</v>
      </c>
      <c r="W35" s="14">
        <f ca="1">SOLID!AA46</f>
        <v>-4.7619999999999996</v>
      </c>
      <c r="X35" s="14">
        <f ca="1">SOLID!AB46</f>
        <v>-4.8010000000000002</v>
      </c>
      <c r="Y35" s="14">
        <f ca="1">SOLID!AC46</f>
        <v>-4.84</v>
      </c>
      <c r="Z35" s="14">
        <f ca="1">SOLID!AD46</f>
        <v>-4.8780000000000001</v>
      </c>
      <c r="AA35" s="14">
        <f ca="1">SOLID!AE46</f>
        <v>-4.9169999999999998</v>
      </c>
      <c r="AB35" s="14">
        <f ca="1">SOLID!AF46</f>
        <v>-4.9550000000000001</v>
      </c>
      <c r="AC35" s="14">
        <f ca="1">SOLID!AG46</f>
        <v>-5.1040000000000001</v>
      </c>
      <c r="AD35" s="14">
        <f ca="1">SOLID!AH46</f>
        <v>-5.2489999999999997</v>
      </c>
      <c r="AE35" s="14">
        <f ca="1">SOLID!AI46</f>
        <v>0</v>
      </c>
      <c r="AF35" s="14">
        <f ca="1">SOLID!AJ46</f>
        <v>0</v>
      </c>
      <c r="AG35" s="14">
        <f ca="1">SOLID!AK46</f>
        <v>0</v>
      </c>
      <c r="AH35" s="14">
        <f ca="1">SOLID!AL46</f>
        <v>0</v>
      </c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</row>
    <row r="36" spans="1:94" ht="21.75" hidden="1" outlineLevel="1" thickBot="1" x14ac:dyDescent="0.4">
      <c r="A36" s="35" t="str">
        <f>SOLID!E47</f>
        <v>*GeSe</v>
      </c>
      <c r="B36" s="16">
        <f ca="1">SOLID!F47</f>
        <v>-39.81</v>
      </c>
      <c r="C36" s="16">
        <f ca="1">SOLID!G47</f>
        <v>-38.06</v>
      </c>
      <c r="D36" s="16">
        <f ca="1">SOLID!H47</f>
        <v>-36.510000000000005</v>
      </c>
      <c r="E36" s="16">
        <f ca="1">SOLID!I47</f>
        <v>-35.129999999999995</v>
      </c>
      <c r="F36" s="14">
        <f ca="1">SOLID!J47</f>
        <v>-33.92</v>
      </c>
      <c r="G36" s="14">
        <f ca="1">SOLID!K47</f>
        <v>-32.82</v>
      </c>
      <c r="H36" s="14">
        <f ca="1">SOLID!L47</f>
        <v>-31.830000000000002</v>
      </c>
      <c r="I36" s="14">
        <f ca="1">SOLID!M47</f>
        <v>-30.950000000000003</v>
      </c>
      <c r="J36" s="14">
        <f ca="1">SOLID!N47</f>
        <v>-30.134999999999998</v>
      </c>
      <c r="K36" s="14">
        <f ca="1">SOLID!O47</f>
        <v>-27.56</v>
      </c>
      <c r="L36" s="14">
        <f ca="1">SOLID!P47</f>
        <v>-27.045999999999999</v>
      </c>
      <c r="M36" s="14">
        <f ca="1">SOLID!Q47</f>
        <v>-26.384999999999998</v>
      </c>
      <c r="N36" s="14">
        <f ca="1">SOLID!R47</f>
        <v>-26.665000000000003</v>
      </c>
      <c r="O36" s="14">
        <f ca="1">SOLID!S47</f>
        <v>-27.797000000000001</v>
      </c>
      <c r="P36" s="14">
        <f ca="1">SOLID!T47</f>
        <v>-28.890999999999998</v>
      </c>
      <c r="Q36" s="14">
        <f ca="1">SOLID!U47</f>
        <v>-29.161999999999999</v>
      </c>
      <c r="R36" s="14">
        <f ca="1">SOLID!V47</f>
        <v>-29.422000000000001</v>
      </c>
      <c r="S36" s="14">
        <f ca="1">SOLID!W47</f>
        <v>-29.692999999999998</v>
      </c>
      <c r="T36" s="14">
        <f ca="1">SOLID!X47</f>
        <v>-29.952999999999999</v>
      </c>
      <c r="U36" s="14">
        <f ca="1">SOLID!Y47</f>
        <v>-30.213000000000001</v>
      </c>
      <c r="V36" s="14">
        <f ca="1">SOLID!Z47</f>
        <v>-30.472000000000001</v>
      </c>
      <c r="W36" s="14">
        <f ca="1">SOLID!AA47</f>
        <v>-30.722000000000001</v>
      </c>
      <c r="X36" s="14">
        <f ca="1">SOLID!AB47</f>
        <v>-30.981000000000002</v>
      </c>
      <c r="Y36" s="14">
        <f ca="1">SOLID!AC47</f>
        <v>-31.23</v>
      </c>
      <c r="Z36" s="14">
        <f ca="1">SOLID!AD47</f>
        <v>-31.478000000000002</v>
      </c>
      <c r="AA36" s="14">
        <f ca="1">SOLID!AE47</f>
        <v>-31.726999999999997</v>
      </c>
      <c r="AB36" s="14">
        <f ca="1">SOLID!AF47</f>
        <v>-31.975000000000001</v>
      </c>
      <c r="AC36" s="14">
        <f ca="1">SOLID!AG47</f>
        <v>-32.933999999999997</v>
      </c>
      <c r="AD36" s="14">
        <f ca="1">SOLID!AH47</f>
        <v>-33.869</v>
      </c>
      <c r="AE36" s="14">
        <f ca="1">SOLID!AI47</f>
        <v>0</v>
      </c>
      <c r="AF36" s="14">
        <f ca="1">SOLID!AJ47</f>
        <v>0</v>
      </c>
      <c r="AG36" s="14">
        <f ca="1">SOLID!AK47</f>
        <v>0</v>
      </c>
      <c r="AH36" s="14">
        <f ca="1">SOLID!AL47</f>
        <v>0</v>
      </c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</row>
    <row r="37" spans="1:94" ht="21.75" hidden="1" outlineLevel="1" thickBot="1" x14ac:dyDescent="0.4">
      <c r="A37" s="35" t="str">
        <f>SOLID!E48</f>
        <v>*Ga[1]</v>
      </c>
      <c r="B37" s="16">
        <f ca="1">SOLID!F48</f>
        <v>-66.3</v>
      </c>
      <c r="C37" s="16">
        <f ca="1">SOLID!G48</f>
        <v>-62.81</v>
      </c>
      <c r="D37" s="16">
        <f ca="1">SOLID!H48</f>
        <v>-59.71</v>
      </c>
      <c r="E37" s="16">
        <f ca="1">SOLID!I48</f>
        <v>-56.94</v>
      </c>
      <c r="F37" s="14">
        <f ca="1">SOLID!J48</f>
        <v>-54.44</v>
      </c>
      <c r="G37" s="14">
        <f ca="1">SOLID!K48</f>
        <v>-51.07</v>
      </c>
      <c r="H37" s="14">
        <f ca="1">SOLID!L48</f>
        <v>-47.7</v>
      </c>
      <c r="I37" s="14">
        <f ca="1">SOLID!M48</f>
        <v>-44.59</v>
      </c>
      <c r="J37" s="14">
        <f ca="1">SOLID!N48</f>
        <v>-41.72</v>
      </c>
      <c r="K37" s="14">
        <f ca="1">SOLID!O48</f>
        <v>-32.06</v>
      </c>
      <c r="L37" s="14">
        <f ca="1">SOLID!P48</f>
        <v>-30.02</v>
      </c>
      <c r="M37" s="14">
        <f ca="1">SOLID!Q48</f>
        <v>-26.27</v>
      </c>
      <c r="N37" s="14">
        <f ca="1">SOLID!R48</f>
        <v>-24.55</v>
      </c>
      <c r="O37" s="14">
        <f ca="1">SOLID!S48</f>
        <v>-18.5</v>
      </c>
      <c r="P37" s="14">
        <f ca="1">SOLID!T48</f>
        <v>-13.49</v>
      </c>
      <c r="Q37" s="14">
        <f ca="1">SOLID!U48</f>
        <v>-12.36</v>
      </c>
      <c r="R37" s="14">
        <f ca="1">SOLID!V48</f>
        <v>-11.28</v>
      </c>
      <c r="S37" s="14">
        <f ca="1">SOLID!W48</f>
        <v>-10.24</v>
      </c>
      <c r="T37" s="14">
        <f ca="1">SOLID!X48</f>
        <v>-9.24</v>
      </c>
      <c r="U37" s="14">
        <f ca="1">SOLID!Y48</f>
        <v>-8.68</v>
      </c>
      <c r="V37" s="14">
        <f ca="1">SOLID!Z48</f>
        <v>-8.2560000000000002</v>
      </c>
      <c r="W37" s="14">
        <f ca="1">SOLID!AA48</f>
        <v>-7.8470000000000004</v>
      </c>
      <c r="X37" s="14">
        <f ca="1">SOLID!AB48</f>
        <v>-7.6349999999999998</v>
      </c>
      <c r="Y37" s="14">
        <f ca="1">SOLID!AC48</f>
        <v>-7.7149999999999999</v>
      </c>
      <c r="Z37" s="14">
        <f ca="1">SOLID!AD48</f>
        <v>-7.7960000000000003</v>
      </c>
      <c r="AA37" s="14">
        <f ca="1">SOLID!AE48</f>
        <v>-7.8789999999999996</v>
      </c>
      <c r="AB37" s="14">
        <f ca="1">SOLID!AF48</f>
        <v>-7.9630000000000001</v>
      </c>
      <c r="AC37" s="14">
        <f ca="1">SOLID!AG48</f>
        <v>-8.3190000000000008</v>
      </c>
      <c r="AD37" s="14">
        <f ca="1">SOLID!AH48</f>
        <v>-8.7249999999999996</v>
      </c>
      <c r="AE37" s="14">
        <f ca="1">SOLID!AI48</f>
        <v>0</v>
      </c>
      <c r="AF37" s="14">
        <f ca="1">SOLID!AJ48</f>
        <v>0</v>
      </c>
      <c r="AG37" s="14">
        <f ca="1">SOLID!AK48</f>
        <v>0</v>
      </c>
      <c r="AH37" s="14">
        <f ca="1">SOLID!AL48</f>
        <v>0</v>
      </c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</row>
    <row r="38" spans="1:94" ht="21.75" hidden="1" outlineLevel="1" thickBot="1" x14ac:dyDescent="0.4">
      <c r="A38" s="35" t="str">
        <f>SOLID!E49</f>
        <v>*Ga2Se</v>
      </c>
      <c r="B38" s="16">
        <f ca="1">SOLID!F49</f>
        <v>-156.12</v>
      </c>
      <c r="C38" s="16">
        <f ca="1">SOLID!G49</f>
        <v>-148.03</v>
      </c>
      <c r="D38" s="16">
        <f ca="1">SOLID!H49</f>
        <v>-140.84</v>
      </c>
      <c r="E38" s="16">
        <f ca="1">SOLID!I49</f>
        <v>-134.41999999999999</v>
      </c>
      <c r="F38" s="14">
        <f ca="1">SOLID!J49</f>
        <v>-128.63999999999999</v>
      </c>
      <c r="G38" s="14">
        <f ca="1">SOLID!K49</f>
        <v>-121.93</v>
      </c>
      <c r="H38" s="14">
        <f ca="1">SOLID!L49</f>
        <v>-115.43</v>
      </c>
      <c r="I38" s="14">
        <f ca="1">SOLID!M49</f>
        <v>-109.46000000000001</v>
      </c>
      <c r="J38" s="14">
        <f ca="1">SOLID!N49</f>
        <v>-103.96</v>
      </c>
      <c r="K38" s="14">
        <f ca="1">SOLID!O49</f>
        <v>-85.64</v>
      </c>
      <c r="L38" s="14">
        <f ca="1">SOLID!P49</f>
        <v>-81.81</v>
      </c>
      <c r="M38" s="14">
        <f ca="1">SOLID!Q49</f>
        <v>-74.81</v>
      </c>
      <c r="N38" s="14">
        <f ca="1">SOLID!R49</f>
        <v>-71.61</v>
      </c>
      <c r="O38" s="14">
        <f ca="1">SOLID!S49</f>
        <v>-60.480000000000004</v>
      </c>
      <c r="P38" s="14">
        <f ca="1">SOLID!T49</f>
        <v>-51.39</v>
      </c>
      <c r="Q38" s="14">
        <f ca="1">SOLID!U49</f>
        <v>-49.36</v>
      </c>
      <c r="R38" s="14">
        <f ca="1">SOLID!V49</f>
        <v>-47.42</v>
      </c>
      <c r="S38" s="14">
        <f ca="1">SOLID!W49</f>
        <v>-45.57</v>
      </c>
      <c r="T38" s="14">
        <f ca="1">SOLID!X49</f>
        <v>-43.79</v>
      </c>
      <c r="U38" s="14">
        <f ca="1">SOLID!Y49</f>
        <v>-42.89</v>
      </c>
      <c r="V38" s="14">
        <f ca="1">SOLID!Z49</f>
        <v>-42.262</v>
      </c>
      <c r="W38" s="14">
        <f ca="1">SOLID!AA49</f>
        <v>-41.654000000000003</v>
      </c>
      <c r="X38" s="14">
        <f ca="1">SOLID!AB49</f>
        <v>-41.45</v>
      </c>
      <c r="Y38" s="14">
        <f ca="1">SOLID!AC49</f>
        <v>-41.82</v>
      </c>
      <c r="Z38" s="14">
        <f ca="1">SOLID!AD49</f>
        <v>-42.192</v>
      </c>
      <c r="AA38" s="14">
        <f ca="1">SOLID!AE49</f>
        <v>-42.567999999999998</v>
      </c>
      <c r="AB38" s="14">
        <f ca="1">SOLID!AF49</f>
        <v>-42.945999999999998</v>
      </c>
      <c r="AC38" s="14">
        <f ca="1">SOLID!AG49</f>
        <v>-44.468000000000004</v>
      </c>
      <c r="AD38" s="14">
        <f ca="1">SOLID!AH49</f>
        <v>-46.07</v>
      </c>
      <c r="AE38" s="14">
        <f ca="1">SOLID!AI49</f>
        <v>0</v>
      </c>
      <c r="AF38" s="14">
        <f ca="1">SOLID!AJ49</f>
        <v>0</v>
      </c>
      <c r="AG38" s="14">
        <f ca="1">SOLID!AK49</f>
        <v>0</v>
      </c>
      <c r="AH38" s="14">
        <f ca="1">SOLID!AL49</f>
        <v>0</v>
      </c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</row>
    <row r="39" spans="1:94" ht="21.75" hidden="1" outlineLevel="1" thickBot="1" x14ac:dyDescent="0.4">
      <c r="A39" s="35" t="str">
        <f>SOLID!E50</f>
        <v>*Ge[c]</v>
      </c>
      <c r="B39" s="16">
        <f ca="1">SOLID!F50</f>
        <v>-16.29</v>
      </c>
      <c r="C39" s="16">
        <f ca="1">SOLID!G50</f>
        <v>-15.65</v>
      </c>
      <c r="D39" s="16">
        <f ca="1">SOLID!H50</f>
        <v>-15.09</v>
      </c>
      <c r="E39" s="16">
        <f ca="1">SOLID!I50</f>
        <v>-14.59</v>
      </c>
      <c r="F39" s="14">
        <f ca="1">SOLID!J50</f>
        <v>-14.16</v>
      </c>
      <c r="G39" s="14">
        <f ca="1">SOLID!K50</f>
        <v>-13.03</v>
      </c>
      <c r="H39" s="14">
        <f ca="1">SOLID!L50</f>
        <v>-11.8</v>
      </c>
      <c r="I39" s="14">
        <f ca="1">SOLID!M50</f>
        <v>-10.67</v>
      </c>
      <c r="J39" s="14">
        <f ca="1">SOLID!N50</f>
        <v>-9.6150000000000002</v>
      </c>
      <c r="K39" s="14">
        <f ca="1">SOLID!O50</f>
        <v>-6.04</v>
      </c>
      <c r="L39" s="14">
        <f ca="1">SOLID!P50</f>
        <v>-5.2759999999999998</v>
      </c>
      <c r="M39" s="14">
        <f ca="1">SOLID!Q50</f>
        <v>-4.1150000000000002</v>
      </c>
      <c r="N39" s="14">
        <f ca="1">SOLID!R50</f>
        <v>-4.1550000000000002</v>
      </c>
      <c r="O39" s="14">
        <f ca="1">SOLID!S50</f>
        <v>-4.3170000000000002</v>
      </c>
      <c r="P39" s="14">
        <f ca="1">SOLID!T50</f>
        <v>-4.4809999999999999</v>
      </c>
      <c r="Q39" s="14">
        <f ca="1">SOLID!U50</f>
        <v>-4.5220000000000002</v>
      </c>
      <c r="R39" s="14">
        <f ca="1">SOLID!V50</f>
        <v>-4.5620000000000003</v>
      </c>
      <c r="S39" s="14">
        <f ca="1">SOLID!W50</f>
        <v>-4.6029999999999998</v>
      </c>
      <c r="T39" s="14">
        <f ca="1">SOLID!X50</f>
        <v>-4.6429999999999998</v>
      </c>
      <c r="U39" s="14">
        <f ca="1">SOLID!Y50</f>
        <v>-4.6829999999999998</v>
      </c>
      <c r="V39" s="14">
        <f ca="1">SOLID!Z50</f>
        <v>-4.7220000000000004</v>
      </c>
      <c r="W39" s="14">
        <f ca="1">SOLID!AA50</f>
        <v>-4.7619999999999996</v>
      </c>
      <c r="X39" s="14">
        <f ca="1">SOLID!AB50</f>
        <v>-4.8010000000000002</v>
      </c>
      <c r="Y39" s="14">
        <f ca="1">SOLID!AC50</f>
        <v>-4.84</v>
      </c>
      <c r="Z39" s="14">
        <f ca="1">SOLID!AD50</f>
        <v>-4.8780000000000001</v>
      </c>
      <c r="AA39" s="14">
        <f ca="1">SOLID!AE50</f>
        <v>-4.9169999999999998</v>
      </c>
      <c r="AB39" s="14">
        <f ca="1">SOLID!AF50</f>
        <v>-4.9550000000000001</v>
      </c>
      <c r="AC39" s="14">
        <f ca="1">SOLID!AG50</f>
        <v>-5.1040000000000001</v>
      </c>
      <c r="AD39" s="14">
        <f ca="1">SOLID!AH50</f>
        <v>-5.2489999999999997</v>
      </c>
      <c r="AE39" s="14">
        <f ca="1">SOLID!AI50</f>
        <v>0</v>
      </c>
      <c r="AF39" s="14">
        <f ca="1">SOLID!AJ50</f>
        <v>0</v>
      </c>
      <c r="AG39" s="14">
        <f ca="1">SOLID!AK50</f>
        <v>0</v>
      </c>
      <c r="AH39" s="14">
        <f ca="1">SOLID!AL50</f>
        <v>0</v>
      </c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</row>
    <row r="40" spans="1:94" ht="21.75" hidden="1" outlineLevel="1" thickBot="1" x14ac:dyDescent="0.4">
      <c r="A40" s="35" t="str">
        <f>SOLID!E51</f>
        <v>*Se[m]</v>
      </c>
      <c r="B40" s="16">
        <f ca="1">SOLID!F51</f>
        <v>-23.52</v>
      </c>
      <c r="C40" s="16">
        <f ca="1">SOLID!G51</f>
        <v>-22.41</v>
      </c>
      <c r="D40" s="16">
        <f ca="1">SOLID!H51</f>
        <v>-21.42</v>
      </c>
      <c r="E40" s="16">
        <f ca="1">SOLID!I51</f>
        <v>-20.54</v>
      </c>
      <c r="F40" s="14">
        <f ca="1">SOLID!J51</f>
        <v>-19.760000000000002</v>
      </c>
      <c r="G40" s="14">
        <f ca="1">SOLID!K51</f>
        <v>-19.79</v>
      </c>
      <c r="H40" s="14">
        <f ca="1">SOLID!L51</f>
        <v>-20.03</v>
      </c>
      <c r="I40" s="14">
        <f ca="1">SOLID!M51</f>
        <v>-20.28</v>
      </c>
      <c r="J40" s="14">
        <f ca="1">SOLID!N51</f>
        <v>-20.52</v>
      </c>
      <c r="K40" s="14">
        <f ca="1">SOLID!O51</f>
        <v>-21.52</v>
      </c>
      <c r="L40" s="14">
        <f ca="1">SOLID!P51</f>
        <v>-21.77</v>
      </c>
      <c r="M40" s="14">
        <f ca="1">SOLID!Q51</f>
        <v>-22.27</v>
      </c>
      <c r="N40" s="14">
        <f ca="1">SOLID!R51</f>
        <v>-22.51</v>
      </c>
      <c r="O40" s="14">
        <f ca="1">SOLID!S51</f>
        <v>-23.48</v>
      </c>
      <c r="P40" s="14">
        <f ca="1">SOLID!T51</f>
        <v>-24.41</v>
      </c>
      <c r="Q40" s="14">
        <f ca="1">SOLID!U51</f>
        <v>-24.64</v>
      </c>
      <c r="R40" s="14">
        <f ca="1">SOLID!V51</f>
        <v>-24.86</v>
      </c>
      <c r="S40" s="14">
        <f ca="1">SOLID!W51</f>
        <v>-25.09</v>
      </c>
      <c r="T40" s="14">
        <f ca="1">SOLID!X51</f>
        <v>-25.31</v>
      </c>
      <c r="U40" s="14">
        <f ca="1">SOLID!Y51</f>
        <v>-25.53</v>
      </c>
      <c r="V40" s="14">
        <f ca="1">SOLID!Z51</f>
        <v>-25.75</v>
      </c>
      <c r="W40" s="14">
        <f ca="1">SOLID!AA51</f>
        <v>-25.96</v>
      </c>
      <c r="X40" s="14">
        <f ca="1">SOLID!AB51</f>
        <v>-26.18</v>
      </c>
      <c r="Y40" s="14">
        <f ca="1">SOLID!AC51</f>
        <v>-26.39</v>
      </c>
      <c r="Z40" s="14">
        <f ca="1">SOLID!AD51</f>
        <v>-26.6</v>
      </c>
      <c r="AA40" s="14">
        <f ca="1">SOLID!AE51</f>
        <v>-26.81</v>
      </c>
      <c r="AB40" s="14">
        <f ca="1">SOLID!AF51</f>
        <v>-27.02</v>
      </c>
      <c r="AC40" s="14">
        <f ca="1">SOLID!AG51</f>
        <v>-27.83</v>
      </c>
      <c r="AD40" s="14">
        <f ca="1">SOLID!AH51</f>
        <v>-28.62</v>
      </c>
      <c r="AE40" s="14">
        <f ca="1">SOLID!AI51</f>
        <v>0</v>
      </c>
      <c r="AF40" s="14">
        <f ca="1">SOLID!AJ51</f>
        <v>0</v>
      </c>
      <c r="AG40" s="14">
        <f ca="1">SOLID!AK51</f>
        <v>0</v>
      </c>
      <c r="AH40" s="14">
        <f ca="1">SOLID!AL51</f>
        <v>0</v>
      </c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</row>
    <row r="41" spans="1:94" ht="21.75" hidden="1" outlineLevel="1" thickBot="1" x14ac:dyDescent="0.4">
      <c r="A41" s="35" t="str">
        <f>SOLID!E52</f>
        <v>*GeSe2</v>
      </c>
      <c r="B41" s="16">
        <f ca="1">SOLID!F52</f>
        <v>-63.33</v>
      </c>
      <c r="C41" s="16">
        <f ca="1">SOLID!G52</f>
        <v>-60.47</v>
      </c>
      <c r="D41" s="16">
        <f ca="1">SOLID!H52</f>
        <v>-57.930000000000007</v>
      </c>
      <c r="E41" s="16">
        <f ca="1">SOLID!I52</f>
        <v>-55.67</v>
      </c>
      <c r="F41" s="14">
        <f ca="1">SOLID!J52</f>
        <v>-53.680000000000007</v>
      </c>
      <c r="G41" s="14">
        <f ca="1">SOLID!K52</f>
        <v>-52.61</v>
      </c>
      <c r="H41" s="14">
        <f ca="1">SOLID!L52</f>
        <v>-51.86</v>
      </c>
      <c r="I41" s="14">
        <f ca="1">SOLID!M52</f>
        <v>-51.230000000000004</v>
      </c>
      <c r="J41" s="14">
        <f ca="1">SOLID!N52</f>
        <v>-50.655000000000001</v>
      </c>
      <c r="K41" s="14">
        <f ca="1">SOLID!O52</f>
        <v>-49.08</v>
      </c>
      <c r="L41" s="14">
        <f ca="1">SOLID!P52</f>
        <v>-48.816000000000003</v>
      </c>
      <c r="M41" s="14">
        <f ca="1">SOLID!Q52</f>
        <v>-48.655000000000001</v>
      </c>
      <c r="N41" s="14">
        <f ca="1">SOLID!R52</f>
        <v>-49.175000000000004</v>
      </c>
      <c r="O41" s="14">
        <f ca="1">SOLID!S52</f>
        <v>-51.277000000000001</v>
      </c>
      <c r="P41" s="14">
        <f ca="1">SOLID!T52</f>
        <v>-53.301000000000002</v>
      </c>
      <c r="Q41" s="14">
        <f ca="1">SOLID!U52</f>
        <v>-53.802</v>
      </c>
      <c r="R41" s="14">
        <f ca="1">SOLID!V52</f>
        <v>-54.281999999999996</v>
      </c>
      <c r="S41" s="14">
        <f ca="1">SOLID!W52</f>
        <v>-54.783000000000001</v>
      </c>
      <c r="T41" s="14">
        <f ca="1">SOLID!X52</f>
        <v>-55.262999999999998</v>
      </c>
      <c r="U41" s="14">
        <f ca="1">SOLID!Y52</f>
        <v>-55.743000000000002</v>
      </c>
      <c r="V41" s="14">
        <f ca="1">SOLID!Z52</f>
        <v>-56.222000000000001</v>
      </c>
      <c r="W41" s="14">
        <f ca="1">SOLID!AA52</f>
        <v>-56.682000000000002</v>
      </c>
      <c r="X41" s="14">
        <f ca="1">SOLID!AB52</f>
        <v>-57.161000000000001</v>
      </c>
      <c r="Y41" s="14">
        <f ca="1">SOLID!AC52</f>
        <v>-57.620000000000005</v>
      </c>
      <c r="Z41" s="14">
        <f ca="1">SOLID!AD52</f>
        <v>-58.078000000000003</v>
      </c>
      <c r="AA41" s="14">
        <f ca="1">SOLID!AE52</f>
        <v>-58.536999999999999</v>
      </c>
      <c r="AB41" s="14">
        <f ca="1">SOLID!AF52</f>
        <v>-58.994999999999997</v>
      </c>
      <c r="AC41" s="14">
        <f ca="1">SOLID!AG52</f>
        <v>-60.763999999999996</v>
      </c>
      <c r="AD41" s="14">
        <f ca="1">SOLID!AH52</f>
        <v>-62.489000000000004</v>
      </c>
      <c r="AE41" s="14">
        <f ca="1">SOLID!AI52</f>
        <v>0</v>
      </c>
      <c r="AF41" s="14">
        <f ca="1">SOLID!AJ52</f>
        <v>0</v>
      </c>
      <c r="AG41" s="14">
        <f ca="1">SOLID!AK52</f>
        <v>0</v>
      </c>
      <c r="AH41" s="14">
        <f ca="1">SOLID!AL52</f>
        <v>0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</row>
    <row r="42" spans="1:94" ht="21.75" hidden="1" outlineLevel="1" thickBot="1" x14ac:dyDescent="0.4">
      <c r="A42" s="35" t="str">
        <f>SOLID!E53</f>
        <v>Ga2Se3</v>
      </c>
      <c r="B42" s="16">
        <f ca="1">SOLID!F53</f>
        <v>-203.16</v>
      </c>
      <c r="C42" s="16">
        <f ca="1">SOLID!G53</f>
        <v>-192.85000000000002</v>
      </c>
      <c r="D42" s="16">
        <f ca="1">SOLID!H53</f>
        <v>-183.68</v>
      </c>
      <c r="E42" s="16">
        <f ca="1">SOLID!I53</f>
        <v>-175.5</v>
      </c>
      <c r="F42" s="14">
        <f ca="1">SOLID!J53</f>
        <v>-168.16</v>
      </c>
      <c r="G42" s="14">
        <f ca="1">SOLID!K53</f>
        <v>-161.51</v>
      </c>
      <c r="H42" s="14">
        <f ca="1">SOLID!L53</f>
        <v>-155.49</v>
      </c>
      <c r="I42" s="14">
        <f ca="1">SOLID!M53</f>
        <v>-150.02000000000001</v>
      </c>
      <c r="J42" s="14">
        <f ca="1">SOLID!N53</f>
        <v>-145</v>
      </c>
      <c r="K42" s="14">
        <f ca="1">SOLID!O53</f>
        <v>-128.68</v>
      </c>
      <c r="L42" s="14">
        <f ca="1">SOLID!P53</f>
        <v>-125.35</v>
      </c>
      <c r="M42" s="14">
        <f ca="1">SOLID!Q53</f>
        <v>-119.35</v>
      </c>
      <c r="N42" s="14">
        <f ca="1">SOLID!R53</f>
        <v>-116.63</v>
      </c>
      <c r="O42" s="14">
        <f ca="1">SOLID!S53</f>
        <v>-107.44</v>
      </c>
      <c r="P42" s="14">
        <f ca="1">SOLID!T53</f>
        <v>-100.21000000000001</v>
      </c>
      <c r="Q42" s="14">
        <f ca="1">SOLID!U53</f>
        <v>-98.64</v>
      </c>
      <c r="R42" s="14">
        <f ca="1">SOLID!V53</f>
        <v>-97.14</v>
      </c>
      <c r="S42" s="14">
        <f ca="1">SOLID!W53</f>
        <v>-95.75</v>
      </c>
      <c r="T42" s="14">
        <f ca="1">SOLID!X53</f>
        <v>-94.41</v>
      </c>
      <c r="U42" s="14">
        <f ca="1">SOLID!Y53</f>
        <v>-93.95</v>
      </c>
      <c r="V42" s="14">
        <f ca="1">SOLID!Z53</f>
        <v>-93.762</v>
      </c>
      <c r="W42" s="14">
        <f ca="1">SOLID!AA53</f>
        <v>-93.573999999999998</v>
      </c>
      <c r="X42" s="14">
        <f ca="1">SOLID!AB53</f>
        <v>-93.809999999999988</v>
      </c>
      <c r="Y42" s="14">
        <f ca="1">SOLID!AC53</f>
        <v>-94.6</v>
      </c>
      <c r="Z42" s="14">
        <f ca="1">SOLID!AD53</f>
        <v>-95.39200000000001</v>
      </c>
      <c r="AA42" s="14">
        <f ca="1">SOLID!AE53</f>
        <v>-96.187999999999988</v>
      </c>
      <c r="AB42" s="14">
        <f ca="1">SOLID!AF53</f>
        <v>-96.986000000000004</v>
      </c>
      <c r="AC42" s="14">
        <f ca="1">SOLID!AG53</f>
        <v>-100.128</v>
      </c>
      <c r="AD42" s="14">
        <f ca="1">SOLID!AH53</f>
        <v>-103.31</v>
      </c>
      <c r="AE42" s="14">
        <f ca="1">SOLID!AI53</f>
        <v>0</v>
      </c>
      <c r="AF42" s="14">
        <f ca="1">SOLID!AJ53</f>
        <v>0</v>
      </c>
      <c r="AG42" s="14">
        <f ca="1">SOLID!AK53</f>
        <v>0</v>
      </c>
      <c r="AH42" s="14">
        <f ca="1">SOLID!AL53</f>
        <v>0</v>
      </c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</row>
    <row r="43" spans="1:94" ht="21.75" hidden="1" outlineLevel="1" thickBot="1" x14ac:dyDescent="0.4">
      <c r="A43" s="35" t="str">
        <f>SOLID!E54</f>
        <v>Ga2Se</v>
      </c>
      <c r="B43" s="16">
        <f ca="1">SOLID!F54</f>
        <v>-156.12</v>
      </c>
      <c r="C43" s="16">
        <f ca="1">SOLID!G54</f>
        <v>-148.03</v>
      </c>
      <c r="D43" s="16">
        <f ca="1">SOLID!H54</f>
        <v>-140.84</v>
      </c>
      <c r="E43" s="16">
        <f ca="1">SOLID!I54</f>
        <v>-134.41999999999999</v>
      </c>
      <c r="F43" s="14">
        <f ca="1">SOLID!J54</f>
        <v>-128.63999999999999</v>
      </c>
      <c r="G43" s="14">
        <f ca="1">SOLID!K54</f>
        <v>-121.93</v>
      </c>
      <c r="H43" s="14">
        <f ca="1">SOLID!L54</f>
        <v>-115.43</v>
      </c>
      <c r="I43" s="14">
        <f ca="1">SOLID!M54</f>
        <v>-109.46000000000001</v>
      </c>
      <c r="J43" s="14">
        <f ca="1">SOLID!N54</f>
        <v>-103.96</v>
      </c>
      <c r="K43" s="14">
        <f ca="1">SOLID!O54</f>
        <v>-85.64</v>
      </c>
      <c r="L43" s="14">
        <f ca="1">SOLID!P54</f>
        <v>-81.81</v>
      </c>
      <c r="M43" s="14">
        <f ca="1">SOLID!Q54</f>
        <v>-74.81</v>
      </c>
      <c r="N43" s="14">
        <f ca="1">SOLID!R54</f>
        <v>-71.61</v>
      </c>
      <c r="O43" s="14">
        <f ca="1">SOLID!S54</f>
        <v>-60.480000000000004</v>
      </c>
      <c r="P43" s="14">
        <f ca="1">SOLID!T54</f>
        <v>-51.39</v>
      </c>
      <c r="Q43" s="14">
        <f ca="1">SOLID!U54</f>
        <v>-49.36</v>
      </c>
      <c r="R43" s="14">
        <f ca="1">SOLID!V54</f>
        <v>-47.42</v>
      </c>
      <c r="S43" s="14">
        <f ca="1">SOLID!W54</f>
        <v>-45.57</v>
      </c>
      <c r="T43" s="14">
        <f ca="1">SOLID!X54</f>
        <v>-43.79</v>
      </c>
      <c r="U43" s="14">
        <f ca="1">SOLID!Y54</f>
        <v>-42.89</v>
      </c>
      <c r="V43" s="14">
        <f ca="1">SOLID!Z54</f>
        <v>-42.262</v>
      </c>
      <c r="W43" s="14">
        <f ca="1">SOLID!AA54</f>
        <v>-41.654000000000003</v>
      </c>
      <c r="X43" s="14">
        <f ca="1">SOLID!AB54</f>
        <v>-41.45</v>
      </c>
      <c r="Y43" s="14">
        <f ca="1">SOLID!AC54</f>
        <v>-41.82</v>
      </c>
      <c r="Z43" s="14">
        <f ca="1">SOLID!AD54</f>
        <v>-42.192</v>
      </c>
      <c r="AA43" s="14">
        <f ca="1">SOLID!AE54</f>
        <v>-42.567999999999998</v>
      </c>
      <c r="AB43" s="14">
        <f ca="1">SOLID!AF54</f>
        <v>-42.945999999999998</v>
      </c>
      <c r="AC43" s="14">
        <f ca="1">SOLID!AG54</f>
        <v>-44.468000000000004</v>
      </c>
      <c r="AD43" s="14">
        <f ca="1">SOLID!AH54</f>
        <v>-46.07</v>
      </c>
      <c r="AE43" s="14">
        <f ca="1">SOLID!AI54</f>
        <v>0</v>
      </c>
      <c r="AF43" s="14">
        <f ca="1">SOLID!AJ54</f>
        <v>0</v>
      </c>
      <c r="AG43" s="14">
        <f ca="1">SOLID!AK54</f>
        <v>0</v>
      </c>
      <c r="AH43" s="14">
        <f ca="1">SOLID!AL54</f>
        <v>0</v>
      </c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</row>
    <row r="44" spans="1:94" ht="21.75" hidden="1" outlineLevel="1" thickBot="1" x14ac:dyDescent="0.4">
      <c r="A44" s="35" t="str">
        <f>SOLID!E55</f>
        <v>Ar</v>
      </c>
      <c r="B44" s="16">
        <f ca="1">SOLID!F55</f>
        <v>-18.88</v>
      </c>
      <c r="C44" s="16">
        <f ca="1">SOLID!G55</f>
        <v>-18.87</v>
      </c>
      <c r="D44" s="16">
        <f ca="1">SOLID!H55</f>
        <v>-18.87</v>
      </c>
      <c r="E44" s="16">
        <f ca="1">SOLID!I55</f>
        <v>-18.88</v>
      </c>
      <c r="F44" s="14">
        <f ca="1">SOLID!J55</f>
        <v>-18.89</v>
      </c>
      <c r="G44" s="14">
        <f ca="1">SOLID!K55</f>
        <v>-18.91</v>
      </c>
      <c r="H44" s="14">
        <f ca="1">SOLID!L55</f>
        <v>-18.93</v>
      </c>
      <c r="I44" s="14">
        <f ca="1">SOLID!M55</f>
        <v>-18.95</v>
      </c>
      <c r="J44" s="14">
        <f ca="1">SOLID!N55</f>
        <v>-18.98</v>
      </c>
      <c r="K44" s="14">
        <f ca="1">SOLID!O55</f>
        <v>-19.100000000000001</v>
      </c>
      <c r="L44" s="14">
        <f ca="1">SOLID!P55</f>
        <v>-19.13</v>
      </c>
      <c r="M44" s="14">
        <f ca="1">SOLID!Q55</f>
        <v>-19.2</v>
      </c>
      <c r="N44" s="14">
        <f ca="1">SOLID!R55</f>
        <v>-19.23</v>
      </c>
      <c r="O44" s="14">
        <f ca="1">SOLID!S55</f>
        <v>-19.37</v>
      </c>
      <c r="P44" s="14">
        <f ca="1">SOLID!T55</f>
        <v>-19.510000000000002</v>
      </c>
      <c r="Q44" s="14">
        <f ca="1">SOLID!U55</f>
        <v>-19.54</v>
      </c>
      <c r="R44" s="14">
        <f ca="1">SOLID!V55</f>
        <v>-19.579999999999998</v>
      </c>
      <c r="S44" s="14">
        <f ca="1">SOLID!W55</f>
        <v>-19.61</v>
      </c>
      <c r="T44" s="14">
        <f ca="1">SOLID!X55</f>
        <v>-19.64</v>
      </c>
      <c r="U44" s="14">
        <f ca="1">SOLID!Y55</f>
        <v>-19.52</v>
      </c>
      <c r="V44" s="14">
        <f ca="1">SOLID!Z55</f>
        <v>-19.489999999999998</v>
      </c>
      <c r="W44" s="14">
        <f ca="1">SOLID!AA55</f>
        <v>-19.5</v>
      </c>
      <c r="X44" s="14">
        <f ca="1">SOLID!AB55</f>
        <v>-19.52</v>
      </c>
      <c r="Y44" s="14">
        <f ca="1">SOLID!AC55</f>
        <v>-19.55</v>
      </c>
      <c r="Z44" s="14">
        <f ca="1">SOLID!AD55</f>
        <v>-19.579999999999998</v>
      </c>
      <c r="AA44" s="14">
        <f ca="1">SOLID!AE55</f>
        <v>-19.61</v>
      </c>
      <c r="AB44" s="14">
        <f ca="1">SOLID!AF55</f>
        <v>-19.64</v>
      </c>
      <c r="AC44" s="14">
        <f ca="1">SOLID!AG55</f>
        <v>-19.760000000000002</v>
      </c>
      <c r="AD44" s="14">
        <f ca="1">SOLID!AH55</f>
        <v>-19.88</v>
      </c>
      <c r="AE44" s="14">
        <f ca="1">SOLID!AI55</f>
        <v>0</v>
      </c>
      <c r="AF44" s="14">
        <f ca="1">SOLID!AJ55</f>
        <v>0</v>
      </c>
      <c r="AG44" s="14">
        <f ca="1">SOLID!AK55</f>
        <v>0</v>
      </c>
      <c r="AH44" s="14">
        <f ca="1">SOLID!AL55</f>
        <v>0</v>
      </c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</row>
    <row r="45" spans="1:94" ht="21.75" hidden="1" outlineLevel="1" thickBot="1" x14ac:dyDescent="0.4">
      <c r="A45" s="35" t="str">
        <f>SOLID!E56</f>
        <v>(1)Ga[l]</v>
      </c>
      <c r="B45" s="16">
        <f ca="1">SOLID!F56</f>
        <v>-66.3</v>
      </c>
      <c r="C45" s="16">
        <f ca="1">SOLID!G56</f>
        <v>-62.81</v>
      </c>
      <c r="D45" s="16">
        <f ca="1">SOLID!H56</f>
        <v>-59.71</v>
      </c>
      <c r="E45" s="16">
        <f ca="1">SOLID!I56</f>
        <v>-56.94</v>
      </c>
      <c r="F45" s="14">
        <f ca="1">SOLID!J56</f>
        <v>-54.44</v>
      </c>
      <c r="G45" s="14">
        <f ca="1">SOLID!K56</f>
        <v>-51.07</v>
      </c>
      <c r="H45" s="14">
        <f ca="1">SOLID!L56</f>
        <v>-47.7</v>
      </c>
      <c r="I45" s="14">
        <f ca="1">SOLID!M56</f>
        <v>-44.59</v>
      </c>
      <c r="J45" s="14">
        <f ca="1">SOLID!N56</f>
        <v>-41.72</v>
      </c>
      <c r="K45" s="14">
        <f ca="1">SOLID!O56</f>
        <v>-32.06</v>
      </c>
      <c r="L45" s="14">
        <f ca="1">SOLID!P56</f>
        <v>-30.02</v>
      </c>
      <c r="M45" s="14">
        <f ca="1">SOLID!Q56</f>
        <v>-26.27</v>
      </c>
      <c r="N45" s="14">
        <f ca="1">SOLID!R56</f>
        <v>-24.55</v>
      </c>
      <c r="O45" s="14">
        <f ca="1">SOLID!S56</f>
        <v>-18.5</v>
      </c>
      <c r="P45" s="14">
        <f ca="1">SOLID!T56</f>
        <v>-13.49</v>
      </c>
      <c r="Q45" s="14">
        <f ca="1">SOLID!U56</f>
        <v>-12.36</v>
      </c>
      <c r="R45" s="14">
        <f ca="1">SOLID!V56</f>
        <v>-11.28</v>
      </c>
      <c r="S45" s="14">
        <f ca="1">SOLID!W56</f>
        <v>-10.24</v>
      </c>
      <c r="T45" s="14">
        <f ca="1">SOLID!X56</f>
        <v>-9.24</v>
      </c>
      <c r="U45" s="14">
        <f ca="1">SOLID!Y56</f>
        <v>-8.68</v>
      </c>
      <c r="V45" s="14">
        <f ca="1">SOLID!Z56</f>
        <v>-8.2560000000000002</v>
      </c>
      <c r="W45" s="14">
        <f ca="1">SOLID!AA56</f>
        <v>-7.8470000000000004</v>
      </c>
      <c r="X45" s="14">
        <f ca="1">SOLID!AB56</f>
        <v>-7.6349999999999998</v>
      </c>
      <c r="Y45" s="14">
        <f ca="1">SOLID!AC56</f>
        <v>-7.7149999999999999</v>
      </c>
      <c r="Z45" s="14">
        <f ca="1">SOLID!AD56</f>
        <v>-7.7960000000000003</v>
      </c>
      <c r="AA45" s="14">
        <f ca="1">SOLID!AE56</f>
        <v>-7.8789999999999996</v>
      </c>
      <c r="AB45" s="14">
        <f ca="1">SOLID!AF56</f>
        <v>-7.9630000000000001</v>
      </c>
      <c r="AC45" s="14">
        <f ca="1">SOLID!AG56</f>
        <v>-8.3190000000000008</v>
      </c>
      <c r="AD45" s="14">
        <f ca="1">SOLID!AH56</f>
        <v>-8.7249999999999996</v>
      </c>
      <c r="AE45" s="14">
        <f ca="1">SOLID!AI56</f>
        <v>0</v>
      </c>
      <c r="AF45" s="14">
        <f ca="1">SOLID!AJ56</f>
        <v>0</v>
      </c>
      <c r="AG45" s="14">
        <f ca="1">SOLID!AK56</f>
        <v>0</v>
      </c>
      <c r="AH45" s="14">
        <f ca="1">SOLID!AL56</f>
        <v>0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</row>
    <row r="46" spans="1:94" ht="21.75" hidden="1" outlineLevel="1" thickBot="1" x14ac:dyDescent="0.4">
      <c r="A46" s="35" t="str">
        <f>SOLID!E57</f>
        <v>(1)Ge[l]</v>
      </c>
      <c r="B46" s="16">
        <f ca="1">SOLID!F57</f>
        <v>-16.29</v>
      </c>
      <c r="C46" s="16">
        <f ca="1">SOLID!G57</f>
        <v>-15.65</v>
      </c>
      <c r="D46" s="16">
        <f ca="1">SOLID!H57</f>
        <v>-15.09</v>
      </c>
      <c r="E46" s="16">
        <f ca="1">SOLID!I57</f>
        <v>-14.59</v>
      </c>
      <c r="F46" s="14">
        <f ca="1">SOLID!J57</f>
        <v>-14.16</v>
      </c>
      <c r="G46" s="14">
        <f ca="1">SOLID!K57</f>
        <v>-13.03</v>
      </c>
      <c r="H46" s="14">
        <f ca="1">SOLID!L57</f>
        <v>-11.8</v>
      </c>
      <c r="I46" s="14">
        <f ca="1">SOLID!M57</f>
        <v>-10.67</v>
      </c>
      <c r="J46" s="14">
        <f ca="1">SOLID!N57</f>
        <v>-9.6150000000000002</v>
      </c>
      <c r="K46" s="14">
        <f ca="1">SOLID!O57</f>
        <v>-6.04</v>
      </c>
      <c r="L46" s="14">
        <f ca="1">SOLID!P57</f>
        <v>-5.2759999999999998</v>
      </c>
      <c r="M46" s="14">
        <f ca="1">SOLID!Q57</f>
        <v>-4.1150000000000002</v>
      </c>
      <c r="N46" s="14">
        <f ca="1">SOLID!R57</f>
        <v>-4.1550000000000002</v>
      </c>
      <c r="O46" s="14">
        <f ca="1">SOLID!S57</f>
        <v>-4.3170000000000002</v>
      </c>
      <c r="P46" s="14">
        <f ca="1">SOLID!T57</f>
        <v>-4.4809999999999999</v>
      </c>
      <c r="Q46" s="14">
        <f ca="1">SOLID!U57</f>
        <v>-4.5220000000000002</v>
      </c>
      <c r="R46" s="14">
        <f ca="1">SOLID!V57</f>
        <v>-4.5620000000000003</v>
      </c>
      <c r="S46" s="14">
        <f ca="1">SOLID!W57</f>
        <v>-4.6029999999999998</v>
      </c>
      <c r="T46" s="14">
        <f ca="1">SOLID!X57</f>
        <v>-4.6429999999999998</v>
      </c>
      <c r="U46" s="14">
        <f ca="1">SOLID!Y57</f>
        <v>-4.6829999999999998</v>
      </c>
      <c r="V46" s="14">
        <f ca="1">SOLID!Z57</f>
        <v>-4.7220000000000004</v>
      </c>
      <c r="W46" s="14">
        <f ca="1">SOLID!AA57</f>
        <v>-4.7619999999999996</v>
      </c>
      <c r="X46" s="14">
        <f ca="1">SOLID!AB57</f>
        <v>-4.8010000000000002</v>
      </c>
      <c r="Y46" s="14">
        <f ca="1">SOLID!AC57</f>
        <v>-4.84</v>
      </c>
      <c r="Z46" s="14">
        <f ca="1">SOLID!AD57</f>
        <v>-4.8780000000000001</v>
      </c>
      <c r="AA46" s="14">
        <f ca="1">SOLID!AE57</f>
        <v>-4.9169999999999998</v>
      </c>
      <c r="AB46" s="14">
        <f ca="1">SOLID!AF57</f>
        <v>-4.9550000000000001</v>
      </c>
      <c r="AC46" s="14">
        <f ca="1">SOLID!AG57</f>
        <v>-5.1040000000000001</v>
      </c>
      <c r="AD46" s="14">
        <f ca="1">SOLID!AH57</f>
        <v>-5.2489999999999997</v>
      </c>
      <c r="AE46" s="14">
        <f ca="1">SOLID!AI57</f>
        <v>0</v>
      </c>
      <c r="AF46" s="14">
        <f ca="1">SOLID!AJ57</f>
        <v>0</v>
      </c>
      <c r="AG46" s="14">
        <f ca="1">SOLID!AK57</f>
        <v>0</v>
      </c>
      <c r="AH46" s="14">
        <f ca="1">SOLID!AL57</f>
        <v>0</v>
      </c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</row>
    <row r="47" spans="1:94" ht="21.75" hidden="1" outlineLevel="1" thickBot="1" x14ac:dyDescent="0.4">
      <c r="A47" s="35" t="str">
        <f>SOLID!E58</f>
        <v>H (Ar)</v>
      </c>
      <c r="B47" s="16">
        <f ca="1">SOLID!F58</f>
        <v>-18.88</v>
      </c>
      <c r="C47" s="16">
        <f ca="1">SOLID!G58</f>
        <v>-18.87</v>
      </c>
      <c r="D47" s="16">
        <f ca="1">SOLID!H58</f>
        <v>-18.87</v>
      </c>
      <c r="E47" s="16">
        <f ca="1">SOLID!I58</f>
        <v>-18.88</v>
      </c>
      <c r="F47" s="14">
        <f ca="1">SOLID!J58</f>
        <v>-18.89</v>
      </c>
      <c r="G47" s="14">
        <f ca="1">SOLID!K58</f>
        <v>-18.91</v>
      </c>
      <c r="H47" s="14">
        <f ca="1">SOLID!L58</f>
        <v>-18.93</v>
      </c>
      <c r="I47" s="14">
        <f ca="1">SOLID!M58</f>
        <v>-18.95</v>
      </c>
      <c r="J47" s="14">
        <f ca="1">SOLID!N58</f>
        <v>-18.98</v>
      </c>
      <c r="K47" s="14">
        <f ca="1">SOLID!O58</f>
        <v>-19.100000000000001</v>
      </c>
      <c r="L47" s="14">
        <f ca="1">SOLID!P58</f>
        <v>-19.13</v>
      </c>
      <c r="M47" s="14">
        <f ca="1">SOLID!Q58</f>
        <v>-19.2</v>
      </c>
      <c r="N47" s="14">
        <f ca="1">SOLID!R58</f>
        <v>-19.23</v>
      </c>
      <c r="O47" s="14">
        <f ca="1">SOLID!S58</f>
        <v>-19.37</v>
      </c>
      <c r="P47" s="14">
        <f ca="1">SOLID!T58</f>
        <v>-19.510000000000002</v>
      </c>
      <c r="Q47" s="14">
        <f ca="1">SOLID!U58</f>
        <v>-19.54</v>
      </c>
      <c r="R47" s="14">
        <f ca="1">SOLID!V58</f>
        <v>-19.579999999999998</v>
      </c>
      <c r="S47" s="14">
        <f ca="1">SOLID!W58</f>
        <v>-19.61</v>
      </c>
      <c r="T47" s="14">
        <f ca="1">SOLID!X58</f>
        <v>-19.64</v>
      </c>
      <c r="U47" s="14">
        <f ca="1">SOLID!Y58</f>
        <v>-19.52</v>
      </c>
      <c r="V47" s="14">
        <f ca="1">SOLID!Z58</f>
        <v>-19.489999999999998</v>
      </c>
      <c r="W47" s="14">
        <f ca="1">SOLID!AA58</f>
        <v>-19.5</v>
      </c>
      <c r="X47" s="14">
        <f ca="1">SOLID!AB58</f>
        <v>-19.52</v>
      </c>
      <c r="Y47" s="14">
        <f ca="1">SOLID!AC58</f>
        <v>-19.55</v>
      </c>
      <c r="Z47" s="14">
        <f ca="1">SOLID!AD58</f>
        <v>-19.579999999999998</v>
      </c>
      <c r="AA47" s="14">
        <f ca="1">SOLID!AE58</f>
        <v>-19.61</v>
      </c>
      <c r="AB47" s="14">
        <f ca="1">SOLID!AF58</f>
        <v>-19.64</v>
      </c>
      <c r="AC47" s="14">
        <f ca="1">SOLID!AG58</f>
        <v>-19.760000000000002</v>
      </c>
      <c r="AD47" s="14">
        <f ca="1">SOLID!AH58</f>
        <v>-19.88</v>
      </c>
      <c r="AE47" s="14">
        <f ca="1">SOLID!AI58</f>
        <v>0</v>
      </c>
      <c r="AF47" s="14">
        <f ca="1">SOLID!AJ58</f>
        <v>0</v>
      </c>
      <c r="AG47" s="14">
        <f ca="1">SOLID!AK58</f>
        <v>0</v>
      </c>
      <c r="AH47" s="14">
        <f ca="1">SOLID!AL58</f>
        <v>0</v>
      </c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</row>
    <row r="48" spans="1:94" ht="21.75" hidden="1" outlineLevel="1" thickBot="1" x14ac:dyDescent="0.4">
      <c r="A48" s="35" t="str">
        <f>SOLID!E59</f>
        <v>H (Ga)</v>
      </c>
      <c r="B48" s="16">
        <f ca="1">SOLID!F59</f>
        <v>-66.3</v>
      </c>
      <c r="C48" s="16">
        <f ca="1">SOLID!G59</f>
        <v>-62.81</v>
      </c>
      <c r="D48" s="16">
        <f ca="1">SOLID!H59</f>
        <v>-59.71</v>
      </c>
      <c r="E48" s="16">
        <f ca="1">SOLID!I59</f>
        <v>-56.94</v>
      </c>
      <c r="F48" s="14">
        <f ca="1">SOLID!J59</f>
        <v>-54.44</v>
      </c>
      <c r="G48" s="14">
        <f ca="1">SOLID!K59</f>
        <v>-51.07</v>
      </c>
      <c r="H48" s="14">
        <f ca="1">SOLID!L59</f>
        <v>-47.7</v>
      </c>
      <c r="I48" s="14">
        <f ca="1">SOLID!M59</f>
        <v>-44.59</v>
      </c>
      <c r="J48" s="14">
        <f ca="1">SOLID!N59</f>
        <v>-41.72</v>
      </c>
      <c r="K48" s="14">
        <f ca="1">SOLID!O59</f>
        <v>-32.06</v>
      </c>
      <c r="L48" s="14">
        <f ca="1">SOLID!P59</f>
        <v>-30.02</v>
      </c>
      <c r="M48" s="14">
        <f ca="1">SOLID!Q59</f>
        <v>-26.27</v>
      </c>
      <c r="N48" s="14">
        <f ca="1">SOLID!R59</f>
        <v>-24.55</v>
      </c>
      <c r="O48" s="14">
        <f ca="1">SOLID!S59</f>
        <v>-18.5</v>
      </c>
      <c r="P48" s="14">
        <f ca="1">SOLID!T59</f>
        <v>-13.49</v>
      </c>
      <c r="Q48" s="14">
        <f ca="1">SOLID!U59</f>
        <v>-12.36</v>
      </c>
      <c r="R48" s="14">
        <f ca="1">SOLID!V59</f>
        <v>-11.28</v>
      </c>
      <c r="S48" s="14">
        <f ca="1">SOLID!W59</f>
        <v>-10.24</v>
      </c>
      <c r="T48" s="14">
        <f ca="1">SOLID!X59</f>
        <v>-9.24</v>
      </c>
      <c r="U48" s="14">
        <f ca="1">SOLID!Y59</f>
        <v>-8.68</v>
      </c>
      <c r="V48" s="14">
        <f ca="1">SOLID!Z59</f>
        <v>-8.2560000000000002</v>
      </c>
      <c r="W48" s="14">
        <f ca="1">SOLID!AA59</f>
        <v>-7.8470000000000004</v>
      </c>
      <c r="X48" s="14">
        <f ca="1">SOLID!AB59</f>
        <v>-7.6349999999999998</v>
      </c>
      <c r="Y48" s="14">
        <f ca="1">SOLID!AC59</f>
        <v>-7.7149999999999999</v>
      </c>
      <c r="Z48" s="14">
        <f ca="1">SOLID!AD59</f>
        <v>-7.7960000000000003</v>
      </c>
      <c r="AA48" s="14">
        <f ca="1">SOLID!AE59</f>
        <v>-7.8789999999999996</v>
      </c>
      <c r="AB48" s="14">
        <f ca="1">SOLID!AF59</f>
        <v>-7.9630000000000001</v>
      </c>
      <c r="AC48" s="14">
        <f ca="1">SOLID!AG59</f>
        <v>-8.3190000000000008</v>
      </c>
      <c r="AD48" s="14">
        <f ca="1">SOLID!AH59</f>
        <v>-8.7249999999999996</v>
      </c>
      <c r="AE48" s="14">
        <f ca="1">SOLID!AI59</f>
        <v>0</v>
      </c>
      <c r="AF48" s="14">
        <f ca="1">SOLID!AJ59</f>
        <v>0</v>
      </c>
      <c r="AG48" s="14">
        <f ca="1">SOLID!AK59</f>
        <v>0</v>
      </c>
      <c r="AH48" s="14">
        <f ca="1">SOLID!AL59</f>
        <v>0</v>
      </c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</row>
    <row r="49" spans="1:94" ht="21.75" hidden="1" outlineLevel="1" thickBot="1" x14ac:dyDescent="0.4">
      <c r="A49" s="35" t="str">
        <f>SOLID!E60</f>
        <v>H (Ge)</v>
      </c>
      <c r="B49" s="16">
        <f ca="1">SOLID!F60</f>
        <v>-16.29</v>
      </c>
      <c r="C49" s="16">
        <f ca="1">SOLID!G60</f>
        <v>-15.65</v>
      </c>
      <c r="D49" s="16">
        <f ca="1">SOLID!H60</f>
        <v>-15.09</v>
      </c>
      <c r="E49" s="16">
        <f ca="1">SOLID!I60</f>
        <v>-14.59</v>
      </c>
      <c r="F49" s="14">
        <f ca="1">SOLID!J60</f>
        <v>-14.16</v>
      </c>
      <c r="G49" s="14">
        <f ca="1">SOLID!K60</f>
        <v>-13.03</v>
      </c>
      <c r="H49" s="14">
        <f ca="1">SOLID!L60</f>
        <v>-11.8</v>
      </c>
      <c r="I49" s="14">
        <f ca="1">SOLID!M60</f>
        <v>-10.67</v>
      </c>
      <c r="J49" s="14">
        <f ca="1">SOLID!N60</f>
        <v>-9.6150000000000002</v>
      </c>
      <c r="K49" s="14">
        <f ca="1">SOLID!O60</f>
        <v>-6.04</v>
      </c>
      <c r="L49" s="14">
        <f ca="1">SOLID!P60</f>
        <v>-5.2759999999999998</v>
      </c>
      <c r="M49" s="14">
        <f ca="1">SOLID!Q60</f>
        <v>-4.1150000000000002</v>
      </c>
      <c r="N49" s="14">
        <f ca="1">SOLID!R60</f>
        <v>-4.1550000000000002</v>
      </c>
      <c r="O49" s="14">
        <f ca="1">SOLID!S60</f>
        <v>-4.3170000000000002</v>
      </c>
      <c r="P49" s="14">
        <f ca="1">SOLID!T60</f>
        <v>-4.4809999999999999</v>
      </c>
      <c r="Q49" s="14">
        <f ca="1">SOLID!U60</f>
        <v>-4.5220000000000002</v>
      </c>
      <c r="R49" s="14">
        <f ca="1">SOLID!V60</f>
        <v>-4.5620000000000003</v>
      </c>
      <c r="S49" s="14">
        <f ca="1">SOLID!W60</f>
        <v>-4.6029999999999998</v>
      </c>
      <c r="T49" s="14">
        <f ca="1">SOLID!X60</f>
        <v>-4.6429999999999998</v>
      </c>
      <c r="U49" s="14">
        <f ca="1">SOLID!Y60</f>
        <v>-4.6829999999999998</v>
      </c>
      <c r="V49" s="14">
        <f ca="1">SOLID!Z60</f>
        <v>-4.7220000000000004</v>
      </c>
      <c r="W49" s="14">
        <f ca="1">SOLID!AA60</f>
        <v>-4.7619999999999996</v>
      </c>
      <c r="X49" s="14">
        <f ca="1">SOLID!AB60</f>
        <v>-4.8010000000000002</v>
      </c>
      <c r="Y49" s="14">
        <f ca="1">SOLID!AC60</f>
        <v>-4.84</v>
      </c>
      <c r="Z49" s="14">
        <f ca="1">SOLID!AD60</f>
        <v>-4.8780000000000001</v>
      </c>
      <c r="AA49" s="14">
        <f ca="1">SOLID!AE60</f>
        <v>-4.9169999999999998</v>
      </c>
      <c r="AB49" s="14">
        <f ca="1">SOLID!AF60</f>
        <v>-4.9550000000000001</v>
      </c>
      <c r="AC49" s="14">
        <f ca="1">SOLID!AG60</f>
        <v>-5.1040000000000001</v>
      </c>
      <c r="AD49" s="14">
        <f ca="1">SOLID!AH60</f>
        <v>-5.2489999999999997</v>
      </c>
      <c r="AE49" s="14">
        <f ca="1">SOLID!AI60</f>
        <v>0</v>
      </c>
      <c r="AF49" s="14">
        <f ca="1">SOLID!AJ60</f>
        <v>0</v>
      </c>
      <c r="AG49" s="14">
        <f ca="1">SOLID!AK60</f>
        <v>0</v>
      </c>
      <c r="AH49" s="14">
        <f ca="1">SOLID!AL60</f>
        <v>0</v>
      </c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</row>
    <row r="50" spans="1:94" ht="21.75" hidden="1" outlineLevel="1" thickBot="1" x14ac:dyDescent="0.4">
      <c r="A50" s="35" t="str">
        <f>SOLID!E61</f>
        <v>H (Se)</v>
      </c>
      <c r="B50" s="16">
        <f ca="1">SOLID!F61</f>
        <v>-23.52</v>
      </c>
      <c r="C50" s="16">
        <f ca="1">SOLID!G61</f>
        <v>-22.41</v>
      </c>
      <c r="D50" s="16">
        <f ca="1">SOLID!H61</f>
        <v>-21.42</v>
      </c>
      <c r="E50" s="16">
        <f ca="1">SOLID!I61</f>
        <v>-20.54</v>
      </c>
      <c r="F50" s="14">
        <f ca="1">SOLID!J61</f>
        <v>-19.760000000000002</v>
      </c>
      <c r="G50" s="14">
        <f ca="1">SOLID!K61</f>
        <v>-19.79</v>
      </c>
      <c r="H50" s="14">
        <f ca="1">SOLID!L61</f>
        <v>-20.03</v>
      </c>
      <c r="I50" s="14">
        <f ca="1">SOLID!M61</f>
        <v>-20.28</v>
      </c>
      <c r="J50" s="14">
        <f ca="1">SOLID!N61</f>
        <v>-20.52</v>
      </c>
      <c r="K50" s="14">
        <f ca="1">SOLID!O61</f>
        <v>-21.52</v>
      </c>
      <c r="L50" s="14">
        <f ca="1">SOLID!P61</f>
        <v>-21.77</v>
      </c>
      <c r="M50" s="14">
        <f ca="1">SOLID!Q61</f>
        <v>-22.27</v>
      </c>
      <c r="N50" s="14">
        <f ca="1">SOLID!R61</f>
        <v>-22.51</v>
      </c>
      <c r="O50" s="14">
        <f ca="1">SOLID!S61</f>
        <v>-23.48</v>
      </c>
      <c r="P50" s="14">
        <f ca="1">SOLID!T61</f>
        <v>-24.41</v>
      </c>
      <c r="Q50" s="14">
        <f ca="1">SOLID!U61</f>
        <v>-24.64</v>
      </c>
      <c r="R50" s="14">
        <f ca="1">SOLID!V61</f>
        <v>-24.86</v>
      </c>
      <c r="S50" s="14">
        <f ca="1">SOLID!W61</f>
        <v>-25.09</v>
      </c>
      <c r="T50" s="14">
        <f ca="1">SOLID!X61</f>
        <v>-25.31</v>
      </c>
      <c r="U50" s="14">
        <f ca="1">SOLID!Y61</f>
        <v>-25.53</v>
      </c>
      <c r="V50" s="14">
        <f ca="1">SOLID!Z61</f>
        <v>-25.75</v>
      </c>
      <c r="W50" s="14">
        <f ca="1">SOLID!AA61</f>
        <v>-25.96</v>
      </c>
      <c r="X50" s="14">
        <f ca="1">SOLID!AB61</f>
        <v>-26.18</v>
      </c>
      <c r="Y50" s="14">
        <f ca="1">SOLID!AC61</f>
        <v>-26.39</v>
      </c>
      <c r="Z50" s="14">
        <f ca="1">SOLID!AD61</f>
        <v>-26.6</v>
      </c>
      <c r="AA50" s="14">
        <f ca="1">SOLID!AE61</f>
        <v>-26.81</v>
      </c>
      <c r="AB50" s="14">
        <f ca="1">SOLID!AF61</f>
        <v>-27.02</v>
      </c>
      <c r="AC50" s="14">
        <f ca="1">SOLID!AG61</f>
        <v>-27.83</v>
      </c>
      <c r="AD50" s="14">
        <f ca="1">SOLID!AH61</f>
        <v>-28.62</v>
      </c>
      <c r="AE50" s="14">
        <f ca="1">SOLID!AI61</f>
        <v>0</v>
      </c>
      <c r="AF50" s="14">
        <f ca="1">SOLID!AJ61</f>
        <v>0</v>
      </c>
      <c r="AG50" s="14">
        <f ca="1">SOLID!AK61</f>
        <v>0</v>
      </c>
      <c r="AH50" s="14">
        <f ca="1">SOLID!AL61</f>
        <v>0</v>
      </c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</row>
    <row r="51" spans="1:94" ht="21.75" hidden="1" outlineLevel="1" thickBot="1" x14ac:dyDescent="0.4">
      <c r="A51" s="35">
        <f>SOLID!E62</f>
        <v>0</v>
      </c>
      <c r="B51" s="16">
        <f ca="1">SOLID!F62</f>
        <v>0</v>
      </c>
      <c r="C51" s="16">
        <f ca="1">SOLID!G62</f>
        <v>0</v>
      </c>
      <c r="D51" s="16">
        <f ca="1">SOLID!H62</f>
        <v>0</v>
      </c>
      <c r="E51" s="16">
        <f ca="1">SOLID!I62</f>
        <v>0</v>
      </c>
      <c r="F51" s="14">
        <f ca="1">SOLID!J62</f>
        <v>0</v>
      </c>
      <c r="G51" s="14">
        <f ca="1">SOLID!K62</f>
        <v>0</v>
      </c>
      <c r="H51" s="14">
        <f ca="1">SOLID!L62</f>
        <v>0</v>
      </c>
      <c r="I51" s="14">
        <f ca="1">SOLID!M62</f>
        <v>0</v>
      </c>
      <c r="J51" s="14">
        <f ca="1">SOLID!N62</f>
        <v>0</v>
      </c>
      <c r="K51" s="14">
        <f ca="1">SOLID!O62</f>
        <v>0</v>
      </c>
      <c r="L51" s="14">
        <f ca="1">SOLID!P62</f>
        <v>0</v>
      </c>
      <c r="M51" s="14">
        <f ca="1">SOLID!Q62</f>
        <v>0</v>
      </c>
      <c r="N51" s="14">
        <f ca="1">SOLID!R62</f>
        <v>0</v>
      </c>
      <c r="O51" s="14">
        <f ca="1">SOLID!S62</f>
        <v>0</v>
      </c>
      <c r="P51" s="14">
        <f ca="1">SOLID!T62</f>
        <v>0</v>
      </c>
      <c r="Q51" s="14">
        <f ca="1">SOLID!U62</f>
        <v>0</v>
      </c>
      <c r="R51" s="14">
        <f ca="1">SOLID!V62</f>
        <v>0</v>
      </c>
      <c r="S51" s="14">
        <f ca="1">SOLID!W62</f>
        <v>0</v>
      </c>
      <c r="T51" s="14">
        <f ca="1">SOLID!X62</f>
        <v>0</v>
      </c>
      <c r="U51" s="14">
        <f ca="1">SOLID!Y62</f>
        <v>0</v>
      </c>
      <c r="V51" s="14">
        <f ca="1">SOLID!Z62</f>
        <v>0</v>
      </c>
      <c r="W51" s="14">
        <f ca="1">SOLID!AA62</f>
        <v>0</v>
      </c>
      <c r="X51" s="14">
        <f ca="1">SOLID!AB62</f>
        <v>0</v>
      </c>
      <c r="Y51" s="14">
        <f ca="1">SOLID!AC62</f>
        <v>0</v>
      </c>
      <c r="Z51" s="14">
        <f ca="1">SOLID!AD62</f>
        <v>0</v>
      </c>
      <c r="AA51" s="14">
        <f ca="1">SOLID!AE62</f>
        <v>0</v>
      </c>
      <c r="AB51" s="14">
        <f ca="1">SOLID!AF62</f>
        <v>0</v>
      </c>
      <c r="AC51" s="14">
        <f ca="1">SOLID!AG62</f>
        <v>0</v>
      </c>
      <c r="AD51" s="14">
        <f ca="1">SOLID!AH62</f>
        <v>0</v>
      </c>
      <c r="AE51" s="14">
        <f ca="1">SOLID!AI62</f>
        <v>0</v>
      </c>
      <c r="AF51" s="14">
        <f ca="1">SOLID!AJ62</f>
        <v>0</v>
      </c>
      <c r="AG51" s="14">
        <f ca="1">SOLID!AK62</f>
        <v>0</v>
      </c>
      <c r="AH51" s="14">
        <f ca="1">SOLID!AL62</f>
        <v>0</v>
      </c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</row>
    <row r="52" spans="1:94" ht="21.75" hidden="1" outlineLevel="1" thickBot="1" x14ac:dyDescent="0.4">
      <c r="A52" s="35">
        <f>SOLID!E63</f>
        <v>0</v>
      </c>
      <c r="B52" s="16">
        <f ca="1">SOLID!F63</f>
        <v>0</v>
      </c>
      <c r="C52" s="16">
        <f ca="1">SOLID!G63</f>
        <v>0</v>
      </c>
      <c r="D52" s="16">
        <f ca="1">SOLID!H63</f>
        <v>0</v>
      </c>
      <c r="E52" s="16">
        <f ca="1">SOLID!I63</f>
        <v>0</v>
      </c>
      <c r="F52" s="14">
        <f ca="1">SOLID!J63</f>
        <v>0</v>
      </c>
      <c r="G52" s="14">
        <f ca="1">SOLID!K63</f>
        <v>0</v>
      </c>
      <c r="H52" s="14">
        <f ca="1">SOLID!L63</f>
        <v>0</v>
      </c>
      <c r="I52" s="14">
        <f ca="1">SOLID!M63</f>
        <v>0</v>
      </c>
      <c r="J52" s="14">
        <f ca="1">SOLID!N63</f>
        <v>0</v>
      </c>
      <c r="K52" s="14">
        <f ca="1">SOLID!O63</f>
        <v>0</v>
      </c>
      <c r="L52" s="14">
        <f ca="1">SOLID!P63</f>
        <v>0</v>
      </c>
      <c r="M52" s="14">
        <f ca="1">SOLID!Q63</f>
        <v>0</v>
      </c>
      <c r="N52" s="14">
        <f ca="1">SOLID!R63</f>
        <v>0</v>
      </c>
      <c r="O52" s="14">
        <f ca="1">SOLID!S63</f>
        <v>0</v>
      </c>
      <c r="P52" s="14">
        <f ca="1">SOLID!T63</f>
        <v>0</v>
      </c>
      <c r="Q52" s="14">
        <f ca="1">SOLID!U63</f>
        <v>0</v>
      </c>
      <c r="R52" s="14">
        <f ca="1">SOLID!V63</f>
        <v>0</v>
      </c>
      <c r="S52" s="14">
        <f ca="1">SOLID!W63</f>
        <v>0</v>
      </c>
      <c r="T52" s="14">
        <f ca="1">SOLID!X63</f>
        <v>0</v>
      </c>
      <c r="U52" s="14">
        <f ca="1">SOLID!Y63</f>
        <v>0</v>
      </c>
      <c r="V52" s="14">
        <f ca="1">SOLID!Z63</f>
        <v>0</v>
      </c>
      <c r="W52" s="14">
        <f ca="1">SOLID!AA63</f>
        <v>0</v>
      </c>
      <c r="X52" s="14">
        <f ca="1">SOLID!AB63</f>
        <v>0</v>
      </c>
      <c r="Y52" s="14">
        <f ca="1">SOLID!AC63</f>
        <v>0</v>
      </c>
      <c r="Z52" s="14">
        <f ca="1">SOLID!AD63</f>
        <v>0</v>
      </c>
      <c r="AA52" s="14">
        <f ca="1">SOLID!AE63</f>
        <v>0</v>
      </c>
      <c r="AB52" s="14">
        <f ca="1">SOLID!AF63</f>
        <v>0</v>
      </c>
      <c r="AC52" s="14">
        <f ca="1">SOLID!AG63</f>
        <v>0</v>
      </c>
      <c r="AD52" s="14">
        <f ca="1">SOLID!AH63</f>
        <v>0</v>
      </c>
      <c r="AE52" s="14">
        <f ca="1">SOLID!AI63</f>
        <v>0</v>
      </c>
      <c r="AF52" s="14">
        <f ca="1">SOLID!AJ63</f>
        <v>0</v>
      </c>
      <c r="AG52" s="14">
        <f ca="1">SOLID!AK63</f>
        <v>0</v>
      </c>
      <c r="AH52" s="14">
        <f ca="1">SOLID!AL63</f>
        <v>0</v>
      </c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</row>
    <row r="53" spans="1:94" ht="21.75" hidden="1" outlineLevel="1" thickBot="1" x14ac:dyDescent="0.4">
      <c r="A53" s="35">
        <f>SOLID!E64</f>
        <v>0</v>
      </c>
      <c r="B53" s="16">
        <f ca="1">SOLID!F64</f>
        <v>0</v>
      </c>
      <c r="C53" s="16">
        <f ca="1">SOLID!G64</f>
        <v>0</v>
      </c>
      <c r="D53" s="16">
        <f ca="1">SOLID!H64</f>
        <v>0</v>
      </c>
      <c r="E53" s="16">
        <f ca="1">SOLID!I64</f>
        <v>0</v>
      </c>
      <c r="F53" s="14">
        <f ca="1">SOLID!J64</f>
        <v>0</v>
      </c>
      <c r="G53" s="14">
        <f ca="1">SOLID!K64</f>
        <v>0</v>
      </c>
      <c r="H53" s="14">
        <f ca="1">SOLID!L64</f>
        <v>0</v>
      </c>
      <c r="I53" s="14">
        <f ca="1">SOLID!M64</f>
        <v>0</v>
      </c>
      <c r="J53" s="14">
        <f ca="1">SOLID!N64</f>
        <v>0</v>
      </c>
      <c r="K53" s="14">
        <f ca="1">SOLID!O64</f>
        <v>0</v>
      </c>
      <c r="L53" s="14">
        <f ca="1">SOLID!P64</f>
        <v>0</v>
      </c>
      <c r="M53" s="14">
        <f ca="1">SOLID!Q64</f>
        <v>0</v>
      </c>
      <c r="N53" s="14">
        <f ca="1">SOLID!R64</f>
        <v>0</v>
      </c>
      <c r="O53" s="14">
        <f ca="1">SOLID!S64</f>
        <v>0</v>
      </c>
      <c r="P53" s="14">
        <f ca="1">SOLID!T64</f>
        <v>0</v>
      </c>
      <c r="Q53" s="14">
        <f ca="1">SOLID!U64</f>
        <v>0</v>
      </c>
      <c r="R53" s="14">
        <f ca="1">SOLID!V64</f>
        <v>0</v>
      </c>
      <c r="S53" s="14">
        <f ca="1">SOLID!W64</f>
        <v>0</v>
      </c>
      <c r="T53" s="14">
        <f ca="1">SOLID!X64</f>
        <v>0</v>
      </c>
      <c r="U53" s="14">
        <f ca="1">SOLID!Y64</f>
        <v>0</v>
      </c>
      <c r="V53" s="14">
        <f ca="1">SOLID!Z64</f>
        <v>0</v>
      </c>
      <c r="W53" s="14">
        <f ca="1">SOLID!AA64</f>
        <v>0</v>
      </c>
      <c r="X53" s="14">
        <f ca="1">SOLID!AB64</f>
        <v>0</v>
      </c>
      <c r="Y53" s="14">
        <f ca="1">SOLID!AC64</f>
        <v>0</v>
      </c>
      <c r="Z53" s="14">
        <f ca="1">SOLID!AD64</f>
        <v>0</v>
      </c>
      <c r="AA53" s="14">
        <f ca="1">SOLID!AE64</f>
        <v>0</v>
      </c>
      <c r="AB53" s="14">
        <f ca="1">SOLID!AF64</f>
        <v>0</v>
      </c>
      <c r="AC53" s="14">
        <f ca="1">SOLID!AG64</f>
        <v>0</v>
      </c>
      <c r="AD53" s="14">
        <f ca="1">SOLID!AH64</f>
        <v>0</v>
      </c>
      <c r="AE53" s="14">
        <f ca="1">SOLID!AI64</f>
        <v>0</v>
      </c>
      <c r="AF53" s="14">
        <f ca="1">SOLID!AJ64</f>
        <v>0</v>
      </c>
      <c r="AG53" s="14">
        <f ca="1">SOLID!AK64</f>
        <v>0</v>
      </c>
      <c r="AH53" s="14">
        <f ca="1">SOLID!AL64</f>
        <v>0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</row>
    <row r="54" spans="1:94" ht="21.75" hidden="1" outlineLevel="1" thickBot="1" x14ac:dyDescent="0.4">
      <c r="A54" s="35">
        <f>SOLID!E65</f>
        <v>0</v>
      </c>
      <c r="B54" s="16">
        <f ca="1">SOLID!F65</f>
        <v>0</v>
      </c>
      <c r="C54" s="16">
        <f ca="1">SOLID!G65</f>
        <v>0</v>
      </c>
      <c r="D54" s="16">
        <f ca="1">SOLID!H65</f>
        <v>0</v>
      </c>
      <c r="E54" s="16">
        <f ca="1">SOLID!I65</f>
        <v>0</v>
      </c>
      <c r="F54" s="14">
        <f ca="1">SOLID!J65</f>
        <v>0</v>
      </c>
      <c r="G54" s="14">
        <f ca="1">SOLID!K65</f>
        <v>0</v>
      </c>
      <c r="H54" s="14">
        <f ca="1">SOLID!L65</f>
        <v>0</v>
      </c>
      <c r="I54" s="14">
        <f ca="1">SOLID!M65</f>
        <v>0</v>
      </c>
      <c r="J54" s="14">
        <f ca="1">SOLID!N65</f>
        <v>0</v>
      </c>
      <c r="K54" s="14">
        <f ca="1">SOLID!O65</f>
        <v>0</v>
      </c>
      <c r="L54" s="14">
        <f ca="1">SOLID!P65</f>
        <v>0</v>
      </c>
      <c r="M54" s="14">
        <f ca="1">SOLID!Q65</f>
        <v>0</v>
      </c>
      <c r="N54" s="14">
        <f ca="1">SOLID!R65</f>
        <v>0</v>
      </c>
      <c r="O54" s="14">
        <f ca="1">SOLID!S65</f>
        <v>0</v>
      </c>
      <c r="P54" s="14">
        <f ca="1">SOLID!T65</f>
        <v>0</v>
      </c>
      <c r="Q54" s="14">
        <f ca="1">SOLID!U65</f>
        <v>0</v>
      </c>
      <c r="R54" s="14">
        <f ca="1">SOLID!V65</f>
        <v>0</v>
      </c>
      <c r="S54" s="14">
        <f ca="1">SOLID!W65</f>
        <v>0</v>
      </c>
      <c r="T54" s="14">
        <f ca="1">SOLID!X65</f>
        <v>0</v>
      </c>
      <c r="U54" s="14">
        <f ca="1">SOLID!Y65</f>
        <v>0</v>
      </c>
      <c r="V54" s="14">
        <f ca="1">SOLID!Z65</f>
        <v>0</v>
      </c>
      <c r="W54" s="14">
        <f ca="1">SOLID!AA65</f>
        <v>0</v>
      </c>
      <c r="X54" s="14">
        <f ca="1">SOLID!AB65</f>
        <v>0</v>
      </c>
      <c r="Y54" s="14">
        <f ca="1">SOLID!AC65</f>
        <v>0</v>
      </c>
      <c r="Z54" s="14">
        <f ca="1">SOLID!AD65</f>
        <v>0</v>
      </c>
      <c r="AA54" s="14">
        <f ca="1">SOLID!AE65</f>
        <v>0</v>
      </c>
      <c r="AB54" s="14">
        <f ca="1">SOLID!AF65</f>
        <v>0</v>
      </c>
      <c r="AC54" s="14">
        <f ca="1">SOLID!AG65</f>
        <v>0</v>
      </c>
      <c r="AD54" s="14">
        <f ca="1">SOLID!AH65</f>
        <v>0</v>
      </c>
      <c r="AE54" s="14">
        <f ca="1">SOLID!AI65</f>
        <v>0</v>
      </c>
      <c r="AF54" s="14">
        <f ca="1">SOLID!AJ65</f>
        <v>0</v>
      </c>
      <c r="AG54" s="14">
        <f ca="1">SOLID!AK65</f>
        <v>0</v>
      </c>
      <c r="AH54" s="14">
        <f ca="1">SOLID!AL65</f>
        <v>0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</row>
    <row r="55" spans="1:94" ht="21.75" hidden="1" outlineLevel="1" thickBot="1" x14ac:dyDescent="0.4">
      <c r="A55" s="35">
        <f>SOLID!E66</f>
        <v>0</v>
      </c>
      <c r="B55" s="16">
        <f ca="1">SOLID!F66</f>
        <v>0</v>
      </c>
      <c r="C55" s="16">
        <f ca="1">SOLID!G66</f>
        <v>0</v>
      </c>
      <c r="D55" s="16">
        <f ca="1">SOLID!H66</f>
        <v>0</v>
      </c>
      <c r="E55" s="16">
        <f ca="1">SOLID!I66</f>
        <v>0</v>
      </c>
      <c r="F55" s="14">
        <f ca="1">SOLID!J66</f>
        <v>0</v>
      </c>
      <c r="G55" s="14">
        <f ca="1">SOLID!K66</f>
        <v>0</v>
      </c>
      <c r="H55" s="14">
        <f ca="1">SOLID!L66</f>
        <v>0</v>
      </c>
      <c r="I55" s="14">
        <f ca="1">SOLID!M66</f>
        <v>0</v>
      </c>
      <c r="J55" s="14">
        <f ca="1">SOLID!N66</f>
        <v>0</v>
      </c>
      <c r="K55" s="14">
        <f ca="1">SOLID!O66</f>
        <v>0</v>
      </c>
      <c r="L55" s="14">
        <f ca="1">SOLID!P66</f>
        <v>0</v>
      </c>
      <c r="M55" s="14">
        <f ca="1">SOLID!Q66</f>
        <v>0</v>
      </c>
      <c r="N55" s="14">
        <f ca="1">SOLID!R66</f>
        <v>0</v>
      </c>
      <c r="O55" s="14">
        <f ca="1">SOLID!S66</f>
        <v>0</v>
      </c>
      <c r="P55" s="14">
        <f ca="1">SOLID!T66</f>
        <v>0</v>
      </c>
      <c r="Q55" s="14">
        <f ca="1">SOLID!U66</f>
        <v>0</v>
      </c>
      <c r="R55" s="14">
        <f ca="1">SOLID!V66</f>
        <v>0</v>
      </c>
      <c r="S55" s="14">
        <f ca="1">SOLID!W66</f>
        <v>0</v>
      </c>
      <c r="T55" s="14">
        <f ca="1">SOLID!X66</f>
        <v>0</v>
      </c>
      <c r="U55" s="14">
        <f ca="1">SOLID!Y66</f>
        <v>0</v>
      </c>
      <c r="V55" s="14">
        <f ca="1">SOLID!Z66</f>
        <v>0</v>
      </c>
      <c r="W55" s="14">
        <f ca="1">SOLID!AA66</f>
        <v>0</v>
      </c>
      <c r="X55" s="14">
        <f ca="1">SOLID!AB66</f>
        <v>0</v>
      </c>
      <c r="Y55" s="14">
        <f ca="1">SOLID!AC66</f>
        <v>0</v>
      </c>
      <c r="Z55" s="14">
        <f ca="1">SOLID!AD66</f>
        <v>0</v>
      </c>
      <c r="AA55" s="14">
        <f ca="1">SOLID!AE66</f>
        <v>0</v>
      </c>
      <c r="AB55" s="14">
        <f ca="1">SOLID!AF66</f>
        <v>0</v>
      </c>
      <c r="AC55" s="14">
        <f ca="1">SOLID!AG66</f>
        <v>0</v>
      </c>
      <c r="AD55" s="14">
        <f ca="1">SOLID!AH66</f>
        <v>0</v>
      </c>
      <c r="AE55" s="14">
        <f ca="1">SOLID!AI66</f>
        <v>0</v>
      </c>
      <c r="AF55" s="14">
        <f ca="1">SOLID!AJ66</f>
        <v>0</v>
      </c>
      <c r="AG55" s="14">
        <f ca="1">SOLID!AK66</f>
        <v>0</v>
      </c>
      <c r="AH55" s="14">
        <f ca="1">SOLID!AL66</f>
        <v>0</v>
      </c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</row>
    <row r="56" spans="1:94" ht="21.75" hidden="1" outlineLevel="1" thickBot="1" x14ac:dyDescent="0.4">
      <c r="A56" s="35">
        <f>SOLID!E67</f>
        <v>0</v>
      </c>
      <c r="B56" s="16">
        <f ca="1">SOLID!F67</f>
        <v>0</v>
      </c>
      <c r="C56" s="16">
        <f ca="1">SOLID!G67</f>
        <v>0</v>
      </c>
      <c r="D56" s="16">
        <f ca="1">SOLID!H67</f>
        <v>0</v>
      </c>
      <c r="E56" s="16">
        <f ca="1">SOLID!I67</f>
        <v>0</v>
      </c>
      <c r="F56" s="14">
        <f ca="1">SOLID!J67</f>
        <v>0</v>
      </c>
      <c r="G56" s="14">
        <f ca="1">SOLID!K67</f>
        <v>0</v>
      </c>
      <c r="H56" s="14">
        <f ca="1">SOLID!L67</f>
        <v>0</v>
      </c>
      <c r="I56" s="14">
        <f ca="1">SOLID!M67</f>
        <v>0</v>
      </c>
      <c r="J56" s="14">
        <f ca="1">SOLID!N67</f>
        <v>0</v>
      </c>
      <c r="K56" s="14">
        <f ca="1">SOLID!O67</f>
        <v>0</v>
      </c>
      <c r="L56" s="14">
        <f ca="1">SOLID!P67</f>
        <v>0</v>
      </c>
      <c r="M56" s="14">
        <f ca="1">SOLID!Q67</f>
        <v>0</v>
      </c>
      <c r="N56" s="14">
        <f ca="1">SOLID!R67</f>
        <v>0</v>
      </c>
      <c r="O56" s="14">
        <f ca="1">SOLID!S67</f>
        <v>0</v>
      </c>
      <c r="P56" s="14">
        <f ca="1">SOLID!T67</f>
        <v>0</v>
      </c>
      <c r="Q56" s="14">
        <f ca="1">SOLID!U67</f>
        <v>0</v>
      </c>
      <c r="R56" s="14">
        <f ca="1">SOLID!V67</f>
        <v>0</v>
      </c>
      <c r="S56" s="14">
        <f ca="1">SOLID!W67</f>
        <v>0</v>
      </c>
      <c r="T56" s="14">
        <f ca="1">SOLID!X67</f>
        <v>0</v>
      </c>
      <c r="U56" s="14">
        <f ca="1">SOLID!Y67</f>
        <v>0</v>
      </c>
      <c r="V56" s="14">
        <f ca="1">SOLID!Z67</f>
        <v>0</v>
      </c>
      <c r="W56" s="14">
        <f ca="1">SOLID!AA67</f>
        <v>0</v>
      </c>
      <c r="X56" s="14">
        <f ca="1">SOLID!AB67</f>
        <v>0</v>
      </c>
      <c r="Y56" s="14">
        <f ca="1">SOLID!AC67</f>
        <v>0</v>
      </c>
      <c r="Z56" s="14">
        <f ca="1">SOLID!AD67</f>
        <v>0</v>
      </c>
      <c r="AA56" s="14">
        <f ca="1">SOLID!AE67</f>
        <v>0</v>
      </c>
      <c r="AB56" s="14">
        <f ca="1">SOLID!AF67</f>
        <v>0</v>
      </c>
      <c r="AC56" s="14">
        <f ca="1">SOLID!AG67</f>
        <v>0</v>
      </c>
      <c r="AD56" s="14">
        <f ca="1">SOLID!AH67</f>
        <v>0</v>
      </c>
      <c r="AE56" s="14">
        <f ca="1">SOLID!AI67</f>
        <v>0</v>
      </c>
      <c r="AF56" s="14">
        <f ca="1">SOLID!AJ67</f>
        <v>0</v>
      </c>
      <c r="AG56" s="14">
        <f ca="1">SOLID!AK67</f>
        <v>0</v>
      </c>
      <c r="AH56" s="14">
        <f ca="1">SOLID!AL67</f>
        <v>0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</row>
    <row r="57" spans="1:94" ht="21.75" hidden="1" outlineLevel="1" thickBot="1" x14ac:dyDescent="0.4">
      <c r="A57" s="35">
        <f>SOLID!E68</f>
        <v>0</v>
      </c>
      <c r="B57" s="16">
        <f ca="1">SOLID!F68</f>
        <v>0</v>
      </c>
      <c r="C57" s="16">
        <f ca="1">SOLID!G68</f>
        <v>0</v>
      </c>
      <c r="D57" s="16">
        <f ca="1">SOLID!H68</f>
        <v>0</v>
      </c>
      <c r="E57" s="16">
        <f ca="1">SOLID!I68</f>
        <v>0</v>
      </c>
      <c r="F57" s="14">
        <f ca="1">SOLID!J68</f>
        <v>0</v>
      </c>
      <c r="G57" s="14">
        <f ca="1">SOLID!K68</f>
        <v>0</v>
      </c>
      <c r="H57" s="14">
        <f ca="1">SOLID!L68</f>
        <v>0</v>
      </c>
      <c r="I57" s="14">
        <f ca="1">SOLID!M68</f>
        <v>0</v>
      </c>
      <c r="J57" s="14">
        <f ca="1">SOLID!N68</f>
        <v>0</v>
      </c>
      <c r="K57" s="14">
        <f ca="1">SOLID!O68</f>
        <v>0</v>
      </c>
      <c r="L57" s="14">
        <f ca="1">SOLID!P68</f>
        <v>0</v>
      </c>
      <c r="M57" s="14">
        <f ca="1">SOLID!Q68</f>
        <v>0</v>
      </c>
      <c r="N57" s="14">
        <f ca="1">SOLID!R68</f>
        <v>0</v>
      </c>
      <c r="O57" s="14">
        <f ca="1">SOLID!S68</f>
        <v>0</v>
      </c>
      <c r="P57" s="14">
        <f ca="1">SOLID!T68</f>
        <v>0</v>
      </c>
      <c r="Q57" s="14">
        <f ca="1">SOLID!U68</f>
        <v>0</v>
      </c>
      <c r="R57" s="14">
        <f ca="1">SOLID!V68</f>
        <v>0</v>
      </c>
      <c r="S57" s="14">
        <f ca="1">SOLID!W68</f>
        <v>0</v>
      </c>
      <c r="T57" s="14">
        <f ca="1">SOLID!X68</f>
        <v>0</v>
      </c>
      <c r="U57" s="14">
        <f ca="1">SOLID!Y68</f>
        <v>0</v>
      </c>
      <c r="V57" s="14">
        <f ca="1">SOLID!Z68</f>
        <v>0</v>
      </c>
      <c r="W57" s="14">
        <f ca="1">SOLID!AA68</f>
        <v>0</v>
      </c>
      <c r="X57" s="14">
        <f ca="1">SOLID!AB68</f>
        <v>0</v>
      </c>
      <c r="Y57" s="14">
        <f ca="1">SOLID!AC68</f>
        <v>0</v>
      </c>
      <c r="Z57" s="14">
        <f ca="1">SOLID!AD68</f>
        <v>0</v>
      </c>
      <c r="AA57" s="14">
        <f ca="1">SOLID!AE68</f>
        <v>0</v>
      </c>
      <c r="AB57" s="14">
        <f ca="1">SOLID!AF68</f>
        <v>0</v>
      </c>
      <c r="AC57" s="14">
        <f ca="1">SOLID!AG68</f>
        <v>0</v>
      </c>
      <c r="AD57" s="14">
        <f ca="1">SOLID!AH68</f>
        <v>0</v>
      </c>
      <c r="AE57" s="14">
        <f ca="1">SOLID!AI68</f>
        <v>0</v>
      </c>
      <c r="AF57" s="14">
        <f ca="1">SOLID!AJ68</f>
        <v>0</v>
      </c>
      <c r="AG57" s="14">
        <f ca="1">SOLID!AK68</f>
        <v>0</v>
      </c>
      <c r="AH57" s="14">
        <f ca="1">SOLID!AL68</f>
        <v>0</v>
      </c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</row>
    <row r="58" spans="1:94" ht="21.75" hidden="1" outlineLevel="1" thickBot="1" x14ac:dyDescent="0.4">
      <c r="A58" s="35">
        <f>SOLID!E69</f>
        <v>0</v>
      </c>
      <c r="B58" s="16">
        <f ca="1">SOLID!F69</f>
        <v>0</v>
      </c>
      <c r="C58" s="16">
        <f ca="1">SOLID!G69</f>
        <v>0</v>
      </c>
      <c r="D58" s="16">
        <f ca="1">SOLID!H69</f>
        <v>0</v>
      </c>
      <c r="E58" s="16">
        <f ca="1">SOLID!I69</f>
        <v>0</v>
      </c>
      <c r="F58" s="14">
        <f ca="1">SOLID!J69</f>
        <v>0</v>
      </c>
      <c r="G58" s="14">
        <f ca="1">SOLID!K69</f>
        <v>0</v>
      </c>
      <c r="H58" s="14">
        <f ca="1">SOLID!L69</f>
        <v>0</v>
      </c>
      <c r="I58" s="14">
        <f ca="1">SOLID!M69</f>
        <v>0</v>
      </c>
      <c r="J58" s="14">
        <f ca="1">SOLID!N69</f>
        <v>0</v>
      </c>
      <c r="K58" s="14">
        <f ca="1">SOLID!O69</f>
        <v>0</v>
      </c>
      <c r="L58" s="14">
        <f ca="1">SOLID!P69</f>
        <v>0</v>
      </c>
      <c r="M58" s="14">
        <f ca="1">SOLID!Q69</f>
        <v>0</v>
      </c>
      <c r="N58" s="14">
        <f ca="1">SOLID!R69</f>
        <v>0</v>
      </c>
      <c r="O58" s="14">
        <f ca="1">SOLID!S69</f>
        <v>0</v>
      </c>
      <c r="P58" s="14">
        <f ca="1">SOLID!T69</f>
        <v>0</v>
      </c>
      <c r="Q58" s="14">
        <f ca="1">SOLID!U69</f>
        <v>0</v>
      </c>
      <c r="R58" s="14">
        <f ca="1">SOLID!V69</f>
        <v>0</v>
      </c>
      <c r="S58" s="14">
        <f ca="1">SOLID!W69</f>
        <v>0</v>
      </c>
      <c r="T58" s="14">
        <f ca="1">SOLID!X69</f>
        <v>0</v>
      </c>
      <c r="U58" s="14">
        <f ca="1">SOLID!Y69</f>
        <v>0</v>
      </c>
      <c r="V58" s="14">
        <f ca="1">SOLID!Z69</f>
        <v>0</v>
      </c>
      <c r="W58" s="14">
        <f ca="1">SOLID!AA69</f>
        <v>0</v>
      </c>
      <c r="X58" s="14">
        <f ca="1">SOLID!AB69</f>
        <v>0</v>
      </c>
      <c r="Y58" s="14">
        <f ca="1">SOLID!AC69</f>
        <v>0</v>
      </c>
      <c r="Z58" s="14">
        <f ca="1">SOLID!AD69</f>
        <v>0</v>
      </c>
      <c r="AA58" s="14">
        <f ca="1">SOLID!AE69</f>
        <v>0</v>
      </c>
      <c r="AB58" s="14">
        <f ca="1">SOLID!AF69</f>
        <v>0</v>
      </c>
      <c r="AC58" s="14">
        <f ca="1">SOLID!AG69</f>
        <v>0</v>
      </c>
      <c r="AD58" s="14">
        <f ca="1">SOLID!AH69</f>
        <v>0</v>
      </c>
      <c r="AE58" s="14">
        <f ca="1">SOLID!AI69</f>
        <v>0</v>
      </c>
      <c r="AF58" s="14">
        <f ca="1">SOLID!AJ69</f>
        <v>0</v>
      </c>
      <c r="AG58" s="14">
        <f ca="1">SOLID!AK69</f>
        <v>0</v>
      </c>
      <c r="AH58" s="14">
        <f ca="1">SOLID!AL69</f>
        <v>0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</row>
    <row r="59" spans="1:94" ht="21.75" hidden="1" outlineLevel="1" thickBot="1" x14ac:dyDescent="0.4">
      <c r="A59" s="35">
        <f>SOLID!E70</f>
        <v>0</v>
      </c>
      <c r="B59" s="16">
        <f ca="1">SOLID!F70</f>
        <v>0</v>
      </c>
      <c r="C59" s="16">
        <f ca="1">SOLID!G70</f>
        <v>0</v>
      </c>
      <c r="D59" s="16">
        <f ca="1">SOLID!H70</f>
        <v>0</v>
      </c>
      <c r="E59" s="16">
        <f ca="1">SOLID!I70</f>
        <v>0</v>
      </c>
      <c r="F59" s="14">
        <f ca="1">SOLID!J70</f>
        <v>0</v>
      </c>
      <c r="G59" s="14">
        <f ca="1">SOLID!K70</f>
        <v>0</v>
      </c>
      <c r="H59" s="14">
        <f ca="1">SOLID!L70</f>
        <v>0</v>
      </c>
      <c r="I59" s="14">
        <f ca="1">SOLID!M70</f>
        <v>0</v>
      </c>
      <c r="J59" s="14">
        <f ca="1">SOLID!N70</f>
        <v>0</v>
      </c>
      <c r="K59" s="14">
        <f ca="1">SOLID!O70</f>
        <v>0</v>
      </c>
      <c r="L59" s="14">
        <f ca="1">SOLID!P70</f>
        <v>0</v>
      </c>
      <c r="M59" s="14">
        <f ca="1">SOLID!Q70</f>
        <v>0</v>
      </c>
      <c r="N59" s="14">
        <f ca="1">SOLID!R70</f>
        <v>0</v>
      </c>
      <c r="O59" s="14">
        <f ca="1">SOLID!S70</f>
        <v>0</v>
      </c>
      <c r="P59" s="14">
        <f ca="1">SOLID!T70</f>
        <v>0</v>
      </c>
      <c r="Q59" s="14">
        <f ca="1">SOLID!U70</f>
        <v>0</v>
      </c>
      <c r="R59" s="14">
        <f ca="1">SOLID!V70</f>
        <v>0</v>
      </c>
      <c r="S59" s="14">
        <f ca="1">SOLID!W70</f>
        <v>0</v>
      </c>
      <c r="T59" s="14">
        <f ca="1">SOLID!X70</f>
        <v>0</v>
      </c>
      <c r="U59" s="14">
        <f ca="1">SOLID!Y70</f>
        <v>0</v>
      </c>
      <c r="V59" s="14">
        <f ca="1">SOLID!Z70</f>
        <v>0</v>
      </c>
      <c r="W59" s="14">
        <f ca="1">SOLID!AA70</f>
        <v>0</v>
      </c>
      <c r="X59" s="14">
        <f ca="1">SOLID!AB70</f>
        <v>0</v>
      </c>
      <c r="Y59" s="14">
        <f ca="1">SOLID!AC70</f>
        <v>0</v>
      </c>
      <c r="Z59" s="14">
        <f ca="1">SOLID!AD70</f>
        <v>0</v>
      </c>
      <c r="AA59" s="14">
        <f ca="1">SOLID!AE70</f>
        <v>0</v>
      </c>
      <c r="AB59" s="14">
        <f ca="1">SOLID!AF70</f>
        <v>0</v>
      </c>
      <c r="AC59" s="14">
        <f ca="1">SOLID!AG70</f>
        <v>0</v>
      </c>
      <c r="AD59" s="14">
        <f ca="1">SOLID!AH70</f>
        <v>0</v>
      </c>
      <c r="AE59" s="14">
        <f ca="1">SOLID!AI70</f>
        <v>0</v>
      </c>
      <c r="AF59" s="14">
        <f ca="1">SOLID!AJ70</f>
        <v>0</v>
      </c>
      <c r="AG59" s="14">
        <f ca="1">SOLID!AK70</f>
        <v>0</v>
      </c>
      <c r="AH59" s="14">
        <f ca="1">SOLID!AL70</f>
        <v>0</v>
      </c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</row>
    <row r="60" spans="1:94" ht="21.75" hidden="1" outlineLevel="1" thickBot="1" x14ac:dyDescent="0.4">
      <c r="A60" s="35">
        <f>SOLID!E71</f>
        <v>0</v>
      </c>
      <c r="B60" s="16">
        <f ca="1">SOLID!F71</f>
        <v>0</v>
      </c>
      <c r="C60" s="16">
        <f ca="1">SOLID!G71</f>
        <v>0</v>
      </c>
      <c r="D60" s="16">
        <f ca="1">SOLID!H71</f>
        <v>0</v>
      </c>
      <c r="E60" s="16">
        <f ca="1">SOLID!I71</f>
        <v>0</v>
      </c>
      <c r="F60" s="14">
        <f ca="1">SOLID!J71</f>
        <v>0</v>
      </c>
      <c r="G60" s="14">
        <f ca="1">SOLID!K71</f>
        <v>0</v>
      </c>
      <c r="H60" s="14">
        <f ca="1">SOLID!L71</f>
        <v>0</v>
      </c>
      <c r="I60" s="14">
        <f ca="1">SOLID!M71</f>
        <v>0</v>
      </c>
      <c r="J60" s="14">
        <f ca="1">SOLID!N71</f>
        <v>0</v>
      </c>
      <c r="K60" s="14">
        <f ca="1">SOLID!O71</f>
        <v>0</v>
      </c>
      <c r="L60" s="14">
        <f ca="1">SOLID!P71</f>
        <v>0</v>
      </c>
      <c r="M60" s="14">
        <f ca="1">SOLID!Q71</f>
        <v>0</v>
      </c>
      <c r="N60" s="14">
        <f ca="1">SOLID!R71</f>
        <v>0</v>
      </c>
      <c r="O60" s="14">
        <f ca="1">SOLID!S71</f>
        <v>0</v>
      </c>
      <c r="P60" s="14">
        <f ca="1">SOLID!T71</f>
        <v>0</v>
      </c>
      <c r="Q60" s="14">
        <f ca="1">SOLID!U71</f>
        <v>0</v>
      </c>
      <c r="R60" s="14">
        <f ca="1">SOLID!V71</f>
        <v>0</v>
      </c>
      <c r="S60" s="14">
        <f ca="1">SOLID!W71</f>
        <v>0</v>
      </c>
      <c r="T60" s="14">
        <f ca="1">SOLID!X71</f>
        <v>0</v>
      </c>
      <c r="U60" s="14">
        <f ca="1">SOLID!Y71</f>
        <v>0</v>
      </c>
      <c r="V60" s="14">
        <f ca="1">SOLID!Z71</f>
        <v>0</v>
      </c>
      <c r="W60" s="14">
        <f ca="1">SOLID!AA71</f>
        <v>0</v>
      </c>
      <c r="X60" s="14">
        <f ca="1">SOLID!AB71</f>
        <v>0</v>
      </c>
      <c r="Y60" s="14">
        <f ca="1">SOLID!AC71</f>
        <v>0</v>
      </c>
      <c r="Z60" s="14">
        <f ca="1">SOLID!AD71</f>
        <v>0</v>
      </c>
      <c r="AA60" s="14">
        <f ca="1">SOLID!AE71</f>
        <v>0</v>
      </c>
      <c r="AB60" s="14">
        <f ca="1">SOLID!AF71</f>
        <v>0</v>
      </c>
      <c r="AC60" s="14">
        <f ca="1">SOLID!AG71</f>
        <v>0</v>
      </c>
      <c r="AD60" s="14">
        <f ca="1">SOLID!AH71</f>
        <v>0</v>
      </c>
      <c r="AE60" s="14">
        <f ca="1">SOLID!AI71</f>
        <v>0</v>
      </c>
      <c r="AF60" s="14">
        <f ca="1">SOLID!AJ71</f>
        <v>0</v>
      </c>
      <c r="AG60" s="14">
        <f ca="1">SOLID!AK71</f>
        <v>0</v>
      </c>
      <c r="AH60" s="14">
        <f ca="1">SOLID!AL71</f>
        <v>0</v>
      </c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</row>
    <row r="61" spans="1:94" ht="21.75" hidden="1" outlineLevel="1" thickBot="1" x14ac:dyDescent="0.4">
      <c r="A61" s="35">
        <f>SOLID!E72</f>
        <v>0</v>
      </c>
      <c r="B61" s="16">
        <f ca="1">SOLID!F72</f>
        <v>0</v>
      </c>
      <c r="C61" s="16">
        <f ca="1">SOLID!G72</f>
        <v>0</v>
      </c>
      <c r="D61" s="16">
        <f ca="1">SOLID!H72</f>
        <v>0</v>
      </c>
      <c r="E61" s="16">
        <f ca="1">SOLID!I72</f>
        <v>0</v>
      </c>
      <c r="F61" s="14">
        <f ca="1">SOLID!J72</f>
        <v>0</v>
      </c>
      <c r="G61" s="14">
        <f ca="1">SOLID!K72</f>
        <v>0</v>
      </c>
      <c r="H61" s="14">
        <f ca="1">SOLID!L72</f>
        <v>0</v>
      </c>
      <c r="I61" s="14">
        <f ca="1">SOLID!M72</f>
        <v>0</v>
      </c>
      <c r="J61" s="14">
        <f ca="1">SOLID!N72</f>
        <v>0</v>
      </c>
      <c r="K61" s="14">
        <f ca="1">SOLID!O72</f>
        <v>0</v>
      </c>
      <c r="L61" s="14">
        <f ca="1">SOLID!P72</f>
        <v>0</v>
      </c>
      <c r="M61" s="14">
        <f ca="1">SOLID!Q72</f>
        <v>0</v>
      </c>
      <c r="N61" s="14">
        <f ca="1">SOLID!R72</f>
        <v>0</v>
      </c>
      <c r="O61" s="14">
        <f ca="1">SOLID!S72</f>
        <v>0</v>
      </c>
      <c r="P61" s="14">
        <f ca="1">SOLID!T72</f>
        <v>0</v>
      </c>
      <c r="Q61" s="14">
        <f ca="1">SOLID!U72</f>
        <v>0</v>
      </c>
      <c r="R61" s="14">
        <f ca="1">SOLID!V72</f>
        <v>0</v>
      </c>
      <c r="S61" s="14">
        <f ca="1">SOLID!W72</f>
        <v>0</v>
      </c>
      <c r="T61" s="14">
        <f ca="1">SOLID!X72</f>
        <v>0</v>
      </c>
      <c r="U61" s="14">
        <f ca="1">SOLID!Y72</f>
        <v>0</v>
      </c>
      <c r="V61" s="14">
        <f ca="1">SOLID!Z72</f>
        <v>0</v>
      </c>
      <c r="W61" s="14">
        <f ca="1">SOLID!AA72</f>
        <v>0</v>
      </c>
      <c r="X61" s="14">
        <f ca="1">SOLID!AB72</f>
        <v>0</v>
      </c>
      <c r="Y61" s="14">
        <f ca="1">SOLID!AC72</f>
        <v>0</v>
      </c>
      <c r="Z61" s="14">
        <f ca="1">SOLID!AD72</f>
        <v>0</v>
      </c>
      <c r="AA61" s="14">
        <f ca="1">SOLID!AE72</f>
        <v>0</v>
      </c>
      <c r="AB61" s="14">
        <f ca="1">SOLID!AF72</f>
        <v>0</v>
      </c>
      <c r="AC61" s="14">
        <f ca="1">SOLID!AG72</f>
        <v>0</v>
      </c>
      <c r="AD61" s="14">
        <f ca="1">SOLID!AH72</f>
        <v>0</v>
      </c>
      <c r="AE61" s="14">
        <f ca="1">SOLID!AI72</f>
        <v>0</v>
      </c>
      <c r="AF61" s="14">
        <f ca="1">SOLID!AJ72</f>
        <v>0</v>
      </c>
      <c r="AG61" s="14">
        <f ca="1">SOLID!AK72</f>
        <v>0</v>
      </c>
      <c r="AH61" s="14">
        <f ca="1">SOLID!AL72</f>
        <v>0</v>
      </c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</row>
    <row r="62" spans="1:94" ht="21.75" hidden="1" outlineLevel="1" thickBot="1" x14ac:dyDescent="0.4">
      <c r="A62" s="35">
        <f>SOLID!E73</f>
        <v>0</v>
      </c>
      <c r="B62" s="16">
        <f ca="1">SOLID!F73</f>
        <v>0</v>
      </c>
      <c r="C62" s="16">
        <f ca="1">SOLID!G73</f>
        <v>0</v>
      </c>
      <c r="D62" s="16">
        <f ca="1">SOLID!H73</f>
        <v>0</v>
      </c>
      <c r="E62" s="16">
        <f ca="1">SOLID!I73</f>
        <v>0</v>
      </c>
      <c r="F62" s="14">
        <f ca="1">SOLID!J73</f>
        <v>0</v>
      </c>
      <c r="G62" s="14">
        <f ca="1">SOLID!K73</f>
        <v>0</v>
      </c>
      <c r="H62" s="14">
        <f ca="1">SOLID!L73</f>
        <v>0</v>
      </c>
      <c r="I62" s="14">
        <f ca="1">SOLID!M73</f>
        <v>0</v>
      </c>
      <c r="J62" s="14">
        <f ca="1">SOLID!N73</f>
        <v>0</v>
      </c>
      <c r="K62" s="14">
        <f ca="1">SOLID!O73</f>
        <v>0</v>
      </c>
      <c r="L62" s="14">
        <f ca="1">SOLID!P73</f>
        <v>0</v>
      </c>
      <c r="M62" s="14">
        <f ca="1">SOLID!Q73</f>
        <v>0</v>
      </c>
      <c r="N62" s="14">
        <f ca="1">SOLID!R73</f>
        <v>0</v>
      </c>
      <c r="O62" s="14">
        <f ca="1">SOLID!S73</f>
        <v>0</v>
      </c>
      <c r="P62" s="14">
        <f ca="1">SOLID!T73</f>
        <v>0</v>
      </c>
      <c r="Q62" s="14">
        <f ca="1">SOLID!U73</f>
        <v>0</v>
      </c>
      <c r="R62" s="14">
        <f ca="1">SOLID!V73</f>
        <v>0</v>
      </c>
      <c r="S62" s="14">
        <f ca="1">SOLID!W73</f>
        <v>0</v>
      </c>
      <c r="T62" s="14">
        <f ca="1">SOLID!X73</f>
        <v>0</v>
      </c>
      <c r="U62" s="14">
        <f ca="1">SOLID!Y73</f>
        <v>0</v>
      </c>
      <c r="V62" s="14">
        <f ca="1">SOLID!Z73</f>
        <v>0</v>
      </c>
      <c r="W62" s="14">
        <f ca="1">SOLID!AA73</f>
        <v>0</v>
      </c>
      <c r="X62" s="14">
        <f ca="1">SOLID!AB73</f>
        <v>0</v>
      </c>
      <c r="Y62" s="14">
        <f ca="1">SOLID!AC73</f>
        <v>0</v>
      </c>
      <c r="Z62" s="14">
        <f ca="1">SOLID!AD73</f>
        <v>0</v>
      </c>
      <c r="AA62" s="14">
        <f ca="1">SOLID!AE73</f>
        <v>0</v>
      </c>
      <c r="AB62" s="14">
        <f ca="1">SOLID!AF73</f>
        <v>0</v>
      </c>
      <c r="AC62" s="14">
        <f ca="1">SOLID!AG73</f>
        <v>0</v>
      </c>
      <c r="AD62" s="14">
        <f ca="1">SOLID!AH73</f>
        <v>0</v>
      </c>
      <c r="AE62" s="14">
        <f ca="1">SOLID!AI73</f>
        <v>0</v>
      </c>
      <c r="AF62" s="14">
        <f ca="1">SOLID!AJ73</f>
        <v>0</v>
      </c>
      <c r="AG62" s="14">
        <f ca="1">SOLID!AK73</f>
        <v>0</v>
      </c>
      <c r="AH62" s="14">
        <f ca="1">SOLID!AL73</f>
        <v>0</v>
      </c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</row>
    <row r="63" spans="1:94" ht="21.75" hidden="1" outlineLevel="1" thickBot="1" x14ac:dyDescent="0.4">
      <c r="A63" s="35">
        <f>SOLID!E74</f>
        <v>0</v>
      </c>
      <c r="B63" s="16">
        <f ca="1">SOLID!F74</f>
        <v>0</v>
      </c>
      <c r="C63" s="16">
        <f ca="1">SOLID!G74</f>
        <v>0</v>
      </c>
      <c r="D63" s="16">
        <f ca="1">SOLID!H74</f>
        <v>0</v>
      </c>
      <c r="E63" s="16">
        <f ca="1">SOLID!I74</f>
        <v>0</v>
      </c>
      <c r="F63" s="14">
        <f ca="1">SOLID!J74</f>
        <v>0</v>
      </c>
      <c r="G63" s="14">
        <f ca="1">SOLID!K74</f>
        <v>0</v>
      </c>
      <c r="H63" s="14">
        <f ca="1">SOLID!L74</f>
        <v>0</v>
      </c>
      <c r="I63" s="14">
        <f ca="1">SOLID!M74</f>
        <v>0</v>
      </c>
      <c r="J63" s="14">
        <f ca="1">SOLID!N74</f>
        <v>0</v>
      </c>
      <c r="K63" s="14">
        <f ca="1">SOLID!O74</f>
        <v>0</v>
      </c>
      <c r="L63" s="14">
        <f ca="1">SOLID!P74</f>
        <v>0</v>
      </c>
      <c r="M63" s="14">
        <f ca="1">SOLID!Q74</f>
        <v>0</v>
      </c>
      <c r="N63" s="14">
        <f ca="1">SOLID!R74</f>
        <v>0</v>
      </c>
      <c r="O63" s="14">
        <f ca="1">SOLID!S74</f>
        <v>0</v>
      </c>
      <c r="P63" s="14">
        <f ca="1">SOLID!T74</f>
        <v>0</v>
      </c>
      <c r="Q63" s="14">
        <f ca="1">SOLID!U74</f>
        <v>0</v>
      </c>
      <c r="R63" s="14">
        <f ca="1">SOLID!V74</f>
        <v>0</v>
      </c>
      <c r="S63" s="14">
        <f ca="1">SOLID!W74</f>
        <v>0</v>
      </c>
      <c r="T63" s="14">
        <f ca="1">SOLID!X74</f>
        <v>0</v>
      </c>
      <c r="U63" s="14">
        <f ca="1">SOLID!Y74</f>
        <v>0</v>
      </c>
      <c r="V63" s="14">
        <f ca="1">SOLID!Z74</f>
        <v>0</v>
      </c>
      <c r="W63" s="14">
        <f ca="1">SOLID!AA74</f>
        <v>0</v>
      </c>
      <c r="X63" s="14">
        <f ca="1">SOLID!AB74</f>
        <v>0</v>
      </c>
      <c r="Y63" s="14">
        <f ca="1">SOLID!AC74</f>
        <v>0</v>
      </c>
      <c r="Z63" s="14">
        <f ca="1">SOLID!AD74</f>
        <v>0</v>
      </c>
      <c r="AA63" s="14">
        <f ca="1">SOLID!AE74</f>
        <v>0</v>
      </c>
      <c r="AB63" s="14">
        <f ca="1">SOLID!AF74</f>
        <v>0</v>
      </c>
      <c r="AC63" s="14">
        <f ca="1">SOLID!AG74</f>
        <v>0</v>
      </c>
      <c r="AD63" s="14">
        <f ca="1">SOLID!AH74</f>
        <v>0</v>
      </c>
      <c r="AE63" s="14">
        <f ca="1">SOLID!AI74</f>
        <v>0</v>
      </c>
      <c r="AF63" s="14">
        <f ca="1">SOLID!AJ74</f>
        <v>0</v>
      </c>
      <c r="AG63" s="14">
        <f ca="1">SOLID!AK74</f>
        <v>0</v>
      </c>
      <c r="AH63" s="14">
        <f ca="1">SOLID!AL74</f>
        <v>0</v>
      </c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</row>
    <row r="64" spans="1:94" ht="21.75" hidden="1" outlineLevel="1" thickBot="1" x14ac:dyDescent="0.4">
      <c r="A64" s="35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</row>
    <row r="65" spans="1:94" ht="22.5" collapsed="1" thickTop="1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</row>
    <row r="66" spans="1:94" ht="22.5" thickTop="1" thickBot="1" x14ac:dyDescent="0.4">
      <c r="A66" s="4" t="s">
        <v>30</v>
      </c>
      <c r="B66" s="72">
        <f>ALL!F45</f>
        <v>273.10000000000002</v>
      </c>
      <c r="C66" s="72">
        <f>ALL!G45</f>
        <v>293.3</v>
      </c>
      <c r="D66" s="72">
        <f>ALL!H45</f>
        <v>313.5</v>
      </c>
      <c r="E66" s="72">
        <f>ALL!I45</f>
        <v>333.7</v>
      </c>
      <c r="F66" s="4">
        <f>ALL!J45</f>
        <v>353.9</v>
      </c>
      <c r="G66" s="4">
        <f>ALL!K45</f>
        <v>374.1</v>
      </c>
      <c r="H66" s="4">
        <f>ALL!L45</f>
        <v>394.3</v>
      </c>
      <c r="I66" s="4">
        <f>ALL!M45</f>
        <v>414.5</v>
      </c>
      <c r="J66" s="4">
        <f>ALL!N45</f>
        <v>434.7</v>
      </c>
      <c r="K66" s="4">
        <f>ALL!O45</f>
        <v>515.4</v>
      </c>
      <c r="L66" s="4">
        <f>ALL!P45</f>
        <v>535.6</v>
      </c>
      <c r="M66" s="4">
        <f>ALL!Q45</f>
        <v>555.79999999999995</v>
      </c>
      <c r="N66" s="4">
        <f>ALL!R45</f>
        <v>576</v>
      </c>
      <c r="O66" s="4">
        <f>ALL!S45</f>
        <v>596.20000000000005</v>
      </c>
      <c r="P66" s="4">
        <f>ALL!T45</f>
        <v>616.4</v>
      </c>
      <c r="Q66" s="4">
        <f>ALL!U45</f>
        <v>636.6</v>
      </c>
      <c r="R66" s="4">
        <f>ALL!V45</f>
        <v>656.8</v>
      </c>
      <c r="S66" s="4">
        <f>ALL!W45</f>
        <v>677</v>
      </c>
      <c r="T66" s="4">
        <f>ALL!X45</f>
        <v>757.7</v>
      </c>
      <c r="U66" s="4">
        <f>ALL!Y45</f>
        <v>777.9</v>
      </c>
      <c r="V66" s="4">
        <f>ALL!Z45</f>
        <v>798.1</v>
      </c>
      <c r="W66" s="4">
        <f>ALL!AA45</f>
        <v>818.3</v>
      </c>
      <c r="X66" s="4">
        <f>ALL!AB45</f>
        <v>838.5</v>
      </c>
      <c r="Y66" s="4">
        <f>ALL!AC45</f>
        <v>919.2</v>
      </c>
      <c r="Z66" s="4">
        <f>ALL!AD45</f>
        <v>939.4</v>
      </c>
      <c r="AA66" s="4">
        <f>ALL!AE45</f>
        <v>959.6</v>
      </c>
      <c r="AB66" s="4">
        <f>ALL!AF45</f>
        <v>979.8</v>
      </c>
      <c r="AC66" s="4">
        <f>ALL!AG45</f>
        <v>1000</v>
      </c>
      <c r="AD66" s="4">
        <f>ALL!AH45</f>
        <v>0</v>
      </c>
      <c r="AE66" s="4">
        <f>ALL!AI45</f>
        <v>0</v>
      </c>
      <c r="AF66" s="4">
        <f>ALL!AJ45</f>
        <v>0</v>
      </c>
      <c r="AG66" s="4">
        <f>ALL!AK45</f>
        <v>0</v>
      </c>
      <c r="AH66" s="4">
        <f>ALL!AL45</f>
        <v>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</row>
    <row r="67" spans="1:94" ht="22.5" hidden="1" outlineLevel="1" thickTop="1" thickBot="1" x14ac:dyDescent="0.4">
      <c r="A67" s="36" t="str">
        <f>ALL!E46</f>
        <v>*Ge</v>
      </c>
      <c r="B67" s="16">
        <f ca="1">ALL!F46</f>
        <v>-17.28</v>
      </c>
      <c r="C67" s="16">
        <f ca="1">ALL!G46</f>
        <v>-16.32</v>
      </c>
      <c r="D67" s="16">
        <f ca="1">ALL!H46</f>
        <v>-15.18</v>
      </c>
      <c r="E67" s="16">
        <f ca="1">ALL!I46</f>
        <v>-13.82</v>
      </c>
      <c r="F67" s="14">
        <f ca="1">ALL!J46</f>
        <v>-12.36</v>
      </c>
      <c r="G67" s="14">
        <f ca="1">ALL!K46</f>
        <v>-10.95</v>
      </c>
      <c r="H67" s="14">
        <f ca="1">ALL!L46</f>
        <v>-9.6379999999999999</v>
      </c>
      <c r="I67" s="14">
        <f ca="1">ALL!M46</f>
        <v>-8.4860000000000007</v>
      </c>
      <c r="J67" s="14">
        <f ca="1">ALL!N46</f>
        <v>-7.5510000000000002</v>
      </c>
      <c r="K67" s="14">
        <f ca="1">ALL!O46</f>
        <v>-6.1029999999999998</v>
      </c>
      <c r="L67" s="14">
        <f ca="1">ALL!P46</f>
        <v>-6.0819999999999999</v>
      </c>
      <c r="M67" s="14">
        <f ca="1">ALL!Q46</f>
        <v>-6.0990000000000002</v>
      </c>
      <c r="N67" s="14">
        <f ca="1">ALL!R46</f>
        <v>-6.1340000000000003</v>
      </c>
      <c r="O67" s="14">
        <f ca="1">ALL!S46</f>
        <v>-6.1779999999999999</v>
      </c>
      <c r="P67" s="14">
        <f ca="1">ALL!T46</f>
        <v>-6.226</v>
      </c>
      <c r="Q67" s="14">
        <f ca="1">ALL!U46</f>
        <v>-6.2809999999999997</v>
      </c>
      <c r="R67" s="14">
        <f ca="1">ALL!V46</f>
        <v>-6.36</v>
      </c>
      <c r="S67" s="14">
        <f ca="1">ALL!W46</f>
        <v>-6.5149999999999997</v>
      </c>
      <c r="T67" s="14">
        <f ca="1">ALL!X46</f>
        <v>-7.3369999999999997</v>
      </c>
      <c r="U67" s="14">
        <f ca="1">ALL!Y46</f>
        <v>-7.4089999999999998</v>
      </c>
      <c r="V67" s="14">
        <f ca="1">ALL!Z46</f>
        <v>-7.4740000000000002</v>
      </c>
      <c r="W67" s="14">
        <f ca="1">ALL!AA46</f>
        <v>-7.5410000000000004</v>
      </c>
      <c r="X67" s="14">
        <f ca="1">ALL!AB46</f>
        <v>-7.6</v>
      </c>
      <c r="Y67" s="14">
        <f ca="1">ALL!AC46</f>
        <v>-7.7830000000000004</v>
      </c>
      <c r="Z67" s="14">
        <f ca="1">ALL!AD46</f>
        <v>-7.8780000000000001</v>
      </c>
      <c r="AA67" s="14">
        <f ca="1">ALL!AE46</f>
        <v>-7.9269999999999996</v>
      </c>
      <c r="AB67" s="14">
        <f ca="1">ALL!AF46</f>
        <v>-7.9269999999999996</v>
      </c>
      <c r="AC67" s="14">
        <f ca="1">ALL!AG46</f>
        <v>-7.976</v>
      </c>
      <c r="AD67" s="14">
        <f ca="1">ALL!AH46</f>
        <v>0</v>
      </c>
      <c r="AE67" s="14">
        <f ca="1">ALL!AI46</f>
        <v>0</v>
      </c>
      <c r="AF67" s="14">
        <f ca="1">ALL!AJ46</f>
        <v>0</v>
      </c>
      <c r="AG67" s="14">
        <f ca="1">ALL!AK46</f>
        <v>0</v>
      </c>
      <c r="AH67" s="14">
        <f ca="1">ALL!AL46</f>
        <v>0</v>
      </c>
      <c r="AI67" s="14">
        <f>ALL!AM46</f>
        <v>0</v>
      </c>
    </row>
    <row r="68" spans="1:94" ht="21.75" hidden="1" outlineLevel="1" thickBot="1" x14ac:dyDescent="0.4">
      <c r="A68" s="36" t="str">
        <f>ALL!E47</f>
        <v>*GeSe</v>
      </c>
      <c r="B68" s="16">
        <f ca="1">ALL!F47</f>
        <v>-40.85</v>
      </c>
      <c r="C68" s="16">
        <f ca="1">ALL!G47</f>
        <v>-38.700000000000003</v>
      </c>
      <c r="D68" s="16">
        <f ca="1">ALL!H47</f>
        <v>-36.799999999999997</v>
      </c>
      <c r="E68" s="16">
        <f ca="1">ALL!I47</f>
        <v>-35.14</v>
      </c>
      <c r="F68" s="14">
        <f ca="1">ALL!J47</f>
        <v>-33.700000000000003</v>
      </c>
      <c r="G68" s="14">
        <f ca="1">ALL!K47</f>
        <v>-32.480000000000004</v>
      </c>
      <c r="H68" s="14">
        <f ca="1">ALL!L47</f>
        <v>-31.417999999999999</v>
      </c>
      <c r="I68" s="14">
        <f ca="1">ALL!M47</f>
        <v>-30.516000000000002</v>
      </c>
      <c r="J68" s="14">
        <f ca="1">ALL!N47</f>
        <v>-29.801000000000002</v>
      </c>
      <c r="K68" s="14">
        <f ca="1">ALL!O47</f>
        <v>-29.122999999999998</v>
      </c>
      <c r="L68" s="14">
        <f ca="1">ALL!P47</f>
        <v>-29.372</v>
      </c>
      <c r="M68" s="14">
        <f ca="1">ALL!Q47</f>
        <v>-29.669</v>
      </c>
      <c r="N68" s="14">
        <f ca="1">ALL!R47</f>
        <v>-29.994</v>
      </c>
      <c r="O68" s="14">
        <f ca="1">ALL!S47</f>
        <v>-30.327999999999999</v>
      </c>
      <c r="P68" s="14">
        <f ca="1">ALL!T47</f>
        <v>-30.666</v>
      </c>
      <c r="Q68" s="14">
        <f ca="1">ALL!U47</f>
        <v>-31.000999999999998</v>
      </c>
      <c r="R68" s="14">
        <f ca="1">ALL!V47</f>
        <v>-31.349999999999998</v>
      </c>
      <c r="S68" s="14">
        <f ca="1">ALL!W47</f>
        <v>-31.734999999999999</v>
      </c>
      <c r="T68" s="14">
        <f ca="1">ALL!X47</f>
        <v>-33.396999999999998</v>
      </c>
      <c r="U68" s="14">
        <f ca="1">ALL!Y47</f>
        <v>-33.728999999999999</v>
      </c>
      <c r="V68" s="14">
        <f ca="1">ALL!Z47</f>
        <v>-34.054000000000002</v>
      </c>
      <c r="W68" s="14">
        <f ca="1">ALL!AA47</f>
        <v>-34.391000000000005</v>
      </c>
      <c r="X68" s="14">
        <f ca="1">ALL!AB47</f>
        <v>-34.589999999999996</v>
      </c>
      <c r="Y68" s="14">
        <f ca="1">ALL!AC47</f>
        <v>-35.603000000000002</v>
      </c>
      <c r="Z68" s="14">
        <f ca="1">ALL!AD47</f>
        <v>-36.167999999999999</v>
      </c>
      <c r="AA68" s="14">
        <f ca="1">ALL!AE47</f>
        <v>-36.457000000000001</v>
      </c>
      <c r="AB68" s="14">
        <f ca="1">ALL!AF47</f>
        <v>-36.457000000000001</v>
      </c>
      <c r="AC68" s="14">
        <f ca="1">ALL!AG47</f>
        <v>-36.736000000000004</v>
      </c>
      <c r="AD68" s="14">
        <f ca="1">ALL!AH47</f>
        <v>0</v>
      </c>
      <c r="AE68" s="14">
        <f ca="1">ALL!AI47</f>
        <v>0</v>
      </c>
      <c r="AF68" s="14">
        <f ca="1">ALL!AJ47</f>
        <v>0</v>
      </c>
      <c r="AG68" s="14">
        <f ca="1">ALL!AK47</f>
        <v>0</v>
      </c>
      <c r="AH68" s="14">
        <f ca="1">ALL!AL47</f>
        <v>0</v>
      </c>
      <c r="AI68" s="14">
        <f>ALL!AM47</f>
        <v>0</v>
      </c>
    </row>
    <row r="69" spans="1:94" ht="21.75" hidden="1" outlineLevel="1" thickBot="1" x14ac:dyDescent="0.4">
      <c r="A69" s="36" t="str">
        <f>ALL!E48</f>
        <v>*Ga[l]</v>
      </c>
      <c r="B69" s="16">
        <f ca="1">ALL!F48</f>
        <v>-66.099999999999994</v>
      </c>
      <c r="C69" s="16">
        <f ca="1">ALL!G48</f>
        <v>-61.67</v>
      </c>
      <c r="D69" s="16">
        <f ca="1">ALL!H48</f>
        <v>-57.42</v>
      </c>
      <c r="E69" s="16">
        <f ca="1">ALL!I48</f>
        <v>-53.18</v>
      </c>
      <c r="F69" s="14">
        <f ca="1">ALL!J48</f>
        <v>-49.01</v>
      </c>
      <c r="G69" s="14">
        <f ca="1">ALL!K48</f>
        <v>-45.05</v>
      </c>
      <c r="H69" s="14">
        <f ca="1">ALL!L48</f>
        <v>-41.4</v>
      </c>
      <c r="I69" s="14">
        <f ca="1">ALL!M48</f>
        <v>-38.08</v>
      </c>
      <c r="J69" s="14">
        <f ca="1">ALL!N48</f>
        <v>-35.11</v>
      </c>
      <c r="K69" s="14">
        <f ca="1">ALL!O48</f>
        <v>-25.6</v>
      </c>
      <c r="L69" s="14">
        <f ca="1">ALL!P48</f>
        <v>-23.53</v>
      </c>
      <c r="M69" s="14">
        <f ca="1">ALL!Q48</f>
        <v>-21.56</v>
      </c>
      <c r="N69" s="14">
        <f ca="1">ALL!R48</f>
        <v>-19.7</v>
      </c>
      <c r="O69" s="14">
        <f ca="1">ALL!S48</f>
        <v>-17.95</v>
      </c>
      <c r="P69" s="14">
        <f ca="1">ALL!T48</f>
        <v>-16.29</v>
      </c>
      <c r="Q69" s="14">
        <f ca="1">ALL!U48</f>
        <v>-14.73</v>
      </c>
      <c r="R69" s="14">
        <f ca="1">ALL!V48</f>
        <v>-13.28</v>
      </c>
      <c r="S69" s="14">
        <f ca="1">ALL!W48</f>
        <v>-12.01</v>
      </c>
      <c r="T69" s="14">
        <f ca="1">ALL!X48</f>
        <v>-9.1259999999999994</v>
      </c>
      <c r="U69" s="14">
        <f ca="1">ALL!Y48</f>
        <v>-8.6280000000000001</v>
      </c>
      <c r="V69" s="14">
        <f ca="1">ALL!Z48</f>
        <v>-8.1609999999999996</v>
      </c>
      <c r="W69" s="14">
        <f ca="1">ALL!AA48</f>
        <v>-7.7220000000000004</v>
      </c>
      <c r="X69" s="14">
        <f ca="1">ALL!AB48</f>
        <v>-7.61</v>
      </c>
      <c r="Y69" s="14">
        <f ca="1">ALL!AC48</f>
        <v>-7.883</v>
      </c>
      <c r="Z69" s="14">
        <f ca="1">ALL!AD48</f>
        <v>-8.0139999999999993</v>
      </c>
      <c r="AA69" s="14">
        <f ca="1">ALL!AE48</f>
        <v>-8.077</v>
      </c>
      <c r="AB69" s="14">
        <f ca="1">ALL!AF48</f>
        <v>-8.077</v>
      </c>
      <c r="AC69" s="14">
        <f ca="1">ALL!AG48</f>
        <v>-8.14</v>
      </c>
      <c r="AD69" s="14">
        <f ca="1">ALL!AH48</f>
        <v>0</v>
      </c>
      <c r="AE69" s="14">
        <f ca="1">ALL!AI48</f>
        <v>0</v>
      </c>
      <c r="AF69" s="14">
        <f ca="1">ALL!AJ48</f>
        <v>0</v>
      </c>
      <c r="AG69" s="14">
        <f ca="1">ALL!AK48</f>
        <v>0</v>
      </c>
      <c r="AH69" s="14">
        <f ca="1">ALL!AL48</f>
        <v>0</v>
      </c>
      <c r="AI69" s="14">
        <f>ALL!AM48</f>
        <v>0</v>
      </c>
    </row>
    <row r="70" spans="1:94" ht="21.75" hidden="1" outlineLevel="1" thickBot="1" x14ac:dyDescent="0.4">
      <c r="A70" s="36" t="str">
        <f>ALL!E49</f>
        <v>*Ge[c]</v>
      </c>
      <c r="B70" s="16">
        <f ca="1">ALL!F49</f>
        <v>-17.28</v>
      </c>
      <c r="C70" s="16">
        <f ca="1">ALL!G49</f>
        <v>-16.32</v>
      </c>
      <c r="D70" s="16">
        <f ca="1">ALL!H49</f>
        <v>-15.18</v>
      </c>
      <c r="E70" s="16">
        <f ca="1">ALL!I49</f>
        <v>-13.82</v>
      </c>
      <c r="F70" s="14">
        <f ca="1">ALL!J49</f>
        <v>-12.36</v>
      </c>
      <c r="G70" s="14">
        <f ca="1">ALL!K49</f>
        <v>-10.95</v>
      </c>
      <c r="H70" s="14">
        <f ca="1">ALL!L49</f>
        <v>-9.6379999999999999</v>
      </c>
      <c r="I70" s="14">
        <f ca="1">ALL!M49</f>
        <v>-8.4860000000000007</v>
      </c>
      <c r="J70" s="14">
        <f ca="1">ALL!N49</f>
        <v>-7.5510000000000002</v>
      </c>
      <c r="K70" s="14">
        <f ca="1">ALL!O49</f>
        <v>-6.1029999999999998</v>
      </c>
      <c r="L70" s="14">
        <f ca="1">ALL!P49</f>
        <v>-6.0819999999999999</v>
      </c>
      <c r="M70" s="14">
        <f ca="1">ALL!Q49</f>
        <v>-6.0990000000000002</v>
      </c>
      <c r="N70" s="14">
        <f ca="1">ALL!R49</f>
        <v>-6.1340000000000003</v>
      </c>
      <c r="O70" s="14">
        <f ca="1">ALL!S49</f>
        <v>-6.1779999999999999</v>
      </c>
      <c r="P70" s="14">
        <f ca="1">ALL!T49</f>
        <v>-6.226</v>
      </c>
      <c r="Q70" s="14">
        <f ca="1">ALL!U49</f>
        <v>-6.2809999999999997</v>
      </c>
      <c r="R70" s="14">
        <f ca="1">ALL!V49</f>
        <v>-6.36</v>
      </c>
      <c r="S70" s="14">
        <f ca="1">ALL!W49</f>
        <v>-6.5149999999999997</v>
      </c>
      <c r="T70" s="14">
        <f ca="1">ALL!X49</f>
        <v>-7.3369999999999997</v>
      </c>
      <c r="U70" s="14">
        <f ca="1">ALL!Y49</f>
        <v>-7.4089999999999998</v>
      </c>
      <c r="V70" s="14">
        <f ca="1">ALL!Z49</f>
        <v>-7.4740000000000002</v>
      </c>
      <c r="W70" s="14">
        <f ca="1">ALL!AA49</f>
        <v>-7.5410000000000004</v>
      </c>
      <c r="X70" s="14">
        <f ca="1">ALL!AB49</f>
        <v>-7.6</v>
      </c>
      <c r="Y70" s="14">
        <f ca="1">ALL!AC49</f>
        <v>-7.7830000000000004</v>
      </c>
      <c r="Z70" s="14">
        <f ca="1">ALL!AD49</f>
        <v>-7.8780000000000001</v>
      </c>
      <c r="AA70" s="14">
        <f ca="1">ALL!AE49</f>
        <v>-7.9269999999999996</v>
      </c>
      <c r="AB70" s="14">
        <f ca="1">ALL!AF49</f>
        <v>-7.9269999999999996</v>
      </c>
      <c r="AC70" s="14">
        <f ca="1">ALL!AG49</f>
        <v>-7.976</v>
      </c>
      <c r="AD70" s="14">
        <f ca="1">ALL!AH49</f>
        <v>0</v>
      </c>
      <c r="AE70" s="14">
        <f ca="1">ALL!AI49</f>
        <v>0</v>
      </c>
      <c r="AF70" s="14">
        <f ca="1">ALL!AJ49</f>
        <v>0</v>
      </c>
      <c r="AG70" s="14">
        <f ca="1">ALL!AK49</f>
        <v>0</v>
      </c>
      <c r="AH70" s="14">
        <f ca="1">ALL!AL49</f>
        <v>0</v>
      </c>
      <c r="AI70" s="14">
        <f>ALL!AM49</f>
        <v>0</v>
      </c>
    </row>
    <row r="71" spans="1:94" ht="21.75" hidden="1" outlineLevel="1" thickBot="1" x14ac:dyDescent="0.4">
      <c r="A71" s="36" t="str">
        <f>ALL!E50</f>
        <v>*Se[m]</v>
      </c>
      <c r="B71" s="16">
        <f ca="1">ALL!F50</f>
        <v>-23.57</v>
      </c>
      <c r="C71" s="16">
        <f ca="1">ALL!G50</f>
        <v>-22.38</v>
      </c>
      <c r="D71" s="16">
        <f ca="1">ALL!H50</f>
        <v>-21.62</v>
      </c>
      <c r="E71" s="16">
        <f ca="1">ALL!I50</f>
        <v>-21.32</v>
      </c>
      <c r="F71" s="14">
        <f ca="1">ALL!J50</f>
        <v>-21.34</v>
      </c>
      <c r="G71" s="14">
        <f ca="1">ALL!K50</f>
        <v>-21.53</v>
      </c>
      <c r="H71" s="14">
        <f ca="1">ALL!L50</f>
        <v>-21.78</v>
      </c>
      <c r="I71" s="14">
        <f ca="1">ALL!M50</f>
        <v>-22.03</v>
      </c>
      <c r="J71" s="14">
        <f ca="1">ALL!N50</f>
        <v>-22.25</v>
      </c>
      <c r="K71" s="14">
        <f ca="1">ALL!O50</f>
        <v>-23.02</v>
      </c>
      <c r="L71" s="14">
        <f ca="1">ALL!P50</f>
        <v>-23.29</v>
      </c>
      <c r="M71" s="14">
        <f ca="1">ALL!Q50</f>
        <v>-23.57</v>
      </c>
      <c r="N71" s="14">
        <f ca="1">ALL!R50</f>
        <v>-23.86</v>
      </c>
      <c r="O71" s="14">
        <f ca="1">ALL!S50</f>
        <v>-24.15</v>
      </c>
      <c r="P71" s="14">
        <f ca="1">ALL!T50</f>
        <v>-24.44</v>
      </c>
      <c r="Q71" s="14">
        <f ca="1">ALL!U50</f>
        <v>-24.72</v>
      </c>
      <c r="R71" s="14">
        <f ca="1">ALL!V50</f>
        <v>-24.99</v>
      </c>
      <c r="S71" s="14">
        <f ca="1">ALL!W50</f>
        <v>-25.22</v>
      </c>
      <c r="T71" s="14">
        <f ca="1">ALL!X50</f>
        <v>-26.06</v>
      </c>
      <c r="U71" s="14">
        <f ca="1">ALL!Y50</f>
        <v>-26.32</v>
      </c>
      <c r="V71" s="14">
        <f ca="1">ALL!Z50</f>
        <v>-26.58</v>
      </c>
      <c r="W71" s="14">
        <f ca="1">ALL!AA50</f>
        <v>-26.85</v>
      </c>
      <c r="X71" s="14">
        <f ca="1">ALL!AB50</f>
        <v>-26.99</v>
      </c>
      <c r="Y71" s="14">
        <f ca="1">ALL!AC50</f>
        <v>-27.82</v>
      </c>
      <c r="Z71" s="14">
        <f ca="1">ALL!AD50</f>
        <v>-28.29</v>
      </c>
      <c r="AA71" s="14">
        <f ca="1">ALL!AE50</f>
        <v>-28.53</v>
      </c>
      <c r="AB71" s="14">
        <f ca="1">ALL!AF50</f>
        <v>-28.53</v>
      </c>
      <c r="AC71" s="14">
        <f ca="1">ALL!AG50</f>
        <v>-28.76</v>
      </c>
      <c r="AD71" s="14">
        <f ca="1">ALL!AH50</f>
        <v>0</v>
      </c>
      <c r="AE71" s="14">
        <f ca="1">ALL!AI50</f>
        <v>0</v>
      </c>
      <c r="AF71" s="14">
        <f ca="1">ALL!AJ50</f>
        <v>0</v>
      </c>
      <c r="AG71" s="14">
        <f ca="1">ALL!AK50</f>
        <v>0</v>
      </c>
      <c r="AH71" s="14">
        <f ca="1">ALL!AL50</f>
        <v>0</v>
      </c>
      <c r="AI71" s="14">
        <f>ALL!AM50</f>
        <v>0</v>
      </c>
    </row>
    <row r="72" spans="1:94" ht="21.75" hidden="1" outlineLevel="1" thickBot="1" x14ac:dyDescent="0.4">
      <c r="A72" s="36" t="str">
        <f>ALL!E51</f>
        <v>Ga2Se3</v>
      </c>
      <c r="B72" s="16">
        <f ca="1">ALL!F51</f>
        <v>-202.91</v>
      </c>
      <c r="C72" s="16">
        <f ca="1">ALL!G51</f>
        <v>-190.48000000000002</v>
      </c>
      <c r="D72" s="16">
        <f ca="1">ALL!H51</f>
        <v>-179.7</v>
      </c>
      <c r="E72" s="16">
        <f ca="1">ALL!I51</f>
        <v>-170.32</v>
      </c>
      <c r="F72" s="14">
        <f ca="1">ALL!J51</f>
        <v>-162.04</v>
      </c>
      <c r="G72" s="14">
        <f ca="1">ALL!K51</f>
        <v>-154.69</v>
      </c>
      <c r="H72" s="14">
        <f ca="1">ALL!L51</f>
        <v>-148.13999999999999</v>
      </c>
      <c r="I72" s="14">
        <f ca="1">ALL!M51</f>
        <v>-142.25</v>
      </c>
      <c r="J72" s="14">
        <f ca="1">ALL!N51</f>
        <v>-136.97</v>
      </c>
      <c r="K72" s="14">
        <f ca="1">ALL!O51</f>
        <v>-120.26</v>
      </c>
      <c r="L72" s="14">
        <f ca="1">ALL!P51</f>
        <v>-116.93</v>
      </c>
      <c r="M72" s="14">
        <f ca="1">ALL!Q51</f>
        <v>-113.83000000000001</v>
      </c>
      <c r="N72" s="14">
        <f ca="1">ALL!R51</f>
        <v>-110.97999999999999</v>
      </c>
      <c r="O72" s="14">
        <f ca="1">ALL!S51</f>
        <v>-108.35</v>
      </c>
      <c r="P72" s="14">
        <f ca="1">ALL!T51</f>
        <v>-105.9</v>
      </c>
      <c r="Q72" s="14">
        <f ca="1">ALL!U51</f>
        <v>-103.62</v>
      </c>
      <c r="R72" s="14">
        <f ca="1">ALL!V51</f>
        <v>-101.53</v>
      </c>
      <c r="S72" s="14">
        <f ca="1">ALL!W51</f>
        <v>-99.679999999999993</v>
      </c>
      <c r="T72" s="14">
        <f ca="1">ALL!X51</f>
        <v>-96.431999999999988</v>
      </c>
      <c r="U72" s="14">
        <f ca="1">ALL!Y51</f>
        <v>-96.216000000000008</v>
      </c>
      <c r="V72" s="14">
        <f ca="1">ALL!Z51</f>
        <v>-96.061999999999998</v>
      </c>
      <c r="W72" s="14">
        <f ca="1">ALL!AA51</f>
        <v>-95.994000000000014</v>
      </c>
      <c r="X72" s="14">
        <f ca="1">ALL!AB51</f>
        <v>-96.19</v>
      </c>
      <c r="Y72" s="14">
        <f ca="1">ALL!AC51</f>
        <v>-99.226000000000013</v>
      </c>
      <c r="Z72" s="14">
        <f ca="1">ALL!AD51</f>
        <v>-100.898</v>
      </c>
      <c r="AA72" s="14">
        <f ca="1">ALL!AE51</f>
        <v>-101.744</v>
      </c>
      <c r="AB72" s="14">
        <f ca="1">ALL!AF51</f>
        <v>-101.744</v>
      </c>
      <c r="AC72" s="14">
        <f ca="1">ALL!AG51</f>
        <v>-102.56</v>
      </c>
      <c r="AD72" s="14">
        <f ca="1">ALL!AH51</f>
        <v>0</v>
      </c>
      <c r="AE72" s="14">
        <f ca="1">ALL!AI51</f>
        <v>0</v>
      </c>
      <c r="AF72" s="14">
        <f ca="1">ALL!AJ51</f>
        <v>0</v>
      </c>
      <c r="AG72" s="14">
        <f ca="1">ALL!AK51</f>
        <v>0</v>
      </c>
      <c r="AH72" s="14">
        <f ca="1">ALL!AL51</f>
        <v>0</v>
      </c>
      <c r="AI72" s="14">
        <f>ALL!AM51</f>
        <v>0</v>
      </c>
    </row>
    <row r="73" spans="1:94" ht="21.75" hidden="1" outlineLevel="1" thickBot="1" x14ac:dyDescent="0.4">
      <c r="A73" s="36" t="str">
        <f>ALL!E52</f>
        <v>Ga</v>
      </c>
      <c r="B73" s="16">
        <f ca="1">ALL!F52</f>
        <v>-66.099999999999994</v>
      </c>
      <c r="C73" s="16">
        <f ca="1">ALL!G52</f>
        <v>-61.67</v>
      </c>
      <c r="D73" s="16">
        <f ca="1">ALL!H52</f>
        <v>-57.42</v>
      </c>
      <c r="E73" s="16">
        <f ca="1">ALL!I52</f>
        <v>-53.18</v>
      </c>
      <c r="F73" s="14">
        <f ca="1">ALL!J52</f>
        <v>-49.01</v>
      </c>
      <c r="G73" s="14">
        <f ca="1">ALL!K52</f>
        <v>-45.05</v>
      </c>
      <c r="H73" s="14">
        <f ca="1">ALL!L52</f>
        <v>-41.4</v>
      </c>
      <c r="I73" s="14">
        <f ca="1">ALL!M52</f>
        <v>-38.08</v>
      </c>
      <c r="J73" s="14">
        <f ca="1">ALL!N52</f>
        <v>-35.11</v>
      </c>
      <c r="K73" s="14">
        <f ca="1">ALL!O52</f>
        <v>-25.6</v>
      </c>
      <c r="L73" s="14">
        <f ca="1">ALL!P52</f>
        <v>-23.53</v>
      </c>
      <c r="M73" s="14">
        <f ca="1">ALL!Q52</f>
        <v>-21.56</v>
      </c>
      <c r="N73" s="14">
        <f ca="1">ALL!R52</f>
        <v>-19.7</v>
      </c>
      <c r="O73" s="14">
        <f ca="1">ALL!S52</f>
        <v>-17.95</v>
      </c>
      <c r="P73" s="14">
        <f ca="1">ALL!T52</f>
        <v>-16.29</v>
      </c>
      <c r="Q73" s="14">
        <f ca="1">ALL!U52</f>
        <v>-14.73</v>
      </c>
      <c r="R73" s="14">
        <f ca="1">ALL!V52</f>
        <v>-13.28</v>
      </c>
      <c r="S73" s="14">
        <f ca="1">ALL!W52</f>
        <v>-12.01</v>
      </c>
      <c r="T73" s="14">
        <f ca="1">ALL!X52</f>
        <v>-9.1259999999999994</v>
      </c>
      <c r="U73" s="14">
        <f ca="1">ALL!Y52</f>
        <v>-8.6280000000000001</v>
      </c>
      <c r="V73" s="14">
        <f ca="1">ALL!Z52</f>
        <v>-8.1609999999999996</v>
      </c>
      <c r="W73" s="14">
        <f ca="1">ALL!AA52</f>
        <v>-7.7220000000000004</v>
      </c>
      <c r="X73" s="14">
        <f ca="1">ALL!AB52</f>
        <v>-7.61</v>
      </c>
      <c r="Y73" s="14">
        <f ca="1">ALL!AC52</f>
        <v>-7.883</v>
      </c>
      <c r="Z73" s="14">
        <f ca="1">ALL!AD52</f>
        <v>-8.0139999999999993</v>
      </c>
      <c r="AA73" s="14">
        <f ca="1">ALL!AE52</f>
        <v>-8.077</v>
      </c>
      <c r="AB73" s="14">
        <f ca="1">ALL!AF52</f>
        <v>-8.077</v>
      </c>
      <c r="AC73" s="14">
        <f ca="1">ALL!AG52</f>
        <v>-8.14</v>
      </c>
      <c r="AD73" s="14">
        <f ca="1">ALL!AH52</f>
        <v>0</v>
      </c>
      <c r="AE73" s="14">
        <f ca="1">ALL!AI52</f>
        <v>0</v>
      </c>
      <c r="AF73" s="14">
        <f ca="1">ALL!AJ52</f>
        <v>0</v>
      </c>
      <c r="AG73" s="14">
        <f ca="1">ALL!AK52</f>
        <v>0</v>
      </c>
      <c r="AH73" s="14">
        <f ca="1">ALL!AL52</f>
        <v>0</v>
      </c>
      <c r="AI73" s="14">
        <f>ALL!AM52</f>
        <v>0</v>
      </c>
    </row>
    <row r="74" spans="1:94" ht="21.75" hidden="1" outlineLevel="1" thickBot="1" x14ac:dyDescent="0.4">
      <c r="A74" s="36" t="str">
        <f>ALL!E53</f>
        <v>Se</v>
      </c>
      <c r="B74" s="16">
        <f ca="1">ALL!F53</f>
        <v>-23.57</v>
      </c>
      <c r="C74" s="16">
        <f ca="1">ALL!G53</f>
        <v>-22.38</v>
      </c>
      <c r="D74" s="16">
        <f ca="1">ALL!H53</f>
        <v>-21.62</v>
      </c>
      <c r="E74" s="16">
        <f ca="1">ALL!I53</f>
        <v>-21.32</v>
      </c>
      <c r="F74" s="14">
        <f ca="1">ALL!J53</f>
        <v>-21.34</v>
      </c>
      <c r="G74" s="14">
        <f ca="1">ALL!K53</f>
        <v>-21.53</v>
      </c>
      <c r="H74" s="14">
        <f ca="1">ALL!L53</f>
        <v>-21.78</v>
      </c>
      <c r="I74" s="14">
        <f ca="1">ALL!M53</f>
        <v>-22.03</v>
      </c>
      <c r="J74" s="14">
        <f ca="1">ALL!N53</f>
        <v>-22.25</v>
      </c>
      <c r="K74" s="14">
        <f ca="1">ALL!O53</f>
        <v>-23.02</v>
      </c>
      <c r="L74" s="14">
        <f ca="1">ALL!P53</f>
        <v>-23.29</v>
      </c>
      <c r="M74" s="14">
        <f ca="1">ALL!Q53</f>
        <v>-23.57</v>
      </c>
      <c r="N74" s="14">
        <f ca="1">ALL!R53</f>
        <v>-23.86</v>
      </c>
      <c r="O74" s="14">
        <f ca="1">ALL!S53</f>
        <v>-24.15</v>
      </c>
      <c r="P74" s="14">
        <f ca="1">ALL!T53</f>
        <v>-24.44</v>
      </c>
      <c r="Q74" s="14">
        <f ca="1">ALL!U53</f>
        <v>-24.72</v>
      </c>
      <c r="R74" s="14">
        <f ca="1">ALL!V53</f>
        <v>-24.99</v>
      </c>
      <c r="S74" s="14">
        <f ca="1">ALL!W53</f>
        <v>-25.22</v>
      </c>
      <c r="T74" s="14">
        <f ca="1">ALL!X53</f>
        <v>-26.06</v>
      </c>
      <c r="U74" s="14">
        <f ca="1">ALL!Y53</f>
        <v>-26.32</v>
      </c>
      <c r="V74" s="14">
        <f ca="1">ALL!Z53</f>
        <v>-26.58</v>
      </c>
      <c r="W74" s="14">
        <f ca="1">ALL!AA53</f>
        <v>-26.85</v>
      </c>
      <c r="X74" s="14">
        <f ca="1">ALL!AB53</f>
        <v>-26.99</v>
      </c>
      <c r="Y74" s="14">
        <f ca="1">ALL!AC53</f>
        <v>-27.82</v>
      </c>
      <c r="Z74" s="14">
        <f ca="1">ALL!AD53</f>
        <v>-28.29</v>
      </c>
      <c r="AA74" s="14">
        <f ca="1">ALL!AE53</f>
        <v>-28.53</v>
      </c>
      <c r="AB74" s="14">
        <f ca="1">ALL!AF53</f>
        <v>-28.53</v>
      </c>
      <c r="AC74" s="14">
        <f ca="1">ALL!AG53</f>
        <v>-28.76</v>
      </c>
      <c r="AD74" s="14">
        <f ca="1">ALL!AH53</f>
        <v>0</v>
      </c>
      <c r="AE74" s="14">
        <f ca="1">ALL!AI53</f>
        <v>0</v>
      </c>
      <c r="AF74" s="14">
        <f ca="1">ALL!AJ53</f>
        <v>0</v>
      </c>
      <c r="AG74" s="14">
        <f ca="1">ALL!AK53</f>
        <v>0</v>
      </c>
      <c r="AH74" s="14">
        <f ca="1">ALL!AL53</f>
        <v>0</v>
      </c>
      <c r="AI74" s="14">
        <f>ALL!AM53</f>
        <v>0</v>
      </c>
    </row>
    <row r="75" spans="1:94" ht="21.75" hidden="1" outlineLevel="1" thickBot="1" x14ac:dyDescent="0.4">
      <c r="A75" s="36" t="str">
        <f>ALL!E54</f>
        <v>Ar</v>
      </c>
      <c r="B75" s="16">
        <f ca="1">ALL!F54</f>
        <v>-18.98</v>
      </c>
      <c r="C75" s="16">
        <f ca="1">ALL!G54</f>
        <v>-18.96</v>
      </c>
      <c r="D75" s="16">
        <f ca="1">ALL!H54</f>
        <v>-18.96</v>
      </c>
      <c r="E75" s="16">
        <f ca="1">ALL!I54</f>
        <v>-18.96</v>
      </c>
      <c r="F75" s="14">
        <f ca="1">ALL!J54</f>
        <v>-18.97</v>
      </c>
      <c r="G75" s="14">
        <f ca="1">ALL!K54</f>
        <v>-18.989999999999998</v>
      </c>
      <c r="H75" s="14">
        <f ca="1">ALL!L54</f>
        <v>-19.02</v>
      </c>
      <c r="I75" s="14">
        <f ca="1">ALL!M54</f>
        <v>-19.05</v>
      </c>
      <c r="J75" s="14">
        <f ca="1">ALL!N54</f>
        <v>-19.079999999999998</v>
      </c>
      <c r="K75" s="14">
        <f ca="1">ALL!O54</f>
        <v>-19.2</v>
      </c>
      <c r="L75" s="14">
        <f ca="1">ALL!P54</f>
        <v>-19.23</v>
      </c>
      <c r="M75" s="14">
        <f ca="1">ALL!Q54</f>
        <v>-19.27</v>
      </c>
      <c r="N75" s="14">
        <f ca="1">ALL!R54</f>
        <v>-19.309999999999999</v>
      </c>
      <c r="O75" s="14">
        <f ca="1">ALL!S54</f>
        <v>-19.36</v>
      </c>
      <c r="P75" s="14">
        <f ca="1">ALL!T54</f>
        <v>-19.399999999999999</v>
      </c>
      <c r="Q75" s="14">
        <f ca="1">ALL!U54</f>
        <v>-19.440000000000001</v>
      </c>
      <c r="R75" s="14">
        <f ca="1">ALL!V54</f>
        <v>-19.47</v>
      </c>
      <c r="S75" s="14">
        <f ca="1">ALL!W54</f>
        <v>-19.48</v>
      </c>
      <c r="T75" s="14">
        <f ca="1">ALL!X54</f>
        <v>-19.43</v>
      </c>
      <c r="U75" s="14">
        <f ca="1">ALL!Y54</f>
        <v>-19.47</v>
      </c>
      <c r="V75" s="14">
        <f ca="1">ALL!Z54</f>
        <v>-19.510000000000002</v>
      </c>
      <c r="W75" s="14">
        <f ca="1">ALL!AA54</f>
        <v>-19.55</v>
      </c>
      <c r="X75" s="14">
        <f ca="1">ALL!AB54</f>
        <v>-19.59</v>
      </c>
      <c r="Y75" s="14">
        <f ca="1">ALL!AC54</f>
        <v>-19.739999999999998</v>
      </c>
      <c r="Z75" s="14">
        <f ca="1">ALL!AD54</f>
        <v>-19.809999999999999</v>
      </c>
      <c r="AA75" s="14">
        <f ca="1">ALL!AE54</f>
        <v>-19.850000000000001</v>
      </c>
      <c r="AB75" s="14">
        <f ca="1">ALL!AF54</f>
        <v>-19.850000000000001</v>
      </c>
      <c r="AC75" s="14">
        <f ca="1">ALL!AG54</f>
        <v>-19.88</v>
      </c>
      <c r="AD75" s="14">
        <f ca="1">ALL!AH54</f>
        <v>0</v>
      </c>
      <c r="AE75" s="14">
        <f ca="1">ALL!AI54</f>
        <v>0</v>
      </c>
      <c r="AF75" s="14">
        <f ca="1">ALL!AJ54</f>
        <v>0</v>
      </c>
      <c r="AG75" s="14">
        <f ca="1">ALL!AK54</f>
        <v>0</v>
      </c>
      <c r="AH75" s="14">
        <f ca="1">ALL!AL54</f>
        <v>0</v>
      </c>
      <c r="AI75" s="14">
        <f>ALL!AM54</f>
        <v>0</v>
      </c>
    </row>
    <row r="76" spans="1:94" ht="21.75" hidden="1" outlineLevel="1" thickBot="1" x14ac:dyDescent="0.4">
      <c r="A76" s="36" t="str">
        <f>ALL!E55</f>
        <v>(l)GeSe2</v>
      </c>
      <c r="B76" s="16">
        <f ca="1">ALL!F55</f>
        <v>-64.42</v>
      </c>
      <c r="C76" s="16">
        <f ca="1">ALL!G55</f>
        <v>-61.08</v>
      </c>
      <c r="D76" s="16">
        <f ca="1">ALL!H55</f>
        <v>-58.42</v>
      </c>
      <c r="E76" s="16">
        <f ca="1">ALL!I55</f>
        <v>-56.46</v>
      </c>
      <c r="F76" s="14">
        <f ca="1">ALL!J55</f>
        <v>-55.04</v>
      </c>
      <c r="G76" s="14">
        <f ca="1">ALL!K55</f>
        <v>-54.010000000000005</v>
      </c>
      <c r="H76" s="14">
        <f ca="1">ALL!L55</f>
        <v>-53.198</v>
      </c>
      <c r="I76" s="14">
        <f ca="1">ALL!M55</f>
        <v>-52.546000000000006</v>
      </c>
      <c r="J76" s="14">
        <f ca="1">ALL!N55</f>
        <v>-52.051000000000002</v>
      </c>
      <c r="K76" s="14">
        <f ca="1">ALL!O55</f>
        <v>-52.143000000000001</v>
      </c>
      <c r="L76" s="14">
        <f ca="1">ALL!P55</f>
        <v>-52.661999999999999</v>
      </c>
      <c r="M76" s="14">
        <f ca="1">ALL!Q55</f>
        <v>-53.239000000000004</v>
      </c>
      <c r="N76" s="14">
        <f ca="1">ALL!R55</f>
        <v>-53.853999999999999</v>
      </c>
      <c r="O76" s="14">
        <f ca="1">ALL!S55</f>
        <v>-54.477999999999994</v>
      </c>
      <c r="P76" s="14">
        <f ca="1">ALL!T55</f>
        <v>-55.106000000000002</v>
      </c>
      <c r="Q76" s="14">
        <f ca="1">ALL!U55</f>
        <v>-55.720999999999997</v>
      </c>
      <c r="R76" s="14">
        <f ca="1">ALL!V55</f>
        <v>-56.339999999999996</v>
      </c>
      <c r="S76" s="14">
        <f ca="1">ALL!W55</f>
        <v>-56.954999999999998</v>
      </c>
      <c r="T76" s="14">
        <f ca="1">ALL!X55</f>
        <v>-59.456999999999994</v>
      </c>
      <c r="U76" s="14">
        <f ca="1">ALL!Y55</f>
        <v>-60.048999999999999</v>
      </c>
      <c r="V76" s="14">
        <f ca="1">ALL!Z55</f>
        <v>-60.634</v>
      </c>
      <c r="W76" s="14">
        <f ca="1">ALL!AA55</f>
        <v>-61.241</v>
      </c>
      <c r="X76" s="14">
        <f ca="1">ALL!AB55</f>
        <v>-61.58</v>
      </c>
      <c r="Y76" s="14">
        <f ca="1">ALL!AC55</f>
        <v>-63.423000000000002</v>
      </c>
      <c r="Z76" s="14">
        <f ca="1">ALL!AD55</f>
        <v>-64.457999999999998</v>
      </c>
      <c r="AA76" s="14">
        <f ca="1">ALL!AE55</f>
        <v>-64.986999999999995</v>
      </c>
      <c r="AB76" s="14">
        <f ca="1">ALL!AF55</f>
        <v>-64.986999999999995</v>
      </c>
      <c r="AC76" s="14">
        <f ca="1">ALL!AG55</f>
        <v>-65.496000000000009</v>
      </c>
      <c r="AD76" s="14">
        <f ca="1">ALL!AH55</f>
        <v>0</v>
      </c>
      <c r="AE76" s="14">
        <f ca="1">ALL!AI55</f>
        <v>0</v>
      </c>
      <c r="AF76" s="14">
        <f ca="1">ALL!AJ55</f>
        <v>0</v>
      </c>
      <c r="AG76" s="14">
        <f ca="1">ALL!AK55</f>
        <v>0</v>
      </c>
      <c r="AH76" s="14">
        <f ca="1">ALL!AL55</f>
        <v>0</v>
      </c>
      <c r="AI76" s="14">
        <f>ALL!AM55</f>
        <v>0</v>
      </c>
    </row>
    <row r="77" spans="1:94" ht="21.75" hidden="1" outlineLevel="1" thickBot="1" x14ac:dyDescent="0.4">
      <c r="A77" s="36" t="str">
        <f>ALL!E56</f>
        <v>(l)GeSe</v>
      </c>
      <c r="B77" s="16">
        <f ca="1">ALL!F56</f>
        <v>-40.85</v>
      </c>
      <c r="C77" s="16">
        <f ca="1">ALL!G56</f>
        <v>-38.700000000000003</v>
      </c>
      <c r="D77" s="16">
        <f ca="1">ALL!H56</f>
        <v>-36.799999999999997</v>
      </c>
      <c r="E77" s="16">
        <f ca="1">ALL!I56</f>
        <v>-35.14</v>
      </c>
      <c r="F77" s="14">
        <f ca="1">ALL!J56</f>
        <v>-33.700000000000003</v>
      </c>
      <c r="G77" s="14">
        <f ca="1">ALL!K56</f>
        <v>-32.480000000000004</v>
      </c>
      <c r="H77" s="14">
        <f ca="1">ALL!L56</f>
        <v>-31.417999999999999</v>
      </c>
      <c r="I77" s="14">
        <f ca="1">ALL!M56</f>
        <v>-30.516000000000002</v>
      </c>
      <c r="J77" s="14">
        <f ca="1">ALL!N56</f>
        <v>-29.801000000000002</v>
      </c>
      <c r="K77" s="14">
        <f ca="1">ALL!O56</f>
        <v>-29.122999999999998</v>
      </c>
      <c r="L77" s="14">
        <f ca="1">ALL!P56</f>
        <v>-29.372</v>
      </c>
      <c r="M77" s="14">
        <f ca="1">ALL!Q56</f>
        <v>-29.669</v>
      </c>
      <c r="N77" s="14">
        <f ca="1">ALL!R56</f>
        <v>-29.994</v>
      </c>
      <c r="O77" s="14">
        <f ca="1">ALL!S56</f>
        <v>-30.327999999999999</v>
      </c>
      <c r="P77" s="14">
        <f ca="1">ALL!T56</f>
        <v>-30.666</v>
      </c>
      <c r="Q77" s="14">
        <f ca="1">ALL!U56</f>
        <v>-31.000999999999998</v>
      </c>
      <c r="R77" s="14">
        <f ca="1">ALL!V56</f>
        <v>-31.349999999999998</v>
      </c>
      <c r="S77" s="14">
        <f ca="1">ALL!W56</f>
        <v>-31.734999999999999</v>
      </c>
      <c r="T77" s="14">
        <f ca="1">ALL!X56</f>
        <v>-33.396999999999998</v>
      </c>
      <c r="U77" s="14">
        <f ca="1">ALL!Y56</f>
        <v>-33.728999999999999</v>
      </c>
      <c r="V77" s="14">
        <f ca="1">ALL!Z56</f>
        <v>-34.054000000000002</v>
      </c>
      <c r="W77" s="14">
        <f ca="1">ALL!AA56</f>
        <v>-34.391000000000005</v>
      </c>
      <c r="X77" s="14">
        <f ca="1">ALL!AB56</f>
        <v>-34.589999999999996</v>
      </c>
      <c r="Y77" s="14">
        <f ca="1">ALL!AC56</f>
        <v>-35.603000000000002</v>
      </c>
      <c r="Z77" s="14">
        <f ca="1">ALL!AD56</f>
        <v>-36.167999999999999</v>
      </c>
      <c r="AA77" s="14">
        <f ca="1">ALL!AE56</f>
        <v>-36.457000000000001</v>
      </c>
      <c r="AB77" s="14">
        <f ca="1">ALL!AF56</f>
        <v>-36.457000000000001</v>
      </c>
      <c r="AC77" s="14">
        <f ca="1">ALL!AG56</f>
        <v>-36.736000000000004</v>
      </c>
      <c r="AD77" s="14">
        <f ca="1">ALL!AH56</f>
        <v>0</v>
      </c>
      <c r="AE77" s="14">
        <f ca="1">ALL!AI56</f>
        <v>0</v>
      </c>
      <c r="AF77" s="14">
        <f ca="1">ALL!AJ56</f>
        <v>0</v>
      </c>
      <c r="AG77" s="14">
        <f ca="1">ALL!AK56</f>
        <v>0</v>
      </c>
      <c r="AH77" s="14">
        <f ca="1">ALL!AL56</f>
        <v>0</v>
      </c>
      <c r="AI77" s="14">
        <f>ALL!AM56</f>
        <v>0</v>
      </c>
    </row>
    <row r="78" spans="1:94" ht="21.75" hidden="1" outlineLevel="1" thickBot="1" x14ac:dyDescent="0.4">
      <c r="A78" s="36" t="str">
        <f>ALL!E57</f>
        <v>(1)Ga2Se3</v>
      </c>
      <c r="B78" s="16">
        <f ca="1">ALL!F57</f>
        <v>-202.91</v>
      </c>
      <c r="C78" s="16">
        <f ca="1">ALL!G57</f>
        <v>-190.48000000000002</v>
      </c>
      <c r="D78" s="16">
        <f ca="1">ALL!H57</f>
        <v>-179.7</v>
      </c>
      <c r="E78" s="16">
        <f ca="1">ALL!I57</f>
        <v>-170.32</v>
      </c>
      <c r="F78" s="14">
        <f ca="1">ALL!J57</f>
        <v>-162.04</v>
      </c>
      <c r="G78" s="14">
        <f ca="1">ALL!K57</f>
        <v>-154.69</v>
      </c>
      <c r="H78" s="14">
        <f ca="1">ALL!L57</f>
        <v>-148.13999999999999</v>
      </c>
      <c r="I78" s="14">
        <f ca="1">ALL!M57</f>
        <v>-142.25</v>
      </c>
      <c r="J78" s="14">
        <f ca="1">ALL!N57</f>
        <v>-136.97</v>
      </c>
      <c r="K78" s="14">
        <f ca="1">ALL!O57</f>
        <v>-120.26</v>
      </c>
      <c r="L78" s="14">
        <f ca="1">ALL!P57</f>
        <v>-116.93</v>
      </c>
      <c r="M78" s="14">
        <f ca="1">ALL!Q57</f>
        <v>-113.83000000000001</v>
      </c>
      <c r="N78" s="14">
        <f ca="1">ALL!R57</f>
        <v>-110.97999999999999</v>
      </c>
      <c r="O78" s="14">
        <f ca="1">ALL!S57</f>
        <v>-108.35</v>
      </c>
      <c r="P78" s="14">
        <f ca="1">ALL!T57</f>
        <v>-105.9</v>
      </c>
      <c r="Q78" s="14">
        <f ca="1">ALL!U57</f>
        <v>-103.62</v>
      </c>
      <c r="R78" s="14">
        <f ca="1">ALL!V57</f>
        <v>-101.53</v>
      </c>
      <c r="S78" s="14">
        <f ca="1">ALL!W57</f>
        <v>-99.679999999999993</v>
      </c>
      <c r="T78" s="14">
        <f ca="1">ALL!X57</f>
        <v>-96.431999999999988</v>
      </c>
      <c r="U78" s="14">
        <f ca="1">ALL!Y57</f>
        <v>-96.216000000000008</v>
      </c>
      <c r="V78" s="14">
        <f ca="1">ALL!Z57</f>
        <v>-96.061999999999998</v>
      </c>
      <c r="W78" s="14">
        <f ca="1">ALL!AA57</f>
        <v>-95.994000000000014</v>
      </c>
      <c r="X78" s="14">
        <f ca="1">ALL!AB57</f>
        <v>-96.19</v>
      </c>
      <c r="Y78" s="14">
        <f ca="1">ALL!AC57</f>
        <v>-99.226000000000013</v>
      </c>
      <c r="Z78" s="14">
        <f ca="1">ALL!AD57</f>
        <v>-100.898</v>
      </c>
      <c r="AA78" s="14">
        <f ca="1">ALL!AE57</f>
        <v>-101.744</v>
      </c>
      <c r="AB78" s="14">
        <f ca="1">ALL!AF57</f>
        <v>-101.744</v>
      </c>
      <c r="AC78" s="14">
        <f ca="1">ALL!AG57</f>
        <v>-102.56</v>
      </c>
      <c r="AD78" s="14">
        <f ca="1">ALL!AH57</f>
        <v>0</v>
      </c>
      <c r="AE78" s="14">
        <f ca="1">ALL!AI57</f>
        <v>0</v>
      </c>
      <c r="AF78" s="14">
        <f ca="1">ALL!AJ57</f>
        <v>0</v>
      </c>
      <c r="AG78" s="14">
        <f ca="1">ALL!AK57</f>
        <v>0</v>
      </c>
      <c r="AH78" s="14">
        <f ca="1">ALL!AL57</f>
        <v>0</v>
      </c>
      <c r="AI78" s="14">
        <f>ALL!AM57</f>
        <v>0</v>
      </c>
    </row>
    <row r="79" spans="1:94" ht="21.75" hidden="1" outlineLevel="1" thickBot="1" x14ac:dyDescent="0.4">
      <c r="A79" s="36" t="str">
        <f>ALL!E58</f>
        <v>(1)Ga2Se</v>
      </c>
      <c r="B79" s="16">
        <f ca="1">ALL!F58</f>
        <v>-155.76999999999998</v>
      </c>
      <c r="C79" s="16">
        <f ca="1">ALL!G58</f>
        <v>-145.72</v>
      </c>
      <c r="D79" s="16">
        <f ca="1">ALL!H58</f>
        <v>-136.46</v>
      </c>
      <c r="E79" s="16">
        <f ca="1">ALL!I58</f>
        <v>-127.68</v>
      </c>
      <c r="F79" s="14">
        <f ca="1">ALL!J58</f>
        <v>-119.36</v>
      </c>
      <c r="G79" s="14">
        <f ca="1">ALL!K58</f>
        <v>-111.63</v>
      </c>
      <c r="H79" s="14">
        <f ca="1">ALL!L58</f>
        <v>-104.58</v>
      </c>
      <c r="I79" s="14">
        <f ca="1">ALL!M58</f>
        <v>-98.19</v>
      </c>
      <c r="J79" s="14">
        <f ca="1">ALL!N58</f>
        <v>-92.47</v>
      </c>
      <c r="K79" s="14">
        <f ca="1">ALL!O58</f>
        <v>-74.22</v>
      </c>
      <c r="L79" s="14">
        <f ca="1">ALL!P58</f>
        <v>-70.349999999999994</v>
      </c>
      <c r="M79" s="14">
        <f ca="1">ALL!Q58</f>
        <v>-66.69</v>
      </c>
      <c r="N79" s="14">
        <f ca="1">ALL!R58</f>
        <v>-63.26</v>
      </c>
      <c r="O79" s="14">
        <f ca="1">ALL!S58</f>
        <v>-60.05</v>
      </c>
      <c r="P79" s="14">
        <f ca="1">ALL!T58</f>
        <v>-57.019999999999996</v>
      </c>
      <c r="Q79" s="14">
        <f ca="1">ALL!U58</f>
        <v>-54.18</v>
      </c>
      <c r="R79" s="14">
        <f ca="1">ALL!V58</f>
        <v>-51.55</v>
      </c>
      <c r="S79" s="14">
        <f ca="1">ALL!W58</f>
        <v>-49.239999999999995</v>
      </c>
      <c r="T79" s="14">
        <f ca="1">ALL!X58</f>
        <v>-44.311999999999998</v>
      </c>
      <c r="U79" s="14">
        <f ca="1">ALL!Y58</f>
        <v>-43.576000000000001</v>
      </c>
      <c r="V79" s="14">
        <f ca="1">ALL!Z58</f>
        <v>-42.902000000000001</v>
      </c>
      <c r="W79" s="14">
        <f ca="1">ALL!AA58</f>
        <v>-42.294000000000004</v>
      </c>
      <c r="X79" s="14">
        <f ca="1">ALL!AB58</f>
        <v>-42.21</v>
      </c>
      <c r="Y79" s="14">
        <f ca="1">ALL!AC58</f>
        <v>-43.585999999999999</v>
      </c>
      <c r="Z79" s="14">
        <f ca="1">ALL!AD58</f>
        <v>-44.317999999999998</v>
      </c>
      <c r="AA79" s="14">
        <f ca="1">ALL!AE58</f>
        <v>-44.683999999999997</v>
      </c>
      <c r="AB79" s="14">
        <f ca="1">ALL!AF58</f>
        <v>-44.683999999999997</v>
      </c>
      <c r="AC79" s="14">
        <f ca="1">ALL!AG58</f>
        <v>-45.040000000000006</v>
      </c>
      <c r="AD79" s="14">
        <f ca="1">ALL!AH58</f>
        <v>0</v>
      </c>
      <c r="AE79" s="14">
        <f ca="1">ALL!AI58</f>
        <v>0</v>
      </c>
      <c r="AF79" s="14">
        <f ca="1">ALL!AJ58</f>
        <v>0</v>
      </c>
      <c r="AG79" s="14">
        <f ca="1">ALL!AK58</f>
        <v>0</v>
      </c>
      <c r="AH79" s="14">
        <f ca="1">ALL!AL58</f>
        <v>0</v>
      </c>
      <c r="AI79" s="14">
        <f>ALL!AM58</f>
        <v>0</v>
      </c>
    </row>
    <row r="80" spans="1:94" ht="21.75" hidden="1" outlineLevel="1" thickBot="1" x14ac:dyDescent="0.4">
      <c r="A80" s="36" t="str">
        <f>ALL!E59</f>
        <v>(1)Ge</v>
      </c>
      <c r="B80" s="16">
        <f ca="1">ALL!F59</f>
        <v>-17.28</v>
      </c>
      <c r="C80" s="16">
        <f ca="1">ALL!G59</f>
        <v>-16.32</v>
      </c>
      <c r="D80" s="16">
        <f ca="1">ALL!H59</f>
        <v>-15.18</v>
      </c>
      <c r="E80" s="16">
        <f ca="1">ALL!I59</f>
        <v>-13.82</v>
      </c>
      <c r="F80" s="14">
        <f ca="1">ALL!J59</f>
        <v>-12.36</v>
      </c>
      <c r="G80" s="14">
        <f ca="1">ALL!K59</f>
        <v>-10.95</v>
      </c>
      <c r="H80" s="14">
        <f ca="1">ALL!L59</f>
        <v>-9.6379999999999999</v>
      </c>
      <c r="I80" s="14">
        <f ca="1">ALL!M59</f>
        <v>-8.4860000000000007</v>
      </c>
      <c r="J80" s="14">
        <f ca="1">ALL!N59</f>
        <v>-7.5510000000000002</v>
      </c>
      <c r="K80" s="14">
        <f ca="1">ALL!O59</f>
        <v>-6.1029999999999998</v>
      </c>
      <c r="L80" s="14">
        <f ca="1">ALL!P59</f>
        <v>-6.0819999999999999</v>
      </c>
      <c r="M80" s="14">
        <f ca="1">ALL!Q59</f>
        <v>-6.0990000000000002</v>
      </c>
      <c r="N80" s="14">
        <f ca="1">ALL!R59</f>
        <v>-6.1340000000000003</v>
      </c>
      <c r="O80" s="14">
        <f ca="1">ALL!S59</f>
        <v>-6.1779999999999999</v>
      </c>
      <c r="P80" s="14">
        <f ca="1">ALL!T59</f>
        <v>-6.226</v>
      </c>
      <c r="Q80" s="14">
        <f ca="1">ALL!U59</f>
        <v>-6.2809999999999997</v>
      </c>
      <c r="R80" s="14">
        <f ca="1">ALL!V59</f>
        <v>-6.36</v>
      </c>
      <c r="S80" s="14">
        <f ca="1">ALL!W59</f>
        <v>-6.5149999999999997</v>
      </c>
      <c r="T80" s="14">
        <f ca="1">ALL!X59</f>
        <v>-7.3369999999999997</v>
      </c>
      <c r="U80" s="14">
        <f ca="1">ALL!Y59</f>
        <v>-7.4089999999999998</v>
      </c>
      <c r="V80" s="14">
        <f ca="1">ALL!Z59</f>
        <v>-7.4740000000000002</v>
      </c>
      <c r="W80" s="14">
        <f ca="1">ALL!AA59</f>
        <v>-7.5410000000000004</v>
      </c>
      <c r="X80" s="14">
        <f ca="1">ALL!AB59</f>
        <v>-7.6</v>
      </c>
      <c r="Y80" s="14">
        <f ca="1">ALL!AC59</f>
        <v>-7.7830000000000004</v>
      </c>
      <c r="Z80" s="14">
        <f ca="1">ALL!AD59</f>
        <v>-7.8780000000000001</v>
      </c>
      <c r="AA80" s="14">
        <f ca="1">ALL!AE59</f>
        <v>-7.9269999999999996</v>
      </c>
      <c r="AB80" s="14">
        <f ca="1">ALL!AF59</f>
        <v>-7.9269999999999996</v>
      </c>
      <c r="AC80" s="14">
        <f ca="1">ALL!AG59</f>
        <v>-7.976</v>
      </c>
      <c r="AD80" s="14">
        <f ca="1">ALL!AH59</f>
        <v>0</v>
      </c>
      <c r="AE80" s="14">
        <f ca="1">ALL!AI59</f>
        <v>0</v>
      </c>
      <c r="AF80" s="14">
        <f ca="1">ALL!AJ59</f>
        <v>0</v>
      </c>
      <c r="AG80" s="14">
        <f ca="1">ALL!AK59</f>
        <v>0</v>
      </c>
      <c r="AH80" s="14">
        <f ca="1">ALL!AL59</f>
        <v>0</v>
      </c>
      <c r="AI80" s="14">
        <f>ALL!AM59</f>
        <v>0</v>
      </c>
    </row>
    <row r="81" spans="1:35" ht="21.75" hidden="1" outlineLevel="1" thickBot="1" x14ac:dyDescent="0.4">
      <c r="A81" s="36" t="str">
        <f>ALL!E60</f>
        <v>(1)Ga</v>
      </c>
      <c r="B81" s="16">
        <f ca="1">ALL!F60</f>
        <v>-66.099999999999994</v>
      </c>
      <c r="C81" s="16">
        <f ca="1">ALL!G60</f>
        <v>-61.67</v>
      </c>
      <c r="D81" s="16">
        <f ca="1">ALL!H60</f>
        <v>-57.42</v>
      </c>
      <c r="E81" s="16">
        <f ca="1">ALL!I60</f>
        <v>-53.18</v>
      </c>
      <c r="F81" s="14">
        <f ca="1">ALL!J60</f>
        <v>-49.01</v>
      </c>
      <c r="G81" s="14">
        <f ca="1">ALL!K60</f>
        <v>-45.05</v>
      </c>
      <c r="H81" s="14">
        <f ca="1">ALL!L60</f>
        <v>-41.4</v>
      </c>
      <c r="I81" s="14">
        <f ca="1">ALL!M60</f>
        <v>-38.08</v>
      </c>
      <c r="J81" s="14">
        <f ca="1">ALL!N60</f>
        <v>-35.11</v>
      </c>
      <c r="K81" s="14">
        <f ca="1">ALL!O60</f>
        <v>-25.6</v>
      </c>
      <c r="L81" s="14">
        <f ca="1">ALL!P60</f>
        <v>-23.53</v>
      </c>
      <c r="M81" s="14">
        <f ca="1">ALL!Q60</f>
        <v>-21.56</v>
      </c>
      <c r="N81" s="14">
        <f ca="1">ALL!R60</f>
        <v>-19.7</v>
      </c>
      <c r="O81" s="14">
        <f ca="1">ALL!S60</f>
        <v>-17.95</v>
      </c>
      <c r="P81" s="14">
        <f ca="1">ALL!T60</f>
        <v>-16.29</v>
      </c>
      <c r="Q81" s="14">
        <f ca="1">ALL!U60</f>
        <v>-14.73</v>
      </c>
      <c r="R81" s="14">
        <f ca="1">ALL!V60</f>
        <v>-13.28</v>
      </c>
      <c r="S81" s="14">
        <f ca="1">ALL!W60</f>
        <v>-12.01</v>
      </c>
      <c r="T81" s="14">
        <f ca="1">ALL!X60</f>
        <v>-9.1259999999999994</v>
      </c>
      <c r="U81" s="14">
        <f ca="1">ALL!Y60</f>
        <v>-8.6280000000000001</v>
      </c>
      <c r="V81" s="14">
        <f ca="1">ALL!Z60</f>
        <v>-8.1609999999999996</v>
      </c>
      <c r="W81" s="14">
        <f ca="1">ALL!AA60</f>
        <v>-7.7220000000000004</v>
      </c>
      <c r="X81" s="14">
        <f ca="1">ALL!AB60</f>
        <v>-7.61</v>
      </c>
      <c r="Y81" s="14">
        <f ca="1">ALL!AC60</f>
        <v>-7.883</v>
      </c>
      <c r="Z81" s="14">
        <f ca="1">ALL!AD60</f>
        <v>-8.0139999999999993</v>
      </c>
      <c r="AA81" s="14">
        <f ca="1">ALL!AE60</f>
        <v>-8.077</v>
      </c>
      <c r="AB81" s="14">
        <f ca="1">ALL!AF60</f>
        <v>-8.077</v>
      </c>
      <c r="AC81" s="14">
        <f ca="1">ALL!AG60</f>
        <v>-8.14</v>
      </c>
      <c r="AD81" s="14">
        <f ca="1">ALL!AH60</f>
        <v>0</v>
      </c>
      <c r="AE81" s="14">
        <f ca="1">ALL!AI60</f>
        <v>0</v>
      </c>
      <c r="AF81" s="14">
        <f ca="1">ALL!AJ60</f>
        <v>0</v>
      </c>
      <c r="AG81" s="14">
        <f ca="1">ALL!AK60</f>
        <v>0</v>
      </c>
      <c r="AH81" s="14">
        <f ca="1">ALL!AL60</f>
        <v>0</v>
      </c>
      <c r="AI81" s="14">
        <f>ALL!AM60</f>
        <v>0</v>
      </c>
    </row>
    <row r="82" spans="1:35" ht="21.75" hidden="1" outlineLevel="1" thickBot="1" x14ac:dyDescent="0.4">
      <c r="A82" s="36" t="str">
        <f>ALL!E61</f>
        <v>(1)Se</v>
      </c>
      <c r="B82" s="16">
        <f ca="1">ALL!F61</f>
        <v>-23.57</v>
      </c>
      <c r="C82" s="16">
        <f ca="1">ALL!G61</f>
        <v>-22.38</v>
      </c>
      <c r="D82" s="16">
        <f ca="1">ALL!H61</f>
        <v>-21.62</v>
      </c>
      <c r="E82" s="16">
        <f ca="1">ALL!I61</f>
        <v>-21.32</v>
      </c>
      <c r="F82" s="14">
        <f ca="1">ALL!J61</f>
        <v>-21.34</v>
      </c>
      <c r="G82" s="14">
        <f ca="1">ALL!K61</f>
        <v>-21.53</v>
      </c>
      <c r="H82" s="14">
        <f ca="1">ALL!L61</f>
        <v>-21.78</v>
      </c>
      <c r="I82" s="14">
        <f ca="1">ALL!M61</f>
        <v>-22.03</v>
      </c>
      <c r="J82" s="14">
        <f ca="1">ALL!N61</f>
        <v>-22.25</v>
      </c>
      <c r="K82" s="14">
        <f ca="1">ALL!O61</f>
        <v>-23.02</v>
      </c>
      <c r="L82" s="14">
        <f ca="1">ALL!P61</f>
        <v>-23.29</v>
      </c>
      <c r="M82" s="14">
        <f ca="1">ALL!Q61</f>
        <v>-23.57</v>
      </c>
      <c r="N82" s="14">
        <f ca="1">ALL!R61</f>
        <v>-23.86</v>
      </c>
      <c r="O82" s="14">
        <f ca="1">ALL!S61</f>
        <v>-24.15</v>
      </c>
      <c r="P82" s="14">
        <f ca="1">ALL!T61</f>
        <v>-24.44</v>
      </c>
      <c r="Q82" s="14">
        <f ca="1">ALL!U61</f>
        <v>-24.72</v>
      </c>
      <c r="R82" s="14">
        <f ca="1">ALL!V61</f>
        <v>-24.99</v>
      </c>
      <c r="S82" s="14">
        <f ca="1">ALL!W61</f>
        <v>-25.22</v>
      </c>
      <c r="T82" s="14">
        <f ca="1">ALL!X61</f>
        <v>-26.06</v>
      </c>
      <c r="U82" s="14">
        <f ca="1">ALL!Y61</f>
        <v>-26.32</v>
      </c>
      <c r="V82" s="14">
        <f ca="1">ALL!Z61</f>
        <v>-26.58</v>
      </c>
      <c r="W82" s="14">
        <f ca="1">ALL!AA61</f>
        <v>-26.85</v>
      </c>
      <c r="X82" s="14">
        <f ca="1">ALL!AB61</f>
        <v>-26.99</v>
      </c>
      <c r="Y82" s="14">
        <f ca="1">ALL!AC61</f>
        <v>-27.82</v>
      </c>
      <c r="Z82" s="14">
        <f ca="1">ALL!AD61</f>
        <v>-28.29</v>
      </c>
      <c r="AA82" s="14">
        <f ca="1">ALL!AE61</f>
        <v>-28.53</v>
      </c>
      <c r="AB82" s="14">
        <f ca="1">ALL!AF61</f>
        <v>-28.53</v>
      </c>
      <c r="AC82" s="14">
        <f ca="1">ALL!AG61</f>
        <v>-28.76</v>
      </c>
      <c r="AD82" s="14">
        <f ca="1">ALL!AH61</f>
        <v>0</v>
      </c>
      <c r="AE82" s="14">
        <f ca="1">ALL!AI61</f>
        <v>0</v>
      </c>
      <c r="AF82" s="14">
        <f ca="1">ALL!AJ61</f>
        <v>0</v>
      </c>
      <c r="AG82" s="14">
        <f ca="1">ALL!AK61</f>
        <v>0</v>
      </c>
      <c r="AH82" s="14">
        <f ca="1">ALL!AL61</f>
        <v>0</v>
      </c>
      <c r="AI82" s="14">
        <f>ALL!AM61</f>
        <v>0</v>
      </c>
    </row>
    <row r="83" spans="1:35" ht="21.75" hidden="1" outlineLevel="1" thickBot="1" x14ac:dyDescent="0.4">
      <c r="A83" s="36" t="str">
        <f>ALL!E62</f>
        <v>(1)Se[a]</v>
      </c>
      <c r="B83" s="16">
        <f ca="1">ALL!F62</f>
        <v>-23.57</v>
      </c>
      <c r="C83" s="16">
        <f ca="1">ALL!G62</f>
        <v>-22.38</v>
      </c>
      <c r="D83" s="16">
        <f ca="1">ALL!H62</f>
        <v>-21.62</v>
      </c>
      <c r="E83" s="16">
        <f ca="1">ALL!I62</f>
        <v>-21.32</v>
      </c>
      <c r="F83" s="14">
        <f ca="1">ALL!J62</f>
        <v>-21.34</v>
      </c>
      <c r="G83" s="14">
        <f ca="1">ALL!K62</f>
        <v>-21.53</v>
      </c>
      <c r="H83" s="14">
        <f ca="1">ALL!L62</f>
        <v>-21.78</v>
      </c>
      <c r="I83" s="14">
        <f ca="1">ALL!M62</f>
        <v>-22.03</v>
      </c>
      <c r="J83" s="14">
        <f ca="1">ALL!N62</f>
        <v>-22.25</v>
      </c>
      <c r="K83" s="14">
        <f ca="1">ALL!O62</f>
        <v>-23.02</v>
      </c>
      <c r="L83" s="14">
        <f ca="1">ALL!P62</f>
        <v>-23.29</v>
      </c>
      <c r="M83" s="14">
        <f ca="1">ALL!Q62</f>
        <v>-23.57</v>
      </c>
      <c r="N83" s="14">
        <f ca="1">ALL!R62</f>
        <v>-23.86</v>
      </c>
      <c r="O83" s="14">
        <f ca="1">ALL!S62</f>
        <v>-24.15</v>
      </c>
      <c r="P83" s="14">
        <f ca="1">ALL!T62</f>
        <v>-24.44</v>
      </c>
      <c r="Q83" s="14">
        <f ca="1">ALL!U62</f>
        <v>-24.72</v>
      </c>
      <c r="R83" s="14">
        <f ca="1">ALL!V62</f>
        <v>-24.99</v>
      </c>
      <c r="S83" s="14">
        <f ca="1">ALL!W62</f>
        <v>-25.22</v>
      </c>
      <c r="T83" s="14">
        <f ca="1">ALL!X62</f>
        <v>-26.06</v>
      </c>
      <c r="U83" s="14">
        <f ca="1">ALL!Y62</f>
        <v>-26.32</v>
      </c>
      <c r="V83" s="14">
        <f ca="1">ALL!Z62</f>
        <v>-26.58</v>
      </c>
      <c r="W83" s="14">
        <f ca="1">ALL!AA62</f>
        <v>-26.85</v>
      </c>
      <c r="X83" s="14">
        <f ca="1">ALL!AB62</f>
        <v>-26.99</v>
      </c>
      <c r="Y83" s="14">
        <f ca="1">ALL!AC62</f>
        <v>-27.82</v>
      </c>
      <c r="Z83" s="14">
        <f ca="1">ALL!AD62</f>
        <v>-28.29</v>
      </c>
      <c r="AA83" s="14">
        <f ca="1">ALL!AE62</f>
        <v>-28.53</v>
      </c>
      <c r="AB83" s="14">
        <f ca="1">ALL!AF62</f>
        <v>-28.53</v>
      </c>
      <c r="AC83" s="14">
        <f ca="1">ALL!AG62</f>
        <v>-28.76</v>
      </c>
      <c r="AD83" s="14">
        <f ca="1">ALL!AH62</f>
        <v>0</v>
      </c>
      <c r="AE83" s="14">
        <f ca="1">ALL!AI62</f>
        <v>0</v>
      </c>
      <c r="AF83" s="14">
        <f ca="1">ALL!AJ62</f>
        <v>0</v>
      </c>
      <c r="AG83" s="14">
        <f ca="1">ALL!AK62</f>
        <v>0</v>
      </c>
      <c r="AH83" s="14">
        <f ca="1">ALL!AL62</f>
        <v>0</v>
      </c>
      <c r="AI83" s="14">
        <f>ALL!AM62</f>
        <v>0</v>
      </c>
    </row>
    <row r="84" spans="1:35" ht="21.75" hidden="1" outlineLevel="1" thickBot="1" x14ac:dyDescent="0.4">
      <c r="A84" s="36" t="str">
        <f>ALL!E63</f>
        <v>(1)Se[m]</v>
      </c>
      <c r="B84" s="16">
        <f ca="1">ALL!F63</f>
        <v>-23.57</v>
      </c>
      <c r="C84" s="16">
        <f ca="1">ALL!G63</f>
        <v>-22.38</v>
      </c>
      <c r="D84" s="16">
        <f ca="1">ALL!H63</f>
        <v>-21.62</v>
      </c>
      <c r="E84" s="16">
        <f ca="1">ALL!I63</f>
        <v>-21.32</v>
      </c>
      <c r="F84" s="14">
        <f ca="1">ALL!J63</f>
        <v>-21.34</v>
      </c>
      <c r="G84" s="14">
        <f ca="1">ALL!K63</f>
        <v>-21.53</v>
      </c>
      <c r="H84" s="14">
        <f ca="1">ALL!L63</f>
        <v>-21.78</v>
      </c>
      <c r="I84" s="14">
        <f ca="1">ALL!M63</f>
        <v>-22.03</v>
      </c>
      <c r="J84" s="14">
        <f ca="1">ALL!N63</f>
        <v>-22.25</v>
      </c>
      <c r="K84" s="14">
        <f ca="1">ALL!O63</f>
        <v>-23.02</v>
      </c>
      <c r="L84" s="14">
        <f ca="1">ALL!P63</f>
        <v>-23.29</v>
      </c>
      <c r="M84" s="14">
        <f ca="1">ALL!Q63</f>
        <v>-23.57</v>
      </c>
      <c r="N84" s="14">
        <f ca="1">ALL!R63</f>
        <v>-23.86</v>
      </c>
      <c r="O84" s="14">
        <f ca="1">ALL!S63</f>
        <v>-24.15</v>
      </c>
      <c r="P84" s="14">
        <f ca="1">ALL!T63</f>
        <v>-24.44</v>
      </c>
      <c r="Q84" s="14">
        <f ca="1">ALL!U63</f>
        <v>-24.72</v>
      </c>
      <c r="R84" s="14">
        <f ca="1">ALL!V63</f>
        <v>-24.99</v>
      </c>
      <c r="S84" s="14">
        <f ca="1">ALL!W63</f>
        <v>-25.22</v>
      </c>
      <c r="T84" s="14">
        <f ca="1">ALL!X63</f>
        <v>-26.06</v>
      </c>
      <c r="U84" s="14">
        <f ca="1">ALL!Y63</f>
        <v>-26.32</v>
      </c>
      <c r="V84" s="14">
        <f ca="1">ALL!Z63</f>
        <v>-26.58</v>
      </c>
      <c r="W84" s="14">
        <f ca="1">ALL!AA63</f>
        <v>-26.85</v>
      </c>
      <c r="X84" s="14">
        <f ca="1">ALL!AB63</f>
        <v>-26.99</v>
      </c>
      <c r="Y84" s="14">
        <f ca="1">ALL!AC63</f>
        <v>-27.82</v>
      </c>
      <c r="Z84" s="14">
        <f ca="1">ALL!AD63</f>
        <v>-28.29</v>
      </c>
      <c r="AA84" s="14">
        <f ca="1">ALL!AE63</f>
        <v>-28.53</v>
      </c>
      <c r="AB84" s="14">
        <f ca="1">ALL!AF63</f>
        <v>-28.53</v>
      </c>
      <c r="AC84" s="14">
        <f ca="1">ALL!AG63</f>
        <v>-28.76</v>
      </c>
      <c r="AD84" s="14">
        <f ca="1">ALL!AH63</f>
        <v>0</v>
      </c>
      <c r="AE84" s="14">
        <f ca="1">ALL!AI63</f>
        <v>0</v>
      </c>
      <c r="AF84" s="14">
        <f ca="1">ALL!AJ63</f>
        <v>0</v>
      </c>
      <c r="AG84" s="14">
        <f ca="1">ALL!AK63</f>
        <v>0</v>
      </c>
      <c r="AH84" s="14">
        <f ca="1">ALL!AL63</f>
        <v>0</v>
      </c>
      <c r="AI84" s="14">
        <f>ALL!AM63</f>
        <v>0</v>
      </c>
    </row>
    <row r="85" spans="1:35" ht="21.75" hidden="1" outlineLevel="1" thickBot="1" x14ac:dyDescent="0.4">
      <c r="A85" s="36" t="str">
        <f>ALL!E64</f>
        <v>(1)Se[r]</v>
      </c>
      <c r="B85" s="16">
        <f ca="1">ALL!F64</f>
        <v>-23.57</v>
      </c>
      <c r="C85" s="16">
        <f ca="1">ALL!G64</f>
        <v>-22.38</v>
      </c>
      <c r="D85" s="16">
        <f ca="1">ALL!H64</f>
        <v>-21.62</v>
      </c>
      <c r="E85" s="16">
        <f ca="1">ALL!I64</f>
        <v>-21.32</v>
      </c>
      <c r="F85" s="14">
        <f ca="1">ALL!J64</f>
        <v>-21.34</v>
      </c>
      <c r="G85" s="14">
        <f ca="1">ALL!K64</f>
        <v>-21.53</v>
      </c>
      <c r="H85" s="14">
        <f ca="1">ALL!L64</f>
        <v>-21.78</v>
      </c>
      <c r="I85" s="14">
        <f ca="1">ALL!M64</f>
        <v>-22.03</v>
      </c>
      <c r="J85" s="14">
        <f ca="1">ALL!N64</f>
        <v>-22.25</v>
      </c>
      <c r="K85" s="14">
        <f ca="1">ALL!O64</f>
        <v>-23.02</v>
      </c>
      <c r="L85" s="14">
        <f ca="1">ALL!P64</f>
        <v>-23.29</v>
      </c>
      <c r="M85" s="14">
        <f ca="1">ALL!Q64</f>
        <v>-23.57</v>
      </c>
      <c r="N85" s="14">
        <f ca="1">ALL!R64</f>
        <v>-23.86</v>
      </c>
      <c r="O85" s="14">
        <f ca="1">ALL!S64</f>
        <v>-24.15</v>
      </c>
      <c r="P85" s="14">
        <f ca="1">ALL!T64</f>
        <v>-24.44</v>
      </c>
      <c r="Q85" s="14">
        <f ca="1">ALL!U64</f>
        <v>-24.72</v>
      </c>
      <c r="R85" s="14">
        <f ca="1">ALL!V64</f>
        <v>-24.99</v>
      </c>
      <c r="S85" s="14">
        <f ca="1">ALL!W64</f>
        <v>-25.22</v>
      </c>
      <c r="T85" s="14">
        <f ca="1">ALL!X64</f>
        <v>-26.06</v>
      </c>
      <c r="U85" s="14">
        <f ca="1">ALL!Y64</f>
        <v>-26.32</v>
      </c>
      <c r="V85" s="14">
        <f ca="1">ALL!Z64</f>
        <v>-26.58</v>
      </c>
      <c r="W85" s="14">
        <f ca="1">ALL!AA64</f>
        <v>-26.85</v>
      </c>
      <c r="X85" s="14">
        <f ca="1">ALL!AB64</f>
        <v>-26.99</v>
      </c>
      <c r="Y85" s="14">
        <f ca="1">ALL!AC64</f>
        <v>-27.82</v>
      </c>
      <c r="Z85" s="14">
        <f ca="1">ALL!AD64</f>
        <v>-28.29</v>
      </c>
      <c r="AA85" s="14">
        <f ca="1">ALL!AE64</f>
        <v>-28.53</v>
      </c>
      <c r="AB85" s="14">
        <f ca="1">ALL!AF64</f>
        <v>-28.53</v>
      </c>
      <c r="AC85" s="14">
        <f ca="1">ALL!AG64</f>
        <v>-28.76</v>
      </c>
      <c r="AD85" s="14">
        <f ca="1">ALL!AH64</f>
        <v>0</v>
      </c>
      <c r="AE85" s="14">
        <f ca="1">ALL!AI64</f>
        <v>0</v>
      </c>
      <c r="AF85" s="14">
        <f ca="1">ALL!AJ64</f>
        <v>0</v>
      </c>
      <c r="AG85" s="14">
        <f ca="1">ALL!AK64</f>
        <v>0</v>
      </c>
      <c r="AH85" s="14">
        <f ca="1">ALL!AL64</f>
        <v>0</v>
      </c>
      <c r="AI85" s="14">
        <f>ALL!AM64</f>
        <v>0</v>
      </c>
    </row>
    <row r="86" spans="1:35" ht="21.75" hidden="1" outlineLevel="1" thickBot="1" x14ac:dyDescent="0.4">
      <c r="A86" s="36" t="str">
        <f>ALL!E65</f>
        <v>(1)Geic]</v>
      </c>
      <c r="B86" s="16">
        <f ca="1">ALL!F65</f>
        <v>-17.28</v>
      </c>
      <c r="C86" s="16">
        <f ca="1">ALL!G65</f>
        <v>-16.32</v>
      </c>
      <c r="D86" s="16">
        <f ca="1">ALL!H65</f>
        <v>-15.18</v>
      </c>
      <c r="E86" s="16">
        <f ca="1">ALL!I65</f>
        <v>-13.82</v>
      </c>
      <c r="F86" s="14">
        <f ca="1">ALL!J65</f>
        <v>-12.36</v>
      </c>
      <c r="G86" s="14">
        <f ca="1">ALL!K65</f>
        <v>-10.95</v>
      </c>
      <c r="H86" s="14">
        <f ca="1">ALL!L65</f>
        <v>-9.6379999999999999</v>
      </c>
      <c r="I86" s="14">
        <f ca="1">ALL!M65</f>
        <v>-8.4860000000000007</v>
      </c>
      <c r="J86" s="14">
        <f ca="1">ALL!N65</f>
        <v>-7.5510000000000002</v>
      </c>
      <c r="K86" s="14">
        <f ca="1">ALL!O65</f>
        <v>-6.1029999999999998</v>
      </c>
      <c r="L86" s="14">
        <f ca="1">ALL!P65</f>
        <v>-6.0819999999999999</v>
      </c>
      <c r="M86" s="14">
        <f ca="1">ALL!Q65</f>
        <v>-6.0990000000000002</v>
      </c>
      <c r="N86" s="14">
        <f ca="1">ALL!R65</f>
        <v>-6.1340000000000003</v>
      </c>
      <c r="O86" s="14">
        <f ca="1">ALL!S65</f>
        <v>-6.1779999999999999</v>
      </c>
      <c r="P86" s="14">
        <f ca="1">ALL!T65</f>
        <v>-6.226</v>
      </c>
      <c r="Q86" s="14">
        <f ca="1">ALL!U65</f>
        <v>-6.2809999999999997</v>
      </c>
      <c r="R86" s="14">
        <f ca="1">ALL!V65</f>
        <v>-6.36</v>
      </c>
      <c r="S86" s="14">
        <f ca="1">ALL!W65</f>
        <v>-6.5149999999999997</v>
      </c>
      <c r="T86" s="14">
        <f ca="1">ALL!X65</f>
        <v>-7.3369999999999997</v>
      </c>
      <c r="U86" s="14">
        <f ca="1">ALL!Y65</f>
        <v>-7.4089999999999998</v>
      </c>
      <c r="V86" s="14">
        <f ca="1">ALL!Z65</f>
        <v>-7.4740000000000002</v>
      </c>
      <c r="W86" s="14">
        <f ca="1">ALL!AA65</f>
        <v>-7.5410000000000004</v>
      </c>
      <c r="X86" s="14">
        <f ca="1">ALL!AB65</f>
        <v>-7.6</v>
      </c>
      <c r="Y86" s="14">
        <f ca="1">ALL!AC65</f>
        <v>-7.7830000000000004</v>
      </c>
      <c r="Z86" s="14">
        <f ca="1">ALL!AD65</f>
        <v>-7.8780000000000001</v>
      </c>
      <c r="AA86" s="14">
        <f ca="1">ALL!AE65</f>
        <v>-7.9269999999999996</v>
      </c>
      <c r="AB86" s="14">
        <f ca="1">ALL!AF65</f>
        <v>-7.9269999999999996</v>
      </c>
      <c r="AC86" s="14">
        <f ca="1">ALL!AG65</f>
        <v>-7.976</v>
      </c>
      <c r="AD86" s="14">
        <f ca="1">ALL!AH65</f>
        <v>0</v>
      </c>
      <c r="AE86" s="14">
        <f ca="1">ALL!AI65</f>
        <v>0</v>
      </c>
      <c r="AF86" s="14">
        <f ca="1">ALL!AJ65</f>
        <v>0</v>
      </c>
      <c r="AG86" s="14">
        <f ca="1">ALL!AK65</f>
        <v>0</v>
      </c>
      <c r="AH86" s="14">
        <f ca="1">ALL!AL65</f>
        <v>0</v>
      </c>
      <c r="AI86" s="14">
        <f>ALL!AM65</f>
        <v>0</v>
      </c>
    </row>
    <row r="87" spans="1:35" ht="21.75" hidden="1" outlineLevel="1" thickBot="1" x14ac:dyDescent="0.4">
      <c r="A87" s="36" t="str">
        <f>ALL!E66</f>
        <v>(3)Ga[1]</v>
      </c>
      <c r="B87" s="16">
        <f ca="1">ALL!F66</f>
        <v>-66.099999999999994</v>
      </c>
      <c r="C87" s="16">
        <f ca="1">ALL!G66</f>
        <v>-61.67</v>
      </c>
      <c r="D87" s="16">
        <f ca="1">ALL!H66</f>
        <v>-57.42</v>
      </c>
      <c r="E87" s="16">
        <f ca="1">ALL!I66</f>
        <v>-53.18</v>
      </c>
      <c r="F87" s="14">
        <f ca="1">ALL!J66</f>
        <v>-49.01</v>
      </c>
      <c r="G87" s="14">
        <f ca="1">ALL!K66</f>
        <v>-45.05</v>
      </c>
      <c r="H87" s="14">
        <f ca="1">ALL!L66</f>
        <v>-41.4</v>
      </c>
      <c r="I87" s="14">
        <f ca="1">ALL!M66</f>
        <v>-38.08</v>
      </c>
      <c r="J87" s="14">
        <f ca="1">ALL!N66</f>
        <v>-35.11</v>
      </c>
      <c r="K87" s="14">
        <f ca="1">ALL!O66</f>
        <v>-25.6</v>
      </c>
      <c r="L87" s="14">
        <f ca="1">ALL!P66</f>
        <v>-23.53</v>
      </c>
      <c r="M87" s="14">
        <f ca="1">ALL!Q66</f>
        <v>-21.56</v>
      </c>
      <c r="N87" s="14">
        <f ca="1">ALL!R66</f>
        <v>-19.7</v>
      </c>
      <c r="O87" s="14">
        <f ca="1">ALL!S66</f>
        <v>-17.95</v>
      </c>
      <c r="P87" s="14">
        <f ca="1">ALL!T66</f>
        <v>-16.29</v>
      </c>
      <c r="Q87" s="14">
        <f ca="1">ALL!U66</f>
        <v>-14.73</v>
      </c>
      <c r="R87" s="14">
        <f ca="1">ALL!V66</f>
        <v>-13.28</v>
      </c>
      <c r="S87" s="14">
        <f ca="1">ALL!W66</f>
        <v>-12.01</v>
      </c>
      <c r="T87" s="14">
        <f ca="1">ALL!X66</f>
        <v>-9.1259999999999994</v>
      </c>
      <c r="U87" s="14">
        <f ca="1">ALL!Y66</f>
        <v>-8.6280000000000001</v>
      </c>
      <c r="V87" s="14">
        <f ca="1">ALL!Z66</f>
        <v>-8.1609999999999996</v>
      </c>
      <c r="W87" s="14">
        <f ca="1">ALL!AA66</f>
        <v>-7.7220000000000004</v>
      </c>
      <c r="X87" s="14">
        <f ca="1">ALL!AB66</f>
        <v>-7.61</v>
      </c>
      <c r="Y87" s="14">
        <f ca="1">ALL!AC66</f>
        <v>-7.883</v>
      </c>
      <c r="Z87" s="14">
        <f ca="1">ALL!AD66</f>
        <v>-8.0139999999999993</v>
      </c>
      <c r="AA87" s="14">
        <f ca="1">ALL!AE66</f>
        <v>-8.077</v>
      </c>
      <c r="AB87" s="14">
        <f ca="1">ALL!AF66</f>
        <v>-8.077</v>
      </c>
      <c r="AC87" s="14">
        <f ca="1">ALL!AG66</f>
        <v>-8.14</v>
      </c>
      <c r="AD87" s="14">
        <f ca="1">ALL!AH66</f>
        <v>0</v>
      </c>
      <c r="AE87" s="14">
        <f ca="1">ALL!AI66</f>
        <v>0</v>
      </c>
      <c r="AF87" s="14">
        <f ca="1">ALL!AJ66</f>
        <v>0</v>
      </c>
      <c r="AG87" s="14">
        <f ca="1">ALL!AK66</f>
        <v>0</v>
      </c>
      <c r="AH87" s="14">
        <f ca="1">ALL!AL66</f>
        <v>0</v>
      </c>
      <c r="AI87" s="14">
        <f>ALL!AM66</f>
        <v>0</v>
      </c>
    </row>
    <row r="88" spans="1:35" ht="21.75" hidden="1" outlineLevel="1" thickBot="1" x14ac:dyDescent="0.4">
      <c r="A88" s="36" t="str">
        <f>ALL!E67</f>
        <v>(3)Ge[1]</v>
      </c>
      <c r="B88" s="16">
        <f ca="1">ALL!F67</f>
        <v>-17.28</v>
      </c>
      <c r="C88" s="16">
        <f ca="1">ALL!G67</f>
        <v>-16.32</v>
      </c>
      <c r="D88" s="16">
        <f ca="1">ALL!H67</f>
        <v>-15.18</v>
      </c>
      <c r="E88" s="16">
        <f ca="1">ALL!I67</f>
        <v>-13.82</v>
      </c>
      <c r="F88" s="14">
        <f ca="1">ALL!J67</f>
        <v>-12.36</v>
      </c>
      <c r="G88" s="14">
        <f ca="1">ALL!K67</f>
        <v>-10.95</v>
      </c>
      <c r="H88" s="14">
        <f ca="1">ALL!L67</f>
        <v>-9.6379999999999999</v>
      </c>
      <c r="I88" s="14">
        <f ca="1">ALL!M67</f>
        <v>-8.4860000000000007</v>
      </c>
      <c r="J88" s="14">
        <f ca="1">ALL!N67</f>
        <v>-7.5510000000000002</v>
      </c>
      <c r="K88" s="14">
        <f ca="1">ALL!O67</f>
        <v>-6.1029999999999998</v>
      </c>
      <c r="L88" s="14">
        <f ca="1">ALL!P67</f>
        <v>-6.0819999999999999</v>
      </c>
      <c r="M88" s="14">
        <f ca="1">ALL!Q67</f>
        <v>-6.0990000000000002</v>
      </c>
      <c r="N88" s="14">
        <f ca="1">ALL!R67</f>
        <v>-6.1340000000000003</v>
      </c>
      <c r="O88" s="14">
        <f ca="1">ALL!S67</f>
        <v>-6.1779999999999999</v>
      </c>
      <c r="P88" s="14">
        <f ca="1">ALL!T67</f>
        <v>-6.226</v>
      </c>
      <c r="Q88" s="14">
        <f ca="1">ALL!U67</f>
        <v>-6.2809999999999997</v>
      </c>
      <c r="R88" s="14">
        <f ca="1">ALL!V67</f>
        <v>-6.36</v>
      </c>
      <c r="S88" s="14">
        <f ca="1">ALL!W67</f>
        <v>-6.5149999999999997</v>
      </c>
      <c r="T88" s="14">
        <f ca="1">ALL!X67</f>
        <v>-7.3369999999999997</v>
      </c>
      <c r="U88" s="14">
        <f ca="1">ALL!Y67</f>
        <v>-7.4089999999999998</v>
      </c>
      <c r="V88" s="14">
        <f ca="1">ALL!Z67</f>
        <v>-7.4740000000000002</v>
      </c>
      <c r="W88" s="14">
        <f ca="1">ALL!AA67</f>
        <v>-7.5410000000000004</v>
      </c>
      <c r="X88" s="14">
        <f ca="1">ALL!AB67</f>
        <v>-7.6</v>
      </c>
      <c r="Y88" s="14">
        <f ca="1">ALL!AC67</f>
        <v>-7.7830000000000004</v>
      </c>
      <c r="Z88" s="14">
        <f ca="1">ALL!AD67</f>
        <v>-7.8780000000000001</v>
      </c>
      <c r="AA88" s="14">
        <f ca="1">ALL!AE67</f>
        <v>-7.9269999999999996</v>
      </c>
      <c r="AB88" s="14">
        <f ca="1">ALL!AF67</f>
        <v>-7.9269999999999996</v>
      </c>
      <c r="AC88" s="14">
        <f ca="1">ALL!AG67</f>
        <v>-7.976</v>
      </c>
      <c r="AD88" s="14">
        <f ca="1">ALL!AH67</f>
        <v>0</v>
      </c>
      <c r="AE88" s="14">
        <f ca="1">ALL!AI67</f>
        <v>0</v>
      </c>
      <c r="AF88" s="14">
        <f ca="1">ALL!AJ67</f>
        <v>0</v>
      </c>
      <c r="AG88" s="14">
        <f ca="1">ALL!AK67</f>
        <v>0</v>
      </c>
      <c r="AH88" s="14">
        <f ca="1">ALL!AL67</f>
        <v>0</v>
      </c>
      <c r="AI88" s="14">
        <f>ALL!AM67</f>
        <v>0</v>
      </c>
    </row>
    <row r="89" spans="1:35" ht="21.75" hidden="1" outlineLevel="1" thickBot="1" x14ac:dyDescent="0.4">
      <c r="A89" s="36" t="str">
        <f>ALL!E68</f>
        <v>(3)Se[1]</v>
      </c>
      <c r="B89" s="16">
        <f ca="1">ALL!F68</f>
        <v>-23.57</v>
      </c>
      <c r="C89" s="16">
        <f ca="1">ALL!G68</f>
        <v>-22.38</v>
      </c>
      <c r="D89" s="16">
        <f ca="1">ALL!H68</f>
        <v>-21.62</v>
      </c>
      <c r="E89" s="16">
        <f ca="1">ALL!I68</f>
        <v>-21.32</v>
      </c>
      <c r="F89" s="14">
        <f ca="1">ALL!J68</f>
        <v>-21.34</v>
      </c>
      <c r="G89" s="14">
        <f ca="1">ALL!K68</f>
        <v>-21.53</v>
      </c>
      <c r="H89" s="14">
        <f ca="1">ALL!L68</f>
        <v>-21.78</v>
      </c>
      <c r="I89" s="14">
        <f ca="1">ALL!M68</f>
        <v>-22.03</v>
      </c>
      <c r="J89" s="14">
        <f ca="1">ALL!N68</f>
        <v>-22.25</v>
      </c>
      <c r="K89" s="14">
        <f ca="1">ALL!O68</f>
        <v>-23.02</v>
      </c>
      <c r="L89" s="14">
        <f ca="1">ALL!P68</f>
        <v>-23.29</v>
      </c>
      <c r="M89" s="14">
        <f ca="1">ALL!Q68</f>
        <v>-23.57</v>
      </c>
      <c r="N89" s="14">
        <f ca="1">ALL!R68</f>
        <v>-23.86</v>
      </c>
      <c r="O89" s="14">
        <f ca="1">ALL!S68</f>
        <v>-24.15</v>
      </c>
      <c r="P89" s="14">
        <f ca="1">ALL!T68</f>
        <v>-24.44</v>
      </c>
      <c r="Q89" s="14">
        <f ca="1">ALL!U68</f>
        <v>-24.72</v>
      </c>
      <c r="R89" s="14">
        <f ca="1">ALL!V68</f>
        <v>-24.99</v>
      </c>
      <c r="S89" s="14">
        <f ca="1">ALL!W68</f>
        <v>-25.22</v>
      </c>
      <c r="T89" s="14">
        <f ca="1">ALL!X68</f>
        <v>-26.06</v>
      </c>
      <c r="U89" s="14">
        <f ca="1">ALL!Y68</f>
        <v>-26.32</v>
      </c>
      <c r="V89" s="14">
        <f ca="1">ALL!Z68</f>
        <v>-26.58</v>
      </c>
      <c r="W89" s="14">
        <f ca="1">ALL!AA68</f>
        <v>-26.85</v>
      </c>
      <c r="X89" s="14">
        <f ca="1">ALL!AB68</f>
        <v>-26.99</v>
      </c>
      <c r="Y89" s="14">
        <f ca="1">ALL!AC68</f>
        <v>-27.82</v>
      </c>
      <c r="Z89" s="14">
        <f ca="1">ALL!AD68</f>
        <v>-28.29</v>
      </c>
      <c r="AA89" s="14">
        <f ca="1">ALL!AE68</f>
        <v>-28.53</v>
      </c>
      <c r="AB89" s="14">
        <f ca="1">ALL!AF68</f>
        <v>-28.53</v>
      </c>
      <c r="AC89" s="14">
        <f ca="1">ALL!AG68</f>
        <v>-28.76</v>
      </c>
      <c r="AD89" s="14">
        <f ca="1">ALL!AH68</f>
        <v>0</v>
      </c>
      <c r="AE89" s="14">
        <f ca="1">ALL!AI68</f>
        <v>0</v>
      </c>
      <c r="AF89" s="14">
        <f ca="1">ALL!AJ68</f>
        <v>0</v>
      </c>
      <c r="AG89" s="14">
        <f ca="1">ALL!AK68</f>
        <v>0</v>
      </c>
      <c r="AH89" s="14">
        <f ca="1">ALL!AL68</f>
        <v>0</v>
      </c>
      <c r="AI89" s="14">
        <f>ALL!AM68</f>
        <v>0</v>
      </c>
    </row>
    <row r="90" spans="1:35" ht="21.75" hidden="1" outlineLevel="1" thickBot="1" x14ac:dyDescent="0.4">
      <c r="A90" s="36" t="str">
        <f>ALL!E69</f>
        <v>H (Ar)</v>
      </c>
      <c r="B90" s="16">
        <f ca="1">ALL!F69</f>
        <v>-18.98</v>
      </c>
      <c r="C90" s="16">
        <f ca="1">ALL!G69</f>
        <v>-18.96</v>
      </c>
      <c r="D90" s="16">
        <f ca="1">ALL!H69</f>
        <v>-18.96</v>
      </c>
      <c r="E90" s="16">
        <f ca="1">ALL!I69</f>
        <v>-18.96</v>
      </c>
      <c r="F90" s="14">
        <f ca="1">ALL!J69</f>
        <v>-18.97</v>
      </c>
      <c r="G90" s="14">
        <f ca="1">ALL!K69</f>
        <v>-18.989999999999998</v>
      </c>
      <c r="H90" s="14">
        <f ca="1">ALL!L69</f>
        <v>-19.02</v>
      </c>
      <c r="I90" s="14">
        <f ca="1">ALL!M69</f>
        <v>-19.05</v>
      </c>
      <c r="J90" s="14">
        <f ca="1">ALL!N69</f>
        <v>-19.079999999999998</v>
      </c>
      <c r="K90" s="14">
        <f ca="1">ALL!O69</f>
        <v>-19.2</v>
      </c>
      <c r="L90" s="14">
        <f ca="1">ALL!P69</f>
        <v>-19.23</v>
      </c>
      <c r="M90" s="14">
        <f ca="1">ALL!Q69</f>
        <v>-19.27</v>
      </c>
      <c r="N90" s="14">
        <f ca="1">ALL!R69</f>
        <v>-19.309999999999999</v>
      </c>
      <c r="O90" s="14">
        <f ca="1">ALL!S69</f>
        <v>-19.36</v>
      </c>
      <c r="P90" s="14">
        <f ca="1">ALL!T69</f>
        <v>-19.399999999999999</v>
      </c>
      <c r="Q90" s="14">
        <f ca="1">ALL!U69</f>
        <v>-19.440000000000001</v>
      </c>
      <c r="R90" s="14">
        <f ca="1">ALL!V69</f>
        <v>-19.47</v>
      </c>
      <c r="S90" s="14">
        <f ca="1">ALL!W69</f>
        <v>-19.48</v>
      </c>
      <c r="T90" s="14">
        <f ca="1">ALL!X69</f>
        <v>-19.43</v>
      </c>
      <c r="U90" s="14">
        <f ca="1">ALL!Y69</f>
        <v>-19.47</v>
      </c>
      <c r="V90" s="14">
        <f ca="1">ALL!Z69</f>
        <v>-19.510000000000002</v>
      </c>
      <c r="W90" s="14">
        <f ca="1">ALL!AA69</f>
        <v>-19.55</v>
      </c>
      <c r="X90" s="14">
        <f ca="1">ALL!AB69</f>
        <v>-19.59</v>
      </c>
      <c r="Y90" s="14">
        <f ca="1">ALL!AC69</f>
        <v>-19.739999999999998</v>
      </c>
      <c r="Z90" s="14">
        <f ca="1">ALL!AD69</f>
        <v>-19.809999999999999</v>
      </c>
      <c r="AA90" s="14">
        <f ca="1">ALL!AE69</f>
        <v>-19.850000000000001</v>
      </c>
      <c r="AB90" s="14">
        <f ca="1">ALL!AF69</f>
        <v>-19.850000000000001</v>
      </c>
      <c r="AC90" s="14">
        <f ca="1">ALL!AG69</f>
        <v>-19.88</v>
      </c>
      <c r="AD90" s="14">
        <f ca="1">ALL!AH69</f>
        <v>0</v>
      </c>
      <c r="AE90" s="14">
        <f ca="1">ALL!AI69</f>
        <v>0</v>
      </c>
      <c r="AF90" s="14">
        <f ca="1">ALL!AJ69</f>
        <v>0</v>
      </c>
      <c r="AG90" s="14">
        <f ca="1">ALL!AK69</f>
        <v>0</v>
      </c>
      <c r="AH90" s="14">
        <f ca="1">ALL!AL69</f>
        <v>0</v>
      </c>
      <c r="AI90" s="14">
        <f>ALL!AM69</f>
        <v>0</v>
      </c>
    </row>
    <row r="91" spans="1:35" ht="21.75" hidden="1" outlineLevel="1" thickBot="1" x14ac:dyDescent="0.4">
      <c r="A91" s="36" t="str">
        <f>ALL!E70</f>
        <v>H (Ga)</v>
      </c>
      <c r="B91" s="16">
        <f ca="1">ALL!F70</f>
        <v>-66.099999999999994</v>
      </c>
      <c r="C91" s="16">
        <f ca="1">ALL!G70</f>
        <v>-61.67</v>
      </c>
      <c r="D91" s="16">
        <f ca="1">ALL!H70</f>
        <v>-57.42</v>
      </c>
      <c r="E91" s="16">
        <f ca="1">ALL!I70</f>
        <v>-53.18</v>
      </c>
      <c r="F91" s="14">
        <f ca="1">ALL!J70</f>
        <v>-49.01</v>
      </c>
      <c r="G91" s="14">
        <f ca="1">ALL!K70</f>
        <v>-45.05</v>
      </c>
      <c r="H91" s="14">
        <f ca="1">ALL!L70</f>
        <v>-41.4</v>
      </c>
      <c r="I91" s="14">
        <f ca="1">ALL!M70</f>
        <v>-38.08</v>
      </c>
      <c r="J91" s="14">
        <f ca="1">ALL!N70</f>
        <v>-35.11</v>
      </c>
      <c r="K91" s="14">
        <f ca="1">ALL!O70</f>
        <v>-25.6</v>
      </c>
      <c r="L91" s="14">
        <f ca="1">ALL!P70</f>
        <v>-23.53</v>
      </c>
      <c r="M91" s="14">
        <f ca="1">ALL!Q70</f>
        <v>-21.56</v>
      </c>
      <c r="N91" s="14">
        <f ca="1">ALL!R70</f>
        <v>-19.7</v>
      </c>
      <c r="O91" s="14">
        <f ca="1">ALL!S70</f>
        <v>-17.95</v>
      </c>
      <c r="P91" s="14">
        <f ca="1">ALL!T70</f>
        <v>-16.29</v>
      </c>
      <c r="Q91" s="14">
        <f ca="1">ALL!U70</f>
        <v>-14.73</v>
      </c>
      <c r="R91" s="14">
        <f ca="1">ALL!V70</f>
        <v>-13.28</v>
      </c>
      <c r="S91" s="14">
        <f ca="1">ALL!W70</f>
        <v>-12.01</v>
      </c>
      <c r="T91" s="14">
        <f ca="1">ALL!X70</f>
        <v>-9.1259999999999994</v>
      </c>
      <c r="U91" s="14">
        <f ca="1">ALL!Y70</f>
        <v>-8.6280000000000001</v>
      </c>
      <c r="V91" s="14">
        <f ca="1">ALL!Z70</f>
        <v>-8.1609999999999996</v>
      </c>
      <c r="W91" s="14">
        <f ca="1">ALL!AA70</f>
        <v>-7.7220000000000004</v>
      </c>
      <c r="X91" s="14">
        <f ca="1">ALL!AB70</f>
        <v>-7.61</v>
      </c>
      <c r="Y91" s="14">
        <f ca="1">ALL!AC70</f>
        <v>-7.883</v>
      </c>
      <c r="Z91" s="14">
        <f ca="1">ALL!AD70</f>
        <v>-8.0139999999999993</v>
      </c>
      <c r="AA91" s="14">
        <f ca="1">ALL!AE70</f>
        <v>-8.077</v>
      </c>
      <c r="AB91" s="14">
        <f ca="1">ALL!AF70</f>
        <v>-8.077</v>
      </c>
      <c r="AC91" s="14">
        <f ca="1">ALL!AG70</f>
        <v>-8.14</v>
      </c>
      <c r="AD91" s="14">
        <f ca="1">ALL!AH70</f>
        <v>0</v>
      </c>
      <c r="AE91" s="14">
        <f ca="1">ALL!AI70</f>
        <v>0</v>
      </c>
      <c r="AF91" s="14">
        <f ca="1">ALL!AJ70</f>
        <v>0</v>
      </c>
      <c r="AG91" s="14">
        <f ca="1">ALL!AK70</f>
        <v>0</v>
      </c>
      <c r="AH91" s="14">
        <f ca="1">ALL!AL70</f>
        <v>0</v>
      </c>
      <c r="AI91" s="14">
        <f>ALL!AM70</f>
        <v>0</v>
      </c>
    </row>
    <row r="92" spans="1:35" ht="21.75" hidden="1" outlineLevel="1" thickBot="1" x14ac:dyDescent="0.4">
      <c r="A92" s="36" t="str">
        <f>ALL!E71</f>
        <v>H (Ge)</v>
      </c>
      <c r="B92" s="16">
        <f ca="1">ALL!F71</f>
        <v>-17.28</v>
      </c>
      <c r="C92" s="16">
        <f ca="1">ALL!G71</f>
        <v>-16.32</v>
      </c>
      <c r="D92" s="16">
        <f ca="1">ALL!H71</f>
        <v>-15.18</v>
      </c>
      <c r="E92" s="16">
        <f ca="1">ALL!I71</f>
        <v>-13.82</v>
      </c>
      <c r="F92" s="14">
        <f ca="1">ALL!J71</f>
        <v>-12.36</v>
      </c>
      <c r="G92" s="14">
        <f ca="1">ALL!K71</f>
        <v>-10.95</v>
      </c>
      <c r="H92" s="14">
        <f ca="1">ALL!L71</f>
        <v>-9.6379999999999999</v>
      </c>
      <c r="I92" s="14">
        <f ca="1">ALL!M71</f>
        <v>-8.4860000000000007</v>
      </c>
      <c r="J92" s="14">
        <f ca="1">ALL!N71</f>
        <v>-7.5510000000000002</v>
      </c>
      <c r="K92" s="14">
        <f ca="1">ALL!O71</f>
        <v>-6.1029999999999998</v>
      </c>
      <c r="L92" s="14">
        <f ca="1">ALL!P71</f>
        <v>-6.0819999999999999</v>
      </c>
      <c r="M92" s="14">
        <f ca="1">ALL!Q71</f>
        <v>-6.0990000000000002</v>
      </c>
      <c r="N92" s="14">
        <f ca="1">ALL!R71</f>
        <v>-6.1340000000000003</v>
      </c>
      <c r="O92" s="14">
        <f ca="1">ALL!S71</f>
        <v>-6.1779999999999999</v>
      </c>
      <c r="P92" s="14">
        <f ca="1">ALL!T71</f>
        <v>-6.226</v>
      </c>
      <c r="Q92" s="14">
        <f ca="1">ALL!U71</f>
        <v>-6.2809999999999997</v>
      </c>
      <c r="R92" s="14">
        <f ca="1">ALL!V71</f>
        <v>-6.36</v>
      </c>
      <c r="S92" s="14">
        <f ca="1">ALL!W71</f>
        <v>-6.5149999999999997</v>
      </c>
      <c r="T92" s="14">
        <f ca="1">ALL!X71</f>
        <v>-7.3369999999999997</v>
      </c>
      <c r="U92" s="14">
        <f ca="1">ALL!Y71</f>
        <v>-7.4089999999999998</v>
      </c>
      <c r="V92" s="14">
        <f ca="1">ALL!Z71</f>
        <v>-7.4740000000000002</v>
      </c>
      <c r="W92" s="14">
        <f ca="1">ALL!AA71</f>
        <v>-7.5410000000000004</v>
      </c>
      <c r="X92" s="14">
        <f ca="1">ALL!AB71</f>
        <v>-7.6</v>
      </c>
      <c r="Y92" s="14">
        <f ca="1">ALL!AC71</f>
        <v>-7.7830000000000004</v>
      </c>
      <c r="Z92" s="14">
        <f ca="1">ALL!AD71</f>
        <v>-7.8780000000000001</v>
      </c>
      <c r="AA92" s="14">
        <f ca="1">ALL!AE71</f>
        <v>-7.9269999999999996</v>
      </c>
      <c r="AB92" s="14">
        <f ca="1">ALL!AF71</f>
        <v>-7.9269999999999996</v>
      </c>
      <c r="AC92" s="14">
        <f ca="1">ALL!AG71</f>
        <v>-7.976</v>
      </c>
      <c r="AD92" s="14">
        <f ca="1">ALL!AH71</f>
        <v>0</v>
      </c>
      <c r="AE92" s="14">
        <f ca="1">ALL!AI71</f>
        <v>0</v>
      </c>
      <c r="AF92" s="14">
        <f ca="1">ALL!AJ71</f>
        <v>0</v>
      </c>
      <c r="AG92" s="14">
        <f ca="1">ALL!AK71</f>
        <v>0</v>
      </c>
      <c r="AH92" s="14">
        <f ca="1">ALL!AL71</f>
        <v>0</v>
      </c>
      <c r="AI92" s="14">
        <f>ALL!AM71</f>
        <v>0</v>
      </c>
    </row>
    <row r="93" spans="1:35" ht="21.75" hidden="1" outlineLevel="1" thickBot="1" x14ac:dyDescent="0.4">
      <c r="A93" s="36" t="str">
        <f>ALL!E72</f>
        <v>H (Se)</v>
      </c>
      <c r="B93" s="16">
        <f ca="1">ALL!F72</f>
        <v>-23.57</v>
      </c>
      <c r="C93" s="16">
        <f ca="1">ALL!G72</f>
        <v>-22.38</v>
      </c>
      <c r="D93" s="16">
        <f ca="1">ALL!H72</f>
        <v>-21.62</v>
      </c>
      <c r="E93" s="16">
        <f ca="1">ALL!I72</f>
        <v>-21.32</v>
      </c>
      <c r="F93" s="14">
        <f ca="1">ALL!J72</f>
        <v>-21.34</v>
      </c>
      <c r="G93" s="14">
        <f ca="1">ALL!K72</f>
        <v>-21.53</v>
      </c>
      <c r="H93" s="14">
        <f ca="1">ALL!L72</f>
        <v>-21.78</v>
      </c>
      <c r="I93" s="14">
        <f ca="1">ALL!M72</f>
        <v>-22.03</v>
      </c>
      <c r="J93" s="14">
        <f ca="1">ALL!N72</f>
        <v>-22.25</v>
      </c>
      <c r="K93" s="14">
        <f ca="1">ALL!O72</f>
        <v>-23.02</v>
      </c>
      <c r="L93" s="14">
        <f ca="1">ALL!P72</f>
        <v>-23.29</v>
      </c>
      <c r="M93" s="14">
        <f ca="1">ALL!Q72</f>
        <v>-23.57</v>
      </c>
      <c r="N93" s="14">
        <f ca="1">ALL!R72</f>
        <v>-23.86</v>
      </c>
      <c r="O93" s="14">
        <f ca="1">ALL!S72</f>
        <v>-24.15</v>
      </c>
      <c r="P93" s="14">
        <f ca="1">ALL!T72</f>
        <v>-24.44</v>
      </c>
      <c r="Q93" s="14">
        <f ca="1">ALL!U72</f>
        <v>-24.72</v>
      </c>
      <c r="R93" s="14">
        <f ca="1">ALL!V72</f>
        <v>-24.99</v>
      </c>
      <c r="S93" s="14">
        <f ca="1">ALL!W72</f>
        <v>-25.22</v>
      </c>
      <c r="T93" s="14">
        <f ca="1">ALL!X72</f>
        <v>-26.06</v>
      </c>
      <c r="U93" s="14">
        <f ca="1">ALL!Y72</f>
        <v>-26.32</v>
      </c>
      <c r="V93" s="14">
        <f ca="1">ALL!Z72</f>
        <v>-26.58</v>
      </c>
      <c r="W93" s="14">
        <f ca="1">ALL!AA72</f>
        <v>-26.85</v>
      </c>
      <c r="X93" s="14">
        <f ca="1">ALL!AB72</f>
        <v>-26.99</v>
      </c>
      <c r="Y93" s="14">
        <f ca="1">ALL!AC72</f>
        <v>-27.82</v>
      </c>
      <c r="Z93" s="14">
        <f ca="1">ALL!AD72</f>
        <v>-28.29</v>
      </c>
      <c r="AA93" s="14">
        <f ca="1">ALL!AE72</f>
        <v>-28.53</v>
      </c>
      <c r="AB93" s="14">
        <f ca="1">ALL!AF72</f>
        <v>-28.53</v>
      </c>
      <c r="AC93" s="14">
        <f ca="1">ALL!AG72</f>
        <v>-28.76</v>
      </c>
      <c r="AD93" s="14">
        <f ca="1">ALL!AH72</f>
        <v>0</v>
      </c>
      <c r="AE93" s="14">
        <f ca="1">ALL!AI72</f>
        <v>0</v>
      </c>
      <c r="AF93" s="14">
        <f ca="1">ALL!AJ72</f>
        <v>0</v>
      </c>
      <c r="AG93" s="14">
        <f ca="1">ALL!AK72</f>
        <v>0</v>
      </c>
      <c r="AH93" s="14">
        <f ca="1">ALL!AL72</f>
        <v>0</v>
      </c>
      <c r="AI93" s="14">
        <f>ALL!AM72</f>
        <v>0</v>
      </c>
    </row>
    <row r="94" spans="1:35" ht="21.75" hidden="1" outlineLevel="1" thickBot="1" x14ac:dyDescent="0.4">
      <c r="A94" s="36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4">
        <f ca="1">ALL!J73</f>
        <v>0</v>
      </c>
      <c r="G94" s="14">
        <f ca="1">ALL!K73</f>
        <v>0</v>
      </c>
      <c r="H94" s="14">
        <f ca="1">ALL!L73</f>
        <v>0</v>
      </c>
      <c r="I94" s="14">
        <f ca="1">ALL!M73</f>
        <v>0</v>
      </c>
      <c r="J94" s="14">
        <f ca="1">ALL!N73</f>
        <v>0</v>
      </c>
      <c r="K94" s="14">
        <f ca="1">ALL!O73</f>
        <v>0</v>
      </c>
      <c r="L94" s="14">
        <f ca="1">ALL!P73</f>
        <v>0</v>
      </c>
      <c r="M94" s="14">
        <f ca="1">ALL!Q73</f>
        <v>0</v>
      </c>
      <c r="N94" s="14">
        <f ca="1">ALL!R73</f>
        <v>0</v>
      </c>
      <c r="O94" s="14">
        <f ca="1">ALL!S73</f>
        <v>0</v>
      </c>
      <c r="P94" s="14">
        <f ca="1">ALL!T73</f>
        <v>0</v>
      </c>
      <c r="Q94" s="14">
        <f ca="1">ALL!U73</f>
        <v>0</v>
      </c>
      <c r="R94" s="14">
        <f ca="1">ALL!V73</f>
        <v>0</v>
      </c>
      <c r="S94" s="14">
        <f ca="1">ALL!W73</f>
        <v>0</v>
      </c>
      <c r="T94" s="14">
        <f ca="1">ALL!X73</f>
        <v>0</v>
      </c>
      <c r="U94" s="14">
        <f ca="1">ALL!Y73</f>
        <v>0</v>
      </c>
      <c r="V94" s="14">
        <f ca="1">ALL!Z73</f>
        <v>0</v>
      </c>
      <c r="W94" s="14">
        <f ca="1">ALL!AA73</f>
        <v>0</v>
      </c>
      <c r="X94" s="14">
        <f ca="1">ALL!AB73</f>
        <v>0</v>
      </c>
      <c r="Y94" s="14">
        <f ca="1">ALL!AC73</f>
        <v>0</v>
      </c>
      <c r="Z94" s="14">
        <f ca="1">ALL!AD73</f>
        <v>0</v>
      </c>
      <c r="AA94" s="14">
        <f ca="1">ALL!AE73</f>
        <v>0</v>
      </c>
      <c r="AB94" s="14">
        <f ca="1">ALL!AF73</f>
        <v>0</v>
      </c>
      <c r="AC94" s="14">
        <f ca="1">ALL!AG73</f>
        <v>0</v>
      </c>
      <c r="AD94" s="14">
        <f ca="1">ALL!AH73</f>
        <v>0</v>
      </c>
      <c r="AE94" s="14">
        <f ca="1">ALL!AI73</f>
        <v>0</v>
      </c>
      <c r="AF94" s="14">
        <f ca="1">ALL!AJ73</f>
        <v>0</v>
      </c>
      <c r="AG94" s="14">
        <f ca="1">ALL!AK73</f>
        <v>0</v>
      </c>
      <c r="AH94" s="14">
        <f ca="1">ALL!AL73</f>
        <v>0</v>
      </c>
      <c r="AI94" s="14">
        <f>ALL!AM73</f>
        <v>0</v>
      </c>
    </row>
    <row r="95" spans="1:35" ht="21.75" hidden="1" outlineLevel="1" thickBot="1" x14ac:dyDescent="0.4">
      <c r="A95" s="36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4">
        <f ca="1">ALL!J74</f>
        <v>0</v>
      </c>
      <c r="G95" s="14">
        <f ca="1">ALL!K74</f>
        <v>0</v>
      </c>
      <c r="H95" s="14">
        <f ca="1">ALL!L74</f>
        <v>0</v>
      </c>
      <c r="I95" s="14">
        <f ca="1">ALL!M74</f>
        <v>0</v>
      </c>
      <c r="J95" s="14">
        <f ca="1">ALL!N74</f>
        <v>0</v>
      </c>
      <c r="K95" s="14">
        <f ca="1">ALL!O74</f>
        <v>0</v>
      </c>
      <c r="L95" s="14">
        <f ca="1">ALL!P74</f>
        <v>0</v>
      </c>
      <c r="M95" s="14">
        <f ca="1">ALL!Q74</f>
        <v>0</v>
      </c>
      <c r="N95" s="14">
        <f ca="1">ALL!R74</f>
        <v>0</v>
      </c>
      <c r="O95" s="14">
        <f ca="1">ALL!S74</f>
        <v>0</v>
      </c>
      <c r="P95" s="14">
        <f ca="1">ALL!T74</f>
        <v>0</v>
      </c>
      <c r="Q95" s="14">
        <f ca="1">ALL!U74</f>
        <v>0</v>
      </c>
      <c r="R95" s="14">
        <f ca="1">ALL!V74</f>
        <v>0</v>
      </c>
      <c r="S95" s="14">
        <f ca="1">ALL!W74</f>
        <v>0</v>
      </c>
      <c r="T95" s="14">
        <f ca="1">ALL!X74</f>
        <v>0</v>
      </c>
      <c r="U95" s="14">
        <f ca="1">ALL!Y74</f>
        <v>0</v>
      </c>
      <c r="V95" s="14">
        <f ca="1">ALL!Z74</f>
        <v>0</v>
      </c>
      <c r="W95" s="14">
        <f ca="1">ALL!AA74</f>
        <v>0</v>
      </c>
      <c r="X95" s="14">
        <f ca="1">ALL!AB74</f>
        <v>0</v>
      </c>
      <c r="Y95" s="14">
        <f ca="1">ALL!AC74</f>
        <v>0</v>
      </c>
      <c r="Z95" s="14">
        <f ca="1">ALL!AD74</f>
        <v>0</v>
      </c>
      <c r="AA95" s="14">
        <f ca="1">ALL!AE74</f>
        <v>0</v>
      </c>
      <c r="AB95" s="14">
        <f ca="1">ALL!AF74</f>
        <v>0</v>
      </c>
      <c r="AC95" s="14">
        <f ca="1">ALL!AG74</f>
        <v>0</v>
      </c>
      <c r="AD95" s="14">
        <f ca="1">ALL!AH74</f>
        <v>0</v>
      </c>
      <c r="AE95" s="14">
        <f ca="1">ALL!AI74</f>
        <v>0</v>
      </c>
      <c r="AF95" s="14">
        <f ca="1">ALL!AJ74</f>
        <v>0</v>
      </c>
      <c r="AG95" s="14">
        <f ca="1">ALL!AK74</f>
        <v>0</v>
      </c>
      <c r="AH95" s="14">
        <f ca="1">ALL!AL74</f>
        <v>0</v>
      </c>
      <c r="AI95" s="14">
        <f>ALL!AM74</f>
        <v>0</v>
      </c>
    </row>
    <row r="96" spans="1:35" ht="21.75" hidden="1" outlineLevel="1" thickBot="1" x14ac:dyDescent="0.4">
      <c r="A96" s="36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ALL!AM75</f>
        <v>0</v>
      </c>
    </row>
    <row r="97" spans="1:94" ht="21.75" collapsed="1" thickTop="1" x14ac:dyDescent="0.35">
      <c r="A97" s="142" t="s">
        <v>10</v>
      </c>
      <c r="B97" s="143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94" x14ac:dyDescent="0.35">
      <c r="A98" s="21">
        <f>Values!B1</f>
        <v>700</v>
      </c>
      <c r="B98" s="53">
        <f>MIN(B100:CP154)</f>
        <v>-192.68327272727274</v>
      </c>
    </row>
    <row r="99" spans="1:94" ht="21.75" thickBot="1" x14ac:dyDescent="0.4">
      <c r="A99" s="22">
        <f>A98</f>
        <v>700</v>
      </c>
      <c r="B99" s="54">
        <v>0</v>
      </c>
    </row>
    <row r="100" spans="1:94" ht="22.5" thickTop="1" thickBot="1" x14ac:dyDescent="0.4">
      <c r="A100" s="4" t="s">
        <v>29</v>
      </c>
      <c r="B100" s="72">
        <v>290</v>
      </c>
      <c r="C100" s="72">
        <v>298</v>
      </c>
      <c r="D100" s="72">
        <v>306</v>
      </c>
      <c r="E100" s="72">
        <v>314</v>
      </c>
      <c r="F100" s="4">
        <v>322</v>
      </c>
      <c r="G100" s="4">
        <v>330</v>
      </c>
      <c r="H100" s="4">
        <v>338</v>
      </c>
      <c r="I100" s="4">
        <v>346</v>
      </c>
      <c r="J100" s="4">
        <v>354</v>
      </c>
      <c r="K100" s="4">
        <v>362</v>
      </c>
      <c r="L100" s="4">
        <v>370</v>
      </c>
      <c r="M100" s="4">
        <v>378</v>
      </c>
      <c r="N100" s="4">
        <v>386</v>
      </c>
      <c r="O100" s="4">
        <v>394</v>
      </c>
      <c r="P100" s="4">
        <v>402</v>
      </c>
      <c r="Q100" s="4">
        <v>410</v>
      </c>
      <c r="R100" s="4">
        <v>418</v>
      </c>
      <c r="S100" s="4">
        <v>426</v>
      </c>
      <c r="T100" s="4">
        <v>434</v>
      </c>
      <c r="U100" s="4">
        <v>442</v>
      </c>
      <c r="V100" s="4">
        <v>450</v>
      </c>
      <c r="W100" s="4">
        <v>458</v>
      </c>
      <c r="X100" s="4">
        <v>466</v>
      </c>
      <c r="Y100" s="4">
        <v>474</v>
      </c>
      <c r="Z100" s="4">
        <v>482</v>
      </c>
      <c r="AA100" s="4">
        <v>490</v>
      </c>
      <c r="AB100" s="4">
        <v>498</v>
      </c>
      <c r="AC100" s="4">
        <v>506</v>
      </c>
      <c r="AD100" s="4">
        <v>514</v>
      </c>
      <c r="AE100" s="4">
        <v>522</v>
      </c>
      <c r="AF100" s="4">
        <v>530</v>
      </c>
      <c r="AG100" s="4">
        <v>538</v>
      </c>
      <c r="AH100" s="4">
        <v>546</v>
      </c>
      <c r="AI100" s="4">
        <v>554</v>
      </c>
      <c r="AJ100" s="4">
        <v>562</v>
      </c>
      <c r="AK100" s="4">
        <v>570</v>
      </c>
      <c r="AL100" s="4">
        <v>578</v>
      </c>
      <c r="AM100" s="4">
        <v>586</v>
      </c>
      <c r="AN100" s="4">
        <v>594</v>
      </c>
      <c r="AO100" s="4">
        <v>602</v>
      </c>
      <c r="AP100" s="4">
        <v>610</v>
      </c>
      <c r="AQ100" s="4">
        <v>618</v>
      </c>
      <c r="AR100" s="4">
        <v>626</v>
      </c>
      <c r="AS100" s="4">
        <v>634</v>
      </c>
      <c r="AT100" s="4">
        <v>642</v>
      </c>
      <c r="AU100" s="4">
        <v>650</v>
      </c>
      <c r="AV100" s="4">
        <v>658</v>
      </c>
      <c r="AW100" s="4">
        <v>666</v>
      </c>
      <c r="AX100" s="4">
        <v>674</v>
      </c>
      <c r="AY100" s="4">
        <v>682</v>
      </c>
      <c r="AZ100" s="4">
        <v>690</v>
      </c>
      <c r="BA100" s="4">
        <v>698</v>
      </c>
      <c r="BB100" s="4">
        <v>706</v>
      </c>
      <c r="BC100" s="4">
        <v>714</v>
      </c>
      <c r="BD100" s="4">
        <v>722</v>
      </c>
      <c r="BE100" s="4">
        <v>730</v>
      </c>
      <c r="BF100" s="4">
        <v>738</v>
      </c>
      <c r="BG100" s="4">
        <v>746</v>
      </c>
      <c r="BH100" s="4">
        <v>754</v>
      </c>
      <c r="BI100" s="4">
        <v>762</v>
      </c>
      <c r="BJ100" s="4">
        <v>770</v>
      </c>
      <c r="BK100" s="4">
        <v>778</v>
      </c>
      <c r="BL100" s="4">
        <v>786</v>
      </c>
      <c r="BM100" s="4">
        <v>794</v>
      </c>
      <c r="BN100" s="4">
        <v>802</v>
      </c>
      <c r="BO100" s="4">
        <v>810</v>
      </c>
      <c r="BP100" s="4">
        <v>818</v>
      </c>
      <c r="BQ100" s="4">
        <v>826</v>
      </c>
      <c r="BR100" s="4">
        <v>834</v>
      </c>
      <c r="BS100" s="4">
        <v>842</v>
      </c>
      <c r="BT100" s="4">
        <v>850</v>
      </c>
      <c r="BU100" s="4">
        <v>858</v>
      </c>
      <c r="BV100" s="4">
        <v>866</v>
      </c>
      <c r="BW100" s="4">
        <v>874</v>
      </c>
      <c r="BX100" s="4">
        <v>882</v>
      </c>
      <c r="BY100" s="4">
        <v>890</v>
      </c>
      <c r="BZ100" s="4">
        <v>898</v>
      </c>
      <c r="CA100" s="4">
        <v>906</v>
      </c>
      <c r="CB100" s="4">
        <v>914</v>
      </c>
      <c r="CC100" s="4">
        <v>922</v>
      </c>
      <c r="CD100" s="4">
        <v>930</v>
      </c>
      <c r="CE100" s="4">
        <v>938</v>
      </c>
      <c r="CF100" s="4">
        <v>946</v>
      </c>
      <c r="CG100" s="4">
        <v>954</v>
      </c>
      <c r="CH100" s="4">
        <v>962</v>
      </c>
      <c r="CI100" s="4">
        <v>970</v>
      </c>
      <c r="CJ100" s="4">
        <v>978</v>
      </c>
      <c r="CK100" s="4">
        <v>986</v>
      </c>
      <c r="CL100" s="4">
        <v>994</v>
      </c>
      <c r="CM100" s="4"/>
      <c r="CN100" s="4"/>
      <c r="CO100" s="4"/>
      <c r="CP100" s="4"/>
    </row>
    <row r="101" spans="1:94" ht="22.5" thickTop="1" thickBot="1" x14ac:dyDescent="0.4">
      <c r="A101" s="18" t="s">
        <v>39</v>
      </c>
      <c r="B101" s="38">
        <v>-15.639818181818182</v>
      </c>
      <c r="C101" s="38">
        <v>-15.36830303030303</v>
      </c>
      <c r="D101" s="38">
        <v>-15.096787878787879</v>
      </c>
      <c r="E101" s="38">
        <v>-14.853636363636364</v>
      </c>
      <c r="F101">
        <v>-14.611212121212121</v>
      </c>
      <c r="G101">
        <v>-14.399757575757576</v>
      </c>
      <c r="H101">
        <v>-14.191272727272727</v>
      </c>
      <c r="I101">
        <v>-13.694303030303029</v>
      </c>
      <c r="J101">
        <v>-13.14642424242424</v>
      </c>
      <c r="K101">
        <v>-12.563192771084337</v>
      </c>
      <c r="L101">
        <v>-11.970421686746988</v>
      </c>
      <c r="M101">
        <v>-11.409636363636364</v>
      </c>
      <c r="N101">
        <v>-10.861757575757576</v>
      </c>
      <c r="O101">
        <v>-10.337515151515152</v>
      </c>
      <c r="P101">
        <v>-9.8260000000000005</v>
      </c>
      <c r="Q101">
        <v>-9.3608018154311647</v>
      </c>
      <c r="R101">
        <v>-8.9281240544629359</v>
      </c>
      <c r="S101">
        <v>-8.4954462934947053</v>
      </c>
      <c r="T101">
        <v>-8.0627685325264746</v>
      </c>
      <c r="U101">
        <v>-7.6300907715582449</v>
      </c>
      <c r="V101">
        <v>-7.1974130105900151</v>
      </c>
      <c r="W101">
        <v>-6.7647352496217845</v>
      </c>
      <c r="X101">
        <v>-6.3320574886535539</v>
      </c>
      <c r="Y101">
        <v>-5.9196121212121202</v>
      </c>
      <c r="Z101">
        <v>-5.5491878787878779</v>
      </c>
      <c r="AA101">
        <v>-5.2021181818181805</v>
      </c>
      <c r="AB101">
        <v>-4.9206636363636358</v>
      </c>
      <c r="AC101">
        <v>-4.6392090909090902</v>
      </c>
      <c r="AD101">
        <v>-4.3577545454545445</v>
      </c>
      <c r="AE101">
        <v>-4.1176506024096389</v>
      </c>
      <c r="AF101">
        <v>-4.1369277108433735</v>
      </c>
      <c r="AG101">
        <v>-4.1562272727272731</v>
      </c>
      <c r="AH101">
        <v>-4.175863636363637</v>
      </c>
      <c r="AI101">
        <v>-4.1955</v>
      </c>
      <c r="AJ101">
        <v>-4.2151363636363639</v>
      </c>
      <c r="AK101">
        <v>-4.2347727272727278</v>
      </c>
      <c r="AL101">
        <v>-4.2544090909090908</v>
      </c>
      <c r="AM101">
        <v>-4.2740454545454547</v>
      </c>
      <c r="AN101">
        <v>-4.2936818181818186</v>
      </c>
      <c r="AO101">
        <v>-4.3133181818181816</v>
      </c>
      <c r="AP101">
        <v>-4.3331270801815434</v>
      </c>
      <c r="AQ101">
        <v>-4.3529757942511349</v>
      </c>
      <c r="AR101">
        <v>-4.3728245083207264</v>
      </c>
      <c r="AS101">
        <v>-4.392673222390318</v>
      </c>
      <c r="AT101">
        <v>-4.4125219364599095</v>
      </c>
      <c r="AU101">
        <v>-4.4323706505295011</v>
      </c>
      <c r="AV101">
        <v>-4.4522193645990917</v>
      </c>
      <c r="AW101">
        <v>-4.4720680786686833</v>
      </c>
      <c r="AX101">
        <v>-4.4919333333333329</v>
      </c>
      <c r="AY101">
        <v>-4.5118121212121212</v>
      </c>
      <c r="AZ101">
        <v>-4.5313975903614461</v>
      </c>
      <c r="BA101">
        <v>-4.5506746987951807</v>
      </c>
      <c r="BB101">
        <v>-4.5701999999999998</v>
      </c>
      <c r="BC101">
        <v>-4.5900787878787881</v>
      </c>
      <c r="BD101">
        <v>-4.6097878787878788</v>
      </c>
      <c r="BE101">
        <v>-4.6291818181818183</v>
      </c>
      <c r="BF101">
        <v>-4.6485757575757569</v>
      </c>
      <c r="BG101">
        <v>-4.6679696969696964</v>
      </c>
      <c r="BH101">
        <v>-4.6872545454545449</v>
      </c>
      <c r="BI101">
        <v>-4.7061636363636365</v>
      </c>
      <c r="BJ101">
        <v>-4.7251515151515155</v>
      </c>
      <c r="BK101">
        <v>-4.7445454545454542</v>
      </c>
      <c r="BL101">
        <v>-4.7638795180722884</v>
      </c>
      <c r="BM101">
        <v>-4.7826746987951809</v>
      </c>
      <c r="BN101">
        <v>-4.8014727272727278</v>
      </c>
      <c r="BO101">
        <v>-4.8203818181818185</v>
      </c>
      <c r="BP101">
        <v>-4.8392909090909093</v>
      </c>
      <c r="BQ101">
        <v>-4.857733333333333</v>
      </c>
      <c r="BR101">
        <v>-4.8761575757575759</v>
      </c>
      <c r="BS101">
        <v>-4.8950181818181822</v>
      </c>
      <c r="BT101">
        <v>-4.9139272727272729</v>
      </c>
      <c r="BU101">
        <v>-4.9324303030303032</v>
      </c>
      <c r="BV101">
        <v>-4.9508545454545452</v>
      </c>
      <c r="BW101">
        <v>-4.9689757942511346</v>
      </c>
      <c r="BX101">
        <v>-4.9870090771558244</v>
      </c>
      <c r="BY101">
        <v>-5.0050423600605143</v>
      </c>
      <c r="BZ101">
        <v>-5.0230756429652041</v>
      </c>
      <c r="CA101">
        <v>-5.041108925869894</v>
      </c>
      <c r="CB101">
        <v>-5.0591422087745839</v>
      </c>
      <c r="CC101">
        <v>-5.0771754916792737</v>
      </c>
      <c r="CD101">
        <v>-5.0952087745839636</v>
      </c>
      <c r="CE101">
        <v>-5.1129939485627833</v>
      </c>
      <c r="CF101">
        <v>-5.1305431164901663</v>
      </c>
      <c r="CG101">
        <v>-5.1480922844175492</v>
      </c>
      <c r="CH101">
        <v>-5.1656414523449321</v>
      </c>
      <c r="CI101">
        <v>-5.1831906202723141</v>
      </c>
      <c r="CJ101">
        <v>-5.2007397881996971</v>
      </c>
      <c r="CK101">
        <v>-5.21828895612708</v>
      </c>
      <c r="CL101">
        <v>-5.2358381240544629</v>
      </c>
    </row>
    <row r="102" spans="1:94" ht="21.75" thickBot="1" x14ac:dyDescent="0.4">
      <c r="A102" s="18" t="s">
        <v>38</v>
      </c>
      <c r="B102" s="38">
        <v>-38.031818181818181</v>
      </c>
      <c r="C102" s="38">
        <v>-37.280303030303031</v>
      </c>
      <c r="D102" s="38">
        <v>-36.528787878787881</v>
      </c>
      <c r="E102" s="38">
        <v>-35.857636363636367</v>
      </c>
      <c r="F102">
        <v>-35.188545454545448</v>
      </c>
      <c r="G102">
        <v>-34.594666666666662</v>
      </c>
      <c r="H102">
        <v>-34.008000000000003</v>
      </c>
      <c r="I102">
        <v>-33.466666666666669</v>
      </c>
      <c r="J102">
        <v>-32.93333333333333</v>
      </c>
      <c r="K102">
        <v>-32.444277108433738</v>
      </c>
      <c r="L102">
        <v>-31.967168674698797</v>
      </c>
      <c r="M102">
        <v>-31.526000000000003</v>
      </c>
      <c r="N102">
        <v>-31.099333333333337</v>
      </c>
      <c r="O102">
        <v>-30.693151515151516</v>
      </c>
      <c r="P102">
        <v>-30.297999999999998</v>
      </c>
      <c r="Q102">
        <v>-29.951906202723144</v>
      </c>
      <c r="R102">
        <v>-29.640257186081694</v>
      </c>
      <c r="S102">
        <v>-29.328608169440241</v>
      </c>
      <c r="T102">
        <v>-29.016959152798787</v>
      </c>
      <c r="U102">
        <v>-28.705310136157337</v>
      </c>
      <c r="V102">
        <v>-28.393661119515883</v>
      </c>
      <c r="W102">
        <v>-28.08201210287443</v>
      </c>
      <c r="X102">
        <v>-27.77036308623298</v>
      </c>
      <c r="Y102">
        <v>-27.479006060606057</v>
      </c>
      <c r="Z102">
        <v>-27.229793939393939</v>
      </c>
      <c r="AA102">
        <v>-27.003936363636363</v>
      </c>
      <c r="AB102">
        <v>-26.843693939393937</v>
      </c>
      <c r="AC102">
        <v>-26.683451515151514</v>
      </c>
      <c r="AD102">
        <v>-26.523209090909088</v>
      </c>
      <c r="AE102">
        <v>-26.40355421686747</v>
      </c>
      <c r="AF102">
        <v>-26.538493975903616</v>
      </c>
      <c r="AG102">
        <v>-26.673575757575762</v>
      </c>
      <c r="AH102">
        <v>-26.810787878787881</v>
      </c>
      <c r="AI102">
        <v>-26.948</v>
      </c>
      <c r="AJ102">
        <v>-27.085212121212123</v>
      </c>
      <c r="AK102">
        <v>-27.222424242424243</v>
      </c>
      <c r="AL102">
        <v>-27.359636363636366</v>
      </c>
      <c r="AM102">
        <v>-27.496848484848485</v>
      </c>
      <c r="AN102">
        <v>-27.634060606060608</v>
      </c>
      <c r="AO102">
        <v>-27.771272727272727</v>
      </c>
      <c r="AP102">
        <v>-27.904579425113464</v>
      </c>
      <c r="AQ102">
        <v>-28.036984871406958</v>
      </c>
      <c r="AR102">
        <v>-28.169390317700454</v>
      </c>
      <c r="AS102">
        <v>-28.301795763993947</v>
      </c>
      <c r="AT102">
        <v>-28.434201210287441</v>
      </c>
      <c r="AU102">
        <v>-28.566606656580937</v>
      </c>
      <c r="AV102">
        <v>-28.69901210287443</v>
      </c>
      <c r="AW102">
        <v>-28.831417549167924</v>
      </c>
      <c r="AX102">
        <v>-28.963266666666666</v>
      </c>
      <c r="AY102">
        <v>-29.094660606060604</v>
      </c>
      <c r="AZ102">
        <v>-29.223084337349398</v>
      </c>
      <c r="BA102">
        <v>-29.348385542168675</v>
      </c>
      <c r="BB102">
        <v>-29.476199999999999</v>
      </c>
      <c r="BC102">
        <v>-29.607593939393936</v>
      </c>
      <c r="BD102">
        <v>-29.73712121212121</v>
      </c>
      <c r="BE102">
        <v>-29.863181818181815</v>
      </c>
      <c r="BF102">
        <v>-29.989242424242423</v>
      </c>
      <c r="BG102">
        <v>-30.115303030303028</v>
      </c>
      <c r="BH102">
        <v>-30.241254545454545</v>
      </c>
      <c r="BI102">
        <v>-30.366830303030305</v>
      </c>
      <c r="BJ102">
        <v>-30.491696969696971</v>
      </c>
      <c r="BK102">
        <v>-30.612909090909092</v>
      </c>
      <c r="BL102">
        <v>-30.734481927710846</v>
      </c>
      <c r="BM102">
        <v>-30.859301204819278</v>
      </c>
      <c r="BN102">
        <v>-30.984018181818183</v>
      </c>
      <c r="BO102">
        <v>-31.104745454545455</v>
      </c>
      <c r="BP102">
        <v>-31.225472727272727</v>
      </c>
      <c r="BQ102">
        <v>-31.345733333333335</v>
      </c>
      <c r="BR102">
        <v>-31.465975757575759</v>
      </c>
      <c r="BS102">
        <v>-31.586654545454547</v>
      </c>
      <c r="BT102">
        <v>-31.707381818181815</v>
      </c>
      <c r="BU102">
        <v>-31.827703030303031</v>
      </c>
      <c r="BV102">
        <v>-31.947945454545454</v>
      </c>
      <c r="BW102">
        <v>-32.064951588502268</v>
      </c>
      <c r="BX102">
        <v>-32.181018154311651</v>
      </c>
      <c r="BY102">
        <v>-32.297084720121028</v>
      </c>
      <c r="BZ102">
        <v>-32.413151285930411</v>
      </c>
      <c r="CA102">
        <v>-32.529217851739787</v>
      </c>
      <c r="CB102">
        <v>-32.645284417549163</v>
      </c>
      <c r="CC102">
        <v>-32.761350983358547</v>
      </c>
      <c r="CD102">
        <v>-32.877417549167923</v>
      </c>
      <c r="CE102">
        <v>-32.991995461422086</v>
      </c>
      <c r="CF102">
        <v>-33.105157337367622</v>
      </c>
      <c r="CG102">
        <v>-33.218319213313158</v>
      </c>
      <c r="CH102">
        <v>-33.331481089258695</v>
      </c>
      <c r="CI102">
        <v>-33.444642965204238</v>
      </c>
      <c r="CJ102">
        <v>-33.557804841149775</v>
      </c>
      <c r="CK102">
        <v>-33.670966717095311</v>
      </c>
      <c r="CL102">
        <v>-33.784128593040847</v>
      </c>
    </row>
    <row r="103" spans="1:94" ht="21.75" thickBot="1" x14ac:dyDescent="0.4">
      <c r="A103" s="18" t="s">
        <v>78</v>
      </c>
      <c r="B103" s="38">
        <v>-62.75363636363636</v>
      </c>
      <c r="C103" s="38">
        <v>-61.25060606060606</v>
      </c>
      <c r="D103" s="38">
        <v>-59.74757575757576</v>
      </c>
      <c r="E103" s="38">
        <v>-58.400545454545451</v>
      </c>
      <c r="F103">
        <v>-57.057515151515148</v>
      </c>
      <c r="G103">
        <v>-55.833939393939389</v>
      </c>
      <c r="H103">
        <v>-54.621818181818178</v>
      </c>
      <c r="I103">
        <v>-53.05115151515151</v>
      </c>
      <c r="J103">
        <v>-51.417212121212117</v>
      </c>
      <c r="K103">
        <v>-49.791024096385541</v>
      </c>
      <c r="L103">
        <v>-48.166927710843375</v>
      </c>
      <c r="M103">
        <v>-46.625636363636367</v>
      </c>
      <c r="N103">
        <v>-45.11775757575758</v>
      </c>
      <c r="O103">
        <v>-43.685515151515155</v>
      </c>
      <c r="P103">
        <v>-42.294000000000004</v>
      </c>
      <c r="Q103">
        <v>-41.033131618759455</v>
      </c>
      <c r="R103">
        <v>-39.863993948562786</v>
      </c>
      <c r="S103">
        <v>-38.69485627836611</v>
      </c>
      <c r="T103">
        <v>-37.525718608169441</v>
      </c>
      <c r="U103">
        <v>-36.356580937972765</v>
      </c>
      <c r="V103">
        <v>-35.187443267776096</v>
      </c>
      <c r="W103">
        <v>-34.018305597579428</v>
      </c>
      <c r="X103">
        <v>-32.849167927382751</v>
      </c>
      <c r="Y103">
        <v>-31.738545454545452</v>
      </c>
      <c r="Z103">
        <v>-30.749454545454544</v>
      </c>
      <c r="AA103">
        <v>-29.781363636363633</v>
      </c>
      <c r="AB103">
        <v>-28.872272727272723</v>
      </c>
      <c r="AC103">
        <v>-27.963181818181816</v>
      </c>
      <c r="AD103">
        <v>-27.054090909090906</v>
      </c>
      <c r="AE103">
        <v>-26.15602409638554</v>
      </c>
      <c r="AF103">
        <v>-25.327108433734939</v>
      </c>
      <c r="AG103">
        <v>-24.504166666666666</v>
      </c>
      <c r="AH103">
        <v>-23.770833333333336</v>
      </c>
      <c r="AI103">
        <v>-23.037500000000001</v>
      </c>
      <c r="AJ103">
        <v>-22.304166666666667</v>
      </c>
      <c r="AK103">
        <v>-21.570833333333333</v>
      </c>
      <c r="AL103">
        <v>-20.837499999999999</v>
      </c>
      <c r="AM103">
        <v>-20.104166666666668</v>
      </c>
      <c r="AN103">
        <v>-19.370833333333334</v>
      </c>
      <c r="AO103">
        <v>-18.637499999999999</v>
      </c>
      <c r="AP103">
        <v>-18.00733736762481</v>
      </c>
      <c r="AQ103">
        <v>-17.400983358547656</v>
      </c>
      <c r="AR103">
        <v>-16.794629349470501</v>
      </c>
      <c r="AS103">
        <v>-16.188275340393343</v>
      </c>
      <c r="AT103">
        <v>-15.581921331316188</v>
      </c>
      <c r="AU103">
        <v>-14.975567322239034</v>
      </c>
      <c r="AV103">
        <v>-14.369213313161877</v>
      </c>
      <c r="AW103">
        <v>-13.762859304084721</v>
      </c>
      <c r="AX103">
        <v>-13.188666666666668</v>
      </c>
      <c r="AY103">
        <v>-12.640787878787879</v>
      </c>
      <c r="AZ103">
        <v>-12.106265060240965</v>
      </c>
      <c r="BA103">
        <v>-11.585783132530123</v>
      </c>
      <c r="BB103">
        <v>-11.072000000000003</v>
      </c>
      <c r="BC103">
        <v>-10.567757575757579</v>
      </c>
      <c r="BD103">
        <v>-10.070303030303034</v>
      </c>
      <c r="BE103">
        <v>-9.5854545454545477</v>
      </c>
      <c r="BF103">
        <v>-9.1619393939393952</v>
      </c>
      <c r="BG103">
        <v>-8.8904242424242437</v>
      </c>
      <c r="BH103">
        <v>-8.6337454545454548</v>
      </c>
      <c r="BI103">
        <v>-8.4281696969696984</v>
      </c>
      <c r="BJ103">
        <v>-8.2237757575757584</v>
      </c>
      <c r="BK103">
        <v>-8.025472727272728</v>
      </c>
      <c r="BL103">
        <v>-7.8367831325301216</v>
      </c>
      <c r="BM103">
        <v>-7.7346144578313254</v>
      </c>
      <c r="BN103">
        <v>-7.6359696969696973</v>
      </c>
      <c r="BO103">
        <v>-7.6747575757575754</v>
      </c>
      <c r="BP103">
        <v>-7.7135454545454545</v>
      </c>
      <c r="BQ103">
        <v>-7.7528000000000006</v>
      </c>
      <c r="BR103">
        <v>-7.7920727272727275</v>
      </c>
      <c r="BS103">
        <v>-7.832218181818182</v>
      </c>
      <c r="BT103">
        <v>-7.8724606060606055</v>
      </c>
      <c r="BU103">
        <v>-7.9131090909090913</v>
      </c>
      <c r="BV103">
        <v>-7.9538363636363636</v>
      </c>
      <c r="BW103">
        <v>-7.9963918305597588</v>
      </c>
      <c r="BX103">
        <v>-8.0394780635400913</v>
      </c>
      <c r="BY103">
        <v>-8.0825642965204239</v>
      </c>
      <c r="BZ103">
        <v>-8.1256505295007564</v>
      </c>
      <c r="CA103">
        <v>-8.1687367624810907</v>
      </c>
      <c r="CB103">
        <v>-8.2118229954614232</v>
      </c>
      <c r="CC103">
        <v>-8.2549092284417558</v>
      </c>
      <c r="CD103">
        <v>-8.2979954614220883</v>
      </c>
      <c r="CE103">
        <v>-8.3441830559757957</v>
      </c>
      <c r="CF103">
        <v>-8.3933207261724672</v>
      </c>
      <c r="CG103">
        <v>-8.4424583963691386</v>
      </c>
      <c r="CH103">
        <v>-8.4915960665658101</v>
      </c>
      <c r="CI103">
        <v>-8.5407337367624816</v>
      </c>
      <c r="CJ103">
        <v>-8.5898714069591531</v>
      </c>
      <c r="CK103">
        <v>-8.6390090771558246</v>
      </c>
      <c r="CL103">
        <v>-8.688146747352496</v>
      </c>
    </row>
    <row r="104" spans="1:94" ht="21.75" thickBot="1" x14ac:dyDescent="0.4">
      <c r="A104" s="18" t="s">
        <v>97</v>
      </c>
      <c r="B104" s="38">
        <v>-147.89927272727272</v>
      </c>
      <c r="C104" s="38">
        <v>-144.41321212121213</v>
      </c>
      <c r="D104" s="38">
        <v>-140.92715151515151</v>
      </c>
      <c r="E104" s="38">
        <v>-137.80509090909089</v>
      </c>
      <c r="F104">
        <v>-134.69236363636361</v>
      </c>
      <c r="G104">
        <v>-131.86278787878786</v>
      </c>
      <c r="H104">
        <v>-129.0603636363636</v>
      </c>
      <c r="I104">
        <v>-125.87466666666666</v>
      </c>
      <c r="J104">
        <v>-122.62133333333334</v>
      </c>
      <c r="K104">
        <v>-119.46313253012049</v>
      </c>
      <c r="L104">
        <v>-116.33060240963856</v>
      </c>
      <c r="M104">
        <v>-113.36763636363638</v>
      </c>
      <c r="N104">
        <v>-110.47309090909093</v>
      </c>
      <c r="O104">
        <v>-107.72666666666667</v>
      </c>
      <c r="P104">
        <v>-105.06</v>
      </c>
      <c r="Q104">
        <v>-102.65736762481089</v>
      </c>
      <c r="R104">
        <v>-100.44012102874433</v>
      </c>
      <c r="S104">
        <v>-98.222874432677756</v>
      </c>
      <c r="T104">
        <v>-96.005627836611197</v>
      </c>
      <c r="U104">
        <v>-93.788381240544624</v>
      </c>
      <c r="V104">
        <v>-91.571134644478065</v>
      </c>
      <c r="W104">
        <v>-89.353888048411491</v>
      </c>
      <c r="X104">
        <v>-87.136641452344918</v>
      </c>
      <c r="Y104">
        <v>-85.036484848484847</v>
      </c>
      <c r="Z104">
        <v>-83.179515151515147</v>
      </c>
      <c r="AA104">
        <v>-81.36454545454545</v>
      </c>
      <c r="AB104">
        <v>-79.667575757575761</v>
      </c>
      <c r="AC104">
        <v>-77.970606060606059</v>
      </c>
      <c r="AD104">
        <v>-76.273636363636356</v>
      </c>
      <c r="AE104">
        <v>-74.59795180722891</v>
      </c>
      <c r="AF104">
        <v>-73.055783132530124</v>
      </c>
      <c r="AG104">
        <v>-71.525681818181823</v>
      </c>
      <c r="AH104">
        <v>-70.176590909090905</v>
      </c>
      <c r="AI104">
        <v>-68.827500000000001</v>
      </c>
      <c r="AJ104">
        <v>-67.478409090909096</v>
      </c>
      <c r="AK104">
        <v>-66.129318181818178</v>
      </c>
      <c r="AL104">
        <v>-64.780227272727274</v>
      </c>
      <c r="AM104">
        <v>-63.431136363636369</v>
      </c>
      <c r="AN104">
        <v>-62.082045454545458</v>
      </c>
      <c r="AO104">
        <v>-60.732954545454547</v>
      </c>
      <c r="AP104">
        <v>-59.586127080181548</v>
      </c>
      <c r="AQ104">
        <v>-58.485975794251139</v>
      </c>
      <c r="AR104">
        <v>-57.385824508320731</v>
      </c>
      <c r="AS104">
        <v>-56.285673222390322</v>
      </c>
      <c r="AT104">
        <v>-55.185521936459914</v>
      </c>
      <c r="AU104">
        <v>-54.085370650529505</v>
      </c>
      <c r="AV104">
        <v>-52.985219364599097</v>
      </c>
      <c r="AW104">
        <v>-51.885068078668688</v>
      </c>
      <c r="AX104">
        <v>-50.848666666666666</v>
      </c>
      <c r="AY104">
        <v>-49.864424242424242</v>
      </c>
      <c r="AZ104">
        <v>-48.904216867469884</v>
      </c>
      <c r="BA104">
        <v>-47.969277108433744</v>
      </c>
      <c r="BB104">
        <v>-47.050000000000004</v>
      </c>
      <c r="BC104">
        <v>-46.153030303030306</v>
      </c>
      <c r="BD104">
        <v>-45.2679393939394</v>
      </c>
      <c r="BE104">
        <v>-44.404909090909094</v>
      </c>
      <c r="BF104">
        <v>-43.664545454545454</v>
      </c>
      <c r="BG104">
        <v>-43.228181818181824</v>
      </c>
      <c r="BH104">
        <v>-42.821490909090912</v>
      </c>
      <c r="BI104">
        <v>-42.517006060606064</v>
      </c>
      <c r="BJ104">
        <v>-42.214096969696975</v>
      </c>
      <c r="BK104">
        <v>-41.919309090909096</v>
      </c>
      <c r="BL104">
        <v>-41.644168674698797</v>
      </c>
      <c r="BM104">
        <v>-41.545855421686753</v>
      </c>
      <c r="BN104">
        <v>-41.454484848484853</v>
      </c>
      <c r="BO104">
        <v>-41.633878787878793</v>
      </c>
      <c r="BP104">
        <v>-41.813272727272725</v>
      </c>
      <c r="BQ104">
        <v>-41.993600000000001</v>
      </c>
      <c r="BR104">
        <v>-42.173963636363638</v>
      </c>
      <c r="BS104">
        <v>-42.356072727272725</v>
      </c>
      <c r="BT104">
        <v>-42.538375757575757</v>
      </c>
      <c r="BU104">
        <v>-42.72149090909091</v>
      </c>
      <c r="BV104">
        <v>-42.904763636363633</v>
      </c>
      <c r="BW104">
        <v>-43.088759455370649</v>
      </c>
      <c r="BX104">
        <v>-43.272965204236009</v>
      </c>
      <c r="BY104">
        <v>-43.457170953101361</v>
      </c>
      <c r="BZ104">
        <v>-43.64137670196672</v>
      </c>
      <c r="CA104">
        <v>-43.825582450832073</v>
      </c>
      <c r="CB104">
        <v>-44.009788199697432</v>
      </c>
      <c r="CC104">
        <v>-44.193993948562785</v>
      </c>
      <c r="CD104">
        <v>-44.378199697428144</v>
      </c>
      <c r="CE104">
        <v>-44.567367624810899</v>
      </c>
      <c r="CF104">
        <v>-44.761255673222394</v>
      </c>
      <c r="CG104">
        <v>-44.955143721633888</v>
      </c>
      <c r="CH104">
        <v>-45.14903177004539</v>
      </c>
      <c r="CI104">
        <v>-45.342919818456885</v>
      </c>
      <c r="CJ104">
        <v>-45.536807866868379</v>
      </c>
      <c r="CK104">
        <v>-45.730695915279881</v>
      </c>
      <c r="CL104">
        <v>-45.924583963691376</v>
      </c>
    </row>
    <row r="105" spans="1:94" ht="21.75" thickBot="1" x14ac:dyDescent="0.4">
      <c r="A105" s="18" t="s">
        <v>37</v>
      </c>
      <c r="B105" s="38">
        <v>-15.639818181818182</v>
      </c>
      <c r="C105" s="38">
        <v>-15.36830303030303</v>
      </c>
      <c r="D105" s="38">
        <v>-15.096787878787879</v>
      </c>
      <c r="E105" s="38">
        <v>-14.853636363636364</v>
      </c>
      <c r="F105">
        <v>-14.611212121212121</v>
      </c>
      <c r="G105">
        <v>-14.399757575757576</v>
      </c>
      <c r="H105">
        <v>-14.191272727272727</v>
      </c>
      <c r="I105">
        <v>-13.694303030303029</v>
      </c>
      <c r="J105">
        <v>-13.14642424242424</v>
      </c>
      <c r="K105">
        <v>-12.563192771084337</v>
      </c>
      <c r="L105">
        <v>-11.970421686746988</v>
      </c>
      <c r="M105">
        <v>-11.409636363636364</v>
      </c>
      <c r="N105">
        <v>-10.861757575757576</v>
      </c>
      <c r="O105">
        <v>-10.337515151515152</v>
      </c>
      <c r="P105">
        <v>-9.8260000000000005</v>
      </c>
      <c r="Q105">
        <v>-9.3608018154311647</v>
      </c>
      <c r="R105">
        <v>-8.9281240544629359</v>
      </c>
      <c r="S105">
        <v>-8.4954462934947053</v>
      </c>
      <c r="T105">
        <v>-8.0627685325264746</v>
      </c>
      <c r="U105">
        <v>-7.6300907715582449</v>
      </c>
      <c r="V105">
        <v>-7.1974130105900151</v>
      </c>
      <c r="W105">
        <v>-6.7647352496217845</v>
      </c>
      <c r="X105">
        <v>-6.3320574886535539</v>
      </c>
      <c r="Y105">
        <v>-5.9196121212121202</v>
      </c>
      <c r="Z105">
        <v>-5.5491878787878779</v>
      </c>
      <c r="AA105">
        <v>-5.2021181818181805</v>
      </c>
      <c r="AB105">
        <v>-4.9206636363636358</v>
      </c>
      <c r="AC105">
        <v>-4.6392090909090902</v>
      </c>
      <c r="AD105">
        <v>-4.3577545454545445</v>
      </c>
      <c r="AE105">
        <v>-4.1176506024096389</v>
      </c>
      <c r="AF105">
        <v>-4.1369277108433735</v>
      </c>
      <c r="AG105">
        <v>-4.1562272727272731</v>
      </c>
      <c r="AH105">
        <v>-4.175863636363637</v>
      </c>
      <c r="AI105">
        <v>-4.1955</v>
      </c>
      <c r="AJ105">
        <v>-4.2151363636363639</v>
      </c>
      <c r="AK105">
        <v>-4.2347727272727278</v>
      </c>
      <c r="AL105">
        <v>-4.2544090909090908</v>
      </c>
      <c r="AM105">
        <v>-4.2740454545454547</v>
      </c>
      <c r="AN105">
        <v>-4.2936818181818186</v>
      </c>
      <c r="AO105">
        <v>-4.3133181818181816</v>
      </c>
      <c r="AP105">
        <v>-4.3331270801815434</v>
      </c>
      <c r="AQ105">
        <v>-4.3529757942511349</v>
      </c>
      <c r="AR105">
        <v>-4.3728245083207264</v>
      </c>
      <c r="AS105">
        <v>-4.392673222390318</v>
      </c>
      <c r="AT105">
        <v>-4.4125219364599095</v>
      </c>
      <c r="AU105">
        <v>-4.4323706505295011</v>
      </c>
      <c r="AV105">
        <v>-4.4522193645990917</v>
      </c>
      <c r="AW105">
        <v>-4.4720680786686833</v>
      </c>
      <c r="AX105">
        <v>-4.4919333333333329</v>
      </c>
      <c r="AY105">
        <v>-4.5118121212121212</v>
      </c>
      <c r="AZ105">
        <v>-4.5313975903614461</v>
      </c>
      <c r="BA105">
        <v>-4.5506746987951807</v>
      </c>
      <c r="BB105">
        <v>-4.5701999999999998</v>
      </c>
      <c r="BC105">
        <v>-4.5900787878787881</v>
      </c>
      <c r="BD105">
        <v>-4.6097878787878788</v>
      </c>
      <c r="BE105">
        <v>-4.6291818181818183</v>
      </c>
      <c r="BF105">
        <v>-4.6485757575757569</v>
      </c>
      <c r="BG105">
        <v>-4.6679696969696964</v>
      </c>
      <c r="BH105">
        <v>-4.6872545454545449</v>
      </c>
      <c r="BI105">
        <v>-4.7061636363636365</v>
      </c>
      <c r="BJ105">
        <v>-4.7251515151515155</v>
      </c>
      <c r="BK105">
        <v>-4.7445454545454542</v>
      </c>
      <c r="BL105">
        <v>-4.7638795180722884</v>
      </c>
      <c r="BM105">
        <v>-4.7826746987951809</v>
      </c>
      <c r="BN105">
        <v>-4.8014727272727278</v>
      </c>
      <c r="BO105">
        <v>-4.8203818181818185</v>
      </c>
      <c r="BP105">
        <v>-4.8392909090909093</v>
      </c>
      <c r="BQ105">
        <v>-4.857733333333333</v>
      </c>
      <c r="BR105">
        <v>-4.8761575757575759</v>
      </c>
      <c r="BS105">
        <v>-4.8950181818181822</v>
      </c>
      <c r="BT105">
        <v>-4.9139272727272729</v>
      </c>
      <c r="BU105">
        <v>-4.9324303030303032</v>
      </c>
      <c r="BV105">
        <v>-4.9508545454545452</v>
      </c>
      <c r="BW105">
        <v>-4.9689757942511346</v>
      </c>
      <c r="BX105">
        <v>-4.9870090771558244</v>
      </c>
      <c r="BY105">
        <v>-5.0050423600605143</v>
      </c>
      <c r="BZ105">
        <v>-5.0230756429652041</v>
      </c>
      <c r="CA105">
        <v>-5.041108925869894</v>
      </c>
      <c r="CB105">
        <v>-5.0591422087745839</v>
      </c>
      <c r="CC105">
        <v>-5.0771754916792737</v>
      </c>
      <c r="CD105">
        <v>-5.0952087745839636</v>
      </c>
      <c r="CE105">
        <v>-5.1129939485627833</v>
      </c>
      <c r="CF105">
        <v>-5.1305431164901663</v>
      </c>
      <c r="CG105">
        <v>-5.1480922844175492</v>
      </c>
      <c r="CH105">
        <v>-5.1656414523449321</v>
      </c>
      <c r="CI105">
        <v>-5.1831906202723141</v>
      </c>
      <c r="CJ105">
        <v>-5.2007397881996971</v>
      </c>
      <c r="CK105">
        <v>-5.21828895612708</v>
      </c>
      <c r="CL105">
        <v>-5.2358381240544629</v>
      </c>
    </row>
    <row r="106" spans="1:94" ht="21.75" thickBot="1" x14ac:dyDescent="0.4">
      <c r="A106" s="18" t="s">
        <v>36</v>
      </c>
      <c r="B106" s="38">
        <v>-22.391999999999999</v>
      </c>
      <c r="C106" s="38">
        <v>-21.911999999999999</v>
      </c>
      <c r="D106" s="38">
        <v>-21.432000000000002</v>
      </c>
      <c r="E106" s="38">
        <v>-21.004000000000001</v>
      </c>
      <c r="F106">
        <v>-20.577333333333332</v>
      </c>
      <c r="G106">
        <v>-20.194909090909089</v>
      </c>
      <c r="H106">
        <v>-19.816727272727274</v>
      </c>
      <c r="I106">
        <v>-19.772363636363636</v>
      </c>
      <c r="J106">
        <v>-19.786909090909091</v>
      </c>
      <c r="K106">
        <v>-19.881084337349396</v>
      </c>
      <c r="L106">
        <v>-19.996746987951809</v>
      </c>
      <c r="M106">
        <v>-20.116363636363637</v>
      </c>
      <c r="N106">
        <v>-20.237575757575758</v>
      </c>
      <c r="O106">
        <v>-20.355636363636364</v>
      </c>
      <c r="P106">
        <v>-20.472000000000001</v>
      </c>
      <c r="Q106">
        <v>-20.591104387291981</v>
      </c>
      <c r="R106">
        <v>-20.71213313161876</v>
      </c>
      <c r="S106">
        <v>-20.833161875945535</v>
      </c>
      <c r="T106">
        <v>-20.954190620272314</v>
      </c>
      <c r="U106">
        <v>-21.075219364599093</v>
      </c>
      <c r="V106">
        <v>-21.196248108925868</v>
      </c>
      <c r="W106">
        <v>-21.317276853252647</v>
      </c>
      <c r="X106">
        <v>-21.438305597579426</v>
      </c>
      <c r="Y106">
        <v>-21.559393939393939</v>
      </c>
      <c r="Z106">
        <v>-21.68060606060606</v>
      </c>
      <c r="AA106">
        <v>-21.801818181818181</v>
      </c>
      <c r="AB106">
        <v>-21.923030303030302</v>
      </c>
      <c r="AC106">
        <v>-22.044242424242423</v>
      </c>
      <c r="AD106">
        <v>-22.165454545454544</v>
      </c>
      <c r="AE106">
        <v>-22.28590361445783</v>
      </c>
      <c r="AF106">
        <v>-22.401566265060243</v>
      </c>
      <c r="AG106">
        <v>-22.517348484848487</v>
      </c>
      <c r="AH106">
        <v>-22.634924242424244</v>
      </c>
      <c r="AI106">
        <v>-22.752500000000001</v>
      </c>
      <c r="AJ106">
        <v>-22.870075757575759</v>
      </c>
      <c r="AK106">
        <v>-22.987651515151516</v>
      </c>
      <c r="AL106">
        <v>-23.105227272727273</v>
      </c>
      <c r="AM106">
        <v>-23.22280303030303</v>
      </c>
      <c r="AN106">
        <v>-23.340378787878787</v>
      </c>
      <c r="AO106">
        <v>-23.457954545454545</v>
      </c>
      <c r="AP106">
        <v>-23.57145234493192</v>
      </c>
      <c r="AQ106">
        <v>-23.684009077155824</v>
      </c>
      <c r="AR106">
        <v>-23.796565809379729</v>
      </c>
      <c r="AS106">
        <v>-23.909122541603629</v>
      </c>
      <c r="AT106">
        <v>-24.021679273827534</v>
      </c>
      <c r="AU106">
        <v>-24.134236006051438</v>
      </c>
      <c r="AV106">
        <v>-24.246792738275339</v>
      </c>
      <c r="AW106">
        <v>-24.359349470499243</v>
      </c>
      <c r="AX106">
        <v>-24.471333333333334</v>
      </c>
      <c r="AY106">
        <v>-24.582848484848483</v>
      </c>
      <c r="AZ106">
        <v>-24.691686746987951</v>
      </c>
      <c r="BA106">
        <v>-24.797710843373494</v>
      </c>
      <c r="BB106">
        <v>-24.905999999999999</v>
      </c>
      <c r="BC106">
        <v>-25.017515151515152</v>
      </c>
      <c r="BD106">
        <v>-25.127333333333333</v>
      </c>
      <c r="BE106">
        <v>-25.233999999999998</v>
      </c>
      <c r="BF106">
        <v>-25.340666666666664</v>
      </c>
      <c r="BG106">
        <v>-25.447333333333333</v>
      </c>
      <c r="BH106">
        <v>-25.554000000000002</v>
      </c>
      <c r="BI106">
        <v>-25.660666666666668</v>
      </c>
      <c r="BJ106">
        <v>-25.766545454545454</v>
      </c>
      <c r="BK106">
        <v>-25.868363636363636</v>
      </c>
      <c r="BL106">
        <v>-25.970602409638555</v>
      </c>
      <c r="BM106">
        <v>-26.076626506024098</v>
      </c>
      <c r="BN106">
        <v>-26.182545454545455</v>
      </c>
      <c r="BO106">
        <v>-26.284363636363636</v>
      </c>
      <c r="BP106">
        <v>-26.386181818181818</v>
      </c>
      <c r="BQ106">
        <v>-26.488000000000003</v>
      </c>
      <c r="BR106">
        <v>-26.589818181818185</v>
      </c>
      <c r="BS106">
        <v>-26.691636363636363</v>
      </c>
      <c r="BT106">
        <v>-26.793454545454544</v>
      </c>
      <c r="BU106">
        <v>-26.895272727272726</v>
      </c>
      <c r="BV106">
        <v>-26.997090909090907</v>
      </c>
      <c r="BW106">
        <v>-27.095975794251135</v>
      </c>
      <c r="BX106">
        <v>-27.194009077155826</v>
      </c>
      <c r="BY106">
        <v>-27.292042360060513</v>
      </c>
      <c r="BZ106">
        <v>-27.390075642965204</v>
      </c>
      <c r="CA106">
        <v>-27.488108925869895</v>
      </c>
      <c r="CB106">
        <v>-27.586142208774582</v>
      </c>
      <c r="CC106">
        <v>-27.684175491679273</v>
      </c>
      <c r="CD106">
        <v>-27.782208774583964</v>
      </c>
      <c r="CE106">
        <v>-27.879001512859304</v>
      </c>
      <c r="CF106">
        <v>-27.974614220877456</v>
      </c>
      <c r="CG106">
        <v>-28.070226928895611</v>
      </c>
      <c r="CH106">
        <v>-28.165839636913766</v>
      </c>
      <c r="CI106">
        <v>-28.261452344931921</v>
      </c>
      <c r="CJ106">
        <v>-28.357065052950077</v>
      </c>
      <c r="CK106">
        <v>-28.452677760968232</v>
      </c>
      <c r="CL106">
        <v>-28.548290468986384</v>
      </c>
    </row>
    <row r="107" spans="1:94" ht="21.75" thickBot="1" x14ac:dyDescent="0.4">
      <c r="A107" s="18" t="s">
        <v>42</v>
      </c>
      <c r="B107" s="38">
        <v>-60.423818181818177</v>
      </c>
      <c r="C107" s="38">
        <v>-59.19230303030303</v>
      </c>
      <c r="D107" s="38">
        <v>-57.960787878787883</v>
      </c>
      <c r="E107" s="38">
        <v>-56.861636363636364</v>
      </c>
      <c r="F107">
        <v>-55.76587878787879</v>
      </c>
      <c r="G107">
        <v>-54.789575757575761</v>
      </c>
      <c r="H107">
        <v>-53.82472727272728</v>
      </c>
      <c r="I107">
        <v>-53.239030303030304</v>
      </c>
      <c r="J107">
        <v>-52.720242424242421</v>
      </c>
      <c r="K107">
        <v>-52.32536144578313</v>
      </c>
      <c r="L107">
        <v>-51.963915662650599</v>
      </c>
      <c r="M107">
        <v>-51.64236363636364</v>
      </c>
      <c r="N107">
        <v>-51.336909090909096</v>
      </c>
      <c r="O107">
        <v>-51.048787878787884</v>
      </c>
      <c r="P107">
        <v>-50.77</v>
      </c>
      <c r="Q107">
        <v>-50.543010590015129</v>
      </c>
      <c r="R107">
        <v>-50.352390317700454</v>
      </c>
      <c r="S107">
        <v>-50.161770045385779</v>
      </c>
      <c r="T107">
        <v>-49.971149773071105</v>
      </c>
      <c r="U107">
        <v>-49.78052950075643</v>
      </c>
      <c r="V107">
        <v>-49.589909228441755</v>
      </c>
      <c r="W107">
        <v>-49.39928895612708</v>
      </c>
      <c r="X107">
        <v>-49.208668683812405</v>
      </c>
      <c r="Y107">
        <v>-49.038399999999996</v>
      </c>
      <c r="Z107">
        <v>-48.910400000000003</v>
      </c>
      <c r="AA107">
        <v>-48.805754545454548</v>
      </c>
      <c r="AB107">
        <v>-48.766724242424246</v>
      </c>
      <c r="AC107">
        <v>-48.727693939393944</v>
      </c>
      <c r="AD107">
        <v>-48.688663636363636</v>
      </c>
      <c r="AE107">
        <v>-48.689457831325306</v>
      </c>
      <c r="AF107">
        <v>-48.940060240963859</v>
      </c>
      <c r="AG107">
        <v>-49.190924242424245</v>
      </c>
      <c r="AH107">
        <v>-49.445712121212125</v>
      </c>
      <c r="AI107">
        <v>-49.700500000000005</v>
      </c>
      <c r="AJ107">
        <v>-49.955287878787885</v>
      </c>
      <c r="AK107">
        <v>-50.210075757575758</v>
      </c>
      <c r="AL107">
        <v>-50.464863636363638</v>
      </c>
      <c r="AM107">
        <v>-50.719651515151519</v>
      </c>
      <c r="AN107">
        <v>-50.974439393939399</v>
      </c>
      <c r="AO107">
        <v>-51.229227272727272</v>
      </c>
      <c r="AP107">
        <v>-51.476031770045388</v>
      </c>
      <c r="AQ107">
        <v>-51.720993948562786</v>
      </c>
      <c r="AR107">
        <v>-51.965956127080183</v>
      </c>
      <c r="AS107">
        <v>-52.210918305597581</v>
      </c>
      <c r="AT107">
        <v>-52.455880484114978</v>
      </c>
      <c r="AU107">
        <v>-52.700842662632375</v>
      </c>
      <c r="AV107">
        <v>-52.945804841149773</v>
      </c>
      <c r="AW107">
        <v>-53.19076701966717</v>
      </c>
      <c r="AX107">
        <v>-53.434600000000003</v>
      </c>
      <c r="AY107">
        <v>-53.677509090909091</v>
      </c>
      <c r="AZ107">
        <v>-53.914771084337346</v>
      </c>
      <c r="BA107">
        <v>-54.146096385542165</v>
      </c>
      <c r="BB107">
        <v>-54.382199999999997</v>
      </c>
      <c r="BC107">
        <v>-54.625109090909092</v>
      </c>
      <c r="BD107">
        <v>-54.864454545454542</v>
      </c>
      <c r="BE107">
        <v>-55.097181818181816</v>
      </c>
      <c r="BF107">
        <v>-55.329909090909091</v>
      </c>
      <c r="BG107">
        <v>-55.562636363636365</v>
      </c>
      <c r="BH107">
        <v>-55.795254545454547</v>
      </c>
      <c r="BI107">
        <v>-56.027496969696969</v>
      </c>
      <c r="BJ107">
        <v>-56.258242424242425</v>
      </c>
      <c r="BK107">
        <v>-56.481272727272724</v>
      </c>
      <c r="BL107">
        <v>-56.705084337349398</v>
      </c>
      <c r="BM107">
        <v>-56.935927710843373</v>
      </c>
      <c r="BN107">
        <v>-57.166563636363641</v>
      </c>
      <c r="BO107">
        <v>-57.389109090909095</v>
      </c>
      <c r="BP107">
        <v>-57.611654545454549</v>
      </c>
      <c r="BQ107">
        <v>-57.833733333333342</v>
      </c>
      <c r="BR107">
        <v>-58.055793939393944</v>
      </c>
      <c r="BS107">
        <v>-58.278290909090913</v>
      </c>
      <c r="BT107">
        <v>-58.500836363636367</v>
      </c>
      <c r="BU107">
        <v>-58.72297575757576</v>
      </c>
      <c r="BV107">
        <v>-58.945036363636362</v>
      </c>
      <c r="BW107">
        <v>-59.1609273827534</v>
      </c>
      <c r="BX107">
        <v>-59.37502723146747</v>
      </c>
      <c r="BY107">
        <v>-59.589127080181541</v>
      </c>
      <c r="BZ107">
        <v>-59.803226928895612</v>
      </c>
      <c r="CA107">
        <v>-60.017326777609682</v>
      </c>
      <c r="CB107">
        <v>-60.231426626323746</v>
      </c>
      <c r="CC107">
        <v>-60.445526475037816</v>
      </c>
      <c r="CD107">
        <v>-60.659626323751887</v>
      </c>
      <c r="CE107">
        <v>-60.87099697428139</v>
      </c>
      <c r="CF107">
        <v>-61.079771558245078</v>
      </c>
      <c r="CG107">
        <v>-61.288546142208773</v>
      </c>
      <c r="CH107">
        <v>-61.497320726172468</v>
      </c>
      <c r="CI107">
        <v>-61.706095310136156</v>
      </c>
      <c r="CJ107">
        <v>-61.914869894099851</v>
      </c>
      <c r="CK107">
        <v>-62.12364447806354</v>
      </c>
      <c r="CL107">
        <v>-62.332419062027235</v>
      </c>
    </row>
    <row r="108" spans="1:94" ht="21.75" thickBot="1" x14ac:dyDescent="0.4">
      <c r="A108" s="18" t="s">
        <v>41</v>
      </c>
      <c r="B108" s="38">
        <v>-192.68327272727274</v>
      </c>
      <c r="C108" s="38">
        <v>-188.23721212121214</v>
      </c>
      <c r="D108" s="38">
        <v>-183.79115151515151</v>
      </c>
      <c r="E108" s="38">
        <v>-179.8130909090909</v>
      </c>
      <c r="F108">
        <v>-175.84703030303029</v>
      </c>
      <c r="G108">
        <v>-172.25260606060604</v>
      </c>
      <c r="H108">
        <v>-168.69381818181819</v>
      </c>
      <c r="I108">
        <v>-165.41939393939393</v>
      </c>
      <c r="J108">
        <v>-162.19515151515151</v>
      </c>
      <c r="K108">
        <v>-159.22530120481926</v>
      </c>
      <c r="L108">
        <v>-156.32409638554219</v>
      </c>
      <c r="M108">
        <v>-153.60036363636365</v>
      </c>
      <c r="N108">
        <v>-150.94824242424244</v>
      </c>
      <c r="O108">
        <v>-148.43793939393942</v>
      </c>
      <c r="P108">
        <v>-146.00400000000002</v>
      </c>
      <c r="Q108">
        <v>-143.83957639939487</v>
      </c>
      <c r="R108">
        <v>-141.86438729198184</v>
      </c>
      <c r="S108">
        <v>-139.88919818456884</v>
      </c>
      <c r="T108">
        <v>-137.91400907715584</v>
      </c>
      <c r="U108">
        <v>-135.93881996974281</v>
      </c>
      <c r="V108">
        <v>-133.96363086232981</v>
      </c>
      <c r="W108">
        <v>-131.98844175491681</v>
      </c>
      <c r="X108">
        <v>-130.01325264750378</v>
      </c>
      <c r="Y108">
        <v>-128.15527272727272</v>
      </c>
      <c r="Z108">
        <v>-126.54072727272727</v>
      </c>
      <c r="AA108">
        <v>-124.9681818181818</v>
      </c>
      <c r="AB108">
        <v>-123.51363636363635</v>
      </c>
      <c r="AC108">
        <v>-122.0590909090909</v>
      </c>
      <c r="AD108">
        <v>-120.60454545454544</v>
      </c>
      <c r="AE108">
        <v>-119.16975903614457</v>
      </c>
      <c r="AF108">
        <v>-117.8589156626506</v>
      </c>
      <c r="AG108">
        <v>-116.56037878787879</v>
      </c>
      <c r="AH108">
        <v>-115.44643939393939</v>
      </c>
      <c r="AI108">
        <v>-114.3325</v>
      </c>
      <c r="AJ108">
        <v>-113.21856060606061</v>
      </c>
      <c r="AK108">
        <v>-112.1046212121212</v>
      </c>
      <c r="AL108">
        <v>-110.99068181818181</v>
      </c>
      <c r="AM108">
        <v>-109.87674242424242</v>
      </c>
      <c r="AN108">
        <v>-108.76280303030303</v>
      </c>
      <c r="AO108">
        <v>-107.64886363636363</v>
      </c>
      <c r="AP108">
        <v>-106.72903177004538</v>
      </c>
      <c r="AQ108">
        <v>-105.85399394856279</v>
      </c>
      <c r="AR108">
        <v>-104.97895612708018</v>
      </c>
      <c r="AS108">
        <v>-104.10391830559759</v>
      </c>
      <c r="AT108">
        <v>-103.22888048411498</v>
      </c>
      <c r="AU108">
        <v>-102.35384266263239</v>
      </c>
      <c r="AV108">
        <v>-101.47880484114978</v>
      </c>
      <c r="AW108">
        <v>-100.60376701966717</v>
      </c>
      <c r="AX108">
        <v>-99.791333333333341</v>
      </c>
      <c r="AY108">
        <v>-99.030121212121216</v>
      </c>
      <c r="AZ108">
        <v>-98.28759036144578</v>
      </c>
      <c r="BA108">
        <v>-97.564698795180732</v>
      </c>
      <c r="BB108">
        <v>-96.862000000000009</v>
      </c>
      <c r="BC108">
        <v>-96.188060606060617</v>
      </c>
      <c r="BD108">
        <v>-95.522606060606066</v>
      </c>
      <c r="BE108">
        <v>-94.87290909090909</v>
      </c>
      <c r="BF108">
        <v>-94.345878787878789</v>
      </c>
      <c r="BG108">
        <v>-94.12284848484849</v>
      </c>
      <c r="BH108">
        <v>-93.929490909090916</v>
      </c>
      <c r="BI108">
        <v>-93.838339393939393</v>
      </c>
      <c r="BJ108">
        <v>-93.747187878787884</v>
      </c>
      <c r="BK108">
        <v>-93.65603636363636</v>
      </c>
      <c r="BL108">
        <v>-93.585373493975894</v>
      </c>
      <c r="BM108">
        <v>-93.699108433734935</v>
      </c>
      <c r="BN108">
        <v>-93.819575757575748</v>
      </c>
      <c r="BO108">
        <v>-94.202606060606058</v>
      </c>
      <c r="BP108">
        <v>-94.585636363636354</v>
      </c>
      <c r="BQ108">
        <v>-94.9696</v>
      </c>
      <c r="BR108">
        <v>-95.353600000000014</v>
      </c>
      <c r="BS108">
        <v>-95.739345454545457</v>
      </c>
      <c r="BT108">
        <v>-96.125284848484839</v>
      </c>
      <c r="BU108">
        <v>-96.512036363636355</v>
      </c>
      <c r="BV108">
        <v>-96.898945454545455</v>
      </c>
      <c r="BW108">
        <v>-97.280711043872927</v>
      </c>
      <c r="BX108">
        <v>-97.660983358547654</v>
      </c>
      <c r="BY108">
        <v>-98.041255673222395</v>
      </c>
      <c r="BZ108">
        <v>-98.421527987897136</v>
      </c>
      <c r="CA108">
        <v>-98.801800302571863</v>
      </c>
      <c r="CB108">
        <v>-99.182072617246604</v>
      </c>
      <c r="CC108">
        <v>-99.562344931921331</v>
      </c>
      <c r="CD108">
        <v>-99.942617246596072</v>
      </c>
      <c r="CE108">
        <v>-100.32537065052951</v>
      </c>
      <c r="CF108">
        <v>-100.71048411497731</v>
      </c>
      <c r="CG108">
        <v>-101.09559757942512</v>
      </c>
      <c r="CH108">
        <v>-101.48071104387292</v>
      </c>
      <c r="CI108">
        <v>-101.86582450832073</v>
      </c>
      <c r="CJ108">
        <v>-102.25093797276854</v>
      </c>
      <c r="CK108">
        <v>-102.63605143721634</v>
      </c>
      <c r="CL108">
        <v>-103.02116490166415</v>
      </c>
    </row>
    <row r="109" spans="1:94" ht="21.75" thickBot="1" x14ac:dyDescent="0.4">
      <c r="A109" s="18" t="s">
        <v>43</v>
      </c>
      <c r="B109" s="38">
        <v>-147.89927272727272</v>
      </c>
      <c r="C109" s="38">
        <v>-144.41321212121213</v>
      </c>
      <c r="D109" s="38">
        <v>-140.92715151515151</v>
      </c>
      <c r="E109" s="38">
        <v>-137.80509090909089</v>
      </c>
      <c r="F109">
        <v>-134.69236363636361</v>
      </c>
      <c r="G109">
        <v>-131.86278787878786</v>
      </c>
      <c r="H109">
        <v>-129.0603636363636</v>
      </c>
      <c r="I109">
        <v>-125.87466666666666</v>
      </c>
      <c r="J109">
        <v>-122.62133333333334</v>
      </c>
      <c r="K109">
        <v>-119.46313253012049</v>
      </c>
      <c r="L109">
        <v>-116.33060240963856</v>
      </c>
      <c r="M109">
        <v>-113.36763636363638</v>
      </c>
      <c r="N109">
        <v>-110.47309090909093</v>
      </c>
      <c r="O109">
        <v>-107.72666666666667</v>
      </c>
      <c r="P109">
        <v>-105.06</v>
      </c>
      <c r="Q109">
        <v>-102.65736762481089</v>
      </c>
      <c r="R109">
        <v>-100.44012102874433</v>
      </c>
      <c r="S109">
        <v>-98.222874432677756</v>
      </c>
      <c r="T109">
        <v>-96.005627836611197</v>
      </c>
      <c r="U109">
        <v>-93.788381240544624</v>
      </c>
      <c r="V109">
        <v>-91.571134644478065</v>
      </c>
      <c r="W109">
        <v>-89.353888048411491</v>
      </c>
      <c r="X109">
        <v>-87.136641452344918</v>
      </c>
      <c r="Y109">
        <v>-85.036484848484847</v>
      </c>
      <c r="Z109">
        <v>-83.179515151515147</v>
      </c>
      <c r="AA109">
        <v>-81.36454545454545</v>
      </c>
      <c r="AB109">
        <v>-79.667575757575761</v>
      </c>
      <c r="AC109">
        <v>-77.970606060606059</v>
      </c>
      <c r="AD109">
        <v>-76.273636363636356</v>
      </c>
      <c r="AE109">
        <v>-74.59795180722891</v>
      </c>
      <c r="AF109">
        <v>-73.055783132530124</v>
      </c>
      <c r="AG109">
        <v>-71.525681818181823</v>
      </c>
      <c r="AH109">
        <v>-70.176590909090905</v>
      </c>
      <c r="AI109">
        <v>-68.827500000000001</v>
      </c>
      <c r="AJ109">
        <v>-67.478409090909096</v>
      </c>
      <c r="AK109">
        <v>-66.129318181818178</v>
      </c>
      <c r="AL109">
        <v>-64.780227272727274</v>
      </c>
      <c r="AM109">
        <v>-63.431136363636369</v>
      </c>
      <c r="AN109">
        <v>-62.082045454545458</v>
      </c>
      <c r="AO109">
        <v>-60.732954545454547</v>
      </c>
      <c r="AP109">
        <v>-59.586127080181548</v>
      </c>
      <c r="AQ109">
        <v>-58.485975794251139</v>
      </c>
      <c r="AR109">
        <v>-57.385824508320731</v>
      </c>
      <c r="AS109">
        <v>-56.285673222390322</v>
      </c>
      <c r="AT109">
        <v>-55.185521936459914</v>
      </c>
      <c r="AU109">
        <v>-54.085370650529505</v>
      </c>
      <c r="AV109">
        <v>-52.985219364599097</v>
      </c>
      <c r="AW109">
        <v>-51.885068078668688</v>
      </c>
      <c r="AX109">
        <v>-50.848666666666666</v>
      </c>
      <c r="AY109">
        <v>-49.864424242424242</v>
      </c>
      <c r="AZ109">
        <v>-48.904216867469884</v>
      </c>
      <c r="BA109">
        <v>-47.969277108433744</v>
      </c>
      <c r="BB109">
        <v>-47.050000000000004</v>
      </c>
      <c r="BC109">
        <v>-46.153030303030306</v>
      </c>
      <c r="BD109">
        <v>-45.2679393939394</v>
      </c>
      <c r="BE109">
        <v>-44.404909090909094</v>
      </c>
      <c r="BF109">
        <v>-43.664545454545454</v>
      </c>
      <c r="BG109">
        <v>-43.228181818181824</v>
      </c>
      <c r="BH109">
        <v>-42.821490909090912</v>
      </c>
      <c r="BI109">
        <v>-42.517006060606064</v>
      </c>
      <c r="BJ109">
        <v>-42.214096969696975</v>
      </c>
      <c r="BK109">
        <v>-41.919309090909096</v>
      </c>
      <c r="BL109">
        <v>-41.644168674698797</v>
      </c>
      <c r="BM109">
        <v>-41.545855421686753</v>
      </c>
      <c r="BN109">
        <v>-41.454484848484853</v>
      </c>
      <c r="BO109">
        <v>-41.633878787878793</v>
      </c>
      <c r="BP109">
        <v>-41.813272727272725</v>
      </c>
      <c r="BQ109">
        <v>-41.993600000000001</v>
      </c>
      <c r="BR109">
        <v>-42.173963636363638</v>
      </c>
      <c r="BS109">
        <v>-42.356072727272725</v>
      </c>
      <c r="BT109">
        <v>-42.538375757575757</v>
      </c>
      <c r="BU109">
        <v>-42.72149090909091</v>
      </c>
      <c r="BV109">
        <v>-42.904763636363633</v>
      </c>
      <c r="BW109">
        <v>-43.088759455370649</v>
      </c>
      <c r="BX109">
        <v>-43.272965204236009</v>
      </c>
      <c r="BY109">
        <v>-43.457170953101361</v>
      </c>
      <c r="BZ109">
        <v>-43.64137670196672</v>
      </c>
      <c r="CA109">
        <v>-43.825582450832073</v>
      </c>
      <c r="CB109">
        <v>-44.009788199697432</v>
      </c>
      <c r="CC109">
        <v>-44.193993948562785</v>
      </c>
      <c r="CD109">
        <v>-44.378199697428144</v>
      </c>
      <c r="CE109">
        <v>-44.567367624810899</v>
      </c>
      <c r="CF109">
        <v>-44.761255673222394</v>
      </c>
      <c r="CG109">
        <v>-44.955143721633888</v>
      </c>
      <c r="CH109">
        <v>-45.14903177004539</v>
      </c>
      <c r="CI109">
        <v>-45.342919818456885</v>
      </c>
      <c r="CJ109">
        <v>-45.536807866868379</v>
      </c>
      <c r="CK109">
        <v>-45.730695915279881</v>
      </c>
      <c r="CL109">
        <v>-45.924583963691376</v>
      </c>
    </row>
    <row r="110" spans="1:94" ht="21.75" thickBot="1" x14ac:dyDescent="0.4">
      <c r="A110" s="18" t="s">
        <v>1</v>
      </c>
      <c r="B110" s="38">
        <v>-18.87</v>
      </c>
      <c r="C110" s="38">
        <v>-18.87</v>
      </c>
      <c r="D110" s="38">
        <v>-18.87</v>
      </c>
      <c r="E110" s="38">
        <v>-18.874727272727274</v>
      </c>
      <c r="F110">
        <v>-18.879575757575758</v>
      </c>
      <c r="G110">
        <v>-18.884424242424242</v>
      </c>
      <c r="H110">
        <v>-18.889272727272729</v>
      </c>
      <c r="I110">
        <v>-18.898242424242426</v>
      </c>
      <c r="J110">
        <v>-18.907939393939394</v>
      </c>
      <c r="K110">
        <v>-18.917590361445782</v>
      </c>
      <c r="L110">
        <v>-18.927228915662649</v>
      </c>
      <c r="M110">
        <v>-18.93690909090909</v>
      </c>
      <c r="N110">
        <v>-18.946606060606062</v>
      </c>
      <c r="O110">
        <v>-18.959454545454545</v>
      </c>
      <c r="P110">
        <v>-18.974</v>
      </c>
      <c r="Q110">
        <v>-18.988532526475037</v>
      </c>
      <c r="R110">
        <v>-19.003055975794251</v>
      </c>
      <c r="S110">
        <v>-19.017579425113464</v>
      </c>
      <c r="T110">
        <v>-19.032102874432677</v>
      </c>
      <c r="U110">
        <v>-19.046626323751891</v>
      </c>
      <c r="V110">
        <v>-19.061149773071104</v>
      </c>
      <c r="W110">
        <v>-19.075673222390318</v>
      </c>
      <c r="X110">
        <v>-19.090196671709531</v>
      </c>
      <c r="Y110">
        <v>-19.104727272727274</v>
      </c>
      <c r="Z110">
        <v>-19.119272727272726</v>
      </c>
      <c r="AA110">
        <v>-19.134454545454545</v>
      </c>
      <c r="AB110">
        <v>-19.151424242424241</v>
      </c>
      <c r="AC110">
        <v>-19.168393939393937</v>
      </c>
      <c r="AD110">
        <v>-19.185363636363636</v>
      </c>
      <c r="AE110">
        <v>-19.201987951807229</v>
      </c>
      <c r="AF110">
        <v>-19.216445783132531</v>
      </c>
      <c r="AG110">
        <v>-19.231060606060606</v>
      </c>
      <c r="AH110">
        <v>-19.248030303030305</v>
      </c>
      <c r="AI110">
        <v>-19.265000000000001</v>
      </c>
      <c r="AJ110">
        <v>-19.281969696969696</v>
      </c>
      <c r="AK110">
        <v>-19.298939393939396</v>
      </c>
      <c r="AL110">
        <v>-19.315909090909091</v>
      </c>
      <c r="AM110">
        <v>-19.332878787878787</v>
      </c>
      <c r="AN110">
        <v>-19.349848484848486</v>
      </c>
      <c r="AO110">
        <v>-19.366818181818182</v>
      </c>
      <c r="AP110">
        <v>-19.383767019667172</v>
      </c>
      <c r="AQ110">
        <v>-19.400711043872921</v>
      </c>
      <c r="AR110">
        <v>-19.41765506807867</v>
      </c>
      <c r="AS110">
        <v>-19.434599092284419</v>
      </c>
      <c r="AT110">
        <v>-19.451543116490168</v>
      </c>
      <c r="AU110">
        <v>-19.468487140695917</v>
      </c>
      <c r="AV110">
        <v>-19.485431164901666</v>
      </c>
      <c r="AW110">
        <v>-19.502375189107415</v>
      </c>
      <c r="AX110">
        <v>-19.518000000000001</v>
      </c>
      <c r="AY110">
        <v>-19.532545454545453</v>
      </c>
      <c r="AZ110">
        <v>-19.549397590361444</v>
      </c>
      <c r="BA110">
        <v>-19.568674698795178</v>
      </c>
      <c r="BB110">
        <v>-19.585999999999999</v>
      </c>
      <c r="BC110">
        <v>-19.600545454545454</v>
      </c>
      <c r="BD110">
        <v>-19.61509090909091</v>
      </c>
      <c r="BE110">
        <v>-19.629636363636365</v>
      </c>
      <c r="BF110">
        <v>-19.623272727272727</v>
      </c>
      <c r="BG110">
        <v>-19.565090909090909</v>
      </c>
      <c r="BH110">
        <v>-19.516727272727273</v>
      </c>
      <c r="BI110">
        <v>-19.502181818181818</v>
      </c>
      <c r="BJ110">
        <v>-19.490787878787877</v>
      </c>
      <c r="BK110">
        <v>-19.495636363636361</v>
      </c>
      <c r="BL110">
        <v>-19.500963855421688</v>
      </c>
      <c r="BM110">
        <v>-19.510602409638555</v>
      </c>
      <c r="BN110">
        <v>-19.520363636363637</v>
      </c>
      <c r="BO110">
        <v>-19.534909090909093</v>
      </c>
      <c r="BP110">
        <v>-19.549454545454545</v>
      </c>
      <c r="BQ110">
        <v>-19.564</v>
      </c>
      <c r="BR110">
        <v>-19.578545454545452</v>
      </c>
      <c r="BS110">
        <v>-19.593090909090908</v>
      </c>
      <c r="BT110">
        <v>-19.607636363636363</v>
      </c>
      <c r="BU110">
        <v>-19.622181818181819</v>
      </c>
      <c r="BV110">
        <v>-19.636727272727274</v>
      </c>
      <c r="BW110">
        <v>-19.651255673222391</v>
      </c>
      <c r="BX110">
        <v>-19.665779122541604</v>
      </c>
      <c r="BY110">
        <v>-19.680302571860818</v>
      </c>
      <c r="BZ110">
        <v>-19.694826021180031</v>
      </c>
      <c r="CA110">
        <v>-19.709349470499244</v>
      </c>
      <c r="CB110">
        <v>-19.723872919818458</v>
      </c>
      <c r="CC110">
        <v>-19.738396369137671</v>
      </c>
      <c r="CD110">
        <v>-19.752919818456885</v>
      </c>
      <c r="CE110">
        <v>-19.767443267776098</v>
      </c>
      <c r="CF110">
        <v>-19.781966717095312</v>
      </c>
      <c r="CG110">
        <v>-19.796490166414525</v>
      </c>
      <c r="CH110">
        <v>-19.811013615733739</v>
      </c>
      <c r="CI110">
        <v>-19.825537065052949</v>
      </c>
      <c r="CJ110">
        <v>-19.840060514372162</v>
      </c>
      <c r="CK110">
        <v>-19.854583963691375</v>
      </c>
      <c r="CL110">
        <v>-19.869107413010589</v>
      </c>
    </row>
    <row r="111" spans="1:94" ht="21.75" thickBot="1" x14ac:dyDescent="0.4">
      <c r="A111" s="18" t="s">
        <v>98</v>
      </c>
      <c r="B111" s="38">
        <v>-62.75363636363636</v>
      </c>
      <c r="C111" s="38">
        <v>-61.25060606060606</v>
      </c>
      <c r="D111" s="38">
        <v>-59.74757575757576</v>
      </c>
      <c r="E111" s="38">
        <v>-58.400545454545451</v>
      </c>
      <c r="F111">
        <v>-57.057515151515148</v>
      </c>
      <c r="G111">
        <v>-55.833939393939389</v>
      </c>
      <c r="H111">
        <v>-54.621818181818178</v>
      </c>
      <c r="I111">
        <v>-53.05115151515151</v>
      </c>
      <c r="J111">
        <v>-51.417212121212117</v>
      </c>
      <c r="K111">
        <v>-49.791024096385541</v>
      </c>
      <c r="L111">
        <v>-48.166927710843375</v>
      </c>
      <c r="M111">
        <v>-46.625636363636367</v>
      </c>
      <c r="N111">
        <v>-45.11775757575758</v>
      </c>
      <c r="O111">
        <v>-43.685515151515155</v>
      </c>
      <c r="P111">
        <v>-42.294000000000004</v>
      </c>
      <c r="Q111">
        <v>-41.033131618759455</v>
      </c>
      <c r="R111">
        <v>-39.863993948562786</v>
      </c>
      <c r="S111">
        <v>-38.69485627836611</v>
      </c>
      <c r="T111">
        <v>-37.525718608169441</v>
      </c>
      <c r="U111">
        <v>-36.356580937972765</v>
      </c>
      <c r="V111">
        <v>-35.187443267776096</v>
      </c>
      <c r="W111">
        <v>-34.018305597579428</v>
      </c>
      <c r="X111">
        <v>-32.849167927382751</v>
      </c>
      <c r="Y111">
        <v>-31.738545454545452</v>
      </c>
      <c r="Z111">
        <v>-30.749454545454544</v>
      </c>
      <c r="AA111">
        <v>-29.781363636363633</v>
      </c>
      <c r="AB111">
        <v>-28.872272727272723</v>
      </c>
      <c r="AC111">
        <v>-27.963181818181816</v>
      </c>
      <c r="AD111">
        <v>-27.054090909090906</v>
      </c>
      <c r="AE111">
        <v>-26.15602409638554</v>
      </c>
      <c r="AF111">
        <v>-25.327108433734939</v>
      </c>
      <c r="AG111">
        <v>-24.504166666666666</v>
      </c>
      <c r="AH111">
        <v>-23.770833333333336</v>
      </c>
      <c r="AI111">
        <v>-23.037500000000001</v>
      </c>
      <c r="AJ111">
        <v>-22.304166666666667</v>
      </c>
      <c r="AK111">
        <v>-21.570833333333333</v>
      </c>
      <c r="AL111">
        <v>-20.837499999999999</v>
      </c>
      <c r="AM111">
        <v>-20.104166666666668</v>
      </c>
      <c r="AN111">
        <v>-19.370833333333334</v>
      </c>
      <c r="AO111">
        <v>-18.637499999999999</v>
      </c>
      <c r="AP111">
        <v>-18.00733736762481</v>
      </c>
      <c r="AQ111">
        <v>-17.400983358547656</v>
      </c>
      <c r="AR111">
        <v>-16.794629349470501</v>
      </c>
      <c r="AS111">
        <v>-16.188275340393343</v>
      </c>
      <c r="AT111">
        <v>-15.581921331316188</v>
      </c>
      <c r="AU111">
        <v>-14.975567322239034</v>
      </c>
      <c r="AV111">
        <v>-14.369213313161877</v>
      </c>
      <c r="AW111">
        <v>-13.762859304084721</v>
      </c>
      <c r="AX111">
        <v>-13.188666666666668</v>
      </c>
      <c r="AY111">
        <v>-12.640787878787879</v>
      </c>
      <c r="AZ111">
        <v>-12.106265060240965</v>
      </c>
      <c r="BA111">
        <v>-11.585783132530123</v>
      </c>
      <c r="BB111">
        <v>-11.072000000000003</v>
      </c>
      <c r="BC111">
        <v>-10.567757575757579</v>
      </c>
      <c r="BD111">
        <v>-10.070303030303034</v>
      </c>
      <c r="BE111">
        <v>-9.5854545454545477</v>
      </c>
      <c r="BF111">
        <v>-9.1619393939393952</v>
      </c>
      <c r="BG111">
        <v>-8.8904242424242437</v>
      </c>
      <c r="BH111">
        <v>-8.6337454545454548</v>
      </c>
      <c r="BI111">
        <v>-8.4281696969696984</v>
      </c>
      <c r="BJ111">
        <v>-8.2237757575757584</v>
      </c>
      <c r="BK111">
        <v>-8.025472727272728</v>
      </c>
      <c r="BL111">
        <v>-7.8367831325301216</v>
      </c>
      <c r="BM111">
        <v>-7.7346144578313254</v>
      </c>
      <c r="BN111">
        <v>-7.6359696969696973</v>
      </c>
      <c r="BO111">
        <v>-7.6747575757575754</v>
      </c>
      <c r="BP111">
        <v>-7.7135454545454545</v>
      </c>
      <c r="BQ111">
        <v>-7.7528000000000006</v>
      </c>
      <c r="BR111">
        <v>-7.7920727272727275</v>
      </c>
      <c r="BS111">
        <v>-7.832218181818182</v>
      </c>
      <c r="BT111">
        <v>-7.8724606060606055</v>
      </c>
      <c r="BU111">
        <v>-7.9131090909090913</v>
      </c>
      <c r="BV111">
        <v>-7.9538363636363636</v>
      </c>
      <c r="BW111">
        <v>-7.9963918305597588</v>
      </c>
      <c r="BX111">
        <v>-8.0394780635400913</v>
      </c>
      <c r="BY111">
        <v>-8.0825642965204239</v>
      </c>
      <c r="BZ111">
        <v>-8.1256505295007564</v>
      </c>
      <c r="CA111">
        <v>-8.1687367624810907</v>
      </c>
      <c r="CB111">
        <v>-8.2118229954614232</v>
      </c>
      <c r="CC111">
        <v>-8.2549092284417558</v>
      </c>
      <c r="CD111">
        <v>-8.2979954614220883</v>
      </c>
      <c r="CE111">
        <v>-8.3441830559757957</v>
      </c>
      <c r="CF111">
        <v>-8.3933207261724672</v>
      </c>
      <c r="CG111">
        <v>-8.4424583963691386</v>
      </c>
      <c r="CH111">
        <v>-8.4915960665658101</v>
      </c>
      <c r="CI111">
        <v>-8.5407337367624816</v>
      </c>
      <c r="CJ111">
        <v>-8.5898714069591531</v>
      </c>
      <c r="CK111">
        <v>-8.6390090771558246</v>
      </c>
      <c r="CL111">
        <v>-8.688146747352496</v>
      </c>
    </row>
    <row r="112" spans="1:94" ht="21.75" thickBot="1" x14ac:dyDescent="0.4">
      <c r="A112" s="18" t="s">
        <v>99</v>
      </c>
      <c r="B112" s="38">
        <v>-15.639818181818182</v>
      </c>
      <c r="C112" s="38">
        <v>-15.36830303030303</v>
      </c>
      <c r="D112" s="38">
        <v>-15.096787878787879</v>
      </c>
      <c r="E112" s="38">
        <v>-14.853636363636364</v>
      </c>
      <c r="F112">
        <v>-14.611212121212121</v>
      </c>
      <c r="G112">
        <v>-14.399757575757576</v>
      </c>
      <c r="H112">
        <v>-14.191272727272727</v>
      </c>
      <c r="I112">
        <v>-13.694303030303029</v>
      </c>
      <c r="J112">
        <v>-13.14642424242424</v>
      </c>
      <c r="K112">
        <v>-12.563192771084337</v>
      </c>
      <c r="L112">
        <v>-11.970421686746988</v>
      </c>
      <c r="M112">
        <v>-11.409636363636364</v>
      </c>
      <c r="N112">
        <v>-10.861757575757576</v>
      </c>
      <c r="O112">
        <v>-10.337515151515152</v>
      </c>
      <c r="P112">
        <v>-9.8260000000000005</v>
      </c>
      <c r="Q112">
        <v>-9.3608018154311647</v>
      </c>
      <c r="R112">
        <v>-8.9281240544629359</v>
      </c>
      <c r="S112">
        <v>-8.4954462934947053</v>
      </c>
      <c r="T112">
        <v>-8.0627685325264746</v>
      </c>
      <c r="U112">
        <v>-7.6300907715582449</v>
      </c>
      <c r="V112">
        <v>-7.1974130105900151</v>
      </c>
      <c r="W112">
        <v>-6.7647352496217845</v>
      </c>
      <c r="X112">
        <v>-6.3320574886535539</v>
      </c>
      <c r="Y112">
        <v>-5.9196121212121202</v>
      </c>
      <c r="Z112">
        <v>-5.5491878787878779</v>
      </c>
      <c r="AA112">
        <v>-5.2021181818181805</v>
      </c>
      <c r="AB112">
        <v>-4.9206636363636358</v>
      </c>
      <c r="AC112">
        <v>-4.6392090909090902</v>
      </c>
      <c r="AD112">
        <v>-4.3577545454545445</v>
      </c>
      <c r="AE112">
        <v>-4.1176506024096389</v>
      </c>
      <c r="AF112">
        <v>-4.1369277108433735</v>
      </c>
      <c r="AG112">
        <v>-4.1562272727272731</v>
      </c>
      <c r="AH112">
        <v>-4.175863636363637</v>
      </c>
      <c r="AI112">
        <v>-4.1955</v>
      </c>
      <c r="AJ112">
        <v>-4.2151363636363639</v>
      </c>
      <c r="AK112">
        <v>-4.2347727272727278</v>
      </c>
      <c r="AL112">
        <v>-4.2544090909090908</v>
      </c>
      <c r="AM112">
        <v>-4.2740454545454547</v>
      </c>
      <c r="AN112">
        <v>-4.2936818181818186</v>
      </c>
      <c r="AO112">
        <v>-4.3133181818181816</v>
      </c>
      <c r="AP112">
        <v>-4.3331270801815434</v>
      </c>
      <c r="AQ112">
        <v>-4.3529757942511349</v>
      </c>
      <c r="AR112">
        <v>-4.3728245083207264</v>
      </c>
      <c r="AS112">
        <v>-4.392673222390318</v>
      </c>
      <c r="AT112">
        <v>-4.4125219364599095</v>
      </c>
      <c r="AU112">
        <v>-4.4323706505295011</v>
      </c>
      <c r="AV112">
        <v>-4.4522193645990917</v>
      </c>
      <c r="AW112">
        <v>-4.4720680786686833</v>
      </c>
      <c r="AX112">
        <v>-4.4919333333333329</v>
      </c>
      <c r="AY112">
        <v>-4.5118121212121212</v>
      </c>
      <c r="AZ112">
        <v>-4.5313975903614461</v>
      </c>
      <c r="BA112">
        <v>-4.5506746987951807</v>
      </c>
      <c r="BB112">
        <v>-4.5701999999999998</v>
      </c>
      <c r="BC112">
        <v>-4.5900787878787881</v>
      </c>
      <c r="BD112">
        <v>-4.6097878787878788</v>
      </c>
      <c r="BE112">
        <v>-4.6291818181818183</v>
      </c>
      <c r="BF112">
        <v>-4.6485757575757569</v>
      </c>
      <c r="BG112">
        <v>-4.6679696969696964</v>
      </c>
      <c r="BH112">
        <v>-4.6872545454545449</v>
      </c>
      <c r="BI112">
        <v>-4.7061636363636365</v>
      </c>
      <c r="BJ112">
        <v>-4.7251515151515155</v>
      </c>
      <c r="BK112">
        <v>-4.7445454545454542</v>
      </c>
      <c r="BL112">
        <v>-4.7638795180722884</v>
      </c>
      <c r="BM112">
        <v>-4.7826746987951809</v>
      </c>
      <c r="BN112">
        <v>-4.8014727272727278</v>
      </c>
      <c r="BO112">
        <v>-4.8203818181818185</v>
      </c>
      <c r="BP112">
        <v>-4.8392909090909093</v>
      </c>
      <c r="BQ112">
        <v>-4.857733333333333</v>
      </c>
      <c r="BR112">
        <v>-4.8761575757575759</v>
      </c>
      <c r="BS112">
        <v>-4.8950181818181822</v>
      </c>
      <c r="BT112">
        <v>-4.9139272727272729</v>
      </c>
      <c r="BU112">
        <v>-4.9324303030303032</v>
      </c>
      <c r="BV112">
        <v>-4.9508545454545452</v>
      </c>
      <c r="BW112">
        <v>-4.9689757942511346</v>
      </c>
      <c r="BX112">
        <v>-4.9870090771558244</v>
      </c>
      <c r="BY112">
        <v>-5.0050423600605143</v>
      </c>
      <c r="BZ112">
        <v>-5.0230756429652041</v>
      </c>
      <c r="CA112">
        <v>-5.041108925869894</v>
      </c>
      <c r="CB112">
        <v>-5.0591422087745839</v>
      </c>
      <c r="CC112">
        <v>-5.0771754916792737</v>
      </c>
      <c r="CD112">
        <v>-5.0952087745839636</v>
      </c>
      <c r="CE112">
        <v>-5.1129939485627833</v>
      </c>
      <c r="CF112">
        <v>-5.1305431164901663</v>
      </c>
      <c r="CG112">
        <v>-5.1480922844175492</v>
      </c>
      <c r="CH112">
        <v>-5.1656414523449321</v>
      </c>
      <c r="CI112">
        <v>-5.1831906202723141</v>
      </c>
      <c r="CJ112">
        <v>-5.2007397881996971</v>
      </c>
      <c r="CK112">
        <v>-5.21828895612708</v>
      </c>
      <c r="CL112">
        <v>-5.2358381240544629</v>
      </c>
    </row>
    <row r="113" spans="1:90" ht="21.75" hidden="1" thickBot="1" x14ac:dyDescent="0.4">
      <c r="A113" s="18" t="s">
        <v>27</v>
      </c>
      <c r="B113" s="38">
        <v>-18.87</v>
      </c>
      <c r="C113" s="38">
        <v>-18.87</v>
      </c>
      <c r="D113" s="38">
        <v>-18.87</v>
      </c>
      <c r="E113" s="38">
        <v>-18.874727272727274</v>
      </c>
      <c r="F113">
        <v>-18.879575757575758</v>
      </c>
      <c r="G113">
        <v>-18.884424242424242</v>
      </c>
      <c r="H113">
        <v>-18.889272727272729</v>
      </c>
      <c r="I113">
        <v>-18.898242424242426</v>
      </c>
      <c r="J113">
        <v>-18.907939393939394</v>
      </c>
      <c r="K113">
        <v>-18.917590361445782</v>
      </c>
      <c r="L113">
        <v>-18.927228915662649</v>
      </c>
      <c r="M113">
        <v>-18.93690909090909</v>
      </c>
      <c r="N113">
        <v>-18.946606060606062</v>
      </c>
      <c r="O113">
        <v>-18.959454545454545</v>
      </c>
      <c r="P113">
        <v>-18.974</v>
      </c>
      <c r="Q113">
        <v>-18.988532526475037</v>
      </c>
      <c r="R113">
        <v>-19.003055975794251</v>
      </c>
      <c r="S113">
        <v>-19.017579425113464</v>
      </c>
      <c r="T113">
        <v>-19.032102874432677</v>
      </c>
      <c r="U113">
        <v>-19.046626323751891</v>
      </c>
      <c r="V113">
        <v>-19.061149773071104</v>
      </c>
      <c r="W113">
        <v>-19.075673222390318</v>
      </c>
      <c r="X113">
        <v>-19.090196671709531</v>
      </c>
      <c r="Y113">
        <v>-19.104727272727274</v>
      </c>
      <c r="Z113">
        <v>-19.119272727272726</v>
      </c>
      <c r="AA113">
        <v>-19.134454545454545</v>
      </c>
      <c r="AB113">
        <v>-19.151424242424241</v>
      </c>
      <c r="AC113">
        <v>-19.168393939393937</v>
      </c>
      <c r="AD113">
        <v>-19.185363636363636</v>
      </c>
      <c r="AE113">
        <v>-19.201987951807229</v>
      </c>
      <c r="AF113">
        <v>-19.216445783132531</v>
      </c>
      <c r="AG113">
        <v>-19.231060606060606</v>
      </c>
      <c r="AH113">
        <v>-19.248030303030305</v>
      </c>
      <c r="AI113">
        <v>-19.265000000000001</v>
      </c>
      <c r="AJ113">
        <v>-19.281969696969696</v>
      </c>
      <c r="AK113">
        <v>-19.298939393939396</v>
      </c>
      <c r="AL113">
        <v>-19.315909090909091</v>
      </c>
      <c r="AM113">
        <v>-19.332878787878787</v>
      </c>
      <c r="AN113">
        <v>-19.349848484848486</v>
      </c>
      <c r="AO113">
        <v>-19.366818181818182</v>
      </c>
      <c r="AP113">
        <v>-19.383767019667172</v>
      </c>
      <c r="AQ113">
        <v>-19.400711043872921</v>
      </c>
      <c r="AR113">
        <v>-19.41765506807867</v>
      </c>
      <c r="AS113">
        <v>-19.434599092284419</v>
      </c>
      <c r="AT113">
        <v>-19.451543116490168</v>
      </c>
      <c r="AU113">
        <v>-19.468487140695917</v>
      </c>
      <c r="AV113">
        <v>-19.485431164901666</v>
      </c>
      <c r="AW113">
        <v>-19.502375189107415</v>
      </c>
      <c r="AX113">
        <v>-19.518000000000001</v>
      </c>
      <c r="AY113">
        <v>-19.532545454545453</v>
      </c>
      <c r="AZ113">
        <v>-19.549397590361444</v>
      </c>
      <c r="BA113">
        <v>-19.568674698795178</v>
      </c>
      <c r="BB113">
        <v>-19.585999999999999</v>
      </c>
      <c r="BC113">
        <v>-19.600545454545454</v>
      </c>
      <c r="BD113">
        <v>-19.61509090909091</v>
      </c>
      <c r="BE113">
        <v>-19.629636363636365</v>
      </c>
      <c r="BF113">
        <v>-19.623272727272727</v>
      </c>
      <c r="BG113">
        <v>-19.565090909090909</v>
      </c>
      <c r="BH113">
        <v>-19.516727272727273</v>
      </c>
      <c r="BI113">
        <v>-19.502181818181818</v>
      </c>
      <c r="BJ113">
        <v>-19.490787878787877</v>
      </c>
      <c r="BK113">
        <v>-19.495636363636361</v>
      </c>
      <c r="BL113">
        <v>-19.500963855421688</v>
      </c>
      <c r="BM113">
        <v>-19.510602409638555</v>
      </c>
      <c r="BN113">
        <v>-19.520363636363637</v>
      </c>
      <c r="BO113">
        <v>-19.534909090909093</v>
      </c>
      <c r="BP113">
        <v>-19.549454545454545</v>
      </c>
      <c r="BQ113">
        <v>-19.564</v>
      </c>
      <c r="BR113">
        <v>-19.578545454545452</v>
      </c>
      <c r="BS113">
        <v>-19.593090909090908</v>
      </c>
      <c r="BT113">
        <v>-19.607636363636363</v>
      </c>
      <c r="BU113">
        <v>-19.622181818181819</v>
      </c>
      <c r="BV113">
        <v>-19.636727272727274</v>
      </c>
      <c r="BW113">
        <v>-19.651255673222391</v>
      </c>
      <c r="BX113">
        <v>-19.665779122541604</v>
      </c>
      <c r="BY113">
        <v>-19.680302571860818</v>
      </c>
      <c r="BZ113">
        <v>-19.694826021180031</v>
      </c>
      <c r="CA113">
        <v>-19.709349470499244</v>
      </c>
      <c r="CB113">
        <v>-19.723872919818458</v>
      </c>
      <c r="CC113">
        <v>-19.738396369137671</v>
      </c>
      <c r="CD113">
        <v>-19.752919818456885</v>
      </c>
      <c r="CE113">
        <v>-19.767443267776098</v>
      </c>
      <c r="CF113">
        <v>-19.781966717095312</v>
      </c>
      <c r="CG113">
        <v>-19.796490166414525</v>
      </c>
      <c r="CH113">
        <v>-19.811013615733739</v>
      </c>
      <c r="CI113">
        <v>-19.825537065052949</v>
      </c>
      <c r="CJ113">
        <v>-19.840060514372162</v>
      </c>
      <c r="CK113">
        <v>-19.854583963691375</v>
      </c>
      <c r="CL113">
        <v>-19.869107413010589</v>
      </c>
    </row>
    <row r="114" spans="1:90" ht="21.75" hidden="1" thickBot="1" x14ac:dyDescent="0.4">
      <c r="A114" s="18" t="s">
        <v>5</v>
      </c>
      <c r="B114" s="38">
        <v>-62.75363636363636</v>
      </c>
      <c r="C114" s="38">
        <v>-61.25060606060606</v>
      </c>
      <c r="D114" s="38">
        <v>-59.74757575757576</v>
      </c>
      <c r="E114" s="38">
        <v>-58.400545454545451</v>
      </c>
      <c r="F114">
        <v>-57.057515151515148</v>
      </c>
      <c r="G114">
        <v>-55.833939393939389</v>
      </c>
      <c r="H114">
        <v>-54.621818181818178</v>
      </c>
      <c r="I114">
        <v>-53.05115151515151</v>
      </c>
      <c r="J114">
        <v>-51.417212121212117</v>
      </c>
      <c r="K114">
        <v>-49.791024096385541</v>
      </c>
      <c r="L114">
        <v>-48.166927710843375</v>
      </c>
      <c r="M114">
        <v>-46.625636363636367</v>
      </c>
      <c r="N114">
        <v>-45.11775757575758</v>
      </c>
      <c r="O114">
        <v>-43.685515151515155</v>
      </c>
      <c r="P114">
        <v>-42.294000000000004</v>
      </c>
      <c r="Q114">
        <v>-41.033131618759455</v>
      </c>
      <c r="R114">
        <v>-39.863993948562786</v>
      </c>
      <c r="S114">
        <v>-38.69485627836611</v>
      </c>
      <c r="T114">
        <v>-37.525718608169441</v>
      </c>
      <c r="U114">
        <v>-36.356580937972765</v>
      </c>
      <c r="V114">
        <v>-35.187443267776096</v>
      </c>
      <c r="W114">
        <v>-34.018305597579428</v>
      </c>
      <c r="X114">
        <v>-32.849167927382751</v>
      </c>
      <c r="Y114">
        <v>-31.738545454545452</v>
      </c>
      <c r="Z114">
        <v>-30.749454545454544</v>
      </c>
      <c r="AA114">
        <v>-29.781363636363633</v>
      </c>
      <c r="AB114">
        <v>-28.872272727272723</v>
      </c>
      <c r="AC114">
        <v>-27.963181818181816</v>
      </c>
      <c r="AD114">
        <v>-27.054090909090906</v>
      </c>
      <c r="AE114">
        <v>-26.15602409638554</v>
      </c>
      <c r="AF114">
        <v>-25.327108433734939</v>
      </c>
      <c r="AG114">
        <v>-24.504166666666666</v>
      </c>
      <c r="AH114">
        <v>-23.770833333333336</v>
      </c>
      <c r="AI114">
        <v>-23.037500000000001</v>
      </c>
      <c r="AJ114">
        <v>-22.304166666666667</v>
      </c>
      <c r="AK114">
        <v>-21.570833333333333</v>
      </c>
      <c r="AL114">
        <v>-20.837499999999999</v>
      </c>
      <c r="AM114">
        <v>-20.104166666666668</v>
      </c>
      <c r="AN114">
        <v>-19.370833333333334</v>
      </c>
      <c r="AO114">
        <v>-18.637499999999999</v>
      </c>
      <c r="AP114">
        <v>-18.00733736762481</v>
      </c>
      <c r="AQ114">
        <v>-17.400983358547656</v>
      </c>
      <c r="AR114">
        <v>-16.794629349470501</v>
      </c>
      <c r="AS114">
        <v>-16.188275340393343</v>
      </c>
      <c r="AT114">
        <v>-15.581921331316188</v>
      </c>
      <c r="AU114">
        <v>-14.975567322239034</v>
      </c>
      <c r="AV114">
        <v>-14.369213313161877</v>
      </c>
      <c r="AW114">
        <v>-13.762859304084721</v>
      </c>
      <c r="AX114">
        <v>-13.188666666666668</v>
      </c>
      <c r="AY114">
        <v>-12.640787878787879</v>
      </c>
      <c r="AZ114">
        <v>-12.106265060240965</v>
      </c>
      <c r="BA114">
        <v>-11.585783132530123</v>
      </c>
      <c r="BB114">
        <v>-11.072000000000003</v>
      </c>
      <c r="BC114">
        <v>-10.567757575757579</v>
      </c>
      <c r="BD114">
        <v>-10.070303030303034</v>
      </c>
      <c r="BE114">
        <v>-9.5854545454545477</v>
      </c>
      <c r="BF114">
        <v>-9.1619393939393952</v>
      </c>
      <c r="BG114">
        <v>-8.8904242424242437</v>
      </c>
      <c r="BH114">
        <v>-8.6337454545454548</v>
      </c>
      <c r="BI114">
        <v>-8.4281696969696984</v>
      </c>
      <c r="BJ114">
        <v>-8.2237757575757584</v>
      </c>
      <c r="BK114">
        <v>-8.025472727272728</v>
      </c>
      <c r="BL114">
        <v>-7.8367831325301216</v>
      </c>
      <c r="BM114">
        <v>-7.7346144578313254</v>
      </c>
      <c r="BN114">
        <v>-7.6359696969696973</v>
      </c>
      <c r="BO114">
        <v>-7.6747575757575754</v>
      </c>
      <c r="BP114">
        <v>-7.7135454545454545</v>
      </c>
      <c r="BQ114">
        <v>-7.7528000000000006</v>
      </c>
      <c r="BR114">
        <v>-7.7920727272727275</v>
      </c>
      <c r="BS114">
        <v>-7.832218181818182</v>
      </c>
      <c r="BT114">
        <v>-7.8724606060606055</v>
      </c>
      <c r="BU114">
        <v>-7.9131090909090913</v>
      </c>
      <c r="BV114">
        <v>-7.9538363636363636</v>
      </c>
      <c r="BW114">
        <v>-7.9963918305597588</v>
      </c>
      <c r="BX114">
        <v>-8.0394780635400913</v>
      </c>
      <c r="BY114">
        <v>-8.0825642965204239</v>
      </c>
      <c r="BZ114">
        <v>-8.1256505295007564</v>
      </c>
      <c r="CA114">
        <v>-8.1687367624810907</v>
      </c>
      <c r="CB114">
        <v>-8.2118229954614232</v>
      </c>
      <c r="CC114">
        <v>-8.2549092284417558</v>
      </c>
      <c r="CD114">
        <v>-8.2979954614220883</v>
      </c>
      <c r="CE114">
        <v>-8.3441830559757957</v>
      </c>
      <c r="CF114">
        <v>-8.3933207261724672</v>
      </c>
      <c r="CG114">
        <v>-8.4424583963691386</v>
      </c>
      <c r="CH114">
        <v>-8.4915960665658101</v>
      </c>
      <c r="CI114">
        <v>-8.5407337367624816</v>
      </c>
      <c r="CJ114">
        <v>-8.5898714069591531</v>
      </c>
      <c r="CK114">
        <v>-8.6390090771558246</v>
      </c>
      <c r="CL114">
        <v>-8.688146747352496</v>
      </c>
    </row>
    <row r="115" spans="1:90" ht="21.75" hidden="1" thickBot="1" x14ac:dyDescent="0.4">
      <c r="A115" s="18" t="s">
        <v>6</v>
      </c>
      <c r="B115" s="38">
        <v>-15.639818181818182</v>
      </c>
      <c r="C115" s="38">
        <v>-15.36830303030303</v>
      </c>
      <c r="D115" s="38">
        <v>-15.096787878787879</v>
      </c>
      <c r="E115" s="38">
        <v>-14.853636363636364</v>
      </c>
      <c r="F115">
        <v>-14.611212121212121</v>
      </c>
      <c r="G115">
        <v>-14.399757575757576</v>
      </c>
      <c r="H115">
        <v>-14.191272727272727</v>
      </c>
      <c r="I115">
        <v>-13.694303030303029</v>
      </c>
      <c r="J115">
        <v>-13.14642424242424</v>
      </c>
      <c r="K115">
        <v>-12.563192771084337</v>
      </c>
      <c r="L115">
        <v>-11.970421686746988</v>
      </c>
      <c r="M115">
        <v>-11.409636363636364</v>
      </c>
      <c r="N115">
        <v>-10.861757575757576</v>
      </c>
      <c r="O115">
        <v>-10.337515151515152</v>
      </c>
      <c r="P115">
        <v>-9.8260000000000005</v>
      </c>
      <c r="Q115">
        <v>-9.3608018154311647</v>
      </c>
      <c r="R115">
        <v>-8.9281240544629359</v>
      </c>
      <c r="S115">
        <v>-8.4954462934947053</v>
      </c>
      <c r="T115">
        <v>-8.0627685325264746</v>
      </c>
      <c r="U115">
        <v>-7.6300907715582449</v>
      </c>
      <c r="V115">
        <v>-7.1974130105900151</v>
      </c>
      <c r="W115">
        <v>-6.7647352496217845</v>
      </c>
      <c r="X115">
        <v>-6.3320574886535539</v>
      </c>
      <c r="Y115">
        <v>-5.9196121212121202</v>
      </c>
      <c r="Z115">
        <v>-5.5491878787878779</v>
      </c>
      <c r="AA115">
        <v>-5.2021181818181805</v>
      </c>
      <c r="AB115">
        <v>-4.9206636363636358</v>
      </c>
      <c r="AC115">
        <v>-4.6392090909090902</v>
      </c>
      <c r="AD115">
        <v>-4.3577545454545445</v>
      </c>
      <c r="AE115">
        <v>-4.1176506024096389</v>
      </c>
      <c r="AF115">
        <v>-4.1369277108433735</v>
      </c>
      <c r="AG115">
        <v>-4.1562272727272731</v>
      </c>
      <c r="AH115">
        <v>-4.175863636363637</v>
      </c>
      <c r="AI115">
        <v>-4.1955</v>
      </c>
      <c r="AJ115">
        <v>-4.2151363636363639</v>
      </c>
      <c r="AK115">
        <v>-4.2347727272727278</v>
      </c>
      <c r="AL115">
        <v>-4.2544090909090908</v>
      </c>
      <c r="AM115">
        <v>-4.2740454545454547</v>
      </c>
      <c r="AN115">
        <v>-4.2936818181818186</v>
      </c>
      <c r="AO115">
        <v>-4.3133181818181816</v>
      </c>
      <c r="AP115">
        <v>-4.3331270801815434</v>
      </c>
      <c r="AQ115">
        <v>-4.3529757942511349</v>
      </c>
      <c r="AR115">
        <v>-4.3728245083207264</v>
      </c>
      <c r="AS115">
        <v>-4.392673222390318</v>
      </c>
      <c r="AT115">
        <v>-4.4125219364599095</v>
      </c>
      <c r="AU115">
        <v>-4.4323706505295011</v>
      </c>
      <c r="AV115">
        <v>-4.4522193645990917</v>
      </c>
      <c r="AW115">
        <v>-4.4720680786686833</v>
      </c>
      <c r="AX115">
        <v>-4.4919333333333329</v>
      </c>
      <c r="AY115">
        <v>-4.5118121212121212</v>
      </c>
      <c r="AZ115">
        <v>-4.5313975903614461</v>
      </c>
      <c r="BA115">
        <v>-4.5506746987951807</v>
      </c>
      <c r="BB115">
        <v>-4.5701999999999998</v>
      </c>
      <c r="BC115">
        <v>-4.5900787878787881</v>
      </c>
      <c r="BD115">
        <v>-4.6097878787878788</v>
      </c>
      <c r="BE115">
        <v>-4.6291818181818183</v>
      </c>
      <c r="BF115">
        <v>-4.6485757575757569</v>
      </c>
      <c r="BG115">
        <v>-4.6679696969696964</v>
      </c>
      <c r="BH115">
        <v>-4.6872545454545449</v>
      </c>
      <c r="BI115">
        <v>-4.7061636363636365</v>
      </c>
      <c r="BJ115">
        <v>-4.7251515151515155</v>
      </c>
      <c r="BK115">
        <v>-4.7445454545454542</v>
      </c>
      <c r="BL115">
        <v>-4.7638795180722884</v>
      </c>
      <c r="BM115">
        <v>-4.7826746987951809</v>
      </c>
      <c r="BN115">
        <v>-4.8014727272727278</v>
      </c>
      <c r="BO115">
        <v>-4.8203818181818185</v>
      </c>
      <c r="BP115">
        <v>-4.8392909090909093</v>
      </c>
      <c r="BQ115">
        <v>-4.857733333333333</v>
      </c>
      <c r="BR115">
        <v>-4.8761575757575759</v>
      </c>
      <c r="BS115">
        <v>-4.8950181818181822</v>
      </c>
      <c r="BT115">
        <v>-4.9139272727272729</v>
      </c>
      <c r="BU115">
        <v>-4.9324303030303032</v>
      </c>
      <c r="BV115">
        <v>-4.9508545454545452</v>
      </c>
      <c r="BW115">
        <v>-4.9689757942511346</v>
      </c>
      <c r="BX115">
        <v>-4.9870090771558244</v>
      </c>
      <c r="BY115">
        <v>-5.0050423600605143</v>
      </c>
      <c r="BZ115">
        <v>-5.0230756429652041</v>
      </c>
      <c r="CA115">
        <v>-5.041108925869894</v>
      </c>
      <c r="CB115">
        <v>-5.0591422087745839</v>
      </c>
      <c r="CC115">
        <v>-5.0771754916792737</v>
      </c>
      <c r="CD115">
        <v>-5.0952087745839636</v>
      </c>
      <c r="CE115">
        <v>-5.1129939485627833</v>
      </c>
      <c r="CF115">
        <v>-5.1305431164901663</v>
      </c>
      <c r="CG115">
        <v>-5.1480922844175492</v>
      </c>
      <c r="CH115">
        <v>-5.1656414523449321</v>
      </c>
      <c r="CI115">
        <v>-5.1831906202723141</v>
      </c>
      <c r="CJ115">
        <v>-5.2007397881996971</v>
      </c>
      <c r="CK115">
        <v>-5.21828895612708</v>
      </c>
      <c r="CL115">
        <v>-5.2358381240544629</v>
      </c>
    </row>
    <row r="116" spans="1:90" ht="21.75" hidden="1" thickBot="1" x14ac:dyDescent="0.4">
      <c r="A116" s="18" t="s">
        <v>7</v>
      </c>
      <c r="B116" s="38">
        <v>-22.391999999999999</v>
      </c>
      <c r="C116" s="38">
        <v>-21.911999999999999</v>
      </c>
      <c r="D116" s="38">
        <v>-21.432000000000002</v>
      </c>
      <c r="E116" s="38">
        <v>-21.004000000000001</v>
      </c>
      <c r="F116">
        <v>-20.577333333333332</v>
      </c>
      <c r="G116">
        <v>-20.194909090909089</v>
      </c>
      <c r="H116">
        <v>-19.816727272727274</v>
      </c>
      <c r="I116">
        <v>-19.772363636363636</v>
      </c>
      <c r="J116">
        <v>-19.786909090909091</v>
      </c>
      <c r="K116">
        <v>-19.881084337349396</v>
      </c>
      <c r="L116">
        <v>-19.996746987951809</v>
      </c>
      <c r="M116">
        <v>-20.116363636363637</v>
      </c>
      <c r="N116">
        <v>-20.237575757575758</v>
      </c>
      <c r="O116">
        <v>-20.355636363636364</v>
      </c>
      <c r="P116">
        <v>-20.472000000000001</v>
      </c>
      <c r="Q116">
        <v>-20.591104387291981</v>
      </c>
      <c r="R116">
        <v>-20.71213313161876</v>
      </c>
      <c r="S116">
        <v>-20.833161875945535</v>
      </c>
      <c r="T116">
        <v>-20.954190620272314</v>
      </c>
      <c r="U116">
        <v>-21.075219364599093</v>
      </c>
      <c r="V116">
        <v>-21.196248108925868</v>
      </c>
      <c r="W116">
        <v>-21.317276853252647</v>
      </c>
      <c r="X116">
        <v>-21.438305597579426</v>
      </c>
      <c r="Y116">
        <v>-21.559393939393939</v>
      </c>
      <c r="Z116">
        <v>-21.68060606060606</v>
      </c>
      <c r="AA116">
        <v>-21.801818181818181</v>
      </c>
      <c r="AB116">
        <v>-21.923030303030302</v>
      </c>
      <c r="AC116">
        <v>-22.044242424242423</v>
      </c>
      <c r="AD116">
        <v>-22.165454545454544</v>
      </c>
      <c r="AE116">
        <v>-22.28590361445783</v>
      </c>
      <c r="AF116">
        <v>-22.401566265060243</v>
      </c>
      <c r="AG116">
        <v>-22.517348484848487</v>
      </c>
      <c r="AH116">
        <v>-22.634924242424244</v>
      </c>
      <c r="AI116">
        <v>-22.752500000000001</v>
      </c>
      <c r="AJ116">
        <v>-22.870075757575759</v>
      </c>
      <c r="AK116">
        <v>-22.987651515151516</v>
      </c>
      <c r="AL116">
        <v>-23.105227272727273</v>
      </c>
      <c r="AM116">
        <v>-23.22280303030303</v>
      </c>
      <c r="AN116">
        <v>-23.340378787878787</v>
      </c>
      <c r="AO116">
        <v>-23.457954545454545</v>
      </c>
      <c r="AP116">
        <v>-23.57145234493192</v>
      </c>
      <c r="AQ116">
        <v>-23.684009077155824</v>
      </c>
      <c r="AR116">
        <v>-23.796565809379729</v>
      </c>
      <c r="AS116">
        <v>-23.909122541603629</v>
      </c>
      <c r="AT116">
        <v>-24.021679273827534</v>
      </c>
      <c r="AU116">
        <v>-24.134236006051438</v>
      </c>
      <c r="AV116">
        <v>-24.246792738275339</v>
      </c>
      <c r="AW116">
        <v>-24.359349470499243</v>
      </c>
      <c r="AX116">
        <v>-24.471333333333334</v>
      </c>
      <c r="AY116">
        <v>-24.582848484848483</v>
      </c>
      <c r="AZ116">
        <v>-24.691686746987951</v>
      </c>
      <c r="BA116">
        <v>-24.797710843373494</v>
      </c>
      <c r="BB116">
        <v>-24.905999999999999</v>
      </c>
      <c r="BC116">
        <v>-25.017515151515152</v>
      </c>
      <c r="BD116">
        <v>-25.127333333333333</v>
      </c>
      <c r="BE116">
        <v>-25.233999999999998</v>
      </c>
      <c r="BF116">
        <v>-25.340666666666664</v>
      </c>
      <c r="BG116">
        <v>-25.447333333333333</v>
      </c>
      <c r="BH116">
        <v>-25.554000000000002</v>
      </c>
      <c r="BI116">
        <v>-25.660666666666668</v>
      </c>
      <c r="BJ116">
        <v>-25.766545454545454</v>
      </c>
      <c r="BK116">
        <v>-25.868363636363636</v>
      </c>
      <c r="BL116">
        <v>-25.970602409638555</v>
      </c>
      <c r="BM116">
        <v>-26.076626506024098</v>
      </c>
      <c r="BN116">
        <v>-26.182545454545455</v>
      </c>
      <c r="BO116">
        <v>-26.284363636363636</v>
      </c>
      <c r="BP116">
        <v>-26.386181818181818</v>
      </c>
      <c r="BQ116">
        <v>-26.488000000000003</v>
      </c>
      <c r="BR116">
        <v>-26.589818181818185</v>
      </c>
      <c r="BS116">
        <v>-26.691636363636363</v>
      </c>
      <c r="BT116">
        <v>-26.793454545454544</v>
      </c>
      <c r="BU116">
        <v>-26.895272727272726</v>
      </c>
      <c r="BV116">
        <v>-26.997090909090907</v>
      </c>
      <c r="BW116">
        <v>-27.095975794251135</v>
      </c>
      <c r="BX116">
        <v>-27.194009077155826</v>
      </c>
      <c r="BY116">
        <v>-27.292042360060513</v>
      </c>
      <c r="BZ116">
        <v>-27.390075642965204</v>
      </c>
      <c r="CA116">
        <v>-27.488108925869895</v>
      </c>
      <c r="CB116">
        <v>-27.586142208774582</v>
      </c>
      <c r="CC116">
        <v>-27.684175491679273</v>
      </c>
      <c r="CD116">
        <v>-27.782208774583964</v>
      </c>
      <c r="CE116">
        <v>-27.879001512859304</v>
      </c>
      <c r="CF116">
        <v>-27.974614220877456</v>
      </c>
      <c r="CG116">
        <v>-28.070226928895611</v>
      </c>
      <c r="CH116">
        <v>-28.165839636913766</v>
      </c>
      <c r="CI116">
        <v>-28.261452344931921</v>
      </c>
      <c r="CJ116">
        <v>-28.357065052950077</v>
      </c>
      <c r="CK116">
        <v>-28.452677760968232</v>
      </c>
      <c r="CL116">
        <v>-28.548290468986384</v>
      </c>
    </row>
    <row r="117" spans="1:90" ht="21.75" hidden="1" thickBot="1" x14ac:dyDescent="0.4">
      <c r="A117" s="18"/>
    </row>
    <row r="118" spans="1:90" ht="21.75" hidden="1" thickBot="1" x14ac:dyDescent="0.4">
      <c r="A118" s="18"/>
    </row>
    <row r="119" spans="1:90" ht="21.75" hidden="1" thickBot="1" x14ac:dyDescent="0.4">
      <c r="A119" s="18"/>
    </row>
    <row r="120" spans="1:90" ht="21.75" hidden="1" thickBot="1" x14ac:dyDescent="0.4">
      <c r="A120" s="18"/>
    </row>
    <row r="121" spans="1:90" ht="21.75" hidden="1" thickBot="1" x14ac:dyDescent="0.4">
      <c r="A121" s="18"/>
    </row>
    <row r="122" spans="1:90" ht="21.75" hidden="1" thickBot="1" x14ac:dyDescent="0.4">
      <c r="A122" s="18"/>
    </row>
    <row r="123" spans="1:90" ht="21.75" hidden="1" thickBot="1" x14ac:dyDescent="0.4">
      <c r="A123" s="18"/>
    </row>
    <row r="124" spans="1:90" ht="21.75" hidden="1" thickBot="1" x14ac:dyDescent="0.4">
      <c r="A124" s="18"/>
    </row>
    <row r="125" spans="1:90" ht="21.75" hidden="1" thickBot="1" x14ac:dyDescent="0.4">
      <c r="A125" s="18"/>
    </row>
    <row r="126" spans="1:90" ht="21.75" hidden="1" thickBot="1" x14ac:dyDescent="0.4">
      <c r="A126" s="18"/>
    </row>
    <row r="127" spans="1:90" ht="21.75" hidden="1" thickBot="1" x14ac:dyDescent="0.4">
      <c r="A127" s="18"/>
    </row>
    <row r="128" spans="1:90" ht="21.75" hidden="1" thickBot="1" x14ac:dyDescent="0.4">
      <c r="A128" s="18"/>
    </row>
    <row r="129" spans="1:90" ht="21.75" hidden="1" thickBot="1" x14ac:dyDescent="0.4">
      <c r="A129" s="18"/>
    </row>
    <row r="130" spans="1:90" ht="21.75" hidden="1" thickBot="1" x14ac:dyDescent="0.4">
      <c r="A130" s="18"/>
    </row>
    <row r="131" spans="1:90" ht="21.75" thickBot="1" x14ac:dyDescent="0.4"/>
    <row r="132" spans="1:90" ht="21.75" thickBot="1" x14ac:dyDescent="0.4">
      <c r="A132" s="18" t="s">
        <v>39</v>
      </c>
      <c r="B132" s="38">
        <v>-16.476831683168317</v>
      </c>
      <c r="C132" s="38">
        <v>-16.054752475247525</v>
      </c>
      <c r="D132" s="38">
        <v>-15.603267326732674</v>
      </c>
      <c r="E132" s="38">
        <v>-15.146336633663367</v>
      </c>
      <c r="F132">
        <v>-14.607722772277228</v>
      </c>
      <c r="G132">
        <v>-14.069108910891089</v>
      </c>
      <c r="H132">
        <v>-13.509207920792079</v>
      </c>
      <c r="I132">
        <v>-12.9309900990099</v>
      </c>
      <c r="J132">
        <v>-12.353019801980196</v>
      </c>
      <c r="K132">
        <v>-11.794603960396039</v>
      </c>
      <c r="L132">
        <v>-11.236188118811882</v>
      </c>
      <c r="M132">
        <v>-10.696693069306932</v>
      </c>
      <c r="N132">
        <v>-10.177089108910891</v>
      </c>
      <c r="O132">
        <v>-9.6574851485148514</v>
      </c>
      <c r="P132">
        <v>-9.1988712871287142</v>
      </c>
      <c r="Q132">
        <v>-8.7426336633663375</v>
      </c>
      <c r="R132">
        <v>-8.3239950495049513</v>
      </c>
      <c r="S132">
        <v>-7.9536980198019807</v>
      </c>
      <c r="T132">
        <v>-7.58340099009901</v>
      </c>
      <c r="U132">
        <v>-7.4200161090458483</v>
      </c>
      <c r="V132">
        <v>-7.2764721189591075</v>
      </c>
      <c r="W132">
        <v>-7.1329281288723667</v>
      </c>
      <c r="X132">
        <v>-6.9893841387856259</v>
      </c>
      <c r="Y132">
        <v>-6.8458401486988842</v>
      </c>
      <c r="Z132">
        <v>-6.7022961586121435</v>
      </c>
      <c r="AA132">
        <v>-6.5587521685254027</v>
      </c>
      <c r="AB132">
        <v>-6.415208178438661</v>
      </c>
      <c r="AC132">
        <v>-6.2716641883519202</v>
      </c>
      <c r="AD132">
        <v>-6.1281201982651794</v>
      </c>
      <c r="AE132">
        <v>-6.0961386138613856</v>
      </c>
      <c r="AF132">
        <v>-6.0878217821782172</v>
      </c>
      <c r="AG132">
        <v>-6.0840198019801983</v>
      </c>
      <c r="AH132">
        <v>-6.0907524752475251</v>
      </c>
      <c r="AI132">
        <v>-6.0974851485148518</v>
      </c>
      <c r="AJ132">
        <v>-6.1097425742574263</v>
      </c>
      <c r="AK132">
        <v>-6.1236039603960402</v>
      </c>
      <c r="AL132">
        <v>-6.1383564356435647</v>
      </c>
      <c r="AM132">
        <v>-6.1557821782178221</v>
      </c>
      <c r="AN132">
        <v>-6.1732079207920787</v>
      </c>
      <c r="AO132">
        <v>-6.1917821782178217</v>
      </c>
      <c r="AP132">
        <v>-6.2107920792079208</v>
      </c>
      <c r="AQ132">
        <v>-6.2303564356435643</v>
      </c>
      <c r="AR132">
        <v>-6.2521386138613861</v>
      </c>
      <c r="AS132">
        <v>-6.2739207920792079</v>
      </c>
      <c r="AT132">
        <v>-6.3021188118811882</v>
      </c>
      <c r="AU132">
        <v>-6.3334059405940595</v>
      </c>
      <c r="AV132">
        <v>-6.3692079207920802</v>
      </c>
      <c r="AW132">
        <v>-6.4305940594059408</v>
      </c>
      <c r="AX132">
        <v>-6.4919801980198022</v>
      </c>
      <c r="AY132">
        <v>-6.5659293680297397</v>
      </c>
      <c r="AZ132">
        <v>-6.647416356877323</v>
      </c>
      <c r="BA132">
        <v>-6.7289033457249063</v>
      </c>
      <c r="BB132">
        <v>-6.8103903345724905</v>
      </c>
      <c r="BC132">
        <v>-6.8918773234200739</v>
      </c>
      <c r="BD132">
        <v>-6.9733643122676572</v>
      </c>
      <c r="BE132">
        <v>-7.0548513011152414</v>
      </c>
      <c r="BF132">
        <v>-7.1363382899628247</v>
      </c>
      <c r="BG132">
        <v>-7.217825278810408</v>
      </c>
      <c r="BH132">
        <v>-7.2993122676579922</v>
      </c>
      <c r="BI132">
        <v>-7.3523267326732666</v>
      </c>
      <c r="BJ132">
        <v>-7.3808415841584152</v>
      </c>
      <c r="BK132">
        <v>-7.4093217821782176</v>
      </c>
      <c r="BL132">
        <v>-7.4350643564356433</v>
      </c>
      <c r="BM132">
        <v>-7.4608069306930691</v>
      </c>
      <c r="BN132">
        <v>-7.4869356435643564</v>
      </c>
      <c r="BO132">
        <v>-7.5134702970297029</v>
      </c>
      <c r="BP132">
        <v>-7.5400049504950504</v>
      </c>
      <c r="BQ132">
        <v>-7.5634900990099014</v>
      </c>
      <c r="BR132">
        <v>-7.5868564356435639</v>
      </c>
      <c r="BS132">
        <v>-7.6079368029739776</v>
      </c>
      <c r="BT132">
        <v>-7.6260780669144976</v>
      </c>
      <c r="BU132">
        <v>-7.6442193308550186</v>
      </c>
      <c r="BV132">
        <v>-7.6623605947955387</v>
      </c>
      <c r="BW132">
        <v>-7.6805018587360596</v>
      </c>
      <c r="BX132">
        <v>-7.6986431226765797</v>
      </c>
      <c r="BY132">
        <v>-7.7167843866171006</v>
      </c>
      <c r="BZ132">
        <v>-7.7349256505576207</v>
      </c>
      <c r="CA132">
        <v>-7.7530669144981417</v>
      </c>
      <c r="CB132">
        <v>-7.7712081784386617</v>
      </c>
      <c r="CC132">
        <v>-7.7961683168316833</v>
      </c>
      <c r="CD132">
        <v>-7.833792079207921</v>
      </c>
      <c r="CE132">
        <v>-7.8714158415841586</v>
      </c>
      <c r="CF132">
        <v>-7.894009900990099</v>
      </c>
      <c r="CG132">
        <v>-7.9134158415841584</v>
      </c>
      <c r="CH132">
        <v>-7.9269999999999996</v>
      </c>
      <c r="CI132">
        <v>-7.9269999999999996</v>
      </c>
      <c r="CJ132">
        <v>-7.9269999999999996</v>
      </c>
      <c r="CK132">
        <v>-7.9420396039603958</v>
      </c>
      <c r="CL132">
        <v>-7.9614455445544552</v>
      </c>
    </row>
    <row r="133" spans="1:90" ht="21.75" thickBot="1" x14ac:dyDescent="0.4">
      <c r="A133" s="18" t="s">
        <v>38</v>
      </c>
      <c r="B133" s="38">
        <v>-39.051237623762383</v>
      </c>
      <c r="C133" s="38">
        <v>-38.257920792079211</v>
      </c>
      <c r="D133" s="38">
        <v>-37.505445544554455</v>
      </c>
      <c r="E133" s="38">
        <v>-36.758910891089108</v>
      </c>
      <c r="F133">
        <v>-36.101485148514847</v>
      </c>
      <c r="G133">
        <v>-35.444059405940592</v>
      </c>
      <c r="H133">
        <v>-34.833465346534652</v>
      </c>
      <c r="I133">
        <v>-34.263168316831681</v>
      </c>
      <c r="J133">
        <v>-33.693960396039607</v>
      </c>
      <c r="K133">
        <v>-33.210792079207927</v>
      </c>
      <c r="L133">
        <v>-32.72762376237624</v>
      </c>
      <c r="M133">
        <v>-32.27496039603961</v>
      </c>
      <c r="N133">
        <v>-31.854366336633664</v>
      </c>
      <c r="O133">
        <v>-31.433772277227725</v>
      </c>
      <c r="P133">
        <v>-31.074168316831685</v>
      </c>
      <c r="Q133">
        <v>-30.716940594059409</v>
      </c>
      <c r="R133">
        <v>-30.392113861386139</v>
      </c>
      <c r="S133">
        <v>-30.108945544554459</v>
      </c>
      <c r="T133">
        <v>-29.825777227722774</v>
      </c>
      <c r="U133">
        <v>-29.739669144981413</v>
      </c>
      <c r="V133">
        <v>-29.672457249070632</v>
      </c>
      <c r="W133">
        <v>-29.605245353159852</v>
      </c>
      <c r="X133">
        <v>-29.538033457249071</v>
      </c>
      <c r="Y133">
        <v>-29.47082156133829</v>
      </c>
      <c r="Z133">
        <v>-29.40360966542751</v>
      </c>
      <c r="AA133">
        <v>-29.336397769516726</v>
      </c>
      <c r="AB133">
        <v>-29.269185873605945</v>
      </c>
      <c r="AC133">
        <v>-29.201973977695165</v>
      </c>
      <c r="AD133">
        <v>-29.134762081784384</v>
      </c>
      <c r="AE133">
        <v>-29.204356435643561</v>
      </c>
      <c r="AF133">
        <v>-29.302970297029702</v>
      </c>
      <c r="AG133">
        <v>-29.40728712871287</v>
      </c>
      <c r="AH133">
        <v>-29.52491089108911</v>
      </c>
      <c r="AI133">
        <v>-29.642534653465347</v>
      </c>
      <c r="AJ133">
        <v>-29.768752475247524</v>
      </c>
      <c r="AK133">
        <v>-29.897465346534652</v>
      </c>
      <c r="AL133">
        <v>-30.027069306930692</v>
      </c>
      <c r="AM133">
        <v>-30.159346534653466</v>
      </c>
      <c r="AN133">
        <v>-30.291623762376236</v>
      </c>
      <c r="AO133">
        <v>-30.425049504950493</v>
      </c>
      <c r="AP133">
        <v>-30.558910891089109</v>
      </c>
      <c r="AQ133">
        <v>-30.692534653465348</v>
      </c>
      <c r="AR133">
        <v>-30.825207920792078</v>
      </c>
      <c r="AS133">
        <v>-30.957881188118808</v>
      </c>
      <c r="AT133">
        <v>-31.094297029702968</v>
      </c>
      <c r="AU133">
        <v>-31.232514851485146</v>
      </c>
      <c r="AV133">
        <v>-31.37287128712871</v>
      </c>
      <c r="AW133">
        <v>-31.525346534653465</v>
      </c>
      <c r="AX133">
        <v>-31.677821782178217</v>
      </c>
      <c r="AY133">
        <v>-31.837973977695167</v>
      </c>
      <c r="AZ133">
        <v>-32.002732342007434</v>
      </c>
      <c r="BA133">
        <v>-32.167490706319704</v>
      </c>
      <c r="BB133">
        <v>-32.332249070631967</v>
      </c>
      <c r="BC133">
        <v>-32.497007434944237</v>
      </c>
      <c r="BD133">
        <v>-32.661765799256507</v>
      </c>
      <c r="BE133">
        <v>-32.82652416356877</v>
      </c>
      <c r="BF133">
        <v>-32.99128252788104</v>
      </c>
      <c r="BG133">
        <v>-33.156040892193303</v>
      </c>
      <c r="BH133">
        <v>-33.320799256505573</v>
      </c>
      <c r="BI133">
        <v>-33.467673267326731</v>
      </c>
      <c r="BJ133">
        <v>-33.599158415841586</v>
      </c>
      <c r="BK133">
        <v>-33.730608910891085</v>
      </c>
      <c r="BL133">
        <v>-33.85932178217822</v>
      </c>
      <c r="BM133">
        <v>-33.988034653465348</v>
      </c>
      <c r="BN133">
        <v>-34.119064356435644</v>
      </c>
      <c r="BO133">
        <v>-34.2525297029703</v>
      </c>
      <c r="BP133">
        <v>-34.385995049504956</v>
      </c>
      <c r="BQ133">
        <v>-34.466856435643564</v>
      </c>
      <c r="BR133">
        <v>-34.54566831683168</v>
      </c>
      <c r="BS133">
        <v>-34.633934324659229</v>
      </c>
      <c r="BT133">
        <v>-34.734355638166043</v>
      </c>
      <c r="BU133">
        <v>-34.834776951672858</v>
      </c>
      <c r="BV133">
        <v>-34.935198265179679</v>
      </c>
      <c r="BW133">
        <v>-35.035619578686493</v>
      </c>
      <c r="BX133">
        <v>-35.136040892193307</v>
      </c>
      <c r="BY133">
        <v>-35.236462205700121</v>
      </c>
      <c r="BZ133">
        <v>-35.336883519206935</v>
      </c>
      <c r="CA133">
        <v>-35.437304832713757</v>
      </c>
      <c r="CB133">
        <v>-35.537726146220571</v>
      </c>
      <c r="CC133">
        <v>-35.681316831683169</v>
      </c>
      <c r="CD133">
        <v>-35.905079207920792</v>
      </c>
      <c r="CE133">
        <v>-36.128841584158415</v>
      </c>
      <c r="CF133">
        <v>-36.262425742574258</v>
      </c>
      <c r="CG133">
        <v>-36.376881188118809</v>
      </c>
      <c r="CH133">
        <v>-36.457000000000001</v>
      </c>
      <c r="CI133">
        <v>-36.457000000000001</v>
      </c>
      <c r="CJ133">
        <v>-36.457000000000001</v>
      </c>
      <c r="CK133">
        <v>-36.542633663366338</v>
      </c>
      <c r="CL133">
        <v>-36.653128712871293</v>
      </c>
    </row>
    <row r="134" spans="1:90" ht="21.75" thickBot="1" x14ac:dyDescent="0.4">
      <c r="A134" s="18" t="s">
        <v>56</v>
      </c>
      <c r="B134" s="38">
        <v>-62.393712871287136</v>
      </c>
      <c r="C134" s="38">
        <v>-60.681138613861393</v>
      </c>
      <c r="D134" s="38">
        <v>-58.997970297029703</v>
      </c>
      <c r="E134" s="38">
        <v>-57.315049504950494</v>
      </c>
      <c r="F134">
        <v>-55.635841584158413</v>
      </c>
      <c r="G134">
        <v>-53.956633663366333</v>
      </c>
      <c r="H134">
        <v>-52.292326732673267</v>
      </c>
      <c r="I134">
        <v>-50.640841584158409</v>
      </c>
      <c r="J134">
        <v>-48.990396039603951</v>
      </c>
      <c r="K134">
        <v>-47.422079207920788</v>
      </c>
      <c r="L134">
        <v>-45.853762376237626</v>
      </c>
      <c r="M134">
        <v>-44.345297029702969</v>
      </c>
      <c r="N134">
        <v>-42.899752475247524</v>
      </c>
      <c r="O134">
        <v>-41.454207920792079</v>
      </c>
      <c r="P134">
        <v>-40.134455445544553</v>
      </c>
      <c r="Q134">
        <v>-38.819603960396037</v>
      </c>
      <c r="R134">
        <v>-37.565396039603961</v>
      </c>
      <c r="S134">
        <v>-36.389158415841585</v>
      </c>
      <c r="T134">
        <v>-35.212920792079203</v>
      </c>
      <c r="U134">
        <v>-34.249739776951671</v>
      </c>
      <c r="V134">
        <v>-33.306988847583639</v>
      </c>
      <c r="W134">
        <v>-32.364237918215615</v>
      </c>
      <c r="X134">
        <v>-31.421486988847583</v>
      </c>
      <c r="Y134">
        <v>-30.478736059479552</v>
      </c>
      <c r="Z134">
        <v>-29.535985130111523</v>
      </c>
      <c r="AA134">
        <v>-28.593234200743495</v>
      </c>
      <c r="AB134">
        <v>-27.650483271375464</v>
      </c>
      <c r="AC134">
        <v>-26.707732342007432</v>
      </c>
      <c r="AD134">
        <v>-25.764981412639404</v>
      </c>
      <c r="AE134">
        <v>-24.923663366336633</v>
      </c>
      <c r="AF134">
        <v>-24.103861386138615</v>
      </c>
      <c r="AG134">
        <v>-23.29594059405941</v>
      </c>
      <c r="AH134">
        <v>-22.515742574257423</v>
      </c>
      <c r="AI134">
        <v>-21.735544554455441</v>
      </c>
      <c r="AJ134">
        <v>-20.989108910891083</v>
      </c>
      <c r="AK134">
        <v>-20.25247524752475</v>
      </c>
      <c r="AL134">
        <v>-19.526732673267325</v>
      </c>
      <c r="AM134">
        <v>-18.833663366336634</v>
      </c>
      <c r="AN134">
        <v>-18.140594059405942</v>
      </c>
      <c r="AO134">
        <v>-17.473366336633664</v>
      </c>
      <c r="AP134">
        <v>-16.815940594059406</v>
      </c>
      <c r="AQ134">
        <v>-16.166435643564355</v>
      </c>
      <c r="AR134">
        <v>-15.548613861386139</v>
      </c>
      <c r="AS134">
        <v>-14.930792079207922</v>
      </c>
      <c r="AT134">
        <v>-14.342376237623762</v>
      </c>
      <c r="AU134">
        <v>-13.768118811881186</v>
      </c>
      <c r="AV134">
        <v>-13.204554455445541</v>
      </c>
      <c r="AW134">
        <v>-12.701584158415839</v>
      </c>
      <c r="AX134">
        <v>-12.198613861386137</v>
      </c>
      <c r="AY134">
        <v>-11.831313506815366</v>
      </c>
      <c r="AZ134">
        <v>-11.545415117719951</v>
      </c>
      <c r="BA134">
        <v>-11.259516728624536</v>
      </c>
      <c r="BB134">
        <v>-10.973618339529121</v>
      </c>
      <c r="BC134">
        <v>-10.687719950433706</v>
      </c>
      <c r="BD134">
        <v>-10.401821561338291</v>
      </c>
      <c r="BE134">
        <v>-10.115923172242876</v>
      </c>
      <c r="BF134">
        <v>-9.8300247831474614</v>
      </c>
      <c r="BG134">
        <v>-9.5441263940520464</v>
      </c>
      <c r="BH134">
        <v>-9.2582280049566315</v>
      </c>
      <c r="BI134">
        <v>-9.0199900990099007</v>
      </c>
      <c r="BJ134">
        <v>-8.8227623762376233</v>
      </c>
      <c r="BK134">
        <v>-8.6256881188118815</v>
      </c>
      <c r="BL134">
        <v>-8.4407376237623755</v>
      </c>
      <c r="BM134">
        <v>-8.2557871287128712</v>
      </c>
      <c r="BN134">
        <v>-8.0762425742574262</v>
      </c>
      <c r="BO134">
        <v>-7.9023811881188113</v>
      </c>
      <c r="BP134">
        <v>-7.7285198019801973</v>
      </c>
      <c r="BQ134">
        <v>-7.6793069306930697</v>
      </c>
      <c r="BR134">
        <v>-7.6349504950495053</v>
      </c>
      <c r="BS134">
        <v>-7.6218401486988849</v>
      </c>
      <c r="BT134">
        <v>-7.6489033457249072</v>
      </c>
      <c r="BU134">
        <v>-7.6759665427509294</v>
      </c>
      <c r="BV134">
        <v>-7.7030297397769516</v>
      </c>
      <c r="BW134">
        <v>-7.7300929368029738</v>
      </c>
      <c r="BX134">
        <v>-7.757156133828996</v>
      </c>
      <c r="BY134">
        <v>-7.7842193308550183</v>
      </c>
      <c r="BZ134">
        <v>-7.8112825278810405</v>
      </c>
      <c r="CA134">
        <v>-7.8383457249070627</v>
      </c>
      <c r="CB134">
        <v>-7.8654089219330849</v>
      </c>
      <c r="CC134">
        <v>-7.901158415841584</v>
      </c>
      <c r="CD134">
        <v>-7.9530396039603959</v>
      </c>
      <c r="CE134">
        <v>-8.0049207920792078</v>
      </c>
      <c r="CF134">
        <v>-8.0345841584158411</v>
      </c>
      <c r="CG134">
        <v>-8.0595346534653469</v>
      </c>
      <c r="CH134">
        <v>-8.077</v>
      </c>
      <c r="CI134">
        <v>-8.077</v>
      </c>
      <c r="CJ134">
        <v>-8.077</v>
      </c>
      <c r="CK134">
        <v>-8.0963366336633662</v>
      </c>
      <c r="CL134">
        <v>-8.1212871287128721</v>
      </c>
    </row>
    <row r="135" spans="1:90" ht="21.75" thickBot="1" x14ac:dyDescent="0.4">
      <c r="A135" s="18" t="s">
        <v>37</v>
      </c>
      <c r="B135" s="38">
        <v>-16.476831683168317</v>
      </c>
      <c r="C135" s="38">
        <v>-16.054752475247525</v>
      </c>
      <c r="D135" s="38">
        <v>-15.603267326732674</v>
      </c>
      <c r="E135" s="38">
        <v>-15.146336633663367</v>
      </c>
      <c r="F135">
        <v>-14.607722772277228</v>
      </c>
      <c r="G135">
        <v>-14.069108910891089</v>
      </c>
      <c r="H135">
        <v>-13.509207920792079</v>
      </c>
      <c r="I135">
        <v>-12.9309900990099</v>
      </c>
      <c r="J135">
        <v>-12.353019801980196</v>
      </c>
      <c r="K135">
        <v>-11.794603960396039</v>
      </c>
      <c r="L135">
        <v>-11.236188118811882</v>
      </c>
      <c r="M135">
        <v>-10.696693069306932</v>
      </c>
      <c r="N135">
        <v>-10.177089108910891</v>
      </c>
      <c r="O135">
        <v>-9.6574851485148514</v>
      </c>
      <c r="P135">
        <v>-9.1988712871287142</v>
      </c>
      <c r="Q135">
        <v>-8.7426336633663375</v>
      </c>
      <c r="R135">
        <v>-8.3239950495049513</v>
      </c>
      <c r="S135">
        <v>-7.9536980198019807</v>
      </c>
      <c r="T135">
        <v>-7.58340099009901</v>
      </c>
      <c r="U135">
        <v>-7.4200161090458483</v>
      </c>
      <c r="V135">
        <v>-7.2764721189591075</v>
      </c>
      <c r="W135">
        <v>-7.1329281288723667</v>
      </c>
      <c r="X135">
        <v>-6.9893841387856259</v>
      </c>
      <c r="Y135">
        <v>-6.8458401486988842</v>
      </c>
      <c r="Z135">
        <v>-6.7022961586121435</v>
      </c>
      <c r="AA135">
        <v>-6.5587521685254027</v>
      </c>
      <c r="AB135">
        <v>-6.415208178438661</v>
      </c>
      <c r="AC135">
        <v>-6.2716641883519202</v>
      </c>
      <c r="AD135">
        <v>-6.1281201982651794</v>
      </c>
      <c r="AE135">
        <v>-6.0961386138613856</v>
      </c>
      <c r="AF135">
        <v>-6.0878217821782172</v>
      </c>
      <c r="AG135">
        <v>-6.0840198019801983</v>
      </c>
      <c r="AH135">
        <v>-6.0907524752475251</v>
      </c>
      <c r="AI135">
        <v>-6.0974851485148518</v>
      </c>
      <c r="AJ135">
        <v>-6.1097425742574263</v>
      </c>
      <c r="AK135">
        <v>-6.1236039603960402</v>
      </c>
      <c r="AL135">
        <v>-6.1383564356435647</v>
      </c>
      <c r="AM135">
        <v>-6.1557821782178221</v>
      </c>
      <c r="AN135">
        <v>-6.1732079207920787</v>
      </c>
      <c r="AO135">
        <v>-6.1917821782178217</v>
      </c>
      <c r="AP135">
        <v>-6.2107920792079208</v>
      </c>
      <c r="AQ135">
        <v>-6.2303564356435643</v>
      </c>
      <c r="AR135">
        <v>-6.2521386138613861</v>
      </c>
      <c r="AS135">
        <v>-6.2739207920792079</v>
      </c>
      <c r="AT135">
        <v>-6.3021188118811882</v>
      </c>
      <c r="AU135">
        <v>-6.3334059405940595</v>
      </c>
      <c r="AV135">
        <v>-6.3692079207920802</v>
      </c>
      <c r="AW135">
        <v>-6.4305940594059408</v>
      </c>
      <c r="AX135">
        <v>-6.4919801980198022</v>
      </c>
      <c r="AY135">
        <v>-6.5659293680297397</v>
      </c>
      <c r="AZ135">
        <v>-6.647416356877323</v>
      </c>
      <c r="BA135">
        <v>-6.7289033457249063</v>
      </c>
      <c r="BB135">
        <v>-6.8103903345724905</v>
      </c>
      <c r="BC135">
        <v>-6.8918773234200739</v>
      </c>
      <c r="BD135">
        <v>-6.9733643122676572</v>
      </c>
      <c r="BE135">
        <v>-7.0548513011152414</v>
      </c>
      <c r="BF135">
        <v>-7.1363382899628247</v>
      </c>
      <c r="BG135">
        <v>-7.217825278810408</v>
      </c>
      <c r="BH135">
        <v>-7.2993122676579922</v>
      </c>
      <c r="BI135">
        <v>-7.3523267326732666</v>
      </c>
      <c r="BJ135">
        <v>-7.3808415841584152</v>
      </c>
      <c r="BK135">
        <v>-7.4093217821782176</v>
      </c>
      <c r="BL135">
        <v>-7.4350643564356433</v>
      </c>
      <c r="BM135">
        <v>-7.4608069306930691</v>
      </c>
      <c r="BN135">
        <v>-7.4869356435643564</v>
      </c>
      <c r="BO135">
        <v>-7.5134702970297029</v>
      </c>
      <c r="BP135">
        <v>-7.5400049504950504</v>
      </c>
      <c r="BQ135">
        <v>-7.5634900990099014</v>
      </c>
      <c r="BR135">
        <v>-7.5868564356435639</v>
      </c>
      <c r="BS135">
        <v>-7.6079368029739776</v>
      </c>
      <c r="BT135">
        <v>-7.6260780669144976</v>
      </c>
      <c r="BU135">
        <v>-7.6442193308550186</v>
      </c>
      <c r="BV135">
        <v>-7.6623605947955387</v>
      </c>
      <c r="BW135">
        <v>-7.6805018587360596</v>
      </c>
      <c r="BX135">
        <v>-7.6986431226765797</v>
      </c>
      <c r="BY135">
        <v>-7.7167843866171006</v>
      </c>
      <c r="BZ135">
        <v>-7.7349256505576207</v>
      </c>
      <c r="CA135">
        <v>-7.7530669144981417</v>
      </c>
      <c r="CB135">
        <v>-7.7712081784386617</v>
      </c>
      <c r="CC135">
        <v>-7.7961683168316833</v>
      </c>
      <c r="CD135">
        <v>-7.833792079207921</v>
      </c>
      <c r="CE135">
        <v>-7.8714158415841586</v>
      </c>
      <c r="CF135">
        <v>-7.894009900990099</v>
      </c>
      <c r="CG135">
        <v>-7.9134158415841584</v>
      </c>
      <c r="CH135">
        <v>-7.9269999999999996</v>
      </c>
      <c r="CI135">
        <v>-7.9269999999999996</v>
      </c>
      <c r="CJ135">
        <v>-7.9269999999999996</v>
      </c>
      <c r="CK135">
        <v>-7.9420396039603958</v>
      </c>
      <c r="CL135">
        <v>-7.9614455445544552</v>
      </c>
    </row>
    <row r="136" spans="1:90" ht="21.75" thickBot="1" x14ac:dyDescent="0.4">
      <c r="A136" s="18" t="s">
        <v>36</v>
      </c>
      <c r="B136" s="38">
        <v>-22.574405940594058</v>
      </c>
      <c r="C136" s="38">
        <v>-22.203168316831682</v>
      </c>
      <c r="D136" s="38">
        <v>-21.902178217821781</v>
      </c>
      <c r="E136" s="38">
        <v>-21.612574257425745</v>
      </c>
      <c r="F136">
        <v>-21.493762376237623</v>
      </c>
      <c r="G136">
        <v>-21.374950495049504</v>
      </c>
      <c r="H136">
        <v>-21.324257425742573</v>
      </c>
      <c r="I136">
        <v>-21.332178217821781</v>
      </c>
      <c r="J136">
        <v>-21.340940594059408</v>
      </c>
      <c r="K136">
        <v>-21.416188118811881</v>
      </c>
      <c r="L136">
        <v>-21.491435643564358</v>
      </c>
      <c r="M136">
        <v>-21.578267326732675</v>
      </c>
      <c r="N136">
        <v>-21.677277227722772</v>
      </c>
      <c r="O136">
        <v>-21.776287128712873</v>
      </c>
      <c r="P136">
        <v>-21.875297029702971</v>
      </c>
      <c r="Q136">
        <v>-21.974306930693071</v>
      </c>
      <c r="R136">
        <v>-22.068118811881188</v>
      </c>
      <c r="S136">
        <v>-22.155247524752475</v>
      </c>
      <c r="T136">
        <v>-22.242376237623763</v>
      </c>
      <c r="U136">
        <v>-22.319653035935563</v>
      </c>
      <c r="V136">
        <v>-22.395985130111523</v>
      </c>
      <c r="W136">
        <v>-22.472317224287483</v>
      </c>
      <c r="X136">
        <v>-22.548649318463443</v>
      </c>
      <c r="Y136">
        <v>-22.624981412639404</v>
      </c>
      <c r="Z136">
        <v>-22.701313506815364</v>
      </c>
      <c r="AA136">
        <v>-22.777645600991328</v>
      </c>
      <c r="AB136">
        <v>-22.853977695167288</v>
      </c>
      <c r="AC136">
        <v>-22.930309789343248</v>
      </c>
      <c r="AD136">
        <v>-23.006641883519208</v>
      </c>
      <c r="AE136">
        <v>-23.108217821782176</v>
      </c>
      <c r="AF136">
        <v>-23.215148514851485</v>
      </c>
      <c r="AG136">
        <v>-23.323267326732672</v>
      </c>
      <c r="AH136">
        <v>-23.434158415841583</v>
      </c>
      <c r="AI136">
        <v>-23.545049504950494</v>
      </c>
      <c r="AJ136">
        <v>-23.6590099009901</v>
      </c>
      <c r="AK136">
        <v>-23.773861386138613</v>
      </c>
      <c r="AL136">
        <v>-23.88871287128713</v>
      </c>
      <c r="AM136">
        <v>-24.003564356435643</v>
      </c>
      <c r="AN136">
        <v>-24.118415841584156</v>
      </c>
      <c r="AO136">
        <v>-24.233267326732673</v>
      </c>
      <c r="AP136">
        <v>-24.348118811881189</v>
      </c>
      <c r="AQ136">
        <v>-24.462178217821783</v>
      </c>
      <c r="AR136">
        <v>-24.573069306930694</v>
      </c>
      <c r="AS136">
        <v>-24.683960396039602</v>
      </c>
      <c r="AT136">
        <v>-24.792178217821782</v>
      </c>
      <c r="AU136">
        <v>-24.899108910891087</v>
      </c>
      <c r="AV136">
        <v>-25.003663366336632</v>
      </c>
      <c r="AW136">
        <v>-25.094752475247525</v>
      </c>
      <c r="AX136">
        <v>-25.185841584158414</v>
      </c>
      <c r="AY136">
        <v>-25.272044609665425</v>
      </c>
      <c r="AZ136">
        <v>-25.355315985130112</v>
      </c>
      <c r="BA136">
        <v>-25.438587360594795</v>
      </c>
      <c r="BB136">
        <v>-25.521858736059478</v>
      </c>
      <c r="BC136">
        <v>-25.605130111524161</v>
      </c>
      <c r="BD136">
        <v>-25.688401486988845</v>
      </c>
      <c r="BE136">
        <v>-25.771672862453531</v>
      </c>
      <c r="BF136">
        <v>-25.854944237918215</v>
      </c>
      <c r="BG136">
        <v>-25.938215613382898</v>
      </c>
      <c r="BH136">
        <v>-26.021486988847581</v>
      </c>
      <c r="BI136">
        <v>-26.115346534653465</v>
      </c>
      <c r="BJ136">
        <v>-26.218316831683168</v>
      </c>
      <c r="BK136">
        <v>-26.321287128712871</v>
      </c>
      <c r="BL136">
        <v>-26.424257425742574</v>
      </c>
      <c r="BM136">
        <v>-26.527227722772277</v>
      </c>
      <c r="BN136">
        <v>-26.632128712871285</v>
      </c>
      <c r="BO136">
        <v>-26.739059405940594</v>
      </c>
      <c r="BP136">
        <v>-26.845990099009903</v>
      </c>
      <c r="BQ136">
        <v>-26.903366336633663</v>
      </c>
      <c r="BR136">
        <v>-26.958811881188119</v>
      </c>
      <c r="BS136">
        <v>-27.025997521685252</v>
      </c>
      <c r="BT136">
        <v>-27.108277571251548</v>
      </c>
      <c r="BU136">
        <v>-27.190557620817842</v>
      </c>
      <c r="BV136">
        <v>-27.272837670384138</v>
      </c>
      <c r="BW136">
        <v>-27.355117719950432</v>
      </c>
      <c r="BX136">
        <v>-27.437397769516728</v>
      </c>
      <c r="BY136">
        <v>-27.519677819083022</v>
      </c>
      <c r="BZ136">
        <v>-27.601957868649318</v>
      </c>
      <c r="CA136">
        <v>-27.684237918215612</v>
      </c>
      <c r="CB136">
        <v>-27.766517967781908</v>
      </c>
      <c r="CC136">
        <v>-27.885148514851483</v>
      </c>
      <c r="CD136">
        <v>-28.071287128712871</v>
      </c>
      <c r="CE136">
        <v>-28.257425742574256</v>
      </c>
      <c r="CF136">
        <v>-28.368415841584159</v>
      </c>
      <c r="CG136">
        <v>-28.463465346534655</v>
      </c>
      <c r="CH136">
        <v>-28.53</v>
      </c>
      <c r="CI136">
        <v>-28.53</v>
      </c>
      <c r="CJ136">
        <v>-28.53</v>
      </c>
      <c r="CK136">
        <v>-28.600594059405942</v>
      </c>
      <c r="CL136">
        <v>-28.691683168316832</v>
      </c>
    </row>
    <row r="137" spans="1:90" ht="21.75" thickBot="1" x14ac:dyDescent="0.4">
      <c r="A137" s="18" t="s">
        <v>41</v>
      </c>
      <c r="B137" s="38">
        <v>-192.51064356435646</v>
      </c>
      <c r="C137" s="38">
        <v>-187.97178217821784</v>
      </c>
      <c r="D137" s="38">
        <v>-183.70247524752475</v>
      </c>
      <c r="E137" s="38">
        <v>-179.46782178217822</v>
      </c>
      <c r="F137">
        <v>-175.75297029702969</v>
      </c>
      <c r="G137">
        <v>-172.03811881188119</v>
      </c>
      <c r="H137">
        <v>-168.55742574257425</v>
      </c>
      <c r="I137">
        <v>-165.27821782178216</v>
      </c>
      <c r="J137">
        <v>-162.00361386138613</v>
      </c>
      <c r="K137">
        <v>-159.09272277227723</v>
      </c>
      <c r="L137">
        <v>-156.18183168316833</v>
      </c>
      <c r="M137">
        <v>-153.42539603960395</v>
      </c>
      <c r="N137">
        <v>-150.83133663366337</v>
      </c>
      <c r="O137">
        <v>-148.23727722772276</v>
      </c>
      <c r="P137">
        <v>-145.89480198019803</v>
      </c>
      <c r="Q137">
        <v>-143.5621287128713</v>
      </c>
      <c r="R137">
        <v>-141.33514851485148</v>
      </c>
      <c r="S137">
        <v>-139.24405940594059</v>
      </c>
      <c r="T137">
        <v>-137.1529702970297</v>
      </c>
      <c r="U137">
        <v>-135.45843866171003</v>
      </c>
      <c r="V137">
        <v>-133.80193308550184</v>
      </c>
      <c r="W137">
        <v>-132.14542750929368</v>
      </c>
      <c r="X137">
        <v>-130.48892193308549</v>
      </c>
      <c r="Y137">
        <v>-128.83241635687733</v>
      </c>
      <c r="Z137">
        <v>-127.17591078066914</v>
      </c>
      <c r="AA137">
        <v>-125.51940520446097</v>
      </c>
      <c r="AB137">
        <v>-123.86289962825279</v>
      </c>
      <c r="AC137">
        <v>-122.20639405204462</v>
      </c>
      <c r="AD137">
        <v>-120.54988847583644</v>
      </c>
      <c r="AE137">
        <v>-119.17198019801981</v>
      </c>
      <c r="AF137">
        <v>-117.85316831683168</v>
      </c>
      <c r="AG137">
        <v>-116.56168316831685</v>
      </c>
      <c r="AH137">
        <v>-115.33396039603961</v>
      </c>
      <c r="AI137">
        <v>-114.10623762376238</v>
      </c>
      <c r="AJ137">
        <v>-112.95524752475248</v>
      </c>
      <c r="AK137">
        <v>-111.82653465346534</v>
      </c>
      <c r="AL137">
        <v>-110.71960396039603</v>
      </c>
      <c r="AM137">
        <v>-109.6780198019802</v>
      </c>
      <c r="AN137">
        <v>-108.63643564356435</v>
      </c>
      <c r="AO137">
        <v>-107.64653465346535</v>
      </c>
      <c r="AP137">
        <v>-106.67623762376238</v>
      </c>
      <c r="AQ137">
        <v>-105.71940594059406</v>
      </c>
      <c r="AR137">
        <v>-104.81643564356436</v>
      </c>
      <c r="AS137">
        <v>-103.91346534653466</v>
      </c>
      <c r="AT137">
        <v>-103.06128712871288</v>
      </c>
      <c r="AU137">
        <v>-102.23356435643565</v>
      </c>
      <c r="AV137">
        <v>-101.42009900990098</v>
      </c>
      <c r="AW137">
        <v>-100.68742574257425</v>
      </c>
      <c r="AX137">
        <v>-99.954752475247517</v>
      </c>
      <c r="AY137">
        <v>-99.478760842627011</v>
      </c>
      <c r="AZ137">
        <v>-99.156778190830224</v>
      </c>
      <c r="BA137">
        <v>-98.83479553903345</v>
      </c>
      <c r="BB137">
        <v>-98.512812887236677</v>
      </c>
      <c r="BC137">
        <v>-98.19083023543989</v>
      </c>
      <c r="BD137">
        <v>-97.868847583643117</v>
      </c>
      <c r="BE137">
        <v>-97.546864931846329</v>
      </c>
      <c r="BF137">
        <v>-97.224882280049556</v>
      </c>
      <c r="BG137">
        <v>-96.902899628252783</v>
      </c>
      <c r="BH137">
        <v>-96.580916976455995</v>
      </c>
      <c r="BI137">
        <v>-96.386019801980197</v>
      </c>
      <c r="BJ137">
        <v>-96.300475247524759</v>
      </c>
      <c r="BK137">
        <v>-96.215237623762391</v>
      </c>
      <c r="BL137">
        <v>-96.154247524752478</v>
      </c>
      <c r="BM137">
        <v>-96.093257425742578</v>
      </c>
      <c r="BN137">
        <v>-96.048871287128719</v>
      </c>
      <c r="BO137">
        <v>-96.021940594059416</v>
      </c>
      <c r="BP137">
        <v>-95.995009900990112</v>
      </c>
      <c r="BQ137">
        <v>-96.068712871287133</v>
      </c>
      <c r="BR137">
        <v>-96.146336633663367</v>
      </c>
      <c r="BS137">
        <v>-96.321672862453525</v>
      </c>
      <c r="BT137">
        <v>-96.622639405204467</v>
      </c>
      <c r="BU137">
        <v>-96.923605947955394</v>
      </c>
      <c r="BV137">
        <v>-97.224572490706322</v>
      </c>
      <c r="BW137">
        <v>-97.52553903345725</v>
      </c>
      <c r="BX137">
        <v>-97.826505576208177</v>
      </c>
      <c r="BY137">
        <v>-98.127472118959119</v>
      </c>
      <c r="BZ137">
        <v>-98.428438661710047</v>
      </c>
      <c r="CA137">
        <v>-98.729405204460974</v>
      </c>
      <c r="CB137">
        <v>-99.030371747211902</v>
      </c>
      <c r="CC137">
        <v>-99.457762376237625</v>
      </c>
      <c r="CD137">
        <v>-100.11994059405941</v>
      </c>
      <c r="CE137">
        <v>-100.78211881188119</v>
      </c>
      <c r="CF137">
        <v>-101.17441584158415</v>
      </c>
      <c r="CG137">
        <v>-101.50946534653465</v>
      </c>
      <c r="CH137">
        <v>-101.744</v>
      </c>
      <c r="CI137">
        <v>-101.744</v>
      </c>
      <c r="CJ137">
        <v>-101.744</v>
      </c>
      <c r="CK137">
        <v>-101.99445544554456</v>
      </c>
      <c r="CL137">
        <v>-102.31762376237624</v>
      </c>
    </row>
    <row r="138" spans="1:90" ht="21.75" thickBot="1" x14ac:dyDescent="0.4">
      <c r="A138" s="18" t="s">
        <v>4</v>
      </c>
      <c r="B138" s="38">
        <v>-62.393712871287136</v>
      </c>
      <c r="C138" s="38">
        <v>-60.681138613861393</v>
      </c>
      <c r="D138" s="38">
        <v>-58.997970297029703</v>
      </c>
      <c r="E138" s="38">
        <v>-57.315049504950494</v>
      </c>
      <c r="F138">
        <v>-55.635841584158413</v>
      </c>
      <c r="G138">
        <v>-53.956633663366333</v>
      </c>
      <c r="H138">
        <v>-52.292326732673267</v>
      </c>
      <c r="I138">
        <v>-50.640841584158409</v>
      </c>
      <c r="J138">
        <v>-48.990396039603951</v>
      </c>
      <c r="K138">
        <v>-47.422079207920788</v>
      </c>
      <c r="L138">
        <v>-45.853762376237626</v>
      </c>
      <c r="M138">
        <v>-44.345297029702969</v>
      </c>
      <c r="N138">
        <v>-42.899752475247524</v>
      </c>
      <c r="O138">
        <v>-41.454207920792079</v>
      </c>
      <c r="P138">
        <v>-40.134455445544553</v>
      </c>
      <c r="Q138">
        <v>-38.819603960396037</v>
      </c>
      <c r="R138">
        <v>-37.565396039603961</v>
      </c>
      <c r="S138">
        <v>-36.389158415841585</v>
      </c>
      <c r="T138">
        <v>-35.212920792079203</v>
      </c>
      <c r="U138">
        <v>-34.249739776951671</v>
      </c>
      <c r="V138">
        <v>-33.306988847583639</v>
      </c>
      <c r="W138">
        <v>-32.364237918215615</v>
      </c>
      <c r="X138">
        <v>-31.421486988847583</v>
      </c>
      <c r="Y138">
        <v>-30.478736059479552</v>
      </c>
      <c r="Z138">
        <v>-29.535985130111523</v>
      </c>
      <c r="AA138">
        <v>-28.593234200743495</v>
      </c>
      <c r="AB138">
        <v>-27.650483271375464</v>
      </c>
      <c r="AC138">
        <v>-26.707732342007432</v>
      </c>
      <c r="AD138">
        <v>-25.764981412639404</v>
      </c>
      <c r="AE138">
        <v>-24.923663366336633</v>
      </c>
      <c r="AF138">
        <v>-24.103861386138615</v>
      </c>
      <c r="AG138">
        <v>-23.29594059405941</v>
      </c>
      <c r="AH138">
        <v>-22.515742574257423</v>
      </c>
      <c r="AI138">
        <v>-21.735544554455441</v>
      </c>
      <c r="AJ138">
        <v>-20.989108910891083</v>
      </c>
      <c r="AK138">
        <v>-20.25247524752475</v>
      </c>
      <c r="AL138">
        <v>-19.526732673267325</v>
      </c>
      <c r="AM138">
        <v>-18.833663366336634</v>
      </c>
      <c r="AN138">
        <v>-18.140594059405942</v>
      </c>
      <c r="AO138">
        <v>-17.473366336633664</v>
      </c>
      <c r="AP138">
        <v>-16.815940594059406</v>
      </c>
      <c r="AQ138">
        <v>-16.166435643564355</v>
      </c>
      <c r="AR138">
        <v>-15.548613861386139</v>
      </c>
      <c r="AS138">
        <v>-14.930792079207922</v>
      </c>
      <c r="AT138">
        <v>-14.342376237623762</v>
      </c>
      <c r="AU138">
        <v>-13.768118811881186</v>
      </c>
      <c r="AV138">
        <v>-13.204554455445541</v>
      </c>
      <c r="AW138">
        <v>-12.701584158415839</v>
      </c>
      <c r="AX138">
        <v>-12.198613861386137</v>
      </c>
      <c r="AY138">
        <v>-11.831313506815366</v>
      </c>
      <c r="AZ138">
        <v>-11.545415117719951</v>
      </c>
      <c r="BA138">
        <v>-11.259516728624536</v>
      </c>
      <c r="BB138">
        <v>-10.973618339529121</v>
      </c>
      <c r="BC138">
        <v>-10.687719950433706</v>
      </c>
      <c r="BD138">
        <v>-10.401821561338291</v>
      </c>
      <c r="BE138">
        <v>-10.115923172242876</v>
      </c>
      <c r="BF138">
        <v>-9.8300247831474614</v>
      </c>
      <c r="BG138">
        <v>-9.5441263940520464</v>
      </c>
      <c r="BH138">
        <v>-9.2582280049566315</v>
      </c>
      <c r="BI138">
        <v>-9.0199900990099007</v>
      </c>
      <c r="BJ138">
        <v>-8.8227623762376233</v>
      </c>
      <c r="BK138">
        <v>-8.6256881188118815</v>
      </c>
      <c r="BL138">
        <v>-8.4407376237623755</v>
      </c>
      <c r="BM138">
        <v>-8.2557871287128712</v>
      </c>
      <c r="BN138">
        <v>-8.0762425742574262</v>
      </c>
      <c r="BO138">
        <v>-7.9023811881188113</v>
      </c>
      <c r="BP138">
        <v>-7.7285198019801973</v>
      </c>
      <c r="BQ138">
        <v>-7.6793069306930697</v>
      </c>
      <c r="BR138">
        <v>-7.6349504950495053</v>
      </c>
      <c r="BS138">
        <v>-7.6218401486988849</v>
      </c>
      <c r="BT138">
        <v>-7.6489033457249072</v>
      </c>
      <c r="BU138">
        <v>-7.6759665427509294</v>
      </c>
      <c r="BV138">
        <v>-7.7030297397769516</v>
      </c>
      <c r="BW138">
        <v>-7.7300929368029738</v>
      </c>
      <c r="BX138">
        <v>-7.757156133828996</v>
      </c>
      <c r="BY138">
        <v>-7.7842193308550183</v>
      </c>
      <c r="BZ138">
        <v>-7.8112825278810405</v>
      </c>
      <c r="CA138">
        <v>-7.8383457249070627</v>
      </c>
      <c r="CB138">
        <v>-7.8654089219330849</v>
      </c>
      <c r="CC138">
        <v>-7.901158415841584</v>
      </c>
      <c r="CD138">
        <v>-7.9530396039603959</v>
      </c>
      <c r="CE138">
        <v>-8.0049207920792078</v>
      </c>
      <c r="CF138">
        <v>-8.0345841584158411</v>
      </c>
      <c r="CG138">
        <v>-8.0595346534653469</v>
      </c>
      <c r="CH138">
        <v>-8.077</v>
      </c>
      <c r="CI138">
        <v>-8.077</v>
      </c>
      <c r="CJ138">
        <v>-8.077</v>
      </c>
      <c r="CK138">
        <v>-8.0963366336633662</v>
      </c>
      <c r="CL138">
        <v>-8.1212871287128721</v>
      </c>
    </row>
    <row r="139" spans="1:90" ht="21.75" thickBot="1" x14ac:dyDescent="0.4">
      <c r="A139" s="18" t="s">
        <v>2</v>
      </c>
      <c r="B139" s="38">
        <v>-22.574405940594058</v>
      </c>
      <c r="C139" s="38">
        <v>-22.203168316831682</v>
      </c>
      <c r="D139" s="38">
        <v>-21.902178217821781</v>
      </c>
      <c r="E139" s="38">
        <v>-21.612574257425745</v>
      </c>
      <c r="F139">
        <v>-21.493762376237623</v>
      </c>
      <c r="G139">
        <v>-21.374950495049504</v>
      </c>
      <c r="H139">
        <v>-21.324257425742573</v>
      </c>
      <c r="I139">
        <v>-21.332178217821781</v>
      </c>
      <c r="J139">
        <v>-21.340940594059408</v>
      </c>
      <c r="K139">
        <v>-21.416188118811881</v>
      </c>
      <c r="L139">
        <v>-21.491435643564358</v>
      </c>
      <c r="M139">
        <v>-21.578267326732675</v>
      </c>
      <c r="N139">
        <v>-21.677277227722772</v>
      </c>
      <c r="O139">
        <v>-21.776287128712873</v>
      </c>
      <c r="P139">
        <v>-21.875297029702971</v>
      </c>
      <c r="Q139">
        <v>-21.974306930693071</v>
      </c>
      <c r="R139">
        <v>-22.068118811881188</v>
      </c>
      <c r="S139">
        <v>-22.155247524752475</v>
      </c>
      <c r="T139">
        <v>-22.242376237623763</v>
      </c>
      <c r="U139">
        <v>-22.319653035935563</v>
      </c>
      <c r="V139">
        <v>-22.395985130111523</v>
      </c>
      <c r="W139">
        <v>-22.472317224287483</v>
      </c>
      <c r="X139">
        <v>-22.548649318463443</v>
      </c>
      <c r="Y139">
        <v>-22.624981412639404</v>
      </c>
      <c r="Z139">
        <v>-22.701313506815364</v>
      </c>
      <c r="AA139">
        <v>-22.777645600991328</v>
      </c>
      <c r="AB139">
        <v>-22.853977695167288</v>
      </c>
      <c r="AC139">
        <v>-22.930309789343248</v>
      </c>
      <c r="AD139">
        <v>-23.006641883519208</v>
      </c>
      <c r="AE139">
        <v>-23.108217821782176</v>
      </c>
      <c r="AF139">
        <v>-23.215148514851485</v>
      </c>
      <c r="AG139">
        <v>-23.323267326732672</v>
      </c>
      <c r="AH139">
        <v>-23.434158415841583</v>
      </c>
      <c r="AI139">
        <v>-23.545049504950494</v>
      </c>
      <c r="AJ139">
        <v>-23.6590099009901</v>
      </c>
      <c r="AK139">
        <v>-23.773861386138613</v>
      </c>
      <c r="AL139">
        <v>-23.88871287128713</v>
      </c>
      <c r="AM139">
        <v>-24.003564356435643</v>
      </c>
      <c r="AN139">
        <v>-24.118415841584156</v>
      </c>
      <c r="AO139">
        <v>-24.233267326732673</v>
      </c>
      <c r="AP139">
        <v>-24.348118811881189</v>
      </c>
      <c r="AQ139">
        <v>-24.462178217821783</v>
      </c>
      <c r="AR139">
        <v>-24.573069306930694</v>
      </c>
      <c r="AS139">
        <v>-24.683960396039602</v>
      </c>
      <c r="AT139">
        <v>-24.792178217821782</v>
      </c>
      <c r="AU139">
        <v>-24.899108910891087</v>
      </c>
      <c r="AV139">
        <v>-25.003663366336632</v>
      </c>
      <c r="AW139">
        <v>-25.094752475247525</v>
      </c>
      <c r="AX139">
        <v>-25.185841584158414</v>
      </c>
      <c r="AY139">
        <v>-25.272044609665425</v>
      </c>
      <c r="AZ139">
        <v>-25.355315985130112</v>
      </c>
      <c r="BA139">
        <v>-25.438587360594795</v>
      </c>
      <c r="BB139">
        <v>-25.521858736059478</v>
      </c>
      <c r="BC139">
        <v>-25.605130111524161</v>
      </c>
      <c r="BD139">
        <v>-25.688401486988845</v>
      </c>
      <c r="BE139">
        <v>-25.771672862453531</v>
      </c>
      <c r="BF139">
        <v>-25.854944237918215</v>
      </c>
      <c r="BG139">
        <v>-25.938215613382898</v>
      </c>
      <c r="BH139">
        <v>-26.021486988847581</v>
      </c>
      <c r="BI139">
        <v>-26.115346534653465</v>
      </c>
      <c r="BJ139">
        <v>-26.218316831683168</v>
      </c>
      <c r="BK139">
        <v>-26.321287128712871</v>
      </c>
      <c r="BL139">
        <v>-26.424257425742574</v>
      </c>
      <c r="BM139">
        <v>-26.527227722772277</v>
      </c>
      <c r="BN139">
        <v>-26.632128712871285</v>
      </c>
      <c r="BO139">
        <v>-26.739059405940594</v>
      </c>
      <c r="BP139">
        <v>-26.845990099009903</v>
      </c>
      <c r="BQ139">
        <v>-26.903366336633663</v>
      </c>
      <c r="BR139">
        <v>-26.958811881188119</v>
      </c>
      <c r="BS139">
        <v>-27.025997521685252</v>
      </c>
      <c r="BT139">
        <v>-27.108277571251548</v>
      </c>
      <c r="BU139">
        <v>-27.190557620817842</v>
      </c>
      <c r="BV139">
        <v>-27.272837670384138</v>
      </c>
      <c r="BW139">
        <v>-27.355117719950432</v>
      </c>
      <c r="BX139">
        <v>-27.437397769516728</v>
      </c>
      <c r="BY139">
        <v>-27.519677819083022</v>
      </c>
      <c r="BZ139">
        <v>-27.601957868649318</v>
      </c>
      <c r="CA139">
        <v>-27.684237918215612</v>
      </c>
      <c r="CB139">
        <v>-27.766517967781908</v>
      </c>
      <c r="CC139">
        <v>-27.885148514851483</v>
      </c>
      <c r="CD139">
        <v>-28.071287128712871</v>
      </c>
      <c r="CE139">
        <v>-28.257425742574256</v>
      </c>
      <c r="CF139">
        <v>-28.368415841584159</v>
      </c>
      <c r="CG139">
        <v>-28.463465346534655</v>
      </c>
      <c r="CH139">
        <v>-28.53</v>
      </c>
      <c r="CI139">
        <v>-28.53</v>
      </c>
      <c r="CJ139">
        <v>-28.53</v>
      </c>
      <c r="CK139">
        <v>-28.600594059405942</v>
      </c>
      <c r="CL139">
        <v>-28.691683168316832</v>
      </c>
    </row>
    <row r="140" spans="1:90" ht="21.75" thickBot="1" x14ac:dyDescent="0.4">
      <c r="A140" s="18" t="s">
        <v>1</v>
      </c>
      <c r="B140" s="38">
        <v>-18.963267326732673</v>
      </c>
      <c r="C140" s="38">
        <v>-18.96</v>
      </c>
      <c r="D140" s="38">
        <v>-18.96</v>
      </c>
      <c r="E140" s="38">
        <v>-18.96</v>
      </c>
      <c r="F140">
        <v>-18.96</v>
      </c>
      <c r="G140">
        <v>-18.96</v>
      </c>
      <c r="H140">
        <v>-18.962128712871287</v>
      </c>
      <c r="I140">
        <v>-18.966089108910889</v>
      </c>
      <c r="J140">
        <v>-18.970099009900988</v>
      </c>
      <c r="K140">
        <v>-18.978019801980196</v>
      </c>
      <c r="L140">
        <v>-18.985940594059404</v>
      </c>
      <c r="M140">
        <v>-18.99579207920792</v>
      </c>
      <c r="N140">
        <v>-19.00767326732673</v>
      </c>
      <c r="O140">
        <v>-19.019554455445544</v>
      </c>
      <c r="P140">
        <v>-19.031435643564357</v>
      </c>
      <c r="Q140">
        <v>-19.043316831683168</v>
      </c>
      <c r="R140">
        <v>-19.055198019801981</v>
      </c>
      <c r="S140">
        <v>-19.067079207920791</v>
      </c>
      <c r="T140">
        <v>-19.078960396039601</v>
      </c>
      <c r="U140">
        <v>-19.090855018587359</v>
      </c>
      <c r="V140">
        <v>-19.102750929368028</v>
      </c>
      <c r="W140">
        <v>-19.114646840148698</v>
      </c>
      <c r="X140">
        <v>-19.126542750929367</v>
      </c>
      <c r="Y140">
        <v>-19.138438661710037</v>
      </c>
      <c r="Z140">
        <v>-19.150334572490706</v>
      </c>
      <c r="AA140">
        <v>-19.162230483271376</v>
      </c>
      <c r="AB140">
        <v>-19.174126394052045</v>
      </c>
      <c r="AC140">
        <v>-19.186022304832711</v>
      </c>
      <c r="AD140">
        <v>-19.197918215613381</v>
      </c>
      <c r="AE140">
        <v>-19.209801980198019</v>
      </c>
      <c r="AF140">
        <v>-19.221683168316833</v>
      </c>
      <c r="AG140">
        <v>-19.234752475247525</v>
      </c>
      <c r="AH140">
        <v>-19.250594059405941</v>
      </c>
      <c r="AI140">
        <v>-19.266435643564357</v>
      </c>
      <c r="AJ140">
        <v>-19.282277227722773</v>
      </c>
      <c r="AK140">
        <v>-19.298118811881189</v>
      </c>
      <c r="AL140">
        <v>-19.314950495049505</v>
      </c>
      <c r="AM140">
        <v>-19.334752475247523</v>
      </c>
      <c r="AN140">
        <v>-19.354554455445545</v>
      </c>
      <c r="AO140">
        <v>-19.37148514851485</v>
      </c>
      <c r="AP140">
        <v>-19.387326732673266</v>
      </c>
      <c r="AQ140">
        <v>-19.403168316831682</v>
      </c>
      <c r="AR140">
        <v>-19.419009900990098</v>
      </c>
      <c r="AS140">
        <v>-19.434851485148517</v>
      </c>
      <c r="AT140">
        <v>-19.448019801980198</v>
      </c>
      <c r="AU140">
        <v>-19.459900990099008</v>
      </c>
      <c r="AV140">
        <v>-19.47059405940594</v>
      </c>
      <c r="AW140">
        <v>-19.474554455445546</v>
      </c>
      <c r="AX140">
        <v>-19.478514851485148</v>
      </c>
      <c r="AY140">
        <v>-19.476902106567536</v>
      </c>
      <c r="AZ140">
        <v>-19.47194547707559</v>
      </c>
      <c r="BA140">
        <v>-19.466988847583643</v>
      </c>
      <c r="BB140">
        <v>-19.462032218091696</v>
      </c>
      <c r="BC140">
        <v>-19.457075588599754</v>
      </c>
      <c r="BD140">
        <v>-19.452118959107807</v>
      </c>
      <c r="BE140">
        <v>-19.44716232961586</v>
      </c>
      <c r="BF140">
        <v>-19.442205700123914</v>
      </c>
      <c r="BG140">
        <v>-19.437249070631971</v>
      </c>
      <c r="BH140">
        <v>-19.432292441140024</v>
      </c>
      <c r="BI140">
        <v>-19.438514851485149</v>
      </c>
      <c r="BJ140">
        <v>-19.454356435643565</v>
      </c>
      <c r="BK140">
        <v>-19.47019801980198</v>
      </c>
      <c r="BL140">
        <v>-19.486039603960396</v>
      </c>
      <c r="BM140">
        <v>-19.501881188118812</v>
      </c>
      <c r="BN140">
        <v>-19.517722772277228</v>
      </c>
      <c r="BO140">
        <v>-19.533564356435644</v>
      </c>
      <c r="BP140">
        <v>-19.54940594059406</v>
      </c>
      <c r="BQ140">
        <v>-19.565247524752476</v>
      </c>
      <c r="BR140">
        <v>-19.581089108910891</v>
      </c>
      <c r="BS140">
        <v>-19.596505576208177</v>
      </c>
      <c r="BT140">
        <v>-19.611375464684013</v>
      </c>
      <c r="BU140">
        <v>-19.626245353159852</v>
      </c>
      <c r="BV140">
        <v>-19.641115241635688</v>
      </c>
      <c r="BW140">
        <v>-19.655985130111524</v>
      </c>
      <c r="BX140">
        <v>-19.670855018587361</v>
      </c>
      <c r="BY140">
        <v>-19.685724907063197</v>
      </c>
      <c r="BZ140">
        <v>-19.700594795539033</v>
      </c>
      <c r="CA140">
        <v>-19.715464684014869</v>
      </c>
      <c r="CB140">
        <v>-19.730334572490705</v>
      </c>
      <c r="CC140">
        <v>-19.749702970297029</v>
      </c>
      <c r="CD140">
        <v>-19.777425742574255</v>
      </c>
      <c r="CE140">
        <v>-19.805148514851485</v>
      </c>
      <c r="CF140">
        <v>-19.823069306930691</v>
      </c>
      <c r="CG140">
        <v>-19.83891089108911</v>
      </c>
      <c r="CH140">
        <v>-19.850000000000001</v>
      </c>
      <c r="CI140">
        <v>-19.850000000000001</v>
      </c>
      <c r="CJ140">
        <v>-19.850000000000001</v>
      </c>
      <c r="CK140">
        <v>-19.85920792079208</v>
      </c>
      <c r="CL140">
        <v>-19.871089108910891</v>
      </c>
    </row>
    <row r="141" spans="1:90" ht="21.75" thickBot="1" x14ac:dyDescent="0.4">
      <c r="A141" s="18" t="s">
        <v>51</v>
      </c>
      <c r="B141" s="38">
        <v>-61.625643564356437</v>
      </c>
      <c r="C141" s="38">
        <v>-60.46108910891089</v>
      </c>
      <c r="D141" s="38">
        <v>-59.40762376237624</v>
      </c>
      <c r="E141" s="38">
        <v>-58.37148514851485</v>
      </c>
      <c r="F141">
        <v>-57.595247524752473</v>
      </c>
      <c r="G141">
        <v>-56.819009900990096</v>
      </c>
      <c r="H141">
        <v>-56.157722772277225</v>
      </c>
      <c r="I141">
        <v>-55.595346534653466</v>
      </c>
      <c r="J141">
        <v>-55.034900990099011</v>
      </c>
      <c r="K141">
        <v>-54.626980198019801</v>
      </c>
      <c r="L141">
        <v>-54.219059405940598</v>
      </c>
      <c r="M141">
        <v>-53.853227722772282</v>
      </c>
      <c r="N141">
        <v>-53.531643564356436</v>
      </c>
      <c r="O141">
        <v>-53.210059405940598</v>
      </c>
      <c r="P141">
        <v>-52.949465346534659</v>
      </c>
      <c r="Q141">
        <v>-52.691247524752484</v>
      </c>
      <c r="R141">
        <v>-52.460232673267335</v>
      </c>
      <c r="S141">
        <v>-52.264193069306934</v>
      </c>
      <c r="T141">
        <v>-52.068153465346533</v>
      </c>
      <c r="U141">
        <v>-52.059322180916979</v>
      </c>
      <c r="V141">
        <v>-52.068442379182159</v>
      </c>
      <c r="W141">
        <v>-52.077562577447338</v>
      </c>
      <c r="X141">
        <v>-52.086682775712518</v>
      </c>
      <c r="Y141">
        <v>-52.095802973977698</v>
      </c>
      <c r="Z141">
        <v>-52.104923172242877</v>
      </c>
      <c r="AA141">
        <v>-52.114043370508057</v>
      </c>
      <c r="AB141">
        <v>-52.123163568773236</v>
      </c>
      <c r="AC141">
        <v>-52.132283767038416</v>
      </c>
      <c r="AD141">
        <v>-52.141403965303596</v>
      </c>
      <c r="AE141">
        <v>-52.312574257425744</v>
      </c>
      <c r="AF141">
        <v>-52.518118811881187</v>
      </c>
      <c r="AG141">
        <v>-52.730554455445542</v>
      </c>
      <c r="AH141">
        <v>-52.959069306930694</v>
      </c>
      <c r="AI141">
        <v>-53.187584158415845</v>
      </c>
      <c r="AJ141">
        <v>-53.427762376237631</v>
      </c>
      <c r="AK141">
        <v>-53.671326732673272</v>
      </c>
      <c r="AL141">
        <v>-53.915782178217817</v>
      </c>
      <c r="AM141">
        <v>-54.162910891089105</v>
      </c>
      <c r="AN141">
        <v>-54.410039603960392</v>
      </c>
      <c r="AO141">
        <v>-54.658316831683166</v>
      </c>
      <c r="AP141">
        <v>-54.907029702970299</v>
      </c>
      <c r="AQ141">
        <v>-55.154712871287131</v>
      </c>
      <c r="AR141">
        <v>-55.398277227722772</v>
      </c>
      <c r="AS141">
        <v>-55.641841584158414</v>
      </c>
      <c r="AT141">
        <v>-55.88647524752475</v>
      </c>
      <c r="AU141">
        <v>-56.131623762376236</v>
      </c>
      <c r="AV141">
        <v>-56.376534653465342</v>
      </c>
      <c r="AW141">
        <v>-56.62009900990099</v>
      </c>
      <c r="AX141">
        <v>-56.863663366336631</v>
      </c>
      <c r="AY141">
        <v>-57.110018587360592</v>
      </c>
      <c r="AZ141">
        <v>-57.358048327137546</v>
      </c>
      <c r="BA141">
        <v>-57.606078066914492</v>
      </c>
      <c r="BB141">
        <v>-57.854107806691445</v>
      </c>
      <c r="BC141">
        <v>-58.102137546468398</v>
      </c>
      <c r="BD141">
        <v>-58.350167286245345</v>
      </c>
      <c r="BE141">
        <v>-58.598197026022298</v>
      </c>
      <c r="BF141">
        <v>-58.846226765799251</v>
      </c>
      <c r="BG141">
        <v>-59.094256505576197</v>
      </c>
      <c r="BH141">
        <v>-59.342286245353151</v>
      </c>
      <c r="BI141">
        <v>-59.583019801980193</v>
      </c>
      <c r="BJ141">
        <v>-59.817475247524747</v>
      </c>
      <c r="BK141">
        <v>-60.05189603960396</v>
      </c>
      <c r="BL141">
        <v>-60.283579207920795</v>
      </c>
      <c r="BM141">
        <v>-60.515262376237622</v>
      </c>
      <c r="BN141">
        <v>-60.751193069306929</v>
      </c>
      <c r="BO141">
        <v>-60.991589108910894</v>
      </c>
      <c r="BP141">
        <v>-61.231985148514852</v>
      </c>
      <c r="BQ141">
        <v>-61.370222772277231</v>
      </c>
      <c r="BR141">
        <v>-61.504480198019799</v>
      </c>
      <c r="BS141">
        <v>-61.659931846344485</v>
      </c>
      <c r="BT141">
        <v>-61.842633209417592</v>
      </c>
      <c r="BU141">
        <v>-62.025334572490706</v>
      </c>
      <c r="BV141">
        <v>-62.208035935563814</v>
      </c>
      <c r="BW141">
        <v>-62.390737298636928</v>
      </c>
      <c r="BX141">
        <v>-62.573438661710036</v>
      </c>
      <c r="BY141">
        <v>-62.75614002478315</v>
      </c>
      <c r="BZ141">
        <v>-62.938841387856257</v>
      </c>
      <c r="CA141">
        <v>-63.121542750929365</v>
      </c>
      <c r="CB141">
        <v>-63.304244114002479</v>
      </c>
      <c r="CC141">
        <v>-63.566465346534656</v>
      </c>
      <c r="CD141">
        <v>-63.97636633663366</v>
      </c>
      <c r="CE141">
        <v>-64.386267326732678</v>
      </c>
      <c r="CF141">
        <v>-64.630841584158418</v>
      </c>
      <c r="CG141">
        <v>-64.840346534653463</v>
      </c>
      <c r="CH141">
        <v>-64.986999999999995</v>
      </c>
      <c r="CI141">
        <v>-64.986999999999995</v>
      </c>
      <c r="CJ141">
        <v>-64.986999999999995</v>
      </c>
      <c r="CK141">
        <v>-65.143227722772281</v>
      </c>
      <c r="CL141">
        <v>-65.344811881188122</v>
      </c>
    </row>
    <row r="142" spans="1:90" ht="21.75" thickBot="1" x14ac:dyDescent="0.4">
      <c r="A142" s="18" t="s">
        <v>40</v>
      </c>
      <c r="B142" s="38">
        <v>-39.051237623762383</v>
      </c>
      <c r="C142" s="38">
        <v>-38.257920792079211</v>
      </c>
      <c r="D142" s="38">
        <v>-37.505445544554455</v>
      </c>
      <c r="E142" s="38">
        <v>-36.758910891089108</v>
      </c>
      <c r="F142">
        <v>-36.101485148514847</v>
      </c>
      <c r="G142">
        <v>-35.444059405940592</v>
      </c>
      <c r="H142">
        <v>-34.833465346534652</v>
      </c>
      <c r="I142">
        <v>-34.263168316831681</v>
      </c>
      <c r="J142">
        <v>-33.693960396039607</v>
      </c>
      <c r="K142">
        <v>-33.210792079207927</v>
      </c>
      <c r="L142">
        <v>-32.72762376237624</v>
      </c>
      <c r="M142">
        <v>-32.27496039603961</v>
      </c>
      <c r="N142">
        <v>-31.854366336633664</v>
      </c>
      <c r="O142">
        <v>-31.433772277227725</v>
      </c>
      <c r="P142">
        <v>-31.074168316831685</v>
      </c>
      <c r="Q142">
        <v>-30.716940594059409</v>
      </c>
      <c r="R142">
        <v>-30.392113861386139</v>
      </c>
      <c r="S142">
        <v>-30.108945544554459</v>
      </c>
      <c r="T142">
        <v>-29.825777227722774</v>
      </c>
      <c r="U142">
        <v>-29.739669144981413</v>
      </c>
      <c r="V142">
        <v>-29.672457249070632</v>
      </c>
      <c r="W142">
        <v>-29.605245353159852</v>
      </c>
      <c r="X142">
        <v>-29.538033457249071</v>
      </c>
      <c r="Y142">
        <v>-29.47082156133829</v>
      </c>
      <c r="Z142">
        <v>-29.40360966542751</v>
      </c>
      <c r="AA142">
        <v>-29.336397769516726</v>
      </c>
      <c r="AB142">
        <v>-29.269185873605945</v>
      </c>
      <c r="AC142">
        <v>-29.201973977695165</v>
      </c>
      <c r="AD142">
        <v>-29.134762081784384</v>
      </c>
      <c r="AE142">
        <v>-29.204356435643561</v>
      </c>
      <c r="AF142">
        <v>-29.302970297029702</v>
      </c>
      <c r="AG142">
        <v>-29.40728712871287</v>
      </c>
      <c r="AH142">
        <v>-29.52491089108911</v>
      </c>
      <c r="AI142">
        <v>-29.642534653465347</v>
      </c>
      <c r="AJ142">
        <v>-29.768752475247524</v>
      </c>
      <c r="AK142">
        <v>-29.897465346534652</v>
      </c>
      <c r="AL142">
        <v>-30.027069306930692</v>
      </c>
      <c r="AM142">
        <v>-30.159346534653466</v>
      </c>
      <c r="AN142">
        <v>-30.291623762376236</v>
      </c>
      <c r="AO142">
        <v>-30.425049504950493</v>
      </c>
      <c r="AP142">
        <v>-30.558910891089109</v>
      </c>
      <c r="AQ142">
        <v>-30.692534653465348</v>
      </c>
      <c r="AR142">
        <v>-30.825207920792078</v>
      </c>
      <c r="AS142">
        <v>-30.957881188118808</v>
      </c>
      <c r="AT142">
        <v>-31.094297029702968</v>
      </c>
      <c r="AU142">
        <v>-31.232514851485146</v>
      </c>
      <c r="AV142">
        <v>-31.37287128712871</v>
      </c>
      <c r="AW142">
        <v>-31.525346534653465</v>
      </c>
      <c r="AX142">
        <v>-31.677821782178217</v>
      </c>
      <c r="AY142">
        <v>-31.837973977695167</v>
      </c>
      <c r="AZ142">
        <v>-32.002732342007434</v>
      </c>
      <c r="BA142">
        <v>-32.167490706319704</v>
      </c>
      <c r="BB142">
        <v>-32.332249070631967</v>
      </c>
      <c r="BC142">
        <v>-32.497007434944237</v>
      </c>
      <c r="BD142">
        <v>-32.661765799256507</v>
      </c>
      <c r="BE142">
        <v>-32.82652416356877</v>
      </c>
      <c r="BF142">
        <v>-32.99128252788104</v>
      </c>
      <c r="BG142">
        <v>-33.156040892193303</v>
      </c>
      <c r="BH142">
        <v>-33.320799256505573</v>
      </c>
      <c r="BI142">
        <v>-33.467673267326731</v>
      </c>
      <c r="BJ142">
        <v>-33.599158415841586</v>
      </c>
      <c r="BK142">
        <v>-33.730608910891085</v>
      </c>
      <c r="BL142">
        <v>-33.85932178217822</v>
      </c>
      <c r="BM142">
        <v>-33.988034653465348</v>
      </c>
      <c r="BN142">
        <v>-34.119064356435644</v>
      </c>
      <c r="BO142">
        <v>-34.2525297029703</v>
      </c>
      <c r="BP142">
        <v>-34.385995049504956</v>
      </c>
      <c r="BQ142">
        <v>-34.466856435643564</v>
      </c>
      <c r="BR142">
        <v>-34.54566831683168</v>
      </c>
      <c r="BS142">
        <v>-34.633934324659229</v>
      </c>
      <c r="BT142">
        <v>-34.734355638166043</v>
      </c>
      <c r="BU142">
        <v>-34.834776951672858</v>
      </c>
      <c r="BV142">
        <v>-34.935198265179679</v>
      </c>
      <c r="BW142">
        <v>-35.035619578686493</v>
      </c>
      <c r="BX142">
        <v>-35.136040892193307</v>
      </c>
      <c r="BY142">
        <v>-35.236462205700121</v>
      </c>
      <c r="BZ142">
        <v>-35.336883519206935</v>
      </c>
      <c r="CA142">
        <v>-35.437304832713757</v>
      </c>
      <c r="CB142">
        <v>-35.537726146220571</v>
      </c>
      <c r="CC142">
        <v>-35.681316831683169</v>
      </c>
      <c r="CD142">
        <v>-35.905079207920792</v>
      </c>
      <c r="CE142">
        <v>-36.128841584158415</v>
      </c>
      <c r="CF142">
        <v>-36.262425742574258</v>
      </c>
      <c r="CG142">
        <v>-36.376881188118809</v>
      </c>
      <c r="CH142">
        <v>-36.457000000000001</v>
      </c>
      <c r="CI142">
        <v>-36.457000000000001</v>
      </c>
      <c r="CJ142">
        <v>-36.457000000000001</v>
      </c>
      <c r="CK142">
        <v>-36.542633663366338</v>
      </c>
      <c r="CL142">
        <v>-36.653128712871293</v>
      </c>
    </row>
    <row r="143" spans="1:90" ht="21.75" thickBot="1" x14ac:dyDescent="0.4">
      <c r="A143" s="18" t="s">
        <v>80</v>
      </c>
      <c r="B143" s="38">
        <v>-192.51064356435646</v>
      </c>
      <c r="C143" s="38">
        <v>-187.97178217821784</v>
      </c>
      <c r="D143" s="38">
        <v>-183.70247524752475</v>
      </c>
      <c r="E143" s="38">
        <v>-179.46782178217822</v>
      </c>
      <c r="F143">
        <v>-175.75297029702969</v>
      </c>
      <c r="G143">
        <v>-172.03811881188119</v>
      </c>
      <c r="H143">
        <v>-168.55742574257425</v>
      </c>
      <c r="I143">
        <v>-165.27821782178216</v>
      </c>
      <c r="J143">
        <v>-162.00361386138613</v>
      </c>
      <c r="K143">
        <v>-159.09272277227723</v>
      </c>
      <c r="L143">
        <v>-156.18183168316833</v>
      </c>
      <c r="M143">
        <v>-153.42539603960395</v>
      </c>
      <c r="N143">
        <v>-150.83133663366337</v>
      </c>
      <c r="O143">
        <v>-148.23727722772276</v>
      </c>
      <c r="P143">
        <v>-145.89480198019803</v>
      </c>
      <c r="Q143">
        <v>-143.5621287128713</v>
      </c>
      <c r="R143">
        <v>-141.33514851485148</v>
      </c>
      <c r="S143">
        <v>-139.24405940594059</v>
      </c>
      <c r="T143">
        <v>-137.1529702970297</v>
      </c>
      <c r="U143">
        <v>-135.45843866171003</v>
      </c>
      <c r="V143">
        <v>-133.80193308550184</v>
      </c>
      <c r="W143">
        <v>-132.14542750929368</v>
      </c>
      <c r="X143">
        <v>-130.48892193308549</v>
      </c>
      <c r="Y143">
        <v>-128.83241635687733</v>
      </c>
      <c r="Z143">
        <v>-127.17591078066914</v>
      </c>
      <c r="AA143">
        <v>-125.51940520446097</v>
      </c>
      <c r="AB143">
        <v>-123.86289962825279</v>
      </c>
      <c r="AC143">
        <v>-122.20639405204462</v>
      </c>
      <c r="AD143">
        <v>-120.54988847583644</v>
      </c>
      <c r="AE143">
        <v>-119.17198019801981</v>
      </c>
      <c r="AF143">
        <v>-117.85316831683168</v>
      </c>
      <c r="AG143">
        <v>-116.56168316831685</v>
      </c>
      <c r="AH143">
        <v>-115.33396039603961</v>
      </c>
      <c r="AI143">
        <v>-114.10623762376238</v>
      </c>
      <c r="AJ143">
        <v>-112.95524752475248</v>
      </c>
      <c r="AK143">
        <v>-111.82653465346534</v>
      </c>
      <c r="AL143">
        <v>-110.71960396039603</v>
      </c>
      <c r="AM143">
        <v>-109.6780198019802</v>
      </c>
      <c r="AN143">
        <v>-108.63643564356435</v>
      </c>
      <c r="AO143">
        <v>-107.64653465346535</v>
      </c>
      <c r="AP143">
        <v>-106.67623762376238</v>
      </c>
      <c r="AQ143">
        <v>-105.71940594059406</v>
      </c>
      <c r="AR143">
        <v>-104.81643564356436</v>
      </c>
      <c r="AS143">
        <v>-103.91346534653466</v>
      </c>
      <c r="AT143">
        <v>-103.06128712871288</v>
      </c>
      <c r="AU143">
        <v>-102.23356435643565</v>
      </c>
      <c r="AV143">
        <v>-101.42009900990098</v>
      </c>
      <c r="AW143">
        <v>-100.68742574257425</v>
      </c>
      <c r="AX143">
        <v>-99.954752475247517</v>
      </c>
      <c r="AY143">
        <v>-99.478760842627011</v>
      </c>
      <c r="AZ143">
        <v>-99.156778190830224</v>
      </c>
      <c r="BA143">
        <v>-98.83479553903345</v>
      </c>
      <c r="BB143">
        <v>-98.512812887236677</v>
      </c>
      <c r="BC143">
        <v>-98.19083023543989</v>
      </c>
      <c r="BD143">
        <v>-97.868847583643117</v>
      </c>
      <c r="BE143">
        <v>-97.546864931846329</v>
      </c>
      <c r="BF143">
        <v>-97.224882280049556</v>
      </c>
      <c r="BG143">
        <v>-96.902899628252783</v>
      </c>
      <c r="BH143">
        <v>-96.580916976455995</v>
      </c>
      <c r="BI143">
        <v>-96.386019801980197</v>
      </c>
      <c r="BJ143">
        <v>-96.300475247524759</v>
      </c>
      <c r="BK143">
        <v>-96.215237623762391</v>
      </c>
      <c r="BL143">
        <v>-96.154247524752478</v>
      </c>
      <c r="BM143">
        <v>-96.093257425742578</v>
      </c>
      <c r="BN143">
        <v>-96.048871287128719</v>
      </c>
      <c r="BO143">
        <v>-96.021940594059416</v>
      </c>
      <c r="BP143">
        <v>-95.995009900990112</v>
      </c>
      <c r="BQ143">
        <v>-96.068712871287133</v>
      </c>
      <c r="BR143">
        <v>-96.146336633663367</v>
      </c>
      <c r="BS143">
        <v>-96.321672862453525</v>
      </c>
      <c r="BT143">
        <v>-96.622639405204467</v>
      </c>
      <c r="BU143">
        <v>-96.923605947955394</v>
      </c>
      <c r="BV143">
        <v>-97.224572490706322</v>
      </c>
      <c r="BW143">
        <v>-97.52553903345725</v>
      </c>
      <c r="BX143">
        <v>-97.826505576208177</v>
      </c>
      <c r="BY143">
        <v>-98.127472118959119</v>
      </c>
      <c r="BZ143">
        <v>-98.428438661710047</v>
      </c>
      <c r="CA143">
        <v>-98.729405204460974</v>
      </c>
      <c r="CB143">
        <v>-99.030371747211902</v>
      </c>
      <c r="CC143">
        <v>-99.457762376237625</v>
      </c>
      <c r="CD143">
        <v>-100.11994059405941</v>
      </c>
      <c r="CE143">
        <v>-100.78211881188119</v>
      </c>
      <c r="CF143">
        <v>-101.17441584158415</v>
      </c>
      <c r="CG143">
        <v>-101.50946534653465</v>
      </c>
      <c r="CH143">
        <v>-101.744</v>
      </c>
      <c r="CI143">
        <v>-101.744</v>
      </c>
      <c r="CJ143">
        <v>-101.744</v>
      </c>
      <c r="CK143">
        <v>-101.99445544554456</v>
      </c>
      <c r="CL143">
        <v>-102.31762376237624</v>
      </c>
    </row>
    <row r="144" spans="1:90" ht="21.75" thickBot="1" x14ac:dyDescent="0.4">
      <c r="A144" s="18" t="s">
        <v>81</v>
      </c>
      <c r="B144" s="38">
        <v>-147.3618316831683</v>
      </c>
      <c r="C144" s="38">
        <v>-143.56544554455445</v>
      </c>
      <c r="D144" s="38">
        <v>-139.8981188118812</v>
      </c>
      <c r="E144" s="38">
        <v>-136.24267326732675</v>
      </c>
      <c r="F144">
        <v>-132.76544554455447</v>
      </c>
      <c r="G144">
        <v>-129.28821782178218</v>
      </c>
      <c r="H144">
        <v>-125.90891089108911</v>
      </c>
      <c r="I144">
        <v>-122.61386138613861</v>
      </c>
      <c r="J144">
        <v>-119.32173267326732</v>
      </c>
      <c r="K144">
        <v>-116.26034653465346</v>
      </c>
      <c r="L144">
        <v>-113.19896039603961</v>
      </c>
      <c r="M144">
        <v>-110.26886138613861</v>
      </c>
      <c r="N144">
        <v>-107.47678217821783</v>
      </c>
      <c r="O144">
        <v>-104.68470297029704</v>
      </c>
      <c r="P144">
        <v>-102.14420792079208</v>
      </c>
      <c r="Q144">
        <v>-99.613514851485149</v>
      </c>
      <c r="R144">
        <v>-97.198910891089113</v>
      </c>
      <c r="S144">
        <v>-94.933564356435639</v>
      </c>
      <c r="T144">
        <v>-92.668217821782179</v>
      </c>
      <c r="U144">
        <v>-90.819132589838901</v>
      </c>
      <c r="V144">
        <v>-89.009962825278805</v>
      </c>
      <c r="W144">
        <v>-87.200793060718709</v>
      </c>
      <c r="X144">
        <v>-85.391623296158613</v>
      </c>
      <c r="Y144">
        <v>-83.582453531598503</v>
      </c>
      <c r="Z144">
        <v>-81.773283767038407</v>
      </c>
      <c r="AA144">
        <v>-79.964114002478311</v>
      </c>
      <c r="AB144">
        <v>-78.154944237918215</v>
      </c>
      <c r="AC144">
        <v>-76.345774473358105</v>
      </c>
      <c r="AD144">
        <v>-74.536604708798009</v>
      </c>
      <c r="AE144">
        <v>-72.955544554455443</v>
      </c>
      <c r="AF144">
        <v>-71.422871287128714</v>
      </c>
      <c r="AG144">
        <v>-69.915148514851481</v>
      </c>
      <c r="AH144">
        <v>-68.465643564356427</v>
      </c>
      <c r="AI144">
        <v>-67.016138613861372</v>
      </c>
      <c r="AJ144">
        <v>-65.637227722772266</v>
      </c>
      <c r="AK144">
        <v>-64.278811881188119</v>
      </c>
      <c r="AL144">
        <v>-62.942178217821784</v>
      </c>
      <c r="AM144">
        <v>-61.670891089108913</v>
      </c>
      <c r="AN144">
        <v>-60.399603960396043</v>
      </c>
      <c r="AO144">
        <v>-59.18</v>
      </c>
      <c r="AP144">
        <v>-57.98</v>
      </c>
      <c r="AQ144">
        <v>-56.795049504950491</v>
      </c>
      <c r="AR144">
        <v>-55.670297029702965</v>
      </c>
      <c r="AS144">
        <v>-54.545544554455446</v>
      </c>
      <c r="AT144">
        <v>-53.476930693069306</v>
      </c>
      <c r="AU144">
        <v>-52.435346534653462</v>
      </c>
      <c r="AV144">
        <v>-51.412772277227717</v>
      </c>
      <c r="AW144">
        <v>-50.497920792079199</v>
      </c>
      <c r="AX144">
        <v>-49.583069306930689</v>
      </c>
      <c r="AY144">
        <v>-48.934671623296154</v>
      </c>
      <c r="AZ144">
        <v>-48.446146220570007</v>
      </c>
      <c r="BA144">
        <v>-47.957620817843861</v>
      </c>
      <c r="BB144">
        <v>-47.469095415117714</v>
      </c>
      <c r="BC144">
        <v>-46.980570012391574</v>
      </c>
      <c r="BD144">
        <v>-46.492044609665427</v>
      </c>
      <c r="BE144">
        <v>-46.003519206939281</v>
      </c>
      <c r="BF144">
        <v>-45.514993804213134</v>
      </c>
      <c r="BG144">
        <v>-45.026468401486987</v>
      </c>
      <c r="BH144">
        <v>-44.53794299876084</v>
      </c>
      <c r="BI144">
        <v>-44.155326732673267</v>
      </c>
      <c r="BJ144">
        <v>-43.863841584158415</v>
      </c>
      <c r="BK144">
        <v>-43.572663366336634</v>
      </c>
      <c r="BL144">
        <v>-43.305732673267329</v>
      </c>
      <c r="BM144">
        <v>-43.038801980198024</v>
      </c>
      <c r="BN144">
        <v>-42.784613861386141</v>
      </c>
      <c r="BO144">
        <v>-42.54382178217822</v>
      </c>
      <c r="BP144">
        <v>-42.303029702970299</v>
      </c>
      <c r="BQ144">
        <v>-42.261980198019806</v>
      </c>
      <c r="BR144">
        <v>-42.228712871287129</v>
      </c>
      <c r="BS144">
        <v>-42.269677819083022</v>
      </c>
      <c r="BT144">
        <v>-42.406084262701363</v>
      </c>
      <c r="BU144">
        <v>-42.542490706319704</v>
      </c>
      <c r="BV144">
        <v>-42.678897149938045</v>
      </c>
      <c r="BW144">
        <v>-42.815303593556379</v>
      </c>
      <c r="BX144">
        <v>-42.95171003717472</v>
      </c>
      <c r="BY144">
        <v>-43.088116480793062</v>
      </c>
      <c r="BZ144">
        <v>-43.224522924411396</v>
      </c>
      <c r="CA144">
        <v>-43.360929368029737</v>
      </c>
      <c r="CB144">
        <v>-43.497335811648078</v>
      </c>
      <c r="CC144">
        <v>-43.687465346534651</v>
      </c>
      <c r="CD144">
        <v>-43.977366336633658</v>
      </c>
      <c r="CE144">
        <v>-44.267267326732672</v>
      </c>
      <c r="CF144">
        <v>-44.437584158415838</v>
      </c>
      <c r="CG144">
        <v>-44.582534653465345</v>
      </c>
      <c r="CH144">
        <v>-44.683999999999997</v>
      </c>
      <c r="CI144">
        <v>-44.683999999999997</v>
      </c>
      <c r="CJ144">
        <v>-44.683999999999997</v>
      </c>
      <c r="CK144">
        <v>-44.793267326732675</v>
      </c>
      <c r="CL144">
        <v>-44.93425742574258</v>
      </c>
    </row>
    <row r="145" spans="1:90" ht="21.75" thickBot="1" x14ac:dyDescent="0.4">
      <c r="A145" s="18" t="s">
        <v>65</v>
      </c>
      <c r="B145" s="38">
        <v>-16.476831683168317</v>
      </c>
      <c r="C145" s="38">
        <v>-16.054752475247525</v>
      </c>
      <c r="D145" s="38">
        <v>-15.603267326732674</v>
      </c>
      <c r="E145" s="38">
        <v>-15.146336633663367</v>
      </c>
      <c r="F145">
        <v>-14.607722772277228</v>
      </c>
      <c r="G145">
        <v>-14.069108910891089</v>
      </c>
      <c r="H145">
        <v>-13.509207920792079</v>
      </c>
      <c r="I145">
        <v>-12.9309900990099</v>
      </c>
      <c r="J145">
        <v>-12.353019801980196</v>
      </c>
      <c r="K145">
        <v>-11.794603960396039</v>
      </c>
      <c r="L145">
        <v>-11.236188118811882</v>
      </c>
      <c r="M145">
        <v>-10.696693069306932</v>
      </c>
      <c r="N145">
        <v>-10.177089108910891</v>
      </c>
      <c r="O145">
        <v>-9.6574851485148514</v>
      </c>
      <c r="P145">
        <v>-9.1988712871287142</v>
      </c>
      <c r="Q145">
        <v>-8.7426336633663375</v>
      </c>
      <c r="R145">
        <v>-8.3239950495049513</v>
      </c>
      <c r="S145">
        <v>-7.9536980198019807</v>
      </c>
      <c r="T145">
        <v>-7.58340099009901</v>
      </c>
      <c r="U145">
        <v>-7.4200161090458483</v>
      </c>
      <c r="V145">
        <v>-7.2764721189591075</v>
      </c>
      <c r="W145">
        <v>-7.1329281288723667</v>
      </c>
      <c r="X145">
        <v>-6.9893841387856259</v>
      </c>
      <c r="Y145">
        <v>-6.8458401486988842</v>
      </c>
      <c r="Z145">
        <v>-6.7022961586121435</v>
      </c>
      <c r="AA145">
        <v>-6.5587521685254027</v>
      </c>
      <c r="AB145">
        <v>-6.415208178438661</v>
      </c>
      <c r="AC145">
        <v>-6.2716641883519202</v>
      </c>
      <c r="AD145">
        <v>-6.1281201982651794</v>
      </c>
      <c r="AE145">
        <v>-6.0961386138613856</v>
      </c>
      <c r="AF145">
        <v>-6.0878217821782172</v>
      </c>
      <c r="AG145">
        <v>-6.0840198019801983</v>
      </c>
      <c r="AH145">
        <v>-6.0907524752475251</v>
      </c>
      <c r="AI145">
        <v>-6.0974851485148518</v>
      </c>
      <c r="AJ145">
        <v>-6.1097425742574263</v>
      </c>
      <c r="AK145">
        <v>-6.1236039603960402</v>
      </c>
      <c r="AL145">
        <v>-6.1383564356435647</v>
      </c>
      <c r="AM145">
        <v>-6.1557821782178221</v>
      </c>
      <c r="AN145">
        <v>-6.1732079207920787</v>
      </c>
      <c r="AO145">
        <v>-6.1917821782178217</v>
      </c>
      <c r="AP145">
        <v>-6.2107920792079208</v>
      </c>
      <c r="AQ145">
        <v>-6.2303564356435643</v>
      </c>
      <c r="AR145">
        <v>-6.2521386138613861</v>
      </c>
      <c r="AS145">
        <v>-6.2739207920792079</v>
      </c>
      <c r="AT145">
        <v>-6.3021188118811882</v>
      </c>
      <c r="AU145">
        <v>-6.3334059405940595</v>
      </c>
      <c r="AV145">
        <v>-6.3692079207920802</v>
      </c>
      <c r="AW145">
        <v>-6.4305940594059408</v>
      </c>
      <c r="AX145">
        <v>-6.4919801980198022</v>
      </c>
      <c r="AY145">
        <v>-6.5659293680297397</v>
      </c>
      <c r="AZ145">
        <v>-6.647416356877323</v>
      </c>
      <c r="BA145">
        <v>-6.7289033457249063</v>
      </c>
      <c r="BB145">
        <v>-6.8103903345724905</v>
      </c>
      <c r="BC145">
        <v>-6.8918773234200739</v>
      </c>
      <c r="BD145">
        <v>-6.9733643122676572</v>
      </c>
      <c r="BE145">
        <v>-7.0548513011152414</v>
      </c>
      <c r="BF145">
        <v>-7.1363382899628247</v>
      </c>
      <c r="BG145">
        <v>-7.217825278810408</v>
      </c>
      <c r="BH145">
        <v>-7.2993122676579922</v>
      </c>
      <c r="BI145">
        <v>-7.3523267326732666</v>
      </c>
      <c r="BJ145">
        <v>-7.3808415841584152</v>
      </c>
      <c r="BK145">
        <v>-7.4093217821782176</v>
      </c>
      <c r="BL145">
        <v>-7.4350643564356433</v>
      </c>
      <c r="BM145">
        <v>-7.4608069306930691</v>
      </c>
      <c r="BN145">
        <v>-7.4869356435643564</v>
      </c>
      <c r="BO145">
        <v>-7.5134702970297029</v>
      </c>
      <c r="BP145">
        <v>-7.5400049504950504</v>
      </c>
      <c r="BQ145">
        <v>-7.5634900990099014</v>
      </c>
      <c r="BR145">
        <v>-7.5868564356435639</v>
      </c>
      <c r="BS145">
        <v>-7.6079368029739776</v>
      </c>
      <c r="BT145">
        <v>-7.6260780669144976</v>
      </c>
      <c r="BU145">
        <v>-7.6442193308550186</v>
      </c>
      <c r="BV145">
        <v>-7.6623605947955387</v>
      </c>
      <c r="BW145">
        <v>-7.6805018587360596</v>
      </c>
      <c r="BX145">
        <v>-7.6986431226765797</v>
      </c>
      <c r="BY145">
        <v>-7.7167843866171006</v>
      </c>
      <c r="BZ145">
        <v>-7.7349256505576207</v>
      </c>
      <c r="CA145">
        <v>-7.7530669144981417</v>
      </c>
      <c r="CB145">
        <v>-7.7712081784386617</v>
      </c>
      <c r="CC145">
        <v>-7.7961683168316833</v>
      </c>
      <c r="CD145">
        <v>-7.833792079207921</v>
      </c>
      <c r="CE145">
        <v>-7.8714158415841586</v>
      </c>
      <c r="CF145">
        <v>-7.894009900990099</v>
      </c>
      <c r="CG145">
        <v>-7.9134158415841584</v>
      </c>
      <c r="CH145">
        <v>-7.9269999999999996</v>
      </c>
      <c r="CI145">
        <v>-7.9269999999999996</v>
      </c>
      <c r="CJ145">
        <v>-7.9269999999999996</v>
      </c>
      <c r="CK145">
        <v>-7.9420396039603958</v>
      </c>
      <c r="CL145">
        <v>-7.9614455445544552</v>
      </c>
    </row>
    <row r="146" spans="1:90" ht="21.75" thickBot="1" x14ac:dyDescent="0.4">
      <c r="A146" s="18" t="s">
        <v>66</v>
      </c>
      <c r="B146" s="38">
        <v>-62.393712871287136</v>
      </c>
      <c r="C146" s="38">
        <v>-60.681138613861393</v>
      </c>
      <c r="D146" s="38">
        <v>-58.997970297029703</v>
      </c>
      <c r="E146" s="38">
        <v>-57.315049504950494</v>
      </c>
      <c r="F146">
        <v>-55.635841584158413</v>
      </c>
      <c r="G146">
        <v>-53.956633663366333</v>
      </c>
      <c r="H146">
        <v>-52.292326732673267</v>
      </c>
      <c r="I146">
        <v>-50.640841584158409</v>
      </c>
      <c r="J146">
        <v>-48.990396039603951</v>
      </c>
      <c r="K146">
        <v>-47.422079207920788</v>
      </c>
      <c r="L146">
        <v>-45.853762376237626</v>
      </c>
      <c r="M146">
        <v>-44.345297029702969</v>
      </c>
      <c r="N146">
        <v>-42.899752475247524</v>
      </c>
      <c r="O146">
        <v>-41.454207920792079</v>
      </c>
      <c r="P146">
        <v>-40.134455445544553</v>
      </c>
      <c r="Q146">
        <v>-38.819603960396037</v>
      </c>
      <c r="R146">
        <v>-37.565396039603961</v>
      </c>
      <c r="S146">
        <v>-36.389158415841585</v>
      </c>
      <c r="T146">
        <v>-35.212920792079203</v>
      </c>
      <c r="U146">
        <v>-34.249739776951671</v>
      </c>
      <c r="V146">
        <v>-33.306988847583639</v>
      </c>
      <c r="W146">
        <v>-32.364237918215615</v>
      </c>
      <c r="X146">
        <v>-31.421486988847583</v>
      </c>
      <c r="Y146">
        <v>-30.478736059479552</v>
      </c>
      <c r="Z146">
        <v>-29.535985130111523</v>
      </c>
      <c r="AA146">
        <v>-28.593234200743495</v>
      </c>
      <c r="AB146">
        <v>-27.650483271375464</v>
      </c>
      <c r="AC146">
        <v>-26.707732342007432</v>
      </c>
      <c r="AD146">
        <v>-25.764981412639404</v>
      </c>
      <c r="AE146">
        <v>-24.923663366336633</v>
      </c>
      <c r="AF146">
        <v>-24.103861386138615</v>
      </c>
      <c r="AG146">
        <v>-23.29594059405941</v>
      </c>
      <c r="AH146">
        <v>-22.515742574257423</v>
      </c>
      <c r="AI146">
        <v>-21.735544554455441</v>
      </c>
      <c r="AJ146">
        <v>-20.989108910891083</v>
      </c>
      <c r="AK146">
        <v>-20.25247524752475</v>
      </c>
      <c r="AL146">
        <v>-19.526732673267325</v>
      </c>
      <c r="AM146">
        <v>-18.833663366336634</v>
      </c>
      <c r="AN146">
        <v>-18.140594059405942</v>
      </c>
      <c r="AO146">
        <v>-17.473366336633664</v>
      </c>
      <c r="AP146">
        <v>-16.815940594059406</v>
      </c>
      <c r="AQ146">
        <v>-16.166435643564355</v>
      </c>
      <c r="AR146">
        <v>-15.548613861386139</v>
      </c>
      <c r="AS146">
        <v>-14.930792079207922</v>
      </c>
      <c r="AT146">
        <v>-14.342376237623762</v>
      </c>
      <c r="AU146">
        <v>-13.768118811881186</v>
      </c>
      <c r="AV146">
        <v>-13.204554455445541</v>
      </c>
      <c r="AW146">
        <v>-12.701584158415839</v>
      </c>
      <c r="AX146">
        <v>-12.198613861386137</v>
      </c>
      <c r="AY146">
        <v>-11.831313506815366</v>
      </c>
      <c r="AZ146">
        <v>-11.545415117719951</v>
      </c>
      <c r="BA146">
        <v>-11.259516728624536</v>
      </c>
      <c r="BB146">
        <v>-10.973618339529121</v>
      </c>
      <c r="BC146">
        <v>-10.687719950433706</v>
      </c>
      <c r="BD146">
        <v>-10.401821561338291</v>
      </c>
      <c r="BE146">
        <v>-10.115923172242876</v>
      </c>
      <c r="BF146">
        <v>-9.8300247831474614</v>
      </c>
      <c r="BG146">
        <v>-9.5441263940520464</v>
      </c>
      <c r="BH146">
        <v>-9.2582280049566315</v>
      </c>
      <c r="BI146">
        <v>-9.0199900990099007</v>
      </c>
      <c r="BJ146">
        <v>-8.8227623762376233</v>
      </c>
      <c r="BK146">
        <v>-8.6256881188118815</v>
      </c>
      <c r="BL146">
        <v>-8.4407376237623755</v>
      </c>
      <c r="BM146">
        <v>-8.2557871287128712</v>
      </c>
      <c r="BN146">
        <v>-8.0762425742574262</v>
      </c>
      <c r="BO146">
        <v>-7.9023811881188113</v>
      </c>
      <c r="BP146">
        <v>-7.7285198019801973</v>
      </c>
      <c r="BQ146">
        <v>-7.6793069306930697</v>
      </c>
      <c r="BR146">
        <v>-7.6349504950495053</v>
      </c>
      <c r="BS146">
        <v>-7.6218401486988849</v>
      </c>
      <c r="BT146">
        <v>-7.6489033457249072</v>
      </c>
      <c r="BU146">
        <v>-7.6759665427509294</v>
      </c>
      <c r="BV146">
        <v>-7.7030297397769516</v>
      </c>
      <c r="BW146">
        <v>-7.7300929368029738</v>
      </c>
      <c r="BX146">
        <v>-7.757156133828996</v>
      </c>
      <c r="BY146">
        <v>-7.7842193308550183</v>
      </c>
      <c r="BZ146">
        <v>-7.8112825278810405</v>
      </c>
      <c r="CA146">
        <v>-7.8383457249070627</v>
      </c>
      <c r="CB146">
        <v>-7.8654089219330849</v>
      </c>
      <c r="CC146">
        <v>-7.901158415841584</v>
      </c>
      <c r="CD146">
        <v>-7.9530396039603959</v>
      </c>
      <c r="CE146">
        <v>-8.0049207920792078</v>
      </c>
      <c r="CF146">
        <v>-8.0345841584158411</v>
      </c>
      <c r="CG146">
        <v>-8.0595346534653469</v>
      </c>
      <c r="CH146">
        <v>-8.077</v>
      </c>
      <c r="CI146">
        <v>-8.077</v>
      </c>
      <c r="CJ146">
        <v>-8.077</v>
      </c>
      <c r="CK146">
        <v>-8.0963366336633662</v>
      </c>
      <c r="CL146">
        <v>-8.1212871287128721</v>
      </c>
    </row>
    <row r="147" spans="1:90" ht="21.75" thickBot="1" x14ac:dyDescent="0.4">
      <c r="A147" s="18" t="s">
        <v>67</v>
      </c>
      <c r="B147" s="38">
        <v>-22.574405940594058</v>
      </c>
      <c r="C147" s="38">
        <v>-22.203168316831682</v>
      </c>
      <c r="D147" s="38">
        <v>-21.902178217821781</v>
      </c>
      <c r="E147" s="38">
        <v>-21.612574257425745</v>
      </c>
      <c r="F147">
        <v>-21.493762376237623</v>
      </c>
      <c r="G147">
        <v>-21.374950495049504</v>
      </c>
      <c r="H147">
        <v>-21.324257425742573</v>
      </c>
      <c r="I147">
        <v>-21.332178217821781</v>
      </c>
      <c r="J147">
        <v>-21.340940594059408</v>
      </c>
      <c r="K147">
        <v>-21.416188118811881</v>
      </c>
      <c r="L147">
        <v>-21.491435643564358</v>
      </c>
      <c r="M147">
        <v>-21.578267326732675</v>
      </c>
      <c r="N147">
        <v>-21.677277227722772</v>
      </c>
      <c r="O147">
        <v>-21.776287128712873</v>
      </c>
      <c r="P147">
        <v>-21.875297029702971</v>
      </c>
      <c r="Q147">
        <v>-21.974306930693071</v>
      </c>
      <c r="R147">
        <v>-22.068118811881188</v>
      </c>
      <c r="S147">
        <v>-22.155247524752475</v>
      </c>
      <c r="T147">
        <v>-22.242376237623763</v>
      </c>
      <c r="U147">
        <v>-22.319653035935563</v>
      </c>
      <c r="V147">
        <v>-22.395985130111523</v>
      </c>
      <c r="W147">
        <v>-22.472317224287483</v>
      </c>
      <c r="X147">
        <v>-22.548649318463443</v>
      </c>
      <c r="Y147">
        <v>-22.624981412639404</v>
      </c>
      <c r="Z147">
        <v>-22.701313506815364</v>
      </c>
      <c r="AA147">
        <v>-22.777645600991328</v>
      </c>
      <c r="AB147">
        <v>-22.853977695167288</v>
      </c>
      <c r="AC147">
        <v>-22.930309789343248</v>
      </c>
      <c r="AD147">
        <v>-23.006641883519208</v>
      </c>
      <c r="AE147">
        <v>-23.108217821782176</v>
      </c>
      <c r="AF147">
        <v>-23.215148514851485</v>
      </c>
      <c r="AG147">
        <v>-23.323267326732672</v>
      </c>
      <c r="AH147">
        <v>-23.434158415841583</v>
      </c>
      <c r="AI147">
        <v>-23.545049504950494</v>
      </c>
      <c r="AJ147">
        <v>-23.6590099009901</v>
      </c>
      <c r="AK147">
        <v>-23.773861386138613</v>
      </c>
      <c r="AL147">
        <v>-23.88871287128713</v>
      </c>
      <c r="AM147">
        <v>-24.003564356435643</v>
      </c>
      <c r="AN147">
        <v>-24.118415841584156</v>
      </c>
      <c r="AO147">
        <v>-24.233267326732673</v>
      </c>
      <c r="AP147">
        <v>-24.348118811881189</v>
      </c>
      <c r="AQ147">
        <v>-24.462178217821783</v>
      </c>
      <c r="AR147">
        <v>-24.573069306930694</v>
      </c>
      <c r="AS147">
        <v>-24.683960396039602</v>
      </c>
      <c r="AT147">
        <v>-24.792178217821782</v>
      </c>
      <c r="AU147">
        <v>-24.899108910891087</v>
      </c>
      <c r="AV147">
        <v>-25.003663366336632</v>
      </c>
      <c r="AW147">
        <v>-25.094752475247525</v>
      </c>
      <c r="AX147">
        <v>-25.185841584158414</v>
      </c>
      <c r="AY147">
        <v>-25.272044609665425</v>
      </c>
      <c r="AZ147">
        <v>-25.355315985130112</v>
      </c>
      <c r="BA147">
        <v>-25.438587360594795</v>
      </c>
      <c r="BB147">
        <v>-25.521858736059478</v>
      </c>
      <c r="BC147">
        <v>-25.605130111524161</v>
      </c>
      <c r="BD147">
        <v>-25.688401486988845</v>
      </c>
      <c r="BE147">
        <v>-25.771672862453531</v>
      </c>
      <c r="BF147">
        <v>-25.854944237918215</v>
      </c>
      <c r="BG147">
        <v>-25.938215613382898</v>
      </c>
      <c r="BH147">
        <v>-26.021486988847581</v>
      </c>
      <c r="BI147">
        <v>-26.115346534653465</v>
      </c>
      <c r="BJ147">
        <v>-26.218316831683168</v>
      </c>
      <c r="BK147">
        <v>-26.321287128712871</v>
      </c>
      <c r="BL147">
        <v>-26.424257425742574</v>
      </c>
      <c r="BM147">
        <v>-26.527227722772277</v>
      </c>
      <c r="BN147">
        <v>-26.632128712871285</v>
      </c>
      <c r="BO147">
        <v>-26.739059405940594</v>
      </c>
      <c r="BP147">
        <v>-26.845990099009903</v>
      </c>
      <c r="BQ147">
        <v>-26.903366336633663</v>
      </c>
      <c r="BR147">
        <v>-26.958811881188119</v>
      </c>
      <c r="BS147">
        <v>-27.025997521685252</v>
      </c>
      <c r="BT147">
        <v>-27.108277571251548</v>
      </c>
      <c r="BU147">
        <v>-27.190557620817842</v>
      </c>
      <c r="BV147">
        <v>-27.272837670384138</v>
      </c>
      <c r="BW147">
        <v>-27.355117719950432</v>
      </c>
      <c r="BX147">
        <v>-27.437397769516728</v>
      </c>
      <c r="BY147">
        <v>-27.519677819083022</v>
      </c>
      <c r="BZ147">
        <v>-27.601957868649318</v>
      </c>
      <c r="CA147">
        <v>-27.684237918215612</v>
      </c>
      <c r="CB147">
        <v>-27.766517967781908</v>
      </c>
      <c r="CC147">
        <v>-27.885148514851483</v>
      </c>
      <c r="CD147">
        <v>-28.071287128712871</v>
      </c>
      <c r="CE147">
        <v>-28.257425742574256</v>
      </c>
      <c r="CF147">
        <v>-28.368415841584159</v>
      </c>
      <c r="CG147">
        <v>-28.463465346534655</v>
      </c>
      <c r="CH147">
        <v>-28.53</v>
      </c>
      <c r="CI147">
        <v>-28.53</v>
      </c>
      <c r="CJ147">
        <v>-28.53</v>
      </c>
      <c r="CK147">
        <v>-28.600594059405942</v>
      </c>
      <c r="CL147">
        <v>-28.691683168316832</v>
      </c>
    </row>
    <row r="148" spans="1:90" ht="21.75" thickBot="1" x14ac:dyDescent="0.4">
      <c r="A148" s="18" t="s">
        <v>68</v>
      </c>
      <c r="B148" s="38">
        <v>-22.574405940594058</v>
      </c>
      <c r="C148" s="38">
        <v>-22.203168316831682</v>
      </c>
      <c r="D148" s="38">
        <v>-21.902178217821781</v>
      </c>
      <c r="E148" s="38">
        <v>-21.612574257425745</v>
      </c>
      <c r="F148">
        <v>-21.493762376237623</v>
      </c>
      <c r="G148">
        <v>-21.374950495049504</v>
      </c>
      <c r="H148">
        <v>-21.324257425742573</v>
      </c>
      <c r="I148">
        <v>-21.332178217821781</v>
      </c>
      <c r="J148">
        <v>-21.340940594059408</v>
      </c>
      <c r="K148">
        <v>-21.416188118811881</v>
      </c>
      <c r="L148">
        <v>-21.491435643564358</v>
      </c>
      <c r="M148">
        <v>-21.578267326732675</v>
      </c>
      <c r="N148">
        <v>-21.677277227722772</v>
      </c>
      <c r="O148">
        <v>-21.776287128712873</v>
      </c>
      <c r="P148">
        <v>-21.875297029702971</v>
      </c>
      <c r="Q148">
        <v>-21.974306930693071</v>
      </c>
      <c r="R148">
        <v>-22.068118811881188</v>
      </c>
      <c r="S148">
        <v>-22.155247524752475</v>
      </c>
      <c r="T148">
        <v>-22.242376237623763</v>
      </c>
      <c r="U148">
        <v>-22.319653035935563</v>
      </c>
      <c r="V148">
        <v>-22.395985130111523</v>
      </c>
      <c r="W148">
        <v>-22.472317224287483</v>
      </c>
      <c r="X148">
        <v>-22.548649318463443</v>
      </c>
      <c r="Y148">
        <v>-22.624981412639404</v>
      </c>
      <c r="Z148">
        <v>-22.701313506815364</v>
      </c>
      <c r="AA148">
        <v>-22.777645600991328</v>
      </c>
      <c r="AB148">
        <v>-22.853977695167288</v>
      </c>
      <c r="AC148">
        <v>-22.930309789343248</v>
      </c>
      <c r="AD148">
        <v>-23.006641883519208</v>
      </c>
      <c r="AE148">
        <v>-23.108217821782176</v>
      </c>
      <c r="AF148">
        <v>-23.215148514851485</v>
      </c>
      <c r="AG148">
        <v>-23.323267326732672</v>
      </c>
      <c r="AH148">
        <v>-23.434158415841583</v>
      </c>
      <c r="AI148">
        <v>-23.545049504950494</v>
      </c>
      <c r="AJ148">
        <v>-23.6590099009901</v>
      </c>
      <c r="AK148">
        <v>-23.773861386138613</v>
      </c>
      <c r="AL148">
        <v>-23.88871287128713</v>
      </c>
      <c r="AM148">
        <v>-24.003564356435643</v>
      </c>
      <c r="AN148">
        <v>-24.118415841584156</v>
      </c>
      <c r="AO148">
        <v>-24.233267326732673</v>
      </c>
      <c r="AP148">
        <v>-24.348118811881189</v>
      </c>
      <c r="AQ148">
        <v>-24.462178217821783</v>
      </c>
      <c r="AR148">
        <v>-24.573069306930694</v>
      </c>
      <c r="AS148">
        <v>-24.683960396039602</v>
      </c>
      <c r="AT148">
        <v>-24.792178217821782</v>
      </c>
      <c r="AU148">
        <v>-24.899108910891087</v>
      </c>
      <c r="AV148">
        <v>-25.003663366336632</v>
      </c>
      <c r="AW148">
        <v>-25.094752475247525</v>
      </c>
      <c r="AX148">
        <v>-25.185841584158414</v>
      </c>
      <c r="AY148">
        <v>-25.272044609665425</v>
      </c>
      <c r="AZ148">
        <v>-25.355315985130112</v>
      </c>
      <c r="BA148">
        <v>-25.438587360594795</v>
      </c>
      <c r="BB148">
        <v>-25.521858736059478</v>
      </c>
      <c r="BC148">
        <v>-25.605130111524161</v>
      </c>
      <c r="BD148">
        <v>-25.688401486988845</v>
      </c>
      <c r="BE148">
        <v>-25.771672862453531</v>
      </c>
      <c r="BF148">
        <v>-25.854944237918215</v>
      </c>
      <c r="BG148">
        <v>-25.938215613382898</v>
      </c>
      <c r="BH148">
        <v>-26.021486988847581</v>
      </c>
      <c r="BI148">
        <v>-26.115346534653465</v>
      </c>
      <c r="BJ148">
        <v>-26.218316831683168</v>
      </c>
      <c r="BK148">
        <v>-26.321287128712871</v>
      </c>
      <c r="BL148">
        <v>-26.424257425742574</v>
      </c>
      <c r="BM148">
        <v>-26.527227722772277</v>
      </c>
      <c r="BN148">
        <v>-26.632128712871285</v>
      </c>
      <c r="BO148">
        <v>-26.739059405940594</v>
      </c>
      <c r="BP148">
        <v>-26.845990099009903</v>
      </c>
      <c r="BQ148">
        <v>-26.903366336633663</v>
      </c>
      <c r="BR148">
        <v>-26.958811881188119</v>
      </c>
      <c r="BS148">
        <v>-27.025997521685252</v>
      </c>
      <c r="BT148">
        <v>-27.108277571251548</v>
      </c>
      <c r="BU148">
        <v>-27.190557620817842</v>
      </c>
      <c r="BV148">
        <v>-27.272837670384138</v>
      </c>
      <c r="BW148">
        <v>-27.355117719950432</v>
      </c>
      <c r="BX148">
        <v>-27.437397769516728</v>
      </c>
      <c r="BY148">
        <v>-27.519677819083022</v>
      </c>
      <c r="BZ148">
        <v>-27.601957868649318</v>
      </c>
      <c r="CA148">
        <v>-27.684237918215612</v>
      </c>
      <c r="CB148">
        <v>-27.766517967781908</v>
      </c>
      <c r="CC148">
        <v>-27.885148514851483</v>
      </c>
      <c r="CD148">
        <v>-28.071287128712871</v>
      </c>
      <c r="CE148">
        <v>-28.257425742574256</v>
      </c>
      <c r="CF148">
        <v>-28.368415841584159</v>
      </c>
      <c r="CG148">
        <v>-28.463465346534655</v>
      </c>
      <c r="CH148">
        <v>-28.53</v>
      </c>
      <c r="CI148">
        <v>-28.53</v>
      </c>
      <c r="CJ148">
        <v>-28.53</v>
      </c>
      <c r="CK148">
        <v>-28.600594059405942</v>
      </c>
      <c r="CL148">
        <v>-28.691683168316832</v>
      </c>
    </row>
    <row r="149" spans="1:90" ht="21.75" thickBot="1" x14ac:dyDescent="0.4">
      <c r="A149" s="18" t="s">
        <v>69</v>
      </c>
      <c r="B149" s="38">
        <v>-22.574405940594058</v>
      </c>
      <c r="C149" s="38">
        <v>-22.203168316831682</v>
      </c>
      <c r="D149" s="38">
        <v>-21.902178217821781</v>
      </c>
      <c r="E149" s="38">
        <v>-21.612574257425745</v>
      </c>
      <c r="F149">
        <v>-21.493762376237623</v>
      </c>
      <c r="G149">
        <v>-21.374950495049504</v>
      </c>
      <c r="H149">
        <v>-21.324257425742573</v>
      </c>
      <c r="I149">
        <v>-21.332178217821781</v>
      </c>
      <c r="J149">
        <v>-21.340940594059408</v>
      </c>
      <c r="K149">
        <v>-21.416188118811881</v>
      </c>
      <c r="L149">
        <v>-21.491435643564358</v>
      </c>
      <c r="M149">
        <v>-21.578267326732675</v>
      </c>
      <c r="N149">
        <v>-21.677277227722772</v>
      </c>
      <c r="O149">
        <v>-21.776287128712873</v>
      </c>
      <c r="P149">
        <v>-21.875297029702971</v>
      </c>
      <c r="Q149">
        <v>-21.974306930693071</v>
      </c>
      <c r="R149">
        <v>-22.068118811881188</v>
      </c>
      <c r="S149">
        <v>-22.155247524752475</v>
      </c>
      <c r="T149">
        <v>-22.242376237623763</v>
      </c>
      <c r="U149">
        <v>-22.319653035935563</v>
      </c>
      <c r="V149">
        <v>-22.395985130111523</v>
      </c>
      <c r="W149">
        <v>-22.472317224287483</v>
      </c>
      <c r="X149">
        <v>-22.548649318463443</v>
      </c>
      <c r="Y149">
        <v>-22.624981412639404</v>
      </c>
      <c r="Z149">
        <v>-22.701313506815364</v>
      </c>
      <c r="AA149">
        <v>-22.777645600991328</v>
      </c>
      <c r="AB149">
        <v>-22.853977695167288</v>
      </c>
      <c r="AC149">
        <v>-22.930309789343248</v>
      </c>
      <c r="AD149">
        <v>-23.006641883519208</v>
      </c>
      <c r="AE149">
        <v>-23.108217821782176</v>
      </c>
      <c r="AF149">
        <v>-23.215148514851485</v>
      </c>
      <c r="AG149">
        <v>-23.323267326732672</v>
      </c>
      <c r="AH149">
        <v>-23.434158415841583</v>
      </c>
      <c r="AI149">
        <v>-23.545049504950494</v>
      </c>
      <c r="AJ149">
        <v>-23.6590099009901</v>
      </c>
      <c r="AK149">
        <v>-23.773861386138613</v>
      </c>
      <c r="AL149">
        <v>-23.88871287128713</v>
      </c>
      <c r="AM149">
        <v>-24.003564356435643</v>
      </c>
      <c r="AN149">
        <v>-24.118415841584156</v>
      </c>
      <c r="AO149">
        <v>-24.233267326732673</v>
      </c>
      <c r="AP149">
        <v>-24.348118811881189</v>
      </c>
      <c r="AQ149">
        <v>-24.462178217821783</v>
      </c>
      <c r="AR149">
        <v>-24.573069306930694</v>
      </c>
      <c r="AS149">
        <v>-24.683960396039602</v>
      </c>
      <c r="AT149">
        <v>-24.792178217821782</v>
      </c>
      <c r="AU149">
        <v>-24.899108910891087</v>
      </c>
      <c r="AV149">
        <v>-25.003663366336632</v>
      </c>
      <c r="AW149">
        <v>-25.094752475247525</v>
      </c>
      <c r="AX149">
        <v>-25.185841584158414</v>
      </c>
      <c r="AY149">
        <v>-25.272044609665425</v>
      </c>
      <c r="AZ149">
        <v>-25.355315985130112</v>
      </c>
      <c r="BA149">
        <v>-25.438587360594795</v>
      </c>
      <c r="BB149">
        <v>-25.521858736059478</v>
      </c>
      <c r="BC149">
        <v>-25.605130111524161</v>
      </c>
      <c r="BD149">
        <v>-25.688401486988845</v>
      </c>
      <c r="BE149">
        <v>-25.771672862453531</v>
      </c>
      <c r="BF149">
        <v>-25.854944237918215</v>
      </c>
      <c r="BG149">
        <v>-25.938215613382898</v>
      </c>
      <c r="BH149">
        <v>-26.021486988847581</v>
      </c>
      <c r="BI149">
        <v>-26.115346534653465</v>
      </c>
      <c r="BJ149">
        <v>-26.218316831683168</v>
      </c>
      <c r="BK149">
        <v>-26.321287128712871</v>
      </c>
      <c r="BL149">
        <v>-26.424257425742574</v>
      </c>
      <c r="BM149">
        <v>-26.527227722772277</v>
      </c>
      <c r="BN149">
        <v>-26.632128712871285</v>
      </c>
      <c r="BO149">
        <v>-26.739059405940594</v>
      </c>
      <c r="BP149">
        <v>-26.845990099009903</v>
      </c>
      <c r="BQ149">
        <v>-26.903366336633663</v>
      </c>
      <c r="BR149">
        <v>-26.958811881188119</v>
      </c>
      <c r="BS149">
        <v>-27.025997521685252</v>
      </c>
      <c r="BT149">
        <v>-27.108277571251548</v>
      </c>
      <c r="BU149">
        <v>-27.190557620817842</v>
      </c>
      <c r="BV149">
        <v>-27.272837670384138</v>
      </c>
      <c r="BW149">
        <v>-27.355117719950432</v>
      </c>
      <c r="BX149">
        <v>-27.437397769516728</v>
      </c>
      <c r="BY149">
        <v>-27.519677819083022</v>
      </c>
      <c r="BZ149">
        <v>-27.601957868649318</v>
      </c>
      <c r="CA149">
        <v>-27.684237918215612</v>
      </c>
      <c r="CB149">
        <v>-27.766517967781908</v>
      </c>
      <c r="CC149">
        <v>-27.885148514851483</v>
      </c>
      <c r="CD149">
        <v>-28.071287128712871</v>
      </c>
      <c r="CE149">
        <v>-28.257425742574256</v>
      </c>
      <c r="CF149">
        <v>-28.368415841584159</v>
      </c>
      <c r="CG149">
        <v>-28.463465346534655</v>
      </c>
      <c r="CH149">
        <v>-28.53</v>
      </c>
      <c r="CI149">
        <v>-28.53</v>
      </c>
      <c r="CJ149">
        <v>-28.53</v>
      </c>
      <c r="CK149">
        <v>-28.600594059405942</v>
      </c>
      <c r="CL149">
        <v>-28.691683168316832</v>
      </c>
    </row>
    <row r="150" spans="1:90" ht="21.75" thickBot="1" x14ac:dyDescent="0.4">
      <c r="A150" s="18" t="s">
        <v>70</v>
      </c>
      <c r="B150" s="38">
        <v>-22.574405940594058</v>
      </c>
      <c r="C150" s="38">
        <v>-22.203168316831682</v>
      </c>
      <c r="D150" s="38">
        <v>-21.902178217821781</v>
      </c>
      <c r="E150" s="38">
        <v>-21.612574257425745</v>
      </c>
      <c r="F150">
        <v>-21.493762376237623</v>
      </c>
      <c r="G150">
        <v>-21.374950495049504</v>
      </c>
      <c r="H150">
        <v>-21.324257425742573</v>
      </c>
      <c r="I150">
        <v>-21.332178217821781</v>
      </c>
      <c r="J150">
        <v>-21.340940594059408</v>
      </c>
      <c r="K150">
        <v>-21.416188118811881</v>
      </c>
      <c r="L150">
        <v>-21.491435643564358</v>
      </c>
      <c r="M150">
        <v>-21.578267326732675</v>
      </c>
      <c r="N150">
        <v>-21.677277227722772</v>
      </c>
      <c r="O150">
        <v>-21.776287128712873</v>
      </c>
      <c r="P150">
        <v>-21.875297029702971</v>
      </c>
      <c r="Q150">
        <v>-21.974306930693071</v>
      </c>
      <c r="R150">
        <v>-22.068118811881188</v>
      </c>
      <c r="S150">
        <v>-22.155247524752475</v>
      </c>
      <c r="T150">
        <v>-22.242376237623763</v>
      </c>
      <c r="U150">
        <v>-22.319653035935563</v>
      </c>
      <c r="V150">
        <v>-22.395985130111523</v>
      </c>
      <c r="W150">
        <v>-22.472317224287483</v>
      </c>
      <c r="X150">
        <v>-22.548649318463443</v>
      </c>
      <c r="Y150">
        <v>-22.624981412639404</v>
      </c>
      <c r="Z150">
        <v>-22.701313506815364</v>
      </c>
      <c r="AA150">
        <v>-22.777645600991328</v>
      </c>
      <c r="AB150">
        <v>-22.853977695167288</v>
      </c>
      <c r="AC150">
        <v>-22.930309789343248</v>
      </c>
      <c r="AD150">
        <v>-23.006641883519208</v>
      </c>
      <c r="AE150">
        <v>-23.108217821782176</v>
      </c>
      <c r="AF150">
        <v>-23.215148514851485</v>
      </c>
      <c r="AG150">
        <v>-23.323267326732672</v>
      </c>
      <c r="AH150">
        <v>-23.434158415841583</v>
      </c>
      <c r="AI150">
        <v>-23.545049504950494</v>
      </c>
      <c r="AJ150">
        <v>-23.6590099009901</v>
      </c>
      <c r="AK150">
        <v>-23.773861386138613</v>
      </c>
      <c r="AL150">
        <v>-23.88871287128713</v>
      </c>
      <c r="AM150">
        <v>-24.003564356435643</v>
      </c>
      <c r="AN150">
        <v>-24.118415841584156</v>
      </c>
      <c r="AO150">
        <v>-24.233267326732673</v>
      </c>
      <c r="AP150">
        <v>-24.348118811881189</v>
      </c>
      <c r="AQ150">
        <v>-24.462178217821783</v>
      </c>
      <c r="AR150">
        <v>-24.573069306930694</v>
      </c>
      <c r="AS150">
        <v>-24.683960396039602</v>
      </c>
      <c r="AT150">
        <v>-24.792178217821782</v>
      </c>
      <c r="AU150">
        <v>-24.899108910891087</v>
      </c>
      <c r="AV150">
        <v>-25.003663366336632</v>
      </c>
      <c r="AW150">
        <v>-25.094752475247525</v>
      </c>
      <c r="AX150">
        <v>-25.185841584158414</v>
      </c>
      <c r="AY150">
        <v>-25.272044609665425</v>
      </c>
      <c r="AZ150">
        <v>-25.355315985130112</v>
      </c>
      <c r="BA150">
        <v>-25.438587360594795</v>
      </c>
      <c r="BB150">
        <v>-25.521858736059478</v>
      </c>
      <c r="BC150">
        <v>-25.605130111524161</v>
      </c>
      <c r="BD150">
        <v>-25.688401486988845</v>
      </c>
      <c r="BE150">
        <v>-25.771672862453531</v>
      </c>
      <c r="BF150">
        <v>-25.854944237918215</v>
      </c>
      <c r="BG150">
        <v>-25.938215613382898</v>
      </c>
      <c r="BH150">
        <v>-26.021486988847581</v>
      </c>
      <c r="BI150">
        <v>-26.115346534653465</v>
      </c>
      <c r="BJ150">
        <v>-26.218316831683168</v>
      </c>
      <c r="BK150">
        <v>-26.321287128712871</v>
      </c>
      <c r="BL150">
        <v>-26.424257425742574</v>
      </c>
      <c r="BM150">
        <v>-26.527227722772277</v>
      </c>
      <c r="BN150">
        <v>-26.632128712871285</v>
      </c>
      <c r="BO150">
        <v>-26.739059405940594</v>
      </c>
      <c r="BP150">
        <v>-26.845990099009903</v>
      </c>
      <c r="BQ150">
        <v>-26.903366336633663</v>
      </c>
      <c r="BR150">
        <v>-26.958811881188119</v>
      </c>
      <c r="BS150">
        <v>-27.025997521685252</v>
      </c>
      <c r="BT150">
        <v>-27.108277571251548</v>
      </c>
      <c r="BU150">
        <v>-27.190557620817842</v>
      </c>
      <c r="BV150">
        <v>-27.272837670384138</v>
      </c>
      <c r="BW150">
        <v>-27.355117719950432</v>
      </c>
      <c r="BX150">
        <v>-27.437397769516728</v>
      </c>
      <c r="BY150">
        <v>-27.519677819083022</v>
      </c>
      <c r="BZ150">
        <v>-27.601957868649318</v>
      </c>
      <c r="CA150">
        <v>-27.684237918215612</v>
      </c>
      <c r="CB150">
        <v>-27.766517967781908</v>
      </c>
      <c r="CC150">
        <v>-27.885148514851483</v>
      </c>
      <c r="CD150">
        <v>-28.071287128712871</v>
      </c>
      <c r="CE150">
        <v>-28.257425742574256</v>
      </c>
      <c r="CF150">
        <v>-28.368415841584159</v>
      </c>
      <c r="CG150">
        <v>-28.463465346534655</v>
      </c>
      <c r="CH150">
        <v>-28.53</v>
      </c>
      <c r="CI150">
        <v>-28.53</v>
      </c>
      <c r="CJ150">
        <v>-28.53</v>
      </c>
      <c r="CK150">
        <v>-28.600594059405942</v>
      </c>
      <c r="CL150">
        <v>-28.691683168316832</v>
      </c>
    </row>
    <row r="151" spans="1:90" ht="21.75" thickBot="1" x14ac:dyDescent="0.4">
      <c r="A151" s="18" t="s">
        <v>71</v>
      </c>
      <c r="B151" s="38">
        <v>-16.476831683168317</v>
      </c>
      <c r="C151" s="38">
        <v>-16.054752475247525</v>
      </c>
      <c r="D151" s="38">
        <v>-15.603267326732674</v>
      </c>
      <c r="E151" s="38">
        <v>-15.146336633663367</v>
      </c>
      <c r="F151">
        <v>-14.607722772277228</v>
      </c>
      <c r="G151">
        <v>-14.069108910891089</v>
      </c>
      <c r="H151">
        <v>-13.509207920792079</v>
      </c>
      <c r="I151">
        <v>-12.9309900990099</v>
      </c>
      <c r="J151">
        <v>-12.353019801980196</v>
      </c>
      <c r="K151">
        <v>-11.794603960396039</v>
      </c>
      <c r="L151">
        <v>-11.236188118811882</v>
      </c>
      <c r="M151">
        <v>-10.696693069306932</v>
      </c>
      <c r="N151">
        <v>-10.177089108910891</v>
      </c>
      <c r="O151">
        <v>-9.6574851485148514</v>
      </c>
      <c r="P151">
        <v>-9.1988712871287142</v>
      </c>
      <c r="Q151">
        <v>-8.7426336633663375</v>
      </c>
      <c r="R151">
        <v>-8.3239950495049513</v>
      </c>
      <c r="S151">
        <v>-7.9536980198019807</v>
      </c>
      <c r="T151">
        <v>-7.58340099009901</v>
      </c>
      <c r="U151">
        <v>-7.4200161090458483</v>
      </c>
      <c r="V151">
        <v>-7.2764721189591075</v>
      </c>
      <c r="W151">
        <v>-7.1329281288723667</v>
      </c>
      <c r="X151">
        <v>-6.9893841387856259</v>
      </c>
      <c r="Y151">
        <v>-6.8458401486988842</v>
      </c>
      <c r="Z151">
        <v>-6.7022961586121435</v>
      </c>
      <c r="AA151">
        <v>-6.5587521685254027</v>
      </c>
      <c r="AB151">
        <v>-6.415208178438661</v>
      </c>
      <c r="AC151">
        <v>-6.2716641883519202</v>
      </c>
      <c r="AD151">
        <v>-6.1281201982651794</v>
      </c>
      <c r="AE151">
        <v>-6.0961386138613856</v>
      </c>
      <c r="AF151">
        <v>-6.0878217821782172</v>
      </c>
      <c r="AG151">
        <v>-6.0840198019801983</v>
      </c>
      <c r="AH151">
        <v>-6.0907524752475251</v>
      </c>
      <c r="AI151">
        <v>-6.0974851485148518</v>
      </c>
      <c r="AJ151">
        <v>-6.1097425742574263</v>
      </c>
      <c r="AK151">
        <v>-6.1236039603960402</v>
      </c>
      <c r="AL151">
        <v>-6.1383564356435647</v>
      </c>
      <c r="AM151">
        <v>-6.1557821782178221</v>
      </c>
      <c r="AN151">
        <v>-6.1732079207920787</v>
      </c>
      <c r="AO151">
        <v>-6.1917821782178217</v>
      </c>
      <c r="AP151">
        <v>-6.2107920792079208</v>
      </c>
      <c r="AQ151">
        <v>-6.2303564356435643</v>
      </c>
      <c r="AR151">
        <v>-6.2521386138613861</v>
      </c>
      <c r="AS151">
        <v>-6.2739207920792079</v>
      </c>
      <c r="AT151">
        <v>-6.3021188118811882</v>
      </c>
      <c r="AU151">
        <v>-6.3334059405940595</v>
      </c>
      <c r="AV151">
        <v>-6.3692079207920802</v>
      </c>
      <c r="AW151">
        <v>-6.4305940594059408</v>
      </c>
      <c r="AX151">
        <v>-6.4919801980198022</v>
      </c>
      <c r="AY151">
        <v>-6.5659293680297397</v>
      </c>
      <c r="AZ151">
        <v>-6.647416356877323</v>
      </c>
      <c r="BA151">
        <v>-6.7289033457249063</v>
      </c>
      <c r="BB151">
        <v>-6.8103903345724905</v>
      </c>
      <c r="BC151">
        <v>-6.8918773234200739</v>
      </c>
      <c r="BD151">
        <v>-6.9733643122676572</v>
      </c>
      <c r="BE151">
        <v>-7.0548513011152414</v>
      </c>
      <c r="BF151">
        <v>-7.1363382899628247</v>
      </c>
      <c r="BG151">
        <v>-7.217825278810408</v>
      </c>
      <c r="BH151">
        <v>-7.2993122676579922</v>
      </c>
      <c r="BI151">
        <v>-7.3523267326732666</v>
      </c>
      <c r="BJ151">
        <v>-7.3808415841584152</v>
      </c>
      <c r="BK151">
        <v>-7.4093217821782176</v>
      </c>
      <c r="BL151">
        <v>-7.4350643564356433</v>
      </c>
      <c r="BM151">
        <v>-7.4608069306930691</v>
      </c>
      <c r="BN151">
        <v>-7.4869356435643564</v>
      </c>
      <c r="BO151">
        <v>-7.5134702970297029</v>
      </c>
      <c r="BP151">
        <v>-7.5400049504950504</v>
      </c>
      <c r="BQ151">
        <v>-7.5634900990099014</v>
      </c>
      <c r="BR151">
        <v>-7.5868564356435639</v>
      </c>
      <c r="BS151">
        <v>-7.6079368029739776</v>
      </c>
      <c r="BT151">
        <v>-7.6260780669144976</v>
      </c>
      <c r="BU151">
        <v>-7.6442193308550186</v>
      </c>
      <c r="BV151">
        <v>-7.6623605947955387</v>
      </c>
      <c r="BW151">
        <v>-7.6805018587360596</v>
      </c>
      <c r="BX151">
        <v>-7.6986431226765797</v>
      </c>
      <c r="BY151">
        <v>-7.7167843866171006</v>
      </c>
      <c r="BZ151">
        <v>-7.7349256505576207</v>
      </c>
      <c r="CA151">
        <v>-7.7530669144981417</v>
      </c>
      <c r="CB151">
        <v>-7.7712081784386617</v>
      </c>
      <c r="CC151">
        <v>-7.7961683168316833</v>
      </c>
      <c r="CD151">
        <v>-7.833792079207921</v>
      </c>
      <c r="CE151">
        <v>-7.8714158415841586</v>
      </c>
      <c r="CF151">
        <v>-7.894009900990099</v>
      </c>
      <c r="CG151">
        <v>-7.9134158415841584</v>
      </c>
      <c r="CH151">
        <v>-7.9269999999999996</v>
      </c>
      <c r="CI151">
        <v>-7.9269999999999996</v>
      </c>
      <c r="CJ151">
        <v>-7.9269999999999996</v>
      </c>
      <c r="CK151">
        <v>-7.9420396039603958</v>
      </c>
      <c r="CL151">
        <v>-7.9614455445544552</v>
      </c>
    </row>
    <row r="152" spans="1:90" ht="21.75" thickBot="1" x14ac:dyDescent="0.4">
      <c r="A152" s="18" t="s">
        <v>72</v>
      </c>
      <c r="B152" s="38">
        <v>-62.393712871287136</v>
      </c>
      <c r="C152" s="38">
        <v>-60.681138613861393</v>
      </c>
      <c r="D152" s="38">
        <v>-58.997970297029703</v>
      </c>
      <c r="E152" s="38">
        <v>-57.315049504950494</v>
      </c>
      <c r="F152">
        <v>-55.635841584158413</v>
      </c>
      <c r="G152">
        <v>-53.956633663366333</v>
      </c>
      <c r="H152">
        <v>-52.292326732673267</v>
      </c>
      <c r="I152">
        <v>-50.640841584158409</v>
      </c>
      <c r="J152">
        <v>-48.990396039603951</v>
      </c>
      <c r="K152">
        <v>-47.422079207920788</v>
      </c>
      <c r="L152">
        <v>-45.853762376237626</v>
      </c>
      <c r="M152">
        <v>-44.345297029702969</v>
      </c>
      <c r="N152">
        <v>-42.899752475247524</v>
      </c>
      <c r="O152">
        <v>-41.454207920792079</v>
      </c>
      <c r="P152">
        <v>-40.134455445544553</v>
      </c>
      <c r="Q152">
        <v>-38.819603960396037</v>
      </c>
      <c r="R152">
        <v>-37.565396039603961</v>
      </c>
      <c r="S152">
        <v>-36.389158415841585</v>
      </c>
      <c r="T152">
        <v>-35.212920792079203</v>
      </c>
      <c r="U152">
        <v>-34.249739776951671</v>
      </c>
      <c r="V152">
        <v>-33.306988847583639</v>
      </c>
      <c r="W152">
        <v>-32.364237918215615</v>
      </c>
      <c r="X152">
        <v>-31.421486988847583</v>
      </c>
      <c r="Y152">
        <v>-30.478736059479552</v>
      </c>
      <c r="Z152">
        <v>-29.535985130111523</v>
      </c>
      <c r="AA152">
        <v>-28.593234200743495</v>
      </c>
      <c r="AB152">
        <v>-27.650483271375464</v>
      </c>
      <c r="AC152">
        <v>-26.707732342007432</v>
      </c>
      <c r="AD152">
        <v>-25.764981412639404</v>
      </c>
      <c r="AE152">
        <v>-24.923663366336633</v>
      </c>
      <c r="AF152">
        <v>-24.103861386138615</v>
      </c>
      <c r="AG152">
        <v>-23.29594059405941</v>
      </c>
      <c r="AH152">
        <v>-22.515742574257423</v>
      </c>
      <c r="AI152">
        <v>-21.735544554455441</v>
      </c>
      <c r="AJ152">
        <v>-20.989108910891083</v>
      </c>
      <c r="AK152">
        <v>-20.25247524752475</v>
      </c>
      <c r="AL152">
        <v>-19.526732673267325</v>
      </c>
      <c r="AM152">
        <v>-18.833663366336634</v>
      </c>
      <c r="AN152">
        <v>-18.140594059405942</v>
      </c>
      <c r="AO152">
        <v>-17.473366336633664</v>
      </c>
      <c r="AP152">
        <v>-16.815940594059406</v>
      </c>
      <c r="AQ152">
        <v>-16.166435643564355</v>
      </c>
      <c r="AR152">
        <v>-15.548613861386139</v>
      </c>
      <c r="AS152">
        <v>-14.930792079207922</v>
      </c>
      <c r="AT152">
        <v>-14.342376237623762</v>
      </c>
      <c r="AU152">
        <v>-13.768118811881186</v>
      </c>
      <c r="AV152">
        <v>-13.204554455445541</v>
      </c>
      <c r="AW152">
        <v>-12.701584158415839</v>
      </c>
      <c r="AX152">
        <v>-12.198613861386137</v>
      </c>
      <c r="AY152">
        <v>-11.831313506815366</v>
      </c>
      <c r="AZ152">
        <v>-11.545415117719951</v>
      </c>
      <c r="BA152">
        <v>-11.259516728624536</v>
      </c>
      <c r="BB152">
        <v>-10.973618339529121</v>
      </c>
      <c r="BC152">
        <v>-10.687719950433706</v>
      </c>
      <c r="BD152">
        <v>-10.401821561338291</v>
      </c>
      <c r="BE152">
        <v>-10.115923172242876</v>
      </c>
      <c r="BF152">
        <v>-9.8300247831474614</v>
      </c>
      <c r="BG152">
        <v>-9.5441263940520464</v>
      </c>
      <c r="BH152">
        <v>-9.2582280049566315</v>
      </c>
      <c r="BI152">
        <v>-9.0199900990099007</v>
      </c>
      <c r="BJ152">
        <v>-8.8227623762376233</v>
      </c>
      <c r="BK152">
        <v>-8.6256881188118815</v>
      </c>
      <c r="BL152">
        <v>-8.4407376237623755</v>
      </c>
      <c r="BM152">
        <v>-8.2557871287128712</v>
      </c>
      <c r="BN152">
        <v>-8.0762425742574262</v>
      </c>
      <c r="BO152">
        <v>-7.9023811881188113</v>
      </c>
      <c r="BP152">
        <v>-7.7285198019801973</v>
      </c>
      <c r="BQ152">
        <v>-7.6793069306930697</v>
      </c>
      <c r="BR152">
        <v>-7.6349504950495053</v>
      </c>
      <c r="BS152">
        <v>-7.6218401486988849</v>
      </c>
      <c r="BT152">
        <v>-7.6489033457249072</v>
      </c>
      <c r="BU152">
        <v>-7.6759665427509294</v>
      </c>
      <c r="BV152">
        <v>-7.7030297397769516</v>
      </c>
      <c r="BW152">
        <v>-7.7300929368029738</v>
      </c>
      <c r="BX152">
        <v>-7.757156133828996</v>
      </c>
      <c r="BY152">
        <v>-7.7842193308550183</v>
      </c>
      <c r="BZ152">
        <v>-7.8112825278810405</v>
      </c>
      <c r="CA152">
        <v>-7.8383457249070627</v>
      </c>
      <c r="CB152">
        <v>-7.8654089219330849</v>
      </c>
      <c r="CC152">
        <v>-7.901158415841584</v>
      </c>
      <c r="CD152">
        <v>-7.9530396039603959</v>
      </c>
      <c r="CE152">
        <v>-8.0049207920792078</v>
      </c>
      <c r="CF152">
        <v>-8.0345841584158411</v>
      </c>
      <c r="CG152">
        <v>-8.0595346534653469</v>
      </c>
      <c r="CH152">
        <v>-8.077</v>
      </c>
      <c r="CI152">
        <v>-8.077</v>
      </c>
      <c r="CJ152">
        <v>-8.077</v>
      </c>
      <c r="CK152">
        <v>-8.0963366336633662</v>
      </c>
      <c r="CL152">
        <v>-8.1212871287128721</v>
      </c>
    </row>
    <row r="153" spans="1:90" ht="21.75" thickBot="1" x14ac:dyDescent="0.4">
      <c r="A153" s="18" t="s">
        <v>73</v>
      </c>
      <c r="B153" s="38">
        <v>-16.476831683168317</v>
      </c>
      <c r="C153" s="38">
        <v>-16.054752475247525</v>
      </c>
      <c r="D153" s="38">
        <v>-15.603267326732674</v>
      </c>
      <c r="E153" s="38">
        <v>-15.146336633663367</v>
      </c>
      <c r="F153">
        <v>-14.607722772277228</v>
      </c>
      <c r="G153">
        <v>-14.069108910891089</v>
      </c>
      <c r="H153">
        <v>-13.509207920792079</v>
      </c>
      <c r="I153">
        <v>-12.9309900990099</v>
      </c>
      <c r="J153">
        <v>-12.353019801980196</v>
      </c>
      <c r="K153">
        <v>-11.794603960396039</v>
      </c>
      <c r="L153">
        <v>-11.236188118811882</v>
      </c>
      <c r="M153">
        <v>-10.696693069306932</v>
      </c>
      <c r="N153">
        <v>-10.177089108910891</v>
      </c>
      <c r="O153">
        <v>-9.6574851485148514</v>
      </c>
      <c r="P153">
        <v>-9.1988712871287142</v>
      </c>
      <c r="Q153">
        <v>-8.7426336633663375</v>
      </c>
      <c r="R153">
        <v>-8.3239950495049513</v>
      </c>
      <c r="S153">
        <v>-7.9536980198019807</v>
      </c>
      <c r="T153">
        <v>-7.58340099009901</v>
      </c>
      <c r="U153">
        <v>-7.4200161090458483</v>
      </c>
      <c r="V153">
        <v>-7.2764721189591075</v>
      </c>
      <c r="W153">
        <v>-7.1329281288723667</v>
      </c>
      <c r="X153">
        <v>-6.9893841387856259</v>
      </c>
      <c r="Y153">
        <v>-6.8458401486988842</v>
      </c>
      <c r="Z153">
        <v>-6.7022961586121435</v>
      </c>
      <c r="AA153">
        <v>-6.5587521685254027</v>
      </c>
      <c r="AB153">
        <v>-6.415208178438661</v>
      </c>
      <c r="AC153">
        <v>-6.2716641883519202</v>
      </c>
      <c r="AD153">
        <v>-6.1281201982651794</v>
      </c>
      <c r="AE153">
        <v>-6.0961386138613856</v>
      </c>
      <c r="AF153">
        <v>-6.0878217821782172</v>
      </c>
      <c r="AG153">
        <v>-6.0840198019801983</v>
      </c>
      <c r="AH153">
        <v>-6.0907524752475251</v>
      </c>
      <c r="AI153">
        <v>-6.0974851485148518</v>
      </c>
      <c r="AJ153">
        <v>-6.1097425742574263</v>
      </c>
      <c r="AK153">
        <v>-6.1236039603960402</v>
      </c>
      <c r="AL153">
        <v>-6.1383564356435647</v>
      </c>
      <c r="AM153">
        <v>-6.1557821782178221</v>
      </c>
      <c r="AN153">
        <v>-6.1732079207920787</v>
      </c>
      <c r="AO153">
        <v>-6.1917821782178217</v>
      </c>
      <c r="AP153">
        <v>-6.2107920792079208</v>
      </c>
      <c r="AQ153">
        <v>-6.2303564356435643</v>
      </c>
      <c r="AR153">
        <v>-6.2521386138613861</v>
      </c>
      <c r="AS153">
        <v>-6.2739207920792079</v>
      </c>
      <c r="AT153">
        <v>-6.3021188118811882</v>
      </c>
      <c r="AU153">
        <v>-6.3334059405940595</v>
      </c>
      <c r="AV153">
        <v>-6.3692079207920802</v>
      </c>
      <c r="AW153">
        <v>-6.4305940594059408</v>
      </c>
      <c r="AX153">
        <v>-6.4919801980198022</v>
      </c>
      <c r="AY153">
        <v>-6.5659293680297397</v>
      </c>
      <c r="AZ153">
        <v>-6.647416356877323</v>
      </c>
      <c r="BA153">
        <v>-6.7289033457249063</v>
      </c>
      <c r="BB153">
        <v>-6.8103903345724905</v>
      </c>
      <c r="BC153">
        <v>-6.8918773234200739</v>
      </c>
      <c r="BD153">
        <v>-6.9733643122676572</v>
      </c>
      <c r="BE153">
        <v>-7.0548513011152414</v>
      </c>
      <c r="BF153">
        <v>-7.1363382899628247</v>
      </c>
      <c r="BG153">
        <v>-7.217825278810408</v>
      </c>
      <c r="BH153">
        <v>-7.2993122676579922</v>
      </c>
      <c r="BI153">
        <v>-7.3523267326732666</v>
      </c>
      <c r="BJ153">
        <v>-7.3808415841584152</v>
      </c>
      <c r="BK153">
        <v>-7.4093217821782176</v>
      </c>
      <c r="BL153">
        <v>-7.4350643564356433</v>
      </c>
      <c r="BM153">
        <v>-7.4608069306930691</v>
      </c>
      <c r="BN153">
        <v>-7.4869356435643564</v>
      </c>
      <c r="BO153">
        <v>-7.5134702970297029</v>
      </c>
      <c r="BP153">
        <v>-7.5400049504950504</v>
      </c>
      <c r="BQ153">
        <v>-7.5634900990099014</v>
      </c>
      <c r="BR153">
        <v>-7.5868564356435639</v>
      </c>
      <c r="BS153">
        <v>-7.6079368029739776</v>
      </c>
      <c r="BT153">
        <v>-7.6260780669144976</v>
      </c>
      <c r="BU153">
        <v>-7.6442193308550186</v>
      </c>
      <c r="BV153">
        <v>-7.6623605947955387</v>
      </c>
      <c r="BW153">
        <v>-7.6805018587360596</v>
      </c>
      <c r="BX153">
        <v>-7.6986431226765797</v>
      </c>
      <c r="BY153">
        <v>-7.7167843866171006</v>
      </c>
      <c r="BZ153">
        <v>-7.7349256505576207</v>
      </c>
      <c r="CA153">
        <v>-7.7530669144981417</v>
      </c>
      <c r="CB153">
        <v>-7.7712081784386617</v>
      </c>
      <c r="CC153">
        <v>-7.7961683168316833</v>
      </c>
      <c r="CD153">
        <v>-7.833792079207921</v>
      </c>
      <c r="CE153">
        <v>-7.8714158415841586</v>
      </c>
      <c r="CF153">
        <v>-7.894009900990099</v>
      </c>
      <c r="CG153">
        <v>-7.9134158415841584</v>
      </c>
      <c r="CH153">
        <v>-7.9269999999999996</v>
      </c>
      <c r="CI153">
        <v>-7.9269999999999996</v>
      </c>
      <c r="CJ153">
        <v>-7.9269999999999996</v>
      </c>
      <c r="CK153">
        <v>-7.9420396039603958</v>
      </c>
      <c r="CL153">
        <v>-7.9614455445544552</v>
      </c>
    </row>
    <row r="154" spans="1:90" ht="21.75" thickBot="1" x14ac:dyDescent="0.4">
      <c r="A154" s="18" t="s">
        <v>74</v>
      </c>
      <c r="B154" s="38">
        <v>-22.574405940594058</v>
      </c>
      <c r="C154" s="38">
        <v>-22.203168316831682</v>
      </c>
      <c r="D154" s="38">
        <v>-21.902178217821781</v>
      </c>
      <c r="E154" s="38">
        <v>-21.612574257425745</v>
      </c>
      <c r="F154">
        <v>-21.493762376237623</v>
      </c>
      <c r="G154">
        <v>-21.374950495049504</v>
      </c>
      <c r="H154">
        <v>-21.324257425742573</v>
      </c>
      <c r="I154">
        <v>-21.332178217821781</v>
      </c>
      <c r="J154">
        <v>-21.340940594059408</v>
      </c>
      <c r="K154">
        <v>-21.416188118811881</v>
      </c>
      <c r="L154">
        <v>-21.491435643564358</v>
      </c>
      <c r="M154">
        <v>-21.578267326732675</v>
      </c>
      <c r="N154">
        <v>-21.677277227722772</v>
      </c>
      <c r="O154">
        <v>-21.776287128712873</v>
      </c>
      <c r="P154">
        <v>-21.875297029702971</v>
      </c>
      <c r="Q154">
        <v>-21.974306930693071</v>
      </c>
      <c r="R154">
        <v>-22.068118811881188</v>
      </c>
      <c r="S154">
        <v>-22.155247524752475</v>
      </c>
      <c r="T154">
        <v>-22.242376237623763</v>
      </c>
      <c r="U154">
        <v>-22.319653035935563</v>
      </c>
      <c r="V154">
        <v>-22.395985130111523</v>
      </c>
      <c r="W154">
        <v>-22.472317224287483</v>
      </c>
      <c r="X154">
        <v>-22.548649318463443</v>
      </c>
      <c r="Y154">
        <v>-22.624981412639404</v>
      </c>
      <c r="Z154">
        <v>-22.701313506815364</v>
      </c>
      <c r="AA154">
        <v>-22.777645600991328</v>
      </c>
      <c r="AB154">
        <v>-22.853977695167288</v>
      </c>
      <c r="AC154">
        <v>-22.930309789343248</v>
      </c>
      <c r="AD154">
        <v>-23.006641883519208</v>
      </c>
      <c r="AE154">
        <v>-23.108217821782176</v>
      </c>
      <c r="AF154">
        <v>-23.215148514851485</v>
      </c>
      <c r="AG154">
        <v>-23.323267326732672</v>
      </c>
      <c r="AH154">
        <v>-23.434158415841583</v>
      </c>
      <c r="AI154">
        <v>-23.545049504950494</v>
      </c>
      <c r="AJ154">
        <v>-23.6590099009901</v>
      </c>
      <c r="AK154">
        <v>-23.773861386138613</v>
      </c>
      <c r="AL154">
        <v>-23.88871287128713</v>
      </c>
      <c r="AM154">
        <v>-24.003564356435643</v>
      </c>
      <c r="AN154">
        <v>-24.118415841584156</v>
      </c>
      <c r="AO154">
        <v>-24.233267326732673</v>
      </c>
      <c r="AP154">
        <v>-24.348118811881189</v>
      </c>
      <c r="AQ154">
        <v>-24.462178217821783</v>
      </c>
      <c r="AR154">
        <v>-24.573069306930694</v>
      </c>
      <c r="AS154">
        <v>-24.683960396039602</v>
      </c>
      <c r="AT154">
        <v>-24.792178217821782</v>
      </c>
      <c r="AU154">
        <v>-24.899108910891087</v>
      </c>
      <c r="AV154">
        <v>-25.003663366336632</v>
      </c>
      <c r="AW154">
        <v>-25.094752475247525</v>
      </c>
      <c r="AX154">
        <v>-25.185841584158414</v>
      </c>
      <c r="AY154">
        <v>-25.272044609665425</v>
      </c>
      <c r="AZ154">
        <v>-25.355315985130112</v>
      </c>
      <c r="BA154">
        <v>-25.438587360594795</v>
      </c>
      <c r="BB154">
        <v>-25.521858736059478</v>
      </c>
      <c r="BC154">
        <v>-25.605130111524161</v>
      </c>
      <c r="BD154">
        <v>-25.688401486988845</v>
      </c>
      <c r="BE154">
        <v>-25.771672862453531</v>
      </c>
      <c r="BF154">
        <v>-25.854944237918215</v>
      </c>
      <c r="BG154">
        <v>-25.938215613382898</v>
      </c>
      <c r="BH154">
        <v>-26.021486988847581</v>
      </c>
      <c r="BI154">
        <v>-26.115346534653465</v>
      </c>
      <c r="BJ154">
        <v>-26.218316831683168</v>
      </c>
      <c r="BK154">
        <v>-26.321287128712871</v>
      </c>
      <c r="BL154">
        <v>-26.424257425742574</v>
      </c>
      <c r="BM154">
        <v>-26.527227722772277</v>
      </c>
      <c r="BN154">
        <v>-26.632128712871285</v>
      </c>
      <c r="BO154">
        <v>-26.739059405940594</v>
      </c>
      <c r="BP154">
        <v>-26.845990099009903</v>
      </c>
      <c r="BQ154">
        <v>-26.903366336633663</v>
      </c>
      <c r="BR154">
        <v>-26.958811881188119</v>
      </c>
      <c r="BS154">
        <v>-27.025997521685252</v>
      </c>
      <c r="BT154">
        <v>-27.108277571251548</v>
      </c>
      <c r="BU154">
        <v>-27.190557620817842</v>
      </c>
      <c r="BV154">
        <v>-27.272837670384138</v>
      </c>
      <c r="BW154">
        <v>-27.355117719950432</v>
      </c>
      <c r="BX154">
        <v>-27.437397769516728</v>
      </c>
      <c r="BY154">
        <v>-27.519677819083022</v>
      </c>
      <c r="BZ154">
        <v>-27.601957868649318</v>
      </c>
      <c r="CA154">
        <v>-27.684237918215612</v>
      </c>
      <c r="CB154">
        <v>-27.766517967781908</v>
      </c>
      <c r="CC154">
        <v>-27.885148514851483</v>
      </c>
      <c r="CD154">
        <v>-28.071287128712871</v>
      </c>
      <c r="CE154">
        <v>-28.257425742574256</v>
      </c>
      <c r="CF154">
        <v>-28.368415841584159</v>
      </c>
      <c r="CG154">
        <v>-28.463465346534655</v>
      </c>
      <c r="CH154">
        <v>-28.53</v>
      </c>
      <c r="CI154">
        <v>-28.53</v>
      </c>
      <c r="CJ154">
        <v>-28.53</v>
      </c>
      <c r="CK154">
        <v>-28.600594059405942</v>
      </c>
      <c r="CL154">
        <v>-28.691683168316832</v>
      </c>
    </row>
    <row r="155" spans="1:90" ht="21.75" thickBot="1" x14ac:dyDescent="0.4">
      <c r="A155" s="18" t="s">
        <v>27</v>
      </c>
      <c r="B155" s="38">
        <v>-18.963267326732673</v>
      </c>
      <c r="C155" s="38">
        <v>-18.96</v>
      </c>
      <c r="D155" s="38">
        <v>-18.96</v>
      </c>
      <c r="E155" s="38">
        <v>-18.96</v>
      </c>
      <c r="F155">
        <v>-18.96</v>
      </c>
      <c r="G155">
        <v>-18.96</v>
      </c>
      <c r="H155">
        <v>-18.962128712871287</v>
      </c>
      <c r="I155">
        <v>-18.966089108910889</v>
      </c>
      <c r="J155">
        <v>-18.970099009900988</v>
      </c>
      <c r="K155">
        <v>-18.978019801980196</v>
      </c>
      <c r="L155">
        <v>-18.985940594059404</v>
      </c>
      <c r="M155">
        <v>-18.99579207920792</v>
      </c>
      <c r="N155">
        <v>-19.00767326732673</v>
      </c>
      <c r="O155">
        <v>-19.019554455445544</v>
      </c>
      <c r="P155">
        <v>-19.031435643564357</v>
      </c>
      <c r="Q155">
        <v>-19.043316831683168</v>
      </c>
      <c r="R155">
        <v>-19.055198019801981</v>
      </c>
      <c r="S155">
        <v>-19.067079207920791</v>
      </c>
      <c r="T155">
        <v>-19.078960396039601</v>
      </c>
      <c r="U155">
        <v>-19.090855018587359</v>
      </c>
      <c r="V155">
        <v>-19.102750929368028</v>
      </c>
      <c r="W155">
        <v>-19.114646840148698</v>
      </c>
      <c r="X155">
        <v>-19.126542750929367</v>
      </c>
      <c r="Y155">
        <v>-19.138438661710037</v>
      </c>
      <c r="Z155">
        <v>-19.150334572490706</v>
      </c>
      <c r="AA155">
        <v>-19.162230483271376</v>
      </c>
      <c r="AB155">
        <v>-19.174126394052045</v>
      </c>
      <c r="AC155">
        <v>-19.186022304832711</v>
      </c>
      <c r="AD155">
        <v>-19.197918215613381</v>
      </c>
      <c r="AE155">
        <v>-19.209801980198019</v>
      </c>
      <c r="AF155">
        <v>-19.221683168316833</v>
      </c>
      <c r="AG155">
        <v>-19.234752475247525</v>
      </c>
      <c r="AH155">
        <v>-19.250594059405941</v>
      </c>
      <c r="AI155">
        <v>-19.266435643564357</v>
      </c>
      <c r="AJ155">
        <v>-19.282277227722773</v>
      </c>
      <c r="AK155">
        <v>-19.298118811881189</v>
      </c>
      <c r="AL155">
        <v>-19.314950495049505</v>
      </c>
      <c r="AM155">
        <v>-19.334752475247523</v>
      </c>
      <c r="AN155">
        <v>-19.354554455445545</v>
      </c>
      <c r="AO155">
        <v>-19.37148514851485</v>
      </c>
      <c r="AP155">
        <v>-19.387326732673266</v>
      </c>
      <c r="AQ155">
        <v>-19.403168316831682</v>
      </c>
      <c r="AR155">
        <v>-19.419009900990098</v>
      </c>
      <c r="AS155">
        <v>-19.434851485148517</v>
      </c>
      <c r="AT155">
        <v>-19.448019801980198</v>
      </c>
      <c r="AU155">
        <v>-19.459900990099008</v>
      </c>
      <c r="AV155">
        <v>-19.47059405940594</v>
      </c>
      <c r="AW155">
        <v>-19.474554455445546</v>
      </c>
      <c r="AX155">
        <v>-19.478514851485148</v>
      </c>
      <c r="AY155">
        <v>-19.476902106567536</v>
      </c>
      <c r="AZ155">
        <v>-19.47194547707559</v>
      </c>
      <c r="BA155">
        <v>-19.466988847583643</v>
      </c>
      <c r="BB155">
        <v>-19.462032218091696</v>
      </c>
      <c r="BC155">
        <v>-19.457075588599754</v>
      </c>
      <c r="BD155">
        <v>-19.452118959107807</v>
      </c>
      <c r="BE155">
        <v>-19.44716232961586</v>
      </c>
      <c r="BF155">
        <v>-19.442205700123914</v>
      </c>
      <c r="BG155">
        <v>-19.437249070631971</v>
      </c>
      <c r="BH155">
        <v>-19.432292441140024</v>
      </c>
      <c r="BI155">
        <v>-19.438514851485149</v>
      </c>
      <c r="BJ155">
        <v>-19.454356435643565</v>
      </c>
      <c r="BK155">
        <v>-19.47019801980198</v>
      </c>
      <c r="BL155">
        <v>-19.486039603960396</v>
      </c>
      <c r="BM155">
        <v>-19.501881188118812</v>
      </c>
      <c r="BN155">
        <v>-19.517722772277228</v>
      </c>
      <c r="BO155">
        <v>-19.533564356435644</v>
      </c>
      <c r="BP155">
        <v>-19.54940594059406</v>
      </c>
      <c r="BQ155">
        <v>-19.565247524752476</v>
      </c>
      <c r="BR155">
        <v>-19.581089108910891</v>
      </c>
      <c r="BS155">
        <v>-19.596505576208177</v>
      </c>
      <c r="BT155">
        <v>-19.611375464684013</v>
      </c>
      <c r="BU155">
        <v>-19.626245353159852</v>
      </c>
      <c r="BV155">
        <v>-19.641115241635688</v>
      </c>
      <c r="BW155">
        <v>-19.655985130111524</v>
      </c>
      <c r="BX155">
        <v>-19.670855018587361</v>
      </c>
      <c r="BY155">
        <v>-19.685724907063197</v>
      </c>
      <c r="BZ155">
        <v>-19.700594795539033</v>
      </c>
      <c r="CA155">
        <v>-19.715464684014869</v>
      </c>
      <c r="CB155">
        <v>-19.730334572490705</v>
      </c>
      <c r="CC155">
        <v>-19.749702970297029</v>
      </c>
      <c r="CD155">
        <v>-19.777425742574255</v>
      </c>
      <c r="CE155">
        <v>-19.805148514851485</v>
      </c>
      <c r="CF155">
        <v>-19.823069306930691</v>
      </c>
      <c r="CG155">
        <v>-19.83891089108911</v>
      </c>
      <c r="CH155">
        <v>-19.850000000000001</v>
      </c>
      <c r="CI155">
        <v>-19.850000000000001</v>
      </c>
      <c r="CJ155">
        <v>-19.850000000000001</v>
      </c>
      <c r="CK155">
        <v>-19.85920792079208</v>
      </c>
      <c r="CL155">
        <v>-19.871089108910891</v>
      </c>
    </row>
    <row r="156" spans="1:90" ht="21.75" thickBot="1" x14ac:dyDescent="0.4">
      <c r="A156" s="18" t="s">
        <v>5</v>
      </c>
      <c r="B156" s="38">
        <v>-62.393712871287136</v>
      </c>
      <c r="C156" s="38">
        <v>-60.681138613861393</v>
      </c>
      <c r="D156" s="38">
        <v>-58.997970297029703</v>
      </c>
      <c r="E156" s="38">
        <v>-57.315049504950494</v>
      </c>
      <c r="F156">
        <v>-55.635841584158413</v>
      </c>
      <c r="G156">
        <v>-53.956633663366333</v>
      </c>
      <c r="H156">
        <v>-52.292326732673267</v>
      </c>
      <c r="I156">
        <v>-50.640841584158409</v>
      </c>
      <c r="J156">
        <v>-48.990396039603951</v>
      </c>
      <c r="K156">
        <v>-47.422079207920788</v>
      </c>
      <c r="L156">
        <v>-45.853762376237626</v>
      </c>
      <c r="M156">
        <v>-44.345297029702969</v>
      </c>
      <c r="N156">
        <v>-42.899752475247524</v>
      </c>
      <c r="O156">
        <v>-41.454207920792079</v>
      </c>
      <c r="P156">
        <v>-40.134455445544553</v>
      </c>
      <c r="Q156">
        <v>-38.819603960396037</v>
      </c>
      <c r="R156">
        <v>-37.565396039603961</v>
      </c>
      <c r="S156">
        <v>-36.389158415841585</v>
      </c>
      <c r="T156">
        <v>-35.212920792079203</v>
      </c>
      <c r="U156">
        <v>-34.249739776951671</v>
      </c>
      <c r="V156">
        <v>-33.306988847583639</v>
      </c>
      <c r="W156">
        <v>-32.364237918215615</v>
      </c>
      <c r="X156">
        <v>-31.421486988847583</v>
      </c>
      <c r="Y156">
        <v>-30.478736059479552</v>
      </c>
      <c r="Z156">
        <v>-29.535985130111523</v>
      </c>
      <c r="AA156">
        <v>-28.593234200743495</v>
      </c>
      <c r="AB156">
        <v>-27.650483271375464</v>
      </c>
      <c r="AC156">
        <v>-26.707732342007432</v>
      </c>
      <c r="AD156">
        <v>-25.764981412639404</v>
      </c>
      <c r="AE156">
        <v>-24.923663366336633</v>
      </c>
      <c r="AF156">
        <v>-24.103861386138615</v>
      </c>
      <c r="AG156">
        <v>-23.29594059405941</v>
      </c>
      <c r="AH156">
        <v>-22.515742574257423</v>
      </c>
      <c r="AI156">
        <v>-21.735544554455441</v>
      </c>
      <c r="AJ156">
        <v>-20.989108910891083</v>
      </c>
      <c r="AK156">
        <v>-20.25247524752475</v>
      </c>
      <c r="AL156">
        <v>-19.526732673267325</v>
      </c>
      <c r="AM156">
        <v>-18.833663366336634</v>
      </c>
      <c r="AN156">
        <v>-18.140594059405942</v>
      </c>
      <c r="AO156">
        <v>-17.473366336633664</v>
      </c>
      <c r="AP156">
        <v>-16.815940594059406</v>
      </c>
      <c r="AQ156">
        <v>-16.166435643564355</v>
      </c>
      <c r="AR156">
        <v>-15.548613861386139</v>
      </c>
      <c r="AS156">
        <v>-14.930792079207922</v>
      </c>
      <c r="AT156">
        <v>-14.342376237623762</v>
      </c>
      <c r="AU156">
        <v>-13.768118811881186</v>
      </c>
      <c r="AV156">
        <v>-13.204554455445541</v>
      </c>
      <c r="AW156">
        <v>-12.701584158415839</v>
      </c>
      <c r="AX156">
        <v>-12.198613861386137</v>
      </c>
      <c r="AY156">
        <v>-11.831313506815366</v>
      </c>
      <c r="AZ156">
        <v>-11.545415117719951</v>
      </c>
      <c r="BA156">
        <v>-11.259516728624536</v>
      </c>
      <c r="BB156">
        <v>-10.973618339529121</v>
      </c>
      <c r="BC156">
        <v>-10.687719950433706</v>
      </c>
      <c r="BD156">
        <v>-10.401821561338291</v>
      </c>
      <c r="BE156">
        <v>-10.115923172242876</v>
      </c>
      <c r="BF156">
        <v>-9.8300247831474614</v>
      </c>
      <c r="BG156">
        <v>-9.5441263940520464</v>
      </c>
      <c r="BH156">
        <v>-9.2582280049566315</v>
      </c>
      <c r="BI156">
        <v>-9.0199900990099007</v>
      </c>
      <c r="BJ156">
        <v>-8.8227623762376233</v>
      </c>
      <c r="BK156">
        <v>-8.6256881188118815</v>
      </c>
      <c r="BL156">
        <v>-8.4407376237623755</v>
      </c>
      <c r="BM156">
        <v>-8.2557871287128712</v>
      </c>
      <c r="BN156">
        <v>-8.0762425742574262</v>
      </c>
      <c r="BO156">
        <v>-7.9023811881188113</v>
      </c>
      <c r="BP156">
        <v>-7.7285198019801973</v>
      </c>
      <c r="BQ156">
        <v>-7.6793069306930697</v>
      </c>
      <c r="BR156">
        <v>-7.6349504950495053</v>
      </c>
      <c r="BS156">
        <v>-7.6218401486988849</v>
      </c>
      <c r="BT156">
        <v>-7.6489033457249072</v>
      </c>
      <c r="BU156">
        <v>-7.6759665427509294</v>
      </c>
      <c r="BV156">
        <v>-7.7030297397769516</v>
      </c>
      <c r="BW156">
        <v>-7.7300929368029738</v>
      </c>
      <c r="BX156">
        <v>-7.757156133828996</v>
      </c>
      <c r="BY156">
        <v>-7.7842193308550183</v>
      </c>
      <c r="BZ156">
        <v>-7.8112825278810405</v>
      </c>
      <c r="CA156">
        <v>-7.8383457249070627</v>
      </c>
      <c r="CB156">
        <v>-7.8654089219330849</v>
      </c>
      <c r="CC156">
        <v>-7.901158415841584</v>
      </c>
      <c r="CD156">
        <v>-7.9530396039603959</v>
      </c>
      <c r="CE156">
        <v>-8.0049207920792078</v>
      </c>
      <c r="CF156">
        <v>-8.0345841584158411</v>
      </c>
      <c r="CG156">
        <v>-8.0595346534653469</v>
      </c>
      <c r="CH156">
        <v>-8.077</v>
      </c>
      <c r="CI156">
        <v>-8.077</v>
      </c>
      <c r="CJ156">
        <v>-8.077</v>
      </c>
      <c r="CK156">
        <v>-8.0963366336633662</v>
      </c>
      <c r="CL156">
        <v>-8.1212871287128721</v>
      </c>
    </row>
    <row r="157" spans="1:90" x14ac:dyDescent="0.35">
      <c r="A157" t="s">
        <v>6</v>
      </c>
      <c r="B157" s="38">
        <v>-16.476831683168317</v>
      </c>
      <c r="C157" s="38">
        <v>-16.054752475247525</v>
      </c>
      <c r="D157" s="38">
        <v>-15.603267326732674</v>
      </c>
      <c r="E157" s="38">
        <v>-15.146336633663367</v>
      </c>
      <c r="F157">
        <v>-14.607722772277228</v>
      </c>
      <c r="G157">
        <v>-14.069108910891089</v>
      </c>
      <c r="H157">
        <v>-13.509207920792079</v>
      </c>
      <c r="I157">
        <v>-12.9309900990099</v>
      </c>
      <c r="J157">
        <v>-12.353019801980196</v>
      </c>
      <c r="K157">
        <v>-11.794603960396039</v>
      </c>
      <c r="L157">
        <v>-11.236188118811882</v>
      </c>
      <c r="M157">
        <v>-10.696693069306932</v>
      </c>
      <c r="N157">
        <v>-10.177089108910891</v>
      </c>
      <c r="O157">
        <v>-9.6574851485148514</v>
      </c>
      <c r="P157">
        <v>-9.1988712871287142</v>
      </c>
      <c r="Q157">
        <v>-8.7426336633663375</v>
      </c>
      <c r="R157">
        <v>-8.3239950495049513</v>
      </c>
      <c r="S157">
        <v>-7.9536980198019807</v>
      </c>
      <c r="T157">
        <v>-7.58340099009901</v>
      </c>
      <c r="U157">
        <v>-7.4200161090458483</v>
      </c>
      <c r="V157">
        <v>-7.2764721189591075</v>
      </c>
      <c r="W157">
        <v>-7.1329281288723667</v>
      </c>
      <c r="X157">
        <v>-6.9893841387856259</v>
      </c>
      <c r="Y157">
        <v>-6.8458401486988842</v>
      </c>
      <c r="Z157">
        <v>-6.7022961586121435</v>
      </c>
      <c r="AA157">
        <v>-6.5587521685254027</v>
      </c>
      <c r="AB157">
        <v>-6.415208178438661</v>
      </c>
      <c r="AC157">
        <v>-6.2716641883519202</v>
      </c>
      <c r="AD157">
        <v>-6.1281201982651794</v>
      </c>
      <c r="AE157">
        <v>-6.0961386138613856</v>
      </c>
      <c r="AF157">
        <v>-6.0878217821782172</v>
      </c>
      <c r="AG157">
        <v>-6.0840198019801983</v>
      </c>
      <c r="AH157">
        <v>-6.0907524752475251</v>
      </c>
      <c r="AI157">
        <v>-6.0974851485148518</v>
      </c>
      <c r="AJ157">
        <v>-6.1097425742574263</v>
      </c>
      <c r="AK157">
        <v>-6.1236039603960402</v>
      </c>
      <c r="AL157">
        <v>-6.1383564356435647</v>
      </c>
      <c r="AM157">
        <v>-6.1557821782178221</v>
      </c>
      <c r="AN157">
        <v>-6.1732079207920787</v>
      </c>
      <c r="AO157">
        <v>-6.1917821782178217</v>
      </c>
      <c r="AP157">
        <v>-6.2107920792079208</v>
      </c>
      <c r="AQ157">
        <v>-6.2303564356435643</v>
      </c>
      <c r="AR157">
        <v>-6.2521386138613861</v>
      </c>
      <c r="AS157">
        <v>-6.2739207920792079</v>
      </c>
      <c r="AT157">
        <v>-6.3021188118811882</v>
      </c>
      <c r="AU157">
        <v>-6.3334059405940595</v>
      </c>
      <c r="AV157">
        <v>-6.3692079207920802</v>
      </c>
      <c r="AW157">
        <v>-6.4305940594059408</v>
      </c>
      <c r="AX157">
        <v>-6.4919801980198022</v>
      </c>
      <c r="AY157">
        <v>-6.5659293680297397</v>
      </c>
      <c r="AZ157">
        <v>-6.647416356877323</v>
      </c>
      <c r="BA157">
        <v>-6.7289033457249063</v>
      </c>
      <c r="BB157">
        <v>-6.8103903345724905</v>
      </c>
      <c r="BC157">
        <v>-6.8918773234200739</v>
      </c>
      <c r="BD157">
        <v>-6.9733643122676572</v>
      </c>
      <c r="BE157">
        <v>-7.0548513011152414</v>
      </c>
      <c r="BF157">
        <v>-7.1363382899628247</v>
      </c>
      <c r="BG157">
        <v>-7.217825278810408</v>
      </c>
      <c r="BH157">
        <v>-7.2993122676579922</v>
      </c>
      <c r="BI157">
        <v>-7.3523267326732666</v>
      </c>
      <c r="BJ157">
        <v>-7.3808415841584152</v>
      </c>
      <c r="BK157">
        <v>-7.4093217821782176</v>
      </c>
      <c r="BL157">
        <v>-7.4350643564356433</v>
      </c>
      <c r="BM157">
        <v>-7.4608069306930691</v>
      </c>
      <c r="BN157">
        <v>-7.4869356435643564</v>
      </c>
      <c r="BO157">
        <v>-7.5134702970297029</v>
      </c>
      <c r="BP157">
        <v>-7.5400049504950504</v>
      </c>
      <c r="BQ157">
        <v>-7.5634900990099014</v>
      </c>
      <c r="BR157">
        <v>-7.5868564356435639</v>
      </c>
      <c r="BS157">
        <v>-7.6079368029739776</v>
      </c>
      <c r="BT157">
        <v>-7.6260780669144976</v>
      </c>
      <c r="BU157">
        <v>-7.6442193308550186</v>
      </c>
      <c r="BV157">
        <v>-7.6623605947955387</v>
      </c>
      <c r="BW157">
        <v>-7.6805018587360596</v>
      </c>
      <c r="BX157">
        <v>-7.6986431226765797</v>
      </c>
      <c r="BY157">
        <v>-7.7167843866171006</v>
      </c>
      <c r="BZ157">
        <v>-7.7349256505576207</v>
      </c>
      <c r="CA157">
        <v>-7.7530669144981417</v>
      </c>
      <c r="CB157">
        <v>-7.7712081784386617</v>
      </c>
      <c r="CC157">
        <v>-7.7961683168316833</v>
      </c>
      <c r="CD157">
        <v>-7.833792079207921</v>
      </c>
      <c r="CE157">
        <v>-7.8714158415841586</v>
      </c>
      <c r="CF157">
        <v>-7.894009900990099</v>
      </c>
      <c r="CG157">
        <v>-7.9134158415841584</v>
      </c>
      <c r="CH157">
        <v>-7.9269999999999996</v>
      </c>
      <c r="CI157">
        <v>-7.9269999999999996</v>
      </c>
      <c r="CJ157">
        <v>-7.9269999999999996</v>
      </c>
      <c r="CK157">
        <v>-7.9420396039603958</v>
      </c>
      <c r="CL157">
        <v>-7.9614455445544552</v>
      </c>
    </row>
    <row r="158" spans="1:90" x14ac:dyDescent="0.35">
      <c r="A158" t="s">
        <v>7</v>
      </c>
      <c r="B158" s="38">
        <v>-22.574405940594058</v>
      </c>
      <c r="C158" s="38">
        <v>-22.203168316831682</v>
      </c>
      <c r="D158" s="38">
        <v>-21.902178217821781</v>
      </c>
      <c r="E158" s="38">
        <v>-21.612574257425745</v>
      </c>
      <c r="F158">
        <v>-21.493762376237623</v>
      </c>
      <c r="G158">
        <v>-21.374950495049504</v>
      </c>
      <c r="H158">
        <v>-21.324257425742573</v>
      </c>
      <c r="I158">
        <v>-21.332178217821781</v>
      </c>
      <c r="J158">
        <v>-21.340940594059408</v>
      </c>
      <c r="K158">
        <v>-21.416188118811881</v>
      </c>
      <c r="L158">
        <v>-21.491435643564358</v>
      </c>
      <c r="M158">
        <v>-21.578267326732675</v>
      </c>
      <c r="N158">
        <v>-21.677277227722772</v>
      </c>
      <c r="O158">
        <v>-21.776287128712873</v>
      </c>
      <c r="P158">
        <v>-21.875297029702971</v>
      </c>
      <c r="Q158">
        <v>-21.974306930693071</v>
      </c>
      <c r="R158">
        <v>-22.068118811881188</v>
      </c>
      <c r="S158">
        <v>-22.155247524752475</v>
      </c>
      <c r="T158">
        <v>-22.242376237623763</v>
      </c>
      <c r="U158">
        <v>-22.319653035935563</v>
      </c>
      <c r="V158">
        <v>-22.395985130111523</v>
      </c>
      <c r="W158">
        <v>-22.472317224287483</v>
      </c>
      <c r="X158">
        <v>-22.548649318463443</v>
      </c>
      <c r="Y158">
        <v>-22.624981412639404</v>
      </c>
      <c r="Z158">
        <v>-22.701313506815364</v>
      </c>
      <c r="AA158">
        <v>-22.777645600991328</v>
      </c>
      <c r="AB158">
        <v>-22.853977695167288</v>
      </c>
      <c r="AC158">
        <v>-22.930309789343248</v>
      </c>
      <c r="AD158">
        <v>-23.006641883519208</v>
      </c>
      <c r="AE158">
        <v>-23.108217821782176</v>
      </c>
      <c r="AF158">
        <v>-23.215148514851485</v>
      </c>
      <c r="AG158">
        <v>-23.323267326732672</v>
      </c>
      <c r="AH158">
        <v>-23.434158415841583</v>
      </c>
      <c r="AI158">
        <v>-23.545049504950494</v>
      </c>
      <c r="AJ158">
        <v>-23.6590099009901</v>
      </c>
      <c r="AK158">
        <v>-23.773861386138613</v>
      </c>
      <c r="AL158">
        <v>-23.88871287128713</v>
      </c>
      <c r="AM158">
        <v>-24.003564356435643</v>
      </c>
      <c r="AN158">
        <v>-24.118415841584156</v>
      </c>
      <c r="AO158">
        <v>-24.233267326732673</v>
      </c>
      <c r="AP158">
        <v>-24.348118811881189</v>
      </c>
      <c r="AQ158">
        <v>-24.462178217821783</v>
      </c>
      <c r="AR158">
        <v>-24.573069306930694</v>
      </c>
      <c r="AS158">
        <v>-24.683960396039602</v>
      </c>
      <c r="AT158">
        <v>-24.792178217821782</v>
      </c>
      <c r="AU158">
        <v>-24.899108910891087</v>
      </c>
      <c r="AV158">
        <v>-25.003663366336632</v>
      </c>
      <c r="AW158">
        <v>-25.094752475247525</v>
      </c>
      <c r="AX158">
        <v>-25.185841584158414</v>
      </c>
      <c r="AY158">
        <v>-25.272044609665425</v>
      </c>
      <c r="AZ158">
        <v>-25.355315985130112</v>
      </c>
      <c r="BA158">
        <v>-25.438587360594795</v>
      </c>
      <c r="BB158">
        <v>-25.521858736059478</v>
      </c>
      <c r="BC158">
        <v>-25.605130111524161</v>
      </c>
      <c r="BD158">
        <v>-25.688401486988845</v>
      </c>
      <c r="BE158">
        <v>-25.771672862453531</v>
      </c>
      <c r="BF158">
        <v>-25.854944237918215</v>
      </c>
      <c r="BG158">
        <v>-25.938215613382898</v>
      </c>
      <c r="BH158">
        <v>-26.021486988847581</v>
      </c>
      <c r="BI158">
        <v>-26.115346534653465</v>
      </c>
      <c r="BJ158">
        <v>-26.218316831683168</v>
      </c>
      <c r="BK158">
        <v>-26.321287128712871</v>
      </c>
      <c r="BL158">
        <v>-26.424257425742574</v>
      </c>
      <c r="BM158">
        <v>-26.527227722772277</v>
      </c>
      <c r="BN158">
        <v>-26.632128712871285</v>
      </c>
      <c r="BO158">
        <v>-26.739059405940594</v>
      </c>
      <c r="BP158">
        <v>-26.845990099009903</v>
      </c>
      <c r="BQ158">
        <v>-26.903366336633663</v>
      </c>
      <c r="BR158">
        <v>-26.958811881188119</v>
      </c>
      <c r="BS158">
        <v>-27.025997521685252</v>
      </c>
      <c r="BT158">
        <v>-27.108277571251548</v>
      </c>
      <c r="BU158">
        <v>-27.190557620817842</v>
      </c>
      <c r="BV158">
        <v>-27.272837670384138</v>
      </c>
      <c r="BW158">
        <v>-27.355117719950432</v>
      </c>
      <c r="BX158">
        <v>-27.437397769516728</v>
      </c>
      <c r="BY158">
        <v>-27.519677819083022</v>
      </c>
      <c r="BZ158">
        <v>-27.601957868649318</v>
      </c>
      <c r="CA158">
        <v>-27.684237918215612</v>
      </c>
      <c r="CB158">
        <v>-27.766517967781908</v>
      </c>
      <c r="CC158">
        <v>-27.885148514851483</v>
      </c>
      <c r="CD158">
        <v>-28.071287128712871</v>
      </c>
      <c r="CE158">
        <v>-28.257425742574256</v>
      </c>
      <c r="CF158">
        <v>-28.368415841584159</v>
      </c>
      <c r="CG158">
        <v>-28.463465346534655</v>
      </c>
      <c r="CH158">
        <v>-28.53</v>
      </c>
      <c r="CI158">
        <v>-28.53</v>
      </c>
      <c r="CJ158">
        <v>-28.53</v>
      </c>
      <c r="CK158">
        <v>-28.600594059405942</v>
      </c>
      <c r="CL158">
        <v>-28.691683168316832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95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F27" sqref="F27"/>
    </sheetView>
  </sheetViews>
  <sheetFormatPr defaultRowHeight="21" x14ac:dyDescent="0.35"/>
  <cols>
    <col min="1" max="1" width="4.81640625" customWidth="1"/>
  </cols>
  <sheetData>
    <row r="1" spans="1:12" ht="28.5" x14ac:dyDescent="0.45">
      <c r="A1" s="45">
        <v>0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12" ht="21.75" customHeight="1" x14ac:dyDescent="0.35">
      <c r="A2" s="46" t="s">
        <v>31</v>
      </c>
      <c r="B2" s="58"/>
      <c r="C2" s="56"/>
      <c r="D2" s="56"/>
      <c r="E2" s="56"/>
      <c r="F2" s="56"/>
      <c r="G2" s="56"/>
      <c r="H2" s="56"/>
      <c r="I2" s="56"/>
      <c r="J2" s="56"/>
      <c r="K2" s="56"/>
      <c r="L2" s="56"/>
    </row>
    <row r="3" spans="1:12" x14ac:dyDescent="0.35">
      <c r="B3" s="57"/>
      <c r="C3" s="56"/>
      <c r="D3" s="56"/>
      <c r="E3" s="56"/>
      <c r="F3" s="57"/>
      <c r="G3" s="56"/>
      <c r="H3" s="56"/>
      <c r="I3" s="56"/>
      <c r="J3" s="57"/>
      <c r="K3" s="56"/>
      <c r="L3" s="56"/>
    </row>
    <row r="4" spans="1:12" x14ac:dyDescent="0.35">
      <c r="B4" s="58"/>
      <c r="C4" s="56"/>
      <c r="D4" s="56"/>
      <c r="E4" s="56"/>
      <c r="F4" s="56"/>
      <c r="G4" s="56"/>
      <c r="H4" s="56"/>
      <c r="I4" s="56"/>
      <c r="J4" s="56"/>
      <c r="K4" s="56"/>
      <c r="L4" s="56"/>
    </row>
    <row r="5" spans="1:12" x14ac:dyDescent="0.35">
      <c r="B5" s="57"/>
      <c r="C5" s="56"/>
      <c r="D5" s="56"/>
      <c r="E5" s="56"/>
      <c r="F5" s="57"/>
      <c r="G5" s="56"/>
      <c r="H5" s="56"/>
      <c r="I5" s="56"/>
      <c r="J5" s="57"/>
      <c r="K5" s="56"/>
      <c r="L5" s="56"/>
    </row>
    <row r="6" spans="1:12" x14ac:dyDescent="0.35">
      <c r="B6" s="58"/>
      <c r="C6" s="56"/>
      <c r="D6" s="56"/>
      <c r="E6" s="56"/>
      <c r="F6" s="56"/>
      <c r="G6" s="56"/>
      <c r="H6" s="56"/>
      <c r="I6" s="56"/>
      <c r="J6" s="56"/>
      <c r="K6" s="56"/>
      <c r="L6" s="56"/>
    </row>
    <row r="7" spans="1:12" x14ac:dyDescent="0.35">
      <c r="B7" s="57"/>
      <c r="C7" s="56"/>
      <c r="D7" s="56"/>
      <c r="E7" s="56"/>
      <c r="F7" s="56"/>
      <c r="G7" s="56"/>
      <c r="H7" s="56"/>
      <c r="I7" s="56"/>
      <c r="J7" s="57"/>
      <c r="K7" s="56"/>
      <c r="L7" s="56"/>
    </row>
    <row r="8" spans="1:12" x14ac:dyDescent="0.35">
      <c r="B8" s="58"/>
      <c r="C8" s="56"/>
      <c r="D8" s="56"/>
      <c r="E8" s="56"/>
      <c r="F8" s="56"/>
      <c r="G8" s="56"/>
      <c r="H8" s="56"/>
      <c r="I8" s="56"/>
      <c r="J8" s="56"/>
      <c r="K8" s="56"/>
      <c r="L8" s="56"/>
    </row>
    <row r="9" spans="1:12" x14ac:dyDescent="0.35">
      <c r="B9" s="58"/>
      <c r="C9" s="56"/>
      <c r="D9" s="56"/>
      <c r="E9" s="56"/>
      <c r="F9" s="56"/>
      <c r="G9" s="56"/>
      <c r="H9" s="56"/>
      <c r="I9" s="56"/>
      <c r="J9" s="57"/>
      <c r="K9" s="56"/>
      <c r="L9" s="56"/>
    </row>
    <row r="10" spans="1:12" x14ac:dyDescent="0.35">
      <c r="B10" s="57"/>
      <c r="C10" s="56"/>
      <c r="D10" s="56"/>
      <c r="E10" s="56"/>
      <c r="F10" s="56"/>
      <c r="G10" s="56"/>
      <c r="H10" s="56"/>
      <c r="I10" s="56"/>
      <c r="J10" s="56"/>
      <c r="K10" s="56"/>
      <c r="L10" s="56"/>
    </row>
    <row r="11" spans="1:12" x14ac:dyDescent="0.35">
      <c r="B11" s="58"/>
      <c r="C11" s="56"/>
      <c r="D11" s="56"/>
      <c r="E11" s="56"/>
      <c r="F11" s="56"/>
      <c r="G11" s="56"/>
      <c r="H11" s="56"/>
      <c r="I11" s="56"/>
      <c r="J11" s="57"/>
      <c r="K11" s="56"/>
      <c r="L11" s="56"/>
    </row>
    <row r="12" spans="1:12" x14ac:dyDescent="0.35">
      <c r="B12" s="57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2" x14ac:dyDescent="0.35">
      <c r="B13" s="58"/>
      <c r="C13" s="56"/>
      <c r="D13" s="56"/>
      <c r="E13" s="56"/>
      <c r="F13" s="57"/>
      <c r="G13" s="56"/>
      <c r="H13" s="56"/>
      <c r="I13" s="56"/>
      <c r="J13" s="57"/>
      <c r="K13" s="56"/>
      <c r="L13" s="56"/>
    </row>
    <row r="14" spans="1:12" x14ac:dyDescent="0.35">
      <c r="B14" s="57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2" x14ac:dyDescent="0.35">
      <c r="B15" s="58"/>
      <c r="C15" s="56"/>
      <c r="D15" s="56"/>
      <c r="E15" s="56"/>
      <c r="F15" s="56"/>
      <c r="G15" s="56"/>
      <c r="H15" s="56"/>
      <c r="I15" s="56"/>
      <c r="J15" s="57"/>
      <c r="K15" s="56"/>
      <c r="L15" s="56"/>
    </row>
    <row r="16" spans="1:12" x14ac:dyDescent="0.35">
      <c r="B16" s="58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35">
      <c r="B17" s="57"/>
      <c r="C17" s="56"/>
      <c r="D17" s="56"/>
      <c r="E17" s="56"/>
      <c r="F17" s="57"/>
      <c r="G17" s="56"/>
      <c r="H17" s="56"/>
      <c r="I17" s="56"/>
      <c r="J17" s="57"/>
      <c r="K17" s="56"/>
      <c r="L17" s="56"/>
    </row>
    <row r="18" spans="1:12" x14ac:dyDescent="0.35">
      <c r="B18" s="58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35">
      <c r="B19" s="58"/>
      <c r="C19" s="56"/>
      <c r="D19" s="56"/>
      <c r="E19" s="56"/>
      <c r="F19" s="57"/>
      <c r="G19" s="56"/>
      <c r="H19" s="56"/>
      <c r="I19" s="56"/>
      <c r="J19" s="57"/>
      <c r="K19" s="56"/>
      <c r="L19" s="56"/>
    </row>
    <row r="20" spans="1:12" x14ac:dyDescent="0.35">
      <c r="B20" s="57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2" spans="1:12" x14ac:dyDescent="0.35">
      <c r="A22" t="e">
        <f>$A$1:$AZ$21</f>
        <v>#VALUE!</v>
      </c>
    </row>
  </sheetData>
  <conditionalFormatting sqref="A1:Z1 A21 A2:L20">
    <cfRule type="expression" dxfId="5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55D0-F9CB-4310-8E12-13FAF3A35614}">
  <dimension ref="A1:AE20"/>
  <sheetViews>
    <sheetView zoomScale="115" zoomScaleNormal="115" workbookViewId="0">
      <selection activeCell="E23" sqref="E23"/>
    </sheetView>
  </sheetViews>
  <sheetFormatPr defaultRowHeight="21" x14ac:dyDescent="0.35"/>
  <sheetData>
    <row r="1" spans="1:31" x14ac:dyDescent="0.35">
      <c r="A1" s="96" t="s">
        <v>58</v>
      </c>
      <c r="B1" s="97">
        <v>273.10000000000002</v>
      </c>
      <c r="C1" s="97">
        <v>289.7</v>
      </c>
      <c r="D1" s="97">
        <v>306.2</v>
      </c>
      <c r="E1" s="97">
        <v>322.7</v>
      </c>
      <c r="F1" s="97">
        <v>339.2</v>
      </c>
      <c r="G1" s="97">
        <v>355.7</v>
      </c>
      <c r="H1" s="97">
        <v>372.3</v>
      </c>
      <c r="I1" s="97">
        <v>388.8</v>
      </c>
      <c r="J1" s="97">
        <v>405.3</v>
      </c>
      <c r="K1" s="97">
        <v>471.4</v>
      </c>
      <c r="L1" s="97">
        <v>487.9</v>
      </c>
      <c r="M1" s="97">
        <v>520.9</v>
      </c>
      <c r="N1" s="97">
        <v>537.5</v>
      </c>
      <c r="O1" s="97">
        <v>603.5</v>
      </c>
      <c r="P1" s="97">
        <v>669.6</v>
      </c>
      <c r="Q1" s="92">
        <v>686.1</v>
      </c>
      <c r="R1" s="97">
        <v>702.7</v>
      </c>
      <c r="S1" s="97">
        <v>719.2</v>
      </c>
      <c r="T1" s="97">
        <v>735.7</v>
      </c>
      <c r="U1" s="97">
        <v>752.2</v>
      </c>
      <c r="V1" s="97">
        <v>768.7</v>
      </c>
      <c r="W1" s="97">
        <v>785.2</v>
      </c>
      <c r="X1" s="92">
        <v>801.8</v>
      </c>
      <c r="Y1" s="97">
        <v>818.3</v>
      </c>
      <c r="Z1" s="97">
        <v>834.8</v>
      </c>
      <c r="AA1" s="97">
        <v>851.3</v>
      </c>
      <c r="AB1" s="97">
        <v>867.8</v>
      </c>
      <c r="AC1" s="97">
        <v>933.9</v>
      </c>
      <c r="AD1" s="93">
        <v>1000</v>
      </c>
      <c r="AE1" s="90"/>
    </row>
    <row r="2" spans="1:31" x14ac:dyDescent="0.35">
      <c r="A2" s="94" t="s">
        <v>39</v>
      </c>
      <c r="B2" s="114">
        <v>0</v>
      </c>
      <c r="C2" s="115">
        <v>0</v>
      </c>
      <c r="D2" s="114">
        <v>0</v>
      </c>
      <c r="E2" s="114">
        <v>0</v>
      </c>
      <c r="F2" s="115">
        <v>0</v>
      </c>
      <c r="G2" s="114">
        <v>0</v>
      </c>
      <c r="H2" s="114">
        <v>0</v>
      </c>
      <c r="I2" s="115">
        <v>5.3772999999999998E-32</v>
      </c>
      <c r="J2" s="114">
        <v>1.5348000000000001E-24</v>
      </c>
      <c r="K2" s="114">
        <v>5.4907000000000001E-11</v>
      </c>
      <c r="L2" s="115">
        <v>1.0671E-9</v>
      </c>
      <c r="M2" s="114">
        <v>0.1</v>
      </c>
      <c r="N2" s="115">
        <v>0.1</v>
      </c>
      <c r="O2" s="114">
        <v>0.1</v>
      </c>
      <c r="P2" s="114">
        <v>0.1</v>
      </c>
      <c r="Q2" s="115">
        <v>0.1</v>
      </c>
      <c r="R2" s="114">
        <v>0.1</v>
      </c>
      <c r="S2" s="114">
        <v>0.1</v>
      </c>
      <c r="T2" s="115">
        <v>0.1</v>
      </c>
      <c r="U2" s="114">
        <v>0.1</v>
      </c>
      <c r="V2" s="114">
        <v>0.1</v>
      </c>
      <c r="W2" s="115">
        <v>0.1</v>
      </c>
      <c r="X2" s="114">
        <v>8.9244000000000004E-2</v>
      </c>
      <c r="Y2" s="114">
        <v>8.7581000000000006E-2</v>
      </c>
      <c r="Z2" s="115">
        <v>8.5822999999999997E-2</v>
      </c>
      <c r="AA2" s="114">
        <v>8.3868999999999999E-2</v>
      </c>
      <c r="AB2" s="114">
        <v>8.1675999999999999E-2</v>
      </c>
      <c r="AC2" s="115">
        <v>6.9655999999999996E-2</v>
      </c>
      <c r="AD2" s="114">
        <v>4.8920999999999999E-2</v>
      </c>
    </row>
    <row r="3" spans="1:31" x14ac:dyDescent="0.35">
      <c r="A3" s="91" t="s">
        <v>38</v>
      </c>
      <c r="B3" s="120">
        <v>0.1</v>
      </c>
      <c r="C3" s="121">
        <v>0.1</v>
      </c>
      <c r="D3" s="120">
        <v>0.1</v>
      </c>
      <c r="E3" s="120">
        <v>0.1</v>
      </c>
      <c r="F3" s="121">
        <v>0.1</v>
      </c>
      <c r="G3" s="120">
        <v>0.2</v>
      </c>
      <c r="H3" s="120">
        <v>0.2</v>
      </c>
      <c r="I3" s="121">
        <v>0.2</v>
      </c>
      <c r="J3" s="120">
        <v>0.2</v>
      </c>
      <c r="K3" s="120">
        <v>0.2</v>
      </c>
      <c r="L3" s="121">
        <v>0.2</v>
      </c>
      <c r="M3" s="118">
        <v>1.9595999999999999E-7</v>
      </c>
      <c r="N3" s="119">
        <v>3.8421000000000002E-9</v>
      </c>
      <c r="O3" s="118">
        <v>3.7591999999999998E-13</v>
      </c>
      <c r="P3" s="120">
        <v>1.0288E-20</v>
      </c>
      <c r="Q3" s="121">
        <v>6.8252999999999997E-23</v>
      </c>
      <c r="R3" s="120">
        <v>1.5939E-27</v>
      </c>
      <c r="S3" s="120">
        <v>2.2882E-32</v>
      </c>
      <c r="T3" s="121">
        <v>0</v>
      </c>
      <c r="U3" s="120">
        <v>0</v>
      </c>
      <c r="V3" s="120">
        <v>0</v>
      </c>
      <c r="W3" s="121">
        <v>0</v>
      </c>
      <c r="X3" s="120">
        <v>0</v>
      </c>
      <c r="Y3" s="120">
        <v>0</v>
      </c>
      <c r="Z3" s="121">
        <v>0</v>
      </c>
      <c r="AA3" s="120">
        <v>0</v>
      </c>
      <c r="AB3" s="120">
        <v>0</v>
      </c>
      <c r="AC3" s="121">
        <v>0</v>
      </c>
      <c r="AD3" s="120">
        <v>0</v>
      </c>
    </row>
    <row r="4" spans="1:31" x14ac:dyDescent="0.35">
      <c r="A4" s="91" t="s">
        <v>78</v>
      </c>
      <c r="B4" s="120">
        <v>0</v>
      </c>
      <c r="C4" s="121">
        <v>0</v>
      </c>
      <c r="D4" s="120">
        <v>0</v>
      </c>
      <c r="E4" s="120">
        <v>0</v>
      </c>
      <c r="F4" s="121">
        <v>0</v>
      </c>
      <c r="G4" s="120">
        <v>0</v>
      </c>
      <c r="H4" s="120">
        <v>0</v>
      </c>
      <c r="I4" s="121">
        <v>0</v>
      </c>
      <c r="J4" s="120">
        <v>0</v>
      </c>
      <c r="K4" s="120">
        <v>0</v>
      </c>
      <c r="L4" s="121">
        <v>0</v>
      </c>
      <c r="M4" s="120">
        <v>0</v>
      </c>
      <c r="N4" s="121">
        <v>0</v>
      </c>
      <c r="O4" s="120">
        <v>0</v>
      </c>
      <c r="P4" s="120">
        <v>3.5951000000000002E-34</v>
      </c>
      <c r="Q4" s="121">
        <v>4.4337999999999999E-29</v>
      </c>
      <c r="R4" s="120">
        <v>3.6580000000000002E-26</v>
      </c>
      <c r="S4" s="120">
        <v>1.8552E-22</v>
      </c>
      <c r="T4" s="121">
        <v>2.7423000000000002E-30</v>
      </c>
      <c r="U4" s="120">
        <v>4.1469000000000002E-19</v>
      </c>
      <c r="V4" s="120">
        <v>7.2405000000000003E-17</v>
      </c>
      <c r="W4" s="121">
        <v>1.4522E-16</v>
      </c>
      <c r="X4" s="120">
        <v>8.6198000000000002E-8</v>
      </c>
      <c r="Y4" s="120">
        <v>3.9130000000000002E-7</v>
      </c>
      <c r="Z4" s="121">
        <v>2.5989999999999999E-7</v>
      </c>
      <c r="AA4" s="120">
        <v>1.9763E-7</v>
      </c>
      <c r="AB4" s="120">
        <v>1.7905999999999999E-7</v>
      </c>
      <c r="AC4" s="121">
        <v>4.4642999999999998E-8</v>
      </c>
      <c r="AD4" s="120">
        <v>1.4543999999999999E-8</v>
      </c>
    </row>
    <row r="5" spans="1:31" x14ac:dyDescent="0.35">
      <c r="A5" s="91" t="s">
        <v>95</v>
      </c>
      <c r="B5" s="120">
        <v>0</v>
      </c>
      <c r="C5" s="121">
        <v>0</v>
      </c>
      <c r="D5" s="120">
        <v>0</v>
      </c>
      <c r="E5" s="120">
        <v>0</v>
      </c>
      <c r="F5" s="121">
        <v>0</v>
      </c>
      <c r="G5" s="120">
        <v>0</v>
      </c>
      <c r="H5" s="120">
        <v>0</v>
      </c>
      <c r="I5" s="121">
        <v>0</v>
      </c>
      <c r="J5" s="120">
        <v>0</v>
      </c>
      <c r="K5" s="120">
        <v>0</v>
      </c>
      <c r="L5" s="121">
        <v>0</v>
      </c>
      <c r="M5" s="120">
        <v>0</v>
      </c>
      <c r="N5" s="121">
        <v>0</v>
      </c>
      <c r="O5" s="120">
        <v>0</v>
      </c>
      <c r="P5" s="118">
        <v>6.3694000000000001E-24</v>
      </c>
      <c r="Q5" s="119">
        <v>6.0374999999999997E-19</v>
      </c>
      <c r="R5" s="118">
        <v>1.7322E-15</v>
      </c>
      <c r="S5" s="118">
        <v>2.8695000000000001E-11</v>
      </c>
      <c r="T5" s="119">
        <v>9.1489999999999994E-8</v>
      </c>
      <c r="U5" s="118">
        <v>3.7073000000000002E-2</v>
      </c>
      <c r="V5" s="118">
        <v>5.2242999999999998E-2</v>
      </c>
      <c r="W5" s="119">
        <v>5.7151E-2</v>
      </c>
      <c r="X5" s="118">
        <v>3.0810999999999997E-8</v>
      </c>
      <c r="Y5" s="118">
        <v>7.0034000000000001E-20</v>
      </c>
      <c r="Z5" s="119">
        <v>0</v>
      </c>
      <c r="AA5" s="118">
        <v>0</v>
      </c>
      <c r="AB5" s="120">
        <v>0</v>
      </c>
      <c r="AC5" s="121">
        <v>0</v>
      </c>
      <c r="AD5" s="120">
        <v>0</v>
      </c>
    </row>
    <row r="6" spans="1:31" x14ac:dyDescent="0.35">
      <c r="A6" s="91" t="s">
        <v>37</v>
      </c>
      <c r="B6" s="120">
        <v>0</v>
      </c>
      <c r="C6" s="121">
        <v>0</v>
      </c>
      <c r="D6" s="120">
        <v>0</v>
      </c>
      <c r="E6" s="120">
        <v>0</v>
      </c>
      <c r="F6" s="121">
        <v>0</v>
      </c>
      <c r="G6" s="120">
        <v>0</v>
      </c>
      <c r="H6" s="118">
        <v>0</v>
      </c>
      <c r="I6" s="119">
        <v>5.3772999999999998E-32</v>
      </c>
      <c r="J6" s="118">
        <v>1.5348000000000001E-24</v>
      </c>
      <c r="K6" s="118">
        <v>5.4907000000000001E-11</v>
      </c>
      <c r="L6" s="119">
        <v>1.0671E-9</v>
      </c>
      <c r="M6" s="120">
        <v>0.1</v>
      </c>
      <c r="N6" s="121">
        <v>0.1</v>
      </c>
      <c r="O6" s="120">
        <v>0.1</v>
      </c>
      <c r="P6" s="120">
        <v>0.1</v>
      </c>
      <c r="Q6" s="121">
        <v>0.1</v>
      </c>
      <c r="R6" s="120">
        <v>0.1</v>
      </c>
      <c r="S6" s="120">
        <v>0.1</v>
      </c>
      <c r="T6" s="121">
        <v>0.1</v>
      </c>
      <c r="U6" s="120">
        <v>0.1</v>
      </c>
      <c r="V6" s="120">
        <v>0.1</v>
      </c>
      <c r="W6" s="121">
        <v>0.1</v>
      </c>
      <c r="X6" s="120">
        <v>8.9244000000000004E-2</v>
      </c>
      <c r="Y6" s="118">
        <v>8.7581000000000006E-2</v>
      </c>
      <c r="Z6" s="119">
        <v>8.5822999999999997E-2</v>
      </c>
      <c r="AA6" s="118">
        <v>8.3868999999999999E-2</v>
      </c>
      <c r="AB6" s="118">
        <v>8.1675999999999999E-2</v>
      </c>
      <c r="AC6" s="119">
        <v>6.9655999999999996E-2</v>
      </c>
      <c r="AD6" s="118">
        <v>4.8920999999999999E-2</v>
      </c>
    </row>
    <row r="7" spans="1:31" x14ac:dyDescent="0.35">
      <c r="A7" s="91" t="s">
        <v>36</v>
      </c>
      <c r="B7" s="120">
        <v>1.1638999999999999E-21</v>
      </c>
      <c r="C7" s="121">
        <v>1.1626E-17</v>
      </c>
      <c r="D7" s="120">
        <v>3.9641599999999999E-12</v>
      </c>
      <c r="E7" s="120">
        <v>1.1706000000000001E-9</v>
      </c>
      <c r="F7" s="121">
        <v>3.5366000000000001E-7</v>
      </c>
      <c r="G7" s="120">
        <v>0.1</v>
      </c>
      <c r="H7" s="120">
        <v>0.1</v>
      </c>
      <c r="I7" s="121">
        <v>0.1</v>
      </c>
      <c r="J7" s="120">
        <v>0.1</v>
      </c>
      <c r="K7" s="120">
        <v>0.1</v>
      </c>
      <c r="L7" s="121">
        <v>0.1</v>
      </c>
      <c r="M7" s="120">
        <v>0.3</v>
      </c>
      <c r="N7" s="121">
        <v>0.3</v>
      </c>
      <c r="O7" s="120">
        <v>0.3</v>
      </c>
      <c r="P7" s="120">
        <v>0.3</v>
      </c>
      <c r="Q7" s="121">
        <v>0.3</v>
      </c>
      <c r="R7" s="120">
        <v>0.3</v>
      </c>
      <c r="S7" s="120">
        <v>0.3</v>
      </c>
      <c r="T7" s="121">
        <v>0.3</v>
      </c>
      <c r="U7" s="120">
        <v>0.37414999999999998</v>
      </c>
      <c r="V7" s="120">
        <v>0.40449000000000002</v>
      </c>
      <c r="W7" s="121">
        <v>0.4143</v>
      </c>
      <c r="X7" s="120">
        <v>0.47771999999999998</v>
      </c>
      <c r="Y7" s="120">
        <v>0.47964000000000001</v>
      </c>
      <c r="Z7" s="121">
        <v>0.47993999999999998</v>
      </c>
      <c r="AA7" s="120">
        <v>0.47999000000000003</v>
      </c>
      <c r="AB7" s="120">
        <v>0.48</v>
      </c>
      <c r="AC7" s="121">
        <v>0.48</v>
      </c>
      <c r="AD7" s="120">
        <v>0.48</v>
      </c>
    </row>
    <row r="8" spans="1:31" x14ac:dyDescent="0.35">
      <c r="A8" s="91" t="s">
        <v>59</v>
      </c>
      <c r="B8" s="120">
        <v>0.1</v>
      </c>
      <c r="C8" s="121">
        <v>0.1</v>
      </c>
      <c r="D8" s="120">
        <v>0.1</v>
      </c>
      <c r="E8" s="120">
        <v>0.1</v>
      </c>
      <c r="F8" s="121">
        <v>0.1</v>
      </c>
      <c r="G8" s="120">
        <v>2.9696000000000002E-9</v>
      </c>
      <c r="H8" s="118">
        <v>3.3152000000000001E-10</v>
      </c>
      <c r="I8" s="119">
        <v>2.7948E-11</v>
      </c>
      <c r="J8" s="118">
        <v>7.0472999999999997E-13</v>
      </c>
      <c r="K8" s="120">
        <v>2.309E-27</v>
      </c>
      <c r="L8" s="121">
        <v>0</v>
      </c>
      <c r="M8" s="120">
        <v>0</v>
      </c>
      <c r="N8" s="121">
        <v>0</v>
      </c>
      <c r="O8" s="120">
        <v>0</v>
      </c>
      <c r="P8" s="120">
        <v>0</v>
      </c>
      <c r="Q8" s="121">
        <v>0</v>
      </c>
      <c r="R8" s="120">
        <v>0</v>
      </c>
      <c r="S8" s="120">
        <v>0</v>
      </c>
      <c r="T8" s="121">
        <v>0</v>
      </c>
      <c r="U8" s="120">
        <v>0</v>
      </c>
      <c r="V8" s="120">
        <v>0</v>
      </c>
      <c r="W8" s="121">
        <v>0</v>
      </c>
      <c r="X8" s="120">
        <v>0</v>
      </c>
      <c r="Y8" s="120">
        <v>0</v>
      </c>
      <c r="Z8" s="121">
        <v>0</v>
      </c>
      <c r="AA8" s="120">
        <v>0</v>
      </c>
      <c r="AB8" s="120">
        <v>0</v>
      </c>
      <c r="AC8" s="121">
        <v>0</v>
      </c>
      <c r="AD8" s="120">
        <v>0</v>
      </c>
    </row>
    <row r="9" spans="1:31" x14ac:dyDescent="0.35">
      <c r="A9" s="91" t="s">
        <v>60</v>
      </c>
      <c r="B9" s="120">
        <v>0.06</v>
      </c>
      <c r="C9" s="121">
        <v>0.06</v>
      </c>
      <c r="D9" s="120">
        <v>0.06</v>
      </c>
      <c r="E9" s="120">
        <v>0.06</v>
      </c>
      <c r="F9" s="121">
        <v>0.06</v>
      </c>
      <c r="G9" s="120">
        <v>0.06</v>
      </c>
      <c r="H9" s="120">
        <v>0.06</v>
      </c>
      <c r="I9" s="121">
        <v>0.06</v>
      </c>
      <c r="J9" s="120">
        <v>0.06</v>
      </c>
      <c r="K9" s="120">
        <v>0.06</v>
      </c>
      <c r="L9" s="121">
        <v>0.06</v>
      </c>
      <c r="M9" s="120">
        <v>0.06</v>
      </c>
      <c r="N9" s="121">
        <v>0.06</v>
      </c>
      <c r="O9" s="120">
        <v>0.06</v>
      </c>
      <c r="P9" s="120">
        <v>0.06</v>
      </c>
      <c r="Q9" s="121">
        <v>0.06</v>
      </c>
      <c r="R9" s="120">
        <v>0.06</v>
      </c>
      <c r="S9" s="120">
        <v>0.06</v>
      </c>
      <c r="T9" s="121">
        <v>0.06</v>
      </c>
      <c r="U9" s="120">
        <v>2.2926999999999999E-2</v>
      </c>
      <c r="V9" s="118">
        <v>7.7565999999999998E-3</v>
      </c>
      <c r="W9" s="119">
        <v>2.8487E-3</v>
      </c>
      <c r="X9" s="118">
        <v>7.5883000000000005E-4</v>
      </c>
      <c r="Y9" s="118">
        <v>1.1998999999999999E-4</v>
      </c>
      <c r="Z9" s="119">
        <v>2.0021E-5</v>
      </c>
      <c r="AA9" s="118">
        <v>3.5053000000000001E-6</v>
      </c>
      <c r="AB9" s="118">
        <v>6.4165000000000003E-7</v>
      </c>
      <c r="AC9" s="119">
        <v>1.0583E-9</v>
      </c>
      <c r="AD9" s="118">
        <v>2.8193999999999999E-12</v>
      </c>
    </row>
    <row r="10" spans="1:31" x14ac:dyDescent="0.35">
      <c r="A10" s="91" t="s">
        <v>61</v>
      </c>
      <c r="B10" s="120">
        <v>0</v>
      </c>
      <c r="C10" s="121">
        <v>0</v>
      </c>
      <c r="D10" s="120">
        <v>0</v>
      </c>
      <c r="E10" s="120">
        <v>0</v>
      </c>
      <c r="F10" s="121">
        <v>0</v>
      </c>
      <c r="G10" s="120">
        <v>0</v>
      </c>
      <c r="H10" s="120">
        <v>0</v>
      </c>
      <c r="I10" s="121">
        <v>0</v>
      </c>
      <c r="J10" s="120">
        <v>0</v>
      </c>
      <c r="K10" s="118">
        <v>2.0043000000000001E-32</v>
      </c>
      <c r="L10" s="119">
        <v>2.3445E-30</v>
      </c>
      <c r="M10" s="120">
        <v>1.3805000000000001E-26</v>
      </c>
      <c r="N10" s="121">
        <v>7.3119000000000001E-25</v>
      </c>
      <c r="O10" s="120">
        <v>7.7330999999999999E-19</v>
      </c>
      <c r="P10" s="118">
        <v>6.6347E-14</v>
      </c>
      <c r="Q10" s="119">
        <v>8.3351999999999997E-13</v>
      </c>
      <c r="R10" s="118">
        <v>9.4128000000000004E-12</v>
      </c>
      <c r="S10" s="118">
        <v>9.6235000000000004E-11</v>
      </c>
      <c r="T10" s="119">
        <v>8.9664000000000002E-10</v>
      </c>
      <c r="U10" s="118">
        <v>2.9265000000000002E-9</v>
      </c>
      <c r="V10" s="120">
        <v>7.7960999999999996E-9</v>
      </c>
      <c r="W10" s="121">
        <v>2.0885999999999999E-8</v>
      </c>
      <c r="X10" s="120">
        <v>3.7773999999999998E-8</v>
      </c>
      <c r="Y10" s="118">
        <v>3.7906000000000002E-8</v>
      </c>
      <c r="Z10" s="119">
        <v>3.7667000000000002E-8</v>
      </c>
      <c r="AA10" s="118">
        <v>3.6985999999999998E-8</v>
      </c>
      <c r="AB10" s="120">
        <v>3.5881000000000002E-8</v>
      </c>
      <c r="AC10" s="121">
        <v>2.8110999999999999E-8</v>
      </c>
      <c r="AD10" s="120">
        <v>1.7788E-8</v>
      </c>
    </row>
    <row r="11" spans="1:31" x14ac:dyDescent="0.35">
      <c r="A11" s="91" t="s">
        <v>1</v>
      </c>
      <c r="B11" s="120">
        <v>0.2</v>
      </c>
      <c r="C11" s="121">
        <v>0.2</v>
      </c>
      <c r="D11" s="120">
        <v>0.2</v>
      </c>
      <c r="E11" s="120">
        <v>0.2</v>
      </c>
      <c r="F11" s="121">
        <v>0.2</v>
      </c>
      <c r="G11" s="120">
        <v>0.2</v>
      </c>
      <c r="H11" s="120">
        <v>0.2</v>
      </c>
      <c r="I11" s="121">
        <v>0.2</v>
      </c>
      <c r="J11" s="120">
        <v>0.2</v>
      </c>
      <c r="K11" s="120">
        <v>0.2</v>
      </c>
      <c r="L11" s="121">
        <v>0.2</v>
      </c>
      <c r="M11" s="120">
        <v>0.2</v>
      </c>
      <c r="N11" s="121">
        <v>0.2</v>
      </c>
      <c r="O11" s="120">
        <v>0.2</v>
      </c>
      <c r="P11" s="120">
        <v>0.2</v>
      </c>
      <c r="Q11" s="121">
        <v>0.2</v>
      </c>
      <c r="R11" s="120">
        <v>0.2</v>
      </c>
      <c r="S11" s="120">
        <v>0.2</v>
      </c>
      <c r="T11" s="121">
        <v>0.2</v>
      </c>
      <c r="U11" s="120">
        <v>0.2</v>
      </c>
      <c r="V11" s="120">
        <v>0.2</v>
      </c>
      <c r="W11" s="121">
        <v>0.2</v>
      </c>
      <c r="X11" s="120">
        <v>0.2</v>
      </c>
      <c r="Y11" s="120">
        <v>0.2</v>
      </c>
      <c r="Z11" s="121">
        <v>0.2</v>
      </c>
      <c r="AA11" s="120">
        <v>0.2</v>
      </c>
      <c r="AB11" s="120">
        <v>0.2</v>
      </c>
      <c r="AC11" s="121">
        <v>0.2</v>
      </c>
      <c r="AD11" s="120">
        <v>0.2</v>
      </c>
    </row>
    <row r="12" spans="1:31" x14ac:dyDescent="0.35">
      <c r="A12" s="91" t="s">
        <v>96</v>
      </c>
      <c r="B12" s="120">
        <v>0</v>
      </c>
      <c r="C12" s="121">
        <v>0</v>
      </c>
      <c r="D12" s="120">
        <v>0</v>
      </c>
      <c r="E12" s="120">
        <v>0</v>
      </c>
      <c r="F12" s="121">
        <v>0</v>
      </c>
      <c r="G12" s="120">
        <v>0</v>
      </c>
      <c r="H12" s="120">
        <v>0</v>
      </c>
      <c r="I12" s="121">
        <v>0</v>
      </c>
      <c r="J12" s="120">
        <v>0</v>
      </c>
      <c r="K12" s="120">
        <v>0</v>
      </c>
      <c r="L12" s="121">
        <v>0</v>
      </c>
      <c r="M12" s="120">
        <v>0</v>
      </c>
      <c r="N12" s="121">
        <v>0</v>
      </c>
      <c r="O12" s="120">
        <v>3.4998000000000001E-19</v>
      </c>
      <c r="P12" s="118">
        <v>1.144E-13</v>
      </c>
      <c r="Q12" s="119">
        <v>1.4259E-12</v>
      </c>
      <c r="R12" s="118">
        <v>3.7888999999999997E-12</v>
      </c>
      <c r="S12" s="118">
        <v>6.1160999999999994E-11</v>
      </c>
      <c r="T12" s="119">
        <v>8.1475000000000008E-18</v>
      </c>
      <c r="U12" s="118">
        <v>3.6451000000000002E-10</v>
      </c>
      <c r="V12" s="118">
        <v>1.3507E-8</v>
      </c>
      <c r="W12" s="119">
        <v>2.0163000000000001E-7</v>
      </c>
      <c r="X12" s="118">
        <v>0.11848</v>
      </c>
      <c r="Y12" s="118">
        <v>0.11976000000000001</v>
      </c>
      <c r="Z12" s="119">
        <v>0.11996</v>
      </c>
      <c r="AA12" s="118">
        <v>0.11999</v>
      </c>
      <c r="AB12" s="120">
        <v>0.12</v>
      </c>
      <c r="AC12" s="121">
        <v>0.12</v>
      </c>
      <c r="AD12" s="120">
        <v>0.12</v>
      </c>
    </row>
    <row r="13" spans="1:31" x14ac:dyDescent="0.35">
      <c r="A13" s="91" t="s">
        <v>92</v>
      </c>
      <c r="B13" s="120">
        <v>0</v>
      </c>
      <c r="C13" s="121">
        <v>0</v>
      </c>
      <c r="D13" s="120">
        <v>0</v>
      </c>
      <c r="E13" s="120">
        <v>0</v>
      </c>
      <c r="F13" s="121">
        <v>0</v>
      </c>
      <c r="G13" s="120">
        <v>0</v>
      </c>
      <c r="H13" s="120">
        <v>0</v>
      </c>
      <c r="I13" s="121">
        <v>0</v>
      </c>
      <c r="J13" s="120">
        <v>0</v>
      </c>
      <c r="K13" s="120">
        <v>0</v>
      </c>
      <c r="L13" s="121">
        <v>0</v>
      </c>
      <c r="M13" s="120">
        <v>0</v>
      </c>
      <c r="N13" s="121">
        <v>0</v>
      </c>
      <c r="O13" s="120">
        <v>1.2240999999999999E-15</v>
      </c>
      <c r="P13" s="118">
        <v>4.0812E-12</v>
      </c>
      <c r="Q13" s="119">
        <v>1.8063E-11</v>
      </c>
      <c r="R13" s="118">
        <v>1.7662000000000001E-11</v>
      </c>
      <c r="S13" s="118">
        <v>1.0905E-10</v>
      </c>
      <c r="T13" s="119">
        <v>5.7466999999999996E-18</v>
      </c>
      <c r="U13" s="118">
        <v>1.5723999999999999E-10</v>
      </c>
      <c r="V13" s="118">
        <v>4.0661000000000003E-9</v>
      </c>
      <c r="W13" s="119">
        <v>4.2791000000000002E-8</v>
      </c>
      <c r="X13" s="118">
        <v>2.1513000000000001E-2</v>
      </c>
      <c r="Y13" s="118">
        <v>2.4837000000000001E-2</v>
      </c>
      <c r="Z13" s="119">
        <v>2.8353E-2</v>
      </c>
      <c r="AA13" s="118">
        <v>3.2261999999999999E-2</v>
      </c>
      <c r="AB13" s="120">
        <v>3.6649000000000001E-2</v>
      </c>
      <c r="AC13" s="121">
        <v>6.0687999999999999E-2</v>
      </c>
      <c r="AD13" s="121">
        <v>0.10216</v>
      </c>
    </row>
    <row r="14" spans="1:31" x14ac:dyDescent="0.35">
      <c r="A14" s="91" t="s">
        <v>27</v>
      </c>
      <c r="B14" s="120">
        <v>-18.88</v>
      </c>
      <c r="C14" s="121">
        <v>-18.87</v>
      </c>
      <c r="D14" s="120">
        <v>-18.87</v>
      </c>
      <c r="E14" s="120">
        <v>-18.88</v>
      </c>
      <c r="F14" s="121">
        <v>-18.89</v>
      </c>
      <c r="G14" s="120">
        <v>-18.91</v>
      </c>
      <c r="H14" s="118">
        <v>-18.93</v>
      </c>
      <c r="I14" s="119">
        <v>-18.95</v>
      </c>
      <c r="J14" s="118">
        <v>-18.98</v>
      </c>
      <c r="K14" s="118">
        <v>-19.100000000000001</v>
      </c>
      <c r="L14" s="119">
        <v>-19.13</v>
      </c>
      <c r="M14" s="118">
        <v>-19.2</v>
      </c>
      <c r="N14" s="119">
        <v>-19.23</v>
      </c>
      <c r="O14" s="119">
        <v>-19.37</v>
      </c>
      <c r="P14" s="118">
        <v>-19.510000000000002</v>
      </c>
      <c r="Q14" s="119">
        <v>-19.54</v>
      </c>
      <c r="R14" s="119">
        <v>-19.579999999999998</v>
      </c>
      <c r="S14" s="118">
        <v>-19.61</v>
      </c>
      <c r="T14" s="119">
        <v>-19.64</v>
      </c>
      <c r="U14" s="119">
        <v>-19.52</v>
      </c>
      <c r="V14" s="118">
        <v>-19.489999999999998</v>
      </c>
      <c r="W14" s="119">
        <v>-19.5</v>
      </c>
      <c r="X14" s="118">
        <v>-19.52</v>
      </c>
      <c r="Y14" s="118">
        <v>-19.55</v>
      </c>
      <c r="Z14" s="119">
        <v>-19.579999999999998</v>
      </c>
      <c r="AA14" s="118">
        <v>-19.61</v>
      </c>
      <c r="AB14" s="118">
        <v>-19.64</v>
      </c>
      <c r="AC14" s="119">
        <v>-19.760000000000002</v>
      </c>
      <c r="AD14" s="118">
        <v>-19.88</v>
      </c>
    </row>
    <row r="15" spans="1:31" x14ac:dyDescent="0.35">
      <c r="A15" s="96" t="s">
        <v>5</v>
      </c>
      <c r="B15" s="118">
        <v>-66.3</v>
      </c>
      <c r="C15" s="119">
        <v>-62.81</v>
      </c>
      <c r="D15" s="118">
        <v>-59.71</v>
      </c>
      <c r="E15" s="118">
        <v>-56.94</v>
      </c>
      <c r="F15" s="119">
        <v>-54.44</v>
      </c>
      <c r="G15" s="118">
        <v>-51.07</v>
      </c>
      <c r="H15" s="118">
        <v>-47.7</v>
      </c>
      <c r="I15" s="119">
        <v>-44.59</v>
      </c>
      <c r="J15" s="118">
        <v>-41.72</v>
      </c>
      <c r="K15" s="118">
        <v>-32.06</v>
      </c>
      <c r="L15" s="119">
        <v>-30.02</v>
      </c>
      <c r="M15" s="118">
        <v>-26.27</v>
      </c>
      <c r="N15" s="119">
        <v>-24.55</v>
      </c>
      <c r="O15" s="118">
        <v>-18.5</v>
      </c>
      <c r="P15" s="118">
        <v>-13.49</v>
      </c>
      <c r="Q15" s="119">
        <v>-12.36</v>
      </c>
      <c r="R15" s="118">
        <v>-11.28</v>
      </c>
      <c r="S15" s="118">
        <v>-10.24</v>
      </c>
      <c r="T15" s="119">
        <v>-9.24</v>
      </c>
      <c r="U15" s="118">
        <v>-8.68</v>
      </c>
      <c r="V15" s="118">
        <v>-8.2560000000000002</v>
      </c>
      <c r="W15" s="119">
        <v>-7.8470000000000004</v>
      </c>
      <c r="X15" s="118">
        <v>-7.6349999999999998</v>
      </c>
      <c r="Y15" s="118">
        <v>-7.7149999999999999</v>
      </c>
      <c r="Z15" s="119">
        <v>-7.7960000000000003</v>
      </c>
      <c r="AA15" s="118">
        <v>-7.8789999999999996</v>
      </c>
      <c r="AB15" s="118">
        <v>-7.9630000000000001</v>
      </c>
      <c r="AC15" s="119">
        <v>-8.3190000000000008</v>
      </c>
      <c r="AD15" s="118">
        <v>-8.7249999999999996</v>
      </c>
    </row>
    <row r="16" spans="1:31" x14ac:dyDescent="0.35">
      <c r="A16" s="96" t="s">
        <v>6</v>
      </c>
      <c r="B16" s="118">
        <v>-16.29</v>
      </c>
      <c r="C16" s="119">
        <v>-15.65</v>
      </c>
      <c r="D16" s="118">
        <v>-15.09</v>
      </c>
      <c r="E16" s="118">
        <v>-14.59</v>
      </c>
      <c r="F16" s="119">
        <v>-14.16</v>
      </c>
      <c r="G16" s="118">
        <v>-13.03</v>
      </c>
      <c r="H16" s="118">
        <v>-11.8</v>
      </c>
      <c r="I16" s="119">
        <v>-10.67</v>
      </c>
      <c r="J16" s="118">
        <v>-9.6150000000000002</v>
      </c>
      <c r="K16" s="118">
        <v>-6.04</v>
      </c>
      <c r="L16" s="119">
        <v>-5.2759999999999998</v>
      </c>
      <c r="M16" s="118">
        <v>-4.1150000000000002</v>
      </c>
      <c r="N16" s="119">
        <v>-4.1550000000000002</v>
      </c>
      <c r="O16" s="118">
        <v>-4.3170000000000002</v>
      </c>
      <c r="P16" s="118">
        <v>-4.4809999999999999</v>
      </c>
      <c r="Q16" s="119">
        <v>-4.5220000000000002</v>
      </c>
      <c r="R16" s="118">
        <v>-4.5620000000000003</v>
      </c>
      <c r="S16" s="118">
        <v>-4.6029999999999998</v>
      </c>
      <c r="T16" s="119">
        <v>-4.6429999999999998</v>
      </c>
      <c r="U16" s="118">
        <v>-4.6829999999999998</v>
      </c>
      <c r="V16" s="118">
        <v>-4.7220000000000004</v>
      </c>
      <c r="W16" s="119">
        <v>-4.7619999999999996</v>
      </c>
      <c r="X16" s="118">
        <v>-4.8010000000000002</v>
      </c>
      <c r="Y16" s="118">
        <v>-4.84</v>
      </c>
      <c r="Z16" s="119">
        <v>-4.8780000000000001</v>
      </c>
      <c r="AA16" s="118">
        <v>-4.9169999999999998</v>
      </c>
      <c r="AB16" s="118">
        <v>-4.9550000000000001</v>
      </c>
      <c r="AC16" s="119">
        <v>-5.1040000000000001</v>
      </c>
      <c r="AD16" s="118">
        <v>-5.2489999999999997</v>
      </c>
    </row>
    <row r="17" spans="1:30" x14ac:dyDescent="0.35">
      <c r="A17" s="96" t="s">
        <v>7</v>
      </c>
      <c r="B17" s="118">
        <v>-23.52</v>
      </c>
      <c r="C17" s="119">
        <v>-22.41</v>
      </c>
      <c r="D17" s="118">
        <v>-21.42</v>
      </c>
      <c r="E17" s="118">
        <v>-20.54</v>
      </c>
      <c r="F17" s="119">
        <v>-19.760000000000002</v>
      </c>
      <c r="G17" s="118">
        <v>-19.79</v>
      </c>
      <c r="H17" s="120">
        <v>-20.03</v>
      </c>
      <c r="I17" s="121">
        <v>-20.28</v>
      </c>
      <c r="J17" s="120">
        <v>-20.52</v>
      </c>
      <c r="K17" s="120">
        <v>-21.52</v>
      </c>
      <c r="L17" s="121">
        <v>-21.77</v>
      </c>
      <c r="M17" s="118">
        <v>-22.27</v>
      </c>
      <c r="N17" s="119">
        <v>-22.51</v>
      </c>
      <c r="O17" s="118">
        <v>-23.48</v>
      </c>
      <c r="P17" s="118">
        <v>-24.41</v>
      </c>
      <c r="Q17" s="119">
        <v>-24.64</v>
      </c>
      <c r="R17" s="118">
        <v>-24.86</v>
      </c>
      <c r="S17" s="118">
        <v>-25.09</v>
      </c>
      <c r="T17" s="119">
        <v>-25.31</v>
      </c>
      <c r="U17" s="118">
        <v>-25.53</v>
      </c>
      <c r="V17" s="120">
        <v>-25.75</v>
      </c>
      <c r="W17" s="121">
        <v>-25.96</v>
      </c>
      <c r="X17" s="120">
        <v>-26.18</v>
      </c>
      <c r="Y17" s="120">
        <v>-26.39</v>
      </c>
      <c r="Z17" s="121">
        <v>-26.6</v>
      </c>
      <c r="AA17" s="120">
        <v>-26.81</v>
      </c>
      <c r="AB17" s="120">
        <v>-27.02</v>
      </c>
      <c r="AC17" s="121">
        <v>-27.83</v>
      </c>
      <c r="AD17" s="120">
        <v>-28.62</v>
      </c>
    </row>
    <row r="18" spans="1:30" x14ac:dyDescent="0.35">
      <c r="A18" s="91" t="s">
        <v>63</v>
      </c>
      <c r="B18" s="120">
        <v>0.26</v>
      </c>
      <c r="C18" s="121">
        <v>0.26</v>
      </c>
      <c r="D18" s="120">
        <v>0.26</v>
      </c>
      <c r="E18" s="120">
        <v>0.26</v>
      </c>
      <c r="F18" s="121">
        <v>0.26</v>
      </c>
      <c r="G18" s="120">
        <v>0.26</v>
      </c>
      <c r="H18" s="120">
        <v>0.26</v>
      </c>
      <c r="I18" s="121">
        <v>0.26</v>
      </c>
      <c r="J18" s="120">
        <v>0.26</v>
      </c>
      <c r="K18" s="120">
        <v>0.26</v>
      </c>
      <c r="L18" s="121">
        <v>0.26</v>
      </c>
      <c r="M18" s="120">
        <v>0.26</v>
      </c>
      <c r="N18" s="121">
        <v>0.26</v>
      </c>
      <c r="O18" s="120">
        <v>0.26</v>
      </c>
      <c r="P18" s="120">
        <v>0.26</v>
      </c>
      <c r="Q18" s="121">
        <v>0.26</v>
      </c>
      <c r="R18" s="120">
        <v>0.26</v>
      </c>
      <c r="S18" s="120">
        <v>0.26</v>
      </c>
      <c r="T18" s="121">
        <v>0.26</v>
      </c>
      <c r="U18" s="120">
        <v>0.22292999999999999</v>
      </c>
      <c r="V18" s="118">
        <v>0.20776</v>
      </c>
      <c r="W18" s="119">
        <v>0.20285</v>
      </c>
      <c r="X18" s="118">
        <v>0.20075999999999999</v>
      </c>
      <c r="Y18" s="120">
        <v>0.20011999999999999</v>
      </c>
      <c r="Z18" s="121">
        <v>0.20002</v>
      </c>
      <c r="AA18" s="120">
        <v>0.2</v>
      </c>
      <c r="AB18" s="120">
        <v>0.2</v>
      </c>
      <c r="AC18" s="121">
        <v>0.2</v>
      </c>
      <c r="AD18" s="120">
        <v>0.2</v>
      </c>
    </row>
    <row r="19" spans="1:30" x14ac:dyDescent="0.35">
      <c r="A19" s="91" t="s">
        <v>75</v>
      </c>
      <c r="B19" s="120">
        <v>0</v>
      </c>
      <c r="C19" s="121">
        <v>0</v>
      </c>
      <c r="D19" s="120">
        <v>0</v>
      </c>
      <c r="E19" s="120">
        <v>0</v>
      </c>
      <c r="F19" s="121">
        <v>0</v>
      </c>
      <c r="G19" s="120">
        <v>0</v>
      </c>
      <c r="H19" s="120">
        <v>0</v>
      </c>
      <c r="I19" s="121">
        <v>0</v>
      </c>
      <c r="J19" s="120">
        <v>0</v>
      </c>
      <c r="K19" s="118">
        <v>1.5648E-34</v>
      </c>
      <c r="L19" s="119">
        <v>6.3058E-44</v>
      </c>
      <c r="M19" s="118">
        <v>0</v>
      </c>
      <c r="N19" s="119">
        <v>4.9294000000000003E-39</v>
      </c>
      <c r="O19" s="119">
        <v>4.7870999999999999E-14</v>
      </c>
      <c r="P19" s="118">
        <v>7.8033999999999996E-11</v>
      </c>
      <c r="Q19" s="119">
        <v>2.9501E-10</v>
      </c>
      <c r="R19" s="118">
        <v>2.4885000000000002E-10</v>
      </c>
      <c r="S19" s="118">
        <v>1.3329E-9</v>
      </c>
      <c r="T19" s="119">
        <v>6.1328000000000005E-17</v>
      </c>
      <c r="U19" s="118">
        <v>1.471E-9</v>
      </c>
      <c r="V19" s="118">
        <v>3.3531999999999999E-8</v>
      </c>
      <c r="W19" s="119">
        <v>3.1271E-7</v>
      </c>
      <c r="X19" s="118">
        <v>0.13999</v>
      </c>
      <c r="Y19" s="118">
        <v>0.14460000000000001</v>
      </c>
      <c r="Z19" s="119">
        <v>0.14831</v>
      </c>
      <c r="AA19" s="118">
        <v>0.15225</v>
      </c>
      <c r="AB19" s="118">
        <v>0.15665000000000001</v>
      </c>
      <c r="AC19" s="119">
        <v>0.18068999999999999</v>
      </c>
      <c r="AD19" s="118">
        <v>0.22214999999999999</v>
      </c>
    </row>
    <row r="20" spans="1:30" x14ac:dyDescent="0.35">
      <c r="A20" s="98" t="s">
        <v>64</v>
      </c>
      <c r="B20" s="122">
        <v>7.7398999999999997E-9</v>
      </c>
      <c r="C20" s="123">
        <v>1.3579E-9</v>
      </c>
      <c r="D20" s="122">
        <v>2.3721000000000001E-9</v>
      </c>
      <c r="E20" s="122">
        <v>6.6860000000000003E-9</v>
      </c>
      <c r="F20" s="123">
        <v>9.6974999999999997E-9</v>
      </c>
      <c r="G20" s="122">
        <v>5.7243000000000002E-9</v>
      </c>
      <c r="H20" s="122">
        <v>8.6256999999999993E-9</v>
      </c>
      <c r="I20" s="123">
        <v>6.2199E-9</v>
      </c>
      <c r="J20" s="122">
        <v>3.7821999999999996E-9</v>
      </c>
      <c r="K20" s="122">
        <v>6.8439000000000003E-9</v>
      </c>
      <c r="L20" s="123">
        <v>7.3646999999999996E-9</v>
      </c>
      <c r="M20" s="122">
        <v>9.0379999999999996E-9</v>
      </c>
      <c r="N20" s="123">
        <v>8.2302999999999996E-9</v>
      </c>
      <c r="O20" s="123">
        <v>1.1997999999999999E-9</v>
      </c>
      <c r="P20" s="122">
        <v>3.3566000000000002E-9</v>
      </c>
      <c r="Q20" s="123">
        <v>8.4469000000000007E-9</v>
      </c>
      <c r="R20" s="122">
        <v>3.8706000000000003E-9</v>
      </c>
      <c r="S20" s="122">
        <v>8.0573000000000003E-9</v>
      </c>
      <c r="T20" s="123">
        <v>8.0643E-9</v>
      </c>
      <c r="U20" s="122">
        <v>6.6847000000000003E-9</v>
      </c>
      <c r="V20" s="122">
        <v>8.3709999999999993E-9</v>
      </c>
      <c r="W20" s="123">
        <v>9.2438000000000007E-9</v>
      </c>
      <c r="X20" s="122">
        <v>9.3139999999999999E-9</v>
      </c>
      <c r="Y20" s="122">
        <v>9.5228999999999999E-9</v>
      </c>
      <c r="Z20" s="123">
        <v>8.3415000000000006E-9</v>
      </c>
      <c r="AA20" s="122">
        <v>8.3453999999999997E-9</v>
      </c>
      <c r="AB20" s="122">
        <v>9.9353999999999994E-9</v>
      </c>
      <c r="AC20" s="123">
        <v>7.4300999999999998E-9</v>
      </c>
      <c r="AD20" s="123">
        <v>7.7752999999999998E-9</v>
      </c>
    </row>
  </sheetData>
  <conditionalFormatting sqref="B1:AD20">
    <cfRule type="expression" dxfId="4" priority="1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B44C2-8B27-4429-B849-0668469CD3B5}">
  <dimension ref="A1:L22"/>
  <sheetViews>
    <sheetView workbookViewId="0">
      <selection activeCell="F25" sqref="F25"/>
    </sheetView>
  </sheetViews>
  <sheetFormatPr defaultRowHeight="21" x14ac:dyDescent="0.35"/>
  <sheetData>
    <row r="1" spans="1:12" ht="21" customHeight="1" x14ac:dyDescent="0.35">
      <c r="A1" s="129" t="s">
        <v>84</v>
      </c>
      <c r="B1" s="129">
        <v>273.10000000000002</v>
      </c>
      <c r="C1" s="129">
        <v>345.8</v>
      </c>
      <c r="D1" s="129">
        <v>418.5</v>
      </c>
      <c r="E1" s="129">
        <v>491.2</v>
      </c>
      <c r="F1" s="129">
        <v>563.9</v>
      </c>
      <c r="G1" s="129">
        <v>636.6</v>
      </c>
      <c r="H1" s="129">
        <v>709.3</v>
      </c>
      <c r="I1" s="129">
        <v>781.9</v>
      </c>
      <c r="J1" s="129">
        <v>854.6</v>
      </c>
      <c r="K1" s="129">
        <v>927.3</v>
      </c>
      <c r="L1" s="129">
        <v>1000</v>
      </c>
    </row>
    <row r="2" spans="1:12" x14ac:dyDescent="0.35">
      <c r="A2" s="126" t="s">
        <v>90</v>
      </c>
      <c r="B2" s="130">
        <v>2.2147E-8</v>
      </c>
      <c r="C2" s="131">
        <v>2.2195000000000001E-8</v>
      </c>
      <c r="D2" s="131">
        <v>2.6612E-8</v>
      </c>
      <c r="E2" s="132">
        <v>2.0637000000000001E-8</v>
      </c>
      <c r="F2" s="133">
        <v>3.152E-8</v>
      </c>
      <c r="G2" s="133">
        <v>3.7354999999999999E-8</v>
      </c>
      <c r="H2" s="132">
        <v>7.7942999999999999E-8</v>
      </c>
      <c r="I2" s="133">
        <v>1.1916E-7</v>
      </c>
      <c r="J2" s="133">
        <v>1.1024E-7</v>
      </c>
      <c r="K2" s="131">
        <v>5.362E-8</v>
      </c>
      <c r="L2" s="131">
        <v>2.0621E-8</v>
      </c>
    </row>
    <row r="3" spans="1:12" x14ac:dyDescent="0.35">
      <c r="A3" s="127" t="s">
        <v>85</v>
      </c>
      <c r="B3" s="134">
        <v>2.7272000000000002E-25</v>
      </c>
      <c r="C3" s="135">
        <v>1.2489E-18</v>
      </c>
      <c r="D3" s="135">
        <v>2.1093000000000001E-14</v>
      </c>
      <c r="E3" s="134">
        <v>1.6926000000000001E-11</v>
      </c>
      <c r="F3" s="135">
        <v>2.3089000000000002E-9</v>
      </c>
      <c r="G3" s="135">
        <v>1.2146E-7</v>
      </c>
      <c r="H3" s="134">
        <v>3.1574999999999998E-6</v>
      </c>
      <c r="I3" s="135">
        <v>3.8272999999999998E-5</v>
      </c>
      <c r="J3" s="135">
        <v>2.5968999999999998E-4</v>
      </c>
      <c r="K3" s="135">
        <v>1.0351E-3</v>
      </c>
      <c r="L3" s="135">
        <v>2.2520000000000001E-3</v>
      </c>
    </row>
    <row r="4" spans="1:12" x14ac:dyDescent="0.35">
      <c r="A4" s="127" t="s">
        <v>86</v>
      </c>
      <c r="B4" s="134">
        <v>2.8659000000000002E-23</v>
      </c>
      <c r="C4" s="135">
        <v>2.9185E-17</v>
      </c>
      <c r="D4" s="135">
        <v>1.719E-13</v>
      </c>
      <c r="E4" s="134">
        <v>6.3020000000000006E-11</v>
      </c>
      <c r="F4" s="135">
        <v>4.7312000000000004E-9</v>
      </c>
      <c r="G4" s="135">
        <v>1.6171000000000001E-7</v>
      </c>
      <c r="H4" s="134">
        <v>3.0736000000000001E-6</v>
      </c>
      <c r="I4" s="135">
        <v>2.7920999999999999E-5</v>
      </c>
      <c r="J4" s="135">
        <v>1.4166E-4</v>
      </c>
      <c r="K4" s="135">
        <v>4.036E-4</v>
      </c>
      <c r="L4" s="135">
        <v>5.7357000000000003E-4</v>
      </c>
    </row>
    <row r="5" spans="1:12" x14ac:dyDescent="0.35">
      <c r="A5" s="127" t="s">
        <v>87</v>
      </c>
      <c r="B5" s="134">
        <v>8.2633999999999998E-20</v>
      </c>
      <c r="C5" s="135">
        <v>2.5112999999999999E-14</v>
      </c>
      <c r="D5" s="135">
        <v>6.3243000000000006E-11</v>
      </c>
      <c r="E5" s="134">
        <v>1.2296999999999999E-8</v>
      </c>
      <c r="F5" s="135">
        <v>5.6937999999999998E-7</v>
      </c>
      <c r="G5" s="135">
        <v>1.3833E-5</v>
      </c>
      <c r="H5" s="134">
        <v>2.0672E-4</v>
      </c>
      <c r="I5" s="135">
        <v>1.4942E-3</v>
      </c>
      <c r="J5" s="135">
        <v>5.9605999999999999E-3</v>
      </c>
      <c r="K5" s="135">
        <v>1.2670000000000001E-2</v>
      </c>
      <c r="L5" s="135">
        <v>1.2201999999999999E-2</v>
      </c>
    </row>
    <row r="6" spans="1:12" x14ac:dyDescent="0.35">
      <c r="A6" s="127" t="s">
        <v>88</v>
      </c>
      <c r="B6" s="134">
        <v>3.1684999999999997E-17</v>
      </c>
      <c r="C6" s="135">
        <v>1.1852E-12</v>
      </c>
      <c r="D6" s="135">
        <v>7.1219999999999998E-10</v>
      </c>
      <c r="E6" s="134">
        <v>4.8587999999999998E-8</v>
      </c>
      <c r="F6" s="135">
        <v>1.0198E-6</v>
      </c>
      <c r="G6" s="135">
        <v>1.3874E-5</v>
      </c>
      <c r="H6" s="134">
        <v>1.3478000000000001E-4</v>
      </c>
      <c r="I6" s="135">
        <v>6.6381000000000003E-4</v>
      </c>
      <c r="J6" s="135">
        <v>1.83E-3</v>
      </c>
      <c r="K6" s="135">
        <v>2.6026999999999999E-3</v>
      </c>
      <c r="L6" s="135">
        <v>1.5475E-3</v>
      </c>
    </row>
    <row r="7" spans="1:12" x14ac:dyDescent="0.35">
      <c r="A7" s="125" t="s">
        <v>50</v>
      </c>
      <c r="B7" s="136">
        <v>2.7152E-18</v>
      </c>
      <c r="C7" s="137">
        <v>1.849E-13</v>
      </c>
      <c r="D7" s="137">
        <v>1.5342E-10</v>
      </c>
      <c r="E7" s="136">
        <v>1.2622E-8</v>
      </c>
      <c r="F7" s="137">
        <v>2.9997000000000001E-7</v>
      </c>
      <c r="G7" s="137">
        <v>4.6295000000000003E-6</v>
      </c>
      <c r="H7" s="136">
        <v>5.1235E-5</v>
      </c>
      <c r="I7" s="137">
        <v>2.7140999999999998E-4</v>
      </c>
      <c r="J7" s="137">
        <v>7.5522999999999996E-4</v>
      </c>
      <c r="K7" s="137">
        <v>9.8893000000000006E-4</v>
      </c>
      <c r="L7" s="137">
        <v>4.7684000000000002E-4</v>
      </c>
    </row>
    <row r="8" spans="1:12" x14ac:dyDescent="0.35">
      <c r="A8" s="127" t="s">
        <v>89</v>
      </c>
      <c r="B8" s="134">
        <v>4.8741E-20</v>
      </c>
      <c r="C8" s="135">
        <v>5.3561999999999997E-15</v>
      </c>
      <c r="D8" s="135">
        <v>5.6777000000000003E-12</v>
      </c>
      <c r="E8" s="134">
        <v>5.3358000000000003E-10</v>
      </c>
      <c r="F8" s="135">
        <v>1.3795E-8</v>
      </c>
      <c r="G8" s="135">
        <v>2.3421999999999999E-7</v>
      </c>
      <c r="H8" s="136">
        <v>2.8820000000000001E-6</v>
      </c>
      <c r="I8" s="137">
        <v>1.6099999999999998E-5</v>
      </c>
      <c r="J8" s="137">
        <v>4.4483000000000001E-5</v>
      </c>
      <c r="K8" s="135">
        <v>5.2898000000000001E-5</v>
      </c>
      <c r="L8" s="135">
        <v>2.0443999999999999E-5</v>
      </c>
    </row>
    <row r="9" spans="1:12" x14ac:dyDescent="0.35">
      <c r="A9" s="127" t="s">
        <v>62</v>
      </c>
      <c r="B9" s="134">
        <v>3.8015999999999999E-20</v>
      </c>
      <c r="C9" s="135">
        <v>1.1182000000000001E-14</v>
      </c>
      <c r="D9" s="135">
        <v>3.5247999999999997E-11</v>
      </c>
      <c r="E9" s="134">
        <v>9.2913E-9</v>
      </c>
      <c r="F9" s="135">
        <v>5.7400999999999999E-7</v>
      </c>
      <c r="G9" s="135">
        <v>1.6116999999999998E-5</v>
      </c>
      <c r="H9" s="136">
        <v>2.4930999999999998E-4</v>
      </c>
      <c r="I9" s="137">
        <v>2.0631999999999998E-3</v>
      </c>
      <c r="J9" s="137">
        <v>1.0800000000000001E-2</v>
      </c>
      <c r="K9" s="137">
        <v>3.805E-2</v>
      </c>
      <c r="L9" s="137">
        <v>8.5966000000000001E-2</v>
      </c>
    </row>
    <row r="10" spans="1:12" x14ac:dyDescent="0.35">
      <c r="A10" s="125" t="s">
        <v>2</v>
      </c>
      <c r="B10" s="136">
        <v>0</v>
      </c>
      <c r="C10" s="137">
        <v>2.7645999999999999E-30</v>
      </c>
      <c r="D10" s="137">
        <v>3.4106000000000001E-24</v>
      </c>
      <c r="E10" s="134">
        <v>6.3331000000000004E-20</v>
      </c>
      <c r="F10" s="135">
        <v>9.4456999999999996E-17</v>
      </c>
      <c r="G10" s="135">
        <v>3.0341000000000003E-14</v>
      </c>
      <c r="H10" s="134">
        <v>3.1922000000000001E-12</v>
      </c>
      <c r="I10" s="135">
        <v>1.312E-10</v>
      </c>
      <c r="J10" s="135">
        <v>2.7546E-9</v>
      </c>
      <c r="K10" s="135">
        <v>3.4509000000000001E-8</v>
      </c>
      <c r="L10" s="135">
        <v>2.6654E-7</v>
      </c>
    </row>
    <row r="11" spans="1:12" x14ac:dyDescent="0.35">
      <c r="A11" s="125" t="s">
        <v>61</v>
      </c>
      <c r="B11" s="136">
        <v>1.8006E-10</v>
      </c>
      <c r="C11" s="137">
        <v>3.1866999999999998E-7</v>
      </c>
      <c r="D11" s="137">
        <v>3.5216999999999998E-5</v>
      </c>
      <c r="E11" s="134">
        <v>8.6364999999999999E-4</v>
      </c>
      <c r="F11" s="135">
        <v>8.4177999999999996E-3</v>
      </c>
      <c r="G11" s="135">
        <v>3.8850999999999997E-2</v>
      </c>
      <c r="H11" s="134">
        <v>7.6590000000000005E-2</v>
      </c>
      <c r="I11" s="135">
        <v>9.6535999999999997E-2</v>
      </c>
      <c r="J11" s="135">
        <v>0.10704</v>
      </c>
      <c r="K11" s="135">
        <v>0.11336</v>
      </c>
      <c r="L11" s="135">
        <v>0.11648</v>
      </c>
    </row>
    <row r="12" spans="1:12" x14ac:dyDescent="0.35">
      <c r="A12" s="127" t="s">
        <v>1</v>
      </c>
      <c r="B12" s="137">
        <v>0.2</v>
      </c>
      <c r="C12" s="137">
        <v>0.2</v>
      </c>
      <c r="D12" s="137">
        <v>0.2</v>
      </c>
      <c r="E12" s="137">
        <v>0.2</v>
      </c>
      <c r="F12" s="137">
        <v>0.2</v>
      </c>
      <c r="G12" s="137">
        <v>0.2</v>
      </c>
      <c r="H12" s="137">
        <v>0.2</v>
      </c>
      <c r="I12" s="137">
        <v>0.2</v>
      </c>
      <c r="J12" s="137">
        <v>0.2</v>
      </c>
      <c r="K12" s="137">
        <v>0.2</v>
      </c>
      <c r="L12" s="137">
        <v>0.2</v>
      </c>
    </row>
    <row r="13" spans="1:12" x14ac:dyDescent="0.35">
      <c r="A13" s="127" t="s">
        <v>91</v>
      </c>
      <c r="B13" s="134">
        <v>0.24</v>
      </c>
      <c r="C13" s="135">
        <v>0.24</v>
      </c>
      <c r="D13" s="135">
        <v>0.23993</v>
      </c>
      <c r="E13" s="134">
        <v>0.23827000000000001</v>
      </c>
      <c r="F13" s="135">
        <v>0.22316</v>
      </c>
      <c r="G13" s="135">
        <v>0.1623</v>
      </c>
      <c r="H13" s="134">
        <v>8.6820999999999995E-2</v>
      </c>
      <c r="I13" s="135">
        <v>4.6927000000000003E-2</v>
      </c>
      <c r="J13" s="135">
        <v>2.5912999999999999E-2</v>
      </c>
      <c r="K13" s="135">
        <v>1.3278E-2</v>
      </c>
      <c r="L13" s="135">
        <v>7.045E-3</v>
      </c>
    </row>
    <row r="14" spans="1:12" x14ac:dyDescent="0.35">
      <c r="A14" s="125" t="s">
        <v>92</v>
      </c>
      <c r="B14" s="136">
        <v>0.08</v>
      </c>
      <c r="C14" s="137">
        <v>0.08</v>
      </c>
      <c r="D14" s="137">
        <v>0.08</v>
      </c>
      <c r="E14" s="136">
        <v>0.08</v>
      </c>
      <c r="F14" s="137">
        <v>0.08</v>
      </c>
      <c r="G14" s="137">
        <v>0.08</v>
      </c>
      <c r="H14" s="136">
        <v>0.08</v>
      </c>
      <c r="I14" s="137">
        <v>0.08</v>
      </c>
      <c r="J14" s="137">
        <v>0.08</v>
      </c>
      <c r="K14" s="137">
        <v>0.08</v>
      </c>
      <c r="L14" s="137">
        <v>0.08</v>
      </c>
    </row>
    <row r="15" spans="1:12" x14ac:dyDescent="0.35">
      <c r="A15" s="127" t="s">
        <v>93</v>
      </c>
      <c r="B15" s="134">
        <v>0.48</v>
      </c>
      <c r="C15" s="135">
        <v>0.48</v>
      </c>
      <c r="D15" s="135">
        <v>0.47996</v>
      </c>
      <c r="E15" s="134">
        <v>0.47914000000000001</v>
      </c>
      <c r="F15" s="135">
        <v>0.47156999999999999</v>
      </c>
      <c r="G15" s="135">
        <v>0.44092999999999999</v>
      </c>
      <c r="H15" s="134">
        <v>0.40067000000000003</v>
      </c>
      <c r="I15" s="135">
        <v>0.36563000000000001</v>
      </c>
      <c r="J15" s="135">
        <v>0.30359000000000003</v>
      </c>
      <c r="K15" s="135">
        <v>0.19950999999999999</v>
      </c>
      <c r="L15" s="135">
        <v>0.10874</v>
      </c>
    </row>
    <row r="16" spans="1:12" x14ac:dyDescent="0.35">
      <c r="A16" s="127" t="s">
        <v>27</v>
      </c>
      <c r="B16" s="134">
        <v>-18.62</v>
      </c>
      <c r="C16" s="135">
        <v>-18.64</v>
      </c>
      <c r="D16" s="135">
        <v>-18.739999999999998</v>
      </c>
      <c r="E16" s="134">
        <v>-18.88</v>
      </c>
      <c r="F16" s="135">
        <v>-19.07</v>
      </c>
      <c r="G16" s="135">
        <v>-19.36</v>
      </c>
      <c r="H16" s="134">
        <v>-19.66</v>
      </c>
      <c r="I16" s="135">
        <v>-19.88</v>
      </c>
      <c r="J16" s="135">
        <v>-20.11</v>
      </c>
      <c r="K16" s="135">
        <v>-20.36</v>
      </c>
      <c r="L16" s="135">
        <v>-20.62</v>
      </c>
    </row>
    <row r="17" spans="1:12" x14ac:dyDescent="0.35">
      <c r="A17" s="127" t="s">
        <v>5</v>
      </c>
      <c r="B17" s="134">
        <v>-5.8710000000000004</v>
      </c>
      <c r="C17" s="135">
        <v>-6.41</v>
      </c>
      <c r="D17" s="135">
        <v>-6.8849999999999998</v>
      </c>
      <c r="E17" s="134">
        <v>-7.3090000000000002</v>
      </c>
      <c r="F17" s="135">
        <v>-7.7190000000000003</v>
      </c>
      <c r="G17" s="135">
        <v>-8.2479999999999993</v>
      </c>
      <c r="H17" s="134">
        <v>-8.9949999999999992</v>
      </c>
      <c r="I17" s="135">
        <v>-9.7469999999999999</v>
      </c>
      <c r="J17" s="135">
        <v>-10.41</v>
      </c>
      <c r="K17" s="135">
        <v>-10.98</v>
      </c>
      <c r="L17" s="135">
        <v>-11.43</v>
      </c>
    </row>
    <row r="18" spans="1:12" x14ac:dyDescent="0.35">
      <c r="A18" s="127" t="s">
        <v>6</v>
      </c>
      <c r="B18" s="134">
        <v>6.2590000000000003</v>
      </c>
      <c r="C18" s="135">
        <v>2.9529999999999998</v>
      </c>
      <c r="D18" s="135">
        <v>0.67290000000000005</v>
      </c>
      <c r="E18" s="134">
        <v>-1.0149999999999999</v>
      </c>
      <c r="F18" s="135">
        <v>-2.3050000000000002</v>
      </c>
      <c r="G18" s="135">
        <v>-3.2450000000000001</v>
      </c>
      <c r="H18" s="134">
        <v>-3.9470000000000001</v>
      </c>
      <c r="I18" s="135">
        <v>-4.5590000000000002</v>
      </c>
      <c r="J18" s="135">
        <v>-5.0259999999999998</v>
      </c>
      <c r="K18" s="135">
        <v>-5.2619999999999996</v>
      </c>
      <c r="L18" s="135">
        <v>-5.367</v>
      </c>
    </row>
    <row r="19" spans="1:12" x14ac:dyDescent="0.35">
      <c r="A19" s="127" t="s">
        <v>7</v>
      </c>
      <c r="B19" s="134">
        <v>-4.7</v>
      </c>
      <c r="C19" s="135">
        <v>-5.09</v>
      </c>
      <c r="D19" s="135">
        <v>-5.5179999999999998</v>
      </c>
      <c r="E19" s="134">
        <v>-5.9349999999999996</v>
      </c>
      <c r="F19" s="135">
        <v>-6.3140000000000001</v>
      </c>
      <c r="G19" s="135">
        <v>-6.6210000000000004</v>
      </c>
      <c r="H19" s="134">
        <v>-6.8689999999999998</v>
      </c>
      <c r="I19" s="135">
        <v>-7.1319999999999997</v>
      </c>
      <c r="J19" s="135">
        <v>-7.4260000000000002</v>
      </c>
      <c r="K19" s="135">
        <v>-7.7830000000000004</v>
      </c>
      <c r="L19" s="135">
        <v>-8.2449999999999992</v>
      </c>
    </row>
    <row r="20" spans="1:12" x14ac:dyDescent="0.35">
      <c r="A20" s="128" t="s">
        <v>63</v>
      </c>
      <c r="B20" s="138">
        <v>0.2</v>
      </c>
      <c r="C20" s="139">
        <v>0.2</v>
      </c>
      <c r="D20" s="139">
        <v>0.20004</v>
      </c>
      <c r="E20" s="138">
        <v>0.20086000000000001</v>
      </c>
      <c r="F20" s="139">
        <v>0.20841999999999999</v>
      </c>
      <c r="G20" s="139">
        <v>0.2389</v>
      </c>
      <c r="H20" s="138">
        <v>0.27723999999999999</v>
      </c>
      <c r="I20" s="139">
        <v>0.30110999999999999</v>
      </c>
      <c r="J20" s="139">
        <v>0.32684000000000002</v>
      </c>
      <c r="K20" s="139">
        <v>0.36915999999999999</v>
      </c>
      <c r="L20" s="139">
        <v>0.41952</v>
      </c>
    </row>
    <row r="21" spans="1:12" x14ac:dyDescent="0.35">
      <c r="A21" s="124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</row>
    <row r="22" spans="1:12" x14ac:dyDescent="0.3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</row>
  </sheetData>
  <conditionalFormatting sqref="B1:L20">
    <cfRule type="expression" dxfId="3" priority="1">
      <formula>ISNUMBER(B1)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478D9-5C39-4914-B936-22691084ED90}">
  <dimension ref="A1:AE33"/>
  <sheetViews>
    <sheetView topLeftCell="S1" zoomScale="145" zoomScaleNormal="145" workbookViewId="0">
      <selection activeCell="A28" sqref="A1:AE28"/>
    </sheetView>
  </sheetViews>
  <sheetFormatPr defaultRowHeight="21" x14ac:dyDescent="0.35"/>
  <sheetData>
    <row r="1" spans="1:31" x14ac:dyDescent="0.35">
      <c r="A1" s="91" t="s">
        <v>58</v>
      </c>
      <c r="B1" s="92">
        <v>273.10000000000002</v>
      </c>
      <c r="C1" s="92">
        <v>293.3</v>
      </c>
      <c r="D1" s="92">
        <v>313.5</v>
      </c>
      <c r="E1" s="92">
        <v>333.7</v>
      </c>
      <c r="F1" s="92">
        <v>353.9</v>
      </c>
      <c r="G1" s="92">
        <v>374.1</v>
      </c>
      <c r="H1" s="92">
        <v>394.3</v>
      </c>
      <c r="I1" s="92">
        <v>414.5</v>
      </c>
      <c r="J1" s="92">
        <v>434.7</v>
      </c>
      <c r="K1" s="92">
        <v>515.4</v>
      </c>
      <c r="L1" s="92">
        <v>535.6</v>
      </c>
      <c r="M1" s="92">
        <v>555.79999999999995</v>
      </c>
      <c r="N1" s="93">
        <v>576</v>
      </c>
      <c r="O1" s="92">
        <v>596.20000000000005</v>
      </c>
      <c r="P1" s="92">
        <v>616.4</v>
      </c>
      <c r="Q1" s="92">
        <v>636.6</v>
      </c>
      <c r="R1" s="92">
        <v>656.8</v>
      </c>
      <c r="S1" s="93">
        <v>677</v>
      </c>
      <c r="T1" s="92">
        <v>757.7</v>
      </c>
      <c r="U1" s="92">
        <v>777.9</v>
      </c>
      <c r="V1" s="92">
        <v>798.1</v>
      </c>
      <c r="W1" s="92">
        <v>818.3</v>
      </c>
      <c r="X1" s="92">
        <v>838.5</v>
      </c>
      <c r="Y1" s="92">
        <v>919.2</v>
      </c>
      <c r="Z1" s="92">
        <v>919.2</v>
      </c>
      <c r="AA1" s="92">
        <v>939.4</v>
      </c>
      <c r="AB1" s="92">
        <v>959.6</v>
      </c>
      <c r="AC1" s="92">
        <v>959.6</v>
      </c>
      <c r="AD1" s="92">
        <v>979.8</v>
      </c>
      <c r="AE1" s="92">
        <v>1000</v>
      </c>
    </row>
    <row r="2" spans="1:31" x14ac:dyDescent="0.35">
      <c r="A2" s="94" t="s">
        <v>39</v>
      </c>
      <c r="B2" s="114">
        <v>0</v>
      </c>
      <c r="C2" s="114">
        <v>0</v>
      </c>
      <c r="D2" s="114">
        <v>0</v>
      </c>
      <c r="E2" s="114">
        <v>0</v>
      </c>
      <c r="F2" s="114">
        <v>0</v>
      </c>
      <c r="G2" s="114">
        <v>0</v>
      </c>
      <c r="H2" s="114">
        <v>0</v>
      </c>
      <c r="I2" s="115">
        <v>0</v>
      </c>
      <c r="J2" s="115">
        <v>2.0238000000000002E-31</v>
      </c>
      <c r="K2" s="114">
        <v>1.0195E-19</v>
      </c>
      <c r="L2" s="115">
        <v>7.8194E-20</v>
      </c>
      <c r="M2" s="115">
        <v>1.9236999999999999E-19</v>
      </c>
      <c r="N2" s="116">
        <v>3.5631000000000001E-19</v>
      </c>
      <c r="O2" s="117">
        <v>5.9198999999999998E-19</v>
      </c>
      <c r="P2" s="117">
        <v>6.7627999999999996E-19</v>
      </c>
      <c r="Q2" s="116">
        <v>8.9939999999999996E-20</v>
      </c>
      <c r="R2" s="117">
        <v>4.7182000000000002E-20</v>
      </c>
      <c r="S2" s="117">
        <v>7.3727999999999998E-22</v>
      </c>
      <c r="T2" s="114">
        <v>0</v>
      </c>
      <c r="U2" s="115">
        <v>0</v>
      </c>
      <c r="V2" s="95">
        <v>0</v>
      </c>
      <c r="W2" s="95">
        <v>0</v>
      </c>
      <c r="X2" s="95">
        <v>0</v>
      </c>
      <c r="Y2" s="95">
        <v>0</v>
      </c>
      <c r="Z2" s="95">
        <v>0</v>
      </c>
      <c r="AA2" s="95">
        <v>0</v>
      </c>
      <c r="AB2" s="95">
        <v>0</v>
      </c>
      <c r="AC2" s="95">
        <v>0</v>
      </c>
      <c r="AD2" s="95">
        <v>0</v>
      </c>
      <c r="AE2" s="95">
        <v>0</v>
      </c>
    </row>
    <row r="3" spans="1:31" x14ac:dyDescent="0.35">
      <c r="A3" s="96" t="s">
        <v>38</v>
      </c>
      <c r="B3" s="118">
        <v>1.7465999999999999E-9</v>
      </c>
      <c r="C3" s="119">
        <v>3.1187E-9</v>
      </c>
      <c r="D3" s="119">
        <v>4.9120000000000004E-9</v>
      </c>
      <c r="E3" s="118">
        <v>5.1413E-9</v>
      </c>
      <c r="F3" s="119">
        <v>8.3548000000000001E-9</v>
      </c>
      <c r="G3" s="119">
        <v>6.6243E-9</v>
      </c>
      <c r="H3" s="118">
        <v>5.5517999999999998E-9</v>
      </c>
      <c r="I3" s="119">
        <v>8.1278000000000008E-9</v>
      </c>
      <c r="J3" s="119">
        <v>2.7106000000000001E-9</v>
      </c>
      <c r="K3" s="120">
        <v>1.0016E-27</v>
      </c>
      <c r="L3" s="121">
        <v>6.4726999999999994E-36</v>
      </c>
      <c r="M3" s="121">
        <v>0</v>
      </c>
      <c r="N3" s="120">
        <v>0</v>
      </c>
      <c r="O3" s="121">
        <v>0</v>
      </c>
      <c r="P3" s="121">
        <v>0</v>
      </c>
      <c r="Q3" s="120">
        <v>0</v>
      </c>
      <c r="R3" s="121">
        <v>0</v>
      </c>
      <c r="S3" s="121">
        <v>0</v>
      </c>
      <c r="T3" s="120">
        <v>0</v>
      </c>
      <c r="U3" s="121">
        <v>0</v>
      </c>
      <c r="V3" s="121">
        <v>0</v>
      </c>
      <c r="W3" s="120">
        <v>0</v>
      </c>
      <c r="X3" s="121">
        <v>0</v>
      </c>
      <c r="Y3" s="121">
        <v>0</v>
      </c>
      <c r="Z3" s="120">
        <v>0</v>
      </c>
      <c r="AA3" s="121">
        <v>0</v>
      </c>
      <c r="AB3" s="121">
        <v>0</v>
      </c>
      <c r="AC3" s="120">
        <v>0</v>
      </c>
      <c r="AD3" s="121">
        <v>0</v>
      </c>
      <c r="AE3" s="121">
        <v>0</v>
      </c>
    </row>
    <row r="4" spans="1:31" x14ac:dyDescent="0.35">
      <c r="A4" s="91" t="s">
        <v>78</v>
      </c>
      <c r="B4" s="120">
        <v>0</v>
      </c>
      <c r="C4" s="121">
        <v>0</v>
      </c>
      <c r="D4" s="121">
        <v>0</v>
      </c>
      <c r="E4" s="120">
        <v>0</v>
      </c>
      <c r="F4" s="121">
        <v>0</v>
      </c>
      <c r="G4" s="121">
        <v>0</v>
      </c>
      <c r="H4" s="120">
        <v>0</v>
      </c>
      <c r="I4" s="121">
        <v>0</v>
      </c>
      <c r="J4" s="121">
        <v>0</v>
      </c>
      <c r="K4" s="120">
        <v>0</v>
      </c>
      <c r="L4" s="121">
        <v>0</v>
      </c>
      <c r="M4" s="121">
        <v>0</v>
      </c>
      <c r="N4" s="120">
        <v>0</v>
      </c>
      <c r="O4" s="121">
        <v>0</v>
      </c>
      <c r="P4" s="121">
        <v>0</v>
      </c>
      <c r="Q4" s="120">
        <v>0</v>
      </c>
      <c r="R4" s="121">
        <v>0</v>
      </c>
      <c r="S4" s="121">
        <v>0</v>
      </c>
      <c r="T4" s="118">
        <v>2.5350000000000001E-33</v>
      </c>
      <c r="U4" s="119">
        <v>6.1875999999999997E-24</v>
      </c>
      <c r="V4" s="119">
        <v>3.2081999999999999E-15</v>
      </c>
      <c r="W4" s="118">
        <v>4.8135999999999998E-10</v>
      </c>
      <c r="X4" s="119">
        <v>1.1381E-4</v>
      </c>
      <c r="Y4" s="119">
        <v>9.3670999999999997E-3</v>
      </c>
      <c r="Z4" s="118">
        <v>9.3670999999999997E-3</v>
      </c>
      <c r="AA4" s="119">
        <v>6.8364999999999997E-3</v>
      </c>
      <c r="AB4" s="119">
        <v>4.8706000000000001E-3</v>
      </c>
      <c r="AC4" s="118">
        <v>4.8706000000000001E-3</v>
      </c>
      <c r="AD4" s="119">
        <v>3.3936000000000001E-3</v>
      </c>
      <c r="AE4" s="119">
        <v>2.3056999999999999E-3</v>
      </c>
    </row>
    <row r="5" spans="1:31" x14ac:dyDescent="0.35">
      <c r="A5" s="96" t="s">
        <v>37</v>
      </c>
      <c r="B5" s="118">
        <v>0</v>
      </c>
      <c r="C5" s="119">
        <v>0</v>
      </c>
      <c r="D5" s="119">
        <v>0</v>
      </c>
      <c r="E5" s="118">
        <v>0</v>
      </c>
      <c r="F5" s="119">
        <v>0</v>
      </c>
      <c r="G5" s="119">
        <v>0</v>
      </c>
      <c r="H5" s="118">
        <v>0</v>
      </c>
      <c r="I5" s="119">
        <v>0</v>
      </c>
      <c r="J5" s="119">
        <v>2.0238000000000002E-31</v>
      </c>
      <c r="K5" s="118">
        <v>1.0195E-19</v>
      </c>
      <c r="L5" s="119">
        <v>7.8194E-20</v>
      </c>
      <c r="M5" s="119">
        <v>1.9236999999999999E-19</v>
      </c>
      <c r="N5" s="118">
        <v>3.5631000000000001E-19</v>
      </c>
      <c r="O5" s="119">
        <v>5.9198999999999998E-19</v>
      </c>
      <c r="P5" s="119">
        <v>6.7627999999999996E-19</v>
      </c>
      <c r="Q5" s="118">
        <v>8.9939999999999996E-20</v>
      </c>
      <c r="R5" s="119">
        <v>4.7182000000000002E-20</v>
      </c>
      <c r="S5" s="119">
        <v>7.3727999999999998E-22</v>
      </c>
      <c r="T5" s="118">
        <v>0</v>
      </c>
      <c r="U5" s="119">
        <v>0</v>
      </c>
      <c r="V5" s="119">
        <v>0</v>
      </c>
      <c r="W5" s="118">
        <v>0</v>
      </c>
      <c r="X5" s="119">
        <v>0</v>
      </c>
      <c r="Y5" s="119">
        <v>0</v>
      </c>
      <c r="Z5" s="118">
        <v>0</v>
      </c>
      <c r="AA5" s="119">
        <v>0</v>
      </c>
      <c r="AB5" s="119">
        <v>0</v>
      </c>
      <c r="AC5" s="118">
        <v>0</v>
      </c>
      <c r="AD5" s="119">
        <v>0</v>
      </c>
      <c r="AE5" s="119">
        <v>0</v>
      </c>
    </row>
    <row r="6" spans="1:31" x14ac:dyDescent="0.35">
      <c r="A6" s="96" t="s">
        <v>36</v>
      </c>
      <c r="B6" s="118">
        <v>0</v>
      </c>
      <c r="C6" s="119">
        <v>1.0553E-32</v>
      </c>
      <c r="D6" s="119">
        <v>5.9967999999999999E-25</v>
      </c>
      <c r="E6" s="118">
        <v>7.394E-21</v>
      </c>
      <c r="F6" s="119">
        <v>2.4273000000000002E-18</v>
      </c>
      <c r="G6" s="119">
        <v>2.2218999999999999E-17</v>
      </c>
      <c r="H6" s="118">
        <v>1.8018E-16</v>
      </c>
      <c r="I6" s="119">
        <v>1.5621E-14</v>
      </c>
      <c r="J6" s="119">
        <v>1.7854E-12</v>
      </c>
      <c r="K6" s="118">
        <v>5.7444999999999998E-9</v>
      </c>
      <c r="L6" s="119">
        <v>5.0760999999999999E-9</v>
      </c>
      <c r="M6" s="119">
        <v>7.1047999999999997E-9</v>
      </c>
      <c r="N6" s="118">
        <v>8.1356999999999995E-9</v>
      </c>
      <c r="O6" s="119">
        <v>8.4486E-9</v>
      </c>
      <c r="P6" s="119">
        <v>8.7772999999999995E-9</v>
      </c>
      <c r="Q6" s="118">
        <v>4.5932000000000002E-9</v>
      </c>
      <c r="R6" s="119">
        <v>6.7450000000000002E-9</v>
      </c>
      <c r="S6" s="119">
        <v>1.1172000000000001E-8</v>
      </c>
      <c r="T6" s="118">
        <v>3.1079000000000003E-8</v>
      </c>
      <c r="U6" s="119">
        <v>3.5956000000000001E-8</v>
      </c>
      <c r="V6" s="119">
        <v>3.5671999999999997E-8</v>
      </c>
      <c r="W6" s="118">
        <v>3.5401999999999999E-14</v>
      </c>
      <c r="X6" s="119">
        <v>6.4792000000000002E-20</v>
      </c>
      <c r="Y6" s="119">
        <v>2.9942999999999999E-12</v>
      </c>
      <c r="Z6" s="118">
        <v>2.9942999999999999E-12</v>
      </c>
      <c r="AA6" s="119">
        <v>1.0896999999999999E-11</v>
      </c>
      <c r="AB6" s="118">
        <v>2.7919E-11</v>
      </c>
      <c r="AC6" s="118">
        <v>2.7919E-11</v>
      </c>
      <c r="AD6" s="119">
        <v>5.4146E-11</v>
      </c>
      <c r="AE6" s="119">
        <v>9.6280999999999998E-11</v>
      </c>
    </row>
    <row r="7" spans="1:31" x14ac:dyDescent="0.35">
      <c r="A7" s="96" t="s">
        <v>60</v>
      </c>
      <c r="B7" s="118">
        <v>8.5431999999999994E-2</v>
      </c>
      <c r="C7" s="119">
        <v>8.4527000000000005E-2</v>
      </c>
      <c r="D7" s="119">
        <v>8.2286999999999999E-2</v>
      </c>
      <c r="E7" s="118">
        <v>7.9214999999999994E-2</v>
      </c>
      <c r="F7" s="119">
        <v>7.6876E-2</v>
      </c>
      <c r="G7" s="119">
        <v>7.5688000000000005E-2</v>
      </c>
      <c r="H7" s="118">
        <v>7.5059000000000001E-2</v>
      </c>
      <c r="I7" s="119">
        <v>7.4338000000000001E-2</v>
      </c>
      <c r="J7" s="119">
        <v>7.2926000000000005E-2</v>
      </c>
      <c r="K7" s="118">
        <v>6.2204000000000002E-2</v>
      </c>
      <c r="L7" s="119">
        <v>6.1057E-2</v>
      </c>
      <c r="M7" s="119">
        <v>6.0498999999999997E-2</v>
      </c>
      <c r="N7" s="118">
        <v>6.0235999999999998E-2</v>
      </c>
      <c r="O7" s="119">
        <v>6.0097999999999999E-2</v>
      </c>
      <c r="P7" s="119">
        <v>5.9941000000000001E-2</v>
      </c>
      <c r="Q7" s="118">
        <v>5.9381000000000003E-2</v>
      </c>
      <c r="R7" s="119">
        <v>5.6876999999999997E-2</v>
      </c>
      <c r="S7" s="119">
        <v>4.7982999999999998E-2</v>
      </c>
      <c r="T7" s="118">
        <v>1.1642E-3</v>
      </c>
      <c r="U7" s="119">
        <v>3.3662999999999998E-4</v>
      </c>
      <c r="V7" s="119">
        <v>9.9456000000000005E-5</v>
      </c>
      <c r="W7" s="118">
        <v>3.0136000000000001E-5</v>
      </c>
      <c r="X7" s="119">
        <v>7.3228999999999998E-6</v>
      </c>
      <c r="Y7" s="119">
        <v>5.0723000000000004E-9</v>
      </c>
      <c r="Z7" s="118">
        <v>5.0723000000000004E-9</v>
      </c>
      <c r="AA7" s="119">
        <v>8.6951000000000003E-10</v>
      </c>
      <c r="AB7" s="119">
        <v>1.5648999999999999E-10</v>
      </c>
      <c r="AC7" s="118">
        <v>1.5648999999999999E-10</v>
      </c>
      <c r="AD7" s="119">
        <v>2.9546000000000002E-11</v>
      </c>
      <c r="AE7" s="119">
        <v>5.8409999999999999E-12</v>
      </c>
    </row>
    <row r="8" spans="1:31" x14ac:dyDescent="0.35">
      <c r="A8" s="91" t="s">
        <v>4</v>
      </c>
      <c r="B8" s="120">
        <v>0</v>
      </c>
      <c r="C8" s="121">
        <v>0</v>
      </c>
      <c r="D8" s="121">
        <v>0</v>
      </c>
      <c r="E8" s="121">
        <v>0</v>
      </c>
      <c r="F8" s="121">
        <v>0</v>
      </c>
      <c r="G8" s="121">
        <v>0</v>
      </c>
      <c r="H8" s="120">
        <v>0</v>
      </c>
      <c r="I8" s="121">
        <v>0</v>
      </c>
      <c r="J8" s="121">
        <v>0</v>
      </c>
      <c r="K8" s="118">
        <v>5.4365000000000002E-31</v>
      </c>
      <c r="L8" s="119">
        <v>4.9639000000000001E-29</v>
      </c>
      <c r="M8" s="119">
        <v>3.4342999999999997E-27</v>
      </c>
      <c r="N8" s="118">
        <v>1.8284000000000001E-25</v>
      </c>
      <c r="O8" s="119">
        <v>7.6348000000000001E-24</v>
      </c>
      <c r="P8" s="119">
        <v>2.5483999999999998E-22</v>
      </c>
      <c r="Q8" s="118">
        <v>6.8866999999999999E-21</v>
      </c>
      <c r="R8" s="119">
        <v>1.4899000000000001E-19</v>
      </c>
      <c r="S8" s="119">
        <v>2.3925999999999999E-18</v>
      </c>
      <c r="T8" s="118">
        <v>7.3604999999999996E-15</v>
      </c>
      <c r="U8" s="119">
        <v>3.8893999999999998E-14</v>
      </c>
      <c r="V8" s="119">
        <v>1.8881000000000001E-13</v>
      </c>
      <c r="W8" s="118">
        <v>8.4590999999999998E-13</v>
      </c>
      <c r="X8" s="119">
        <v>2.6030000000000001E-12</v>
      </c>
      <c r="Y8" s="119">
        <v>7.3739999999999996E-11</v>
      </c>
      <c r="Z8" s="118">
        <v>7.3739999999999996E-11</v>
      </c>
      <c r="AA8" s="119">
        <v>1.5532000000000001E-10</v>
      </c>
      <c r="AB8" s="119">
        <v>3.1694999999999998E-10</v>
      </c>
      <c r="AC8" s="118">
        <v>3.1694999999999998E-10</v>
      </c>
      <c r="AD8" s="119">
        <v>6.2784999999999996E-10</v>
      </c>
      <c r="AE8" s="119">
        <v>1.2095E-9</v>
      </c>
    </row>
    <row r="9" spans="1:31" x14ac:dyDescent="0.35">
      <c r="A9" s="91" t="s">
        <v>2</v>
      </c>
      <c r="B9" s="120">
        <v>0</v>
      </c>
      <c r="C9" s="121">
        <v>0</v>
      </c>
      <c r="D9" s="121">
        <v>0</v>
      </c>
      <c r="E9" s="120">
        <v>0</v>
      </c>
      <c r="F9" s="121">
        <v>2.2262000000000001E-36</v>
      </c>
      <c r="G9" s="121">
        <v>1.4680999999999999E-34</v>
      </c>
      <c r="H9" s="118">
        <v>5.8709E-33</v>
      </c>
      <c r="I9" s="119">
        <v>1.6074000000000001E-31</v>
      </c>
      <c r="J9" s="119">
        <v>3.2920000000000001E-30</v>
      </c>
      <c r="K9" s="118">
        <v>5.0846E-26</v>
      </c>
      <c r="L9" s="119">
        <v>3.2642999999999998E-25</v>
      </c>
      <c r="M9" s="119">
        <v>1.7789999999999999E-24</v>
      </c>
      <c r="N9" s="118">
        <v>8.4295000000000007E-24</v>
      </c>
      <c r="O9" s="119">
        <v>3.5349999999999998E-23</v>
      </c>
      <c r="P9" s="119">
        <v>1.3302999999999999E-22</v>
      </c>
      <c r="Q9" s="118">
        <v>4.5461000000000002E-22</v>
      </c>
      <c r="R9" s="119">
        <v>1.4277000000000001E-21</v>
      </c>
      <c r="S9" s="119">
        <v>4.1799000000000001E-21</v>
      </c>
      <c r="T9" s="118">
        <v>1.567E-19</v>
      </c>
      <c r="U9" s="119">
        <v>3.3299999999999998E-19</v>
      </c>
      <c r="V9" s="119">
        <v>6.7433000000000004E-19</v>
      </c>
      <c r="W9" s="118">
        <v>1.3062999999999999E-18</v>
      </c>
      <c r="X9" s="119">
        <v>2.7347999999999999E-18</v>
      </c>
      <c r="Y9" s="119">
        <v>2.7847000000000003E-17</v>
      </c>
      <c r="Z9" s="118">
        <v>2.7847000000000003E-17</v>
      </c>
      <c r="AA9" s="119">
        <v>4.4595999999999999E-17</v>
      </c>
      <c r="AB9" s="119">
        <v>6.9412E-17</v>
      </c>
      <c r="AC9" s="118">
        <v>6.9412E-17</v>
      </c>
      <c r="AD9" s="119">
        <v>1.0526E-16</v>
      </c>
      <c r="AE9" s="119">
        <v>1.5583000000000001E-16</v>
      </c>
    </row>
    <row r="10" spans="1:31" x14ac:dyDescent="0.35">
      <c r="A10" s="96" t="s">
        <v>1</v>
      </c>
      <c r="B10" s="120">
        <v>0.2</v>
      </c>
      <c r="C10" s="120">
        <v>0.2</v>
      </c>
      <c r="D10" s="120">
        <v>0.2</v>
      </c>
      <c r="E10" s="120">
        <v>0.2</v>
      </c>
      <c r="F10" s="120">
        <v>0.2</v>
      </c>
      <c r="G10" s="120">
        <v>0.2</v>
      </c>
      <c r="H10" s="120">
        <v>0.2</v>
      </c>
      <c r="I10" s="120">
        <v>0.2</v>
      </c>
      <c r="J10" s="120">
        <v>0.2</v>
      </c>
      <c r="K10" s="120">
        <v>0.2</v>
      </c>
      <c r="L10" s="120">
        <v>0.2</v>
      </c>
      <c r="M10" s="120">
        <v>0.2</v>
      </c>
      <c r="N10" s="120">
        <v>0.2</v>
      </c>
      <c r="O10" s="120">
        <v>0.2</v>
      </c>
      <c r="P10" s="120">
        <v>0.2</v>
      </c>
      <c r="Q10" s="120">
        <v>0.2</v>
      </c>
      <c r="R10" s="120">
        <v>0.2</v>
      </c>
      <c r="S10" s="120">
        <v>0.2</v>
      </c>
      <c r="T10" s="120">
        <v>0.2</v>
      </c>
      <c r="U10" s="120">
        <v>0.2</v>
      </c>
      <c r="V10" s="120">
        <v>0.2</v>
      </c>
      <c r="W10" s="120">
        <v>0.2</v>
      </c>
      <c r="X10" s="120">
        <v>0.2</v>
      </c>
      <c r="Y10" s="120">
        <v>0.2</v>
      </c>
      <c r="Z10" s="120">
        <v>0.2</v>
      </c>
      <c r="AA10" s="120">
        <v>0.2</v>
      </c>
      <c r="AB10" s="120">
        <v>0.2</v>
      </c>
      <c r="AC10" s="120">
        <v>0.2</v>
      </c>
      <c r="AD10" s="120">
        <v>0.2</v>
      </c>
      <c r="AE10" s="120">
        <v>0.2</v>
      </c>
    </row>
    <row r="11" spans="1:31" x14ac:dyDescent="0.35">
      <c r="A11" s="91" t="s">
        <v>79</v>
      </c>
      <c r="B11" s="120">
        <v>3.9077000000000001E-2</v>
      </c>
      <c r="C11" s="121">
        <v>3.6067000000000002E-2</v>
      </c>
      <c r="D11" s="121">
        <v>2.8340000000000001E-2</v>
      </c>
      <c r="E11" s="120">
        <v>1.7041000000000001E-2</v>
      </c>
      <c r="F11" s="121">
        <v>7.8682999999999999E-3</v>
      </c>
      <c r="G11" s="121">
        <v>3.1664000000000002E-3</v>
      </c>
      <c r="H11" s="120">
        <v>1.2509000000000001E-3</v>
      </c>
      <c r="I11" s="121">
        <v>5.1292000000000004E-4</v>
      </c>
      <c r="J11" s="121">
        <v>2.1997999999999999E-4</v>
      </c>
      <c r="K11" s="120">
        <v>3.5777000000000001E-6</v>
      </c>
      <c r="L11" s="121">
        <v>9.5000999999999997E-7</v>
      </c>
      <c r="M11" s="121">
        <v>2.4928999999999998E-7</v>
      </c>
      <c r="N11" s="120">
        <v>6.7297999999999998E-8</v>
      </c>
      <c r="O11" s="121">
        <v>1.9011000000000001E-8</v>
      </c>
      <c r="P11" s="121">
        <v>5.6513000000000001E-9</v>
      </c>
      <c r="Q11" s="120">
        <v>1.7740000000000001E-9</v>
      </c>
      <c r="R11" s="121">
        <v>5.9667999999999995E-10</v>
      </c>
      <c r="S11" s="121">
        <v>2.2494E-10</v>
      </c>
      <c r="T11" s="120">
        <v>7.5118000000000004E-12</v>
      </c>
      <c r="U11" s="121">
        <v>3.0874E-12</v>
      </c>
      <c r="V11" s="121">
        <v>1.2951E-12</v>
      </c>
      <c r="W11" s="120">
        <v>5.5600999999999997E-13</v>
      </c>
      <c r="X11" s="121">
        <v>3.0509999999999998E-13</v>
      </c>
      <c r="Y11" s="121">
        <v>1.9696000000000001E-14</v>
      </c>
      <c r="Z11" s="120">
        <v>1.9696000000000001E-14</v>
      </c>
      <c r="AA11" s="121">
        <v>9.7579999999999996E-15</v>
      </c>
      <c r="AB11" s="121">
        <v>4.8955E-15</v>
      </c>
      <c r="AC11" s="120">
        <v>4.8955E-15</v>
      </c>
      <c r="AD11" s="121">
        <v>2.4885000000000001E-15</v>
      </c>
      <c r="AE11" s="121">
        <v>1.2815E-15</v>
      </c>
    </row>
    <row r="12" spans="1:31" x14ac:dyDescent="0.35">
      <c r="A12" s="91" t="s">
        <v>57</v>
      </c>
      <c r="B12" s="120">
        <v>4.0923000000000001E-2</v>
      </c>
      <c r="C12" s="121">
        <v>4.3931999999999999E-2</v>
      </c>
      <c r="D12" s="121">
        <v>5.1657000000000002E-2</v>
      </c>
      <c r="E12" s="120">
        <v>6.2947000000000003E-2</v>
      </c>
      <c r="F12" s="121">
        <v>7.2073999999999999E-2</v>
      </c>
      <c r="G12" s="121">
        <v>7.6577999999999993E-2</v>
      </c>
      <c r="H12" s="120">
        <v>7.7748999999999999E-2</v>
      </c>
      <c r="I12" s="121">
        <v>7.6125999999999999E-2</v>
      </c>
      <c r="J12" s="121">
        <v>7.0459999999999995E-2</v>
      </c>
      <c r="K12" s="120">
        <v>1.4163E-2</v>
      </c>
      <c r="L12" s="121">
        <v>6.9236000000000002E-3</v>
      </c>
      <c r="M12" s="121">
        <v>3.2981999999999998E-3</v>
      </c>
      <c r="N12" s="120">
        <v>1.5841E-3</v>
      </c>
      <c r="O12" s="121">
        <v>7.7862999999999999E-4</v>
      </c>
      <c r="P12" s="121">
        <v>3.9383000000000002E-4</v>
      </c>
      <c r="Q12" s="120">
        <v>2.0551E-4</v>
      </c>
      <c r="R12" s="121">
        <v>1.1147E-4</v>
      </c>
      <c r="S12" s="121">
        <v>6.4268000000000002E-5</v>
      </c>
      <c r="T12" s="120">
        <v>9.4575000000000005E-6</v>
      </c>
      <c r="U12" s="121">
        <v>5.7868999999999996E-6</v>
      </c>
      <c r="V12" s="121">
        <v>3.5862999999999999E-6</v>
      </c>
      <c r="W12" s="120">
        <v>2.2539000000000001E-6</v>
      </c>
      <c r="X12" s="121">
        <v>1.5931E-6</v>
      </c>
      <c r="Y12" s="121">
        <v>3.446E-7</v>
      </c>
      <c r="Z12" s="120">
        <v>3.446E-7</v>
      </c>
      <c r="AA12" s="121">
        <v>2.3418E-7</v>
      </c>
      <c r="AB12" s="121">
        <v>1.6037E-7</v>
      </c>
      <c r="AC12" s="120">
        <v>1.6037E-7</v>
      </c>
      <c r="AD12" s="121">
        <v>1.1068E-7</v>
      </c>
      <c r="AE12" s="121">
        <v>7.6971999999999996E-8</v>
      </c>
    </row>
    <row r="13" spans="1:31" x14ac:dyDescent="0.35">
      <c r="A13" s="96" t="s">
        <v>80</v>
      </c>
      <c r="B13" s="118">
        <v>3.4567000000000001E-2</v>
      </c>
      <c r="C13" s="119">
        <v>3.5472999999999998E-2</v>
      </c>
      <c r="D13" s="119">
        <v>3.7713000000000003E-2</v>
      </c>
      <c r="E13" s="118">
        <v>4.0785000000000002E-2</v>
      </c>
      <c r="F13" s="119">
        <v>4.3124000000000003E-2</v>
      </c>
      <c r="G13" s="119">
        <v>4.4311999999999997E-2</v>
      </c>
      <c r="H13" s="118">
        <v>4.4941000000000002E-2</v>
      </c>
      <c r="I13" s="119">
        <v>4.5662000000000001E-2</v>
      </c>
      <c r="J13" s="119">
        <v>4.7073999999999998E-2</v>
      </c>
      <c r="K13" s="118">
        <v>5.7796E-2</v>
      </c>
      <c r="L13" s="119">
        <v>5.8943000000000002E-2</v>
      </c>
      <c r="M13" s="119">
        <v>5.9500999999999998E-2</v>
      </c>
      <c r="N13" s="118">
        <v>5.9761000000000002E-2</v>
      </c>
      <c r="O13" s="119">
        <v>5.9881999999999998E-2</v>
      </c>
      <c r="P13" s="119">
        <v>5.9935000000000002E-2</v>
      </c>
      <c r="Q13" s="118">
        <v>5.9936000000000003E-2</v>
      </c>
      <c r="R13" s="119">
        <v>5.9750999999999999E-2</v>
      </c>
      <c r="S13" s="119">
        <v>5.8089000000000002E-2</v>
      </c>
      <c r="T13" s="118">
        <v>3.2477999999999999E-3</v>
      </c>
      <c r="U13" s="119">
        <v>9.6513999999999996E-4</v>
      </c>
      <c r="V13" s="119">
        <v>2.9058000000000003E-4</v>
      </c>
      <c r="W13" s="118">
        <v>8.9747999999999995E-5</v>
      </c>
      <c r="X13" s="119">
        <v>2.1749000000000001E-5</v>
      </c>
      <c r="Y13" s="119">
        <v>1.4412E-8</v>
      </c>
      <c r="Z13" s="118">
        <v>1.4412E-8</v>
      </c>
      <c r="AA13" s="119">
        <v>2.4533999999999998E-9</v>
      </c>
      <c r="AB13" s="119">
        <v>4.3905E-10</v>
      </c>
      <c r="AC13" s="118">
        <v>4.3905E-10</v>
      </c>
      <c r="AD13" s="119">
        <v>8.2502000000000004E-11</v>
      </c>
      <c r="AE13" s="119">
        <v>1.6246999999999999E-11</v>
      </c>
    </row>
    <row r="14" spans="1:31" x14ac:dyDescent="0.35">
      <c r="A14" s="98" t="s">
        <v>81</v>
      </c>
      <c r="B14" s="122">
        <v>2.2917999999999999E-28</v>
      </c>
      <c r="C14" s="123">
        <v>2.1267000000000001E-26</v>
      </c>
      <c r="D14" s="123">
        <v>1.8936000000000001E-24</v>
      </c>
      <c r="E14" s="122">
        <v>1.9599E-22</v>
      </c>
      <c r="F14" s="123">
        <v>2.0106000000000001E-20</v>
      </c>
      <c r="G14" s="123">
        <v>1.6409000000000001E-18</v>
      </c>
      <c r="H14" s="122">
        <v>9.5222999999999999E-17</v>
      </c>
      <c r="I14" s="123">
        <v>3.7863E-15</v>
      </c>
      <c r="J14" s="123">
        <v>1.0221E-13</v>
      </c>
      <c r="K14" s="122">
        <v>4.2230999999999996E-9</v>
      </c>
      <c r="L14" s="123">
        <v>4.2098999999999999E-8</v>
      </c>
      <c r="M14" s="123">
        <v>3.6928999999999999E-7</v>
      </c>
      <c r="N14" s="122">
        <v>2.8582E-6</v>
      </c>
      <c r="O14" s="123">
        <v>1.9658000000000001E-5</v>
      </c>
      <c r="P14" s="123">
        <v>1.2113E-4</v>
      </c>
      <c r="Q14" s="122">
        <v>6.7195000000000004E-4</v>
      </c>
      <c r="R14" s="123">
        <v>3.3199000000000002E-3</v>
      </c>
      <c r="S14" s="123">
        <v>1.3724E-2</v>
      </c>
      <c r="T14" s="122">
        <v>0.11</v>
      </c>
      <c r="U14" s="123">
        <v>0.11003</v>
      </c>
      <c r="V14" s="123">
        <v>0.10685</v>
      </c>
      <c r="W14" s="122">
        <v>0.10188999999999999</v>
      </c>
      <c r="X14" s="123">
        <v>5.7660000000000003E-2</v>
      </c>
      <c r="Y14" s="123">
        <v>1.3778E-3</v>
      </c>
      <c r="Z14" s="122">
        <v>1.3778E-3</v>
      </c>
      <c r="AA14" s="123">
        <v>5.6581000000000003E-4</v>
      </c>
      <c r="AB14" s="123">
        <v>2.3829E-4</v>
      </c>
      <c r="AC14" s="122">
        <v>2.3829E-4</v>
      </c>
      <c r="AD14" s="123">
        <v>1.0283E-4</v>
      </c>
      <c r="AE14" s="123">
        <v>4.5411999999999998E-5</v>
      </c>
    </row>
    <row r="15" spans="1:31" x14ac:dyDescent="0.35">
      <c r="A15" s="103" t="s">
        <v>65</v>
      </c>
      <c r="B15" s="106">
        <v>1.5377000000000001E-7</v>
      </c>
      <c r="C15" s="107">
        <v>4.1064999999999999E-7</v>
      </c>
      <c r="D15" s="107">
        <v>1.3969999999999999E-6</v>
      </c>
      <c r="E15" s="106">
        <v>6.1423999999999998E-6</v>
      </c>
      <c r="F15" s="107">
        <v>2.9011999999999999E-5</v>
      </c>
      <c r="G15" s="107">
        <v>1.2789E-4</v>
      </c>
      <c r="H15" s="106">
        <v>4.9987000000000002E-4</v>
      </c>
      <c r="I15" s="107">
        <v>1.6804999999999999E-3</v>
      </c>
      <c r="J15" s="107">
        <v>4.6601999999999998E-3</v>
      </c>
      <c r="K15" s="106">
        <v>3.2917000000000002E-2</v>
      </c>
      <c r="L15" s="107">
        <v>3.6538000000000001E-2</v>
      </c>
      <c r="M15" s="107">
        <v>3.8351000000000003E-2</v>
      </c>
      <c r="N15" s="106">
        <v>3.9208E-2</v>
      </c>
      <c r="O15" s="107">
        <v>3.9611E-2</v>
      </c>
      <c r="P15" s="107">
        <v>3.9802999999999998E-2</v>
      </c>
      <c r="Q15" s="106">
        <v>3.9897000000000002E-2</v>
      </c>
      <c r="R15" s="107">
        <v>3.9944E-2</v>
      </c>
      <c r="S15" s="107">
        <v>3.9967999999999997E-2</v>
      </c>
      <c r="T15" s="106">
        <v>3.9995000000000003E-2</v>
      </c>
      <c r="U15" s="107">
        <v>3.9996999999999998E-2</v>
      </c>
      <c r="V15" s="107">
        <v>3.9997999999999999E-2</v>
      </c>
      <c r="W15" s="106">
        <v>3.9999E-2</v>
      </c>
      <c r="X15" s="107">
        <v>3.9412000000000003E-2</v>
      </c>
      <c r="Y15" s="107">
        <v>3.7732000000000002E-2</v>
      </c>
      <c r="Z15" s="106">
        <v>3.7395999999999999E-2</v>
      </c>
      <c r="AA15" s="107">
        <v>3.7059000000000002E-2</v>
      </c>
      <c r="AB15" s="107">
        <v>3.6719000000000002E-2</v>
      </c>
      <c r="AC15" s="106">
        <v>3.7059000000000002E-2</v>
      </c>
      <c r="AD15" s="107">
        <v>3.6719000000000002E-2</v>
      </c>
      <c r="AE15" s="107">
        <v>3.6373000000000003E-2</v>
      </c>
    </row>
    <row r="16" spans="1:31" x14ac:dyDescent="0.35">
      <c r="A16" s="104" t="s">
        <v>66</v>
      </c>
      <c r="B16" s="108">
        <v>3.0705000000000001E-28</v>
      </c>
      <c r="C16" s="109">
        <v>2.6313000000000001E-26</v>
      </c>
      <c r="D16" s="109">
        <v>1.9971999999999999E-24</v>
      </c>
      <c r="E16" s="108">
        <v>1.5682999999999999E-22</v>
      </c>
      <c r="F16" s="109">
        <v>1.1272E-20</v>
      </c>
      <c r="G16" s="109">
        <v>6.3320999999999996E-19</v>
      </c>
      <c r="H16" s="108">
        <v>2.5942E-17</v>
      </c>
      <c r="I16" s="109">
        <v>7.6415999999999998E-16</v>
      </c>
      <c r="J16" s="109">
        <v>1.6257999999999999E-14</v>
      </c>
      <c r="K16" s="108">
        <v>3.6524000000000002E-10</v>
      </c>
      <c r="L16" s="109">
        <v>3.1234999999999998E-9</v>
      </c>
      <c r="M16" s="109">
        <v>2.3485000000000002E-8</v>
      </c>
      <c r="N16" s="108">
        <v>1.5619E-7</v>
      </c>
      <c r="O16" s="109">
        <v>9.2608999999999995E-7</v>
      </c>
      <c r="P16" s="109">
        <v>4.9347000000000004E-6</v>
      </c>
      <c r="Q16" s="108">
        <v>2.3788999999999999E-5</v>
      </c>
      <c r="R16" s="109">
        <v>1.0397E-4</v>
      </c>
      <c r="S16" s="109">
        <v>4.0607000000000002E-4</v>
      </c>
      <c r="T16" s="110">
        <v>1.1181999999999999E-2</v>
      </c>
      <c r="U16" s="111">
        <v>1.7329000000000001E-2</v>
      </c>
      <c r="V16" s="111">
        <v>2.5510999999999999E-2</v>
      </c>
      <c r="W16" s="108">
        <v>3.5986999999999998E-2</v>
      </c>
      <c r="X16" s="109">
        <v>3.5250999999999998E-2</v>
      </c>
      <c r="Y16" s="109">
        <v>1.2779E-2</v>
      </c>
      <c r="Z16" s="108">
        <v>9.5303000000000002E-3</v>
      </c>
      <c r="AA16" s="109">
        <v>6.9867999999999996E-3</v>
      </c>
      <c r="AB16" s="109">
        <v>5.0317000000000001E-3</v>
      </c>
      <c r="AC16" s="108">
        <v>6.9867999999999996E-3</v>
      </c>
      <c r="AD16" s="109">
        <v>5.0317000000000001E-3</v>
      </c>
      <c r="AE16" s="109">
        <v>3.5576000000000002E-3</v>
      </c>
    </row>
    <row r="17" spans="1:31" x14ac:dyDescent="0.35">
      <c r="A17" s="104" t="s">
        <v>67</v>
      </c>
      <c r="B17" s="108">
        <v>1.0965999999999999E-9</v>
      </c>
      <c r="C17" s="109">
        <v>3.6921000000000001E-9</v>
      </c>
      <c r="D17" s="109">
        <v>8.5473E-9</v>
      </c>
      <c r="E17" s="108">
        <v>1.3043E-8</v>
      </c>
      <c r="F17" s="109">
        <v>1.4094E-8</v>
      </c>
      <c r="G17" s="109">
        <v>1.2493999999999999E-8</v>
      </c>
      <c r="H17" s="108">
        <v>1.0293999999999999E-8</v>
      </c>
      <c r="I17" s="109">
        <v>8.5355000000000006E-9</v>
      </c>
      <c r="J17" s="109">
        <v>7.5341000000000003E-9</v>
      </c>
      <c r="K17" s="108">
        <v>6.2337999999999997E-9</v>
      </c>
      <c r="L17" s="109">
        <v>5.5016999999999997E-9</v>
      </c>
      <c r="M17" s="109">
        <v>4.6917999999999999E-9</v>
      </c>
      <c r="N17" s="108">
        <v>3.9359999999999996E-9</v>
      </c>
      <c r="O17" s="109">
        <v>3.2794000000000001E-9</v>
      </c>
      <c r="P17" s="109">
        <v>2.7289E-9</v>
      </c>
      <c r="Q17" s="108">
        <v>2.2864999999999999E-9</v>
      </c>
      <c r="R17" s="109">
        <v>1.9831999999999999E-9</v>
      </c>
      <c r="S17" s="109">
        <v>1.9241E-9</v>
      </c>
      <c r="T17" s="108">
        <v>2.2318000000000001E-9</v>
      </c>
      <c r="U17" s="109">
        <v>1.9126999999999998E-9</v>
      </c>
      <c r="V17" s="109">
        <v>1.6253E-9</v>
      </c>
      <c r="W17" s="108">
        <v>1.3817999999999999E-9</v>
      </c>
      <c r="X17" s="109">
        <v>1.2945E-9</v>
      </c>
      <c r="Y17" s="109">
        <v>7.3185000000000001E-10</v>
      </c>
      <c r="Z17" s="108">
        <v>6.1767E-10</v>
      </c>
      <c r="AA17" s="109">
        <v>5.2128999999999996E-10</v>
      </c>
      <c r="AB17" s="109">
        <v>4.4019000000000001E-10</v>
      </c>
      <c r="AC17" s="108">
        <v>5.2128999999999996E-10</v>
      </c>
      <c r="AD17" s="109">
        <v>4.4019000000000001E-10</v>
      </c>
      <c r="AE17" s="109">
        <v>3.7200000000000001E-10</v>
      </c>
    </row>
    <row r="18" spans="1:31" x14ac:dyDescent="0.35">
      <c r="A18" s="104" t="s">
        <v>68</v>
      </c>
      <c r="B18" s="108">
        <v>2.5274E-10</v>
      </c>
      <c r="C18" s="109">
        <v>9.8982E-10</v>
      </c>
      <c r="D18" s="109">
        <v>2.6168999999999999E-9</v>
      </c>
      <c r="E18" s="108">
        <v>4.4917000000000001E-9</v>
      </c>
      <c r="F18" s="109">
        <v>5.3905000000000004E-9</v>
      </c>
      <c r="G18" s="109">
        <v>5.2493999999999997E-9</v>
      </c>
      <c r="H18" s="108">
        <v>4.7075999999999997E-9</v>
      </c>
      <c r="I18" s="109">
        <v>4.2145999999999999E-9</v>
      </c>
      <c r="J18" s="109">
        <v>3.9888000000000001E-9</v>
      </c>
      <c r="K18" s="108">
        <v>3.8814999999999999E-9</v>
      </c>
      <c r="L18" s="109">
        <v>3.3883E-9</v>
      </c>
      <c r="M18" s="109">
        <v>2.8564999999999998E-9</v>
      </c>
      <c r="N18" s="108">
        <v>2.3681000000000001E-9</v>
      </c>
      <c r="O18" s="109">
        <v>1.9492999999999999E-9</v>
      </c>
      <c r="P18" s="109">
        <v>1.6021999999999999E-9</v>
      </c>
      <c r="Q18" s="108">
        <v>1.326E-9</v>
      </c>
      <c r="R18" s="109">
        <v>1.1359E-9</v>
      </c>
      <c r="S18" s="109">
        <v>1.0884000000000001E-9</v>
      </c>
      <c r="T18" s="108">
        <v>1.202E-9</v>
      </c>
      <c r="U18" s="109">
        <v>1.0177999999999999E-9</v>
      </c>
      <c r="V18" s="109">
        <v>8.5457999999999996E-10</v>
      </c>
      <c r="W18" s="108">
        <v>7.1800999999999998E-10</v>
      </c>
      <c r="X18" s="109">
        <v>6.6482999999999997E-10</v>
      </c>
      <c r="Y18" s="109">
        <v>3.5903E-10</v>
      </c>
      <c r="Z18" s="108">
        <v>2.9962999999999998E-10</v>
      </c>
      <c r="AA18" s="109">
        <v>2.5007E-10</v>
      </c>
      <c r="AB18" s="109">
        <v>2.0884E-10</v>
      </c>
      <c r="AC18" s="108">
        <v>2.5007E-10</v>
      </c>
      <c r="AD18" s="109">
        <v>2.0884E-10</v>
      </c>
      <c r="AE18" s="109">
        <v>1.7455999999999999E-10</v>
      </c>
    </row>
    <row r="19" spans="1:31" x14ac:dyDescent="0.35">
      <c r="A19" s="104" t="s">
        <v>69</v>
      </c>
      <c r="B19" s="108">
        <v>9.2352999999999999E-4</v>
      </c>
      <c r="C19" s="109">
        <v>3.9338999999999997E-3</v>
      </c>
      <c r="D19" s="109">
        <v>1.1663E-2</v>
      </c>
      <c r="E19" s="108">
        <v>2.2970999999999998E-2</v>
      </c>
      <c r="F19" s="109">
        <v>3.2190000000000003E-2</v>
      </c>
      <c r="G19" s="109">
        <v>3.7088999999999997E-2</v>
      </c>
      <c r="H19" s="108">
        <v>3.9749E-2</v>
      </c>
      <c r="I19" s="109">
        <v>4.2847999999999997E-2</v>
      </c>
      <c r="J19" s="109">
        <v>4.9099999999999998E-2</v>
      </c>
      <c r="K19" s="108">
        <v>0.10582999999999999</v>
      </c>
      <c r="L19" s="109">
        <v>0.11307</v>
      </c>
      <c r="M19" s="109">
        <v>0.1167</v>
      </c>
      <c r="N19" s="108">
        <v>0.11842</v>
      </c>
      <c r="O19" s="109">
        <v>0.11926</v>
      </c>
      <c r="P19" s="109">
        <v>0.11985999999999999</v>
      </c>
      <c r="Q19" s="108">
        <v>0.12117</v>
      </c>
      <c r="R19" s="109">
        <v>0.12667999999999999</v>
      </c>
      <c r="S19" s="109">
        <v>0.14799000000000001</v>
      </c>
      <c r="T19" s="108">
        <v>0.35676000000000002</v>
      </c>
      <c r="U19" s="109">
        <v>0.36606</v>
      </c>
      <c r="V19" s="109">
        <v>0.37197000000000002</v>
      </c>
      <c r="W19" s="108">
        <v>0.37774999999999997</v>
      </c>
      <c r="X19" s="109">
        <v>0.42225000000000001</v>
      </c>
      <c r="Y19" s="109">
        <v>0.47861999999999999</v>
      </c>
      <c r="Z19" s="108">
        <v>0.47943000000000002</v>
      </c>
      <c r="AA19" s="109">
        <v>0.47976000000000002</v>
      </c>
      <c r="AB19" s="109">
        <v>0.47989999999999999</v>
      </c>
      <c r="AC19" s="108">
        <v>0.47976000000000002</v>
      </c>
      <c r="AD19" s="109">
        <v>0.47989999999999999</v>
      </c>
      <c r="AE19" s="109">
        <v>0.47994999999999999</v>
      </c>
    </row>
    <row r="20" spans="1:31" x14ac:dyDescent="0.35">
      <c r="A20" s="100" t="s">
        <v>70</v>
      </c>
      <c r="B20" s="110">
        <v>2.8039000000000002E-12</v>
      </c>
      <c r="C20" s="111">
        <v>1.5371999999999999E-11</v>
      </c>
      <c r="D20" s="111">
        <v>5.4874000000000002E-11</v>
      </c>
      <c r="E20" s="110">
        <v>1.2340999999999999E-10</v>
      </c>
      <c r="F20" s="111">
        <v>1.8921000000000001E-10</v>
      </c>
      <c r="G20" s="111">
        <v>2.304E-10</v>
      </c>
      <c r="H20" s="110">
        <v>2.5365E-10</v>
      </c>
      <c r="I20" s="111">
        <v>2.7437E-10</v>
      </c>
      <c r="J20" s="111">
        <v>3.0941000000000002E-10</v>
      </c>
      <c r="K20" s="110">
        <v>5.4411E-10</v>
      </c>
      <c r="L20" s="111">
        <v>5.3889999999999997E-10</v>
      </c>
      <c r="M20" s="111">
        <v>5.1189999999999996E-10</v>
      </c>
      <c r="N20" s="110">
        <v>4.7514999999999996E-10</v>
      </c>
      <c r="O20" s="111">
        <v>4.3540000000000002E-10</v>
      </c>
      <c r="P20" s="111">
        <v>3.9633000000000002E-10</v>
      </c>
      <c r="Q20" s="110">
        <v>3.6149999999999999E-10</v>
      </c>
      <c r="R20" s="111">
        <v>3.3980000000000001E-10</v>
      </c>
      <c r="S20" s="111">
        <v>3.5583999999999998E-10</v>
      </c>
      <c r="T20" s="110">
        <v>5.4133000000000003E-10</v>
      </c>
      <c r="U20" s="111">
        <v>4.9287999999999996E-10</v>
      </c>
      <c r="V20" s="111">
        <v>4.4383000000000001E-10</v>
      </c>
      <c r="W20" s="110">
        <v>3.9894000000000002E-10</v>
      </c>
      <c r="X20" s="111">
        <v>3.9428999999999999E-10</v>
      </c>
      <c r="Y20" s="111">
        <v>2.7084000000000002E-10</v>
      </c>
      <c r="Z20" s="110">
        <v>2.3896000000000002E-10</v>
      </c>
      <c r="AA20" s="111">
        <v>2.1051000000000001E-10</v>
      </c>
      <c r="AB20" s="111">
        <v>1.8528000000000001E-10</v>
      </c>
      <c r="AC20" s="110">
        <v>2.1051000000000001E-10</v>
      </c>
      <c r="AD20" s="111">
        <v>1.8528000000000001E-10</v>
      </c>
      <c r="AE20" s="111">
        <v>1.6297000000000001E-10</v>
      </c>
    </row>
    <row r="21" spans="1:31" x14ac:dyDescent="0.35">
      <c r="A21" s="104" t="s">
        <v>71</v>
      </c>
      <c r="B21" s="108">
        <v>1.5377000000000001E-7</v>
      </c>
      <c r="C21" s="109">
        <v>4.1064999999999999E-7</v>
      </c>
      <c r="D21" s="109">
        <v>1.3969999999999999E-6</v>
      </c>
      <c r="E21" s="108">
        <v>6.1423999999999998E-6</v>
      </c>
      <c r="F21" s="109">
        <v>2.9011999999999999E-5</v>
      </c>
      <c r="G21" s="109">
        <v>1.2789E-4</v>
      </c>
      <c r="H21" s="108">
        <v>4.9987000000000002E-4</v>
      </c>
      <c r="I21" s="109">
        <v>1.6804999999999999E-3</v>
      </c>
      <c r="J21" s="109">
        <v>4.6601999999999998E-3</v>
      </c>
      <c r="K21" s="108">
        <v>3.2917000000000002E-2</v>
      </c>
      <c r="L21" s="109">
        <v>3.6538000000000001E-2</v>
      </c>
      <c r="M21" s="109">
        <v>3.8351000000000003E-2</v>
      </c>
      <c r="N21" s="108">
        <v>3.9208E-2</v>
      </c>
      <c r="O21" s="109">
        <v>3.9611E-2</v>
      </c>
      <c r="P21" s="109">
        <v>3.9802999999999998E-2</v>
      </c>
      <c r="Q21" s="108">
        <v>3.9897000000000002E-2</v>
      </c>
      <c r="R21" s="109">
        <v>3.9944E-2</v>
      </c>
      <c r="S21" s="109">
        <v>3.9967999999999997E-2</v>
      </c>
      <c r="T21" s="108">
        <v>3.9995000000000003E-2</v>
      </c>
      <c r="U21" s="109">
        <v>3.9996999999999998E-2</v>
      </c>
      <c r="V21" s="109">
        <v>3.9997999999999999E-2</v>
      </c>
      <c r="W21" s="108">
        <v>3.9999E-2</v>
      </c>
      <c r="X21" s="109">
        <v>3.9412000000000003E-2</v>
      </c>
      <c r="Y21" s="109">
        <v>3.7732000000000002E-2</v>
      </c>
      <c r="Z21" s="108">
        <v>3.7395999999999999E-2</v>
      </c>
      <c r="AA21" s="109">
        <v>3.7059000000000002E-2</v>
      </c>
      <c r="AB21" s="109">
        <v>3.6719000000000002E-2</v>
      </c>
      <c r="AC21" s="108">
        <v>3.7059000000000002E-2</v>
      </c>
      <c r="AD21" s="109">
        <v>3.6719000000000002E-2</v>
      </c>
      <c r="AE21" s="109">
        <v>3.6373000000000003E-2</v>
      </c>
    </row>
    <row r="22" spans="1:31" x14ac:dyDescent="0.35">
      <c r="A22" s="100" t="s">
        <v>72</v>
      </c>
      <c r="B22" s="110">
        <v>0</v>
      </c>
      <c r="C22" s="111">
        <v>0</v>
      </c>
      <c r="D22" s="111">
        <v>0</v>
      </c>
      <c r="E22" s="110">
        <v>0</v>
      </c>
      <c r="F22" s="111">
        <v>0</v>
      </c>
      <c r="G22" s="111">
        <v>0</v>
      </c>
      <c r="H22" s="111">
        <v>0</v>
      </c>
      <c r="I22" s="111">
        <v>0</v>
      </c>
      <c r="J22" s="111">
        <v>0</v>
      </c>
      <c r="K22" s="111">
        <v>0</v>
      </c>
      <c r="L22" s="111">
        <v>0</v>
      </c>
      <c r="M22" s="111">
        <v>0</v>
      </c>
      <c r="N22" s="111">
        <v>0</v>
      </c>
      <c r="O22" s="111">
        <v>0</v>
      </c>
      <c r="P22" s="111">
        <v>0</v>
      </c>
      <c r="Q22" s="111">
        <v>0</v>
      </c>
      <c r="R22" s="111">
        <v>0</v>
      </c>
      <c r="S22" s="111">
        <v>0</v>
      </c>
      <c r="T22" s="108">
        <v>1.2435E-28</v>
      </c>
      <c r="U22" s="109">
        <v>4.8073000000000002E-20</v>
      </c>
      <c r="V22" s="109">
        <v>5.9552999999999999E-12</v>
      </c>
      <c r="W22" s="108">
        <v>4.2954999999999998E-7</v>
      </c>
      <c r="X22" s="109">
        <v>8.9257000000000003E-2</v>
      </c>
      <c r="Y22" s="109">
        <v>0.21510000000000001</v>
      </c>
      <c r="Z22" s="108">
        <v>0.2225</v>
      </c>
      <c r="AA22" s="109">
        <v>0.22767000000000001</v>
      </c>
      <c r="AB22" s="109">
        <v>0.23136999999999999</v>
      </c>
      <c r="AC22" s="108">
        <v>0.22767000000000001</v>
      </c>
      <c r="AD22" s="109">
        <v>0.23136999999999999</v>
      </c>
      <c r="AE22" s="109">
        <v>0.23405000000000001</v>
      </c>
    </row>
    <row r="23" spans="1:31" x14ac:dyDescent="0.35">
      <c r="A23" s="100" t="s">
        <v>73</v>
      </c>
      <c r="B23" s="110">
        <v>0</v>
      </c>
      <c r="C23" s="111">
        <v>0</v>
      </c>
      <c r="D23" s="111">
        <v>0</v>
      </c>
      <c r="E23" s="111">
        <v>0</v>
      </c>
      <c r="F23" s="111">
        <v>0</v>
      </c>
      <c r="G23" s="111">
        <v>0</v>
      </c>
      <c r="H23" s="111">
        <v>0</v>
      </c>
      <c r="I23" s="111">
        <v>0</v>
      </c>
      <c r="J23" s="111">
        <v>0</v>
      </c>
      <c r="K23" s="111">
        <v>0</v>
      </c>
      <c r="L23" s="111">
        <v>0</v>
      </c>
      <c r="M23" s="111">
        <v>0</v>
      </c>
      <c r="N23" s="111">
        <v>0</v>
      </c>
      <c r="O23" s="111">
        <v>0</v>
      </c>
      <c r="P23" s="111">
        <v>0</v>
      </c>
      <c r="Q23" s="111">
        <v>0</v>
      </c>
      <c r="R23" s="111">
        <v>0</v>
      </c>
      <c r="S23" s="111">
        <v>0</v>
      </c>
      <c r="T23" s="108">
        <v>6.0999000000000002E-30</v>
      </c>
      <c r="U23" s="109">
        <v>1.5117999999999999E-21</v>
      </c>
      <c r="V23" s="109">
        <v>1.2375E-13</v>
      </c>
      <c r="W23" s="108">
        <v>6.0257E-9</v>
      </c>
      <c r="X23" s="109">
        <v>1.1739999999999999E-3</v>
      </c>
      <c r="Y23" s="109">
        <v>4.5361999999999998E-3</v>
      </c>
      <c r="Z23" s="108">
        <v>5.2078000000000003E-3</v>
      </c>
      <c r="AA23" s="109">
        <v>5.8811999999999996E-3</v>
      </c>
      <c r="AB23" s="109">
        <v>6.5624000000000004E-3</v>
      </c>
      <c r="AC23" s="108">
        <v>5.8811999999999996E-3</v>
      </c>
      <c r="AD23" s="109">
        <v>6.5624000000000004E-3</v>
      </c>
      <c r="AE23" s="109">
        <v>7.2538999999999998E-3</v>
      </c>
    </row>
    <row r="24" spans="1:31" x14ac:dyDescent="0.35">
      <c r="A24" s="100" t="s">
        <v>74</v>
      </c>
      <c r="B24" s="110">
        <v>0</v>
      </c>
      <c r="C24" s="111">
        <v>0</v>
      </c>
      <c r="D24" s="111">
        <v>0</v>
      </c>
      <c r="E24" s="111">
        <v>0</v>
      </c>
      <c r="F24" s="111">
        <v>0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0">
        <v>3.1106000000000001E-36</v>
      </c>
      <c r="U24" s="111">
        <v>5.6790999999999999E-28</v>
      </c>
      <c r="V24" s="111">
        <v>3.4210000000000003E-20</v>
      </c>
      <c r="W24" s="110">
        <v>1.2351000000000001E-15</v>
      </c>
      <c r="X24" s="111">
        <v>2.0084E-10</v>
      </c>
      <c r="Y24" s="111">
        <v>2.8795000000000002E-10</v>
      </c>
      <c r="Z24" s="110">
        <v>2.5373999999999999E-10</v>
      </c>
      <c r="AA24" s="111">
        <v>2.2090999999999999E-10</v>
      </c>
      <c r="AB24" s="111">
        <v>1.9096000000000001E-10</v>
      </c>
      <c r="AC24" s="110">
        <v>2.2090999999999999E-10</v>
      </c>
      <c r="AD24" s="111">
        <v>1.9096000000000001E-10</v>
      </c>
      <c r="AE24" s="111">
        <v>1.6429999999999999E-10</v>
      </c>
    </row>
    <row r="25" spans="1:31" x14ac:dyDescent="0.35">
      <c r="A25" s="104" t="s">
        <v>27</v>
      </c>
      <c r="B25" s="108">
        <v>-18.98</v>
      </c>
      <c r="C25" s="109">
        <v>-18.96</v>
      </c>
      <c r="D25" s="109">
        <v>-18.96</v>
      </c>
      <c r="E25" s="108">
        <v>-18.96</v>
      </c>
      <c r="F25" s="109">
        <v>-18.97</v>
      </c>
      <c r="G25" s="109">
        <v>-18.989999999999998</v>
      </c>
      <c r="H25" s="108">
        <v>-19.02</v>
      </c>
      <c r="I25" s="109">
        <v>-19.05</v>
      </c>
      <c r="J25" s="109">
        <v>-19.079999999999998</v>
      </c>
      <c r="K25" s="108">
        <v>-19.2</v>
      </c>
      <c r="L25" s="109">
        <v>-19.23</v>
      </c>
      <c r="M25" s="109">
        <v>-19.27</v>
      </c>
      <c r="N25" s="108">
        <v>-19.309999999999999</v>
      </c>
      <c r="O25" s="109">
        <v>-19.36</v>
      </c>
      <c r="P25" s="109">
        <v>-19.399999999999999</v>
      </c>
      <c r="Q25" s="108">
        <v>-19.440000000000001</v>
      </c>
      <c r="R25" s="109">
        <v>-19.47</v>
      </c>
      <c r="S25" s="109">
        <v>-19.48</v>
      </c>
      <c r="T25" s="108">
        <v>-19.43</v>
      </c>
      <c r="U25" s="109">
        <v>-19.47</v>
      </c>
      <c r="V25" s="109">
        <v>-19.510000000000002</v>
      </c>
      <c r="W25" s="108">
        <v>-19.55</v>
      </c>
      <c r="X25" s="109">
        <v>-19.59</v>
      </c>
      <c r="Y25" s="109">
        <v>-19.739999999999998</v>
      </c>
      <c r="Z25" s="108">
        <v>-19.77</v>
      </c>
      <c r="AA25" s="109">
        <v>-19.809999999999999</v>
      </c>
      <c r="AB25" s="109">
        <v>-19.850000000000001</v>
      </c>
      <c r="AC25" s="108">
        <v>-19.809999999999999</v>
      </c>
      <c r="AD25" s="109">
        <v>-19.850000000000001</v>
      </c>
      <c r="AE25" s="109">
        <v>-19.88</v>
      </c>
    </row>
    <row r="26" spans="1:31" x14ac:dyDescent="0.35">
      <c r="A26" s="104" t="s">
        <v>5</v>
      </c>
      <c r="B26" s="108">
        <v>-66.099999999999994</v>
      </c>
      <c r="C26" s="109">
        <v>-61.67</v>
      </c>
      <c r="D26" s="109">
        <v>-57.42</v>
      </c>
      <c r="E26" s="108">
        <v>-53.18</v>
      </c>
      <c r="F26" s="109">
        <v>-49.01</v>
      </c>
      <c r="G26" s="109">
        <v>-45.05</v>
      </c>
      <c r="H26" s="108">
        <v>-41.4</v>
      </c>
      <c r="I26" s="109">
        <v>-38.08</v>
      </c>
      <c r="J26" s="109">
        <v>-35.11</v>
      </c>
      <c r="K26" s="108">
        <v>-25.6</v>
      </c>
      <c r="L26" s="109">
        <v>-23.53</v>
      </c>
      <c r="M26" s="109">
        <v>-21.56</v>
      </c>
      <c r="N26" s="108">
        <v>-19.7</v>
      </c>
      <c r="O26" s="109">
        <v>-17.95</v>
      </c>
      <c r="P26" s="109">
        <v>-16.29</v>
      </c>
      <c r="Q26" s="108">
        <v>-14.73</v>
      </c>
      <c r="R26" s="109">
        <v>-13.28</v>
      </c>
      <c r="S26" s="109">
        <v>-12.01</v>
      </c>
      <c r="T26" s="108">
        <v>-9.1259999999999994</v>
      </c>
      <c r="U26" s="109">
        <v>-8.6280000000000001</v>
      </c>
      <c r="V26" s="109">
        <v>-8.1609999999999996</v>
      </c>
      <c r="W26" s="108">
        <v>-7.7220000000000004</v>
      </c>
      <c r="X26" s="109">
        <v>-7.61</v>
      </c>
      <c r="Y26" s="109">
        <v>-7.883</v>
      </c>
      <c r="Z26" s="108">
        <v>-7.9489999999999998</v>
      </c>
      <c r="AA26" s="109">
        <v>-8.0139999999999993</v>
      </c>
      <c r="AB26" s="109">
        <v>-8.077</v>
      </c>
      <c r="AC26" s="108">
        <v>-8.0139999999999993</v>
      </c>
      <c r="AD26" s="109">
        <v>-8.077</v>
      </c>
      <c r="AE26" s="109">
        <v>-8.14</v>
      </c>
    </row>
    <row r="27" spans="1:31" x14ac:dyDescent="0.35">
      <c r="A27" s="104" t="s">
        <v>6</v>
      </c>
      <c r="B27" s="108">
        <v>-17.28</v>
      </c>
      <c r="C27" s="109">
        <v>-16.32</v>
      </c>
      <c r="D27" s="109">
        <v>-15.18</v>
      </c>
      <c r="E27" s="108">
        <v>-13.82</v>
      </c>
      <c r="F27" s="109">
        <v>-12.36</v>
      </c>
      <c r="G27" s="109">
        <v>-10.95</v>
      </c>
      <c r="H27" s="108">
        <v>-9.6379999999999999</v>
      </c>
      <c r="I27" s="109">
        <v>-8.4860000000000007</v>
      </c>
      <c r="J27" s="109">
        <v>-7.5510000000000002</v>
      </c>
      <c r="K27" s="108">
        <v>-6.1029999999999998</v>
      </c>
      <c r="L27" s="109">
        <v>-6.0819999999999999</v>
      </c>
      <c r="M27" s="109">
        <v>-6.0990000000000002</v>
      </c>
      <c r="N27" s="108">
        <v>-6.1340000000000003</v>
      </c>
      <c r="O27" s="109">
        <v>-6.1779999999999999</v>
      </c>
      <c r="P27" s="109">
        <v>-6.226</v>
      </c>
      <c r="Q27" s="108">
        <v>-6.2809999999999997</v>
      </c>
      <c r="R27" s="109">
        <v>-6.36</v>
      </c>
      <c r="S27" s="109">
        <v>-6.5149999999999997</v>
      </c>
      <c r="T27" s="108">
        <v>-7.3369999999999997</v>
      </c>
      <c r="U27" s="109">
        <v>-7.4089999999999998</v>
      </c>
      <c r="V27" s="109">
        <v>-7.4740000000000002</v>
      </c>
      <c r="W27" s="108">
        <v>-7.5410000000000004</v>
      </c>
      <c r="X27" s="109">
        <v>-7.6</v>
      </c>
      <c r="Y27" s="109">
        <v>-7.7830000000000004</v>
      </c>
      <c r="Z27" s="108">
        <v>-7.83</v>
      </c>
      <c r="AA27" s="109">
        <v>-7.8780000000000001</v>
      </c>
      <c r="AB27" s="109">
        <v>-7.9269999999999996</v>
      </c>
      <c r="AC27" s="108">
        <v>-7.8780000000000001</v>
      </c>
      <c r="AD27" s="109">
        <v>-7.9269999999999996</v>
      </c>
      <c r="AE27" s="109">
        <v>-7.976</v>
      </c>
    </row>
    <row r="28" spans="1:31" x14ac:dyDescent="0.35">
      <c r="A28" s="104" t="s">
        <v>7</v>
      </c>
      <c r="B28" s="108">
        <v>-23.57</v>
      </c>
      <c r="C28" s="109">
        <v>-22.38</v>
      </c>
      <c r="D28" s="109">
        <v>-21.62</v>
      </c>
      <c r="E28" s="108">
        <v>-21.32</v>
      </c>
      <c r="F28" s="109">
        <v>-21.34</v>
      </c>
      <c r="G28" s="109">
        <v>-21.53</v>
      </c>
      <c r="H28" s="108">
        <v>-21.78</v>
      </c>
      <c r="I28" s="109">
        <v>-22.03</v>
      </c>
      <c r="J28" s="109">
        <v>-22.25</v>
      </c>
      <c r="K28" s="108">
        <v>-23.02</v>
      </c>
      <c r="L28" s="109">
        <v>-23.29</v>
      </c>
      <c r="M28" s="109">
        <v>-23.57</v>
      </c>
      <c r="N28" s="108">
        <v>-23.86</v>
      </c>
      <c r="O28" s="109">
        <v>-24.15</v>
      </c>
      <c r="P28" s="109">
        <v>-24.44</v>
      </c>
      <c r="Q28" s="108">
        <v>-24.72</v>
      </c>
      <c r="R28" s="109">
        <v>-24.99</v>
      </c>
      <c r="S28" s="109">
        <v>-25.22</v>
      </c>
      <c r="T28" s="108">
        <v>-26.06</v>
      </c>
      <c r="U28" s="109">
        <v>-26.32</v>
      </c>
      <c r="V28" s="109">
        <v>-26.58</v>
      </c>
      <c r="W28" s="108">
        <v>-26.85</v>
      </c>
      <c r="X28" s="109">
        <v>-26.99</v>
      </c>
      <c r="Y28" s="109">
        <v>-27.82</v>
      </c>
      <c r="Z28" s="108">
        <v>-28.06</v>
      </c>
      <c r="AA28" s="109">
        <v>-28.29</v>
      </c>
      <c r="AB28" s="109">
        <v>-28.53</v>
      </c>
      <c r="AC28" s="108">
        <v>-28.29</v>
      </c>
      <c r="AD28" s="109">
        <v>-28.53</v>
      </c>
      <c r="AE28" s="109">
        <v>-28.76</v>
      </c>
    </row>
    <row r="29" spans="1:31" x14ac:dyDescent="0.35">
      <c r="A29" s="104" t="s">
        <v>63</v>
      </c>
      <c r="B29" s="108">
        <v>0.28543000000000002</v>
      </c>
      <c r="C29" s="109">
        <v>0.28453000000000001</v>
      </c>
      <c r="D29" s="109">
        <v>0.28228999999999999</v>
      </c>
      <c r="E29" s="108">
        <v>0.27922000000000002</v>
      </c>
      <c r="F29" s="109">
        <v>0.27688000000000001</v>
      </c>
      <c r="G29" s="109">
        <v>0.27568999999999999</v>
      </c>
      <c r="H29" s="108">
        <v>0.27506000000000003</v>
      </c>
      <c r="I29" s="109">
        <v>0.27433999999999997</v>
      </c>
      <c r="J29" s="109">
        <v>0.27293000000000001</v>
      </c>
      <c r="K29" s="110">
        <v>0.26219999999999999</v>
      </c>
      <c r="L29" s="111">
        <v>0.26106000000000001</v>
      </c>
      <c r="M29" s="111">
        <v>0.26050000000000001</v>
      </c>
      <c r="N29" s="108">
        <v>0.26024000000000003</v>
      </c>
      <c r="O29" s="109">
        <v>0.2601</v>
      </c>
      <c r="P29" s="109">
        <v>0.25994</v>
      </c>
      <c r="Q29" s="108">
        <v>0.25938</v>
      </c>
      <c r="R29" s="109">
        <v>0.25688</v>
      </c>
      <c r="S29" s="109">
        <v>0.24798000000000001</v>
      </c>
      <c r="T29" s="110">
        <v>0.20116000000000001</v>
      </c>
      <c r="U29" s="111">
        <v>0.20033999999999999</v>
      </c>
      <c r="V29" s="111">
        <v>0.2001</v>
      </c>
      <c r="W29" s="110">
        <v>0.20003000000000001</v>
      </c>
      <c r="X29" s="111">
        <v>0.20000999999999999</v>
      </c>
      <c r="Y29" s="111">
        <v>0.2</v>
      </c>
      <c r="Z29" s="110">
        <v>0.2</v>
      </c>
      <c r="AA29" s="111">
        <v>0.2</v>
      </c>
      <c r="AB29" s="111">
        <v>0.2</v>
      </c>
      <c r="AC29" s="110">
        <v>0.2</v>
      </c>
      <c r="AD29" s="111">
        <v>0.2</v>
      </c>
      <c r="AE29" s="111">
        <v>0.2</v>
      </c>
    </row>
    <row r="30" spans="1:31" x14ac:dyDescent="0.35">
      <c r="A30" s="104" t="s">
        <v>75</v>
      </c>
      <c r="B30" s="108">
        <v>0.11549</v>
      </c>
      <c r="C30" s="109">
        <v>0.11941</v>
      </c>
      <c r="D30" s="109">
        <v>0.12938</v>
      </c>
      <c r="E30" s="108">
        <v>0.14376</v>
      </c>
      <c r="F30" s="109">
        <v>0.15531</v>
      </c>
      <c r="G30" s="109">
        <v>0.16139999999999999</v>
      </c>
      <c r="H30" s="108">
        <v>0.16469</v>
      </c>
      <c r="I30" s="109">
        <v>0.16850999999999999</v>
      </c>
      <c r="J30" s="109">
        <v>0.17616999999999999</v>
      </c>
      <c r="K30" s="108">
        <v>0.24363000000000001</v>
      </c>
      <c r="L30" s="109">
        <v>0.25202000000000002</v>
      </c>
      <c r="M30" s="109">
        <v>0.25619999999999998</v>
      </c>
      <c r="N30" s="108">
        <v>0.25818999999999998</v>
      </c>
      <c r="O30" s="109">
        <v>0.25916</v>
      </c>
      <c r="P30" s="109">
        <v>0.25991999999999998</v>
      </c>
      <c r="Q30" s="110">
        <v>0.26180999999999999</v>
      </c>
      <c r="R30" s="111">
        <v>0.26985999999999999</v>
      </c>
      <c r="S30" s="111">
        <v>0.30020999999999998</v>
      </c>
      <c r="T30" s="108">
        <v>0.56118000000000001</v>
      </c>
      <c r="U30" s="109">
        <v>0.57438</v>
      </c>
      <c r="V30" s="109">
        <v>0.58462999999999998</v>
      </c>
      <c r="W30" s="108">
        <v>0.59570999999999996</v>
      </c>
      <c r="X30" s="109">
        <v>0.59401000000000004</v>
      </c>
      <c r="Y30" s="109">
        <v>0.56825000000000003</v>
      </c>
      <c r="Z30" s="108">
        <v>0.56433</v>
      </c>
      <c r="AA30" s="109">
        <v>0.56111</v>
      </c>
      <c r="AB30" s="109">
        <v>0.55847000000000002</v>
      </c>
      <c r="AC30" s="108">
        <v>0.56111</v>
      </c>
      <c r="AD30" s="109">
        <v>0.55847000000000002</v>
      </c>
      <c r="AE30" s="109">
        <v>0.55630999999999997</v>
      </c>
    </row>
    <row r="31" spans="1:31" x14ac:dyDescent="0.35">
      <c r="A31" s="104" t="s">
        <v>76</v>
      </c>
      <c r="B31" s="108">
        <v>6.6606999999999998E-38</v>
      </c>
      <c r="C31" s="109">
        <v>5.7460999999999997E-37</v>
      </c>
      <c r="D31" s="109">
        <v>6.3496000000000001E-39</v>
      </c>
      <c r="E31" s="110">
        <v>2.8025999999999999E-45</v>
      </c>
      <c r="F31" s="111">
        <v>0</v>
      </c>
      <c r="G31" s="111">
        <v>0</v>
      </c>
      <c r="H31" s="111">
        <v>0</v>
      </c>
      <c r="I31" s="111">
        <v>0</v>
      </c>
      <c r="J31" s="111">
        <v>0</v>
      </c>
      <c r="K31" s="111">
        <v>0</v>
      </c>
      <c r="L31" s="111">
        <v>0</v>
      </c>
      <c r="M31" s="111">
        <v>0</v>
      </c>
      <c r="N31" s="111">
        <v>0</v>
      </c>
      <c r="O31" s="111">
        <v>0</v>
      </c>
      <c r="P31" s="111">
        <v>0</v>
      </c>
      <c r="Q31" s="111">
        <v>0</v>
      </c>
      <c r="R31" s="111">
        <v>0</v>
      </c>
      <c r="S31" s="111">
        <v>0</v>
      </c>
      <c r="T31" s="111">
        <v>0</v>
      </c>
      <c r="U31" s="111">
        <v>0</v>
      </c>
      <c r="V31" s="111">
        <v>0</v>
      </c>
      <c r="W31" s="111">
        <v>0</v>
      </c>
      <c r="X31" s="111">
        <v>0</v>
      </c>
      <c r="Y31" s="111">
        <v>0</v>
      </c>
      <c r="Z31" s="111">
        <v>0</v>
      </c>
      <c r="AA31" s="111">
        <v>0</v>
      </c>
      <c r="AB31" s="111">
        <v>0</v>
      </c>
      <c r="AC31" s="111">
        <v>0</v>
      </c>
      <c r="AD31" s="111">
        <v>0</v>
      </c>
      <c r="AE31" s="111">
        <v>0</v>
      </c>
    </row>
    <row r="32" spans="1:31" x14ac:dyDescent="0.35">
      <c r="A32" s="100" t="s">
        <v>77</v>
      </c>
      <c r="B32" s="110">
        <v>0</v>
      </c>
      <c r="C32" s="111">
        <v>0</v>
      </c>
      <c r="D32" s="111">
        <v>0</v>
      </c>
      <c r="E32" s="111">
        <v>0</v>
      </c>
      <c r="F32" s="111">
        <v>0</v>
      </c>
      <c r="G32" s="111">
        <v>0</v>
      </c>
      <c r="H32" s="111">
        <v>0</v>
      </c>
      <c r="I32" s="111">
        <v>0</v>
      </c>
      <c r="J32" s="111">
        <v>0</v>
      </c>
      <c r="K32" s="111">
        <v>0</v>
      </c>
      <c r="L32" s="111">
        <v>0</v>
      </c>
      <c r="M32" s="111">
        <v>0</v>
      </c>
      <c r="N32" s="111">
        <v>0</v>
      </c>
      <c r="O32" s="111">
        <v>0</v>
      </c>
      <c r="P32" s="111">
        <v>0</v>
      </c>
      <c r="Q32" s="110">
        <v>0</v>
      </c>
      <c r="R32" s="111">
        <v>0</v>
      </c>
      <c r="S32" s="111">
        <v>6.0395999999999997E-43</v>
      </c>
      <c r="T32" s="108">
        <v>7.6727999999999998E-28</v>
      </c>
      <c r="U32" s="109">
        <v>1.6731E-19</v>
      </c>
      <c r="V32" s="109">
        <v>1.2073E-11</v>
      </c>
      <c r="W32" s="108">
        <v>5.2246000000000003E-7</v>
      </c>
      <c r="X32" s="109">
        <v>9.0429999999999996E-2</v>
      </c>
      <c r="Y32" s="109">
        <v>0.21944</v>
      </c>
      <c r="Z32" s="108">
        <v>0.22755</v>
      </c>
      <c r="AA32" s="109">
        <v>0.23341999999999999</v>
      </c>
      <c r="AB32" s="109">
        <v>0.23784</v>
      </c>
      <c r="AC32" s="108">
        <v>0.23341999999999999</v>
      </c>
      <c r="AD32" s="109">
        <v>0.23784</v>
      </c>
      <c r="AE32" s="109">
        <v>0.24123</v>
      </c>
    </row>
    <row r="33" spans="1:31" x14ac:dyDescent="0.35">
      <c r="A33" s="105" t="s">
        <v>64</v>
      </c>
      <c r="B33" s="112">
        <v>5.5133999999999996E-9</v>
      </c>
      <c r="C33" s="113">
        <v>8.4905999999999996E-9</v>
      </c>
      <c r="D33" s="113">
        <v>9.7782999999999996E-9</v>
      </c>
      <c r="E33" s="112">
        <v>7.0710999999999997E-9</v>
      </c>
      <c r="F33" s="113">
        <v>8.9935000000000004E-9</v>
      </c>
      <c r="G33" s="113">
        <v>6.4752000000000001E-9</v>
      </c>
      <c r="H33" s="112">
        <v>5.5467000000000003E-9</v>
      </c>
      <c r="I33" s="113">
        <v>9.8114999999999999E-9</v>
      </c>
      <c r="J33" s="113">
        <v>5.3741000000000003E-9</v>
      </c>
      <c r="K33" s="112">
        <v>8.1646000000000005E-9</v>
      </c>
      <c r="L33" s="113">
        <v>6.3069999999999998E-9</v>
      </c>
      <c r="M33" s="113">
        <v>8.2815999999999992E-9</v>
      </c>
      <c r="N33" s="112">
        <v>9.2077000000000008E-9</v>
      </c>
      <c r="O33" s="113">
        <v>9.4282999999999998E-9</v>
      </c>
      <c r="P33" s="113">
        <v>9.7085999999999993E-9</v>
      </c>
      <c r="Q33" s="112">
        <v>5.0004000000000002E-9</v>
      </c>
      <c r="R33" s="113">
        <v>6.9062999999999996E-9</v>
      </c>
      <c r="S33" s="113">
        <v>9.2077999999999996E-9</v>
      </c>
      <c r="T33" s="112">
        <v>6.8223000000000003E-9</v>
      </c>
      <c r="U33" s="113">
        <v>7.7740000000000007E-9</v>
      </c>
      <c r="V33" s="113">
        <v>7.7906E-9</v>
      </c>
      <c r="W33" s="112">
        <v>9.6404999999999995E-9</v>
      </c>
      <c r="X33" s="113">
        <v>9.9170999999999992E-9</v>
      </c>
      <c r="Y33" s="113">
        <v>2.0182E-6</v>
      </c>
      <c r="Z33" s="112">
        <v>1.8408E-6</v>
      </c>
      <c r="AA33" s="113">
        <v>1.6155E-6</v>
      </c>
      <c r="AB33" s="113">
        <v>1.3687999999999999E-6</v>
      </c>
      <c r="AC33" s="112">
        <v>1.6155E-6</v>
      </c>
      <c r="AD33" s="113">
        <v>1.3687999999999999E-6</v>
      </c>
      <c r="AE33" s="113">
        <v>1.1179999999999999E-6</v>
      </c>
    </row>
  </sheetData>
  <conditionalFormatting sqref="B1:AE14">
    <cfRule type="expression" dxfId="2" priority="2">
      <formula>ISNUMBER(B1)</formula>
    </cfRule>
  </conditionalFormatting>
  <conditionalFormatting sqref="B15:AE33">
    <cfRule type="expression" dxfId="1" priority="1">
      <formula>ISNUMBER(B15)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8897-7A6A-4803-AB84-C647E00E0D23}">
  <dimension ref="A1:AE22"/>
  <sheetViews>
    <sheetView zoomScale="115" zoomScaleNormal="115" workbookViewId="0">
      <selection activeCell="B9" sqref="B9"/>
    </sheetView>
  </sheetViews>
  <sheetFormatPr defaultRowHeight="21" x14ac:dyDescent="0.35"/>
  <sheetData>
    <row r="1" spans="1:31" x14ac:dyDescent="0.35">
      <c r="A1" s="100" t="s">
        <v>58</v>
      </c>
      <c r="B1" s="101">
        <v>273.10000000000002</v>
      </c>
      <c r="C1" s="101">
        <v>293.3</v>
      </c>
      <c r="D1" s="101">
        <v>313.5</v>
      </c>
      <c r="E1" s="101">
        <v>333.7</v>
      </c>
      <c r="F1" s="101">
        <v>353.9</v>
      </c>
      <c r="G1" s="101">
        <v>374.1</v>
      </c>
      <c r="H1" s="101">
        <v>394.3</v>
      </c>
      <c r="I1" s="101">
        <v>414.5</v>
      </c>
      <c r="J1" s="101">
        <v>434.7</v>
      </c>
      <c r="K1" s="101">
        <v>515.4</v>
      </c>
      <c r="L1" s="101">
        <v>535.6</v>
      </c>
      <c r="M1" s="101">
        <v>555.79999999999995</v>
      </c>
      <c r="N1" s="102">
        <v>576</v>
      </c>
      <c r="O1" s="101">
        <v>596.20000000000005</v>
      </c>
      <c r="P1" s="101">
        <v>616.4</v>
      </c>
      <c r="Q1" s="101">
        <v>636.6</v>
      </c>
      <c r="R1" s="101">
        <v>656.8</v>
      </c>
      <c r="S1" s="102">
        <v>677</v>
      </c>
      <c r="T1" s="101">
        <v>757.7</v>
      </c>
      <c r="U1" s="101">
        <v>777.9</v>
      </c>
      <c r="V1" s="101">
        <v>798.1</v>
      </c>
      <c r="W1" s="101">
        <v>818.3</v>
      </c>
      <c r="X1" s="101">
        <v>838.5</v>
      </c>
      <c r="Y1" s="101">
        <v>919.2</v>
      </c>
      <c r="Z1" s="101">
        <v>939.4</v>
      </c>
      <c r="AA1" s="101">
        <v>959.6</v>
      </c>
      <c r="AB1" s="101">
        <v>979.8</v>
      </c>
      <c r="AC1" s="101">
        <v>959.6</v>
      </c>
      <c r="AD1" s="101">
        <v>979.8</v>
      </c>
      <c r="AE1" s="101">
        <v>1000</v>
      </c>
    </row>
    <row r="2" spans="1:31" x14ac:dyDescent="0.35">
      <c r="A2" s="103" t="s">
        <v>65</v>
      </c>
      <c r="B2" s="106">
        <v>1.5377000000000001E-7</v>
      </c>
      <c r="C2" s="107">
        <v>4.1064999999999999E-7</v>
      </c>
      <c r="D2" s="107">
        <v>1.3969999999999999E-6</v>
      </c>
      <c r="E2" s="106">
        <v>6.1423999999999998E-6</v>
      </c>
      <c r="F2" s="107">
        <v>2.9011999999999999E-5</v>
      </c>
      <c r="G2" s="107">
        <v>1.2789E-4</v>
      </c>
      <c r="H2" s="106">
        <v>4.9987000000000002E-4</v>
      </c>
      <c r="I2" s="107">
        <v>1.6804999999999999E-3</v>
      </c>
      <c r="J2" s="107">
        <v>4.6601999999999998E-3</v>
      </c>
      <c r="K2" s="106">
        <v>3.2917000000000002E-2</v>
      </c>
      <c r="L2" s="107">
        <v>3.6538000000000001E-2</v>
      </c>
      <c r="M2" s="107">
        <v>3.8351000000000003E-2</v>
      </c>
      <c r="N2" s="106">
        <v>3.9208E-2</v>
      </c>
      <c r="O2" s="107">
        <v>3.9611E-2</v>
      </c>
      <c r="P2" s="107">
        <v>3.9802999999999998E-2</v>
      </c>
      <c r="Q2" s="106">
        <v>3.9897000000000002E-2</v>
      </c>
      <c r="R2" s="107">
        <v>3.9944E-2</v>
      </c>
      <c r="S2" s="107">
        <v>3.9967999999999997E-2</v>
      </c>
      <c r="T2" s="106">
        <v>3.9995000000000003E-2</v>
      </c>
      <c r="U2" s="107">
        <v>3.9996999999999998E-2</v>
      </c>
      <c r="V2" s="107">
        <v>3.9997999999999999E-2</v>
      </c>
      <c r="W2" s="106">
        <v>3.9999E-2</v>
      </c>
      <c r="X2" s="107">
        <v>3.9412000000000003E-2</v>
      </c>
      <c r="Y2" s="107">
        <v>3.7732000000000002E-2</v>
      </c>
      <c r="Z2" s="106">
        <v>3.7395999999999999E-2</v>
      </c>
      <c r="AA2" s="107">
        <v>3.7059000000000002E-2</v>
      </c>
      <c r="AB2" s="107">
        <v>3.6719000000000002E-2</v>
      </c>
      <c r="AC2" s="106">
        <v>3.7059000000000002E-2</v>
      </c>
      <c r="AD2" s="107">
        <v>3.6719000000000002E-2</v>
      </c>
      <c r="AE2" s="107">
        <v>3.6373000000000003E-2</v>
      </c>
    </row>
    <row r="3" spans="1:31" x14ac:dyDescent="0.35">
      <c r="A3" s="104" t="s">
        <v>66</v>
      </c>
      <c r="B3" s="108">
        <v>3.0705000000000001E-28</v>
      </c>
      <c r="C3" s="109">
        <v>2.6313000000000001E-26</v>
      </c>
      <c r="D3" s="109">
        <v>1.9971999999999999E-24</v>
      </c>
      <c r="E3" s="108">
        <v>1.5682999999999999E-22</v>
      </c>
      <c r="F3" s="109">
        <v>1.1272E-20</v>
      </c>
      <c r="G3" s="109">
        <v>6.3320999999999996E-19</v>
      </c>
      <c r="H3" s="108">
        <v>2.5942E-17</v>
      </c>
      <c r="I3" s="109">
        <v>7.6415999999999998E-16</v>
      </c>
      <c r="J3" s="109">
        <v>1.6257999999999999E-14</v>
      </c>
      <c r="K3" s="108">
        <v>3.6524000000000002E-10</v>
      </c>
      <c r="L3" s="109">
        <v>3.1234999999999998E-9</v>
      </c>
      <c r="M3" s="109">
        <v>2.3485000000000002E-8</v>
      </c>
      <c r="N3" s="108">
        <v>1.5619E-7</v>
      </c>
      <c r="O3" s="109">
        <v>9.2608999999999995E-7</v>
      </c>
      <c r="P3" s="109">
        <v>4.9347000000000004E-6</v>
      </c>
      <c r="Q3" s="108">
        <v>2.3788999999999999E-5</v>
      </c>
      <c r="R3" s="109">
        <v>1.0397E-4</v>
      </c>
      <c r="S3" s="109">
        <v>4.0607000000000002E-4</v>
      </c>
      <c r="T3" s="110">
        <v>1.1181999999999999E-2</v>
      </c>
      <c r="U3" s="111">
        <v>1.7329000000000001E-2</v>
      </c>
      <c r="V3" s="111">
        <v>2.5510999999999999E-2</v>
      </c>
      <c r="W3" s="108">
        <v>3.5986999999999998E-2</v>
      </c>
      <c r="X3" s="109">
        <v>3.5250999999999998E-2</v>
      </c>
      <c r="Y3" s="109">
        <v>1.2779E-2</v>
      </c>
      <c r="Z3" s="108">
        <v>9.5303000000000002E-3</v>
      </c>
      <c r="AA3" s="109">
        <v>6.9867999999999996E-3</v>
      </c>
      <c r="AB3" s="109">
        <v>5.0317000000000001E-3</v>
      </c>
      <c r="AC3" s="108">
        <v>6.9867999999999996E-3</v>
      </c>
      <c r="AD3" s="109">
        <v>5.0317000000000001E-3</v>
      </c>
      <c r="AE3" s="109">
        <v>3.5576000000000002E-3</v>
      </c>
    </row>
    <row r="4" spans="1:31" x14ac:dyDescent="0.35">
      <c r="A4" s="104" t="s">
        <v>67</v>
      </c>
      <c r="B4" s="108">
        <v>1.0965999999999999E-9</v>
      </c>
      <c r="C4" s="109">
        <v>3.6921000000000001E-9</v>
      </c>
      <c r="D4" s="109">
        <v>8.5473E-9</v>
      </c>
      <c r="E4" s="108">
        <v>1.3043E-8</v>
      </c>
      <c r="F4" s="109">
        <v>1.4094E-8</v>
      </c>
      <c r="G4" s="109">
        <v>1.2493999999999999E-8</v>
      </c>
      <c r="H4" s="108">
        <v>1.0293999999999999E-8</v>
      </c>
      <c r="I4" s="109">
        <v>8.5355000000000006E-9</v>
      </c>
      <c r="J4" s="109">
        <v>7.5341000000000003E-9</v>
      </c>
      <c r="K4" s="108">
        <v>6.2337999999999997E-9</v>
      </c>
      <c r="L4" s="109">
        <v>5.5016999999999997E-9</v>
      </c>
      <c r="M4" s="109">
        <v>4.6917999999999999E-9</v>
      </c>
      <c r="N4" s="108">
        <v>3.9359999999999996E-9</v>
      </c>
      <c r="O4" s="109">
        <v>3.2794000000000001E-9</v>
      </c>
      <c r="P4" s="109">
        <v>2.7289E-9</v>
      </c>
      <c r="Q4" s="108">
        <v>2.2864999999999999E-9</v>
      </c>
      <c r="R4" s="109">
        <v>1.9831999999999999E-9</v>
      </c>
      <c r="S4" s="109">
        <v>1.9241E-9</v>
      </c>
      <c r="T4" s="108">
        <v>2.2318000000000001E-9</v>
      </c>
      <c r="U4" s="109">
        <v>1.9126999999999998E-9</v>
      </c>
      <c r="V4" s="109">
        <v>1.6253E-9</v>
      </c>
      <c r="W4" s="108">
        <v>1.3817999999999999E-9</v>
      </c>
      <c r="X4" s="109">
        <v>1.2945E-9</v>
      </c>
      <c r="Y4" s="109">
        <v>7.3185000000000001E-10</v>
      </c>
      <c r="Z4" s="108">
        <v>6.1767E-10</v>
      </c>
      <c r="AA4" s="109">
        <v>5.2128999999999996E-10</v>
      </c>
      <c r="AB4" s="109">
        <v>4.4019000000000001E-10</v>
      </c>
      <c r="AC4" s="108">
        <v>5.2128999999999996E-10</v>
      </c>
      <c r="AD4" s="109">
        <v>4.4019000000000001E-10</v>
      </c>
      <c r="AE4" s="109">
        <v>3.7200000000000001E-10</v>
      </c>
    </row>
    <row r="5" spans="1:31" x14ac:dyDescent="0.35">
      <c r="A5" s="104" t="s">
        <v>68</v>
      </c>
      <c r="B5" s="108">
        <v>2.5274E-10</v>
      </c>
      <c r="C5" s="109">
        <v>9.8982E-10</v>
      </c>
      <c r="D5" s="109">
        <v>2.6168999999999999E-9</v>
      </c>
      <c r="E5" s="108">
        <v>4.4917000000000001E-9</v>
      </c>
      <c r="F5" s="109">
        <v>5.3905000000000004E-9</v>
      </c>
      <c r="G5" s="109">
        <v>5.2493999999999997E-9</v>
      </c>
      <c r="H5" s="108">
        <v>4.7075999999999997E-9</v>
      </c>
      <c r="I5" s="109">
        <v>4.2145999999999999E-9</v>
      </c>
      <c r="J5" s="109">
        <v>3.9888000000000001E-9</v>
      </c>
      <c r="K5" s="108">
        <v>3.8814999999999999E-9</v>
      </c>
      <c r="L5" s="109">
        <v>3.3883E-9</v>
      </c>
      <c r="M5" s="109">
        <v>2.8564999999999998E-9</v>
      </c>
      <c r="N5" s="108">
        <v>2.3681000000000001E-9</v>
      </c>
      <c r="O5" s="109">
        <v>1.9492999999999999E-9</v>
      </c>
      <c r="P5" s="109">
        <v>1.6021999999999999E-9</v>
      </c>
      <c r="Q5" s="108">
        <v>1.326E-9</v>
      </c>
      <c r="R5" s="109">
        <v>1.1359E-9</v>
      </c>
      <c r="S5" s="109">
        <v>1.0884000000000001E-9</v>
      </c>
      <c r="T5" s="108">
        <v>1.202E-9</v>
      </c>
      <c r="U5" s="109">
        <v>1.0177999999999999E-9</v>
      </c>
      <c r="V5" s="109">
        <v>8.5457999999999996E-10</v>
      </c>
      <c r="W5" s="108">
        <v>7.1800999999999998E-10</v>
      </c>
      <c r="X5" s="109">
        <v>6.6482999999999997E-10</v>
      </c>
      <c r="Y5" s="109">
        <v>3.5903E-10</v>
      </c>
      <c r="Z5" s="108">
        <v>2.9962999999999998E-10</v>
      </c>
      <c r="AA5" s="109">
        <v>2.5007E-10</v>
      </c>
      <c r="AB5" s="109">
        <v>2.0884E-10</v>
      </c>
      <c r="AC5" s="108">
        <v>2.5007E-10</v>
      </c>
      <c r="AD5" s="109">
        <v>2.0884E-10</v>
      </c>
      <c r="AE5" s="109">
        <v>1.7455999999999999E-10</v>
      </c>
    </row>
    <row r="6" spans="1:31" x14ac:dyDescent="0.35">
      <c r="A6" s="104" t="s">
        <v>69</v>
      </c>
      <c r="B6" s="108">
        <v>9.2352999999999999E-4</v>
      </c>
      <c r="C6" s="109">
        <v>3.9338999999999997E-3</v>
      </c>
      <c r="D6" s="109">
        <v>1.1663E-2</v>
      </c>
      <c r="E6" s="108">
        <v>2.2970999999999998E-2</v>
      </c>
      <c r="F6" s="109">
        <v>3.2190000000000003E-2</v>
      </c>
      <c r="G6" s="109">
        <v>3.7088999999999997E-2</v>
      </c>
      <c r="H6" s="108">
        <v>3.9749E-2</v>
      </c>
      <c r="I6" s="109">
        <v>4.2847999999999997E-2</v>
      </c>
      <c r="J6" s="109">
        <v>4.9099999999999998E-2</v>
      </c>
      <c r="K6" s="108">
        <v>0.10582999999999999</v>
      </c>
      <c r="L6" s="109">
        <v>0.11307</v>
      </c>
      <c r="M6" s="109">
        <v>0.1167</v>
      </c>
      <c r="N6" s="108">
        <v>0.11842</v>
      </c>
      <c r="O6" s="109">
        <v>0.11926</v>
      </c>
      <c r="P6" s="109">
        <v>0.11985999999999999</v>
      </c>
      <c r="Q6" s="108">
        <v>0.12117</v>
      </c>
      <c r="R6" s="109">
        <v>0.12667999999999999</v>
      </c>
      <c r="S6" s="109">
        <v>0.14799000000000001</v>
      </c>
      <c r="T6" s="108">
        <v>0.35676000000000002</v>
      </c>
      <c r="U6" s="109">
        <v>0.36606</v>
      </c>
      <c r="V6" s="109">
        <v>0.37197000000000002</v>
      </c>
      <c r="W6" s="108">
        <v>0.37774999999999997</v>
      </c>
      <c r="X6" s="109">
        <v>0.42225000000000001</v>
      </c>
      <c r="Y6" s="109">
        <v>0.47861999999999999</v>
      </c>
      <c r="Z6" s="108">
        <v>0.47943000000000002</v>
      </c>
      <c r="AA6" s="109">
        <v>0.47976000000000002</v>
      </c>
      <c r="AB6" s="109">
        <v>0.47989999999999999</v>
      </c>
      <c r="AC6" s="108">
        <v>0.47976000000000002</v>
      </c>
      <c r="AD6" s="109">
        <v>0.47989999999999999</v>
      </c>
      <c r="AE6" s="109">
        <v>0.47994999999999999</v>
      </c>
    </row>
    <row r="7" spans="1:31" x14ac:dyDescent="0.35">
      <c r="A7" s="100" t="s">
        <v>70</v>
      </c>
      <c r="B7" s="110">
        <v>2.8039000000000002E-12</v>
      </c>
      <c r="C7" s="111">
        <v>1.5371999999999999E-11</v>
      </c>
      <c r="D7" s="111">
        <v>5.4874000000000002E-11</v>
      </c>
      <c r="E7" s="110">
        <v>1.2340999999999999E-10</v>
      </c>
      <c r="F7" s="111">
        <v>1.8921000000000001E-10</v>
      </c>
      <c r="G7" s="111">
        <v>2.304E-10</v>
      </c>
      <c r="H7" s="110">
        <v>2.5365E-10</v>
      </c>
      <c r="I7" s="111">
        <v>2.7437E-10</v>
      </c>
      <c r="J7" s="111">
        <v>3.0941000000000002E-10</v>
      </c>
      <c r="K7" s="110">
        <v>5.4411E-10</v>
      </c>
      <c r="L7" s="111">
        <v>5.3889999999999997E-10</v>
      </c>
      <c r="M7" s="111">
        <v>5.1189999999999996E-10</v>
      </c>
      <c r="N7" s="110">
        <v>4.7514999999999996E-10</v>
      </c>
      <c r="O7" s="111">
        <v>4.3540000000000002E-10</v>
      </c>
      <c r="P7" s="111">
        <v>3.9633000000000002E-10</v>
      </c>
      <c r="Q7" s="110">
        <v>3.6149999999999999E-10</v>
      </c>
      <c r="R7" s="111">
        <v>3.3980000000000001E-10</v>
      </c>
      <c r="S7" s="111">
        <v>3.5583999999999998E-10</v>
      </c>
      <c r="T7" s="110">
        <v>5.4133000000000003E-10</v>
      </c>
      <c r="U7" s="111">
        <v>4.9287999999999996E-10</v>
      </c>
      <c r="V7" s="111">
        <v>4.4383000000000001E-10</v>
      </c>
      <c r="W7" s="110">
        <v>3.9894000000000002E-10</v>
      </c>
      <c r="X7" s="111">
        <v>3.9428999999999999E-10</v>
      </c>
      <c r="Y7" s="111">
        <v>2.7084000000000002E-10</v>
      </c>
      <c r="Z7" s="110">
        <v>2.3896000000000002E-10</v>
      </c>
      <c r="AA7" s="111">
        <v>2.1051000000000001E-10</v>
      </c>
      <c r="AB7" s="111">
        <v>1.8528000000000001E-10</v>
      </c>
      <c r="AC7" s="110">
        <v>2.1051000000000001E-10</v>
      </c>
      <c r="AD7" s="111">
        <v>1.8528000000000001E-10</v>
      </c>
      <c r="AE7" s="111">
        <v>1.6297000000000001E-10</v>
      </c>
    </row>
    <row r="8" spans="1:31" x14ac:dyDescent="0.35">
      <c r="A8" s="104" t="s">
        <v>71</v>
      </c>
      <c r="B8" s="108">
        <v>1.5377000000000001E-7</v>
      </c>
      <c r="C8" s="109">
        <v>4.1064999999999999E-7</v>
      </c>
      <c r="D8" s="109">
        <v>1.3969999999999999E-6</v>
      </c>
      <c r="E8" s="108">
        <v>6.1423999999999998E-6</v>
      </c>
      <c r="F8" s="109">
        <v>2.9011999999999999E-5</v>
      </c>
      <c r="G8" s="109">
        <v>1.2789E-4</v>
      </c>
      <c r="H8" s="108">
        <v>4.9987000000000002E-4</v>
      </c>
      <c r="I8" s="109">
        <v>1.6804999999999999E-3</v>
      </c>
      <c r="J8" s="109">
        <v>4.6601999999999998E-3</v>
      </c>
      <c r="K8" s="108">
        <v>3.2917000000000002E-2</v>
      </c>
      <c r="L8" s="109">
        <v>3.6538000000000001E-2</v>
      </c>
      <c r="M8" s="109">
        <v>3.8351000000000003E-2</v>
      </c>
      <c r="N8" s="108">
        <v>3.9208E-2</v>
      </c>
      <c r="O8" s="109">
        <v>3.9611E-2</v>
      </c>
      <c r="P8" s="109">
        <v>3.9802999999999998E-2</v>
      </c>
      <c r="Q8" s="108">
        <v>3.9897000000000002E-2</v>
      </c>
      <c r="R8" s="109">
        <v>3.9944E-2</v>
      </c>
      <c r="S8" s="109">
        <v>3.9967999999999997E-2</v>
      </c>
      <c r="T8" s="108">
        <v>3.9995000000000003E-2</v>
      </c>
      <c r="U8" s="109">
        <v>3.9996999999999998E-2</v>
      </c>
      <c r="V8" s="109">
        <v>3.9997999999999999E-2</v>
      </c>
      <c r="W8" s="108">
        <v>3.9999E-2</v>
      </c>
      <c r="X8" s="109">
        <v>3.9412000000000003E-2</v>
      </c>
      <c r="Y8" s="109">
        <v>3.7732000000000002E-2</v>
      </c>
      <c r="Z8" s="108">
        <v>3.7395999999999999E-2</v>
      </c>
      <c r="AA8" s="109">
        <v>3.7059000000000002E-2</v>
      </c>
      <c r="AB8" s="109">
        <v>3.6719000000000002E-2</v>
      </c>
      <c r="AC8" s="108">
        <v>3.7059000000000002E-2</v>
      </c>
      <c r="AD8" s="109">
        <v>3.6719000000000002E-2</v>
      </c>
      <c r="AE8" s="109">
        <v>3.6373000000000003E-2</v>
      </c>
    </row>
    <row r="9" spans="1:31" x14ac:dyDescent="0.35">
      <c r="A9" s="100" t="s">
        <v>72</v>
      </c>
      <c r="B9" s="110">
        <v>0</v>
      </c>
      <c r="C9" s="111">
        <v>0</v>
      </c>
      <c r="D9" s="111">
        <v>0</v>
      </c>
      <c r="E9" s="110">
        <v>0</v>
      </c>
      <c r="F9" s="111">
        <v>0</v>
      </c>
      <c r="G9" s="111">
        <v>0</v>
      </c>
      <c r="H9" s="111">
        <v>0</v>
      </c>
      <c r="I9" s="111">
        <v>0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08">
        <v>1.2435E-28</v>
      </c>
      <c r="U9" s="109">
        <v>4.8073000000000002E-20</v>
      </c>
      <c r="V9" s="109">
        <v>5.9552999999999999E-12</v>
      </c>
      <c r="W9" s="108">
        <v>4.2954999999999998E-7</v>
      </c>
      <c r="X9" s="109">
        <v>8.9257000000000003E-2</v>
      </c>
      <c r="Y9" s="109">
        <v>0.21510000000000001</v>
      </c>
      <c r="Z9" s="108">
        <v>0.2225</v>
      </c>
      <c r="AA9" s="109">
        <v>0.22767000000000001</v>
      </c>
      <c r="AB9" s="109">
        <v>0.23136999999999999</v>
      </c>
      <c r="AC9" s="108">
        <v>0.22767000000000001</v>
      </c>
      <c r="AD9" s="109">
        <v>0.23136999999999999</v>
      </c>
      <c r="AE9" s="109">
        <v>0.23405000000000001</v>
      </c>
    </row>
    <row r="10" spans="1:31" x14ac:dyDescent="0.35">
      <c r="A10" s="100" t="s">
        <v>73</v>
      </c>
      <c r="B10" s="110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0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08">
        <v>6.0999000000000002E-30</v>
      </c>
      <c r="U10" s="109">
        <v>1.5117999999999999E-21</v>
      </c>
      <c r="V10" s="109">
        <v>1.2375E-13</v>
      </c>
      <c r="W10" s="108">
        <v>6.0257E-9</v>
      </c>
      <c r="X10" s="109">
        <v>1.1739999999999999E-3</v>
      </c>
      <c r="Y10" s="109">
        <v>4.5361999999999998E-3</v>
      </c>
      <c r="Z10" s="108">
        <v>5.2078000000000003E-3</v>
      </c>
      <c r="AA10" s="109">
        <v>5.8811999999999996E-3</v>
      </c>
      <c r="AB10" s="109">
        <v>6.5624000000000004E-3</v>
      </c>
      <c r="AC10" s="108">
        <v>5.8811999999999996E-3</v>
      </c>
      <c r="AD10" s="109">
        <v>6.5624000000000004E-3</v>
      </c>
      <c r="AE10" s="109">
        <v>7.2538999999999998E-3</v>
      </c>
    </row>
    <row r="11" spans="1:31" x14ac:dyDescent="0.35">
      <c r="A11" s="100" t="s">
        <v>74</v>
      </c>
      <c r="B11" s="110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0</v>
      </c>
      <c r="I11" s="111">
        <v>0</v>
      </c>
      <c r="J11" s="111">
        <v>0</v>
      </c>
      <c r="K11" s="111">
        <v>0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0">
        <v>3.1106000000000001E-36</v>
      </c>
      <c r="U11" s="111">
        <v>5.6790999999999999E-28</v>
      </c>
      <c r="V11" s="111">
        <v>3.4210000000000003E-20</v>
      </c>
      <c r="W11" s="110">
        <v>1.2351000000000001E-15</v>
      </c>
      <c r="X11" s="111">
        <v>2.0084E-10</v>
      </c>
      <c r="Y11" s="111">
        <v>2.8795000000000002E-10</v>
      </c>
      <c r="Z11" s="110">
        <v>2.5373999999999999E-10</v>
      </c>
      <c r="AA11" s="111">
        <v>2.2090999999999999E-10</v>
      </c>
      <c r="AB11" s="111">
        <v>1.9096000000000001E-10</v>
      </c>
      <c r="AC11" s="110">
        <v>2.2090999999999999E-10</v>
      </c>
      <c r="AD11" s="111">
        <v>1.9096000000000001E-10</v>
      </c>
      <c r="AE11" s="111">
        <v>1.6429999999999999E-10</v>
      </c>
    </row>
    <row r="12" spans="1:31" x14ac:dyDescent="0.35">
      <c r="A12" s="104" t="s">
        <v>27</v>
      </c>
      <c r="B12" s="108">
        <v>-18.98</v>
      </c>
      <c r="C12" s="109">
        <v>-18.96</v>
      </c>
      <c r="D12" s="109">
        <v>-18.96</v>
      </c>
      <c r="E12" s="108">
        <v>-18.96</v>
      </c>
      <c r="F12" s="109">
        <v>-18.97</v>
      </c>
      <c r="G12" s="109">
        <v>-18.989999999999998</v>
      </c>
      <c r="H12" s="108">
        <v>-19.02</v>
      </c>
      <c r="I12" s="109">
        <v>-19.05</v>
      </c>
      <c r="J12" s="109">
        <v>-19.079999999999998</v>
      </c>
      <c r="K12" s="108">
        <v>-19.2</v>
      </c>
      <c r="L12" s="109">
        <v>-19.23</v>
      </c>
      <c r="M12" s="109">
        <v>-19.27</v>
      </c>
      <c r="N12" s="108">
        <v>-19.309999999999999</v>
      </c>
      <c r="O12" s="109">
        <v>-19.36</v>
      </c>
      <c r="P12" s="109">
        <v>-19.399999999999999</v>
      </c>
      <c r="Q12" s="108">
        <v>-19.440000000000001</v>
      </c>
      <c r="R12" s="109">
        <v>-19.47</v>
      </c>
      <c r="S12" s="109">
        <v>-19.48</v>
      </c>
      <c r="T12" s="108">
        <v>-19.43</v>
      </c>
      <c r="U12" s="109">
        <v>-19.47</v>
      </c>
      <c r="V12" s="109">
        <v>-19.510000000000002</v>
      </c>
      <c r="W12" s="108">
        <v>-19.55</v>
      </c>
      <c r="X12" s="109">
        <v>-19.59</v>
      </c>
      <c r="Y12" s="109">
        <v>-19.739999999999998</v>
      </c>
      <c r="Z12" s="108">
        <v>-19.77</v>
      </c>
      <c r="AA12" s="109">
        <v>-19.809999999999999</v>
      </c>
      <c r="AB12" s="109">
        <v>-19.850000000000001</v>
      </c>
      <c r="AC12" s="108">
        <v>-19.809999999999999</v>
      </c>
      <c r="AD12" s="109">
        <v>-19.850000000000001</v>
      </c>
      <c r="AE12" s="109">
        <v>-19.88</v>
      </c>
    </row>
    <row r="13" spans="1:31" x14ac:dyDescent="0.35">
      <c r="A13" s="104" t="s">
        <v>5</v>
      </c>
      <c r="B13" s="108">
        <v>-66.099999999999994</v>
      </c>
      <c r="C13" s="109">
        <v>-61.67</v>
      </c>
      <c r="D13" s="109">
        <v>-57.42</v>
      </c>
      <c r="E13" s="108">
        <v>-53.18</v>
      </c>
      <c r="F13" s="109">
        <v>-49.01</v>
      </c>
      <c r="G13" s="109">
        <v>-45.05</v>
      </c>
      <c r="H13" s="108">
        <v>-41.4</v>
      </c>
      <c r="I13" s="109">
        <v>-38.08</v>
      </c>
      <c r="J13" s="109">
        <v>-35.11</v>
      </c>
      <c r="K13" s="108">
        <v>-25.6</v>
      </c>
      <c r="L13" s="109">
        <v>-23.53</v>
      </c>
      <c r="M13" s="109">
        <v>-21.56</v>
      </c>
      <c r="N13" s="108">
        <v>-19.7</v>
      </c>
      <c r="O13" s="109">
        <v>-17.95</v>
      </c>
      <c r="P13" s="109">
        <v>-16.29</v>
      </c>
      <c r="Q13" s="108">
        <v>-14.73</v>
      </c>
      <c r="R13" s="109">
        <v>-13.28</v>
      </c>
      <c r="S13" s="109">
        <v>-12.01</v>
      </c>
      <c r="T13" s="108">
        <v>-9.1259999999999994</v>
      </c>
      <c r="U13" s="109">
        <v>-8.6280000000000001</v>
      </c>
      <c r="V13" s="109">
        <v>-8.1609999999999996</v>
      </c>
      <c r="W13" s="108">
        <v>-7.7220000000000004</v>
      </c>
      <c r="X13" s="109">
        <v>-7.61</v>
      </c>
      <c r="Y13" s="109">
        <v>-7.883</v>
      </c>
      <c r="Z13" s="108">
        <v>-7.9489999999999998</v>
      </c>
      <c r="AA13" s="109">
        <v>-8.0139999999999993</v>
      </c>
      <c r="AB13" s="109">
        <v>-8.077</v>
      </c>
      <c r="AC13" s="108">
        <v>-8.0139999999999993</v>
      </c>
      <c r="AD13" s="109">
        <v>-8.077</v>
      </c>
      <c r="AE13" s="109">
        <v>-8.14</v>
      </c>
    </row>
    <row r="14" spans="1:31" x14ac:dyDescent="0.35">
      <c r="A14" s="104" t="s">
        <v>6</v>
      </c>
      <c r="B14" s="108">
        <v>-17.28</v>
      </c>
      <c r="C14" s="109">
        <v>-16.32</v>
      </c>
      <c r="D14" s="109">
        <v>-15.18</v>
      </c>
      <c r="E14" s="108">
        <v>-13.82</v>
      </c>
      <c r="F14" s="109">
        <v>-12.36</v>
      </c>
      <c r="G14" s="109">
        <v>-10.95</v>
      </c>
      <c r="H14" s="108">
        <v>-9.6379999999999999</v>
      </c>
      <c r="I14" s="109">
        <v>-8.4860000000000007</v>
      </c>
      <c r="J14" s="109">
        <v>-7.5510000000000002</v>
      </c>
      <c r="K14" s="108">
        <v>-6.1029999999999998</v>
      </c>
      <c r="L14" s="109">
        <v>-6.0819999999999999</v>
      </c>
      <c r="M14" s="109">
        <v>-6.0990000000000002</v>
      </c>
      <c r="N14" s="108">
        <v>-6.1340000000000003</v>
      </c>
      <c r="O14" s="109">
        <v>-6.1779999999999999</v>
      </c>
      <c r="P14" s="109">
        <v>-6.226</v>
      </c>
      <c r="Q14" s="108">
        <v>-6.2809999999999997</v>
      </c>
      <c r="R14" s="109">
        <v>-6.36</v>
      </c>
      <c r="S14" s="109">
        <v>-6.5149999999999997</v>
      </c>
      <c r="T14" s="108">
        <v>-7.3369999999999997</v>
      </c>
      <c r="U14" s="109">
        <v>-7.4089999999999998</v>
      </c>
      <c r="V14" s="109">
        <v>-7.4740000000000002</v>
      </c>
      <c r="W14" s="108">
        <v>-7.5410000000000004</v>
      </c>
      <c r="X14" s="109">
        <v>-7.6</v>
      </c>
      <c r="Y14" s="109">
        <v>-7.7830000000000004</v>
      </c>
      <c r="Z14" s="108">
        <v>-7.83</v>
      </c>
      <c r="AA14" s="109">
        <v>-7.8780000000000001</v>
      </c>
      <c r="AB14" s="109">
        <v>-7.9269999999999996</v>
      </c>
      <c r="AC14" s="108">
        <v>-7.8780000000000001</v>
      </c>
      <c r="AD14" s="109">
        <v>-7.9269999999999996</v>
      </c>
      <c r="AE14" s="109">
        <v>-7.976</v>
      </c>
    </row>
    <row r="15" spans="1:31" x14ac:dyDescent="0.35">
      <c r="A15" s="104" t="s">
        <v>7</v>
      </c>
      <c r="B15" s="108">
        <v>-23.57</v>
      </c>
      <c r="C15" s="109">
        <v>-22.38</v>
      </c>
      <c r="D15" s="109">
        <v>-21.62</v>
      </c>
      <c r="E15" s="108">
        <v>-21.32</v>
      </c>
      <c r="F15" s="109">
        <v>-21.34</v>
      </c>
      <c r="G15" s="109">
        <v>-21.53</v>
      </c>
      <c r="H15" s="108">
        <v>-21.78</v>
      </c>
      <c r="I15" s="109">
        <v>-22.03</v>
      </c>
      <c r="J15" s="109">
        <v>-22.25</v>
      </c>
      <c r="K15" s="108">
        <v>-23.02</v>
      </c>
      <c r="L15" s="109">
        <v>-23.29</v>
      </c>
      <c r="M15" s="109">
        <v>-23.57</v>
      </c>
      <c r="N15" s="108">
        <v>-23.86</v>
      </c>
      <c r="O15" s="109">
        <v>-24.15</v>
      </c>
      <c r="P15" s="109">
        <v>-24.44</v>
      </c>
      <c r="Q15" s="108">
        <v>-24.72</v>
      </c>
      <c r="R15" s="109">
        <v>-24.99</v>
      </c>
      <c r="S15" s="109">
        <v>-25.22</v>
      </c>
      <c r="T15" s="108">
        <v>-26.06</v>
      </c>
      <c r="U15" s="109">
        <v>-26.32</v>
      </c>
      <c r="V15" s="109">
        <v>-26.58</v>
      </c>
      <c r="W15" s="108">
        <v>-26.85</v>
      </c>
      <c r="X15" s="109">
        <v>-26.99</v>
      </c>
      <c r="Y15" s="109">
        <v>-27.82</v>
      </c>
      <c r="Z15" s="108">
        <v>-28.06</v>
      </c>
      <c r="AA15" s="109">
        <v>-28.29</v>
      </c>
      <c r="AB15" s="109">
        <v>-28.53</v>
      </c>
      <c r="AC15" s="108">
        <v>-28.29</v>
      </c>
      <c r="AD15" s="109">
        <v>-28.53</v>
      </c>
      <c r="AE15" s="109">
        <v>-28.76</v>
      </c>
    </row>
    <row r="16" spans="1:31" x14ac:dyDescent="0.35">
      <c r="A16" s="104" t="s">
        <v>63</v>
      </c>
      <c r="B16" s="108">
        <v>0.28543000000000002</v>
      </c>
      <c r="C16" s="109">
        <v>0.28453000000000001</v>
      </c>
      <c r="D16" s="109">
        <v>0.28228999999999999</v>
      </c>
      <c r="E16" s="108">
        <v>0.27922000000000002</v>
      </c>
      <c r="F16" s="109">
        <v>0.27688000000000001</v>
      </c>
      <c r="G16" s="109">
        <v>0.27568999999999999</v>
      </c>
      <c r="H16" s="108">
        <v>0.27506000000000003</v>
      </c>
      <c r="I16" s="109">
        <v>0.27433999999999997</v>
      </c>
      <c r="J16" s="109">
        <v>0.27293000000000001</v>
      </c>
      <c r="K16" s="110">
        <v>0.26219999999999999</v>
      </c>
      <c r="L16" s="111">
        <v>0.26106000000000001</v>
      </c>
      <c r="M16" s="111">
        <v>0.26050000000000001</v>
      </c>
      <c r="N16" s="108">
        <v>0.26024000000000003</v>
      </c>
      <c r="O16" s="109">
        <v>0.2601</v>
      </c>
      <c r="P16" s="109">
        <v>0.25994</v>
      </c>
      <c r="Q16" s="108">
        <v>0.25938</v>
      </c>
      <c r="R16" s="109">
        <v>0.25688</v>
      </c>
      <c r="S16" s="109">
        <v>0.24798000000000001</v>
      </c>
      <c r="T16" s="110">
        <v>0.20116000000000001</v>
      </c>
      <c r="U16" s="111">
        <v>0.20033999999999999</v>
      </c>
      <c r="V16" s="111">
        <v>0.2001</v>
      </c>
      <c r="W16" s="110">
        <v>0.20003000000000001</v>
      </c>
      <c r="X16" s="111">
        <v>0.20000999999999999</v>
      </c>
      <c r="Y16" s="111">
        <v>0.2</v>
      </c>
      <c r="Z16" s="110">
        <v>0.2</v>
      </c>
      <c r="AA16" s="111">
        <v>0.2</v>
      </c>
      <c r="AB16" s="111">
        <v>0.2</v>
      </c>
      <c r="AC16" s="110">
        <v>0.2</v>
      </c>
      <c r="AD16" s="111">
        <v>0.2</v>
      </c>
      <c r="AE16" s="111">
        <v>0.2</v>
      </c>
    </row>
    <row r="17" spans="1:31" x14ac:dyDescent="0.35">
      <c r="A17" s="104" t="s">
        <v>75</v>
      </c>
      <c r="B17" s="108">
        <v>0.11549</v>
      </c>
      <c r="C17" s="109">
        <v>0.11941</v>
      </c>
      <c r="D17" s="109">
        <v>0.12938</v>
      </c>
      <c r="E17" s="108">
        <v>0.14376</v>
      </c>
      <c r="F17" s="109">
        <v>0.15531</v>
      </c>
      <c r="G17" s="109">
        <v>0.16139999999999999</v>
      </c>
      <c r="H17" s="108">
        <v>0.16469</v>
      </c>
      <c r="I17" s="109">
        <v>0.16850999999999999</v>
      </c>
      <c r="J17" s="109">
        <v>0.17616999999999999</v>
      </c>
      <c r="K17" s="108">
        <v>0.24363000000000001</v>
      </c>
      <c r="L17" s="109">
        <v>0.25202000000000002</v>
      </c>
      <c r="M17" s="109">
        <v>0.25619999999999998</v>
      </c>
      <c r="N17" s="108">
        <v>0.25818999999999998</v>
      </c>
      <c r="O17" s="109">
        <v>0.25916</v>
      </c>
      <c r="P17" s="109">
        <v>0.25991999999999998</v>
      </c>
      <c r="Q17" s="110">
        <v>0.26180999999999999</v>
      </c>
      <c r="R17" s="111">
        <v>0.26985999999999999</v>
      </c>
      <c r="S17" s="111">
        <v>0.30020999999999998</v>
      </c>
      <c r="T17" s="108">
        <v>0.56118000000000001</v>
      </c>
      <c r="U17" s="109">
        <v>0.57438</v>
      </c>
      <c r="V17" s="109">
        <v>0.58462999999999998</v>
      </c>
      <c r="W17" s="108">
        <v>0.59570999999999996</v>
      </c>
      <c r="X17" s="109">
        <v>0.59401000000000004</v>
      </c>
      <c r="Y17" s="109">
        <v>0.56825000000000003</v>
      </c>
      <c r="Z17" s="108">
        <v>0.56433</v>
      </c>
      <c r="AA17" s="109">
        <v>0.56111</v>
      </c>
      <c r="AB17" s="109">
        <v>0.55847000000000002</v>
      </c>
      <c r="AC17" s="108">
        <v>0.56111</v>
      </c>
      <c r="AD17" s="109">
        <v>0.55847000000000002</v>
      </c>
      <c r="AE17" s="109">
        <v>0.55630999999999997</v>
      </c>
    </row>
    <row r="18" spans="1:31" x14ac:dyDescent="0.35">
      <c r="A18" s="104" t="s">
        <v>76</v>
      </c>
      <c r="B18" s="108">
        <v>6.6606999999999998E-38</v>
      </c>
      <c r="C18" s="109">
        <v>5.7460999999999997E-37</v>
      </c>
      <c r="D18" s="109">
        <v>6.3496000000000001E-39</v>
      </c>
      <c r="E18" s="110">
        <v>2.8025999999999999E-45</v>
      </c>
      <c r="F18" s="111">
        <v>0</v>
      </c>
      <c r="G18" s="111">
        <v>0</v>
      </c>
      <c r="H18" s="111">
        <v>0</v>
      </c>
      <c r="I18" s="111">
        <v>0</v>
      </c>
      <c r="J18" s="111">
        <v>0</v>
      </c>
      <c r="K18" s="111">
        <v>0</v>
      </c>
      <c r="L18" s="111">
        <v>0</v>
      </c>
      <c r="M18" s="111">
        <v>0</v>
      </c>
      <c r="N18" s="111">
        <v>0</v>
      </c>
      <c r="O18" s="111">
        <v>0</v>
      </c>
      <c r="P18" s="111">
        <v>0</v>
      </c>
      <c r="Q18" s="111">
        <v>0</v>
      </c>
      <c r="R18" s="111">
        <v>0</v>
      </c>
      <c r="S18" s="111">
        <v>0</v>
      </c>
      <c r="T18" s="111">
        <v>0</v>
      </c>
      <c r="U18" s="111">
        <v>0</v>
      </c>
      <c r="V18" s="111">
        <v>0</v>
      </c>
      <c r="W18" s="111">
        <v>0</v>
      </c>
      <c r="X18" s="111">
        <v>0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</row>
    <row r="19" spans="1:31" x14ac:dyDescent="0.35">
      <c r="A19" s="100" t="s">
        <v>77</v>
      </c>
      <c r="B19" s="110">
        <v>0</v>
      </c>
      <c r="C19" s="111">
        <v>0</v>
      </c>
      <c r="D19" s="111">
        <v>0</v>
      </c>
      <c r="E19" s="111">
        <v>0</v>
      </c>
      <c r="F19" s="111">
        <v>0</v>
      </c>
      <c r="G19" s="111">
        <v>0</v>
      </c>
      <c r="H19" s="111">
        <v>0</v>
      </c>
      <c r="I19" s="111">
        <v>0</v>
      </c>
      <c r="J19" s="111">
        <v>0</v>
      </c>
      <c r="K19" s="111">
        <v>0</v>
      </c>
      <c r="L19" s="111">
        <v>0</v>
      </c>
      <c r="M19" s="111">
        <v>0</v>
      </c>
      <c r="N19" s="111">
        <v>0</v>
      </c>
      <c r="O19" s="111">
        <v>0</v>
      </c>
      <c r="P19" s="111">
        <v>0</v>
      </c>
      <c r="Q19" s="110">
        <v>0</v>
      </c>
      <c r="R19" s="111">
        <v>0</v>
      </c>
      <c r="S19" s="111">
        <v>6.0395999999999997E-43</v>
      </c>
      <c r="T19" s="108">
        <v>7.6727999999999998E-28</v>
      </c>
      <c r="U19" s="109">
        <v>1.6731E-19</v>
      </c>
      <c r="V19" s="109">
        <v>1.2073E-11</v>
      </c>
      <c r="W19" s="108">
        <v>5.2246000000000003E-7</v>
      </c>
      <c r="X19" s="109">
        <v>9.0429999999999996E-2</v>
      </c>
      <c r="Y19" s="109">
        <v>0.21944</v>
      </c>
      <c r="Z19" s="108">
        <v>0.22755</v>
      </c>
      <c r="AA19" s="109">
        <v>0.23341999999999999</v>
      </c>
      <c r="AB19" s="109">
        <v>0.23784</v>
      </c>
      <c r="AC19" s="108">
        <v>0.23341999999999999</v>
      </c>
      <c r="AD19" s="109">
        <v>0.23784</v>
      </c>
      <c r="AE19" s="109">
        <v>0.24123</v>
      </c>
    </row>
    <row r="20" spans="1:31" x14ac:dyDescent="0.35">
      <c r="A20" s="105" t="s">
        <v>64</v>
      </c>
      <c r="B20" s="112">
        <v>5.5133999999999996E-9</v>
      </c>
      <c r="C20" s="113">
        <v>8.4905999999999996E-9</v>
      </c>
      <c r="D20" s="113">
        <v>9.7782999999999996E-9</v>
      </c>
      <c r="E20" s="112">
        <v>7.0710999999999997E-9</v>
      </c>
      <c r="F20" s="113">
        <v>8.9935000000000004E-9</v>
      </c>
      <c r="G20" s="113">
        <v>6.4752000000000001E-9</v>
      </c>
      <c r="H20" s="112">
        <v>5.5467000000000003E-9</v>
      </c>
      <c r="I20" s="113">
        <v>9.8114999999999999E-9</v>
      </c>
      <c r="J20" s="113">
        <v>5.3741000000000003E-9</v>
      </c>
      <c r="K20" s="112">
        <v>8.1646000000000005E-9</v>
      </c>
      <c r="L20" s="113">
        <v>6.3069999999999998E-9</v>
      </c>
      <c r="M20" s="113">
        <v>8.2815999999999992E-9</v>
      </c>
      <c r="N20" s="112">
        <v>9.2077000000000008E-9</v>
      </c>
      <c r="O20" s="113">
        <v>9.4282999999999998E-9</v>
      </c>
      <c r="P20" s="113">
        <v>9.7085999999999993E-9</v>
      </c>
      <c r="Q20" s="112">
        <v>5.0004000000000002E-9</v>
      </c>
      <c r="R20" s="113">
        <v>6.9062999999999996E-9</v>
      </c>
      <c r="S20" s="113">
        <v>9.2077999999999996E-9</v>
      </c>
      <c r="T20" s="112">
        <v>6.8223000000000003E-9</v>
      </c>
      <c r="U20" s="113">
        <v>7.7740000000000007E-9</v>
      </c>
      <c r="V20" s="113">
        <v>7.7906E-9</v>
      </c>
      <c r="W20" s="112">
        <v>9.6404999999999995E-9</v>
      </c>
      <c r="X20" s="113">
        <v>9.9170999999999992E-9</v>
      </c>
      <c r="Y20" s="113">
        <v>2.0182E-6</v>
      </c>
      <c r="Z20" s="112">
        <v>1.8408E-6</v>
      </c>
      <c r="AA20" s="113">
        <v>1.6155E-6</v>
      </c>
      <c r="AB20" s="113">
        <v>1.3687999999999999E-6</v>
      </c>
      <c r="AC20" s="112">
        <v>1.6155E-6</v>
      </c>
      <c r="AD20" s="113">
        <v>1.3687999999999999E-6</v>
      </c>
      <c r="AE20" s="113">
        <v>1.1179999999999999E-6</v>
      </c>
    </row>
    <row r="21" spans="1:31" x14ac:dyDescent="0.35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</row>
    <row r="22" spans="1:31" x14ac:dyDescent="0.35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</row>
  </sheetData>
  <conditionalFormatting sqref="B1:AE20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EVALUATION</vt:lpstr>
      <vt:lpstr>data</vt:lpstr>
      <vt:lpstr>S</vt:lpstr>
      <vt:lpstr>F</vt:lpstr>
      <vt:lpstr>A</vt:lpstr>
      <vt:lpstr>A2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2021-03-07T15:51:17Z</dcterms:modified>
</cp:coreProperties>
</file>