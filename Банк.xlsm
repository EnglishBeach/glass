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slicers/slicer2.xml" ContentType="application/vnd.ms-excel.slicer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slicers/slicer3.xml" ContentType="application/vnd.ms-excel.slicer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slicers/slicer4.xml" ContentType="application/vnd.ms-excel.slicer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2.xml" ContentType="application/vnd.ms-excel.controlproperties+xml"/>
  <Override PartName="/xl/tables/table7.xml" ContentType="application/vnd.openxmlformats-officedocument.spreadsheetml.table+xml"/>
  <Override PartName="/xl/slicers/slicer5.xml" ContentType="application/vnd.ms-excel.slicer+xml"/>
  <Override PartName="/xl/comments3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trlProps/ctrlProp3.xml" ContentType="application/vnd.ms-excel.controlproperties+xml"/>
  <Override PartName="/xl/tables/table10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9691B8FD-8943-4A3E-94D1-EDA81D1933FC}" xr6:coauthVersionLast="46" xr6:coauthVersionMax="46" xr10:uidLastSave="{00000000-0000-0000-0000-000000000000}"/>
  <bookViews>
    <workbookView xWindow="-120" yWindow="-120" windowWidth="29040" windowHeight="15990" tabRatio="827" activeTab="2" xr2:uid="{00000000-000D-0000-FFFF-FFFF00000000}"/>
  </bookViews>
  <sheets>
    <sheet name="TERRA" sheetId="1" r:id="rId1"/>
    <sheet name="Из Autotech " sheetId="26" r:id="rId2"/>
    <sheet name="MILKE" sheetId="25" r:id="rId3"/>
    <sheet name="CTC" sheetId="27" r:id="rId4"/>
    <sheet name="CTC2" sheetId="12" r:id="rId5"/>
    <sheet name="Сравние CTC" sheetId="24" r:id="rId6"/>
    <sheet name="Банк Других" sheetId="4" r:id="rId7"/>
    <sheet name="1" sheetId="23" r:id="rId8"/>
  </sheets>
  <externalReferences>
    <externalReference r:id="rId9"/>
  </externalReferences>
  <definedNames>
    <definedName name="_xlnm._FilterDatabase" localSheetId="7" hidden="1">'1'!$C$1:$P$60</definedName>
    <definedName name="_xlnm._FilterDatabase" localSheetId="3" hidden="1">CTC!$C$1:$P$60</definedName>
    <definedName name="_xlnm._FilterDatabase" localSheetId="4" hidden="1">'CTC2'!$C$1:$P$64</definedName>
    <definedName name="_xlnm._FilterDatabase" localSheetId="2" hidden="1">MILKE!$A$17:$AD$17</definedName>
    <definedName name="_xlnm._FilterDatabase" localSheetId="0" hidden="1">TERRA!$A$28:$C$28</definedName>
    <definedName name="_xlnm._FilterDatabase" localSheetId="6" hidden="1">'Банк Других'!$A$1:$C$26</definedName>
    <definedName name="_xlnm._FilterDatabase" localSheetId="1" hidden="1">'Из Autotech '!$A$30:$AB$51</definedName>
    <definedName name="Z_5CD7248E_C04A_445B_8512_C9303DEF235B_.wvu.Cols" localSheetId="2" hidden="1">MILKE!$N:$N</definedName>
    <definedName name="Z_5CD7248E_C04A_445B_8512_C9303DEF235B_.wvu.Cols" localSheetId="0" hidden="1">TERRA!$L:$R</definedName>
    <definedName name="Z_5CD7248E_C04A_445B_8512_C9303DEF235B_.wvu.Cols" localSheetId="6" hidden="1">'Банк Других'!$D:$J</definedName>
    <definedName name="Z_5CD7248E_C04A_445B_8512_C9303DEF235B_.wvu.FilterData" localSheetId="6" hidden="1">'Банк Других'!$A$1:$C$23</definedName>
    <definedName name="Z_5CD7248E_C04A_445B_8512_C9303DEF235B_.wvu.Rows" localSheetId="6" hidden="1">'Банк Других'!#REF!</definedName>
    <definedName name="Срез_8_31">#N/A</definedName>
    <definedName name="Срез_Вещество">#N/A</definedName>
    <definedName name="Срез_Названиe">#N/A</definedName>
    <definedName name="Срез_Названиe1">#N/A</definedName>
    <definedName name="Срез_название">#N/A</definedName>
    <definedName name="Срез_Ф__________if__?_____not__g">#N/A</definedName>
    <definedName name="Срез_Ф_______Фаза">#N/A</definedName>
    <definedName name="Срез_Ф_____Фаза">#N/A</definedName>
  </definedNames>
  <calcPr calcId="181029"/>
  <customWorkbookViews>
    <customWorkbookView name="IlIa - Личное представление" guid="{5CD7248E-C04A-445B-8512-C9303DEF235B}" mergeInterval="0" personalView="1" maximized="1" xWindow="-8" yWindow="-8" windowWidth="1936" windowHeight="1066" activeSheetId="3"/>
  </customWorkbookView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" i="27" l="1"/>
  <c r="K1" i="26"/>
  <c r="L1" i="26"/>
  <c r="M3" i="26"/>
  <c r="N3" i="26"/>
  <c r="O3" i="26"/>
  <c r="Q3" i="26"/>
  <c r="S3" i="26"/>
  <c r="U3" i="26"/>
  <c r="T3" i="26" s="1"/>
  <c r="R3" i="26" s="1"/>
  <c r="Q4" i="26" s="1"/>
  <c r="T4" i="26" s="1"/>
  <c r="R4" i="26" s="1"/>
  <c r="Q5" i="26" s="1"/>
  <c r="T5" i="26" s="1"/>
  <c r="R5" i="26" s="1"/>
  <c r="Q6" i="26" s="1"/>
  <c r="T6" i="26" s="1"/>
  <c r="R6" i="26" s="1"/>
  <c r="Q7" i="26" s="1"/>
  <c r="T7" i="26" s="1"/>
  <c r="R7" i="26" s="1"/>
  <c r="V3" i="26"/>
  <c r="X3" i="26"/>
  <c r="Y3" i="26"/>
  <c r="Z3" i="26"/>
  <c r="M4" i="26"/>
  <c r="N4" i="26"/>
  <c r="S4" i="26"/>
  <c r="U4" i="26"/>
  <c r="V4" i="26"/>
  <c r="X4" i="26"/>
  <c r="Y4" i="26"/>
  <c r="Z4" i="26"/>
  <c r="M5" i="26"/>
  <c r="N5" i="26"/>
  <c r="S5" i="26"/>
  <c r="U5" i="26"/>
  <c r="V5" i="26"/>
  <c r="X5" i="26"/>
  <c r="Y5" i="26"/>
  <c r="Z5" i="26"/>
  <c r="M6" i="26"/>
  <c r="N6" i="26"/>
  <c r="S6" i="26"/>
  <c r="U6" i="26"/>
  <c r="V6" i="26"/>
  <c r="X6" i="26"/>
  <c r="Y6" i="26"/>
  <c r="Z6" i="26"/>
  <c r="M7" i="26"/>
  <c r="N7" i="26"/>
  <c r="S7" i="26"/>
  <c r="U7" i="26"/>
  <c r="V7" i="26"/>
  <c r="X7" i="26"/>
  <c r="Y7" i="26"/>
  <c r="Z7" i="26"/>
  <c r="M39" i="26"/>
  <c r="N39" i="26"/>
  <c r="O39" i="26"/>
  <c r="Q39" i="26"/>
  <c r="S39" i="26"/>
  <c r="U39" i="26"/>
  <c r="V39" i="26"/>
  <c r="X39" i="26"/>
  <c r="Y39" i="26"/>
  <c r="Z39" i="26"/>
  <c r="M40" i="26"/>
  <c r="N40" i="26"/>
  <c r="S40" i="26"/>
  <c r="U40" i="26"/>
  <c r="V40" i="26"/>
  <c r="X40" i="26"/>
  <c r="Y40" i="26"/>
  <c r="Z40" i="26"/>
  <c r="M34" i="26"/>
  <c r="N34" i="26"/>
  <c r="O34" i="26"/>
  <c r="Q34" i="26"/>
  <c r="S34" i="26"/>
  <c r="U34" i="26"/>
  <c r="V34" i="26"/>
  <c r="X34" i="26"/>
  <c r="Y34" i="26"/>
  <c r="Z34" i="26"/>
  <c r="M35" i="26"/>
  <c r="N35" i="26"/>
  <c r="S35" i="26"/>
  <c r="U35" i="26"/>
  <c r="V35" i="26"/>
  <c r="X35" i="26"/>
  <c r="Y35" i="26"/>
  <c r="Z35" i="26"/>
  <c r="M36" i="26"/>
  <c r="N36" i="26"/>
  <c r="S36" i="26"/>
  <c r="U36" i="26"/>
  <c r="V36" i="26"/>
  <c r="X36" i="26"/>
  <c r="Y36" i="26"/>
  <c r="Z36" i="26"/>
  <c r="M37" i="26"/>
  <c r="N37" i="26"/>
  <c r="S37" i="26"/>
  <c r="U37" i="26"/>
  <c r="V37" i="26"/>
  <c r="X37" i="26"/>
  <c r="Y37" i="26"/>
  <c r="Z37" i="26"/>
  <c r="M38" i="26"/>
  <c r="N38" i="26"/>
  <c r="S38" i="26"/>
  <c r="U38" i="26"/>
  <c r="V38" i="26"/>
  <c r="X38" i="26"/>
  <c r="Y38" i="26"/>
  <c r="Z38" i="26"/>
  <c r="L3" i="25"/>
  <c r="M3" i="25"/>
  <c r="U4" i="25"/>
  <c r="T4" i="25"/>
  <c r="N3" i="25"/>
  <c r="O3" i="25"/>
  <c r="L4" i="25"/>
  <c r="M4" i="25"/>
  <c r="N4" i="25"/>
  <c r="O4" i="25"/>
  <c r="P3" i="25"/>
  <c r="S3" i="25"/>
  <c r="X3" i="25"/>
  <c r="Y3" i="25"/>
  <c r="AA3" i="25"/>
  <c r="AB3" i="25"/>
  <c r="AC3" i="25"/>
  <c r="P4" i="25"/>
  <c r="S4" i="25"/>
  <c r="X4" i="25"/>
  <c r="Y4" i="25"/>
  <c r="AA4" i="25"/>
  <c r="AB4" i="25"/>
  <c r="AC4" i="25"/>
  <c r="AC2" i="25"/>
  <c r="AB2" i="25"/>
  <c r="AA2" i="25"/>
  <c r="Y2" i="25"/>
  <c r="X2" i="25"/>
  <c r="S2" i="12"/>
  <c r="S2" i="25"/>
  <c r="P2" i="25"/>
  <c r="V2" i="25" s="1"/>
  <c r="O2" i="25"/>
  <c r="N2" i="25"/>
  <c r="T39" i="26" l="1"/>
  <c r="R39" i="26" s="1"/>
  <c r="Q40" i="26" s="1"/>
  <c r="T40" i="26" s="1"/>
  <c r="R40" i="26" s="1"/>
  <c r="T34" i="26"/>
  <c r="R34" i="26" s="1"/>
  <c r="Q35" i="26" s="1"/>
  <c r="T35" i="26" s="1"/>
  <c r="R35" i="26" s="1"/>
  <c r="Q36" i="26" s="1"/>
  <c r="T36" i="26" s="1"/>
  <c r="R36" i="26" s="1"/>
  <c r="Q37" i="26" s="1"/>
  <c r="T37" i="26" s="1"/>
  <c r="R37" i="26" s="1"/>
  <c r="Q38" i="26" s="1"/>
  <c r="T38" i="26" s="1"/>
  <c r="R38" i="26" s="1"/>
  <c r="W39" i="26"/>
  <c r="P39" i="26" s="1"/>
  <c r="O40" i="26" s="1"/>
  <c r="W40" i="26" s="1"/>
  <c r="P40" i="26" s="1"/>
  <c r="W34" i="26"/>
  <c r="P34" i="26" s="1"/>
  <c r="O35" i="26" s="1"/>
  <c r="W35" i="26" s="1"/>
  <c r="P35" i="26" s="1"/>
  <c r="O36" i="26" s="1"/>
  <c r="W36" i="26" s="1"/>
  <c r="P36" i="26" s="1"/>
  <c r="O37" i="26" s="1"/>
  <c r="W37" i="26" s="1"/>
  <c r="P37" i="26" s="1"/>
  <c r="O38" i="26" s="1"/>
  <c r="W38" i="26" s="1"/>
  <c r="P38" i="26" s="1"/>
  <c r="W3" i="26"/>
  <c r="P3" i="26" s="1"/>
  <c r="O4" i="26" s="1"/>
  <c r="W4" i="26" s="1"/>
  <c r="P4" i="26" s="1"/>
  <c r="O5" i="26" s="1"/>
  <c r="W5" i="26" s="1"/>
  <c r="P5" i="26" s="1"/>
  <c r="O6" i="26" s="1"/>
  <c r="W6" i="26" s="1"/>
  <c r="P6" i="26" s="1"/>
  <c r="O7" i="26" s="1"/>
  <c r="W7" i="26" s="1"/>
  <c r="P7" i="26" s="1"/>
  <c r="U3" i="25"/>
  <c r="U2" i="25"/>
  <c r="W3" i="25"/>
  <c r="T3" i="25" s="1"/>
  <c r="Z4" i="25"/>
  <c r="Q4" i="25" s="1"/>
  <c r="R4" i="25" s="1"/>
  <c r="V4" i="25"/>
  <c r="V3" i="25"/>
  <c r="W4" i="25"/>
  <c r="Z3" i="25"/>
  <c r="Q3" i="25" s="1"/>
  <c r="R3" i="25" s="1"/>
  <c r="Z2" i="25"/>
  <c r="Q2" i="25" s="1"/>
  <c r="R2" i="25" s="1"/>
  <c r="L2" i="25" s="1"/>
  <c r="M2" i="25" s="1"/>
  <c r="W2" i="25"/>
  <c r="T2" i="25" s="1"/>
  <c r="M3" i="24" l="1"/>
  <c r="M4" i="24"/>
  <c r="M5" i="24"/>
  <c r="AE3" i="24"/>
  <c r="AF3" i="24"/>
  <c r="AG3" i="24"/>
  <c r="AH3" i="24"/>
  <c r="AI3" i="24"/>
  <c r="AJ3" i="24"/>
  <c r="AK3" i="24"/>
  <c r="AL3" i="24"/>
  <c r="AM3" i="24"/>
  <c r="AN3" i="24"/>
  <c r="AO3" i="24"/>
  <c r="AE4" i="24"/>
  <c r="AF4" i="24"/>
  <c r="AG4" i="24"/>
  <c r="AH4" i="24"/>
  <c r="AI4" i="24"/>
  <c r="AJ4" i="24"/>
  <c r="AK4" i="24"/>
  <c r="AL4" i="24"/>
  <c r="AM4" i="24"/>
  <c r="AN4" i="24"/>
  <c r="AO4" i="24"/>
  <c r="AE5" i="24"/>
  <c r="AF5" i="24"/>
  <c r="AG5" i="24"/>
  <c r="AH5" i="24"/>
  <c r="AI5" i="24"/>
  <c r="AJ5" i="24"/>
  <c r="AK5" i="24"/>
  <c r="AL5" i="24"/>
  <c r="AM5" i="24"/>
  <c r="AN5" i="24"/>
  <c r="AO5" i="24"/>
  <c r="M6" i="24"/>
  <c r="M7" i="24"/>
  <c r="AE6" i="24"/>
  <c r="AE8" i="24"/>
  <c r="AF6" i="24"/>
  <c r="AG6" i="24"/>
  <c r="AH6" i="24"/>
  <c r="AI6" i="24"/>
  <c r="AJ6" i="24"/>
  <c r="AK6" i="24"/>
  <c r="AL6" i="24"/>
  <c r="AM6" i="24"/>
  <c r="AN6" i="24"/>
  <c r="AO6" i="24"/>
  <c r="AF8" i="24"/>
  <c r="AG8" i="24"/>
  <c r="AH8" i="24"/>
  <c r="AI8" i="24"/>
  <c r="AJ8" i="24"/>
  <c r="AK8" i="24"/>
  <c r="AL8" i="24"/>
  <c r="AM8" i="24"/>
  <c r="AN8" i="24"/>
  <c r="AO8" i="24"/>
  <c r="AM10" i="24"/>
  <c r="AE10" i="24"/>
  <c r="AF10" i="24"/>
  <c r="AG10" i="24"/>
  <c r="AH10" i="24"/>
  <c r="AI10" i="24"/>
  <c r="AJ10" i="24"/>
  <c r="AK10" i="24"/>
  <c r="AL10" i="24"/>
  <c r="AN10" i="24"/>
  <c r="AO10" i="24"/>
  <c r="M8" i="24"/>
  <c r="M41" i="24"/>
  <c r="M42" i="24"/>
  <c r="M43" i="24"/>
  <c r="M44" i="24"/>
  <c r="M45" i="24"/>
  <c r="M46" i="24"/>
  <c r="M47" i="24"/>
  <c r="M48" i="24"/>
  <c r="M49" i="24"/>
  <c r="M50" i="24"/>
  <c r="M51" i="24"/>
  <c r="M52" i="24"/>
  <c r="M53" i="24"/>
  <c r="M54" i="24"/>
  <c r="M55" i="24"/>
  <c r="M56" i="24"/>
  <c r="M57" i="24"/>
  <c r="M58" i="24"/>
  <c r="M59" i="24"/>
  <c r="M60" i="24"/>
  <c r="M61" i="24"/>
  <c r="M40" i="24"/>
  <c r="M9" i="24"/>
  <c r="M10" i="24"/>
  <c r="M11" i="24"/>
  <c r="M12" i="24"/>
  <c r="M13" i="24"/>
  <c r="M14" i="24"/>
  <c r="M15" i="24"/>
  <c r="M16" i="24"/>
  <c r="M17" i="24"/>
  <c r="M18" i="24"/>
  <c r="M19" i="24"/>
  <c r="M20" i="24"/>
  <c r="M21" i="24"/>
  <c r="M22" i="24"/>
  <c r="M23" i="24"/>
  <c r="M24" i="24"/>
  <c r="M25" i="24"/>
  <c r="M26" i="24"/>
  <c r="M27" i="24"/>
  <c r="M28" i="24"/>
  <c r="M29" i="24"/>
  <c r="M30" i="24"/>
  <c r="M31" i="24"/>
  <c r="M32" i="24"/>
  <c r="M33" i="24"/>
  <c r="M34" i="24"/>
  <c r="M35" i="24"/>
  <c r="M36" i="24"/>
  <c r="M37" i="24"/>
  <c r="M38" i="24"/>
  <c r="M39" i="24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E12" i="24"/>
  <c r="AE13" i="24"/>
  <c r="AE14" i="24"/>
  <c r="AE15" i="24"/>
  <c r="AE16" i="24"/>
  <c r="AE17" i="24"/>
  <c r="AE18" i="24"/>
  <c r="AE19" i="24"/>
  <c r="AE20" i="24"/>
  <c r="AE21" i="24"/>
  <c r="AE22" i="24"/>
  <c r="AE23" i="24"/>
  <c r="AE24" i="24"/>
  <c r="AE25" i="24"/>
  <c r="AE26" i="24"/>
  <c r="AE27" i="24"/>
  <c r="AE28" i="24"/>
  <c r="AE29" i="24"/>
  <c r="AE30" i="24"/>
  <c r="AE31" i="24"/>
  <c r="AE32" i="24"/>
  <c r="AE33" i="24"/>
  <c r="AE34" i="24"/>
  <c r="AE35" i="24"/>
  <c r="AE36" i="24"/>
  <c r="AE37" i="24"/>
  <c r="AE38" i="24"/>
  <c r="AE39" i="24"/>
  <c r="AE40" i="24"/>
  <c r="AE41" i="24"/>
  <c r="AE42" i="24"/>
  <c r="AE44" i="24"/>
  <c r="AE45" i="24"/>
  <c r="AE46" i="24"/>
  <c r="AE47" i="24"/>
  <c r="AE48" i="24"/>
  <c r="AE49" i="24"/>
  <c r="AE50" i="24"/>
  <c r="AE51" i="24"/>
  <c r="AE52" i="24"/>
  <c r="AE53" i="24"/>
  <c r="AE54" i="24"/>
  <c r="AE55" i="24"/>
  <c r="AE56" i="24"/>
  <c r="AE57" i="24"/>
  <c r="AE58" i="24"/>
  <c r="AE59" i="24"/>
  <c r="AE60" i="24"/>
  <c r="AE61" i="24"/>
  <c r="AE62" i="24"/>
  <c r="AE63" i="24"/>
  <c r="AE64" i="24"/>
  <c r="AE65" i="24"/>
  <c r="AF12" i="24"/>
  <c r="AG12" i="24"/>
  <c r="AH12" i="24"/>
  <c r="AI12" i="24"/>
  <c r="AJ12" i="24"/>
  <c r="AK12" i="24"/>
  <c r="AL12" i="24"/>
  <c r="AM12" i="24"/>
  <c r="AN12" i="24"/>
  <c r="AO12" i="24"/>
  <c r="AF13" i="24"/>
  <c r="AG13" i="24"/>
  <c r="AH13" i="24"/>
  <c r="AI13" i="24"/>
  <c r="AJ13" i="24"/>
  <c r="AK13" i="24"/>
  <c r="AL13" i="24"/>
  <c r="AM13" i="24"/>
  <c r="AN13" i="24"/>
  <c r="AO13" i="24"/>
  <c r="AF14" i="24"/>
  <c r="AG14" i="24"/>
  <c r="AH14" i="24"/>
  <c r="AI14" i="24"/>
  <c r="AJ14" i="24"/>
  <c r="AK14" i="24"/>
  <c r="AL14" i="24"/>
  <c r="AM14" i="24"/>
  <c r="AN14" i="24"/>
  <c r="AO14" i="24"/>
  <c r="AF15" i="24"/>
  <c r="AG15" i="24"/>
  <c r="AH15" i="24"/>
  <c r="AI15" i="24"/>
  <c r="AJ15" i="24"/>
  <c r="AK15" i="24"/>
  <c r="AL15" i="24"/>
  <c r="AM15" i="24"/>
  <c r="AN15" i="24"/>
  <c r="AO15" i="24"/>
  <c r="AF16" i="24"/>
  <c r="AG16" i="24"/>
  <c r="AH16" i="24"/>
  <c r="AI16" i="24"/>
  <c r="AJ16" i="24"/>
  <c r="AK16" i="24"/>
  <c r="AL16" i="24"/>
  <c r="AM16" i="24"/>
  <c r="AN16" i="24"/>
  <c r="AO16" i="24"/>
  <c r="AF17" i="24"/>
  <c r="AG17" i="24"/>
  <c r="AH17" i="24"/>
  <c r="AI17" i="24"/>
  <c r="AJ17" i="24"/>
  <c r="AK17" i="24"/>
  <c r="AL17" i="24"/>
  <c r="AM17" i="24"/>
  <c r="AN17" i="24"/>
  <c r="AO17" i="24"/>
  <c r="AF18" i="24"/>
  <c r="AG18" i="24"/>
  <c r="AH18" i="24"/>
  <c r="AI18" i="24"/>
  <c r="AJ18" i="24"/>
  <c r="AK18" i="24"/>
  <c r="AL18" i="24"/>
  <c r="AM18" i="24"/>
  <c r="AN18" i="24"/>
  <c r="AO18" i="24"/>
  <c r="AF19" i="24"/>
  <c r="AG19" i="24"/>
  <c r="AH19" i="24"/>
  <c r="AI19" i="24"/>
  <c r="AJ19" i="24"/>
  <c r="AK19" i="24"/>
  <c r="AL19" i="24"/>
  <c r="AM19" i="24"/>
  <c r="AN19" i="24"/>
  <c r="AO19" i="24"/>
  <c r="AF20" i="24"/>
  <c r="AG20" i="24"/>
  <c r="AH20" i="24"/>
  <c r="AI20" i="24"/>
  <c r="AJ20" i="24"/>
  <c r="AK20" i="24"/>
  <c r="AL20" i="24"/>
  <c r="AM20" i="24"/>
  <c r="AN20" i="24"/>
  <c r="AO20" i="24"/>
  <c r="AF21" i="24"/>
  <c r="AG21" i="24"/>
  <c r="AH21" i="24"/>
  <c r="AI21" i="24"/>
  <c r="AJ21" i="24"/>
  <c r="AK21" i="24"/>
  <c r="AL21" i="24"/>
  <c r="AM21" i="24"/>
  <c r="AN21" i="24"/>
  <c r="AO21" i="24"/>
  <c r="AC21" i="24"/>
  <c r="AC22" i="24"/>
  <c r="AC23" i="24"/>
  <c r="AC24" i="24"/>
  <c r="AC25" i="24"/>
  <c r="AC26" i="24"/>
  <c r="AC27" i="24"/>
  <c r="AC28" i="24"/>
  <c r="AC29" i="24"/>
  <c r="AC30" i="24"/>
  <c r="AC31" i="24"/>
  <c r="AC32" i="24"/>
  <c r="AC33" i="24"/>
  <c r="AC34" i="24"/>
  <c r="AC35" i="24"/>
  <c r="AC36" i="24"/>
  <c r="AC37" i="24"/>
  <c r="AC38" i="24"/>
  <c r="AC39" i="24"/>
  <c r="AC40" i="24"/>
  <c r="AC41" i="24"/>
  <c r="AC42" i="24"/>
  <c r="AC44" i="24"/>
  <c r="AC45" i="24"/>
  <c r="AC46" i="24"/>
  <c r="AC47" i="24"/>
  <c r="AC48" i="24"/>
  <c r="AC49" i="24"/>
  <c r="AC50" i="24"/>
  <c r="AC51" i="24"/>
  <c r="AC52" i="24"/>
  <c r="AC53" i="24"/>
  <c r="AC54" i="24"/>
  <c r="AC55" i="24"/>
  <c r="AC56" i="24"/>
  <c r="AC57" i="24"/>
  <c r="AC58" i="24"/>
  <c r="AC59" i="24"/>
  <c r="AC60" i="24"/>
  <c r="AC61" i="24"/>
  <c r="AC62" i="24"/>
  <c r="AC63" i="24"/>
  <c r="AC64" i="24"/>
  <c r="AC65" i="24"/>
  <c r="AF22" i="24"/>
  <c r="AG22" i="24"/>
  <c r="AH22" i="24"/>
  <c r="AI22" i="24"/>
  <c r="AJ22" i="24"/>
  <c r="AK22" i="24"/>
  <c r="AL22" i="24"/>
  <c r="AM22" i="24"/>
  <c r="AN22" i="24"/>
  <c r="AO22" i="24"/>
  <c r="AF23" i="24"/>
  <c r="AG23" i="24"/>
  <c r="AH23" i="24"/>
  <c r="AI23" i="24"/>
  <c r="AJ23" i="24"/>
  <c r="AK23" i="24"/>
  <c r="AL23" i="24"/>
  <c r="AM23" i="24"/>
  <c r="AN23" i="24"/>
  <c r="AO23" i="24"/>
  <c r="AF24" i="24"/>
  <c r="AG24" i="24"/>
  <c r="AH24" i="24"/>
  <c r="AI24" i="24"/>
  <c r="AJ24" i="24"/>
  <c r="AK24" i="24"/>
  <c r="AL24" i="24"/>
  <c r="AM24" i="24"/>
  <c r="AN24" i="24"/>
  <c r="AO24" i="24"/>
  <c r="AF25" i="24"/>
  <c r="AG25" i="24"/>
  <c r="AH25" i="24"/>
  <c r="AI25" i="24"/>
  <c r="AJ25" i="24"/>
  <c r="AK25" i="24"/>
  <c r="AL25" i="24"/>
  <c r="AM25" i="24"/>
  <c r="AN25" i="24"/>
  <c r="AO25" i="24"/>
  <c r="AF26" i="24"/>
  <c r="AG26" i="24"/>
  <c r="AH26" i="24"/>
  <c r="AI26" i="24"/>
  <c r="AJ26" i="24"/>
  <c r="AK26" i="24"/>
  <c r="AL26" i="24"/>
  <c r="AM26" i="24"/>
  <c r="AN26" i="24"/>
  <c r="AO26" i="24"/>
  <c r="AF27" i="24"/>
  <c r="AG27" i="24"/>
  <c r="AH27" i="24"/>
  <c r="AI27" i="24"/>
  <c r="AJ27" i="24"/>
  <c r="AK27" i="24"/>
  <c r="AL27" i="24"/>
  <c r="AM27" i="24"/>
  <c r="AN27" i="24"/>
  <c r="AO27" i="24"/>
  <c r="AF28" i="24"/>
  <c r="AG28" i="24"/>
  <c r="AH28" i="24"/>
  <c r="AI28" i="24"/>
  <c r="AJ28" i="24"/>
  <c r="AK28" i="24"/>
  <c r="AL28" i="24"/>
  <c r="AM28" i="24"/>
  <c r="AN28" i="24"/>
  <c r="AO28" i="24"/>
  <c r="AF29" i="24"/>
  <c r="AG29" i="24"/>
  <c r="AH29" i="24"/>
  <c r="AI29" i="24"/>
  <c r="AJ29" i="24"/>
  <c r="AK29" i="24"/>
  <c r="AL29" i="24"/>
  <c r="AM29" i="24"/>
  <c r="AN29" i="24"/>
  <c r="AO29" i="24"/>
  <c r="AF30" i="24"/>
  <c r="AG30" i="24"/>
  <c r="AH30" i="24"/>
  <c r="AI30" i="24"/>
  <c r="AJ30" i="24"/>
  <c r="AK30" i="24"/>
  <c r="AL30" i="24"/>
  <c r="AM30" i="24"/>
  <c r="AN30" i="24"/>
  <c r="AO30" i="24"/>
  <c r="AF31" i="24"/>
  <c r="AG31" i="24"/>
  <c r="AH31" i="24"/>
  <c r="AI31" i="24"/>
  <c r="AJ31" i="24"/>
  <c r="AK31" i="24"/>
  <c r="AL31" i="24"/>
  <c r="AM31" i="24"/>
  <c r="AN31" i="24"/>
  <c r="AO31" i="24"/>
  <c r="AF32" i="24"/>
  <c r="AG32" i="24"/>
  <c r="AH32" i="24"/>
  <c r="AI32" i="24"/>
  <c r="AJ32" i="24"/>
  <c r="AK32" i="24"/>
  <c r="AL32" i="24"/>
  <c r="AM32" i="24"/>
  <c r="AN32" i="24"/>
  <c r="AO32" i="24"/>
  <c r="AF33" i="24"/>
  <c r="AG33" i="24"/>
  <c r="AH33" i="24"/>
  <c r="AI33" i="24"/>
  <c r="AJ33" i="24"/>
  <c r="AK33" i="24"/>
  <c r="AL33" i="24"/>
  <c r="AM33" i="24"/>
  <c r="AN33" i="24"/>
  <c r="AO33" i="24"/>
  <c r="AF34" i="24"/>
  <c r="AG34" i="24"/>
  <c r="AH34" i="24"/>
  <c r="AI34" i="24"/>
  <c r="AJ34" i="24"/>
  <c r="AK34" i="24"/>
  <c r="AL34" i="24"/>
  <c r="AM34" i="24"/>
  <c r="AN34" i="24"/>
  <c r="AO34" i="24"/>
  <c r="AF35" i="24"/>
  <c r="AG35" i="24"/>
  <c r="AH35" i="24"/>
  <c r="AI35" i="24"/>
  <c r="AJ35" i="24"/>
  <c r="AK35" i="24"/>
  <c r="AL35" i="24"/>
  <c r="AM35" i="24"/>
  <c r="AN35" i="24"/>
  <c r="AO35" i="24"/>
  <c r="AF36" i="24"/>
  <c r="AG36" i="24"/>
  <c r="AH36" i="24"/>
  <c r="AI36" i="24"/>
  <c r="AJ36" i="24"/>
  <c r="AK36" i="24"/>
  <c r="AL36" i="24"/>
  <c r="AM36" i="24"/>
  <c r="AN36" i="24"/>
  <c r="AO36" i="24"/>
  <c r="AF37" i="24"/>
  <c r="AG37" i="24"/>
  <c r="AH37" i="24"/>
  <c r="AI37" i="24"/>
  <c r="AJ37" i="24"/>
  <c r="AK37" i="24"/>
  <c r="AL37" i="24"/>
  <c r="AM37" i="24"/>
  <c r="AN37" i="24"/>
  <c r="AO37" i="24"/>
  <c r="AF38" i="24"/>
  <c r="AG38" i="24"/>
  <c r="AH38" i="24"/>
  <c r="AI38" i="24"/>
  <c r="AJ38" i="24"/>
  <c r="AK38" i="24"/>
  <c r="AL38" i="24"/>
  <c r="AM38" i="24"/>
  <c r="AN38" i="24"/>
  <c r="AO38" i="24"/>
  <c r="AF39" i="24"/>
  <c r="AG39" i="24"/>
  <c r="AH39" i="24"/>
  <c r="AI39" i="24"/>
  <c r="AJ39" i="24"/>
  <c r="AK39" i="24"/>
  <c r="AL39" i="24"/>
  <c r="AM39" i="24"/>
  <c r="AN39" i="24"/>
  <c r="AO39" i="24"/>
  <c r="AF40" i="24"/>
  <c r="AG40" i="24"/>
  <c r="AH40" i="24"/>
  <c r="AI40" i="24"/>
  <c r="AJ40" i="24"/>
  <c r="AK40" i="24"/>
  <c r="AL40" i="24"/>
  <c r="AM40" i="24"/>
  <c r="AN40" i="24"/>
  <c r="AO40" i="24"/>
  <c r="AF41" i="24"/>
  <c r="AG41" i="24"/>
  <c r="AH41" i="24"/>
  <c r="AI41" i="24"/>
  <c r="AJ41" i="24"/>
  <c r="AK41" i="24"/>
  <c r="AL41" i="24"/>
  <c r="AM41" i="24"/>
  <c r="AN41" i="24"/>
  <c r="AO41" i="24"/>
  <c r="AF42" i="24"/>
  <c r="AG42" i="24"/>
  <c r="AH42" i="24"/>
  <c r="AI42" i="24"/>
  <c r="AJ42" i="24"/>
  <c r="AK42" i="24"/>
  <c r="AL42" i="24"/>
  <c r="AM42" i="24"/>
  <c r="AN42" i="24"/>
  <c r="AO42" i="24"/>
  <c r="AF44" i="24"/>
  <c r="AG44" i="24"/>
  <c r="AH44" i="24"/>
  <c r="AI44" i="24"/>
  <c r="AJ44" i="24"/>
  <c r="AK44" i="24"/>
  <c r="AL44" i="24"/>
  <c r="AM44" i="24"/>
  <c r="AN44" i="24"/>
  <c r="AO44" i="24"/>
  <c r="AF45" i="24"/>
  <c r="AG45" i="24"/>
  <c r="AH45" i="24"/>
  <c r="AI45" i="24"/>
  <c r="AJ45" i="24"/>
  <c r="AK45" i="24"/>
  <c r="AL45" i="24"/>
  <c r="AM45" i="24"/>
  <c r="AN45" i="24"/>
  <c r="AO45" i="24"/>
  <c r="AF46" i="24"/>
  <c r="AG46" i="24"/>
  <c r="AH46" i="24"/>
  <c r="AI46" i="24"/>
  <c r="AJ46" i="24"/>
  <c r="AK46" i="24"/>
  <c r="AL46" i="24"/>
  <c r="AM46" i="24"/>
  <c r="AN46" i="24"/>
  <c r="AO46" i="24"/>
  <c r="AF47" i="24"/>
  <c r="AG47" i="24"/>
  <c r="AH47" i="24"/>
  <c r="AI47" i="24"/>
  <c r="AJ47" i="24"/>
  <c r="AK47" i="24"/>
  <c r="AL47" i="24"/>
  <c r="AM47" i="24"/>
  <c r="AN47" i="24"/>
  <c r="AO47" i="24"/>
  <c r="AF48" i="24"/>
  <c r="AG48" i="24"/>
  <c r="AH48" i="24"/>
  <c r="AI48" i="24"/>
  <c r="AJ48" i="24"/>
  <c r="AK48" i="24"/>
  <c r="AL48" i="24"/>
  <c r="AM48" i="24"/>
  <c r="AN48" i="24"/>
  <c r="AO48" i="24"/>
  <c r="AF49" i="24"/>
  <c r="AG49" i="24"/>
  <c r="AH49" i="24"/>
  <c r="AI49" i="24"/>
  <c r="AJ49" i="24"/>
  <c r="AK49" i="24"/>
  <c r="AL49" i="24"/>
  <c r="AM49" i="24"/>
  <c r="AN49" i="24"/>
  <c r="AO49" i="24"/>
  <c r="AF50" i="24"/>
  <c r="AG50" i="24"/>
  <c r="AH50" i="24"/>
  <c r="AI50" i="24"/>
  <c r="AJ50" i="24"/>
  <c r="AK50" i="24"/>
  <c r="AL50" i="24"/>
  <c r="AM50" i="24"/>
  <c r="AN50" i="24"/>
  <c r="AO50" i="24"/>
  <c r="AF51" i="24"/>
  <c r="AG51" i="24"/>
  <c r="AH51" i="24"/>
  <c r="AI51" i="24"/>
  <c r="AJ51" i="24"/>
  <c r="AK51" i="24"/>
  <c r="AL51" i="24"/>
  <c r="AM51" i="24"/>
  <c r="AN51" i="24"/>
  <c r="AO51" i="24"/>
  <c r="AF52" i="24"/>
  <c r="AG52" i="24"/>
  <c r="AH52" i="24"/>
  <c r="AI52" i="24"/>
  <c r="AJ52" i="24"/>
  <c r="AK52" i="24"/>
  <c r="AL52" i="24"/>
  <c r="AM52" i="24"/>
  <c r="AN52" i="24"/>
  <c r="AO52" i="24"/>
  <c r="AF53" i="24"/>
  <c r="AG53" i="24"/>
  <c r="AH53" i="24"/>
  <c r="AI53" i="24"/>
  <c r="AJ53" i="24"/>
  <c r="AK53" i="24"/>
  <c r="AL53" i="24"/>
  <c r="AM53" i="24"/>
  <c r="AN53" i="24"/>
  <c r="AO53" i="24"/>
  <c r="AF54" i="24"/>
  <c r="AG54" i="24"/>
  <c r="AH54" i="24"/>
  <c r="AI54" i="24"/>
  <c r="AJ54" i="24"/>
  <c r="AK54" i="24"/>
  <c r="AL54" i="24"/>
  <c r="AM54" i="24"/>
  <c r="AN54" i="24"/>
  <c r="AO54" i="24"/>
  <c r="AF55" i="24"/>
  <c r="AG55" i="24"/>
  <c r="AH55" i="24"/>
  <c r="AI55" i="24"/>
  <c r="AJ55" i="24"/>
  <c r="AK55" i="24"/>
  <c r="AL55" i="24"/>
  <c r="AM55" i="24"/>
  <c r="AN55" i="24"/>
  <c r="AO55" i="24"/>
  <c r="AF56" i="24"/>
  <c r="AG56" i="24"/>
  <c r="AH56" i="24"/>
  <c r="AI56" i="24"/>
  <c r="AJ56" i="24"/>
  <c r="AK56" i="24"/>
  <c r="AL56" i="24"/>
  <c r="AM56" i="24"/>
  <c r="AN56" i="24"/>
  <c r="AO56" i="24"/>
  <c r="AF57" i="24"/>
  <c r="AG57" i="24"/>
  <c r="AH57" i="24"/>
  <c r="AI57" i="24"/>
  <c r="AJ57" i="24"/>
  <c r="AK57" i="24"/>
  <c r="AL57" i="24"/>
  <c r="AM57" i="24"/>
  <c r="AN57" i="24"/>
  <c r="AO57" i="24"/>
  <c r="AF58" i="24"/>
  <c r="AG58" i="24"/>
  <c r="AH58" i="24"/>
  <c r="AI58" i="24"/>
  <c r="AJ58" i="24"/>
  <c r="AK58" i="24"/>
  <c r="AL58" i="24"/>
  <c r="AM58" i="24"/>
  <c r="AN58" i="24"/>
  <c r="AO58" i="24"/>
  <c r="AF59" i="24"/>
  <c r="AG59" i="24"/>
  <c r="AH59" i="24"/>
  <c r="AI59" i="24"/>
  <c r="AJ59" i="24"/>
  <c r="AK59" i="24"/>
  <c r="AL59" i="24"/>
  <c r="AM59" i="24"/>
  <c r="AN59" i="24"/>
  <c r="AO59" i="24"/>
  <c r="AF60" i="24"/>
  <c r="AG60" i="24"/>
  <c r="AH60" i="24"/>
  <c r="AI60" i="24"/>
  <c r="AJ60" i="24"/>
  <c r="AK60" i="24"/>
  <c r="AL60" i="24"/>
  <c r="AM60" i="24"/>
  <c r="AN60" i="24"/>
  <c r="AO60" i="24"/>
  <c r="AF61" i="24"/>
  <c r="AG61" i="24"/>
  <c r="AH61" i="24"/>
  <c r="AI61" i="24"/>
  <c r="AJ61" i="24"/>
  <c r="AK61" i="24"/>
  <c r="AL61" i="24"/>
  <c r="AM61" i="24"/>
  <c r="AN61" i="24"/>
  <c r="AO61" i="24"/>
  <c r="AF62" i="24"/>
  <c r="AG62" i="24"/>
  <c r="AH62" i="24"/>
  <c r="AI62" i="24"/>
  <c r="AJ62" i="24"/>
  <c r="AK62" i="24"/>
  <c r="AL62" i="24"/>
  <c r="AM62" i="24"/>
  <c r="AN62" i="24"/>
  <c r="AO62" i="24"/>
  <c r="AF63" i="24"/>
  <c r="AG63" i="24"/>
  <c r="AH63" i="24"/>
  <c r="AI63" i="24"/>
  <c r="AJ63" i="24"/>
  <c r="AK63" i="24"/>
  <c r="AL63" i="24"/>
  <c r="AM63" i="24"/>
  <c r="AN63" i="24"/>
  <c r="AO63" i="24"/>
  <c r="AF64" i="24"/>
  <c r="AG64" i="24"/>
  <c r="AH64" i="24"/>
  <c r="AI64" i="24"/>
  <c r="AJ64" i="24"/>
  <c r="AK64" i="24"/>
  <c r="AL64" i="24"/>
  <c r="AM64" i="24"/>
  <c r="AN64" i="24"/>
  <c r="AO64" i="24"/>
  <c r="AO65" i="24"/>
  <c r="AD32" i="24"/>
  <c r="AD33" i="24"/>
  <c r="AD34" i="24"/>
  <c r="AD35" i="24"/>
  <c r="AD36" i="24"/>
  <c r="AD37" i="24"/>
  <c r="AD38" i="24"/>
  <c r="AD39" i="24"/>
  <c r="AD40" i="24"/>
  <c r="AD41" i="24"/>
  <c r="AD42" i="24"/>
  <c r="AD44" i="24"/>
  <c r="AD45" i="24"/>
  <c r="AD46" i="24"/>
  <c r="AD47" i="24"/>
  <c r="AD48" i="24"/>
  <c r="AD49" i="24"/>
  <c r="AD50" i="24"/>
  <c r="AD51" i="24"/>
  <c r="AD52" i="24"/>
  <c r="AD53" i="24"/>
  <c r="AD54" i="24"/>
  <c r="AD55" i="24"/>
  <c r="AD56" i="24"/>
  <c r="AD57" i="24"/>
  <c r="AD58" i="24"/>
  <c r="AD59" i="24"/>
  <c r="AD60" i="24"/>
  <c r="AD61" i="24"/>
  <c r="AD62" i="24"/>
  <c r="AD63" i="24"/>
  <c r="AD64" i="24"/>
  <c r="AF65" i="24"/>
  <c r="AG65" i="24"/>
  <c r="AH65" i="24"/>
  <c r="AI65" i="24"/>
  <c r="AJ65" i="24"/>
  <c r="AK65" i="24"/>
  <c r="AL65" i="24"/>
  <c r="AM65" i="24"/>
  <c r="AN65" i="24"/>
  <c r="AD5" i="24"/>
  <c r="AD6" i="24"/>
  <c r="AD7" i="24"/>
  <c r="AD8" i="24"/>
  <c r="AD9" i="24"/>
  <c r="AD10" i="24"/>
  <c r="AD11" i="24"/>
  <c r="AD12" i="24"/>
  <c r="AD13" i="24"/>
  <c r="AD14" i="24"/>
  <c r="AD15" i="24"/>
  <c r="AD16" i="24"/>
  <c r="AD17" i="24"/>
  <c r="AD18" i="24"/>
  <c r="AD19" i="24"/>
  <c r="AD20" i="24"/>
  <c r="AD21" i="24"/>
  <c r="AD22" i="24"/>
  <c r="AD23" i="24"/>
  <c r="AD24" i="24"/>
  <c r="AD25" i="24"/>
  <c r="AD26" i="24"/>
  <c r="AD27" i="24"/>
  <c r="AD28" i="24"/>
  <c r="AD29" i="24"/>
  <c r="AD30" i="24"/>
  <c r="AD31" i="24"/>
  <c r="AD4" i="24"/>
  <c r="AD65" i="24"/>
  <c r="S69" i="1" l="1"/>
  <c r="R69" i="1"/>
  <c r="Q69" i="1"/>
  <c r="P69" i="1"/>
  <c r="O69" i="1"/>
  <c r="N69" i="1"/>
  <c r="M69" i="1"/>
  <c r="S68" i="1"/>
  <c r="R68" i="1"/>
  <c r="Q68" i="1"/>
  <c r="P68" i="1"/>
  <c r="O68" i="1"/>
  <c r="N68" i="1"/>
  <c r="M68" i="1"/>
  <c r="S67" i="1"/>
  <c r="R67" i="1"/>
  <c r="Q67" i="1"/>
  <c r="P67" i="1"/>
  <c r="O67" i="1"/>
  <c r="N67" i="1"/>
  <c r="M67" i="1"/>
  <c r="S66" i="1"/>
  <c r="R66" i="1"/>
  <c r="Q66" i="1"/>
  <c r="P66" i="1"/>
  <c r="O66" i="1"/>
  <c r="N66" i="1"/>
  <c r="M66" i="1"/>
  <c r="S65" i="1"/>
  <c r="R65" i="1"/>
  <c r="Q65" i="1"/>
  <c r="P65" i="1"/>
  <c r="O65" i="1"/>
  <c r="N65" i="1"/>
  <c r="M65" i="1"/>
  <c r="S64" i="1"/>
  <c r="R64" i="1"/>
  <c r="Q64" i="1"/>
  <c r="P64" i="1"/>
  <c r="O64" i="1"/>
  <c r="N64" i="1"/>
  <c r="M64" i="1"/>
  <c r="L64" i="1"/>
  <c r="L2" i="1" l="1"/>
  <c r="S2" i="1" l="1"/>
  <c r="R2" i="1"/>
  <c r="Q2" i="1"/>
  <c r="P2" i="1"/>
  <c r="O2" i="1"/>
  <c r="N2" i="1"/>
  <c r="M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  <author>Home</author>
  </authors>
  <commentList>
    <comment ref="G1" authorId="0" shapeId="0" xr:uid="{216BA17C-B0D3-4745-85AC-726984BECAC0}">
      <text>
        <r>
          <rPr>
            <b/>
            <sz val="12"/>
            <color indexed="81"/>
            <rFont val="Tahoma"/>
            <family val="2"/>
            <charset val="204"/>
          </rPr>
          <t>IlIa:</t>
        </r>
        <r>
          <rPr>
            <sz val="12"/>
            <color indexed="81"/>
            <rFont val="Tahoma"/>
            <family val="2"/>
            <charset val="204"/>
          </rPr>
          <t xml:space="preserve">
^10*0
</t>
        </r>
      </text>
    </comment>
    <comment ref="H1" authorId="1" shapeId="0" xr:uid="{D23E9A09-F0CC-42AE-9A23-E0EBEF239E82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*10^(-3)
</t>
        </r>
      </text>
    </comment>
    <comment ref="I1" authorId="1" shapeId="0" xr:uid="{3EE50CD6-B2AD-4F44-952E-8917C761DF23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*10^6
</t>
        </r>
      </text>
    </comment>
    <comment ref="J1" authorId="1" shapeId="0" xr:uid="{592612FF-4C12-4979-AD15-D4EE9AC9E6E2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*10^(-6)</t>
        </r>
      </text>
    </comment>
    <comment ref="K1" authorId="1" shapeId="0" xr:uid="{7FAA9022-C6B2-48E2-B65A-E97AE3E3F437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*10^9</t>
        </r>
      </text>
    </comment>
    <comment ref="J17" authorId="1" shapeId="0" xr:uid="{19BA8D88-E5C9-4709-B9E0-F0DF014BDE5D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*10^(-6)</t>
        </r>
      </text>
    </comment>
    <comment ref="K17" authorId="1" shapeId="0" xr:uid="{C7CCA4BE-A5CF-4AB9-B1E3-BC114ED7F4B6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R1" authorId="0" shapeId="0" xr:uid="{D5A0F68C-3F36-49E5-882C-7DB1B4FA0B8D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S2" authorId="0" shapeId="0" xr:uid="{00000000-0006-0000-0300-000001000000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1" authorId="0" shapeId="0" xr:uid="{9D0DE95D-BD29-4484-88C5-A52AB9C13399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<sst xmlns="http://schemas.openxmlformats.org/spreadsheetml/2006/main" count="1165" uniqueCount="171">
  <si>
    <t>f1</t>
  </si>
  <si>
    <t xml:space="preserve"> +f2 lnx</t>
  </si>
  <si>
    <t xml:space="preserve"> +f3 /x^2</t>
  </si>
  <si>
    <t xml:space="preserve"> +f4 /x</t>
  </si>
  <si>
    <t xml:space="preserve">  +f5 x</t>
  </si>
  <si>
    <t xml:space="preserve"> +f6 x^2</t>
  </si>
  <si>
    <t xml:space="preserve"> +f7 x^3</t>
  </si>
  <si>
    <t>h0</t>
  </si>
  <si>
    <t>φ1</t>
  </si>
  <si>
    <r>
      <t>φ2</t>
    </r>
    <r>
      <rPr>
        <sz val="16"/>
        <color theme="1"/>
        <rFont val="Calibri"/>
        <family val="2"/>
        <charset val="204"/>
        <scheme val="minor"/>
      </rPr>
      <t/>
    </r>
  </si>
  <si>
    <r>
      <t>φ3</t>
    </r>
    <r>
      <rPr>
        <sz val="16"/>
        <color theme="1"/>
        <rFont val="Calibri"/>
        <family val="2"/>
        <charset val="204"/>
        <scheme val="minor"/>
      </rPr>
      <t/>
    </r>
  </si>
  <si>
    <r>
      <t>φ4</t>
    </r>
    <r>
      <rPr>
        <sz val="16"/>
        <color theme="1"/>
        <rFont val="Calibri"/>
        <family val="2"/>
        <charset val="204"/>
        <scheme val="minor"/>
      </rPr>
      <t/>
    </r>
  </si>
  <si>
    <r>
      <t>φ5</t>
    </r>
    <r>
      <rPr>
        <sz val="16"/>
        <color theme="1"/>
        <rFont val="Calibri"/>
        <family val="2"/>
        <charset val="204"/>
        <scheme val="minor"/>
      </rPr>
      <t/>
    </r>
  </si>
  <si>
    <r>
      <t>φ6</t>
    </r>
    <r>
      <rPr>
        <sz val="16"/>
        <color theme="1"/>
        <rFont val="Calibri"/>
        <family val="2"/>
        <charset val="204"/>
        <scheme val="minor"/>
      </rPr>
      <t/>
    </r>
  </si>
  <si>
    <r>
      <t>φ7</t>
    </r>
    <r>
      <rPr>
        <sz val="16"/>
        <color theme="1"/>
        <rFont val="Calibri"/>
        <family val="2"/>
        <charset val="204"/>
        <scheme val="minor"/>
      </rPr>
      <t/>
    </r>
  </si>
  <si>
    <t>*Yb</t>
  </si>
  <si>
    <t>Yb</t>
  </si>
  <si>
    <t>YbO</t>
  </si>
  <si>
    <t>*Yb2O3</t>
  </si>
  <si>
    <t>*Er</t>
  </si>
  <si>
    <t>Er</t>
  </si>
  <si>
    <t>ErO</t>
  </si>
  <si>
    <t>*Er2O3</t>
  </si>
  <si>
    <t>*Tm</t>
  </si>
  <si>
    <t>Tm</t>
  </si>
  <si>
    <t>TmO</t>
  </si>
  <si>
    <t>*Tm2O3</t>
  </si>
  <si>
    <t>SiO2</t>
  </si>
  <si>
    <t xml:space="preserve">Al2O3 </t>
  </si>
  <si>
    <t xml:space="preserve">Al6Si2O13 </t>
  </si>
  <si>
    <t>*Ho</t>
  </si>
  <si>
    <t>Ho</t>
  </si>
  <si>
    <t>HoO</t>
  </si>
  <si>
    <t>*Ho2O3</t>
  </si>
  <si>
    <t>*Nd2O3</t>
  </si>
  <si>
    <t>NdO</t>
  </si>
  <si>
    <t>Nd</t>
  </si>
  <si>
    <t>*Nd</t>
  </si>
  <si>
    <t>Вещество:</t>
  </si>
  <si>
    <t>Название</t>
  </si>
  <si>
    <t xml:space="preserve">а </t>
  </si>
  <si>
    <t>ho</t>
  </si>
  <si>
    <t>ф1</t>
  </si>
  <si>
    <t>ф2 *lnX</t>
  </si>
  <si>
    <t>ф3 *X^(-2)</t>
  </si>
  <si>
    <t>ф4 *X^(-1)</t>
  </si>
  <si>
    <t>ф5 *X</t>
  </si>
  <si>
    <t>ф6 *X^2</t>
  </si>
  <si>
    <t>ф7 *Х^3</t>
  </si>
  <si>
    <t>H(T) Дж</t>
  </si>
  <si>
    <t>S(T) Дж</t>
  </si>
  <si>
    <t>H(To) Дж</t>
  </si>
  <si>
    <t>S(To) Дж</t>
  </si>
  <si>
    <t>Cp (T) Дж</t>
  </si>
  <si>
    <t>X  К/10000</t>
  </si>
  <si>
    <t>Тo К</t>
  </si>
  <si>
    <t>T K</t>
  </si>
  <si>
    <t>Состояние</t>
  </si>
  <si>
    <t>l</t>
  </si>
  <si>
    <t>end</t>
  </si>
  <si>
    <t>N/D</t>
  </si>
  <si>
    <t>g</t>
  </si>
  <si>
    <t>Ge</t>
  </si>
  <si>
    <t>s</t>
  </si>
  <si>
    <t>Se</t>
  </si>
  <si>
    <t>b*T</t>
  </si>
  <si>
    <t>c *T^(-2)</t>
  </si>
  <si>
    <t>e *T^3</t>
  </si>
  <si>
    <t>d *T^(2)</t>
  </si>
  <si>
    <t>Ga</t>
  </si>
  <si>
    <t>Ga2Se</t>
  </si>
  <si>
    <t>Ga2Se3</t>
  </si>
  <si>
    <t>φ2</t>
  </si>
  <si>
    <t>φ3</t>
  </si>
  <si>
    <t>φ4</t>
  </si>
  <si>
    <t>φ5</t>
  </si>
  <si>
    <t>φ6</t>
  </si>
  <si>
    <t>φ7</t>
  </si>
  <si>
    <t>To</t>
  </si>
  <si>
    <t>ΔfH298 кДж</t>
  </si>
  <si>
    <t>T</t>
  </si>
  <si>
    <t>GeSe</t>
  </si>
  <si>
    <t>GeSe2</t>
  </si>
  <si>
    <t>Se (F. Zheng)</t>
  </si>
  <si>
    <t>GaSe (F. Zheng)</t>
  </si>
  <si>
    <t>*Ga[l] (F. Zheng)</t>
  </si>
  <si>
    <t>*(b)Ga2Se3 (F. Zheng)</t>
  </si>
  <si>
    <t>Фаза</t>
  </si>
  <si>
    <t>Se2</t>
  </si>
  <si>
    <t>Se3</t>
  </si>
  <si>
    <t>Se4</t>
  </si>
  <si>
    <t>Se5</t>
  </si>
  <si>
    <t>Se6</t>
  </si>
  <si>
    <t>Se7</t>
  </si>
  <si>
    <t>Se8</t>
  </si>
  <si>
    <t>Ge2</t>
  </si>
  <si>
    <t>Фаза             if "?" =&gt; not "g"</t>
  </si>
  <si>
    <t>Ga2</t>
  </si>
  <si>
    <t>Тип</t>
  </si>
  <si>
    <t>Н(To) кДж</t>
  </si>
  <si>
    <t>Se[A]</t>
  </si>
  <si>
    <t>Se[M]</t>
  </si>
  <si>
    <t>Se[R]</t>
  </si>
  <si>
    <t>Названиe</t>
  </si>
  <si>
    <t>Мeтка            1 - добавить, 0 - удалить, * - удалено</t>
  </si>
  <si>
    <t>*</t>
  </si>
  <si>
    <t>4</t>
  </si>
  <si>
    <t>степень</t>
  </si>
  <si>
    <t>Ф       Фаза</t>
  </si>
  <si>
    <t>S(To)  Дж</t>
  </si>
  <si>
    <t>Xo                    К/10000</t>
  </si>
  <si>
    <t>X                       К/10000</t>
  </si>
  <si>
    <t xml:space="preserve"> Т         Тип</t>
  </si>
  <si>
    <t>Ga2Ge1Se4</t>
  </si>
  <si>
    <t>Ga4Ge1Se8</t>
  </si>
  <si>
    <t>Ga1Ge1Se3</t>
  </si>
  <si>
    <t>Ga10Ge30Se60</t>
  </si>
  <si>
    <t>Ga4Ge2Se8</t>
  </si>
  <si>
    <t>Ga2Ge4Se8</t>
  </si>
  <si>
    <t>Ga2Ge3Se8</t>
  </si>
  <si>
    <t>Ge4Se5</t>
  </si>
  <si>
    <t>Ge3Se4</t>
  </si>
  <si>
    <t>с</t>
  </si>
  <si>
    <t>Geg</t>
  </si>
  <si>
    <t>2 135</t>
  </si>
  <si>
    <t>0^0001425</t>
  </si>
  <si>
    <t>a</t>
  </si>
  <si>
    <t>m</t>
  </si>
  <si>
    <t>r</t>
  </si>
  <si>
    <t>Ga2GeSe4</t>
  </si>
  <si>
    <t>Ga4GeSe8</t>
  </si>
  <si>
    <t>GaGeSe3</t>
  </si>
  <si>
    <t>Ga10Ge30S</t>
  </si>
  <si>
    <t>Вещество</t>
  </si>
  <si>
    <t xml:space="preserve">Фаза        </t>
  </si>
  <si>
    <t>&lt;-новое</t>
  </si>
  <si>
    <t>новое</t>
  </si>
  <si>
    <t>старое</t>
  </si>
  <si>
    <t>Вещество2</t>
  </si>
  <si>
    <t>59</t>
  </si>
  <si>
    <t>Ga(l)2</t>
  </si>
  <si>
    <t>8,3145</t>
  </si>
  <si>
    <t>S(To) J</t>
  </si>
  <si>
    <t>S(T) J</t>
  </si>
  <si>
    <t>Cp (T) J</t>
  </si>
  <si>
    <t>H(To) J</t>
  </si>
  <si>
    <t>dH(T) J</t>
  </si>
  <si>
    <t>H(T) J</t>
  </si>
  <si>
    <t>Х     К/10000</t>
  </si>
  <si>
    <t>X0     К/10000</t>
  </si>
  <si>
    <t>Ф     Фаза</t>
  </si>
  <si>
    <t>S(To)              Дж</t>
  </si>
  <si>
    <t>ΔfН(To)     кДж</t>
  </si>
  <si>
    <t>Н tr       кДж</t>
  </si>
  <si>
    <t>S tr       Дж</t>
  </si>
  <si>
    <t>название</t>
  </si>
  <si>
    <t>GaSe</t>
  </si>
  <si>
    <t>10000*$A$1*(O2*X2-Y2*2/O2+AA2*O2^2+AB2*2*O2^3+AC2*3*O2^4-Z2)</t>
  </si>
  <si>
    <t>H(T) - H0 J</t>
  </si>
  <si>
    <t>ΔfН(To)     кДж для точки отсчета H0 = H(T0)</t>
  </si>
  <si>
    <t>Метка</t>
  </si>
  <si>
    <t>f *T^3</t>
  </si>
  <si>
    <t>e *T^(-3)</t>
  </si>
  <si>
    <t>8,31</t>
  </si>
  <si>
    <t xml:space="preserve"> Т    </t>
  </si>
  <si>
    <t xml:space="preserve">Ф </t>
  </si>
  <si>
    <t>Т</t>
  </si>
  <si>
    <t>Ф          if "?" =&gt; not "g"</t>
  </si>
  <si>
    <t>To К</t>
  </si>
  <si>
    <t>T К</t>
  </si>
  <si>
    <t>Мeтка            2 - добавить, 1 - удалить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</si>
</sst>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0.000"/>
    <numFmt numFmtId="166" formatCode="0.000E+00"/>
    <numFmt numFmtId="167" formatCode="0.0"/>
    <numFmt numFmtId="169" formatCode="0.0000E+00"/>
    <numFmt numFmtId="171" formatCode="0.0E+00"/>
    <numFmt numFmtId="173" formatCode="#,##0.0"/>
    <numFmt numFmtId="174" formatCode="#,##0.0_ ;[Red]\-#,##0.0\ "/>
    <numFmt numFmtId="175" formatCode="0E+00"/>
    <numFmt numFmtId="176" formatCode="0.0_ ;[Red]\-0.0\ "/>
    <numFmt numFmtId="177" formatCode="0.00_ ;[Red]\-0.00\ "/>
  </numFmts>
  <fonts count="23" x14ac:knownFonts="1">
    <font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4"/>
      <color theme="0" tint="-4.9989318521683403E-2"/>
      <name val="Calibri"/>
      <family val="2"/>
      <charset val="204"/>
      <scheme val="minor"/>
    </font>
    <font>
      <sz val="11"/>
      <color indexed="81"/>
      <name val="Tahoma"/>
      <family val="2"/>
      <charset val="204"/>
    </font>
    <font>
      <b/>
      <sz val="11"/>
      <color indexed="81"/>
      <name val="Tahoma"/>
      <family val="2"/>
      <charset val="204"/>
    </font>
    <font>
      <sz val="16"/>
      <color theme="0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sz val="16"/>
      <color rgb="FF000000"/>
      <name val="Calibri"/>
      <family val="2"/>
      <charset val="204"/>
    </font>
    <font>
      <sz val="14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6"/>
      <color rgb="FF00B050"/>
      <name val="Calibri"/>
      <family val="2"/>
      <charset val="204"/>
      <scheme val="minor"/>
    </font>
    <font>
      <b/>
      <sz val="12"/>
      <color indexed="81"/>
      <name val="Tahoma"/>
      <family val="2"/>
      <charset val="204"/>
    </font>
    <font>
      <sz val="12"/>
      <color indexed="81"/>
      <name val="Tahoma"/>
      <family val="2"/>
      <charset val="204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4" tint="-0.249977111117893"/>
      <name val="Calibri"/>
      <family val="2"/>
      <charset val="204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9FF78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theme="1"/>
      </left>
      <right/>
      <top style="thick">
        <color indexed="64"/>
      </top>
      <bottom style="thick">
        <color indexed="64"/>
      </bottom>
      <diagonal/>
    </border>
    <border>
      <left style="thick">
        <color theme="1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/>
      <right style="thick">
        <color theme="1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/>
      </left>
      <right/>
      <top style="thick">
        <color indexed="64"/>
      </top>
      <bottom/>
      <diagonal/>
    </border>
    <border>
      <left/>
      <right style="thin">
        <color theme="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</borders>
  <cellStyleXfs count="8">
    <xf numFmtId="0" fontId="0" fillId="0" borderId="0"/>
    <xf numFmtId="164" fontId="1" fillId="0" borderId="0" applyFont="0" applyFill="0" applyBorder="0" applyAlignment="0" applyProtection="0"/>
    <xf numFmtId="0" fontId="1" fillId="2" borderId="8" applyNumberFormat="0" applyFont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9" fontId="2" fillId="5" borderId="12" applyNumberFormat="0">
      <alignment horizontal="left" vertical="center"/>
    </xf>
    <xf numFmtId="169" fontId="1" fillId="0" borderId="0">
      <alignment vertical="center"/>
    </xf>
    <xf numFmtId="11" fontId="16" fillId="20" borderId="0">
      <alignment vertical="top"/>
    </xf>
  </cellStyleXfs>
  <cellXfs count="44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/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0" fillId="0" borderId="18" xfId="0" applyBorder="1" applyAlignment="1">
      <alignment vertical="center"/>
    </xf>
    <xf numFmtId="0" fontId="0" fillId="7" borderId="18" xfId="0" applyFill="1" applyBorder="1" applyAlignment="1">
      <alignment vertical="center"/>
    </xf>
    <xf numFmtId="0" fontId="0" fillId="0" borderId="19" xfId="0" applyBorder="1" applyAlignment="1">
      <alignment vertical="center"/>
    </xf>
    <xf numFmtId="0" fontId="0" fillId="7" borderId="19" xfId="0" applyFill="1" applyBorder="1" applyAlignment="1">
      <alignment vertical="center"/>
    </xf>
    <xf numFmtId="165" fontId="0" fillId="7" borderId="20" xfId="0" applyNumberFormat="1" applyFill="1" applyBorder="1" applyAlignment="1">
      <alignment vertical="center"/>
    </xf>
    <xf numFmtId="165" fontId="1" fillId="7" borderId="4" xfId="4" applyNumberFormat="1" applyFill="1" applyBorder="1" applyAlignment="1">
      <alignment horizontal="right" vertical="center"/>
    </xf>
    <xf numFmtId="165" fontId="1" fillId="7" borderId="5" xfId="4" applyNumberFormat="1" applyFill="1" applyBorder="1" applyAlignment="1">
      <alignment horizontal="right" vertical="center"/>
    </xf>
    <xf numFmtId="165" fontId="1" fillId="7" borderId="6" xfId="4" applyNumberFormat="1" applyFill="1" applyBorder="1" applyAlignment="1">
      <alignment horizontal="right" vertical="center"/>
    </xf>
    <xf numFmtId="0" fontId="1" fillId="11" borderId="4" xfId="3" applyFill="1" applyBorder="1" applyAlignment="1">
      <alignment horizontal="right" vertical="center"/>
    </xf>
    <xf numFmtId="2" fontId="1" fillId="11" borderId="5" xfId="1" applyNumberFormat="1" applyFill="1" applyBorder="1" applyAlignment="1">
      <alignment horizontal="right" vertical="center"/>
    </xf>
    <xf numFmtId="2" fontId="1" fillId="11" borderId="6" xfId="1" applyNumberFormat="1" applyFill="1" applyBorder="1" applyAlignment="1">
      <alignment horizontal="right" vertical="center"/>
    </xf>
    <xf numFmtId="0" fontId="0" fillId="0" borderId="24" xfId="2" applyFont="1" applyFill="1" applyBorder="1" applyAlignment="1"/>
    <xf numFmtId="0" fontId="0" fillId="9" borderId="25" xfId="2" applyFont="1" applyFill="1" applyBorder="1" applyAlignment="1"/>
    <xf numFmtId="0" fontId="0" fillId="10" borderId="25" xfId="2" applyFont="1" applyFill="1" applyBorder="1" applyAlignment="1"/>
    <xf numFmtId="0" fontId="6" fillId="5" borderId="12" xfId="0" applyFont="1" applyFill="1" applyBorder="1"/>
    <xf numFmtId="0" fontId="6" fillId="12" borderId="12" xfId="0" applyFont="1" applyFill="1" applyBorder="1" applyAlignment="1">
      <alignment horizontal="right"/>
    </xf>
    <xf numFmtId="0" fontId="6" fillId="12" borderId="12" xfId="0" applyFont="1" applyFill="1" applyBorder="1"/>
    <xf numFmtId="165" fontId="0" fillId="0" borderId="2" xfId="0" applyNumberFormat="1" applyBorder="1"/>
    <xf numFmtId="165" fontId="0" fillId="0" borderId="3" xfId="0" applyNumberFormat="1" applyBorder="1"/>
    <xf numFmtId="0" fontId="0" fillId="0" borderId="28" xfId="0" applyBorder="1"/>
    <xf numFmtId="0" fontId="0" fillId="0" borderId="0" xfId="0" applyBorder="1"/>
    <xf numFmtId="165" fontId="0" fillId="0" borderId="0" xfId="0" applyNumberFormat="1" applyBorder="1"/>
    <xf numFmtId="165" fontId="0" fillId="0" borderId="7" xfId="0" applyNumberFormat="1" applyBorder="1"/>
    <xf numFmtId="0" fontId="0" fillId="0" borderId="4" xfId="0" applyBorder="1"/>
    <xf numFmtId="0" fontId="0" fillId="0" borderId="5" xfId="0" applyBorder="1"/>
    <xf numFmtId="165" fontId="0" fillId="0" borderId="5" xfId="0" applyNumberFormat="1" applyBorder="1"/>
    <xf numFmtId="165" fontId="0" fillId="0" borderId="6" xfId="0" applyNumberFormat="1" applyBorder="1"/>
    <xf numFmtId="0" fontId="7" fillId="5" borderId="12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0" fillId="0" borderId="23" xfId="0" applyBorder="1"/>
    <xf numFmtId="0" fontId="0" fillId="0" borderId="26" xfId="0" applyBorder="1"/>
    <xf numFmtId="165" fontId="0" fillId="0" borderId="26" xfId="0" applyNumberFormat="1" applyBorder="1"/>
    <xf numFmtId="165" fontId="0" fillId="0" borderId="27" xfId="0" applyNumberFormat="1" applyBorder="1"/>
    <xf numFmtId="0" fontId="0" fillId="9" borderId="2" xfId="0" applyFill="1" applyBorder="1"/>
    <xf numFmtId="0" fontId="0" fillId="9" borderId="0" xfId="0" applyFill="1" applyBorder="1"/>
    <xf numFmtId="0" fontId="0" fillId="9" borderId="5" xfId="0" applyFill="1" applyBorder="1"/>
    <xf numFmtId="0" fontId="0" fillId="9" borderId="26" xfId="0" applyFill="1" applyBorder="1"/>
    <xf numFmtId="0" fontId="0" fillId="10" borderId="2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26" xfId="0" applyFill="1" applyBorder="1"/>
    <xf numFmtId="165" fontId="0" fillId="13" borderId="2" xfId="0" applyNumberFormat="1" applyFill="1" applyBorder="1"/>
    <xf numFmtId="165" fontId="0" fillId="13" borderId="0" xfId="0" applyNumberFormat="1" applyFill="1" applyBorder="1"/>
    <xf numFmtId="165" fontId="0" fillId="13" borderId="5" xfId="0" applyNumberFormat="1" applyFill="1" applyBorder="1"/>
    <xf numFmtId="165" fontId="0" fillId="13" borderId="26" xfId="0" applyNumberFormat="1" applyFill="1" applyBorder="1"/>
    <xf numFmtId="0" fontId="0" fillId="14" borderId="2" xfId="0" applyFont="1" applyFill="1" applyBorder="1"/>
    <xf numFmtId="0" fontId="0" fillId="14" borderId="0" xfId="0" applyFont="1" applyFill="1" applyBorder="1"/>
    <xf numFmtId="0" fontId="0" fillId="14" borderId="5" xfId="0" applyFont="1" applyFill="1" applyBorder="1"/>
    <xf numFmtId="0" fontId="0" fillId="14" borderId="26" xfId="0" applyFont="1" applyFill="1" applyBorder="1"/>
    <xf numFmtId="0" fontId="0" fillId="14" borderId="2" xfId="0" applyFill="1" applyBorder="1"/>
    <xf numFmtId="0" fontId="0" fillId="14" borderId="0" xfId="0" applyFill="1" applyBorder="1"/>
    <xf numFmtId="0" fontId="0" fillId="14" borderId="5" xfId="0" applyFill="1" applyBorder="1"/>
    <xf numFmtId="0" fontId="0" fillId="14" borderId="26" xfId="0" applyFill="1" applyBorder="1"/>
    <xf numFmtId="0" fontId="8" fillId="0" borderId="18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0" xfId="0" applyFont="1"/>
    <xf numFmtId="0" fontId="0" fillId="0" borderId="0" xfId="0" applyProtection="1">
      <protection locked="0"/>
    </xf>
    <xf numFmtId="169" fontId="2" fillId="5" borderId="9" xfId="0" applyNumberFormat="1" applyFont="1" applyFill="1" applyBorder="1" applyAlignment="1">
      <alignment horizontal="center" vertical="center"/>
    </xf>
    <xf numFmtId="169" fontId="2" fillId="5" borderId="10" xfId="0" applyNumberFormat="1" applyFont="1" applyFill="1" applyBorder="1" applyAlignment="1">
      <alignment horizontal="center" vertical="center"/>
    </xf>
    <xf numFmtId="169" fontId="2" fillId="5" borderId="11" xfId="0" applyNumberFormat="1" applyFont="1" applyFill="1" applyBorder="1" applyAlignment="1">
      <alignment horizontal="center" vertical="center"/>
    </xf>
    <xf numFmtId="169" fontId="0" fillId="0" borderId="20" xfId="0" applyNumberFormat="1" applyBorder="1" applyAlignment="1">
      <alignment vertical="center"/>
    </xf>
    <xf numFmtId="169" fontId="0" fillId="13" borderId="20" xfId="0" applyNumberFormat="1" applyFill="1" applyBorder="1" applyAlignment="1">
      <alignment vertical="center"/>
    </xf>
    <xf numFmtId="169" fontId="0" fillId="0" borderId="22" xfId="0" applyNumberFormat="1" applyBorder="1" applyAlignment="1">
      <alignment vertical="center"/>
    </xf>
    <xf numFmtId="169" fontId="0" fillId="0" borderId="0" xfId="0" applyNumberFormat="1"/>
    <xf numFmtId="0" fontId="0" fillId="0" borderId="0" xfId="0"/>
    <xf numFmtId="0" fontId="8" fillId="0" borderId="32" xfId="0" applyFont="1" applyBorder="1" applyAlignment="1">
      <alignment vertical="center"/>
    </xf>
    <xf numFmtId="0" fontId="0" fillId="0" borderId="32" xfId="0" applyBorder="1" applyAlignment="1">
      <alignment vertical="center"/>
    </xf>
    <xf numFmtId="0" fontId="0" fillId="7" borderId="32" xfId="0" applyFill="1" applyBorder="1" applyAlignment="1">
      <alignment vertical="center"/>
    </xf>
    <xf numFmtId="0" fontId="0" fillId="7" borderId="34" xfId="0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3" fillId="5" borderId="13" xfId="0" applyFont="1" applyFill="1" applyBorder="1" applyAlignment="1">
      <alignment horizontal="center" vertical="center"/>
    </xf>
    <xf numFmtId="0" fontId="0" fillId="7" borderId="35" xfId="0" applyFill="1" applyBorder="1" applyAlignment="1">
      <alignment vertical="center"/>
    </xf>
    <xf numFmtId="0" fontId="8" fillId="0" borderId="5" xfId="0" applyFont="1" applyBorder="1"/>
    <xf numFmtId="0" fontId="0" fillId="0" borderId="36" xfId="0" applyFill="1" applyBorder="1" applyAlignment="1">
      <alignment vertical="center"/>
    </xf>
    <xf numFmtId="0" fontId="0" fillId="7" borderId="37" xfId="0" applyFill="1" applyBorder="1" applyAlignment="1">
      <alignment vertical="center"/>
    </xf>
    <xf numFmtId="169" fontId="0" fillId="13" borderId="19" xfId="0" applyNumberFormat="1" applyFill="1" applyBorder="1" applyAlignment="1" applyProtection="1">
      <alignment vertical="center"/>
    </xf>
    <xf numFmtId="169" fontId="0" fillId="0" borderId="19" xfId="0" applyNumberFormat="1" applyBorder="1" applyAlignment="1" applyProtection="1">
      <alignment vertical="center"/>
    </xf>
    <xf numFmtId="169" fontId="0" fillId="0" borderId="21" xfId="0" applyNumberFormat="1" applyBorder="1" applyAlignment="1" applyProtection="1">
      <alignment vertical="center"/>
    </xf>
    <xf numFmtId="169" fontId="0" fillId="0" borderId="33" xfId="0" applyNumberFormat="1" applyBorder="1" applyAlignment="1" applyProtection="1">
      <alignment vertical="center"/>
    </xf>
    <xf numFmtId="0" fontId="13" fillId="0" borderId="0" xfId="0" applyFont="1"/>
    <xf numFmtId="0" fontId="0" fillId="0" borderId="0" xfId="0" applyNumberFormat="1"/>
    <xf numFmtId="0" fontId="12" fillId="5" borderId="12" xfId="0" applyFont="1" applyFill="1" applyBorder="1" applyAlignment="1" applyProtection="1">
      <alignment horizontal="center" vertical="center"/>
      <protection locked="0"/>
    </xf>
    <xf numFmtId="0" fontId="0" fillId="0" borderId="0" xfId="0" applyFill="1"/>
    <xf numFmtId="0" fontId="13" fillId="0" borderId="0" xfId="0" applyFont="1" applyBorder="1"/>
    <xf numFmtId="0" fontId="0" fillId="0" borderId="0" xfId="0" applyAlignment="1">
      <alignment horizontal="center" vertical="center"/>
    </xf>
    <xf numFmtId="0" fontId="0" fillId="0" borderId="0" xfId="0" applyBorder="1" applyProtection="1">
      <protection locked="0"/>
    </xf>
    <xf numFmtId="49" fontId="0" fillId="0" borderId="0" xfId="0" applyNumberFormat="1"/>
    <xf numFmtId="49" fontId="0" fillId="0" borderId="0" xfId="0" applyNumberFormat="1" applyProtection="1">
      <protection locked="0"/>
    </xf>
    <xf numFmtId="49" fontId="6" fillId="5" borderId="38" xfId="0" applyNumberFormat="1" applyFont="1" applyFill="1" applyBorder="1"/>
    <xf numFmtId="49" fontId="7" fillId="5" borderId="38" xfId="0" applyNumberFormat="1" applyFont="1" applyFill="1" applyBorder="1" applyAlignment="1">
      <alignment horizontal="center" vertical="center"/>
    </xf>
    <xf numFmtId="0" fontId="10" fillId="7" borderId="0" xfId="0" applyFont="1" applyFill="1"/>
    <xf numFmtId="0" fontId="14" fillId="7" borderId="0" xfId="0" applyNumberFormat="1" applyFont="1" applyFill="1" applyBorder="1" applyAlignment="1" applyProtection="1">
      <alignment vertical="top"/>
    </xf>
    <xf numFmtId="0" fontId="10" fillId="0" borderId="0" xfId="0" applyFont="1"/>
    <xf numFmtId="0" fontId="10" fillId="0" borderId="0" xfId="0" applyFont="1" applyFill="1"/>
    <xf numFmtId="0" fontId="12" fillId="5" borderId="3" xfId="0" applyFont="1" applyFill="1" applyBorder="1"/>
    <xf numFmtId="0" fontId="0" fillId="0" borderId="0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3" fillId="0" borderId="28" xfId="0" applyFont="1" applyFill="1" applyBorder="1"/>
    <xf numFmtId="0" fontId="13" fillId="0" borderId="7" xfId="0" applyFont="1" applyFill="1" applyBorder="1"/>
    <xf numFmtId="0" fontId="13" fillId="0" borderId="4" xfId="0" applyFont="1" applyFill="1" applyBorder="1"/>
    <xf numFmtId="0" fontId="13" fillId="0" borderId="6" xfId="0" applyFont="1" applyFill="1" applyBorder="1"/>
    <xf numFmtId="49" fontId="13" fillId="0" borderId="0" xfId="0" applyNumberFormat="1" applyFont="1" applyFill="1" applyAlignment="1">
      <alignment horizontal="left"/>
    </xf>
    <xf numFmtId="49" fontId="13" fillId="6" borderId="29" xfId="0" applyNumberFormat="1" applyFont="1" applyFill="1" applyBorder="1" applyAlignment="1">
      <alignment horizontal="left"/>
    </xf>
    <xf numFmtId="49" fontId="13" fillId="6" borderId="40" xfId="0" applyNumberFormat="1" applyFont="1" applyFill="1" applyBorder="1" applyAlignment="1">
      <alignment horizontal="left"/>
    </xf>
    <xf numFmtId="49" fontId="13" fillId="6" borderId="24" xfId="0" applyNumberFormat="1" applyFont="1" applyFill="1" applyBorder="1" applyAlignment="1">
      <alignment horizontal="left"/>
    </xf>
    <xf numFmtId="49" fontId="13" fillId="6" borderId="7" xfId="0" applyNumberFormat="1" applyFont="1" applyFill="1" applyBorder="1" applyAlignment="1">
      <alignment horizontal="left"/>
    </xf>
    <xf numFmtId="49" fontId="13" fillId="6" borderId="6" xfId="0" applyNumberFormat="1" applyFont="1" applyFill="1" applyBorder="1" applyAlignment="1">
      <alignment horizontal="left"/>
    </xf>
    <xf numFmtId="0" fontId="2" fillId="5" borderId="12" xfId="0" applyFont="1" applyFill="1" applyBorder="1" applyAlignment="1" applyProtection="1">
      <alignment horizontal="left" vertical="center"/>
      <protection locked="0"/>
    </xf>
    <xf numFmtId="2" fontId="12" fillId="5" borderId="12" xfId="0" applyNumberFormat="1" applyFont="1" applyFill="1" applyBorder="1" applyAlignment="1" applyProtection="1">
      <alignment horizontal="left" vertical="center"/>
      <protection locked="0"/>
    </xf>
    <xf numFmtId="0" fontId="12" fillId="5" borderId="12" xfId="0" applyFont="1" applyFill="1" applyBorder="1" applyAlignment="1" applyProtection="1">
      <alignment horizontal="left" vertical="center"/>
      <protection locked="0"/>
    </xf>
    <xf numFmtId="49" fontId="12" fillId="5" borderId="12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0" borderId="0" xfId="0" applyFont="1"/>
    <xf numFmtId="166" fontId="13" fillId="13" borderId="2" xfId="0" applyNumberFormat="1" applyFont="1" applyFill="1" applyBorder="1"/>
    <xf numFmtId="166" fontId="13" fillId="0" borderId="2" xfId="0" applyNumberFormat="1" applyFont="1" applyBorder="1"/>
    <xf numFmtId="166" fontId="13" fillId="13" borderId="0" xfId="0" applyNumberFormat="1" applyFont="1" applyFill="1" applyBorder="1"/>
    <xf numFmtId="166" fontId="13" fillId="0" borderId="0" xfId="0" applyNumberFormat="1" applyFont="1" applyBorder="1"/>
    <xf numFmtId="166" fontId="13" fillId="0" borderId="0" xfId="0" applyNumberFormat="1" applyFont="1"/>
    <xf numFmtId="0" fontId="0" fillId="0" borderId="0" xfId="0" applyAlignment="1">
      <alignment horizontal="center" vertical="center"/>
    </xf>
    <xf numFmtId="0" fontId="0" fillId="19" borderId="0" xfId="0" applyFill="1" applyAlignment="1">
      <alignment horizontal="center" vertical="center"/>
    </xf>
    <xf numFmtId="49" fontId="13" fillId="6" borderId="27" xfId="0" applyNumberFormat="1" applyFont="1" applyFill="1" applyBorder="1" applyAlignment="1">
      <alignment horizontal="left"/>
    </xf>
    <xf numFmtId="0" fontId="13" fillId="0" borderId="0" xfId="0" applyFont="1" applyFill="1" applyBorder="1"/>
    <xf numFmtId="166" fontId="13" fillId="0" borderId="0" xfId="0" applyNumberFormat="1" applyFont="1" applyFill="1" applyBorder="1"/>
    <xf numFmtId="49" fontId="13" fillId="6" borderId="0" xfId="0" applyNumberFormat="1" applyFont="1" applyFill="1" applyBorder="1" applyAlignment="1">
      <alignment horizontal="left"/>
    </xf>
    <xf numFmtId="0" fontId="13" fillId="0" borderId="5" xfId="0" applyFont="1" applyFill="1" applyBorder="1"/>
    <xf numFmtId="166" fontId="13" fillId="0" borderId="5" xfId="0" applyNumberFormat="1" applyFont="1" applyFill="1" applyBorder="1"/>
    <xf numFmtId="49" fontId="13" fillId="19" borderId="3" xfId="0" applyNumberFormat="1" applyFont="1" applyFill="1" applyBorder="1" applyAlignment="1">
      <alignment horizontal="left"/>
    </xf>
    <xf numFmtId="49" fontId="13" fillId="17" borderId="6" xfId="0" applyNumberFormat="1" applyFont="1" applyFill="1" applyBorder="1" applyAlignment="1">
      <alignment horizontal="left"/>
    </xf>
    <xf numFmtId="169" fontId="2" fillId="5" borderId="12" xfId="5" applyNumberFormat="1">
      <alignment horizontal="left" vertical="center"/>
    </xf>
    <xf numFmtId="0" fontId="2" fillId="5" borderId="12" xfId="5" applyNumberFormat="1">
      <alignment horizontal="left" vertical="center"/>
    </xf>
    <xf numFmtId="49" fontId="2" fillId="5" borderId="12" xfId="5" applyNumberFormat="1">
      <alignment horizontal="left" vertical="center"/>
    </xf>
    <xf numFmtId="2" fontId="2" fillId="5" borderId="12" xfId="5" applyNumberFormat="1">
      <alignment horizontal="left" vertical="center"/>
    </xf>
    <xf numFmtId="169" fontId="1" fillId="0" borderId="0" xfId="6">
      <alignment vertical="center"/>
    </xf>
    <xf numFmtId="169" fontId="1" fillId="13" borderId="0" xfId="6" applyFill="1">
      <alignment vertical="center"/>
    </xf>
    <xf numFmtId="0" fontId="13" fillId="0" borderId="29" xfId="0" applyFont="1" applyFill="1" applyBorder="1"/>
    <xf numFmtId="0" fontId="13" fillId="0" borderId="2" xfId="0" applyFont="1" applyFill="1" applyBorder="1"/>
    <xf numFmtId="0" fontId="13" fillId="0" borderId="1" xfId="0" applyFont="1" applyFill="1" applyBorder="1"/>
    <xf numFmtId="0" fontId="13" fillId="0" borderId="3" xfId="0" applyFont="1" applyFill="1" applyBorder="1"/>
    <xf numFmtId="169" fontId="13" fillId="0" borderId="2" xfId="0" applyNumberFormat="1" applyFont="1" applyFill="1" applyBorder="1"/>
    <xf numFmtId="0" fontId="13" fillId="0" borderId="40" xfId="0" applyFont="1" applyFill="1" applyBorder="1"/>
    <xf numFmtId="169" fontId="13" fillId="0" borderId="0" xfId="0" applyNumberFormat="1" applyFont="1" applyFill="1" applyBorder="1"/>
    <xf numFmtId="0" fontId="13" fillId="0" borderId="0" xfId="0" applyFont="1" applyFill="1" applyBorder="1" applyProtection="1">
      <protection locked="0"/>
    </xf>
    <xf numFmtId="166" fontId="13" fillId="0" borderId="0" xfId="0" applyNumberFormat="1" applyFont="1" applyFill="1" applyBorder="1" applyAlignment="1" applyProtection="1">
      <alignment vertical="center"/>
    </xf>
    <xf numFmtId="0" fontId="13" fillId="0" borderId="24" xfId="0" applyFont="1" applyFill="1" applyBorder="1"/>
    <xf numFmtId="0" fontId="13" fillId="0" borderId="2" xfId="0" applyFont="1" applyFill="1" applyBorder="1" applyProtection="1">
      <protection locked="0"/>
    </xf>
    <xf numFmtId="1" fontId="13" fillId="0" borderId="1" xfId="0" applyNumberFormat="1" applyFont="1" applyFill="1" applyBorder="1" applyProtection="1">
      <protection locked="0"/>
    </xf>
    <xf numFmtId="1" fontId="13" fillId="0" borderId="3" xfId="0" applyNumberFormat="1" applyFont="1" applyFill="1" applyBorder="1" applyProtection="1">
      <protection locked="0"/>
    </xf>
    <xf numFmtId="166" fontId="13" fillId="0" borderId="2" xfId="0" applyNumberFormat="1" applyFont="1" applyFill="1" applyBorder="1" applyAlignment="1" applyProtection="1">
      <alignment vertical="center"/>
    </xf>
    <xf numFmtId="49" fontId="13" fillId="0" borderId="29" xfId="0" applyNumberFormat="1" applyFont="1" applyFill="1" applyBorder="1" applyAlignment="1" applyProtection="1">
      <alignment vertical="center"/>
      <protection locked="0"/>
    </xf>
    <xf numFmtId="49" fontId="13" fillId="0" borderId="40" xfId="0" applyNumberFormat="1" applyFont="1" applyFill="1" applyBorder="1" applyAlignment="1" applyProtection="1">
      <alignment vertical="center"/>
      <protection locked="0"/>
    </xf>
    <xf numFmtId="0" fontId="13" fillId="0" borderId="7" xfId="0" applyFont="1" applyFill="1" applyBorder="1" applyProtection="1">
      <protection locked="0"/>
    </xf>
    <xf numFmtId="166" fontId="13" fillId="0" borderId="2" xfId="0" applyNumberFormat="1" applyFont="1" applyFill="1" applyBorder="1"/>
    <xf numFmtId="0" fontId="13" fillId="0" borderId="4" xfId="0" applyFont="1" applyFill="1" applyBorder="1" applyProtection="1">
      <protection locked="0"/>
    </xf>
    <xf numFmtId="0" fontId="13" fillId="0" borderId="6" xfId="0" applyFont="1" applyFill="1" applyBorder="1" applyProtection="1">
      <protection locked="0"/>
    </xf>
    <xf numFmtId="166" fontId="13" fillId="0" borderId="5" xfId="0" applyNumberFormat="1" applyFont="1" applyFill="1" applyBorder="1" applyAlignment="1" applyProtection="1">
      <alignment vertical="center"/>
    </xf>
    <xf numFmtId="166" fontId="13" fillId="0" borderId="26" xfId="0" applyNumberFormat="1" applyFont="1" applyFill="1" applyBorder="1" applyAlignment="1" applyProtection="1">
      <alignment vertical="center"/>
    </xf>
    <xf numFmtId="0" fontId="11" fillId="0" borderId="40" xfId="0" applyNumberFormat="1" applyFont="1" applyFill="1" applyBorder="1" applyAlignment="1" applyProtection="1">
      <alignment vertical="top"/>
    </xf>
    <xf numFmtId="49" fontId="13" fillId="0" borderId="30" xfId="0" applyNumberFormat="1" applyFont="1" applyFill="1" applyBorder="1" applyAlignment="1" applyProtection="1">
      <alignment vertical="center"/>
      <protection locked="0"/>
    </xf>
    <xf numFmtId="0" fontId="13" fillId="0" borderId="26" xfId="0" applyFont="1" applyFill="1" applyBorder="1" applyProtection="1">
      <protection locked="0"/>
    </xf>
    <xf numFmtId="0" fontId="13" fillId="0" borderId="23" xfId="0" applyFont="1" applyFill="1" applyBorder="1" applyProtection="1">
      <protection locked="0"/>
    </xf>
    <xf numFmtId="0" fontId="13" fillId="0" borderId="27" xfId="0" applyFont="1" applyFill="1" applyBorder="1" applyProtection="1">
      <protection locked="0"/>
    </xf>
    <xf numFmtId="0" fontId="13" fillId="0" borderId="28" xfId="0" applyNumberFormat="1" applyFont="1" applyFill="1" applyBorder="1" applyProtection="1">
      <protection locked="0"/>
    </xf>
    <xf numFmtId="0" fontId="13" fillId="0" borderId="26" xfId="0" applyFont="1" applyFill="1" applyBorder="1"/>
    <xf numFmtId="0" fontId="13" fillId="0" borderId="23" xfId="0" applyFont="1" applyFill="1" applyBorder="1"/>
    <xf numFmtId="0" fontId="13" fillId="0" borderId="27" xfId="0" applyFont="1" applyFill="1" applyBorder="1"/>
    <xf numFmtId="169" fontId="13" fillId="0" borderId="26" xfId="0" applyNumberFormat="1" applyFont="1" applyFill="1" applyBorder="1"/>
    <xf numFmtId="0" fontId="11" fillId="0" borderId="24" xfId="0" applyNumberFormat="1" applyFont="1" applyFill="1" applyBorder="1" applyAlignment="1" applyProtection="1">
      <alignment vertical="top"/>
    </xf>
    <xf numFmtId="169" fontId="13" fillId="0" borderId="5" xfId="0" applyNumberFormat="1" applyFont="1" applyFill="1" applyBorder="1"/>
    <xf numFmtId="0" fontId="13" fillId="0" borderId="30" xfId="0" applyFont="1" applyFill="1" applyBorder="1"/>
    <xf numFmtId="0" fontId="2" fillId="5" borderId="44" xfId="5" applyNumberFormat="1" applyBorder="1">
      <alignment horizontal="left" vertical="center"/>
    </xf>
    <xf numFmtId="169" fontId="2" fillId="5" borderId="44" xfId="5" applyNumberFormat="1" applyBorder="1">
      <alignment horizontal="left" vertical="center"/>
    </xf>
    <xf numFmtId="49" fontId="2" fillId="5" borderId="44" xfId="5" applyNumberFormat="1" applyBorder="1">
      <alignment horizontal="left" vertical="center"/>
    </xf>
    <xf numFmtId="49" fontId="13" fillId="6" borderId="3" xfId="0" applyNumberFormat="1" applyFont="1" applyFill="1" applyBorder="1" applyAlignment="1">
      <alignment horizontal="left"/>
    </xf>
    <xf numFmtId="0" fontId="11" fillId="0" borderId="30" xfId="0" applyFont="1" applyFill="1" applyBorder="1"/>
    <xf numFmtId="166" fontId="13" fillId="0" borderId="26" xfId="0" applyNumberFormat="1" applyFont="1" applyFill="1" applyBorder="1"/>
    <xf numFmtId="49" fontId="13" fillId="17" borderId="27" xfId="0" applyNumberFormat="1" applyFont="1" applyFill="1" applyBorder="1" applyAlignment="1">
      <alignment horizontal="left"/>
    </xf>
    <xf numFmtId="0" fontId="11" fillId="0" borderId="29" xfId="0" applyNumberFormat="1" applyFont="1" applyFill="1" applyBorder="1" applyAlignment="1" applyProtection="1">
      <alignment vertical="top"/>
    </xf>
    <xf numFmtId="166" fontId="13" fillId="0" borderId="3" xfId="0" applyNumberFormat="1" applyFont="1" applyFill="1" applyBorder="1" applyAlignment="1" applyProtection="1">
      <alignment vertical="center"/>
    </xf>
    <xf numFmtId="166" fontId="13" fillId="0" borderId="7" xfId="0" applyNumberFormat="1" applyFont="1" applyFill="1" applyBorder="1"/>
    <xf numFmtId="49" fontId="13" fillId="0" borderId="4" xfId="0" applyNumberFormat="1" applyFont="1" applyFill="1" applyBorder="1" applyProtection="1">
      <protection locked="0"/>
    </xf>
    <xf numFmtId="166" fontId="13" fillId="0" borderId="6" xfId="0" applyNumberFormat="1" applyFont="1" applyFill="1" applyBorder="1" applyAlignment="1" applyProtection="1">
      <alignment vertical="center"/>
    </xf>
    <xf numFmtId="49" fontId="13" fillId="0" borderId="45" xfId="0" applyNumberFormat="1" applyFont="1" applyFill="1" applyBorder="1" applyProtection="1">
      <protection locked="0"/>
    </xf>
    <xf numFmtId="0" fontId="13" fillId="0" borderId="46" xfId="0" applyFont="1" applyFill="1" applyBorder="1"/>
    <xf numFmtId="49" fontId="13" fillId="0" borderId="47" xfId="0" applyNumberFormat="1" applyFont="1" applyFill="1" applyBorder="1" applyProtection="1">
      <protection locked="0"/>
    </xf>
    <xf numFmtId="0" fontId="13" fillId="0" borderId="29" xfId="0" applyFont="1" applyFill="1" applyBorder="1" applyProtection="1">
      <protection locked="0"/>
    </xf>
    <xf numFmtId="0" fontId="13" fillId="0" borderId="24" xfId="0" applyFont="1" applyFill="1" applyBorder="1" applyProtection="1">
      <protection locked="0"/>
    </xf>
    <xf numFmtId="1" fontId="13" fillId="0" borderId="4" xfId="0" applyNumberFormat="1" applyFont="1" applyFill="1" applyBorder="1" applyProtection="1">
      <protection locked="0"/>
    </xf>
    <xf numFmtId="1" fontId="13" fillId="0" borderId="6" xfId="0" applyNumberFormat="1" applyFont="1" applyFill="1" applyBorder="1" applyProtection="1">
      <protection locked="0"/>
    </xf>
    <xf numFmtId="0" fontId="13" fillId="0" borderId="7" xfId="0" applyNumberFormat="1" applyFont="1" applyFill="1" applyBorder="1" applyProtection="1">
      <protection locked="0"/>
    </xf>
    <xf numFmtId="49" fontId="13" fillId="0" borderId="1" xfId="0" applyNumberFormat="1" applyFont="1" applyFill="1" applyBorder="1" applyAlignment="1" applyProtection="1">
      <alignment vertical="center"/>
      <protection locked="0"/>
    </xf>
    <xf numFmtId="49" fontId="13" fillId="0" borderId="28" xfId="0" applyNumberFormat="1" applyFont="1" applyFill="1" applyBorder="1" applyProtection="1">
      <protection locked="0"/>
    </xf>
    <xf numFmtId="0" fontId="13" fillId="0" borderId="40" xfId="0" applyNumberFormat="1" applyFont="1" applyFill="1" applyBorder="1" applyProtection="1">
      <protection locked="0"/>
    </xf>
    <xf numFmtId="0" fontId="13" fillId="0" borderId="1" xfId="0" applyFont="1" applyFill="1" applyBorder="1" applyProtection="1">
      <protection locked="0"/>
    </xf>
    <xf numFmtId="0" fontId="13" fillId="0" borderId="3" xfId="0" applyFont="1" applyFill="1" applyBorder="1" applyProtection="1">
      <protection locked="0"/>
    </xf>
    <xf numFmtId="49" fontId="13" fillId="0" borderId="7" xfId="0" applyNumberFormat="1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 vertical="center"/>
    </xf>
    <xf numFmtId="49" fontId="13" fillId="0" borderId="27" xfId="0" applyNumberFormat="1" applyFont="1" applyFill="1" applyBorder="1" applyAlignment="1" applyProtection="1">
      <alignment horizontal="left"/>
      <protection locked="0"/>
    </xf>
    <xf numFmtId="49" fontId="13" fillId="0" borderId="27" xfId="0" applyNumberFormat="1" applyFont="1" applyFill="1" applyBorder="1" applyAlignment="1">
      <alignment horizontal="left"/>
    </xf>
    <xf numFmtId="0" fontId="13" fillId="18" borderId="3" xfId="0" applyNumberFormat="1" applyFont="1" applyFill="1" applyBorder="1" applyAlignment="1" applyProtection="1">
      <alignment horizontal="left"/>
      <protection locked="0"/>
    </xf>
    <xf numFmtId="0" fontId="13" fillId="18" borderId="27" xfId="0" applyNumberFormat="1" applyFont="1" applyFill="1" applyBorder="1" applyAlignment="1" applyProtection="1">
      <alignment horizontal="left"/>
      <protection locked="0"/>
    </xf>
    <xf numFmtId="0" fontId="13" fillId="0" borderId="28" xfId="0" applyFont="1" applyBorder="1"/>
    <xf numFmtId="0" fontId="13" fillId="0" borderId="7" xfId="0" applyNumberFormat="1" applyFont="1" applyFill="1" applyBorder="1" applyAlignment="1">
      <alignment horizontal="left"/>
    </xf>
    <xf numFmtId="0" fontId="13" fillId="0" borderId="4" xfId="0" applyFont="1" applyBorder="1"/>
    <xf numFmtId="166" fontId="13" fillId="0" borderId="5" xfId="0" applyNumberFormat="1" applyFont="1" applyBorder="1"/>
    <xf numFmtId="0" fontId="13" fillId="0" borderId="6" xfId="0" applyNumberFormat="1" applyFont="1" applyFill="1" applyBorder="1" applyAlignment="1">
      <alignment horizontal="left"/>
    </xf>
    <xf numFmtId="0" fontId="13" fillId="0" borderId="7" xfId="0" applyFont="1" applyBorder="1"/>
    <xf numFmtId="0" fontId="13" fillId="0" borderId="6" xfId="0" applyFont="1" applyBorder="1"/>
    <xf numFmtId="0" fontId="13" fillId="0" borderId="40" xfId="0" applyFont="1" applyBorder="1"/>
    <xf numFmtId="0" fontId="13" fillId="0" borderId="24" xfId="0" applyFont="1" applyBorder="1"/>
    <xf numFmtId="0" fontId="8" fillId="0" borderId="28" xfId="0" applyFont="1" applyBorder="1"/>
    <xf numFmtId="0" fontId="0" fillId="0" borderId="30" xfId="0" applyBorder="1"/>
    <xf numFmtId="0" fontId="0" fillId="0" borderId="27" xfId="0" applyBorder="1"/>
    <xf numFmtId="169" fontId="13" fillId="0" borderId="26" xfId="6" applyFont="1" applyBorder="1">
      <alignment vertical="center"/>
    </xf>
    <xf numFmtId="0" fontId="11" fillId="0" borderId="1" xfId="0" applyNumberFormat="1" applyFont="1" applyFill="1" applyBorder="1" applyAlignment="1" applyProtection="1">
      <alignment vertical="top"/>
    </xf>
    <xf numFmtId="0" fontId="11" fillId="0" borderId="28" xfId="0" applyNumberFormat="1" applyFont="1" applyFill="1" applyBorder="1" applyAlignment="1" applyProtection="1">
      <alignment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13" fillId="6" borderId="29" xfId="0" applyNumberFormat="1" applyFont="1" applyFill="1" applyBorder="1" applyAlignment="1">
      <alignment horizontal="left"/>
    </xf>
    <xf numFmtId="0" fontId="13" fillId="6" borderId="40" xfId="0" applyNumberFormat="1" applyFont="1" applyFill="1" applyBorder="1" applyAlignment="1">
      <alignment horizontal="left"/>
    </xf>
    <xf numFmtId="0" fontId="13" fillId="6" borderId="24" xfId="0" applyNumberFormat="1" applyFont="1" applyFill="1" applyBorder="1" applyAlignment="1">
      <alignment horizontal="left"/>
    </xf>
    <xf numFmtId="0" fontId="13" fillId="0" borderId="7" xfId="0" applyNumberFormat="1" applyFont="1" applyFill="1" applyBorder="1" applyAlignment="1" applyProtection="1">
      <alignment horizontal="left"/>
      <protection locked="0"/>
    </xf>
    <xf numFmtId="0" fontId="13" fillId="6" borderId="3" xfId="0" applyNumberFormat="1" applyFont="1" applyFill="1" applyBorder="1" applyAlignment="1">
      <alignment horizontal="left"/>
    </xf>
    <xf numFmtId="0" fontId="13" fillId="6" borderId="6" xfId="0" applyNumberFormat="1" applyFont="1" applyFill="1" applyBorder="1" applyAlignment="1">
      <alignment horizontal="left"/>
    </xf>
    <xf numFmtId="0" fontId="13" fillId="6" borderId="27" xfId="0" applyNumberFormat="1" applyFont="1" applyFill="1" applyBorder="1" applyAlignment="1">
      <alignment horizontal="left"/>
    </xf>
    <xf numFmtId="0" fontId="13" fillId="6" borderId="7" xfId="0" applyNumberFormat="1" applyFont="1" applyFill="1" applyBorder="1" applyAlignment="1">
      <alignment horizontal="left"/>
    </xf>
    <xf numFmtId="0" fontId="13" fillId="0" borderId="27" xfId="0" applyNumberFormat="1" applyFont="1" applyFill="1" applyBorder="1" applyAlignment="1">
      <alignment horizontal="left"/>
    </xf>
    <xf numFmtId="0" fontId="13" fillId="19" borderId="3" xfId="0" applyNumberFormat="1" applyFont="1" applyFill="1" applyBorder="1" applyAlignment="1">
      <alignment horizontal="left"/>
    </xf>
    <xf numFmtId="0" fontId="13" fillId="18" borderId="7" xfId="0" applyNumberFormat="1" applyFont="1" applyFill="1" applyBorder="1" applyAlignment="1" applyProtection="1">
      <alignment horizontal="left"/>
      <protection locked="0"/>
    </xf>
    <xf numFmtId="0" fontId="13" fillId="6" borderId="0" xfId="0" applyNumberFormat="1" applyFont="1" applyFill="1" applyBorder="1" applyAlignment="1">
      <alignment horizontal="left"/>
    </xf>
    <xf numFmtId="0" fontId="13" fillId="18" borderId="0" xfId="0" applyNumberFormat="1" applyFont="1" applyFill="1" applyBorder="1" applyAlignment="1" applyProtection="1">
      <alignment horizontal="left"/>
      <protection locked="0"/>
    </xf>
    <xf numFmtId="1" fontId="1" fillId="0" borderId="0" xfId="6" applyNumberFormat="1">
      <alignment vertical="center"/>
    </xf>
    <xf numFmtId="171" fontId="1" fillId="0" borderId="0" xfId="6" applyNumberFormat="1">
      <alignment vertical="center"/>
    </xf>
    <xf numFmtId="0" fontId="0" fillId="0" borderId="0" xfId="0" applyAlignment="1">
      <alignment horizontal="center" vertical="center"/>
    </xf>
    <xf numFmtId="169" fontId="1" fillId="0" borderId="0" xfId="6" applyFill="1">
      <alignment vertical="center"/>
    </xf>
    <xf numFmtId="171" fontId="1" fillId="0" borderId="0" xfId="6" applyNumberFormat="1" applyFill="1">
      <alignment vertical="center"/>
    </xf>
    <xf numFmtId="1" fontId="1" fillId="0" borderId="0" xfId="6" applyNumberFormat="1" applyFont="1">
      <alignment vertical="center"/>
    </xf>
    <xf numFmtId="169" fontId="10" fillId="21" borderId="48" xfId="6" applyNumberFormat="1" applyFont="1" applyFill="1" applyBorder="1" applyAlignment="1">
      <alignment vertical="center"/>
    </xf>
    <xf numFmtId="169" fontId="10" fillId="21" borderId="41" xfId="6" applyNumberFormat="1" applyFont="1" applyFill="1" applyBorder="1" applyAlignment="1">
      <alignment vertical="center"/>
    </xf>
    <xf numFmtId="1" fontId="10" fillId="21" borderId="41" xfId="6" applyNumberFormat="1" applyFont="1" applyFill="1" applyBorder="1" applyAlignment="1">
      <alignment vertical="center"/>
    </xf>
    <xf numFmtId="169" fontId="10" fillId="21" borderId="49" xfId="6" applyNumberFormat="1" applyFont="1" applyFill="1" applyBorder="1" applyAlignment="1">
      <alignment vertical="center"/>
    </xf>
    <xf numFmtId="11" fontId="1" fillId="0" borderId="0" xfId="6" applyNumberFormat="1">
      <alignment vertical="center"/>
    </xf>
    <xf numFmtId="1" fontId="1" fillId="13" borderId="0" xfId="6" applyNumberFormat="1" applyFill="1">
      <alignment vertical="center"/>
    </xf>
    <xf numFmtId="171" fontId="1" fillId="13" borderId="0" xfId="6" applyNumberFormat="1" applyFill="1">
      <alignment vertical="center"/>
    </xf>
    <xf numFmtId="169" fontId="1" fillId="22" borderId="0" xfId="6" applyFill="1">
      <alignment vertical="center"/>
    </xf>
    <xf numFmtId="1" fontId="1" fillId="22" borderId="0" xfId="6" applyNumberFormat="1" applyFill="1">
      <alignment vertical="center"/>
    </xf>
    <xf numFmtId="171" fontId="1" fillId="22" borderId="0" xfId="6" applyNumberFormat="1" applyFill="1">
      <alignment vertical="center"/>
    </xf>
    <xf numFmtId="169" fontId="1" fillId="6" borderId="0" xfId="6" applyFill="1">
      <alignment vertical="center"/>
    </xf>
    <xf numFmtId="1" fontId="1" fillId="6" borderId="0" xfId="6" applyNumberFormat="1" applyFill="1">
      <alignment vertical="center"/>
    </xf>
    <xf numFmtId="1" fontId="1" fillId="0" borderId="29" xfId="6" applyNumberFormat="1" applyBorder="1">
      <alignment vertical="center"/>
    </xf>
    <xf numFmtId="1" fontId="1" fillId="0" borderId="40" xfId="6" applyNumberFormat="1" applyBorder="1">
      <alignment vertical="center"/>
    </xf>
    <xf numFmtId="1" fontId="1" fillId="0" borderId="24" xfId="6" applyNumberFormat="1" applyBorder="1">
      <alignment vertical="center"/>
    </xf>
    <xf numFmtId="1" fontId="1" fillId="0" borderId="30" xfId="6" applyNumberFormat="1" applyBorder="1">
      <alignment vertical="center"/>
    </xf>
    <xf numFmtId="0" fontId="2" fillId="5" borderId="38" xfId="5" applyNumberFormat="1" applyBorder="1">
      <alignment horizontal="left" vertical="center"/>
    </xf>
    <xf numFmtId="169" fontId="2" fillId="5" borderId="38" xfId="5" applyNumberFormat="1" applyBorder="1">
      <alignment horizontal="left" vertical="center"/>
    </xf>
    <xf numFmtId="49" fontId="2" fillId="5" borderId="38" xfId="5" applyNumberFormat="1" applyBorder="1">
      <alignment horizontal="left" vertical="center"/>
    </xf>
    <xf numFmtId="169" fontId="2" fillId="5" borderId="31" xfId="5" applyNumberFormat="1" applyBorder="1" applyAlignment="1">
      <alignment horizontal="left" vertical="center"/>
    </xf>
    <xf numFmtId="49" fontId="13" fillId="0" borderId="24" xfId="0" applyNumberFormat="1" applyFont="1" applyFill="1" applyBorder="1" applyAlignment="1" applyProtection="1">
      <alignment vertical="center"/>
      <protection locked="0"/>
    </xf>
    <xf numFmtId="49" fontId="13" fillId="0" borderId="24" xfId="0" applyNumberFormat="1" applyFont="1" applyFill="1" applyBorder="1" applyProtection="1">
      <protection locked="0"/>
    </xf>
    <xf numFmtId="49" fontId="13" fillId="0" borderId="28" xfId="0" applyNumberFormat="1" applyFont="1" applyFill="1" applyBorder="1" applyAlignment="1" applyProtection="1">
      <alignment vertical="center"/>
      <protection locked="0"/>
    </xf>
    <xf numFmtId="0" fontId="11" fillId="0" borderId="46" xfId="0" applyNumberFormat="1" applyFont="1" applyFill="1" applyBorder="1" applyAlignment="1" applyProtection="1">
      <alignment vertical="top"/>
    </xf>
    <xf numFmtId="0" fontId="11" fillId="0" borderId="45" xfId="0" applyNumberFormat="1" applyFont="1" applyFill="1" applyBorder="1" applyAlignment="1" applyProtection="1">
      <alignment vertical="top"/>
    </xf>
    <xf numFmtId="49" fontId="13" fillId="0" borderId="29" xfId="0" applyNumberFormat="1" applyFont="1" applyFill="1" applyBorder="1" applyProtection="1">
      <protection locked="0"/>
    </xf>
    <xf numFmtId="0" fontId="11" fillId="0" borderId="28" xfId="0" applyFont="1" applyFill="1" applyBorder="1"/>
    <xf numFmtId="0" fontId="13" fillId="0" borderId="5" xfId="0" applyFont="1" applyFill="1" applyBorder="1" applyProtection="1">
      <protection locked="0"/>
    </xf>
    <xf numFmtId="0" fontId="13" fillId="0" borderId="40" xfId="0" applyFont="1" applyFill="1" applyBorder="1" applyProtection="1">
      <protection locked="0"/>
    </xf>
    <xf numFmtId="0" fontId="13" fillId="0" borderId="5" xfId="0" applyFont="1" applyBorder="1"/>
    <xf numFmtId="0" fontId="13" fillId="0" borderId="2" xfId="0" applyFont="1" applyBorder="1"/>
    <xf numFmtId="0" fontId="13" fillId="0" borderId="5" xfId="0" applyNumberFormat="1" applyFont="1" applyFill="1" applyBorder="1" applyProtection="1">
      <protection locked="0"/>
    </xf>
    <xf numFmtId="0" fontId="13" fillId="0" borderId="26" xfId="0" applyFont="1" applyBorder="1"/>
    <xf numFmtId="1" fontId="13" fillId="0" borderId="28" xfId="0" applyNumberFormat="1" applyFont="1" applyFill="1" applyBorder="1" applyProtection="1">
      <protection locked="0"/>
    </xf>
    <xf numFmtId="0" fontId="13" fillId="0" borderId="1" xfId="0" applyFont="1" applyBorder="1"/>
    <xf numFmtId="0" fontId="13" fillId="0" borderId="4" xfId="0" applyNumberFormat="1" applyFont="1" applyFill="1" applyBorder="1" applyProtection="1">
      <protection locked="0"/>
    </xf>
    <xf numFmtId="0" fontId="13" fillId="0" borderId="28" xfId="0" applyFont="1" applyFill="1" applyBorder="1" applyProtection="1">
      <protection locked="0"/>
    </xf>
    <xf numFmtId="0" fontId="13" fillId="0" borderId="23" xfId="0" applyFont="1" applyBorder="1"/>
    <xf numFmtId="1" fontId="13" fillId="0" borderId="7" xfId="0" applyNumberFormat="1" applyFont="1" applyFill="1" applyBorder="1" applyProtection="1">
      <protection locked="0"/>
    </xf>
    <xf numFmtId="0" fontId="13" fillId="0" borderId="3" xfId="0" applyFont="1" applyBorder="1"/>
    <xf numFmtId="0" fontId="13" fillId="0" borderId="6" xfId="0" applyNumberFormat="1" applyFont="1" applyFill="1" applyBorder="1" applyProtection="1">
      <protection locked="0"/>
    </xf>
    <xf numFmtId="0" fontId="13" fillId="0" borderId="27" xfId="0" applyFont="1" applyBorder="1"/>
    <xf numFmtId="166" fontId="13" fillId="0" borderId="26" xfId="0" applyNumberFormat="1" applyFont="1" applyBorder="1"/>
    <xf numFmtId="169" fontId="13" fillId="0" borderId="7" xfId="0" applyNumberFormat="1" applyFont="1" applyFill="1" applyBorder="1"/>
    <xf numFmtId="169" fontId="13" fillId="0" borderId="3" xfId="0" applyNumberFormat="1" applyFont="1" applyFill="1" applyBorder="1"/>
    <xf numFmtId="0" fontId="13" fillId="18" borderId="6" xfId="0" applyNumberFormat="1" applyFont="1" applyFill="1" applyBorder="1" applyAlignment="1" applyProtection="1">
      <alignment horizontal="left"/>
      <protection locked="0"/>
    </xf>
    <xf numFmtId="0" fontId="13" fillId="6" borderId="30" xfId="0" applyNumberFormat="1" applyFont="1" applyFill="1" applyBorder="1" applyAlignment="1">
      <alignment horizontal="left"/>
    </xf>
    <xf numFmtId="0" fontId="13" fillId="0" borderId="24" xfId="0" applyNumberFormat="1" applyFont="1" applyFill="1" applyBorder="1" applyAlignment="1">
      <alignment horizontal="left"/>
    </xf>
    <xf numFmtId="0" fontId="13" fillId="0" borderId="3" xfId="0" applyNumberFormat="1" applyFont="1" applyFill="1" applyBorder="1" applyAlignment="1">
      <alignment horizontal="left"/>
    </xf>
    <xf numFmtId="0" fontId="13" fillId="0" borderId="40" xfId="0" applyNumberFormat="1" applyFont="1" applyFill="1" applyBorder="1" applyAlignment="1">
      <alignment horizontal="left"/>
    </xf>
    <xf numFmtId="0" fontId="13" fillId="19" borderId="29" xfId="0" applyNumberFormat="1" applyFont="1" applyFill="1" applyBorder="1" applyAlignment="1">
      <alignment horizontal="left"/>
    </xf>
    <xf numFmtId="0" fontId="13" fillId="17" borderId="7" xfId="0" applyNumberFormat="1" applyFont="1" applyFill="1" applyBorder="1" applyAlignment="1">
      <alignment horizontal="left"/>
    </xf>
    <xf numFmtId="0" fontId="13" fillId="0" borderId="3" xfId="0" applyNumberFormat="1" applyFont="1" applyFill="1" applyBorder="1" applyAlignment="1" applyProtection="1">
      <alignment horizontal="left"/>
      <protection locked="0"/>
    </xf>
    <xf numFmtId="0" fontId="13" fillId="23" borderId="24" xfId="0" applyFont="1" applyFill="1" applyBorder="1"/>
    <xf numFmtId="0" fontId="13" fillId="23" borderId="29" xfId="0" applyFont="1" applyFill="1" applyBorder="1"/>
    <xf numFmtId="0" fontId="11" fillId="23" borderId="24" xfId="0" applyNumberFormat="1" applyFont="1" applyFill="1" applyBorder="1" applyAlignment="1" applyProtection="1">
      <alignment vertical="top"/>
    </xf>
    <xf numFmtId="0" fontId="13" fillId="23" borderId="30" xfId="0" applyFont="1" applyFill="1" applyBorder="1"/>
    <xf numFmtId="0" fontId="11" fillId="23" borderId="30" xfId="0" applyNumberFormat="1" applyFont="1" applyFill="1" applyBorder="1" applyAlignment="1" applyProtection="1">
      <alignment vertical="top"/>
    </xf>
    <xf numFmtId="0" fontId="8" fillId="23" borderId="30" xfId="0" applyFont="1" applyFill="1" applyBorder="1"/>
    <xf numFmtId="0" fontId="13" fillId="23" borderId="40" xfId="0" applyFont="1" applyFill="1" applyBorder="1"/>
    <xf numFmtId="0" fontId="13" fillId="23" borderId="28" xfId="0" applyFont="1" applyFill="1" applyBorder="1"/>
    <xf numFmtId="0" fontId="13" fillId="23" borderId="4" xfId="0" applyFont="1" applyFill="1" applyBorder="1"/>
    <xf numFmtId="0" fontId="0" fillId="0" borderId="0" xfId="0" applyAlignment="1">
      <alignment horizontal="center" vertical="center"/>
    </xf>
    <xf numFmtId="169" fontId="1" fillId="0" borderId="0" xfId="6" applyAlignment="1">
      <alignment horizontal="center" vertical="center"/>
    </xf>
    <xf numFmtId="166" fontId="13" fillId="0" borderId="0" xfId="0" applyNumberFormat="1" applyFont="1" applyBorder="1" applyAlignment="1" applyProtection="1">
      <alignment vertical="center"/>
    </xf>
    <xf numFmtId="173" fontId="0" fillId="0" borderId="0" xfId="0" applyNumberFormat="1"/>
    <xf numFmtId="173" fontId="0" fillId="0" borderId="0" xfId="0" applyNumberFormat="1" applyProtection="1">
      <protection locked="0"/>
    </xf>
    <xf numFmtId="174" fontId="2" fillId="5" borderId="12" xfId="5" applyNumberFormat="1">
      <alignment horizontal="left" vertical="center"/>
    </xf>
    <xf numFmtId="174" fontId="0" fillId="0" borderId="0" xfId="0" applyNumberFormat="1"/>
    <xf numFmtId="174" fontId="0" fillId="0" borderId="0" xfId="0" applyNumberFormat="1" applyProtection="1">
      <protection locked="0"/>
    </xf>
    <xf numFmtId="175" fontId="0" fillId="0" borderId="0" xfId="0" applyNumberFormat="1"/>
    <xf numFmtId="175" fontId="0" fillId="0" borderId="0" xfId="0" applyNumberFormat="1" applyProtection="1">
      <protection locked="0"/>
    </xf>
    <xf numFmtId="176" fontId="0" fillId="0" borderId="0" xfId="0" applyNumberFormat="1"/>
    <xf numFmtId="176" fontId="0" fillId="0" borderId="0" xfId="0" applyNumberFormat="1" applyProtection="1">
      <protection locked="0"/>
    </xf>
    <xf numFmtId="0" fontId="0" fillId="0" borderId="40" xfId="0" applyBorder="1"/>
    <xf numFmtId="0" fontId="11" fillId="0" borderId="4" xfId="0" applyNumberFormat="1" applyFont="1" applyFill="1" applyBorder="1" applyAlignment="1" applyProtection="1">
      <alignment vertical="top"/>
    </xf>
    <xf numFmtId="0" fontId="0" fillId="0" borderId="7" xfId="0" applyBorder="1"/>
    <xf numFmtId="169" fontId="13" fillId="0" borderId="0" xfId="6" applyFont="1" applyBorder="1">
      <alignment vertical="center"/>
    </xf>
    <xf numFmtId="49" fontId="13" fillId="0" borderId="0" xfId="0" applyNumberFormat="1" applyFont="1" applyFill="1" applyBorder="1" applyAlignment="1">
      <alignment horizontal="left"/>
    </xf>
    <xf numFmtId="176" fontId="2" fillId="5" borderId="44" xfId="5" applyNumberFormat="1" applyBorder="1">
      <alignment horizontal="left" vertical="center"/>
    </xf>
    <xf numFmtId="174" fontId="2" fillId="5" borderId="44" xfId="5" applyNumberFormat="1" applyBorder="1">
      <alignment horizontal="left" vertical="center"/>
    </xf>
    <xf numFmtId="173" fontId="2" fillId="5" borderId="44" xfId="5" applyNumberFormat="1" applyBorder="1">
      <alignment horizontal="left" vertical="center"/>
    </xf>
    <xf numFmtId="0" fontId="13" fillId="13" borderId="0" xfId="0" applyFont="1" applyFill="1" applyBorder="1"/>
    <xf numFmtId="167" fontId="13" fillId="13" borderId="0" xfId="0" applyNumberFormat="1" applyFont="1" applyFill="1" applyBorder="1" applyProtection="1">
      <protection locked="0"/>
    </xf>
    <xf numFmtId="176" fontId="13" fillId="15" borderId="0" xfId="0" applyNumberFormat="1" applyFont="1" applyFill="1" applyBorder="1" applyAlignment="1" applyProtection="1">
      <alignment vertical="center"/>
    </xf>
    <xf numFmtId="175" fontId="13" fillId="0" borderId="0" xfId="0" applyNumberFormat="1" applyFont="1" applyBorder="1" applyAlignment="1" applyProtection="1">
      <alignment vertical="center"/>
    </xf>
    <xf numFmtId="174" fontId="13" fillId="25" borderId="0" xfId="0" applyNumberFormat="1" applyFont="1" applyFill="1" applyBorder="1" applyAlignment="1" applyProtection="1">
      <alignment vertical="center"/>
    </xf>
    <xf numFmtId="174" fontId="13" fillId="8" borderId="0" xfId="0" applyNumberFormat="1" applyFont="1" applyFill="1" applyBorder="1" applyAlignment="1" applyProtection="1">
      <alignment vertical="center"/>
    </xf>
    <xf numFmtId="173" fontId="13" fillId="0" borderId="0" xfId="0" applyNumberFormat="1" applyFont="1" applyBorder="1" applyAlignment="1" applyProtection="1">
      <alignment vertical="center"/>
    </xf>
    <xf numFmtId="166" fontId="13" fillId="13" borderId="0" xfId="0" applyNumberFormat="1" applyFont="1" applyFill="1" applyBorder="1" applyAlignment="1" applyProtection="1">
      <alignment vertical="center"/>
    </xf>
    <xf numFmtId="0" fontId="13" fillId="0" borderId="0" xfId="0" applyFont="1" applyProtection="1">
      <protection locked="0"/>
    </xf>
    <xf numFmtId="175" fontId="2" fillId="5" borderId="44" xfId="5" applyNumberFormat="1" applyBorder="1" applyAlignment="1">
      <alignment vertical="center"/>
    </xf>
    <xf numFmtId="0" fontId="13" fillId="16" borderId="0" xfId="0" applyFont="1" applyFill="1" applyBorder="1"/>
    <xf numFmtId="0" fontId="13" fillId="16" borderId="0" xfId="0" applyFont="1" applyFill="1" applyBorder="1" applyAlignment="1" applyProtection="1">
      <alignment vertical="center"/>
      <protection locked="0"/>
    </xf>
    <xf numFmtId="0" fontId="13" fillId="16" borderId="0" xfId="0" applyFont="1" applyFill="1" applyBorder="1" applyAlignment="1" applyProtection="1">
      <alignment vertical="center"/>
    </xf>
    <xf numFmtId="0" fontId="0" fillId="16" borderId="0" xfId="0" applyFill="1"/>
    <xf numFmtId="0" fontId="9" fillId="16" borderId="52" xfId="0" applyFont="1" applyFill="1" applyBorder="1"/>
    <xf numFmtId="0" fontId="13" fillId="16" borderId="51" xfId="0" applyFont="1" applyFill="1" applyBorder="1" applyAlignment="1">
      <alignment vertical="center"/>
    </xf>
    <xf numFmtId="167" fontId="13" fillId="13" borderId="51" xfId="0" applyNumberFormat="1" applyFont="1" applyFill="1" applyBorder="1"/>
    <xf numFmtId="167" fontId="13" fillId="13" borderId="51" xfId="0" applyNumberFormat="1" applyFont="1" applyFill="1" applyBorder="1" applyAlignment="1">
      <alignment vertical="center"/>
    </xf>
    <xf numFmtId="174" fontId="13" fillId="25" borderId="51" xfId="0" applyNumberFormat="1" applyFont="1" applyFill="1" applyBorder="1" applyAlignment="1">
      <alignment vertical="center"/>
    </xf>
    <xf numFmtId="0" fontId="9" fillId="16" borderId="0" xfId="0" applyFont="1" applyFill="1" applyBorder="1"/>
    <xf numFmtId="0" fontId="13" fillId="16" borderId="0" xfId="0" applyFont="1" applyFill="1" applyBorder="1" applyAlignment="1">
      <alignment vertical="center"/>
    </xf>
    <xf numFmtId="167" fontId="13" fillId="13" borderId="0" xfId="0" applyNumberFormat="1" applyFont="1" applyFill="1" applyBorder="1"/>
    <xf numFmtId="167" fontId="13" fillId="13" borderId="0" xfId="0" applyNumberFormat="1" applyFont="1" applyFill="1" applyBorder="1" applyAlignment="1">
      <alignment vertical="center"/>
    </xf>
    <xf numFmtId="176" fontId="13" fillId="15" borderId="0" xfId="0" applyNumberFormat="1" applyFont="1" applyFill="1" applyBorder="1" applyAlignment="1">
      <alignment vertical="center"/>
    </xf>
    <xf numFmtId="175" fontId="13" fillId="0" borderId="0" xfId="0" applyNumberFormat="1" applyFont="1" applyBorder="1" applyAlignment="1">
      <alignment vertical="center"/>
    </xf>
    <xf numFmtId="174" fontId="13" fillId="25" borderId="0" xfId="0" applyNumberFormat="1" applyFont="1" applyFill="1" applyBorder="1" applyAlignment="1">
      <alignment vertical="center"/>
    </xf>
    <xf numFmtId="174" fontId="13" fillId="8" borderId="0" xfId="0" applyNumberFormat="1" applyFont="1" applyFill="1" applyBorder="1" applyAlignment="1">
      <alignment vertical="center"/>
    </xf>
    <xf numFmtId="173" fontId="13" fillId="0" borderId="0" xfId="0" applyNumberFormat="1" applyFont="1" applyBorder="1" applyAlignment="1">
      <alignment vertical="center"/>
    </xf>
    <xf numFmtId="166" fontId="13" fillId="13" borderId="0" xfId="0" applyNumberFormat="1" applyFont="1" applyFill="1" applyBorder="1" applyAlignment="1">
      <alignment vertical="center"/>
    </xf>
    <xf numFmtId="166" fontId="13" fillId="0" borderId="0" xfId="0" applyNumberFormat="1" applyFont="1" applyBorder="1" applyAlignment="1">
      <alignment vertical="center"/>
    </xf>
    <xf numFmtId="176" fontId="0" fillId="0" borderId="0" xfId="0" applyNumberFormat="1" applyBorder="1"/>
    <xf numFmtId="175" fontId="0" fillId="0" borderId="0" xfId="0" applyNumberFormat="1" applyBorder="1"/>
    <xf numFmtId="174" fontId="0" fillId="0" borderId="0" xfId="0" applyNumberFormat="1" applyBorder="1"/>
    <xf numFmtId="173" fontId="0" fillId="0" borderId="0" xfId="0" applyNumberFormat="1" applyBorder="1"/>
    <xf numFmtId="0" fontId="2" fillId="5" borderId="0" xfId="0" applyNumberFormat="1" applyFont="1" applyFill="1" applyBorder="1" applyAlignment="1" applyProtection="1">
      <alignment horizontal="left" vertical="center"/>
    </xf>
    <xf numFmtId="176" fontId="2" fillId="5" borderId="0" xfId="0" applyNumberFormat="1" applyFont="1" applyFill="1" applyBorder="1" applyAlignment="1" applyProtection="1">
      <alignment horizontal="left" vertical="center"/>
    </xf>
    <xf numFmtId="175" fontId="2" fillId="5" borderId="0" xfId="0" applyNumberFormat="1" applyFont="1" applyFill="1" applyBorder="1" applyAlignment="1" applyProtection="1">
      <alignment vertical="center"/>
    </xf>
    <xf numFmtId="174" fontId="2" fillId="5" borderId="0" xfId="0" applyNumberFormat="1" applyFont="1" applyFill="1" applyBorder="1" applyAlignment="1" applyProtection="1">
      <alignment horizontal="left" vertical="center"/>
    </xf>
    <xf numFmtId="173" fontId="2" fillId="5" borderId="0" xfId="0" applyNumberFormat="1" applyFont="1" applyFill="1" applyBorder="1" applyAlignment="1" applyProtection="1">
      <alignment horizontal="left" vertical="center"/>
    </xf>
    <xf numFmtId="49" fontId="2" fillId="5" borderId="0" xfId="0" applyNumberFormat="1" applyFont="1" applyFill="1" applyBorder="1" applyAlignment="1" applyProtection="1">
      <alignment horizontal="left" vertical="center"/>
    </xf>
    <xf numFmtId="177" fontId="2" fillId="5" borderId="44" xfId="5" applyNumberFormat="1" applyBorder="1">
      <alignment horizontal="left" vertical="center"/>
    </xf>
    <xf numFmtId="177" fontId="2" fillId="5" borderId="12" xfId="5" applyNumberFormat="1">
      <alignment horizontal="left" vertical="center"/>
    </xf>
    <xf numFmtId="177" fontId="13" fillId="13" borderId="51" xfId="0" applyNumberFormat="1" applyFont="1" applyFill="1" applyBorder="1" applyAlignment="1">
      <alignment vertical="center"/>
    </xf>
    <xf numFmtId="177" fontId="13" fillId="13" borderId="51" xfId="0" applyNumberFormat="1" applyFont="1" applyFill="1" applyBorder="1"/>
    <xf numFmtId="177" fontId="13" fillId="13" borderId="0" xfId="0" applyNumberFormat="1" applyFont="1" applyFill="1" applyBorder="1" applyProtection="1">
      <protection locked="0"/>
    </xf>
    <xf numFmtId="177" fontId="13" fillId="13" borderId="0" xfId="0" applyNumberFormat="1" applyFont="1" applyFill="1" applyBorder="1"/>
    <xf numFmtId="177" fontId="0" fillId="0" borderId="0" xfId="0" applyNumberFormat="1"/>
    <xf numFmtId="177" fontId="0" fillId="0" borderId="0" xfId="0" applyNumberFormat="1" applyBorder="1"/>
    <xf numFmtId="177" fontId="2" fillId="5" borderId="0" xfId="0" applyNumberFormat="1" applyFont="1" applyFill="1" applyBorder="1" applyAlignment="1" applyProtection="1">
      <alignment horizontal="left" vertical="center"/>
    </xf>
    <xf numFmtId="177" fontId="13" fillId="13" borderId="0" xfId="0" applyNumberFormat="1" applyFont="1" applyFill="1" applyBorder="1" applyAlignment="1">
      <alignment vertical="center"/>
    </xf>
    <xf numFmtId="177" fontId="0" fillId="0" borderId="0" xfId="0" applyNumberFormat="1" applyProtection="1">
      <protection locked="0"/>
    </xf>
    <xf numFmtId="0" fontId="13" fillId="0" borderId="0" xfId="0" applyNumberFormat="1" applyFont="1" applyBorder="1" applyAlignment="1" applyProtection="1">
      <alignment vertical="center"/>
    </xf>
    <xf numFmtId="49" fontId="18" fillId="24" borderId="0" xfId="0" applyNumberFormat="1" applyFont="1" applyFill="1" applyProtection="1">
      <protection locked="0"/>
    </xf>
    <xf numFmtId="166" fontId="0" fillId="0" borderId="0" xfId="0" applyNumberFormat="1" applyAlignment="1">
      <alignment vertical="center"/>
    </xf>
    <xf numFmtId="166" fontId="0" fillId="13" borderId="0" xfId="0" applyNumberFormat="1" applyFill="1" applyAlignment="1">
      <alignment vertical="center"/>
    </xf>
    <xf numFmtId="174" fontId="0" fillId="8" borderId="0" xfId="0" applyNumberFormat="1" applyFill="1" applyAlignment="1">
      <alignment vertical="center"/>
    </xf>
    <xf numFmtId="174" fontId="0" fillId="25" borderId="0" xfId="0" applyNumberFormat="1" applyFill="1" applyAlignment="1">
      <alignment vertical="center"/>
    </xf>
    <xf numFmtId="2" fontId="0" fillId="0" borderId="0" xfId="0" applyNumberFormat="1" applyAlignment="1">
      <alignment vertical="center"/>
    </xf>
    <xf numFmtId="0" fontId="0" fillId="13" borderId="0" xfId="0" applyFill="1"/>
    <xf numFmtId="49" fontId="0" fillId="16" borderId="0" xfId="0" applyNumberFormat="1" applyFill="1" applyAlignment="1" applyProtection="1">
      <alignment vertical="center"/>
      <protection locked="0"/>
    </xf>
    <xf numFmtId="174" fontId="2" fillId="5" borderId="12" xfId="0" applyNumberFormat="1" applyFont="1" applyFill="1" applyBorder="1" applyAlignment="1" applyProtection="1">
      <alignment horizontal="left" vertical="center"/>
      <protection locked="0"/>
    </xf>
    <xf numFmtId="0" fontId="12" fillId="0" borderId="43" xfId="0" applyFont="1" applyBorder="1" applyAlignment="1" applyProtection="1">
      <alignment horizontal="center" vertical="center"/>
      <protection locked="0"/>
    </xf>
    <xf numFmtId="0" fontId="12" fillId="0" borderId="16" xfId="0" applyFont="1" applyBorder="1" applyAlignment="1" applyProtection="1">
      <alignment horizontal="center" vertical="center"/>
      <protection locked="0"/>
    </xf>
    <xf numFmtId="0" fontId="12" fillId="0" borderId="9" xfId="0" applyFont="1" applyBorder="1" applyAlignment="1" applyProtection="1">
      <alignment horizontal="center" vertical="center"/>
      <protection locked="0"/>
    </xf>
    <xf numFmtId="2" fontId="12" fillId="0" borderId="12" xfId="0" applyNumberFormat="1" applyFont="1" applyBorder="1" applyAlignment="1" applyProtection="1">
      <alignment horizontal="center"/>
      <protection locked="0"/>
    </xf>
    <xf numFmtId="2" fontId="12" fillId="0" borderId="44" xfId="0" applyNumberFormat="1" applyFont="1" applyBorder="1" applyAlignment="1" applyProtection="1">
      <alignment horizontal="center"/>
      <protection locked="0"/>
    </xf>
    <xf numFmtId="0" fontId="2" fillId="5" borderId="39" xfId="5" applyNumberFormat="1" applyBorder="1">
      <alignment horizontal="left" vertical="center"/>
    </xf>
    <xf numFmtId="0" fontId="2" fillId="5" borderId="42" xfId="5" applyNumberFormat="1" applyBorder="1">
      <alignment horizontal="left" vertical="center"/>
    </xf>
    <xf numFmtId="0" fontId="2" fillId="5" borderId="29" xfId="5" applyNumberFormat="1" applyBorder="1">
      <alignment horizontal="left" vertical="center"/>
    </xf>
    <xf numFmtId="0" fontId="13" fillId="16" borderId="40" xfId="0" applyFont="1" applyFill="1" applyBorder="1" applyAlignment="1">
      <alignment vertical="center"/>
    </xf>
    <xf numFmtId="0" fontId="13" fillId="16" borderId="50" xfId="0" applyFont="1" applyFill="1" applyBorder="1" applyAlignment="1">
      <alignment vertical="center"/>
    </xf>
    <xf numFmtId="0" fontId="13" fillId="16" borderId="40" xfId="0" applyFont="1" applyFill="1" applyBorder="1" applyAlignment="1" applyProtection="1">
      <alignment vertical="center"/>
      <protection locked="0"/>
    </xf>
    <xf numFmtId="0" fontId="2" fillId="5" borderId="40" xfId="0" applyNumberFormat="1" applyFont="1" applyFill="1" applyBorder="1" applyAlignment="1" applyProtection="1">
      <alignment horizontal="left" vertical="center"/>
    </xf>
    <xf numFmtId="0" fontId="0" fillId="0" borderId="40" xfId="0" applyBorder="1" applyProtection="1">
      <protection locked="0"/>
    </xf>
    <xf numFmtId="0" fontId="2" fillId="5" borderId="9" xfId="5" applyNumberFormat="1" applyBorder="1">
      <alignment horizontal="left" vertical="center"/>
    </xf>
    <xf numFmtId="0" fontId="2" fillId="5" borderId="9" xfId="0" applyFont="1" applyFill="1" applyBorder="1" applyAlignment="1" applyProtection="1">
      <alignment horizontal="left" vertical="center"/>
      <protection locked="0"/>
    </xf>
    <xf numFmtId="0" fontId="2" fillId="5" borderId="43" xfId="5" applyNumberFormat="1" applyBorder="1">
      <alignment horizontal="left" vertical="center"/>
    </xf>
    <xf numFmtId="0" fontId="3" fillId="5" borderId="43" xfId="0" applyFont="1" applyFill="1" applyBorder="1" applyAlignment="1" applyProtection="1">
      <alignment horizontal="left" vertical="center"/>
      <protection locked="0"/>
    </xf>
    <xf numFmtId="0" fontId="2" fillId="5" borderId="53" xfId="5" applyNumberFormat="1" applyBorder="1">
      <alignment horizontal="left" vertical="center"/>
    </xf>
    <xf numFmtId="0" fontId="0" fillId="16" borderId="40" xfId="0" applyFill="1" applyBorder="1"/>
    <xf numFmtId="0" fontId="3" fillId="5" borderId="54" xfId="0" applyFont="1" applyFill="1" applyBorder="1" applyAlignment="1" applyProtection="1">
      <alignment horizontal="left" vertical="center"/>
      <protection locked="0"/>
    </xf>
    <xf numFmtId="49" fontId="21" fillId="5" borderId="0" xfId="0" applyNumberFormat="1" applyFont="1" applyFill="1" applyBorder="1" applyProtection="1"/>
    <xf numFmtId="49" fontId="22" fillId="5" borderId="0" xfId="0" applyNumberFormat="1" applyFont="1" applyFill="1" applyBorder="1"/>
    <xf numFmtId="49" fontId="22" fillId="5" borderId="0" xfId="0" applyNumberFormat="1" applyFont="1" applyFill="1" applyBorder="1" applyProtection="1"/>
    <xf numFmtId="49" fontId="13" fillId="19" borderId="29" xfId="0" applyNumberFormat="1" applyFont="1" applyFill="1" applyBorder="1" applyAlignment="1">
      <alignment horizontal="left"/>
    </xf>
    <xf numFmtId="0" fontId="13" fillId="18" borderId="40" xfId="0" applyNumberFormat="1" applyFont="1" applyFill="1" applyBorder="1" applyAlignment="1" applyProtection="1">
      <alignment horizontal="left"/>
      <protection locked="0"/>
    </xf>
    <xf numFmtId="49" fontId="13" fillId="19" borderId="24" xfId="0" applyNumberFormat="1" applyFont="1" applyFill="1" applyBorder="1" applyAlignment="1">
      <alignment horizontal="left"/>
    </xf>
    <xf numFmtId="166" fontId="13" fillId="13" borderId="2" xfId="0" applyNumberFormat="1" applyFont="1" applyFill="1" applyBorder="1" applyAlignment="1" applyProtection="1">
      <alignment vertical="center"/>
    </xf>
    <xf numFmtId="166" fontId="13" fillId="13" borderId="5" xfId="0" applyNumberFormat="1" applyFont="1" applyFill="1" applyBorder="1" applyAlignment="1" applyProtection="1">
      <alignment vertical="center"/>
    </xf>
    <xf numFmtId="169" fontId="13" fillId="13" borderId="5" xfId="0" applyNumberFormat="1" applyFont="1" applyFill="1" applyBorder="1"/>
    <xf numFmtId="169" fontId="13" fillId="13" borderId="2" xfId="0" applyNumberFormat="1" applyFont="1" applyFill="1" applyBorder="1"/>
    <xf numFmtId="169" fontId="13" fillId="13" borderId="26" xfId="0" applyNumberFormat="1" applyFont="1" applyFill="1" applyBorder="1"/>
    <xf numFmtId="166" fontId="13" fillId="13" borderId="26" xfId="0" applyNumberFormat="1" applyFont="1" applyFill="1" applyBorder="1" applyAlignment="1" applyProtection="1">
      <alignment vertical="center"/>
    </xf>
    <xf numFmtId="166" fontId="13" fillId="13" borderId="26" xfId="0" applyNumberFormat="1" applyFont="1" applyFill="1" applyBorder="1"/>
    <xf numFmtId="169" fontId="13" fillId="13" borderId="0" xfId="0" applyNumberFormat="1" applyFont="1" applyFill="1" applyBorder="1"/>
    <xf numFmtId="166" fontId="13" fillId="13" borderId="5" xfId="0" applyNumberFormat="1" applyFont="1" applyFill="1" applyBorder="1"/>
    <xf numFmtId="169" fontId="13" fillId="13" borderId="0" xfId="6" applyFont="1" applyFill="1" applyBorder="1">
      <alignment vertical="center"/>
    </xf>
    <xf numFmtId="169" fontId="13" fillId="13" borderId="23" xfId="6" applyFont="1" applyFill="1" applyBorder="1">
      <alignment vertical="center"/>
    </xf>
    <xf numFmtId="169" fontId="13" fillId="13" borderId="1" xfId="0" applyNumberFormat="1" applyFont="1" applyFill="1" applyBorder="1"/>
    <xf numFmtId="169" fontId="13" fillId="13" borderId="4" xfId="0" applyNumberFormat="1" applyFont="1" applyFill="1" applyBorder="1"/>
    <xf numFmtId="169" fontId="13" fillId="13" borderId="26" xfId="6" applyFont="1" applyFill="1" applyBorder="1">
      <alignment vertical="center"/>
    </xf>
    <xf numFmtId="0" fontId="13" fillId="18" borderId="24" xfId="0" applyNumberFormat="1" applyFont="1" applyFill="1" applyBorder="1" applyAlignment="1" applyProtection="1">
      <alignment horizontal="left"/>
      <protection locked="0"/>
    </xf>
    <xf numFmtId="0" fontId="13" fillId="0" borderId="0" xfId="0" applyNumberFormat="1" applyFont="1" applyFill="1" applyBorder="1" applyAlignment="1">
      <alignment horizontal="left"/>
    </xf>
    <xf numFmtId="0" fontId="13" fillId="18" borderId="30" xfId="0" applyNumberFormat="1" applyFont="1" applyFill="1" applyBorder="1" applyAlignment="1" applyProtection="1">
      <alignment horizontal="left"/>
      <protection locked="0"/>
    </xf>
    <xf numFmtId="1" fontId="13" fillId="0" borderId="0" xfId="0" applyNumberFormat="1" applyFont="1" applyFill="1" applyBorder="1" applyProtection="1">
      <protection locked="0"/>
    </xf>
    <xf numFmtId="0" fontId="13" fillId="0" borderId="0" xfId="0" applyNumberFormat="1" applyFont="1" applyFill="1" applyBorder="1" applyProtection="1">
      <protection locked="0"/>
    </xf>
    <xf numFmtId="49" fontId="13" fillId="0" borderId="0" xfId="0" applyNumberFormat="1" applyFont="1" applyFill="1" applyBorder="1" applyProtection="1">
      <protection locked="0"/>
    </xf>
    <xf numFmtId="49" fontId="13" fillId="0" borderId="0" xfId="0" applyNumberFormat="1" applyFont="1" applyFill="1" applyBorder="1" applyAlignment="1" applyProtection="1">
      <alignment horizontal="left"/>
      <protection locked="0"/>
    </xf>
    <xf numFmtId="49" fontId="13" fillId="17" borderId="0" xfId="0" applyNumberFormat="1" applyFont="1" applyFill="1" applyBorder="1" applyAlignment="1">
      <alignment horizontal="left"/>
    </xf>
    <xf numFmtId="49" fontId="13" fillId="19" borderId="0" xfId="0" applyNumberFormat="1" applyFont="1" applyFill="1" applyBorder="1" applyAlignment="1">
      <alignment horizontal="left"/>
    </xf>
    <xf numFmtId="49" fontId="13" fillId="0" borderId="0" xfId="0" applyNumberFormat="1" applyFont="1" applyFill="1" applyBorder="1" applyAlignment="1" applyProtection="1">
      <alignment vertical="center"/>
      <protection locked="0"/>
    </xf>
    <xf numFmtId="0" fontId="11" fillId="0" borderId="0" xfId="0" applyFont="1" applyFill="1" applyBorder="1"/>
    <xf numFmtId="0" fontId="11" fillId="0" borderId="0" xfId="0" applyNumberFormat="1" applyFont="1" applyFill="1" applyBorder="1" applyAlignment="1" applyProtection="1">
      <alignment vertical="top"/>
    </xf>
    <xf numFmtId="0" fontId="8" fillId="0" borderId="0" xfId="0" applyFont="1" applyBorder="1"/>
    <xf numFmtId="0" fontId="13" fillId="13" borderId="0" xfId="0" applyNumberFormat="1" applyFont="1" applyFill="1" applyBorder="1" applyAlignment="1" applyProtection="1">
      <alignment vertical="center"/>
    </xf>
    <xf numFmtId="0" fontId="13" fillId="0" borderId="0" xfId="0" applyNumberFormat="1" applyFont="1" applyFill="1" applyBorder="1" applyAlignment="1" applyProtection="1">
      <alignment vertical="center"/>
    </xf>
    <xf numFmtId="0" fontId="13" fillId="13" borderId="0" xfId="0" applyNumberFormat="1" applyFont="1" applyFill="1" applyBorder="1"/>
    <xf numFmtId="0" fontId="13" fillId="0" borderId="0" xfId="0" applyNumberFormat="1" applyFont="1" applyFill="1" applyBorder="1"/>
    <xf numFmtId="0" fontId="13" fillId="0" borderId="0" xfId="0" applyNumberFormat="1" applyFont="1"/>
  </cellXfs>
  <cellStyles count="8">
    <cellStyle name="40% — акцент2" xfId="3" builtinId="35"/>
    <cellStyle name="40% — акцент5" xfId="4" builtinId="47"/>
    <cellStyle name="Данные" xfId="6" xr:uid="{00000000-0005-0000-0000-000002000000}"/>
    <cellStyle name="Заголовок" xfId="5" xr:uid="{00000000-0005-0000-0000-000003000000}"/>
    <cellStyle name="Обычный" xfId="0" builtinId="0"/>
    <cellStyle name="Примечание" xfId="2" builtinId="10"/>
    <cellStyle name="Финансовый" xfId="1" builtinId="3"/>
    <cellStyle name="Форм" xfId="7" xr:uid="{C513593A-0608-4709-8881-DD8FFE279C8E}"/>
  </cellStyles>
  <dxfs count="166"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ill>
        <patternFill>
          <bgColor theme="1" tint="4.9989318521683403E-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numFmt numFmtId="169" formatCode="0.0000E+00"/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4" tint="-0.249977111117893"/>
        <name val="Calibri"/>
        <family val="2"/>
        <charset val="204"/>
        <scheme val="minor"/>
      </font>
      <numFmt numFmtId="30" formatCode="@"/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4" tint="-0.249977111117893"/>
        <name val="Calibri"/>
        <family val="2"/>
        <charset val="204"/>
        <scheme val="minor"/>
      </font>
      <numFmt numFmtId="30" formatCode="@"/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alignment horizontal="general" vertical="center" textRotation="0" wrapText="0" indent="0" justifyLastLine="0" shrinkToFit="0" readingOrder="0"/>
      <protection locked="1" hidden="0"/>
    </dxf>
    <dxf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border diagonalUp="0" diagonalDown="0">
        <left style="medium">
          <color indexed="64"/>
        </left>
        <right style="medium">
          <color indexed="64"/>
        </right>
        <vertical/>
      </border>
    </dxf>
    <dxf>
      <alignment horizontal="center" vertical="center" textRotation="0" wrapText="0" indent="0" justifyLastLine="0" shrinkToFit="0" readingOrder="0"/>
    </dxf>
    <dxf>
      <numFmt numFmtId="30" formatCode="@"/>
      <protection locked="0" hidden="0"/>
    </dxf>
    <dxf>
      <numFmt numFmtId="166" formatCode="0.000E+00"/>
      <alignment horizontal="general" vertical="center" textRotation="0" wrapText="0" indent="0" justifyLastLine="0" shrinkToFit="0" readingOrder="0"/>
    </dxf>
    <dxf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numFmt numFmtId="166" formatCode="0.000E+00"/>
      <alignment horizontal="general" vertical="center" textRotation="0" wrapText="0" indent="0" justifyLastLine="0" shrinkToFit="0" readingOrder="0"/>
    </dxf>
    <dxf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numFmt numFmtId="166" formatCode="0.000E+00"/>
      <alignment horizontal="general" vertical="center" textRotation="0" wrapText="0" indent="0" justifyLastLine="0" shrinkToFit="0" readingOrder="0"/>
    </dxf>
    <dxf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numFmt numFmtId="166" formatCode="0.000E+00"/>
      <alignment horizontal="general" vertical="center" textRotation="0" wrapText="0" indent="0" justifyLastLine="0" shrinkToFit="0" readingOrder="0"/>
    </dxf>
    <dxf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numFmt numFmtId="174" formatCode="#,##0.0_ ;[Red]\-#,##0.0\ "/>
      <fill>
        <patternFill patternType="solid">
          <fgColor indexed="64"/>
          <bgColor theme="4" tint="0.59999389629810485"/>
        </patternFill>
      </fill>
      <alignment horizontal="general" vertical="center" textRotation="0" wrapText="0" indent="0" justifyLastLine="0" shrinkToFit="0" readingOrder="0"/>
    </dxf>
    <dxf>
      <numFmt numFmtId="174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</dxf>
    <dxf>
      <numFmt numFmtId="174" formatCode="#,##0.0_ ;[Red]\-#,##0.0\ 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numFmt numFmtId="174" formatCode="#,##0.0_ ;[Red]\-#,##0.0\ "/>
      <fill>
        <patternFill patternType="solid">
          <fgColor indexed="64"/>
          <bgColor theme="9" tint="0.39997558519241921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theme="4" tint="0.59999389629810485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7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6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7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7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7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7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7" formatCode="0.0"/>
      <fill>
        <patternFill patternType="solid">
          <fgColor indexed="64"/>
          <bgColor theme="7" tint="0.79998168889431442"/>
        </patternFill>
      </fill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4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3" formatCode="#,##0.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4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4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charset val="204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numFmt numFmtId="30" formatCode="@"/>
    </dxf>
    <dxf>
      <numFmt numFmtId="165" formatCode="0.00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0.000"/>
      <fill>
        <patternFill patternType="solid">
          <fgColor indexed="64"/>
          <bgColor theme="7" tint="0.79998168889431442"/>
        </patternFill>
      </fill>
    </dxf>
    <dxf>
      <numFmt numFmtId="165" formatCode="0.000"/>
    </dxf>
    <dxf>
      <numFmt numFmtId="165" formatCode="0.000"/>
      <fill>
        <patternFill patternType="solid">
          <fgColor indexed="64"/>
          <bgColor theme="7" tint="0.79998168889431442"/>
        </patternFill>
      </fill>
    </dxf>
    <dxf>
      <numFmt numFmtId="165" formatCode="0.000"/>
    </dxf>
    <dxf>
      <numFmt numFmtId="165" formatCode="0.000"/>
      <fill>
        <patternFill patternType="solid">
          <fgColor indexed="64"/>
          <bgColor theme="7" tint="0.79998168889431442"/>
        </patternFill>
      </fill>
    </dxf>
    <dxf>
      <numFmt numFmtId="165" formatCode="0.000"/>
    </dxf>
    <dxf>
      <numFmt numFmtId="165" formatCode="0.000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charset val="204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numFmt numFmtId="30" formatCode="@"/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solid">
          <fgColor indexed="64"/>
          <bgColor theme="5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B2B2B2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B2B2B2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3" formatCode="#,##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4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4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4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4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4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5" formatCode="0E+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5" formatCode="0E+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6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6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7" formatCode="0.00_ ;[Red]\-0.00\ 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7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7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7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7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7" formatCode="0.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7" formatCode="0.0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</dxf>
    <dxf>
      <border outline="0">
        <top style="thick">
          <color indexed="64"/>
        </top>
        <bottom style="thin">
          <color theme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 tint="-4.9989318521683403E-2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4" tint="-0.249977111117893"/>
        </patternFill>
      </fill>
      <alignment horizontal="left" vertical="center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4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4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5" formatCode="0E+0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5" formatCode="0E+0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6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0" formatCode="General"/>
    </dxf>
    <dxf>
      <numFmt numFmtId="169" formatCode="0.0000E+00"/>
    </dxf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border outline="0">
        <top style="thick">
          <color indexed="64"/>
        </top>
        <bottom style="medium">
          <color indexed="64"/>
        </bottom>
      </border>
    </dxf>
    <dxf>
      <numFmt numFmtId="171" formatCode="0.0E+00"/>
    </dxf>
    <dxf>
      <numFmt numFmtId="171" formatCode="0.0E+00"/>
    </dxf>
    <dxf>
      <numFmt numFmtId="171" formatCode="0.0E+00"/>
    </dxf>
    <dxf>
      <numFmt numFmtId="171" formatCode="0.0E+00"/>
    </dxf>
    <dxf>
      <numFmt numFmtId="171" formatCode="0.0E+00"/>
    </dxf>
    <dxf>
      <numFmt numFmtId="171" formatCode="0.0E+00"/>
    </dxf>
    <dxf>
      <numFmt numFmtId="171" formatCode="0.0E+00"/>
    </dxf>
    <dxf>
      <numFmt numFmtId="171" formatCode="0.0E+00"/>
    </dxf>
    <dxf>
      <numFmt numFmtId="1" formatCode="0"/>
    </dxf>
    <dxf>
      <numFmt numFmtId="1" formatCode="0"/>
    </dxf>
    <dxf>
      <alignment horizontal="center" vertical="center" textRotation="0" wrapText="0" indent="0" justifyLastLine="0" shrinkToFit="0" readingOrder="0"/>
    </dxf>
    <dxf>
      <border outline="0">
        <top style="thick">
          <color indexed="64"/>
        </top>
      </border>
    </dxf>
    <dxf>
      <numFmt numFmtId="169" formatCode="0.0000E+0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</dxfs>
  <tableStyles count="0" defaultTableStyle="TableStyleMedium2" defaultPivotStyle="PivotStyleLight16"/>
  <colors>
    <mruColors>
      <color rgb="FF09FF78"/>
      <color rgb="FFFF9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4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microsoft.com/office/2007/relationships/slicerCache" Target="slicerCaches/slicerCache8.xml"/><Relationship Id="rId2" Type="http://schemas.openxmlformats.org/officeDocument/2006/relationships/worksheet" Target="worksheets/sheet2.xml"/><Relationship Id="rId16" Type="http://schemas.microsoft.com/office/2007/relationships/slicerCache" Target="slicerCaches/slicerCache7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6.xml"/><Relationship Id="rId10" Type="http://schemas.microsoft.com/office/2007/relationships/slicerCache" Target="slicerCaches/slicerCache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7/relationships/slicerCache" Target="slicerCaches/slicerCache5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15</xdr:row>
      <xdr:rowOff>123825</xdr:rowOff>
    </xdr:from>
    <xdr:to>
      <xdr:col>3</xdr:col>
      <xdr:colOff>1276350</xdr:colOff>
      <xdr:row>26</xdr:row>
      <xdr:rowOff>247650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Вещество:">
              <a:extLst>
                <a:ext uri="{FF2B5EF4-FFF2-40B4-BE49-F238E27FC236}">
                  <a16:creationId xmlns:a16="http://schemas.microsoft.com/office/drawing/2014/main" id="{87EBAF0A-82C9-4D23-BEAB-19B2ACAA9C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ещество: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162425"/>
              <a:ext cx="4105275" cy="3057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4429125"/>
    <xdr:ext cx="2257424" cy="3381375"/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8,31">
              <a:extLst>
                <a:ext uri="{FF2B5EF4-FFF2-40B4-BE49-F238E27FC236}">
                  <a16:creationId xmlns:a16="http://schemas.microsoft.com/office/drawing/2014/main" id="{0B5BDAA6-880F-4599-B5F5-1819B537918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8,3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429125"/>
              <a:ext cx="2257424" cy="3381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absoluteAnchor>
  <xdr:twoCellAnchor editAs="oneCell">
    <xdr:from>
      <xdr:col>18</xdr:col>
      <xdr:colOff>19050</xdr:colOff>
      <xdr:row>16</xdr:row>
      <xdr:rowOff>142876</xdr:rowOff>
    </xdr:from>
    <xdr:to>
      <xdr:col>19</xdr:col>
      <xdr:colOff>781050</xdr:colOff>
      <xdr:row>22</xdr:row>
      <xdr:rowOff>142876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Ф       Фаза">
              <a:extLst>
                <a:ext uri="{FF2B5EF4-FFF2-40B4-BE49-F238E27FC236}">
                  <a16:creationId xmlns:a16="http://schemas.microsoft.com/office/drawing/2014/main" id="{8671FF2F-21A8-4D85-B897-DA3AF185A2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Фаза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5050" y="4457701"/>
              <a:ext cx="1828800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</xdr:row>
      <xdr:rowOff>19050</xdr:rowOff>
    </xdr:from>
    <xdr:to>
      <xdr:col>2</xdr:col>
      <xdr:colOff>619125</xdr:colOff>
      <xdr:row>15</xdr:row>
      <xdr:rowOff>76199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5" name="Вещество">
              <a:extLst>
                <a:ext uri="{FF2B5EF4-FFF2-40B4-BE49-F238E27FC236}">
                  <a16:creationId xmlns:a16="http://schemas.microsoft.com/office/drawing/2014/main" id="{5552F974-58FE-4609-A0C5-76141499FB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ещество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295400"/>
              <a:ext cx="1800225" cy="30860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28575</xdr:colOff>
      <xdr:row>4</xdr:row>
      <xdr:rowOff>28575</xdr:rowOff>
    </xdr:from>
    <xdr:to>
      <xdr:col>22</xdr:col>
      <xdr:colOff>66675</xdr:colOff>
      <xdr:row>9</xdr:row>
      <xdr:rowOff>180975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6" name="Ф     Фаза">
              <a:extLst>
                <a:ext uri="{FF2B5EF4-FFF2-40B4-BE49-F238E27FC236}">
                  <a16:creationId xmlns:a16="http://schemas.microsoft.com/office/drawing/2014/main" id="{C7E0FF94-902E-4833-9070-9A07F51CBF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Фаза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57375" y="1304925"/>
              <a:ext cx="184785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190499</xdr:colOff>
          <xdr:row>0</xdr:row>
          <xdr:rowOff>56030</xdr:rowOff>
        </xdr:from>
        <xdr:to>
          <xdr:col>19</xdr:col>
          <xdr:colOff>582704</xdr:colOff>
          <xdr:row>0</xdr:row>
          <xdr:rowOff>257736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46491B7-7A98-4AD0-9932-DD51D9F60B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515470</xdr:colOff>
      <xdr:row>61</xdr:row>
      <xdr:rowOff>246528</xdr:rowOff>
    </xdr:from>
    <xdr:to>
      <xdr:col>15</xdr:col>
      <xdr:colOff>112060</xdr:colOff>
      <xdr:row>75</xdr:row>
      <xdr:rowOff>134470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88914114-2306-40CD-94A1-864EB0B039A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3245" y="2589678"/>
              <a:ext cx="13245915" cy="40217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162485</xdr:colOff>
      <xdr:row>61</xdr:row>
      <xdr:rowOff>244850</xdr:rowOff>
    </xdr:from>
    <xdr:to>
      <xdr:col>17</xdr:col>
      <xdr:colOff>512108</xdr:colOff>
      <xdr:row>73</xdr:row>
      <xdr:rowOff>129990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Ф          if &quot;?&quot; =&gt; not &quot;g&quot;">
              <a:extLst>
                <a:ext uri="{FF2B5EF4-FFF2-40B4-BE49-F238E27FC236}">
                  <a16:creationId xmlns:a16="http://schemas.microsoft.com/office/drawing/2014/main" id="{1D9D626E-8257-4B14-B6D6-7E2893CF68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59585" y="2588000"/>
              <a:ext cx="1825998" cy="34284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0</xdr:row>
          <xdr:rowOff>66675</xdr:rowOff>
        </xdr:from>
        <xdr:to>
          <xdr:col>17</xdr:col>
          <xdr:colOff>885825</xdr:colOff>
          <xdr:row>7</xdr:row>
          <xdr:rowOff>38100</xdr:rowOff>
        </xdr:to>
        <xdr:sp macro="" textlink="">
          <xdr:nvSpPr>
            <xdr:cNvPr id="21516" name="Button 12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05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571499</xdr:colOff>
      <xdr:row>64</xdr:row>
      <xdr:rowOff>190499</xdr:rowOff>
    </xdr:from>
    <xdr:to>
      <xdr:col>15</xdr:col>
      <xdr:colOff>168089</xdr:colOff>
      <xdr:row>78</xdr:row>
      <xdr:rowOff>78441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Названиe">
              <a:extLst>
                <a:ext uri="{FF2B5EF4-FFF2-40B4-BE49-F238E27FC236}">
                  <a16:creationId xmlns:a16="http://schemas.microsoft.com/office/drawing/2014/main" id="{9E60C023-CC6C-4E20-99F9-79D94722035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5352" y="19218087"/>
              <a:ext cx="13267766" cy="39668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0</xdr:row>
          <xdr:rowOff>66675</xdr:rowOff>
        </xdr:from>
        <xdr:to>
          <xdr:col>17</xdr:col>
          <xdr:colOff>885825</xdr:colOff>
          <xdr:row>7</xdr:row>
          <xdr:rowOff>38100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8;&#1072;&#1074;&#1085;&#1077;&#1085;&#1080;&#1077;%20&#1092;&#1091;&#1085;&#1082;&#1094;&#1080;&#1081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равнение"/>
    </sheetNames>
    <sheetDataSet>
      <sheetData sheetId="0">
        <row r="48">
          <cell r="D48" t="str">
            <v>0: H(T) KJ</v>
          </cell>
          <cell r="E48" t="str">
            <v>0: S(T) J</v>
          </cell>
          <cell r="F48" t="str">
            <v>0: G(T) KJ</v>
          </cell>
          <cell r="G48" t="str">
            <v>0: Cp(T) J</v>
          </cell>
          <cell r="H48" t="str">
            <v>1: H(T) KJ</v>
          </cell>
          <cell r="I48" t="str">
            <v>1: S(T) J</v>
          </cell>
          <cell r="J48" t="str">
            <v>1: G(T) KJ</v>
          </cell>
          <cell r="K48" t="str">
            <v>1: Cp(T) J</v>
          </cell>
          <cell r="AP48" t="str">
            <v>ΔH (1-0) kJ</v>
          </cell>
          <cell r="AQ48" t="str">
            <v>ΔS (1-0) J</v>
          </cell>
          <cell r="AR48" t="str">
            <v>ΔG (1-0) kJ</v>
          </cell>
          <cell r="AS48" t="str">
            <v>ΔCp (1-0) J</v>
          </cell>
          <cell r="AT48" t="str">
            <v>ΔH (1-2) kJ</v>
          </cell>
          <cell r="AU48" t="str">
            <v>ΔS (1-2) J</v>
          </cell>
          <cell r="AV48" t="str">
            <v>ΔG (1-2) kJ</v>
          </cell>
          <cell r="AW48" t="str">
            <v>ΔCp (1-2) J</v>
          </cell>
        </row>
        <row r="49">
          <cell r="B49">
            <v>300</v>
          </cell>
          <cell r="D49">
            <v>4.9328875330006738E-2</v>
          </cell>
          <cell r="E49">
            <v>40.846736832651018</v>
          </cell>
          <cell r="F49">
            <v>-12.204692174465295</v>
          </cell>
          <cell r="G49">
            <v>26.168067504966633</v>
          </cell>
          <cell r="H49">
            <v>4.8469999999999631E-2</v>
          </cell>
          <cell r="I49">
            <v>40.962066888081658</v>
          </cell>
          <cell r="J49">
            <v>-12.240150066424498</v>
          </cell>
          <cell r="K49">
            <v>26.2</v>
          </cell>
          <cell r="AP49">
            <v>-8.5887533000710697E-4</v>
          </cell>
          <cell r="AQ49">
            <v>0.11533005543063979</v>
          </cell>
          <cell r="AR49">
            <v>-3.545789195920257E-2</v>
          </cell>
          <cell r="AS49">
            <v>3.1932495033366592E-2</v>
          </cell>
          <cell r="AT49">
            <v>-46.308890000005427</v>
          </cell>
          <cell r="AU49">
            <v>-1.4629364768380455</v>
          </cell>
          <cell r="AV49">
            <v>12668.903499409482</v>
          </cell>
        </row>
        <row r="50">
          <cell r="B50">
            <v>309.45945945945948</v>
          </cell>
          <cell r="D50">
            <v>0.29864247957675183</v>
          </cell>
          <cell r="E50">
            <v>41.66491829325966</v>
          </cell>
          <cell r="F50">
            <v>-12.594960613877905</v>
          </cell>
          <cell r="G50">
            <v>26.551845861495067</v>
          </cell>
          <cell r="H50">
            <v>0.29630783783783876</v>
          </cell>
          <cell r="I50">
            <v>41.775435976149012</v>
          </cell>
          <cell r="J50">
            <v>-12.631495998024491</v>
          </cell>
          <cell r="K50">
            <v>26.2</v>
          </cell>
          <cell r="AP50">
            <v>-2.334641738913068E-3</v>
          </cell>
          <cell r="AQ50">
            <v>0.11051768288935193</v>
          </cell>
          <cell r="AR50">
            <v>-3.6535384146585415E-2</v>
          </cell>
          <cell r="AS50">
            <v>-0.35184586149506814</v>
          </cell>
          <cell r="AT50">
            <v>-283.88939200846119</v>
          </cell>
          <cell r="AU50">
            <v>-1.4300754600716559</v>
          </cell>
          <cell r="AV50">
            <v>13073.53701887802</v>
          </cell>
        </row>
        <row r="51">
          <cell r="B51">
            <v>318.91891891891896</v>
          </cell>
          <cell r="D51">
            <v>0.551734083474274</v>
          </cell>
          <cell r="E51">
            <v>42.47048720346281</v>
          </cell>
          <cell r="F51">
            <v>-12.992907781413876</v>
          </cell>
          <cell r="G51">
            <v>26.959011638093791</v>
          </cell>
          <cell r="H51">
            <v>0.54414567567567784</v>
          </cell>
          <cell r="I51">
            <v>42.564312774698926</v>
          </cell>
          <cell r="J51">
            <v>-13.030418938958038</v>
          </cell>
          <cell r="K51">
            <v>26.2</v>
          </cell>
          <cell r="AP51">
            <v>-7.5884077985961529E-3</v>
          </cell>
          <cell r="AQ51">
            <v>9.38255712361169E-2</v>
          </cell>
          <cell r="AR51">
            <v>-3.7511157544161122E-2</v>
          </cell>
          <cell r="AS51">
            <v>-0.75901163809379213</v>
          </cell>
          <cell r="AT51">
            <v>-522.780812861031</v>
          </cell>
          <cell r="AU51">
            <v>-1.4023772067166433</v>
          </cell>
          <cell r="AV51">
            <v>13485.453859840654</v>
          </cell>
        </row>
        <row r="52">
          <cell r="B52">
            <v>328.37837837837844</v>
          </cell>
          <cell r="D52">
            <v>0.80861337076912165</v>
          </cell>
          <cell r="E52">
            <v>43.264214123983187</v>
          </cell>
          <cell r="F52">
            <v>-13.398419105079437</v>
          </cell>
          <cell r="G52">
            <v>27.345932917686209</v>
          </cell>
          <cell r="H52">
            <v>0.7919835135135147</v>
          </cell>
          <cell r="I52">
            <v>43.330129298550318</v>
          </cell>
          <cell r="J52">
            <v>-13.4366940804699</v>
          </cell>
          <cell r="K52">
            <v>26.2</v>
          </cell>
          <cell r="AP52">
            <v>-1.662985725560695E-2</v>
          </cell>
          <cell r="AQ52">
            <v>6.5915174567130919E-2</v>
          </cell>
          <cell r="AR52">
            <v>-3.8274975390462984E-2</v>
          </cell>
          <cell r="AS52">
            <v>-1.1459329176862099</v>
          </cell>
          <cell r="AT52">
            <v>-762.95596479843425</v>
          </cell>
          <cell r="AU52">
            <v>-1.3794558379706601</v>
          </cell>
          <cell r="AV52">
            <v>13904.476422708392</v>
          </cell>
        </row>
        <row r="53">
          <cell r="B53">
            <v>337.83783783783792</v>
          </cell>
          <cell r="D53">
            <v>1.0689066175018993</v>
          </cell>
          <cell r="E53">
            <v>44.045652203046828</v>
          </cell>
          <cell r="F53">
            <v>-13.811381288932861</v>
          </cell>
          <cell r="G53">
            <v>27.674999444718225</v>
          </cell>
          <cell r="H53">
            <v>1.0398213513513537</v>
          </cell>
          <cell r="I53">
            <v>44.074195531018788</v>
          </cell>
          <cell r="J53">
            <v>-13.850109571290135</v>
          </cell>
          <cell r="K53">
            <v>26.2</v>
          </cell>
          <cell r="AP53">
            <v>-2.908526615054563E-2</v>
          </cell>
          <cell r="AQ53">
            <v>2.8543327971959798E-2</v>
          </cell>
          <cell r="AR53">
            <v>-3.8728282357274324E-2</v>
          </cell>
          <cell r="AS53">
            <v>-1.4749994447182253</v>
          </cell>
          <cell r="AT53">
            <v>-1004.387660061407</v>
          </cell>
          <cell r="AU53">
            <v>-1.3609583583296043</v>
          </cell>
          <cell r="AV53">
            <v>14330.436560822844</v>
          </cell>
        </row>
        <row r="54">
          <cell r="B54">
            <v>347.2972972972974</v>
          </cell>
          <cell r="D54">
            <v>1.3319089070643966</v>
          </cell>
          <cell r="E54">
            <v>44.813424228801082</v>
          </cell>
          <cell r="F54">
            <v>-14.231672210235438</v>
          </cell>
          <cell r="G54">
            <v>27.913652207665425</v>
          </cell>
          <cell r="H54">
            <v>1.2876591891891929</v>
          </cell>
          <cell r="I54">
            <v>44.797712907282708</v>
          </cell>
          <cell r="J54">
            <v>-14.270465428610349</v>
          </cell>
          <cell r="K54">
            <v>26.2</v>
          </cell>
          <cell r="AP54">
            <v>-4.4249717875203709E-2</v>
          </cell>
          <cell r="AQ54">
            <v>-1.5711321518374177E-2</v>
          </cell>
          <cell r="AR54">
            <v>-3.879321837491112E-2</v>
          </cell>
          <cell r="AS54">
            <v>-1.7136522076654259</v>
          </cell>
          <cell r="AT54">
            <v>-1247.0487108906707</v>
          </cell>
          <cell r="AU54">
            <v>-1.3465610222835167</v>
          </cell>
          <cell r="AV54">
            <v>14763.174785976022</v>
          </cell>
        </row>
        <row r="55">
          <cell r="B55">
            <v>356.75675675675689</v>
          </cell>
          <cell r="D55">
            <v>1.5966280383158924</v>
          </cell>
          <cell r="E55">
            <v>45.565447481147743</v>
          </cell>
          <cell r="F55">
            <v>-14.659153225228712</v>
          </cell>
          <cell r="G55">
            <v>28.03359069074866</v>
          </cell>
          <cell r="H55">
            <v>1.5354970270270296</v>
          </cell>
          <cell r="I55">
            <v>45.501785985461424</v>
          </cell>
          <cell r="J55">
            <v>-14.697572567786239</v>
          </cell>
          <cell r="K55">
            <v>26.2</v>
          </cell>
          <cell r="AP55">
            <v>-6.113101128886278E-2</v>
          </cell>
          <cell r="AQ55">
            <v>-6.3661495686318403E-2</v>
          </cell>
          <cell r="AR55">
            <v>-3.8419342557526548E-2</v>
          </cell>
          <cell r="AS55">
            <v>-1.833590690748661</v>
          </cell>
          <cell r="AT55">
            <v>-1490.9119295269868</v>
          </cell>
          <cell r="AU55">
            <v>-1.3359661893621322</v>
          </cell>
          <cell r="AV55">
            <v>15202.539560544988</v>
          </cell>
        </row>
        <row r="56">
          <cell r="B56">
            <v>366.21621621621637</v>
          </cell>
          <cell r="D56">
            <v>1.8618216287516149</v>
          </cell>
          <cell r="E56">
            <v>46.299110312421597</v>
          </cell>
          <cell r="F56">
            <v>-15.093663364040635</v>
          </cell>
          <cell r="G56">
            <v>28.010121568783614</v>
          </cell>
          <cell r="H56">
            <v>1.7833348648648688</v>
          </cell>
          <cell r="I56">
            <v>46.187432590076114</v>
          </cell>
          <cell r="J56">
            <v>-15.131251935014362</v>
          </cell>
          <cell r="K56">
            <v>26.2</v>
          </cell>
          <cell r="AP56">
            <v>-7.8486763886746136E-2</v>
          </cell>
          <cell r="AQ56">
            <v>-0.11167772234548323</v>
          </cell>
          <cell r="AR56">
            <v>-3.7588570973726476E-2</v>
          </cell>
          <cell r="AS56">
            <v>-1.8101215687836145</v>
          </cell>
          <cell r="AT56">
            <v>-1735.9501282110639</v>
          </cell>
          <cell r="AU56">
            <v>-1.3288995908203489</v>
          </cell>
          <cell r="AV56">
            <v>15648.386664749796</v>
          </cell>
        </row>
        <row r="57">
          <cell r="B57">
            <v>375.67567567567585</v>
          </cell>
          <cell r="D57">
            <v>2.1260286121563858</v>
          </cell>
          <cell r="E57">
            <v>47.01141108214501</v>
          </cell>
          <cell r="F57">
            <v>-15.53501501059541</v>
          </cell>
          <cell r="G57">
            <v>27.821620721804731</v>
          </cell>
          <cell r="H57">
            <v>2.0311727027027078</v>
          </cell>
          <cell r="I57">
            <v>46.855592661722639</v>
          </cell>
          <cell r="J57">
            <v>-15.571333729674187</v>
          </cell>
          <cell r="K57">
            <v>26.2</v>
          </cell>
          <cell r="AP57">
            <v>-9.4855909453678056E-2</v>
          </cell>
          <cell r="AQ57">
            <v>-0.15581842042237071</v>
          </cell>
          <cell r="AR57">
            <v>-3.6318719078776596E-2</v>
          </cell>
          <cell r="AS57">
            <v>-1.6216207218047316</v>
          </cell>
          <cell r="AT57">
            <v>-1982.1361191836615</v>
          </cell>
          <cell r="AU57">
            <v>-1.3251079449557324</v>
          </cell>
          <cell r="AV57">
            <v>16100.578629325304</v>
          </cell>
        </row>
        <row r="58">
          <cell r="B58">
            <v>385.13513513513533</v>
          </cell>
          <cell r="D58">
            <v>2.3875960944989796</v>
          </cell>
          <cell r="E58">
            <v>47.699067600563822</v>
          </cell>
          <cell r="F58">
            <v>-15.982990751664126</v>
          </cell>
          <cell r="G58">
            <v>27.449086584032397</v>
          </cell>
          <cell r="H58">
            <v>2.2790105405405447</v>
          </cell>
          <cell r="I58">
            <v>47.507136006066588</v>
          </cell>
          <cell r="J58">
            <v>-16.017656705039158</v>
          </cell>
          <cell r="K58">
            <v>26.2</v>
          </cell>
          <cell r="AP58">
            <v>-0.10858555395843483</v>
          </cell>
          <cell r="AQ58">
            <v>-0.19193159449723396</v>
          </cell>
          <cell r="AR58">
            <v>-3.4665953375032643E-2</v>
          </cell>
          <cell r="AS58">
            <v>-1.2490865840323977</v>
          </cell>
          <cell r="AT58">
            <v>-2229.4427146855155</v>
          </cell>
          <cell r="AU58">
            <v>-1.3243568690201428</v>
          </cell>
          <cell r="AV58">
            <v>16558.984225365828</v>
          </cell>
        </row>
        <row r="59">
          <cell r="B59">
            <v>394.59459459459481</v>
          </cell>
          <cell r="D59">
            <v>2.6447023469923159</v>
          </cell>
          <cell r="E59">
            <v>48.3586033755141</v>
          </cell>
          <cell r="F59">
            <v>-16.437341147129491</v>
          </cell>
          <cell r="G59">
            <v>26.875767526540184</v>
          </cell>
          <cell r="H59">
            <v>2.5268483783783839</v>
          </cell>
          <cell r="I59">
            <v>48.142869102456928</v>
          </cell>
          <cell r="J59">
            <v>-16.470067537726251</v>
          </cell>
          <cell r="K59">
            <v>26.2</v>
          </cell>
          <cell r="AP59">
            <v>-0.11785396861393194</v>
          </cell>
          <cell r="AQ59">
            <v>-0.21573427305717274</v>
          </cell>
          <cell r="AR59">
            <v>-3.2726390596760524E-2</v>
          </cell>
          <cell r="AS59">
            <v>-0.67576752654018435</v>
          </cell>
          <cell r="AT59">
            <v>-2477.8427269573458</v>
          </cell>
          <cell r="AU59">
            <v>-1.3264290445325528</v>
          </cell>
          <cell r="AV59">
            <v>17023.478004317003</v>
          </cell>
        </row>
        <row r="60">
          <cell r="B60">
            <v>404.05405405405429</v>
          </cell>
          <cell r="D60">
            <v>2.8953765693590015</v>
          </cell>
          <cell r="E60">
            <v>48.986415547292886</v>
          </cell>
          <cell r="F60">
            <v>-16.897783226101296</v>
          </cell>
          <cell r="G60">
            <v>26.086849574290493</v>
          </cell>
          <cell r="H60">
            <v>2.774686216216224</v>
          </cell>
          <cell r="I60">
            <v>48.763541105863936</v>
          </cell>
          <cell r="J60">
            <v>-16.928420257639626</v>
          </cell>
          <cell r="K60">
            <v>26.2</v>
          </cell>
          <cell r="AP60">
            <v>-0.12069035314277743</v>
          </cell>
          <cell r="AQ60">
            <v>-0.22287444142894941</v>
          </cell>
          <cell r="AR60">
            <v>-3.0637031538329751E-2</v>
          </cell>
          <cell r="AS60">
            <v>0.11315042570950595</v>
          </cell>
          <cell r="AT60">
            <v>-2727.3089682398936</v>
          </cell>
          <cell r="AU60">
            <v>-1.3311225999627894</v>
          </cell>
          <cell r="AV60">
            <v>17493.939882100036</v>
          </cell>
        </row>
        <row r="61">
          <cell r="B61">
            <v>413.51351351351377</v>
          </cell>
          <cell r="D61">
            <v>3.1375159404921171</v>
          </cell>
          <cell r="E61">
            <v>49.578828321029924</v>
          </cell>
          <cell r="F61">
            <v>-17.363999554420264</v>
          </cell>
          <cell r="G61">
            <v>25.069193545431578</v>
          </cell>
          <cell r="H61">
            <v>3.022524054054061</v>
          </cell>
          <cell r="I61">
            <v>49.369849154180343</v>
          </cell>
          <cell r="J61">
            <v>-17.392575731323227</v>
          </cell>
          <cell r="K61">
            <v>26.2</v>
          </cell>
          <cell r="AP61">
            <v>-0.11499188643805613</v>
          </cell>
          <cell r="AQ61">
            <v>-0.20897916684958062</v>
          </cell>
          <cell r="AR61">
            <v>-2.8576176902962658E-2</v>
          </cell>
          <cell r="AS61">
            <v>1.1308064545684218</v>
          </cell>
          <cell r="AT61">
            <v>-2977.8142507739058</v>
          </cell>
          <cell r="AU61">
            <v>-1.3382496805962631</v>
          </cell>
          <cell r="AV61">
            <v>17970.254762199707</v>
          </cell>
        </row>
        <row r="62">
          <cell r="B62">
            <v>422.97297297297325</v>
          </cell>
          <cell r="D62">
            <v>3.3689003811678373</v>
          </cell>
          <cell r="E62">
            <v>50.132134881280265</v>
          </cell>
          <cell r="F62">
            <v>-17.835637751049379</v>
          </cell>
          <cell r="G62">
            <v>23.811112871844703</v>
          </cell>
          <cell r="H62">
            <v>3.2703618918919002</v>
          </cell>
          <cell r="I62">
            <v>49.962443075179969</v>
          </cell>
          <cell r="J62">
            <v>-17.862401192609912</v>
          </cell>
          <cell r="K62">
            <v>26.2</v>
          </cell>
          <cell r="AP62">
            <v>-9.8538489275937113E-2</v>
          </cell>
          <cell r="AQ62">
            <v>-0.16969180610029611</v>
          </cell>
          <cell r="AR62">
            <v>-2.6763441560532897E-2</v>
          </cell>
          <cell r="AS62">
            <v>2.3888871281552966</v>
          </cell>
          <cell r="AT62">
            <v>-3229.3313868001073</v>
          </cell>
          <cell r="AU62">
            <v>-1.3476351801702506</v>
          </cell>
          <cell r="AV62">
            <v>18452.312193256781</v>
          </cell>
        </row>
        <row r="63">
          <cell r="B63">
            <v>432.43243243243273</v>
          </cell>
          <cell r="D63">
            <v>3.5872053791518672</v>
          </cell>
          <cell r="E63">
            <v>50.642630137414251</v>
          </cell>
          <cell r="F63">
            <v>-18.312310355946195</v>
          </cell>
          <cell r="G63">
            <v>22.302185061458228</v>
          </cell>
          <cell r="H63">
            <v>3.5181997297297389</v>
          </cell>
          <cell r="I63">
            <v>50.541929572824785</v>
          </cell>
          <cell r="J63">
            <v>-18.337769815275585</v>
          </cell>
          <cell r="K63">
            <v>26.2</v>
          </cell>
          <cell r="AP63">
            <v>-6.9005649422128279E-2</v>
          </cell>
          <cell r="AQ63">
            <v>-0.10070056458946652</v>
          </cell>
          <cell r="AR63">
            <v>-2.5459459329390199E-2</v>
          </cell>
          <cell r="AS63">
            <v>3.8978149385417709</v>
          </cell>
          <cell r="AT63">
            <v>-3481.8331885592379</v>
          </cell>
          <cell r="AU63">
            <v>-1.359115612807976</v>
          </cell>
          <cell r="AV63">
            <v>18940.006057304534</v>
          </cell>
        </row>
        <row r="64">
          <cell r="B64">
            <v>441.89189189189221</v>
          </cell>
          <cell r="D64">
            <v>3.7900131670445671</v>
          </cell>
          <cell r="E64">
            <v>51.106636155183985</v>
          </cell>
          <cell r="F64">
            <v>-18.793594971800228</v>
          </cell>
          <cell r="G64">
            <v>20.533091104158387</v>
          </cell>
          <cell r="H64">
            <v>3.7660375675675759</v>
          </cell>
          <cell r="I64">
            <v>51.108875960535997</v>
          </cell>
          <cell r="J64">
            <v>-18.818560323101725</v>
          </cell>
          <cell r="K64">
            <v>26.2</v>
          </cell>
          <cell r="AP64">
            <v>-2.3975599476991238E-2</v>
          </cell>
          <cell r="AQ64">
            <v>2.2398053520120698E-3</v>
          </cell>
          <cell r="AR64">
            <v>-2.4965351301496241E-2</v>
          </cell>
          <cell r="AS64">
            <v>5.6669088958416118</v>
          </cell>
          <cell r="AT64">
            <v>-3735.2924682920111</v>
          </cell>
          <cell r="AU64">
            <v>-1.3725381070302731</v>
          </cell>
          <cell r="AV64">
            <v>19433.234285295945</v>
          </cell>
        </row>
        <row r="65">
          <cell r="B65">
            <v>451.3513513513517</v>
          </cell>
          <cell r="D65">
            <v>3.9748224945290449</v>
          </cell>
          <cell r="E65">
            <v>51.52052174559892</v>
          </cell>
          <cell r="F65">
            <v>-19.279034617673759</v>
          </cell>
          <cell r="G65">
            <v>18.495478186364764</v>
          </cell>
          <cell r="H65">
            <v>4.0138754054054147</v>
          </cell>
          <cell r="I65">
            <v>51.663813499017508</v>
          </cell>
          <cell r="J65">
            <v>-19.304656633340343</v>
          </cell>
          <cell r="K65">
            <v>26.2</v>
          </cell>
          <cell r="AP65">
            <v>3.9052910876369751E-2</v>
          </cell>
          <cell r="AQ65">
            <v>0.14329175341858758</v>
          </cell>
          <cell r="AR65">
            <v>-2.562201566658473E-2</v>
          </cell>
          <cell r="AS65">
            <v>7.7045218136352354</v>
          </cell>
          <cell r="AT65">
            <v>-3989.6820382392002</v>
          </cell>
          <cell r="AU65">
            <v>-1.3877595063268728</v>
          </cell>
          <cell r="AV65">
            <v>19931.89859699913</v>
          </cell>
        </row>
        <row r="66">
          <cell r="B66">
            <v>460.81081081081118</v>
          </cell>
          <cell r="D66">
            <v>4.1390571969986469</v>
          </cell>
          <cell r="E66">
            <v>51.880717381513847</v>
          </cell>
          <cell r="F66">
            <v>-19.768138245023291</v>
          </cell>
          <cell r="G66">
            <v>16.181841926621775</v>
          </cell>
          <cell r="H66">
            <v>4.2617132432432543</v>
          </cell>
          <cell r="I66">
            <v>52.207240387856096</v>
          </cell>
          <cell r="J66">
            <v>-19.795947530079641</v>
          </cell>
          <cell r="K66">
            <v>26.2</v>
          </cell>
          <cell r="AP66">
            <v>0.12265604624460735</v>
          </cell>
          <cell r="AQ66">
            <v>0.32652300634224929</v>
          </cell>
          <cell r="AR66">
            <v>-2.7809285056349609E-2</v>
          </cell>
          <cell r="AS66">
            <v>10.018158073378224</v>
          </cell>
          <cell r="AT66">
            <v>-4244.9747106415334</v>
          </cell>
          <cell r="AU66">
            <v>-1.4046455630228749</v>
          </cell>
          <cell r="AV66">
            <v>20435.904262706415</v>
          </cell>
        </row>
        <row r="67">
          <cell r="B67">
            <v>470.27027027027066</v>
          </cell>
          <cell r="D67">
            <v>4.2800737300403933</v>
          </cell>
          <cell r="E67">
            <v>52.183726375944772</v>
          </cell>
          <cell r="F67">
            <v>-20.260381376484958</v>
          </cell>
          <cell r="G67">
            <v>13.585425023178946</v>
          </cell>
          <cell r="H67">
            <v>4.5095510810810913</v>
          </cell>
          <cell r="I67">
            <v>52.739624453119191</v>
          </cell>
          <cell r="J67">
            <v>-20.292326364439841</v>
          </cell>
          <cell r="K67">
            <v>26.2</v>
          </cell>
          <cell r="AP67">
            <v>0.229477351040698</v>
          </cell>
          <cell r="AQ67">
            <v>0.55589807717441886</v>
          </cell>
          <cell r="AR67">
            <v>-3.194498795488343E-2</v>
          </cell>
          <cell r="AS67">
            <v>12.614574976821054</v>
          </cell>
          <cell r="AT67">
            <v>-4501.143297739729</v>
          </cell>
          <cell r="AU67">
            <v>-1.4230702140634364</v>
          </cell>
          <cell r="AV67">
            <v>20945.15988451687</v>
          </cell>
        </row>
        <row r="68">
          <cell r="B68">
            <v>479.72972972973014</v>
          </cell>
          <cell r="D68">
            <v>4.3951678125146456</v>
          </cell>
          <cell r="E68">
            <v>52.426133069583621</v>
          </cell>
          <cell r="F68">
            <v>-20.75520683573156</v>
          </cell>
          <cell r="G68">
            <v>10.700129750699627</v>
          </cell>
          <cell r="H68">
            <v>4.75738891891893</v>
          </cell>
          <cell r="I68">
            <v>53.261405567283866</v>
          </cell>
          <cell r="J68">
            <v>-20.793690778899702</v>
          </cell>
          <cell r="K68">
            <v>26.2</v>
          </cell>
          <cell r="AP68">
            <v>0.3622211064042844</v>
          </cell>
          <cell r="AQ68">
            <v>0.83527249770024525</v>
          </cell>
          <cell r="AR68">
            <v>-3.8483943168142076E-2</v>
          </cell>
          <cell r="AS68">
            <v>15.499870249300372</v>
          </cell>
          <cell r="AT68">
            <v>-4758.1606117745359</v>
          </cell>
          <cell r="AU68">
            <v>-1.4429149289261503</v>
          </cell>
          <cell r="AV68">
            <v>21459.577195223013</v>
          </cell>
        </row>
        <row r="69">
          <cell r="B69">
            <v>489.18918918918962</v>
          </cell>
          <cell r="D69">
            <v>4.4815802988900399</v>
          </cell>
          <cell r="E69">
            <v>52.604608627159145</v>
          </cell>
          <cell r="F69">
            <v>-21.252025543044589</v>
          </cell>
          <cell r="G69">
            <v>7.5204421848395597</v>
          </cell>
          <cell r="H69">
            <v>5.0052267567567696</v>
          </cell>
          <cell r="I69">
            <v>53.772997832863162</v>
          </cell>
          <cell r="J69">
            <v>-21.299942453373614</v>
          </cell>
          <cell r="K69">
            <v>26.2</v>
          </cell>
          <cell r="AP69">
            <v>0.5236464578667297</v>
          </cell>
          <cell r="AQ69">
            <v>1.1683892057040168</v>
          </cell>
          <cell r="AR69">
            <v>-4.7916910329025342E-2</v>
          </cell>
          <cell r="AS69">
            <v>18.67955781516044</v>
          </cell>
          <cell r="AT69">
            <v>-5015.9994649866876</v>
          </cell>
          <cell r="AU69">
            <v>-1.4640681212086051</v>
          </cell>
          <cell r="AV69">
            <v>21979.070873065339</v>
          </cell>
        </row>
        <row r="70">
          <cell r="B70">
            <v>498.6486486486491</v>
          </cell>
          <cell r="D70">
            <v>4.536502383183505</v>
          </cell>
          <cell r="E70">
            <v>52.715914924806953</v>
          </cell>
          <cell r="F70">
            <v>-21.750217356348614</v>
          </cell>
          <cell r="G70">
            <v>4.0413663920831748</v>
          </cell>
          <cell r="H70">
            <v>5.2530645945946057</v>
          </cell>
          <cell r="I70">
            <v>54.274791556889774</v>
          </cell>
          <cell r="J70">
            <v>-21.81098687093559</v>
          </cell>
          <cell r="K70">
            <v>26.2</v>
          </cell>
          <cell r="AP70">
            <v>0.71656221141110077</v>
          </cell>
          <cell r="AQ70">
            <v>1.5588766320828213</v>
          </cell>
          <cell r="AR70">
            <v>-6.0769514586976214E-2</v>
          </cell>
          <cell r="AS70">
            <v>22.158633607916826</v>
          </cell>
          <cell r="AT70">
            <v>-5274.6326696169208</v>
          </cell>
          <cell r="AU70">
            <v>-1.4864246165730108</v>
          </cell>
          <cell r="AV70">
            <v>22503.558370819963</v>
          </cell>
        </row>
        <row r="71">
          <cell r="B71">
            <v>508.10810810810858</v>
          </cell>
          <cell r="D71">
            <v>4.5570802216086337</v>
          </cell>
          <cell r="E71">
            <v>52.756906916859464</v>
          </cell>
          <cell r="F71">
            <v>-22.249131941552488</v>
          </cell>
          <cell r="G71">
            <v>0.25836711474755114</v>
          </cell>
          <cell r="H71">
            <v>5.5009024324324454</v>
          </cell>
          <cell r="I71">
            <v>54.767155039843203</v>
          </cell>
          <cell r="J71">
            <v>-22.326733101325743</v>
          </cell>
          <cell r="K71">
            <v>26.2</v>
          </cell>
          <cell r="AP71">
            <v>0.94382221082381168</v>
          </cell>
          <cell r="AQ71">
            <v>2.0102481229837394</v>
          </cell>
          <cell r="AR71">
            <v>-7.7601159773255546E-2</v>
          </cell>
          <cell r="AS71">
            <v>25.941632885252449</v>
          </cell>
          <cell r="AT71">
            <v>-5534.0330379059587</v>
          </cell>
          <cell r="AU71">
            <v>-1.5098851706916889</v>
          </cell>
          <cell r="AV71">
            <v>23032.95975785912</v>
          </cell>
        </row>
        <row r="72">
          <cell r="B72">
            <v>517.56756756756806</v>
          </cell>
          <cell r="D72">
            <v>4.5404190483015832</v>
          </cell>
          <cell r="E72">
            <v>52.724533795456573</v>
          </cell>
          <cell r="F72">
            <v>-22.748089659346991</v>
          </cell>
          <cell r="G72">
            <v>-3.8326802793874255</v>
          </cell>
          <cell r="H72">
            <v>5.7487402702702841</v>
          </cell>
          <cell r="I72">
            <v>55.250436199560887</v>
          </cell>
          <cell r="J72">
            <v>-22.847093600583548</v>
          </cell>
          <cell r="K72">
            <v>26.2</v>
          </cell>
          <cell r="AP72">
            <v>1.208321221968701</v>
          </cell>
          <cell r="AQ72">
            <v>2.5259024041043148</v>
          </cell>
          <cell r="AR72">
            <v>-9.9003941236556869E-2</v>
          </cell>
          <cell r="AS72">
            <v>30.032680279387424</v>
          </cell>
          <cell r="AT72">
            <v>-5794.173382094561</v>
          </cell>
          <cell r="AU72">
            <v>-1.5343560316587812</v>
          </cell>
          <cell r="AV72">
            <v>23567.197573976686</v>
          </cell>
        </row>
        <row r="73">
          <cell r="B73">
            <v>527.02702702702754</v>
          </cell>
          <cell r="D73">
            <v>4.4835868478154657</v>
          </cell>
          <cell r="E73">
            <v>52.615839196183508</v>
          </cell>
          <cell r="F73">
            <v>-23.246382458281232</v>
          </cell>
          <cell r="G73">
            <v>-8.2355336164039556</v>
          </cell>
          <cell r="H73">
            <v>5.9965781081081211</v>
          </cell>
          <cell r="I73">
            <v>55.724964048068699</v>
          </cell>
          <cell r="J73">
            <v>-23.371984025333518</v>
          </cell>
          <cell r="K73">
            <v>26.2</v>
          </cell>
          <cell r="AP73">
            <v>1.5129912602926554</v>
          </cell>
          <cell r="AQ73">
            <v>3.1091248518851913</v>
          </cell>
          <cell r="AR73">
            <v>-0.12560156705228565</v>
          </cell>
          <cell r="AS73">
            <v>34.435533616403958</v>
          </cell>
          <cell r="AT73">
            <v>-6055.0265144234399</v>
          </cell>
          <cell r="AU73">
            <v>-1.5597485420353081</v>
          </cell>
          <cell r="AV73">
            <v>24106.19669390337</v>
          </cell>
        </row>
        <row r="74">
          <cell r="B74">
            <v>536.48648648648702</v>
          </cell>
          <cell r="D74">
            <v>4.3836176390887083</v>
          </cell>
          <cell r="E74">
            <v>52.427960654500907</v>
          </cell>
          <cell r="F74">
            <v>-23.743274766096285</v>
          </cell>
          <cell r="G74">
            <v>-12.953622375570541</v>
          </cell>
          <cell r="H74">
            <v>6.2444159459459598</v>
          </cell>
          <cell r="I74">
            <v>56.191050037032362</v>
          </cell>
          <cell r="J74">
            <v>-23.901323060407918</v>
          </cell>
          <cell r="K74">
            <v>26.2</v>
          </cell>
          <cell r="AP74">
            <v>1.8607983068572516</v>
          </cell>
          <cell r="AQ74">
            <v>3.7630893825314544</v>
          </cell>
          <cell r="AR74">
            <v>-0.1580482943116337</v>
          </cell>
          <cell r="AS74">
            <v>39.153622375570542</v>
          </cell>
          <cell r="AT74">
            <v>-6316.5652471333442</v>
          </cell>
          <cell r="AU74">
            <v>-1.5859787762960593</v>
          </cell>
          <cell r="AV74">
            <v>24649.884201551391</v>
          </cell>
        </row>
        <row r="75">
          <cell r="B75">
            <v>545.94594594594651</v>
          </cell>
          <cell r="D75">
            <v>4.2375144180102584</v>
          </cell>
          <cell r="E75">
            <v>52.158128478653765</v>
          </cell>
          <cell r="F75">
            <v>-24.238004373038656</v>
          </cell>
          <cell r="G75">
            <v>-17.99008152507604</v>
          </cell>
          <cell r="H75">
            <v>6.4922537837837995</v>
          </cell>
          <cell r="I75">
            <v>56.648989285610099</v>
          </cell>
          <cell r="J75">
            <v>-24.435032258630397</v>
          </cell>
          <cell r="K75">
            <v>26.2</v>
          </cell>
          <cell r="AP75">
            <v>2.2547393657735411</v>
          </cell>
          <cell r="AQ75">
            <v>4.4908608069563343</v>
          </cell>
          <cell r="AR75">
            <v>-0.19702788559174067</v>
          </cell>
          <cell r="AS75">
            <v>44.190081525076039</v>
          </cell>
          <cell r="AT75">
            <v>-6578.7623924650188</v>
          </cell>
          <cell r="AU75">
            <v>-1.6129672099655821</v>
          </cell>
          <cell r="AV75">
            <v>25198.189273131218</v>
          </cell>
        </row>
        <row r="76">
          <cell r="B76">
            <v>555.40540540540599</v>
          </cell>
          <cell r="D76">
            <v>4.0422517992854621</v>
          </cell>
          <cell r="E76">
            <v>51.803664173158737</v>
          </cell>
          <cell r="F76">
            <v>-24.72978330229331</v>
          </cell>
          <cell r="G76">
            <v>-23.347781358692835</v>
          </cell>
          <cell r="H76">
            <v>6.7400916216216382</v>
          </cell>
          <cell r="I76">
            <v>57.099061702829303</v>
          </cell>
          <cell r="J76">
            <v>-24.973035891706562</v>
          </cell>
          <cell r="K76">
            <v>26.2</v>
          </cell>
          <cell r="AP76">
            <v>2.6978398223361761</v>
          </cell>
          <cell r="AQ76">
            <v>5.2953975296705664</v>
          </cell>
          <cell r="AR76">
            <v>-0.24325258941325245</v>
          </cell>
          <cell r="AS76">
            <v>49.547781358692831</v>
          </cell>
          <cell r="AT76">
            <v>-6841.5907626591861</v>
          </cell>
          <cell r="AU76">
            <v>-1.6406384171761914</v>
          </cell>
          <cell r="AV76">
            <v>25751.043068371109</v>
          </cell>
        </row>
        <row r="77">
          <cell r="B77">
            <v>564.86486486486547</v>
          </cell>
          <cell r="D77">
            <v>3.7947783928510255</v>
          </cell>
          <cell r="E77">
            <v>51.361978521366304</v>
          </cell>
          <cell r="F77">
            <v>-25.217798663812715</v>
          </cell>
          <cell r="G77">
            <v>-29.029353864560662</v>
          </cell>
          <cell r="H77">
            <v>6.9879294594594752</v>
          </cell>
          <cell r="I77">
            <v>57.541533015176583</v>
          </cell>
          <cell r="J77">
            <v>-25.515260811275443</v>
          </cell>
          <cell r="K77">
            <v>26.2</v>
          </cell>
          <cell r="AP77">
            <v>3.1931510666084497</v>
          </cell>
          <cell r="AQ77">
            <v>6.1795544938102793</v>
          </cell>
          <cell r="AR77">
            <v>-0.2974621474627277</v>
          </cell>
          <cell r="AS77">
            <v>55.229353864560665</v>
          </cell>
          <cell r="AT77">
            <v>-7105.0231699565829</v>
          </cell>
          <cell r="AU77">
            <v>-1.6689207937677111</v>
          </cell>
          <cell r="AV77">
            <v>26308.37862914936</v>
          </cell>
        </row>
        <row r="78">
          <cell r="B78">
            <v>574.32432432432495</v>
          </cell>
          <cell r="D78">
            <v>3.4920189454438058</v>
          </cell>
          <cell r="E78">
            <v>50.83056941483197</v>
          </cell>
          <cell r="F78">
            <v>-25.701213488750266</v>
          </cell>
          <cell r="G78">
            <v>-35.037216079206004</v>
          </cell>
          <cell r="H78">
            <v>7.2357672972973139</v>
          </cell>
          <cell r="I78">
            <v>57.976655708847687</v>
          </cell>
          <cell r="J78">
            <v>-26.061636319270654</v>
          </cell>
          <cell r="K78">
            <v>26.2</v>
          </cell>
          <cell r="AP78">
            <v>3.7437483518535082</v>
          </cell>
          <cell r="AQ78">
            <v>7.146086294015717</v>
          </cell>
          <cell r="AR78">
            <v>-0.36042283052038826</v>
          </cell>
          <cell r="AS78">
            <v>61.237216079206007</v>
          </cell>
          <cell r="AT78">
            <v>-7369.0324265979543</v>
          </cell>
          <cell r="AU78">
            <v>-1.6977463033836386</v>
          </cell>
          <cell r="AV78">
            <v>26870.130784918369</v>
          </cell>
        </row>
        <row r="79">
          <cell r="B79">
            <v>583.78378378378443</v>
          </cell>
          <cell r="D79">
            <v>3.1308762739622553</v>
          </cell>
          <cell r="E79">
            <v>50.207019500329913</v>
          </cell>
          <cell r="F79">
            <v>-26.179167542446567</v>
          </cell>
          <cell r="G79">
            <v>-41.373590814379028</v>
          </cell>
          <cell r="H79">
            <v>7.4836051351351536</v>
          </cell>
          <cell r="I79">
            <v>58.404669895023659</v>
          </cell>
          <cell r="J79">
            <v>-26.612094046824645</v>
          </cell>
          <cell r="K79">
            <v>26.2</v>
          </cell>
          <cell r="AP79">
            <v>4.3527288611728983</v>
          </cell>
          <cell r="AQ79">
            <v>8.1976503946937456</v>
          </cell>
          <cell r="AR79">
            <v>-0.43292650437807723</v>
          </cell>
          <cell r="AS79">
            <v>67.573590814379031</v>
          </cell>
          <cell r="AT79">
            <v>-7633.5913448240271</v>
          </cell>
          <cell r="AU79">
            <v>-1.727050244308721</v>
          </cell>
          <cell r="AV79">
            <v>27436.236064361066</v>
          </cell>
        </row>
        <row r="80">
          <cell r="B80">
            <v>593.24324324324391</v>
          </cell>
          <cell r="D80">
            <v>2.7082330138589081</v>
          </cell>
          <cell r="E80">
            <v>49.488993701605409</v>
          </cell>
          <cell r="F80">
            <v>-26.650778114525874</v>
          </cell>
          <cell r="G80">
            <v>-48.040525089121594</v>
          </cell>
          <cell r="H80">
            <v>7.7314429729729905</v>
          </cell>
          <cell r="I80">
            <v>58.825804105597449</v>
          </cell>
          <cell r="J80">
            <v>-27.166567841023372</v>
          </cell>
          <cell r="K80">
            <v>26.2</v>
          </cell>
          <cell r="AP80">
            <v>5.023209959114082</v>
          </cell>
          <cell r="AQ80">
            <v>9.3368104039920397</v>
          </cell>
          <cell r="AR80">
            <v>-0.51578972649749844</v>
          </cell>
          <cell r="AS80">
            <v>74.24052508912159</v>
          </cell>
          <cell r="AT80">
            <v>-7898.6727368755137</v>
          </cell>
          <cell r="AU80">
            <v>-1.7567710350481889</v>
          </cell>
          <cell r="AV80">
            <v>28006.632612774629</v>
          </cell>
        </row>
        <row r="81">
          <cell r="B81">
            <v>602.70270270270339</v>
          </cell>
          <cell r="D81">
            <v>2.22095320288616</v>
          </cell>
          <cell r="E81">
            <v>48.674236661751401</v>
          </cell>
          <cell r="F81">
            <v>-27.115140785142412</v>
          </cell>
          <cell r="G81">
            <v>-55.039906552898906</v>
          </cell>
          <cell r="H81">
            <v>7.9792808108108293</v>
          </cell>
          <cell r="I81">
            <v>59.240276025953648</v>
          </cell>
          <cell r="J81">
            <v>-27.724993658885598</v>
          </cell>
          <cell r="K81">
            <v>26.2</v>
          </cell>
          <cell r="AP81">
            <v>5.7583276079246692</v>
          </cell>
          <cell r="AQ81">
            <v>10.566039364202247</v>
          </cell>
          <cell r="AR81">
            <v>-0.60985287374318631</v>
          </cell>
          <cell r="AS81">
            <v>81.239906552898901</v>
          </cell>
          <cell r="AT81">
            <v>-8164.2494149932099</v>
          </cell>
          <cell r="AU81">
            <v>-1.7868500168685983</v>
          </cell>
          <cell r="AV81">
            <v>28581.260114724595</v>
          </cell>
        </row>
        <row r="82">
          <cell r="B82">
            <v>612.16216216216287</v>
          </cell>
          <cell r="D82">
            <v>1.665883718004544</v>
          </cell>
          <cell r="E82">
            <v>47.760570142953796</v>
          </cell>
          <cell r="F82">
            <v>-27.571330166803669</v>
          </cell>
          <cell r="G82">
            <v>-62.373478146189356</v>
          </cell>
          <cell r="H82">
            <v>8.227118648648668</v>
          </cell>
          <cell r="I82">
            <v>59.648293170683459</v>
          </cell>
          <cell r="J82">
            <v>-28.287309467999489</v>
          </cell>
          <cell r="K82">
            <v>26.2</v>
          </cell>
          <cell r="AP82">
            <v>6.5612349306441242</v>
          </cell>
          <cell r="AQ82">
            <v>11.887723027729663</v>
          </cell>
          <cell r="AR82">
            <v>-0.71597930119581932</v>
          </cell>
          <cell r="AS82">
            <v>88.573478146189359</v>
          </cell>
          <cell r="AT82">
            <v>-8430.2941914178064</v>
          </cell>
          <cell r="AU82">
            <v>-1.8172312717160253</v>
          </cell>
          <cell r="AV82">
            <v>29160.059721556081</v>
          </cell>
        </row>
        <row r="83">
          <cell r="B83">
            <v>621.62162162162235</v>
          </cell>
          <cell r="D83">
            <v>1.0398555810952712</v>
          </cell>
          <cell r="E83">
            <v>46.745890412895946</v>
          </cell>
          <cell r="F83">
            <v>-28.018400621515724</v>
          </cell>
          <cell r="G83">
            <v>-70.042851211444869</v>
          </cell>
          <cell r="H83">
            <v>8.474956486486505</v>
          </cell>
          <cell r="I83">
            <v>60.050053507486254</v>
          </cell>
          <cell r="J83">
            <v>-28.853455153302292</v>
          </cell>
          <cell r="K83">
            <v>26.2</v>
          </cell>
          <cell r="AP83">
            <v>7.4351009053912342</v>
          </cell>
          <cell r="AQ83">
            <v>13.304163094590308</v>
          </cell>
          <cell r="AR83">
            <v>-0.83505453178656808</v>
          </cell>
          <cell r="AS83">
            <v>96.242851211444872</v>
          </cell>
          <cell r="AT83">
            <v>-8696.7798783900435</v>
          </cell>
          <cell r="AU83">
            <v>-1.8478614540958702</v>
          </cell>
          <cell r="AV83">
            <v>29742.973983386128</v>
          </cell>
        </row>
        <row r="84">
          <cell r="B84">
            <v>631.08108108108183</v>
          </cell>
          <cell r="D84">
            <v>0.3396851472423017</v>
          </cell>
          <cell r="E84">
            <v>45.628165641010824</v>
          </cell>
          <cell r="F84">
            <v>-28.455386953233436</v>
          </cell>
          <cell r="G84">
            <v>-78.049517238829637</v>
          </cell>
          <cell r="H84">
            <v>8.7227943243243438</v>
          </cell>
          <cell r="I84">
            <v>60.445746033953071</v>
          </cell>
          <cell r="J84">
            <v>-29.423372429535274</v>
          </cell>
          <cell r="K84">
            <v>26.2</v>
          </cell>
          <cell r="AP84">
            <v>8.3831091770820425</v>
          </cell>
          <cell r="AQ84">
            <v>14.817580392942247</v>
          </cell>
          <cell r="AR84">
            <v>-0.96798547630183762</v>
          </cell>
          <cell r="AS84">
            <v>104.24951723882964</v>
          </cell>
          <cell r="AT84">
            <v>-8963.6792881506753</v>
          </cell>
          <cell r="AU84">
            <v>-1.8786896356496356</v>
          </cell>
          <cell r="AV84">
            <v>30329.946785236683</v>
          </cell>
        </row>
        <row r="85">
          <cell r="B85">
            <v>640.54054054054131</v>
          </cell>
          <cell r="D85">
            <v>-0.43782481227598896</v>
          </cell>
          <cell r="E85">
            <v>44.405433322803788</v>
          </cell>
          <cell r="F85">
            <v>-28.881305075801684</v>
          </cell>
          <cell r="G85">
            <v>-86.394858406817434</v>
          </cell>
          <cell r="H85">
            <v>8.9706321621621843</v>
          </cell>
          <cell r="I85">
            <v>60.835551311438977</v>
          </cell>
          <cell r="J85">
            <v>-29.997004758948769</v>
          </cell>
          <cell r="K85">
            <v>26.2</v>
          </cell>
          <cell r="AP85">
            <v>9.4084569744381739</v>
          </cell>
          <cell r="AQ85">
            <v>16.430117988635189</v>
          </cell>
          <cell r="AR85">
            <v>-1.1156996831470849</v>
          </cell>
          <cell r="AS85">
            <v>112.59485840681744</v>
          </cell>
          <cell r="AT85">
            <v>-9230.9652329404216</v>
          </cell>
          <cell r="AU85">
            <v>-1.9096671612946423</v>
          </cell>
          <cell r="AV85">
            <v>30920.923286997622</v>
          </cell>
        </row>
        <row r="86">
          <cell r="B86">
            <v>650.0000000000008</v>
          </cell>
          <cell r="D86">
            <v>-1.2958841215607371</v>
          </cell>
          <cell r="E86">
            <v>43.075797746402941</v>
          </cell>
          <cell r="F86">
            <v>-29.295152656722632</v>
          </cell>
          <cell r="G86">
            <v>-95.080157056922701</v>
          </cell>
          <cell r="H86">
            <v>9.218470000000023</v>
          </cell>
          <cell r="I86">
            <v>61.219641959798913</v>
          </cell>
          <cell r="J86">
            <v>-30.574297273869323</v>
          </cell>
          <cell r="K86">
            <v>26.2</v>
          </cell>
          <cell r="AP86">
            <v>10.514354121560761</v>
          </cell>
          <cell r="AQ86">
            <v>18.143844213395973</v>
          </cell>
          <cell r="AR86">
            <v>-1.2791446171466916</v>
          </cell>
          <cell r="AS86">
            <v>121.2801570569227</v>
          </cell>
          <cell r="AT86">
            <v>-9498.6105250000182</v>
          </cell>
          <cell r="AU86">
            <v>-1.9407475159096492</v>
          </cell>
          <cell r="AV86">
            <v>31515.849866936729</v>
          </cell>
        </row>
        <row r="87">
          <cell r="B87">
            <v>659.45945945946028</v>
          </cell>
          <cell r="D87">
            <v>-2.2377142967349037</v>
          </cell>
          <cell r="E87">
            <v>41.637427512180572</v>
          </cell>
          <cell r="F87">
            <v>-29.695909737200008</v>
          </cell>
          <cell r="G87">
            <v>-104.10660422398144</v>
          </cell>
          <cell r="H87">
            <v>9.46630783783786</v>
          </cell>
          <cell r="I87">
            <v>61.598183116380433</v>
          </cell>
          <cell r="J87">
            <v>-31.155196703775232</v>
          </cell>
          <cell r="K87">
            <v>26.2</v>
          </cell>
          <cell r="AP87">
            <v>11.704022134572764</v>
          </cell>
          <cell r="AQ87">
            <v>19.960755604199861</v>
          </cell>
          <cell r="AR87">
            <v>-1.4592869665752239</v>
          </cell>
          <cell r="AS87">
            <v>130.30660422398142</v>
          </cell>
          <cell r="AT87">
            <v>-9766.5879765702175</v>
          </cell>
          <cell r="AU87">
            <v>-1.971886200652186</v>
          </cell>
          <cell r="AV87">
            <v>32114.67406849892</v>
          </cell>
        </row>
        <row r="88">
          <cell r="B88">
            <v>668.91891891891976</v>
          </cell>
          <cell r="D88">
            <v>-3.2665477192352181</v>
          </cell>
          <cell r="E88">
            <v>40.088553113597364</v>
          </cell>
          <cell r="F88">
            <v>-30.082539329006419</v>
          </cell>
          <cell r="G88">
            <v>-113.47530732806743</v>
          </cell>
          <cell r="H88">
            <v>9.7141456756756988</v>
          </cell>
          <cell r="I88">
            <v>61.971332862327657</v>
          </cell>
          <cell r="J88">
            <v>-31.73965130655704</v>
          </cell>
          <cell r="K88">
            <v>26.2</v>
          </cell>
          <cell r="AP88">
            <v>12.980693394910917</v>
          </cell>
          <cell r="AQ88">
            <v>21.882779748730293</v>
          </cell>
          <cell r="AR88">
            <v>-1.6571119775506205</v>
          </cell>
          <cell r="AS88">
            <v>139.67530732806742</v>
          </cell>
          <cell r="AT88">
            <v>-10034.870399891737</v>
          </cell>
          <cell r="AU88">
            <v>-2.0030406180841211</v>
          </cell>
          <cell r="AV88">
            <v>32717.344550158286</v>
          </cell>
        </row>
        <row r="89">
          <cell r="B89">
            <v>678.37837837837924</v>
          </cell>
          <cell r="D89">
            <v>-4.3856268782697043</v>
          </cell>
          <cell r="E89">
            <v>38.427464585211951</v>
          </cell>
          <cell r="F89">
            <v>-30.453987988778305</v>
          </cell>
          <cell r="G89">
            <v>-123.18729712090217</v>
          </cell>
          <cell r="H89">
            <v>9.9619835135135357</v>
          </cell>
          <cell r="I89">
            <v>62.339242618951275</v>
          </cell>
          <cell r="J89">
            <v>-32.327610803666978</v>
          </cell>
          <cell r="K89">
            <v>26.2</v>
          </cell>
          <cell r="AP89">
            <v>14.34761039178324</v>
          </cell>
          <cell r="AQ89">
            <v>23.911778033739324</v>
          </cell>
          <cell r="AR89">
            <v>-1.8736228148886731</v>
          </cell>
          <cell r="AS89">
            <v>149.38729712090216</v>
          </cell>
          <cell r="AT89">
            <v>-10303.430607205319</v>
          </cell>
          <cell r="AU89">
            <v>-2.0341699653637733</v>
          </cell>
          <cell r="AV89">
            <v>33323.811038107495</v>
          </cell>
        </row>
        <row r="90">
          <cell r="B90">
            <v>687.83783783783872</v>
          </cell>
          <cell r="D90">
            <v>-5.5982036757849096</v>
          </cell>
          <cell r="E90">
            <v>36.6525092220324</v>
          </cell>
          <cell r="F90">
            <v>-30.809186370399082</v>
          </cell>
          <cell r="G90">
            <v>-133.24353396820516</v>
          </cell>
          <cell r="H90">
            <v>10.209821351351374</v>
          </cell>
          <cell r="I90">
            <v>62.702057516651664</v>
          </cell>
          <cell r="J90">
            <v>-32.919026318886104</v>
          </cell>
          <cell r="K90">
            <v>26.2</v>
          </cell>
          <cell r="AP90">
            <v>15.808025027136285</v>
          </cell>
          <cell r="AQ90">
            <v>26.049548294619264</v>
          </cell>
          <cell r="AR90">
            <v>-2.1098399484870214</v>
          </cell>
          <cell r="AS90">
            <v>159.44353396820514</v>
          </cell>
          <cell r="AT90">
            <v>-10572.24141075172</v>
          </cell>
          <cell r="AU90">
            <v>-2.065235134833614</v>
          </cell>
          <cell r="AV90">
            <v>33934.024281586215</v>
          </cell>
        </row>
        <row r="91">
          <cell r="B91">
            <v>697.2972972972982</v>
          </cell>
          <cell r="D91">
            <v>-6.9075387880046701</v>
          </cell>
          <cell r="E91">
            <v>34.762089372929474</v>
          </cell>
          <cell r="F91">
            <v>-31.14704975615545</v>
          </cell>
          <cell r="G91">
            <v>-143.6449135395624</v>
          </cell>
          <cell r="H91">
            <v>10.457659189189213</v>
          </cell>
          <cell r="I91">
            <v>63.059916738644915</v>
          </cell>
          <cell r="J91">
            <v>-33.513850320460541</v>
          </cell>
          <cell r="K91">
            <v>26.2</v>
          </cell>
          <cell r="AP91">
            <v>17.365197977193883</v>
          </cell>
          <cell r="AQ91">
            <v>28.297827365715442</v>
          </cell>
          <cell r="AR91">
            <v>-2.3668005643050911</v>
          </cell>
          <cell r="AS91">
            <v>169.84491353956238</v>
          </cell>
          <cell r="AT91">
            <v>-10841.275622771653</v>
          </cell>
          <cell r="AU91">
            <v>-2.0961986213980026</v>
          </cell>
          <cell r="AV91">
            <v>34547.936010667603</v>
          </cell>
        </row>
        <row r="92">
          <cell r="B92">
            <v>706.75675675675768</v>
          </cell>
          <cell r="D92">
            <v>-8.3169010782412638</v>
          </cell>
          <cell r="E92">
            <v>32.754660309679373</v>
          </cell>
          <cell r="F92">
            <v>-31.466478567379571</v>
          </cell>
          <cell r="G92">
            <v>-154.39227196881555</v>
          </cell>
          <cell r="H92">
            <v>10.705497027027052</v>
          </cell>
          <cell r="I92">
            <v>63.412953841528946</v>
          </cell>
          <cell r="J92">
            <v>-34.112036566377924</v>
          </cell>
          <cell r="K92">
            <v>26.2</v>
          </cell>
          <cell r="AP92">
            <v>19.022398105268316</v>
          </cell>
          <cell r="AQ92">
            <v>30.658293531849573</v>
          </cell>
          <cell r="AR92">
            <v>-2.6455579989983526</v>
          </cell>
          <cell r="AS92">
            <v>180.59227196881554</v>
          </cell>
          <cell r="AT92">
            <v>-11110.506055505813</v>
          </cell>
          <cell r="AU92">
            <v>-2.1270244361416246</v>
          </cell>
          <cell r="AV92">
            <v>35165.498896335579</v>
          </cell>
        </row>
        <row r="93">
          <cell r="B93">
            <v>716.21621621621716</v>
          </cell>
          <cell r="D93">
            <v>-9.8295670562392257</v>
          </cell>
          <cell r="E93">
            <v>30.628728172261667</v>
          </cell>
          <cell r="F93">
            <v>-31.766358855291482</v>
          </cell>
          <cell r="G93">
            <v>-165.48639054054772</v>
          </cell>
          <cell r="H93">
            <v>10.953334864864892</v>
          </cell>
          <cell r="I93">
            <v>63.761297054537557</v>
          </cell>
          <cell r="J93">
            <v>-34.713540052574238</v>
          </cell>
          <cell r="K93">
            <v>26.2</v>
          </cell>
          <cell r="AP93">
            <v>20.78290192110412</v>
          </cell>
          <cell r="AQ93">
            <v>33.132568882275891</v>
          </cell>
          <cell r="AR93">
            <v>-2.947181197282756</v>
          </cell>
          <cell r="AS93">
            <v>191.68639054054771</v>
          </cell>
          <cell r="AT93">
            <v>-11379.905521195022</v>
          </cell>
          <cell r="AU93">
            <v>-2.1576780256908066</v>
          </cell>
          <cell r="AV93">
            <v>35786.666512699805</v>
          </cell>
        </row>
        <row r="94">
          <cell r="B94">
            <v>725.67567567567664</v>
          </cell>
          <cell r="D94">
            <v>-11.448820379803553</v>
          </cell>
          <cell r="E94">
            <v>28.382847990304377</v>
          </cell>
          <cell r="F94">
            <v>-32.045562772767717</v>
          </cell>
          <cell r="G94">
            <v>-176.92799995175642</v>
          </cell>
          <cell r="H94">
            <v>11.201172702702729</v>
          </cell>
          <cell r="I94">
            <v>64.105069559160228</v>
          </cell>
          <cell r="J94">
            <v>-35.318316963877116</v>
          </cell>
          <cell r="K94">
            <v>26.2</v>
          </cell>
          <cell r="AP94">
            <v>22.649993082506285</v>
          </cell>
          <cell r="AQ94">
            <v>35.722221568855851</v>
          </cell>
          <cell r="AR94">
            <v>-3.2727541911093994</v>
          </cell>
          <cell r="AS94">
            <v>203.12799995175641</v>
          </cell>
          <cell r="AT94">
            <v>-11649.446832079975</v>
          </cell>
          <cell r="AU94">
            <v>-2.1881261968655252</v>
          </cell>
          <cell r="AV94">
            <v>36411.393301207332</v>
          </cell>
        </row>
        <row r="95">
          <cell r="B95">
            <v>735.13513513513612</v>
          </cell>
          <cell r="D95">
            <v>-13.177951394906986</v>
          </cell>
          <cell r="E95">
            <v>26.015621779971042</v>
          </cell>
          <cell r="F95">
            <v>-32.3029490277506</v>
          </cell>
          <cell r="G95">
            <v>-188.71778419216042</v>
          </cell>
          <cell r="H95">
            <v>11.449010540540568</v>
          </cell>
          <cell r="I95">
            <v>64.44438975065367</v>
          </cell>
          <cell r="J95">
            <v>-35.926324627507597</v>
          </cell>
          <cell r="K95">
            <v>26.2</v>
          </cell>
          <cell r="AP95">
            <v>24.626961935447554</v>
          </cell>
          <cell r="AQ95">
            <v>38.428767970682628</v>
          </cell>
          <cell r="AR95">
            <v>-3.6233755997569972</v>
          </cell>
          <cell r="AS95">
            <v>214.91778419216041</v>
          </cell>
          <cell r="AT95">
            <v>-11919.102800401366</v>
          </cell>
          <cell r="AU95">
            <v>-2.2183370462111469</v>
          </cell>
          <cell r="AV95">
            <v>37039.634536720463</v>
          </cell>
        </row>
        <row r="96">
          <cell r="B96">
            <v>744.59459459459561</v>
          </cell>
          <cell r="D96">
            <v>-15.020256710851392</v>
          </cell>
          <cell r="E96">
            <v>23.525696715127875</v>
          </cell>
          <cell r="F96">
            <v>-32.537363319007483</v>
          </cell>
          <cell r="G96">
            <v>-200.85638408164945</v>
          </cell>
          <cell r="H96">
            <v>11.696848378378405</v>
          </cell>
          <cell r="I96">
            <v>64.779371482834335</v>
          </cell>
          <cell r="J96">
            <v>-36.537521468975328</v>
          </cell>
          <cell r="K96">
            <v>26.2</v>
          </cell>
          <cell r="AP96">
            <v>26.717105089229797</v>
          </cell>
          <cell r="AQ96">
            <v>41.253674767706457</v>
          </cell>
          <cell r="AR96">
            <v>-4.0001581499678451</v>
          </cell>
          <cell r="AS96">
            <v>227.05638408164944</v>
          </cell>
          <cell r="AT96">
            <v>-12188.846238400045</v>
          </cell>
          <cell r="AU96">
            <v>-2.2482798940351643</v>
          </cell>
          <cell r="AV96">
            <v>37671.346295340634</v>
          </cell>
        </row>
        <row r="97">
          <cell r="B97">
            <v>754.05405405405509</v>
          </cell>
          <cell r="D97">
            <v>-16.979038807406514</v>
          </cell>
          <cell r="E97">
            <v>20.911763371274823</v>
          </cell>
          <cell r="F97">
            <v>-32.747638754935508</v>
          </cell>
          <cell r="G97">
            <v>-213.34440049906735</v>
          </cell>
          <cell r="H97">
            <v>11.944686216216244</v>
          </cell>
          <cell r="I97">
            <v>65.110124297418309</v>
          </cell>
          <cell r="J97">
            <v>-37.15186697021548</v>
          </cell>
          <cell r="K97">
            <v>26.2</v>
          </cell>
          <cell r="AP97">
            <v>28.923725023622758</v>
          </cell>
          <cell r="AQ97">
            <v>44.198360926143486</v>
          </cell>
          <cell r="AR97">
            <v>-4.4042282152799714</v>
          </cell>
          <cell r="AS97">
            <v>239.54440049906734</v>
          </cell>
          <cell r="AT97">
            <v>-12458.649958316613</v>
          </cell>
          <cell r="AU97">
            <v>-2.2779252226079052</v>
          </cell>
          <cell r="AV97">
            <v>38306.485423868144</v>
          </cell>
        </row>
        <row r="98">
          <cell r="B98">
            <v>763.51351351351457</v>
          </cell>
          <cell r="D98">
            <v>-19.05760567115302</v>
          </cell>
          <cell r="E98">
            <v>18.172554040452415</v>
          </cell>
          <cell r="F98">
            <v>-32.932596256093028</v>
          </cell>
          <cell r="G98">
            <v>-226.18239733273199</v>
          </cell>
          <cell r="H98">
            <v>12.192524054054083</v>
          </cell>
          <cell r="I98">
            <v>65.436753639064719</v>
          </cell>
          <cell r="J98">
            <v>-37.769321629826479</v>
          </cell>
          <cell r="K98">
            <v>26.2</v>
          </cell>
          <cell r="AP98">
            <v>31.250129725207103</v>
          </cell>
          <cell r="AQ98">
            <v>47.264199598612308</v>
          </cell>
          <cell r="AR98">
            <v>-4.8367253737334508</v>
          </cell>
          <cell r="AS98">
            <v>252.38239733273198</v>
          </cell>
          <cell r="AT98">
            <v>-12728.486772391883</v>
          </cell>
          <cell r="AU98">
            <v>-2.3072446182159325</v>
          </cell>
          <cell r="AV98">
            <v>38945.009510793992</v>
          </cell>
        </row>
        <row r="99">
          <cell r="B99">
            <v>772.97297297297405</v>
          </cell>
          <cell r="D99">
            <v>-21.25927045852686</v>
          </cell>
          <cell r="E99">
            <v>15.30684111513458</v>
          </cell>
          <cell r="F99">
            <v>-33.091044942117357</v>
          </cell>
          <cell r="G99">
            <v>-239.37090417976202</v>
          </cell>
          <cell r="H99">
            <v>12.440361891891921</v>
          </cell>
          <cell r="I99">
            <v>65.75936105717868</v>
          </cell>
          <cell r="J99">
            <v>-38.389846925278704</v>
          </cell>
          <cell r="K99">
            <v>26.2</v>
          </cell>
          <cell r="AP99">
            <v>33.699632350418781</v>
          </cell>
          <cell r="AQ99">
            <v>50.452519942044098</v>
          </cell>
          <cell r="AR99">
            <v>-5.2988019831613471</v>
          </cell>
          <cell r="AS99">
            <v>265.57090417976201</v>
          </cell>
          <cell r="AT99">
            <v>-12998.329492866575</v>
          </cell>
          <cell r="AU99">
            <v>-2.3362107167828867</v>
          </cell>
          <cell r="AV99">
            <v>39586.876858729862</v>
          </cell>
        </row>
        <row r="100">
          <cell r="B100">
            <v>782.43243243243353</v>
          </cell>
          <cell r="D100">
            <v>-23.587351183306737</v>
          </cell>
          <cell r="E100">
            <v>12.31343553898563</v>
          </cell>
          <cell r="F100">
            <v>-33.221782503675307</v>
          </cell>
          <cell r="G100">
            <v>-252.91041881835889</v>
          </cell>
          <cell r="H100">
            <v>12.688199729729758</v>
          </cell>
          <cell r="I100">
            <v>66.078044395440443</v>
          </cell>
          <cell r="J100">
            <v>-39.013405276973046</v>
          </cell>
          <cell r="K100">
            <v>26.2</v>
          </cell>
          <cell r="AP100">
            <v>36.275550913036497</v>
          </cell>
          <cell r="AQ100">
            <v>53.764608856454814</v>
          </cell>
          <cell r="AR100">
            <v>-5.791622773297739</v>
          </cell>
          <cell r="AS100">
            <v>279.11041881835888</v>
          </cell>
          <cell r="AT100">
            <v>-13268.150931981438</v>
          </cell>
          <cell r="AU100">
            <v>-2.3647971527979905</v>
          </cell>
          <cell r="AV100">
            <v>40232.04645818768</v>
          </cell>
        </row>
        <row r="101">
          <cell r="B101">
            <v>791.89189189189301</v>
          </cell>
          <cell r="D101">
            <v>-26.045170426499833</v>
          </cell>
          <cell r="E101">
            <v>9.1911853222463034</v>
          </cell>
          <cell r="F101">
            <v>-33.3235955600625</v>
          </cell>
          <cell r="G101">
            <v>-266.80140947461058</v>
          </cell>
          <cell r="H101">
            <v>12.936037567567597</v>
          </cell>
          <cell r="I101">
            <v>66.392897969945707</v>
          </cell>
          <cell r="J101">
            <v>-39.639960014038131</v>
          </cell>
          <cell r="K101">
            <v>26.2</v>
          </cell>
          <cell r="AP101">
            <v>38.981207994067432</v>
          </cell>
          <cell r="AQ101">
            <v>57.201712647699402</v>
          </cell>
          <cell r="AR101">
            <v>-6.3163644539756305</v>
          </cell>
          <cell r="AS101">
            <v>293.00140947461057</v>
          </cell>
          <cell r="AT101">
            <v>-13537.923901977199</v>
          </cell>
          <cell r="AU101">
            <v>-2.3929785113133164</v>
          </cell>
          <cell r="AV101">
            <v>40880.477962627476</v>
          </cell>
        </row>
        <row r="102">
          <cell r="B102">
            <v>801.35135135135249</v>
          </cell>
          <cell r="D102">
            <v>-28.636055066774727</v>
          </cell>
          <cell r="E102">
            <v>5.938974119479294</v>
          </cell>
          <cell r="F102">
            <v>-33.395260003060272</v>
          </cell>
          <cell r="G102">
            <v>-281.044316903104</v>
          </cell>
          <cell r="H102">
            <v>13.183875405405434</v>
          </cell>
          <cell r="I102">
            <v>66.704012736768391</v>
          </cell>
          <cell r="J102">
            <v>-40.269475341761733</v>
          </cell>
          <cell r="K102">
            <v>26.2</v>
          </cell>
          <cell r="AP102">
            <v>41.819930472180161</v>
          </cell>
          <cell r="AQ102">
            <v>60.765038617289093</v>
          </cell>
          <cell r="AR102">
            <v>-6.8742153387014611</v>
          </cell>
          <cell r="AS102">
            <v>307.24431690310399</v>
          </cell>
          <cell r="AT102">
            <v>-13807.62121509457</v>
          </cell>
          <cell r="AU102">
            <v>-2.4207302827913963</v>
          </cell>
          <cell r="AV102">
            <v>41532.131664697466</v>
          </cell>
        </row>
        <row r="103">
          <cell r="B103">
            <v>810.81081081081197</v>
          </cell>
          <cell r="D103">
            <v>-31.363336029765335</v>
          </cell>
          <cell r="E103">
            <v>2.5557198673550232</v>
          </cell>
          <cell r="F103">
            <v>-33.435541327620804</v>
          </cell>
          <cell r="G103">
            <v>-295.63955629862164</v>
          </cell>
          <cell r="H103">
            <v>13.431713243243273</v>
          </cell>
          <cell r="I103">
            <v>67.011476449691003</v>
          </cell>
          <cell r="J103">
            <v>-40.901916310560324</v>
          </cell>
          <cell r="K103">
            <v>26.2</v>
          </cell>
          <cell r="AP103">
            <v>44.795049273008608</v>
          </cell>
          <cell r="AQ103">
            <v>64.455756582335979</v>
          </cell>
          <cell r="AR103">
            <v>-7.4663749829395201</v>
          </cell>
          <cell r="AS103">
            <v>321.83955629862163</v>
          </cell>
          <cell r="AT103">
            <v>-14077.215683574335</v>
          </cell>
          <cell r="AU103">
            <v>-2.4480288206022891</v>
          </cell>
          <cell r="AV103">
            <v>42186.968473596229</v>
          </cell>
        </row>
        <row r="104">
          <cell r="B104">
            <v>820.27027027027145</v>
          </cell>
          <cell r="D104">
            <v>-34.230348054719229</v>
          </cell>
          <cell r="E104">
            <v>-0.95962651982500413</v>
          </cell>
          <cell r="F104">
            <v>-33.443194949943809</v>
          </cell>
          <cell r="G104">
            <v>-310.58751905441682</v>
          </cell>
          <cell r="H104">
            <v>13.679551081081113</v>
          </cell>
          <cell r="I104">
            <v>67.315373808786831</v>
          </cell>
          <cell r="J104">
            <v>-41.537248786396816</v>
          </cell>
          <cell r="K104">
            <v>26.2</v>
          </cell>
          <cell r="AP104">
            <v>47.909899135800345</v>
          </cell>
          <cell r="AQ104">
            <v>68.275000328611839</v>
          </cell>
          <cell r="AR104">
            <v>-8.094053836453007</v>
          </cell>
          <cell r="AS104">
            <v>336.7875190544168</v>
          </cell>
          <cell r="AT104">
            <v>-14346.680119657216</v>
          </cell>
          <cell r="AU104">
            <v>-2.474851300985776</v>
          </cell>
          <cell r="AV104">
            <v>42844.949893491568</v>
          </cell>
        </row>
        <row r="105">
          <cell r="B105">
            <v>829.72972972973093</v>
          </cell>
          <cell r="D105">
            <v>-37.240429477110133</v>
          </cell>
          <cell r="E105">
            <v>-4.6080823991678672</v>
          </cell>
          <cell r="F105">
            <v>-33.416966513476268</v>
          </cell>
          <cell r="G105">
            <v>-325.88857438097693</v>
          </cell>
          <cell r="H105">
            <v>13.927388918918952</v>
          </cell>
          <cell r="I105">
            <v>67.615786600483105</v>
          </cell>
          <cell r="J105">
            <v>-42.175439422563066</v>
          </cell>
          <cell r="K105">
            <v>26.2</v>
          </cell>
          <cell r="AP105">
            <v>51.167818396029084</v>
          </cell>
          <cell r="AQ105">
            <v>72.223868999650975</v>
          </cell>
          <cell r="AR105">
            <v>-8.7584729090867981</v>
          </cell>
          <cell r="AS105">
            <v>352.08857438097692</v>
          </cell>
          <cell r="AT105">
            <v>-14615.987335583903</v>
          </cell>
          <cell r="AU105">
            <v>-2.5011756853091782</v>
          </cell>
          <cell r="AV105">
            <v>43506.03800293478</v>
          </cell>
        </row>
        <row r="106">
          <cell r="B106">
            <v>839.18918918919042</v>
          </cell>
          <cell r="D106">
            <v>-40.396922025951909</v>
          </cell>
          <cell r="E106">
            <v>-8.3906345950482262</v>
          </cell>
          <cell r="F106">
            <v>-33.355592183350744</v>
          </cell>
          <cell r="G106">
            <v>-341.5430707977863</v>
          </cell>
          <cell r="H106">
            <v>14.175226756756791</v>
          </cell>
          <cell r="I106">
            <v>67.912793829685128</v>
          </cell>
          <cell r="J106">
            <v>-42.816455632749324</v>
          </cell>
          <cell r="K106">
            <v>26.2</v>
          </cell>
          <cell r="AP106">
            <v>54.572148782708702</v>
          </cell>
          <cell r="AQ106">
            <v>76.303428424733355</v>
          </cell>
          <cell r="AR106">
            <v>-9.4608634493985804</v>
          </cell>
          <cell r="AS106">
            <v>367.74307079778629</v>
          </cell>
          <cell r="AT106">
            <v>-14885.11014359515</v>
          </cell>
          <cell r="AU106">
            <v>-2.5269806844643909</v>
          </cell>
          <cell r="AV106">
            <v>44170.195435213878</v>
          </cell>
        </row>
        <row r="107">
          <cell r="B107">
            <v>848.6486486486499</v>
          </cell>
          <cell r="D107">
            <v>-43.703170634667863</v>
          </cell>
          <cell r="E107">
            <v>-12.308240544006937</v>
          </cell>
          <cell r="F107">
            <v>-33.25779892975379</v>
          </cell>
          <cell r="G107">
            <v>-357.55133750934556</v>
          </cell>
          <cell r="H107">
            <v>14.423064594594626</v>
          </cell>
          <cell r="I107">
            <v>68.2064718444948</v>
          </cell>
          <cell r="J107">
            <v>-43.460265565328058</v>
          </cell>
          <cell r="K107">
            <v>26.2</v>
          </cell>
          <cell r="AP107">
            <v>58.126235229262491</v>
          </cell>
          <cell r="AQ107">
            <v>80.514712388501735</v>
          </cell>
          <cell r="AR107">
            <v>-10.202466635574268</v>
          </cell>
          <cell r="AS107">
            <v>383.75133750934555</v>
          </cell>
          <cell r="AT107">
            <v>-15154.021355931769</v>
          </cell>
          <cell r="AU107">
            <v>-2.5522457252606756</v>
          </cell>
          <cell r="AV107">
            <v>44837.385359592772</v>
          </cell>
        </row>
        <row r="108">
          <cell r="B108">
            <v>858.10810810810938</v>
          </cell>
          <cell r="D108">
            <v>-47.162523264469762</v>
          </cell>
          <cell r="E108">
            <v>-16.361829390851984</v>
          </cell>
          <cell r="F108">
            <v>-33.122304800698153</v>
          </cell>
          <cell r="G108">
            <v>-373.91368567560687</v>
          </cell>
          <cell r="H108">
            <v>14.670902432432465</v>
          </cell>
          <cell r="I108">
            <v>68.496894454016498</v>
          </cell>
          <cell r="J108">
            <v>-44.106838078784477</v>
          </cell>
          <cell r="K108">
            <v>26.2</v>
          </cell>
          <cell r="AP108">
            <v>61.833425696902225</v>
          </cell>
          <cell r="AQ108">
            <v>84.858723844868479</v>
          </cell>
          <cell r="AR108">
            <v>-10.984533278086325</v>
          </cell>
          <cell r="AS108">
            <v>400.11368567560686</v>
          </cell>
          <cell r="AT108">
            <v>-15422.693784834386</v>
          </cell>
          <cell r="AU108">
            <v>-2.5769509186797848</v>
          </cell>
          <cell r="AV108">
            <v>45507.57146338711</v>
          </cell>
        </row>
        <row r="109">
          <cell r="B109">
            <v>867.56756756756886</v>
          </cell>
          <cell r="D109">
            <v>-50.778330739291761</v>
          </cell>
          <cell r="E109">
            <v>-20.552303038065059</v>
          </cell>
          <cell r="F109">
            <v>-32.947819184646136</v>
          </cell>
          <cell r="G109">
            <v>-390.63040958597128</v>
          </cell>
          <cell r="H109">
            <v>14.918740270270304</v>
          </cell>
          <cell r="I109">
            <v>68.784133039704955</v>
          </cell>
          <cell r="J109">
            <v>-44.756142718230556</v>
          </cell>
          <cell r="K109">
            <v>26.2</v>
          </cell>
          <cell r="AP109">
            <v>65.697071009562066</v>
          </cell>
          <cell r="AQ109">
            <v>89.336436077770017</v>
          </cell>
          <cell r="AR109">
            <v>-11.808323533584421</v>
          </cell>
          <cell r="AS109">
            <v>416.83040958597127</v>
          </cell>
          <cell r="AT109">
            <v>-15691.100242543802</v>
          </cell>
          <cell r="AU109">
            <v>-2.6010770298716892</v>
          </cell>
          <cell r="AV109">
            <v>46180.717934830231</v>
          </cell>
        </row>
        <row r="110">
          <cell r="B110">
            <v>877.02702702702834</v>
          </cell>
          <cell r="D110">
            <v>-54.553946591406238</v>
          </cell>
          <cell r="E110">
            <v>-24.880537150551394</v>
          </cell>
          <cell r="F110">
            <v>-32.733043063422556</v>
          </cell>
          <cell r="G110">
            <v>-407.70178774513539</v>
          </cell>
          <cell r="H110">
            <v>15.166578108108142</v>
          </cell>
          <cell r="I110">
            <v>69.068256660675132</v>
          </cell>
          <cell r="J110">
            <v>-45.40814969294351</v>
          </cell>
          <cell r="K110">
            <v>26.2</v>
          </cell>
          <cell r="AP110">
            <v>69.720524699514385</v>
          </cell>
          <cell r="AQ110">
            <v>93.948793811226523</v>
          </cell>
          <cell r="AR110">
            <v>-12.675106629520954</v>
          </cell>
          <cell r="AS110">
            <v>433.90178774513538</v>
          </cell>
          <cell r="AT110">
            <v>-15959.213541300758</v>
          </cell>
          <cell r="AU110">
            <v>-2.6246054497771922</v>
          </cell>
          <cell r="AV110">
            <v>46856.789446686875</v>
          </cell>
        </row>
        <row r="111">
          <cell r="B111">
            <v>886.48648648648782</v>
          </cell>
          <cell r="D111">
            <v>-58.492726916923722</v>
          </cell>
          <cell r="E111">
            <v>-29.347382117704804</v>
          </cell>
          <cell r="F111">
            <v>-32.476669255823097</v>
          </cell>
          <cell r="G111">
            <v>-425.12808387826487</v>
          </cell>
          <cell r="H111">
            <v>15.414415945945983</v>
          </cell>
          <cell r="I111">
            <v>69.349332153363108</v>
          </cell>
          <cell r="J111">
            <v>-46.062829854873293</v>
          </cell>
          <cell r="K111">
            <v>26.2</v>
          </cell>
          <cell r="AP111">
            <v>73.907142862869705</v>
          </cell>
          <cell r="AQ111">
            <v>98.696714271067918</v>
          </cell>
          <cell r="AR111">
            <v>-13.586160599050196</v>
          </cell>
          <cell r="AS111">
            <v>451.32808387826486</v>
          </cell>
          <cell r="AT111">
            <v>-16227.006493345929</v>
          </cell>
          <cell r="AU111">
            <v>-2.6475181682726543</v>
          </cell>
          <cell r="AV111">
            <v>47535.751140573695</v>
          </cell>
        </row>
        <row r="112">
          <cell r="B112">
            <v>895.9459459459473</v>
          </cell>
          <cell r="D112">
            <v>-62.598030240447287</v>
          </cell>
          <cell r="E112">
            <v>-33.953663974682463</v>
          </cell>
          <cell r="F112">
            <v>-32.177382652319608</v>
          </cell>
          <cell r="G112">
            <v>-442.90954786227735</v>
          </cell>
          <cell r="H112">
            <v>15.662253783783822</v>
          </cell>
          <cell r="I112">
            <v>69.627424225897585</v>
          </cell>
          <cell r="J112">
            <v>-46.720154678067765</v>
          </cell>
          <cell r="K112">
            <v>26.2</v>
          </cell>
          <cell r="AP112">
            <v>78.260284024231112</v>
          </cell>
          <cell r="AQ112">
            <v>103.58108820058004</v>
          </cell>
          <cell r="AR112">
            <v>-14.542772025748157</v>
          </cell>
          <cell r="AS112">
            <v>469.10954786227734</v>
          </cell>
          <cell r="AT112">
            <v>-16494.451910920114</v>
          </cell>
          <cell r="AU112">
            <v>-2.6697977487401943</v>
          </cell>
          <cell r="AV112">
            <v>48217.568611949006</v>
          </cell>
        </row>
        <row r="113">
          <cell r="B113">
            <v>905.40540540540678</v>
          </cell>
          <cell r="D113">
            <v>-66.873217388211259</v>
          </cell>
          <cell r="E113">
            <v>-38.70018528472081</v>
          </cell>
          <cell r="F113">
            <v>-31.833860441234393</v>
          </cell>
          <cell r="G113">
            <v>-461.046416589373</v>
          </cell>
          <cell r="H113">
            <v>15.91009162162166</v>
          </cell>
          <cell r="I113">
            <v>69.90259554751529</v>
          </cell>
          <cell r="J113">
            <v>-47.380096238966615</v>
          </cell>
          <cell r="K113">
            <v>26.2</v>
          </cell>
          <cell r="AP113">
            <v>82.783309009832919</v>
          </cell>
          <cell r="AQ113">
            <v>108.60278083223611</v>
          </cell>
          <cell r="AR113">
            <v>-15.546235797732223</v>
          </cell>
          <cell r="AS113">
            <v>487.24641658937298</v>
          </cell>
          <cell r="AT113">
            <v>-16761.522606264039</v>
          </cell>
          <cell r="AU113">
            <v>-2.6914273039733132</v>
          </cell>
          <cell r="AV113">
            <v>48902.20789573677</v>
          </cell>
        </row>
        <row r="114">
          <cell r="B114">
            <v>914.86486486486626</v>
          </cell>
          <cell r="D114">
            <v>-71.321651369089153</v>
          </cell>
          <cell r="E114">
            <v>-43.587725984245324</v>
          </cell>
          <cell r="F114">
            <v>-31.444772326745685</v>
          </cell>
          <cell r="G114">
            <v>-479.53891476838953</v>
          </cell>
          <cell r="H114">
            <v>16.157929459459496</v>
          </cell>
          <cell r="I114">
            <v>70.174906833329572</v>
          </cell>
          <cell r="J114">
            <v>-48.042627197519145</v>
          </cell>
          <cell r="K114">
            <v>26.2</v>
          </cell>
          <cell r="AP114">
            <v>87.479580828548649</v>
          </cell>
          <cell r="AQ114">
            <v>113.7626328175749</v>
          </cell>
          <cell r="AR114">
            <v>-16.59785487077346</v>
          </cell>
          <cell r="AS114">
            <v>505.73891476838952</v>
          </cell>
          <cell r="AT114">
            <v>-17028.191391618395</v>
          </cell>
          <cell r="AU114">
            <v>-2.7123904733345654</v>
          </cell>
          <cell r="AV114">
            <v>49589.635452551243</v>
          </cell>
        </row>
        <row r="115">
          <cell r="B115">
            <v>924.32432432432574</v>
          </cell>
          <cell r="D115">
            <v>-75.946697262909723</v>
          </cell>
          <cell r="E115">
            <v>-48.617044192459304</v>
          </cell>
          <cell r="F115">
            <v>-31.008780739068676</v>
          </cell>
          <cell r="G115">
            <v>-498.3872556690539</v>
          </cell>
          <cell r="H115">
            <v>16.405767297297334</v>
          </cell>
          <cell r="I115">
            <v>70.444416924738803</v>
          </cell>
          <cell r="J115">
            <v>-48.707720779082955</v>
          </cell>
          <cell r="K115">
            <v>26.2</v>
          </cell>
          <cell r="AP115">
            <v>92.352464560207054</v>
          </cell>
          <cell r="AQ115">
            <v>119.06146111719811</v>
          </cell>
          <cell r="AR115">
            <v>-17.698940040014278</v>
          </cell>
          <cell r="AS115">
            <v>524.58725566905389</v>
          </cell>
          <cell r="AT115">
            <v>-17294.431079223959</v>
          </cell>
          <cell r="AU115">
            <v>-2.7326714010882966</v>
          </cell>
          <cell r="AV115">
            <v>50279.818155491303</v>
          </cell>
        </row>
        <row r="116">
          <cell r="B116">
            <v>933.78378378378522</v>
          </cell>
          <cell r="D116">
            <v>-80.751722115559687</v>
          </cell>
          <cell r="E116">
            <v>-53.788876987018853</v>
          </cell>
          <cell r="F116">
            <v>-30.524541037140544</v>
          </cell>
          <cell r="G116">
            <v>-517.59164181371682</v>
          </cell>
          <cell r="H116">
            <v>16.653605135135173</v>
          </cell>
          <cell r="I116">
            <v>70.711182865740938</v>
          </cell>
          <cell r="J116">
            <v>-49.375350757063558</v>
          </cell>
          <cell r="K116">
            <v>26.2</v>
          </cell>
          <cell r="AP116">
            <v>97.405327250694853</v>
          </cell>
          <cell r="AQ116">
            <v>124.50005985275979</v>
          </cell>
          <cell r="AR116">
            <v>-18.850809719923014</v>
          </cell>
          <cell r="AS116">
            <v>543.79164181371686</v>
          </cell>
          <cell r="AT116">
            <v>-17560.214481321476</v>
          </cell>
          <cell r="AU116">
            <v>-2.752254715836699</v>
          </cell>
          <cell r="AV116">
            <v>50972.723277475816</v>
          </cell>
        </row>
        <row r="117">
          <cell r="B117">
            <v>943.24324324324471</v>
          </cell>
          <cell r="D117">
            <v>-85.740094840400545</v>
          </cell>
          <cell r="E117">
            <v>-59.103941147345132</v>
          </cell>
          <cell r="F117">
            <v>-29.990701704120752</v>
          </cell>
          <cell r="G117">
            <v>-537.15226562078033</v>
          </cell>
          <cell r="H117">
            <v>16.901442972973012</v>
          </cell>
          <cell r="I117">
            <v>70.975259975402153</v>
          </cell>
          <cell r="J117">
            <v>-50.045491436257748</v>
          </cell>
          <cell r="K117">
            <v>26.2</v>
          </cell>
          <cell r="AP117">
            <v>102.64153781337356</v>
          </cell>
          <cell r="AQ117">
            <v>130.07920112274729</v>
          </cell>
          <cell r="AR117">
            <v>-20.054789732136996</v>
          </cell>
          <cell r="AS117">
            <v>563.35226562078037</v>
          </cell>
          <cell r="AT117">
            <v>-17825.514410151642</v>
          </cell>
          <cell r="AU117">
            <v>-2.7711255109916522</v>
          </cell>
          <cell r="AV117">
            <v>51668.318479091773</v>
          </cell>
        </row>
        <row r="118">
          <cell r="B118">
            <v>952.70270270270419</v>
          </cell>
          <cell r="D118">
            <v>-90.915186125555167</v>
          </cell>
          <cell r="E118">
            <v>-64.562933867042204</v>
          </cell>
          <cell r="F118">
            <v>-29.405904536008048</v>
          </cell>
          <cell r="G118">
            <v>-557.06931000362556</v>
          </cell>
          <cell r="H118">
            <v>17.149280810810851</v>
          </cell>
          <cell r="I118">
            <v>71.236701916709421</v>
          </cell>
          <cell r="J118">
            <v>-50.718117636865124</v>
          </cell>
          <cell r="K118">
            <v>26.2</v>
          </cell>
          <cell r="AP118">
            <v>108.06446693636602</v>
          </cell>
          <cell r="AQ118">
            <v>135.79963578375163</v>
          </cell>
          <cell r="AR118">
            <v>-21.312213100857075</v>
          </cell>
          <cell r="AS118">
            <v>583.26931000362561</v>
          </cell>
          <cell r="AT118">
            <v>-18090.303677955246</v>
          </cell>
          <cell r="AU118">
            <v>-2.7892693262215857</v>
          </cell>
          <cell r="AV118">
            <v>52366.571796930104</v>
          </cell>
        </row>
        <row r="119">
          <cell r="B119">
            <v>962.16216216216367</v>
          </cell>
          <cell r="D119">
            <v>-96.280368346667245</v>
          </cell>
          <cell r="E119">
            <v>-70.166533436833305</v>
          </cell>
          <cell r="F119">
            <v>-28.768784823659821</v>
          </cell>
          <cell r="G119">
            <v>-577.34294892852779</v>
          </cell>
          <cell r="H119">
            <v>17.397118648648689</v>
          </cell>
          <cell r="I119">
            <v>71.495560762021739</v>
          </cell>
          <cell r="J119">
            <v>-51.393204679134499</v>
          </cell>
          <cell r="K119">
            <v>26.2</v>
          </cell>
          <cell r="AP119">
            <v>113.67748699531593</v>
          </cell>
          <cell r="AQ119">
            <v>141.66209419885504</v>
          </cell>
          <cell r="AR119">
            <v>-22.624419855474677</v>
          </cell>
          <cell r="AS119">
            <v>603.54294892852784</v>
          </cell>
          <cell r="AT119">
            <v>-18354.555096972963</v>
          </cell>
          <cell r="AU119">
            <v>-2.8066721298144444</v>
          </cell>
          <cell r="AV119">
            <v>53067.451632384989</v>
          </cell>
        </row>
        <row r="120">
          <cell r="B120">
            <v>971.62162162162315</v>
          </cell>
          <cell r="D120">
            <v>-101.83901548475322</v>
          </cell>
          <cell r="E120">
            <v>-75.915399899360338</v>
          </cell>
          <cell r="F120">
            <v>-28.077971528482571</v>
          </cell>
          <cell r="G120">
            <v>-597.97334793473635</v>
          </cell>
          <cell r="H120">
            <v>17.644956486486528</v>
          </cell>
          <cell r="I120">
            <v>71.751887055319401</v>
          </cell>
          <cell r="J120">
            <v>-52.070728368614461</v>
          </cell>
          <cell r="K120">
            <v>26.2</v>
          </cell>
          <cell r="AP120">
            <v>119.48397197123975</v>
          </cell>
          <cell r="AQ120">
            <v>147.66728695467975</v>
          </cell>
          <cell r="AR120">
            <v>-23.992756840131889</v>
          </cell>
          <cell r="AS120">
            <v>624.1733479347364</v>
          </cell>
          <cell r="AT120">
            <v>-18618.24147944558</v>
          </cell>
          <cell r="AU120">
            <v>-2.82332030190382</v>
          </cell>
          <cell r="AV120">
            <v>53770.926740893352</v>
          </cell>
        </row>
        <row r="121">
          <cell r="B121">
            <v>981.08108108108263</v>
          </cell>
          <cell r="D121">
            <v>-107.59450304880968</v>
          </cell>
          <cell r="E121">
            <v>-81.810175677126935</v>
          </cell>
          <cell r="F121">
            <v>-27.332087452060637</v>
          </cell>
          <cell r="G121">
            <v>-618.96066461962164</v>
          </cell>
          <cell r="H121">
            <v>17.892794324324363</v>
          </cell>
          <cell r="I121">
            <v>72.005729871437637</v>
          </cell>
          <cell r="J121">
            <v>-52.750664981978076</v>
          </cell>
          <cell r="K121">
            <v>26.2</v>
          </cell>
          <cell r="AP121">
            <v>125.48729737313406</v>
          </cell>
          <cell r="AQ121">
            <v>153.81590554856456</v>
          </cell>
          <cell r="AR121">
            <v>-25.418577529917439</v>
          </cell>
          <cell r="AS121">
            <v>645.16066461962168</v>
          </cell>
          <cell r="AT121">
            <v>-18881.335637613789</v>
          </cell>
          <cell r="AU121">
            <v>-2.8392006185073626</v>
          </cell>
          <cell r="AV121">
            <v>54476.966221593633</v>
          </cell>
        </row>
        <row r="122">
          <cell r="B122">
            <v>990.54054054054211</v>
          </cell>
          <cell r="D122">
            <v>-113.5502080028529</v>
          </cell>
          <cell r="E122">
            <v>-87.851486174814184</v>
          </cell>
          <cell r="F122">
            <v>-26.52974939996264</v>
          </cell>
          <cell r="G122">
            <v>-640.30504909154877</v>
          </cell>
          <cell r="H122">
            <v>18.140632162162202</v>
          </cell>
          <cell r="I122">
            <v>72.257136872458247</v>
          </cell>
          <cell r="J122">
            <v>-53.432991253394519</v>
          </cell>
          <cell r="K122">
            <v>26.2</v>
          </cell>
          <cell r="AP122">
            <v>131.69084016501509</v>
          </cell>
          <cell r="AQ122">
            <v>160.10862304727243</v>
          </cell>
          <cell r="AR122">
            <v>-26.903241853431879</v>
          </cell>
          <cell r="AS122">
            <v>666.50504909154881</v>
          </cell>
          <cell r="AT122">
            <v>-19143.810383718395</v>
          </cell>
          <cell r="AU122">
            <v>-2.8543002363313263</v>
          </cell>
          <cell r="AV122">
            <v>55185.539507383408</v>
          </cell>
        </row>
        <row r="123">
          <cell r="B123">
            <v>1000.0000000000016</v>
          </cell>
          <cell r="D123">
            <v>-119.70950869710103</v>
          </cell>
          <cell r="E123">
            <v>-94.039940357130703</v>
          </cell>
          <cell r="F123">
            <v>-25.669568339970219</v>
          </cell>
          <cell r="G123">
            <v>-662.00664439290358</v>
          </cell>
          <cell r="H123">
            <v>18.388470000000041</v>
          </cell>
          <cell r="I123">
            <v>72.50615436142121</v>
          </cell>
          <cell r="J123">
            <v>-54.117684361421297</v>
          </cell>
          <cell r="K123">
            <v>26.2</v>
          </cell>
          <cell r="AP123">
            <v>138.09797869710107</v>
          </cell>
          <cell r="AQ123">
            <v>166.5460947185519</v>
          </cell>
          <cell r="AR123">
            <v>-28.448116021451078</v>
          </cell>
          <cell r="AS123">
            <v>688.20664439290363</v>
          </cell>
          <cell r="AT123">
            <v>-19405.638530000015</v>
          </cell>
          <cell r="AU123">
            <v>-2.8686066782969419</v>
          </cell>
          <cell r="AV123">
            <v>55896.616355356833</v>
          </cell>
        </row>
      </sheetData>
    </sheetDataSet>
  </externalBook>
</externalLink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" xr10:uid="{FEBA756D-43FE-480D-AC59-36FEF7683A23}" sourceName="Названиe">
  <extLst>
    <x:ext xmlns:x15="http://schemas.microsoft.com/office/spreadsheetml/2010/11/main" uri="{2F2917AC-EB37-4324-AD4E-5DD8C200BD13}">
      <x15:tableSlicerCache tableId="7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е" xr10:uid="{482CABCB-2D9E-4365-A4F4-9950E07A0254}" sourceName="название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ещество" xr10:uid="{4891EE41-D330-4B86-A4EE-73298E4AC426}" sourceName="Вещество:">
  <extLst>
    <x:ext xmlns:x15="http://schemas.microsoft.com/office/spreadsheetml/2010/11/main" uri="{2F2917AC-EB37-4324-AD4E-5DD8C200BD13}">
      <x15:tableSlicerCache tableId="13" column="1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8_31" xr10:uid="{E5627938-7BCB-4627-B450-64E65220A7CE}" sourceName="8,31">
  <extLst>
    <x:ext xmlns:x15="http://schemas.microsoft.com/office/spreadsheetml/2010/11/main" uri="{2F2917AC-EB37-4324-AD4E-5DD8C200BD13}">
      <x15:tableSlicerCache tableId="14" column="1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DB06CF97-19ED-49BA-90C6-E5A903248971}" sourceName="Названиe">
  <extLst>
    <x:ext xmlns:x15="http://schemas.microsoft.com/office/spreadsheetml/2010/11/main" uri="{2F2917AC-EB37-4324-AD4E-5DD8C200BD13}">
      <x15:tableSlicerCache tableId="15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A76ACEA8-272E-486B-9334-13DDA7C646E5}" sourceName="Ф          if &quot;?&quot; =&gt; not &quot;g&quot;">
  <extLst>
    <x:ext xmlns:x15="http://schemas.microsoft.com/office/spreadsheetml/2010/11/main" uri="{2F2917AC-EB37-4324-AD4E-5DD8C200BD13}">
      <x15:tableSlicerCache tableId="15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Фаза" xr10:uid="{86454E41-97AF-453D-98AD-FBAB8C41BEDA}" sourceName="Ф     Фаза">
  <extLst>
    <x:ext xmlns:x15="http://schemas.microsoft.com/office/spreadsheetml/2010/11/main" uri="{2F2917AC-EB37-4324-AD4E-5DD8C200BD13}">
      <x15:tableSlicerCache tableId="11" column="2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Фаза" xr10:uid="{B7BB0F43-5FF3-486B-86A3-4272AC87609E}" sourceName="Ф       Фаза">
  <extLst>
    <x:ext xmlns:x15="http://schemas.microsoft.com/office/spreadsheetml/2010/11/main" uri="{2F2917AC-EB37-4324-AD4E-5DD8C200BD13}">
      <x15:tableSlicerCache tableId="14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Вещество:" xr10:uid="{58F713A8-BCEA-41F6-AB9A-BFCEF8749AB9}" cache="Срез_Вещество" caption="Вещество:" columnCount="3" rowHeight="3365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8,31" xr10:uid="{48AB99C5-05EC-41C5-99B2-EC82E4C53A1C}" cache="Срез_8_31" caption="Вещество" columnCount="2" rowHeight="336550"/>
  <slicer name="Ф       Фаза" xr10:uid="{FE2C3C87-8F87-4F36-B17F-66B48326E492}" cache="Срез_Ф_______Фаза" caption="Фаза" rowHeight="3365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Вещество" xr10:uid="{5A83FAE1-C4A8-4D7C-863E-712D5E2B8A37}" cache="Срез_название" caption="Вещество" columnCount="2" rowHeight="336550"/>
  <slicer name="Ф     Фаза" xr10:uid="{93E46EF2-E354-4E74-B7FF-B89B53C594C2}" cache="Срез_Ф_____Фаза" caption=" Фаза" rowHeight="3365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азваниe 1" xr10:uid="{EE3033F4-1C76-4D40-927C-5C3DCFCEC239}" cache="Срез_Названиe1" caption="Вещество" columnCount="4" rowHeight="432000"/>
  <slicer name="Ф          if &quot;?&quot; =&gt; not &quot;g&quot;" xr10:uid="{CE91E11D-D3B9-4C8B-B4C0-0BB192A724F9}" cache="Срез_Ф__________if__?_____not__g" caption="Фаза" rowHeight="33655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азваниe" xr10:uid="{A6CA3BC3-BAA7-40AF-8A85-487AB30F3935}" cache="Срез_Названиe" caption="Названиe" columnCount="4" rowHeight="432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E09405-AE14-40D5-B341-50C5324F0DA7}" name="TerraРасчет" displayName="TerraРасчет" ref="A1:T2" totalsRowShown="0" headerRowDxfId="83" dataDxfId="84" dataCellStyle="40% — акцент5">
  <autoFilter ref="A1:T2" xr:uid="{F864FCED-5B62-400A-A6F1-416199C86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F6D70477-5653-4862-844E-F4C16F63FEE4}" name="8,3145" dataDxfId="104" dataCellStyle="Примечание"/>
    <tableColumn id="2" xr3:uid="{BB40138A-8808-4061-AEDA-CF469EFB4093}" name="To" dataDxfId="103" dataCellStyle="Примечание"/>
    <tableColumn id="3" xr3:uid="{43E7B414-AB47-428B-9A0D-DF042EF59F80}" name="T" dataDxfId="102" dataCellStyle="Примечание"/>
    <tableColumn id="4" xr3:uid="{962C345B-46D3-4BA8-81F8-8B5DBBA25F4D}" name="ΔfH298 кДж" dataDxfId="101" dataCellStyle="40% — акцент2"/>
    <tableColumn id="5" xr3:uid="{09C4003E-90AB-4543-8CB0-65D02D47956A}" name="f1" dataDxfId="100" dataCellStyle="Финансовый"/>
    <tableColumn id="6" xr3:uid="{887E2589-4390-49B0-9135-C50E7CFD4C9D}" name=" +f2 lnx" dataDxfId="99" dataCellStyle="Финансовый"/>
    <tableColumn id="7" xr3:uid="{6ABFC53E-E6B7-495E-A610-477F073B9B8B}" name=" +f3 /x^2" dataDxfId="98" dataCellStyle="Финансовый"/>
    <tableColumn id="8" xr3:uid="{A86EFD9D-1EBD-43B7-A0D0-A329591090EC}" name=" +f4 /x" dataDxfId="97" dataCellStyle="Финансовый"/>
    <tableColumn id="9" xr3:uid="{88C19ABD-4EC3-4304-85BB-3774D23DEE2F}" name="  +f5 x" dataDxfId="96" dataCellStyle="Финансовый"/>
    <tableColumn id="10" xr3:uid="{19739978-D976-432F-A7E6-7504DD8D4966}" name=" +f6 x^2" dataDxfId="95" dataCellStyle="Финансовый"/>
    <tableColumn id="11" xr3:uid="{01A66EF0-D18E-474B-A021-49EF50FD2588}" name=" +f7 x^3" dataDxfId="94" dataCellStyle="Финансовый"/>
    <tableColumn id="12" xr3:uid="{009EEC10-9A23-43DD-8AD4-D748C6DFC094}" name="h0" dataDxfId="93" dataCellStyle="40% — акцент5">
      <calculatedColumnFormula>D2/10/A1</calculatedColumnFormula>
    </tableColumn>
    <tableColumn id="13" xr3:uid="{659548A5-C601-4EF4-8BA3-8293E1075BED}" name="φ1" dataDxfId="92" dataCellStyle="40% — акцент5">
      <calculatedColumnFormula>E2/A1</calculatedColumnFormula>
    </tableColumn>
    <tableColumn id="14" xr3:uid="{AAE2C31D-0366-4E59-95C1-C0C0DCC1A361}" name="φ2" dataDxfId="91" dataCellStyle="40% — акцент5">
      <calculatedColumnFormula>F2/A1</calculatedColumnFormula>
    </tableColumn>
    <tableColumn id="15" xr3:uid="{A8D9100C-7848-4D41-8082-2ED38BC3B447}" name="φ3" dataDxfId="90" dataCellStyle="40% — акцент5">
      <calculatedColumnFormula>G2/A1</calculatedColumnFormula>
    </tableColumn>
    <tableColumn id="16" xr3:uid="{191574BD-2C69-49A1-8B80-387BE1281538}" name="φ4" dataDxfId="89" dataCellStyle="40% — акцент5">
      <calculatedColumnFormula>H2/A1</calculatedColumnFormula>
    </tableColumn>
    <tableColumn id="17" xr3:uid="{656F5846-8C99-463F-85D3-1D966920686B}" name="φ5" dataDxfId="88" dataCellStyle="40% — акцент5">
      <calculatedColumnFormula>I2/A1</calculatedColumnFormula>
    </tableColumn>
    <tableColumn id="18" xr3:uid="{F3FBB6BC-0ADE-44B4-926C-D51EA6D5CE47}" name="φ6" dataDxfId="87" dataCellStyle="40% — акцент5">
      <calculatedColumnFormula>J2/A1</calculatedColumnFormula>
    </tableColumn>
    <tableColumn id="19" xr3:uid="{F3CC7336-84AD-4BF8-A3FB-562250B41B23}" name="φ7" dataDxfId="86" dataCellStyle="40% — акцент5">
      <calculatedColumnFormula>K2/A1</calculatedColumnFormula>
    </tableColumn>
    <tableColumn id="20" xr3:uid="{85C266A3-4D2A-4200-90D7-21819B35CDE8}" name="Тип" dataDxfId="85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34A2A63-ABD6-4FAC-B4B9-94FF014C572B}" name="TerraБанк" displayName="TerraБанк" ref="A28:T92" totalsRowShown="0" headerRowDxfId="66">
  <autoFilter ref="A28:T92" xr:uid="{E7C1E993-DC47-4C1B-A2C6-B12A0E48E37E}">
    <filterColumn colId="0" hiddenButton="1">
      <filters>
        <filter val="*Yb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sortState xmlns:xlrd2="http://schemas.microsoft.com/office/spreadsheetml/2017/richdata2" ref="A29:T92">
    <sortCondition ref="A29:A92"/>
    <sortCondition ref="B29:B92"/>
  </sortState>
  <tableColumns count="20">
    <tableColumn id="1" xr3:uid="{A496D1C9-75D5-44EA-B0F5-12B24567AC66}" name="Вещество:" dataDxfId="82"/>
    <tableColumn id="2" xr3:uid="{B27A7AFD-6437-43CB-B205-001947AF22C5}" name="To" dataDxfId="81"/>
    <tableColumn id="3" xr3:uid="{F8B6FE0F-47E0-4F56-8D49-E7F8D9BDE532}" name="T" dataDxfId="80"/>
    <tableColumn id="4" xr3:uid="{AA60D029-D510-409E-B2D8-79341F783BF9}" name="ΔfH298 кДж"/>
    <tableColumn id="5" xr3:uid="{4FDE5A16-7FD7-426A-B019-A32BA6B3BA68}" name="f1" dataDxfId="79"/>
    <tableColumn id="6" xr3:uid="{6C7EB40F-8185-4A32-BB84-D7AE92FB15E9}" name=" +f2 lnx"/>
    <tableColumn id="7" xr3:uid="{F4B00BEF-2CEA-4B03-A1D1-5652EB13D89B}" name=" +f3 /x^2" dataDxfId="78"/>
    <tableColumn id="8" xr3:uid="{CB3505D4-3797-42B2-BB00-30AECA739707}" name=" +f4 /x"/>
    <tableColumn id="9" xr3:uid="{1D68A0CE-67B8-4DC0-8E3F-E3787709577D}" name="  +f5 x" dataDxfId="77"/>
    <tableColumn id="10" xr3:uid="{09DCABF0-143F-4B8D-A0EA-42CD38BE813F}" name=" +f6 x^2"/>
    <tableColumn id="11" xr3:uid="{E62579E3-A9DE-47E1-8924-BB9D66919382}" name=" +f7 x^3" dataDxfId="76"/>
    <tableColumn id="12" xr3:uid="{1100EBF6-5FDF-4E55-AB42-D192C3F5D035}" name="h0" dataDxfId="75"/>
    <tableColumn id="13" xr3:uid="{7472095F-82D1-4F30-BD4F-EF47376FA9C5}" name="φ1" dataDxfId="74"/>
    <tableColumn id="14" xr3:uid="{65423363-3F37-4009-BEA4-D5FAA62E913F}" name="φ2" dataDxfId="73"/>
    <tableColumn id="15" xr3:uid="{D2547A53-4426-41EE-8CF3-B68A8EF8A5BA}" name="φ3" dataDxfId="72"/>
    <tableColumn id="16" xr3:uid="{04B96E84-AFBF-4929-96A4-E1D614078EDA}" name="φ4" dataDxfId="71"/>
    <tableColumn id="17" xr3:uid="{4C1AA269-00ED-4D3E-8200-3A4CE6BD9FAC}" name="φ5" dataDxfId="70"/>
    <tableColumn id="18" xr3:uid="{370E4D8C-FFF5-416C-A881-E1EC896832A8}" name="φ6" dataDxfId="69"/>
    <tableColumn id="19" xr3:uid="{01BCAA21-0789-445E-B9B9-1064903EC4CD}" name="φ7" dataDxfId="68"/>
    <tableColumn id="20" xr3:uid="{4856DF7F-5A02-49C4-8727-B1E70E81A40F}" name="Тип" dataDxfId="67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39CB874-028C-4475-B9E7-EDF430E72DC3}" name="Таблица315" displayName="Таблица315" ref="A30:AB56" totalsRowShown="0">
  <autoFilter ref="A30:AB56" xr:uid="{4FE95747-0AEA-48F8-9F8C-330210B39C6C}">
    <filterColumn colId="0" hiddenButton="1">
      <filters>
        <filter val="Se"/>
      </filters>
    </filterColumn>
    <filterColumn colId="1" hiddenButton="1"/>
    <filterColumn colId="2" hiddenButton="1"/>
    <filterColumn colId="3" hiddenButton="1">
      <filters>
        <filter val="l"/>
        <filter val="s"/>
      </filters>
    </filterColumn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sortState xmlns:xlrd2="http://schemas.microsoft.com/office/spreadsheetml/2017/richdata2" ref="A31:AB56">
    <sortCondition ref="A31:A56"/>
    <sortCondition descending="1" ref="D31:D56"/>
    <sortCondition ref="B31:B56"/>
  </sortState>
  <tableColumns count="28">
    <tableColumn id="1" xr3:uid="{7DC7EB8C-134E-49FA-B3D7-C77AFE430049}" name="8,31" dataDxfId="50"/>
    <tableColumn id="2" xr3:uid="{BEFC19ED-CC2E-4F6C-A361-429D2FE64B42}" name="Тo К"/>
    <tableColumn id="3" xr3:uid="{AB6B299C-CFBE-4483-A2AC-8F44C6667CF6}" name="T K"/>
    <tableColumn id="4" xr3:uid="{8CA245D3-FDC5-4621-A823-59AD2FF5370F}" name="Ф       Фаза" dataDxfId="31"/>
    <tableColumn id="5" xr3:uid="{C47501F5-5524-4092-A8B8-A306F4568E41}" name="Н(To) кДж"/>
    <tableColumn id="6" xr3:uid="{B0A7A882-F555-4BC7-B034-C3E6DC7CF0A6}" name="S(To)  Дж"/>
    <tableColumn id="7" xr3:uid="{324E29AA-088F-45B6-82D5-72AE83646E67}" name="а "/>
    <tableColumn id="8" xr3:uid="{8082A936-6E34-42E1-9FDF-B4FF370C03A2}" name="b*T"/>
    <tableColumn id="9" xr3:uid="{F480D5DF-1C15-4963-B1B4-62D7F5B1E26D}" name="c *T^(-2)"/>
    <tableColumn id="10" xr3:uid="{DD68B8C2-5768-463A-A36C-8B0A4D6DFB9F}" name="d *T^(2)"/>
    <tableColumn id="11" xr3:uid="{2373092D-8A41-4A33-A7EC-7AF52700B805}" name="e *T^(-3)"/>
    <tableColumn id="12" xr3:uid="{7DCBB5C4-54B2-408E-91E5-E789F4F6176E}" name="f *T^3"/>
    <tableColumn id="13" xr3:uid="{D1E8C51F-562E-4FB5-B733-5AA2D2C1F851}" name="Xo                    К/10000" dataDxfId="49">
      <calculatedColumnFormula>B31/10000</calculatedColumnFormula>
    </tableColumn>
    <tableColumn id="14" xr3:uid="{8FF1E617-9041-4FC4-B634-3CCCB7A009AE}" name="X                       К/10000" dataDxfId="48">
      <calculatedColumnFormula>C31/10000</calculatedColumnFormula>
    </tableColumn>
    <tableColumn id="15" xr3:uid="{3CBF3903-6CF9-490D-A942-2CA2407FB7BB}" name="H(To) Дж" dataDxfId="47">
      <calculatedColumnFormula>P30+E31*1000</calculatedColumnFormula>
    </tableColumn>
    <tableColumn id="16" xr3:uid="{EFA307E3-6D19-4E47-9CCD-9C785B0C7444}" name="H(T) Дж" dataDxfId="46">
      <calculatedColumnFormula>10000*$A$1*(N31*U31-V31*2/N31+X31*N31^2+Y31*2*N31^3+Z31*3*N31^4-W31+S31)</calculatedColumnFormula>
    </tableColumn>
    <tableColumn id="17" xr3:uid="{FFB96AC3-BD2F-453A-9CD4-208A91DC38CA}" name="S(To) Дж" dataDxfId="45">
      <calculatedColumnFormula>R30+F31</calculatedColumnFormula>
    </tableColumn>
    <tableColumn id="18" xr3:uid="{5901A4FE-6590-453C-A13F-3B780A639FBA}" name="S(T) Дж" dataDxfId="44">
      <calculatedColumnFormula>$A$1*(T31+U31+U31*LN(N31)-V31/N31^2+X31*2*N31+Y31*3*N31^2+Z31*4*N31^3)</calculatedColumnFormula>
    </tableColumn>
    <tableColumn id="19" xr3:uid="{07C07276-9B83-47B8-8FAB-1C96538C4D2B}" name="ho" dataDxfId="43">
      <calculatedColumnFormula>SUM($E$3:E31)/$A$1/10</calculatedColumnFormula>
    </tableColumn>
    <tableColumn id="20" xr3:uid="{11150CE3-42DB-4D56-AE31-7985ED06D056}" name="ф1" dataDxfId="42">
      <calculatedColumnFormula>IF(D31="end","N/D",Q31/$A$1 - U31 - U31*LN(M31) + V31/(M31^2) - X31*2*M31 - Y31*3*M31^2 - Z31*4*M31^3)</calculatedColumnFormula>
    </tableColumn>
    <tableColumn id="21" xr3:uid="{068E7A92-715D-4577-8718-3293C0FB7D79}" name="ф2 *lnX" dataDxfId="41">
      <calculatedColumnFormula>G31*10^($G$2)/$A$1</calculatedColumnFormula>
    </tableColumn>
    <tableColumn id="22" xr3:uid="{B2E92D05-3779-41E0-BC52-92849F19213B}" name="ф3 *X^(-2)" dataDxfId="40">
      <calculatedColumnFormula>I31/(2*$A$1)*(10^($I$2)/10^8)</calculatedColumnFormula>
    </tableColumn>
    <tableColumn id="23" xr3:uid="{692700CC-D00E-4551-B95C-CB8FF631D265}" name="ф4 *X^(-1)" dataDxfId="39">
      <calculatedColumnFormula>U31*M31 - V31*2/M31 + X31*M31^2 + Y31*2*M31^3 + Z31*3*M31^4 + S31-O31/10000/$A$1</calculatedColumnFormula>
    </tableColumn>
    <tableColumn id="24" xr3:uid="{A5600CA1-1237-45DF-819B-A547BB5F520D}" name="ф5 *X" dataDxfId="38">
      <calculatedColumnFormula>H31/2/$A$1*(10^($H$2)*10^4)</calculatedColumnFormula>
    </tableColumn>
    <tableColumn id="25" xr3:uid="{F6E1346B-1754-44FB-973D-147E2D64844B}" name="ф6 *X^2" dataDxfId="37">
      <calculatedColumnFormula>J31/6/$A$1*(10^($J$2)*10^8)</calculatedColumnFormula>
    </tableColumn>
    <tableColumn id="26" xr3:uid="{3026EB22-F08A-4FE1-9FCD-7C7800243BE4}" name="ф7 *Х^3" dataDxfId="36">
      <calculatedColumnFormula>L31/12/$A$1*(10^($L$2)*10^12)</calculatedColumnFormula>
    </tableColumn>
    <tableColumn id="27" xr3:uid="{11A2DE53-255D-4121-A394-0C3C1F1883AB}" name=" Т         Тип" dataDxfId="35"/>
    <tableColumn id="28" xr3:uid="{B9762EEB-3CAD-4896-ADF9-508E524599CD}" name="Метка" dataDxfId="34"/>
  </tableColumns>
  <tableStyleInfo name="TableStyleLight9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6A0AE93-E72B-4F1E-87D1-400CE7A21804}" name="MilkeРасчет" displayName="MilkeРасчет" ref="A1:AD4" totalsRowShown="0" headerRowDxfId="147" dataDxfId="134" headerRowCellStyle="Заголовок">
  <autoFilter ref="A1:AD4" xr:uid="{13BE609B-A647-413F-9844-2457BA0FD3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46875A46-5DC4-426F-A9E8-89D2CA029F79}" name="8,3145" dataDxfId="61"/>
    <tableColumn id="2" xr3:uid="{CA5F83F4-3916-49DD-9C80-1C6BA08C41FD}" name="Ф     Фаза" dataDxfId="33"/>
    <tableColumn id="3" xr3:uid="{E1CF9AB4-D1F1-4707-9F8E-7A1D8EEAD264}" name="Тo К" dataDxfId="60"/>
    <tableColumn id="4" xr3:uid="{BB48AD1F-9346-4482-9C8B-5289F7C64287}" name="T K" dataDxfId="59"/>
    <tableColumn id="5" xr3:uid="{3194BE27-4815-4F90-9C66-DAB42A668AE5}" name="ΔfН(To)     кДж для точки отсчета H0 = H(T0)" dataDxfId="58"/>
    <tableColumn id="6" xr3:uid="{D53ED5D6-546D-4C59-94A9-87AD91A14D97}" name="S(To)              Дж" dataDxfId="57"/>
    <tableColumn id="7" xr3:uid="{B1AB7FBC-61E1-47A8-ACDC-F1492D2C3938}" name="а " dataDxfId="56"/>
    <tableColumn id="8" xr3:uid="{360D6969-2564-4470-A9FE-E6ED68BFE2BE}" name="b*T" dataDxfId="55"/>
    <tableColumn id="9" xr3:uid="{37C5A353-2260-45D5-91E1-75286627F452}" name="c *T^(-2)" dataDxfId="54"/>
    <tableColumn id="10" xr3:uid="{9E61002E-1974-4255-AC5E-18B193537764}" name="d *T^(2)" dataDxfId="53"/>
    <tableColumn id="11" xr3:uid="{1773CF09-ABC5-4EDC-9DEA-3A5B0002E916}" name="e *T^3" dataDxfId="51"/>
    <tableColumn id="12" xr3:uid="{5330F6DE-0C6F-47EF-BDCB-E7A31EEC1D37}" name="Н tr       кДж" dataDxfId="52">
      <calculatedColumnFormula>IF(ISBLANK(B3),"N/D",(P3-R2)/1000)</calculatedColumnFormula>
    </tableColumn>
    <tableColumn id="13" xr3:uid="{557974E4-936C-45C0-8681-867E0B532CF6}" name="S tr       Дж" dataDxfId="146">
      <calculatedColumnFormula>IF(ISBLANK(B3),"N/D",L2*1000/C3)</calculatedColumnFormula>
    </tableColumn>
    <tableColumn id="14" xr3:uid="{9C89DADE-8E33-4ED6-90D7-AC02B43E0511}" name="X0     К/10000" dataDxfId="145">
      <calculatedColumnFormula>C2/10000</calculatedColumnFormula>
    </tableColumn>
    <tableColumn id="15" xr3:uid="{A4EDC85D-50F1-4EAB-9449-CE72612049F8}" name="Х     К/10000" dataDxfId="144">
      <calculatedColumnFormula>D2/10000</calculatedColumnFormula>
    </tableColumn>
    <tableColumn id="16" xr3:uid="{035B77D6-DB28-48D6-BC23-527C9A59E463}" name="H(To) J" dataDxfId="143">
      <calculatedColumnFormula>E2*1000</calculatedColumnFormula>
    </tableColumn>
    <tableColumn id="17" xr3:uid="{0D98C8F1-CEFB-429B-81CA-508080279E92}" name="H(T) - H0 J" dataDxfId="142">
      <calculatedColumnFormula>10000*$A$1*(O2*X2-Y2*2/O2+AA2*O2^2+AB2*2*O2^3+AC2*3*O2^4-Z2)</calculatedColumnFormula>
    </tableColumn>
    <tableColumn id="18" xr3:uid="{DCE4A490-A745-4C35-AA5B-71A53EC07D93}" name="H(T) J" dataDxfId="65">
      <calculatedColumnFormula>$P$2+Q2</calculatedColumnFormula>
    </tableColumn>
    <tableColumn id="19" xr3:uid="{257A9C2D-55C7-4DBB-990E-728FF037648C}" name="S(To) J" dataDxfId="64">
      <calculatedColumnFormula>F2</calculatedColumnFormula>
    </tableColumn>
    <tableColumn id="20" xr3:uid="{C6BECD75-2AC5-4099-9EE7-01C09B69768E}" name="S(T) J" dataDxfId="62">
      <calculatedColumnFormula>$A$1*(W2+X2+X2*LN(O2)-Y2/O2^2+AA2*2*O2+AB2*3*O2^2+AC2*4*O2^3)</calculatedColumnFormula>
    </tableColumn>
    <tableColumn id="21" xr3:uid="{6F7F052E-4066-43EA-90C5-29293DF0E0FA}" name="Cp (T) J" dataDxfId="63">
      <calculatedColumnFormula>$A$1*(X2+Y2*2/(O2^2)+AA2*2*O2+AB2*6+AC2*12*O2^3)</calculatedColumnFormula>
    </tableColumn>
    <tableColumn id="22" xr3:uid="{486C4A7F-B2B9-4D91-9DC9-9B5035E81056}" name="ho" dataDxfId="141">
      <calculatedColumnFormula>$P$2/$A$1/10000</calculatedColumnFormula>
    </tableColumn>
    <tableColumn id="23" xr3:uid="{33134932-530C-47D7-9138-E4364C515395}" name="ф1" dataDxfId="140">
      <calculatedColumnFormula>S2/$A$1 - X2 - X2*LN(N2) + Y2/(N2^2) - AA2*2*N2 - AB2*3*N2^2 - AC2*4*N2^3</calculatedColumnFormula>
    </tableColumn>
    <tableColumn id="24" xr3:uid="{46594191-BD2F-4F38-88F2-4810BAC7B58F}" name="ф2 *lnX" dataDxfId="139">
      <calculatedColumnFormula>G2/$A$1</calculatedColumnFormula>
    </tableColumn>
    <tableColumn id="25" xr3:uid="{673218A2-5D33-46A8-93B6-761C66681EE0}" name="ф3 *X^(-2)" dataDxfId="138">
      <calculatedColumnFormula>I2/(2*100*$A$1)</calculatedColumnFormula>
    </tableColumn>
    <tableColumn id="26" xr3:uid="{91F53B7A-2ABD-43CD-8626-BD25302C3333}" name="ф4 *X^(-1)" dataDxfId="137">
      <calculatedColumnFormula>X2*N2 - Y2*2/N2 + AA2*N2^2 + AB2*2*N2^3 + AC2*3*N2^4 + ($P$2-P2)/10000/$A$1</calculatedColumnFormula>
    </tableColumn>
    <tableColumn id="27" xr3:uid="{4C825536-B2AD-4B6A-A1F2-5A76D2F2309D}" name="ф5 *X" dataDxfId="136">
      <calculatedColumnFormula>H2*10/2/$A$1</calculatedColumnFormula>
    </tableColumn>
    <tableColumn id="28" xr3:uid="{E29757EF-1186-4BD1-90A9-82CE06AB457E}" name="ф6 *X^2" dataDxfId="135">
      <calculatedColumnFormula>J2*100/6/$A$1</calculatedColumnFormula>
    </tableColumn>
    <tableColumn id="29" xr3:uid="{E1C7E8C3-BD57-4F6D-B6A8-941AD58ADE4A}" name="ф7 *Х^3" dataDxfId="30">
      <calculatedColumnFormula>K2*10^12/12/$A$1</calculatedColumnFormula>
    </tableColumn>
    <tableColumn id="30" xr3:uid="{82CA8E94-5EE5-4984-87D5-A56DDAE6DE31}" name="T" dataDxfId="29"/>
  </tableColumns>
  <tableStyleInfo name="TableStyleLight13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D4F75F-238F-46D9-B740-B8FE63164E25}" name="MilkeБанк" displayName="MilkeБанк" ref="A17:AD33" totalsRowShown="0" headerRowDxfId="133" tableBorderDxfId="132" headerRowCellStyle="Заголовок">
  <autoFilter ref="A17:AD33" xr:uid="{55889691-888E-472C-B930-030D336B6197}">
    <filterColumn colId="0">
      <filters>
        <filter val="Ga"/>
      </filters>
    </filterColumn>
    <filterColumn colId="1">
      <filters>
        <filter val="l"/>
        <filter val="s"/>
      </filters>
    </filterColumn>
  </autoFilter>
  <sortState xmlns:xlrd2="http://schemas.microsoft.com/office/spreadsheetml/2017/richdata2" ref="A18:AD33">
    <sortCondition ref="A18:A33"/>
    <sortCondition descending="1" ref="B18:B33"/>
    <sortCondition ref="C18:C33"/>
  </sortState>
  <tableColumns count="30">
    <tableColumn id="1" xr3:uid="{2DF3FE88-75ED-4DE3-9DD1-88CC8A7D7A73}" name="название" dataDxfId="131"/>
    <tableColumn id="2" xr3:uid="{73447398-797A-491E-A035-045CA07049E7}" name="Ф     Фаза" dataDxfId="32"/>
    <tableColumn id="3" xr3:uid="{7B80C032-990D-4586-82F1-490B9D181D5B}" name="Тo К" dataDxfId="130"/>
    <tableColumn id="4" xr3:uid="{0AEC1A94-C423-4B29-AFEF-70243D21D257}" name="T K" dataDxfId="129"/>
    <tableColumn id="5" xr3:uid="{20037553-F368-469A-92E2-14D298B70F35}" name="ΔfН(To)     кДж" dataDxfId="128"/>
    <tableColumn id="6" xr3:uid="{7DD43DA8-ACDF-4DFB-A431-C0D6D88A9335}" name="S(To)              Дж" dataDxfId="127"/>
    <tableColumn id="7" xr3:uid="{797478C0-6E17-4D25-8F5D-B06C5642F4CA}" name="а " dataDxfId="126"/>
    <tableColumn id="8" xr3:uid="{41CEBB69-DEE4-488F-A36F-F229B387300A}" name="b*T" dataDxfId="125"/>
    <tableColumn id="9" xr3:uid="{D63DA749-AB18-4064-AE24-D7D69ECA1FC4}" name="c *T^(-2)" dataDxfId="124"/>
    <tableColumn id="10" xr3:uid="{FA2C4DD9-6B23-4F7E-8D25-67446D6C121C}" name="d *T^(2)" dataDxfId="123"/>
    <tableColumn id="11" xr3:uid="{B2D29193-7A6A-4188-96D0-6E65097930D0}" name="e *T^3" dataDxfId="122"/>
    <tableColumn id="12" xr3:uid="{806D5DD5-2A8F-4D42-B220-490B894AC25D}" name="Н tr       кДж" dataDxfId="121"/>
    <tableColumn id="13" xr3:uid="{5FF9359F-232C-45F8-A0F6-105D55B65299}" name="S tr       Дж" dataDxfId="120"/>
    <tableColumn id="14" xr3:uid="{250601F9-0323-4523-8A25-7D6BD8D34B49}" name="X0     К/10000" dataDxfId="119"/>
    <tableColumn id="15" xr3:uid="{BFAB7FA4-D1AF-40BC-85E9-266BDB76C877}" name="Х     К/10000" dataDxfId="118"/>
    <tableColumn id="16" xr3:uid="{5B18D4D6-94FC-4844-BF0B-03AB2123626B}" name="H(To) J" dataDxfId="117"/>
    <tableColumn id="17" xr3:uid="{E2BEF9F2-F6DA-4E27-A280-A3A612D8A484}" name="dH(T) J" dataDxfId="116"/>
    <tableColumn id="18" xr3:uid="{22EBED41-BDAB-4FCA-978E-BD4CC76FFB20}" name="H(T) J" dataDxfId="115"/>
    <tableColumn id="19" xr3:uid="{9C02638D-E636-4BA0-99F8-5BB693BB0BB7}" name="S(To) J" dataDxfId="114"/>
    <tableColumn id="20" xr3:uid="{C8CA97C8-7FAD-493A-B6C2-7FB392E8547C}" name="S(T) J" dataDxfId="113"/>
    <tableColumn id="21" xr3:uid="{5A960C3B-CCAD-401A-A9BE-262CAA4E443C}" name="Cp (T) J" dataDxfId="112"/>
    <tableColumn id="22" xr3:uid="{BEBEE202-9A5D-4849-A886-D5182AD9D49D}" name="ho" dataDxfId="111"/>
    <tableColumn id="23" xr3:uid="{A85A4FEF-9E3C-43B6-82AE-6C37B9B047D7}" name="ф1" dataDxfId="110"/>
    <tableColumn id="24" xr3:uid="{056B3C91-A59D-4BAE-BEAB-392206B4ACDD}" name="ф2 *lnX" dataDxfId="109"/>
    <tableColumn id="25" xr3:uid="{E03C3A96-7EF7-4B1C-B48B-7D73126A309F}" name="ф3 *X^(-2)" dataDxfId="108"/>
    <tableColumn id="26" xr3:uid="{BFA56CEF-9B57-4466-862A-7D3B59DEDD95}" name="ф4 *X^(-1)" dataDxfId="107"/>
    <tableColumn id="27" xr3:uid="{086A06D6-607C-4233-9DA2-C7E5939EB250}" name="ф5 *X" dataDxfId="106"/>
    <tableColumn id="28" xr3:uid="{BD04E61C-6D7C-40D0-8F51-011E5C6CE7B3}" name="ф6 *X^2" dataDxfId="105"/>
    <tableColumn id="29" xr3:uid="{9309F1CE-6642-4D85-A27A-13677AE1781B}" name="ф7 *Х^3" dataDxfId="28"/>
    <tableColumn id="30" xr3:uid="{A7BC8D50-7351-4F6D-AC32-21F80FD39E70}" name="T" dataDxfId="27"/>
  </tableColumns>
  <tableStyleInfo name="TableStyleLight13" showFirstColumn="1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C7D4134-E6D4-48BD-B66B-43C3586A5A8E}" name="Таблица716" displayName="Таблица716" ref="C1:P60" totalsRowShown="0" headerRowDxfId="22" headerRowCellStyle="Заголовок">
  <autoFilter ref="C1:P60" xr:uid="{85F36A9E-31F0-4B95-BC01-5F8E9850E1B2}">
    <filterColumn colId="0" hiddenButton="1">
      <filters>
        <filter val="Ga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sortState xmlns:xlrd2="http://schemas.microsoft.com/office/spreadsheetml/2017/richdata2" ref="C2:P60">
    <sortCondition ref="C2:C60"/>
    <sortCondition descending="1" ref="D2:D60"/>
    <sortCondition ref="E2:E60"/>
  </sortState>
  <tableColumns count="14">
    <tableColumn id="1" xr3:uid="{51E0FEB3-FB8F-4540-9E1C-405AC2C88955}" name="Названиe"/>
    <tableColumn id="2" xr3:uid="{5EE37EAA-7FA3-40C9-89E6-5445793852CE}" name="Ф          if &quot;?&quot; =&gt; not &quot;g&quot;" dataDxfId="0"/>
    <tableColumn id="3" xr3:uid="{D6C68FCE-3D4C-4817-8387-267EB81DD616}" name="To К"/>
    <tableColumn id="4" xr3:uid="{6E2835C1-DEB0-4ECE-A370-E5A8EC3F6135}" name="T К"/>
    <tableColumn id="5" xr3:uid="{6FA3E292-F325-451C-9E65-C6B7C599C9BD}" name="ho" dataDxfId="4"/>
    <tableColumn id="6" xr3:uid="{7226643F-5D06-489D-B2D3-589ED89E8615}" name="ф1"/>
    <tableColumn id="7" xr3:uid="{09FFEBA2-0D4B-4607-9AF7-D3BC7B74DF86}" name="ф2 *lnX" dataDxfId="3"/>
    <tableColumn id="8" xr3:uid="{FA65B820-8B0F-4B63-BBCA-B40CD6435889}" name="ф3 *X^(-2)"/>
    <tableColumn id="9" xr3:uid="{0D25B8D0-6E2F-4724-A859-E0B9ACBAD1B0}" name="ф4 *X^(-1)" dataDxfId="2"/>
    <tableColumn id="10" xr3:uid="{EA142FDF-91B1-43BC-97DA-75F0EFEC882A}" name="ф5 *X"/>
    <tableColumn id="11" xr3:uid="{65EF8AAB-82F9-42E0-84C2-B5CB15B86B7C}" name="ф6 *X^2" dataDxfId="1"/>
    <tableColumn id="12" xr3:uid="{C107D857-C08E-427E-93B2-74E62357BBD4}" name="ф7 *Х^3"/>
    <tableColumn id="13" xr3:uid="{A8723221-273B-40C7-98D7-DF0AABE2D300}" name="Т"/>
    <tableColumn id="14" xr3:uid="{B0CE308A-07CD-4E55-9C12-6CA799C7EEF1}" name="Мeтка            2 - добавить, 1 - удалить" dataCellStyle="Обычный"/>
  </tableColumns>
  <tableStyleInfo name="TableStyleLight13"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84587B-6721-46AC-85C0-344A8955E492}" name="Таблица7" displayName="Таблица7" ref="C1:P64" totalsRowShown="0" headerRowDxfId="148" headerRowCellStyle="Заголовок">
  <autoFilter ref="C1:P64" xr:uid="{85F36A9E-31F0-4B95-BC01-5F8E9850E1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sortState xmlns:xlrd2="http://schemas.microsoft.com/office/spreadsheetml/2017/richdata2" ref="C2:P10">
    <sortCondition ref="C2:C64"/>
    <sortCondition descending="1" ref="D2:D64"/>
    <sortCondition ref="E2:E64"/>
  </sortState>
  <tableColumns count="14">
    <tableColumn id="1" xr3:uid="{730B6217-F609-4C95-9899-ADD8A5B072F3}" name="Названиe"/>
    <tableColumn id="2" xr3:uid="{2EDC5DA5-3809-4010-91C7-A51B499630ED}" name="Ф          if &quot;?&quot; =&gt; not &quot;g&quot;"/>
    <tableColumn id="3" xr3:uid="{4AFF4620-E5F8-4028-93B5-391356CDED33}" name="To К"/>
    <tableColumn id="4" xr3:uid="{28ED6F15-937C-4C73-A3CE-E261D6122981}" name="T К"/>
    <tableColumn id="5" xr3:uid="{8BA2644A-6E07-459C-9600-F5D2B21564C3}" name="ho" dataDxfId="26"/>
    <tableColumn id="6" xr3:uid="{E09608B4-E53D-427D-9EAF-124D9AC894E3}" name="ф1"/>
    <tableColumn id="7" xr3:uid="{B17E554D-E054-4B99-B08D-4C01EC35767F}" name="ф2 *lnX" dataDxfId="25"/>
    <tableColumn id="8" xr3:uid="{05CB1EFF-6264-4CAA-BC2C-512A25CFAE85}" name="ф3 *X^(-2)"/>
    <tableColumn id="9" xr3:uid="{127244C1-A06B-4149-B43C-894B41E43CC8}" name="ф4 *X^(-1)" dataDxfId="24"/>
    <tableColumn id="10" xr3:uid="{865E3FF3-6130-4B04-8BC6-7275241886DA}" name="ф5 *X"/>
    <tableColumn id="11" xr3:uid="{2E67926F-DD65-498E-B588-3025FA88C7D7}" name="ф6 *X^2" dataDxfId="23"/>
    <tableColumn id="12" xr3:uid="{DFD79CC8-7FDB-45BA-BB0A-834A65F37804}" name="ф7 *Х^3"/>
    <tableColumn id="13" xr3:uid="{EC51FE4A-017E-4EEA-89DE-447D977BB60D}" name="Т"/>
    <tableColumn id="14" xr3:uid="{B462FD24-7D66-4270-8261-F8822D483222}" name="Мeтка            1 - добавить, 0 - удалить, * - удалено" dataDxfId="149"/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EC4C85-D1A0-498D-A439-4863EFCF8DFB}" name="Таблица2" displayName="Таблица2" ref="A2:L61" totalsRowShown="0" headerRowCellStyle="Данные" dataCellStyle="Данные">
  <autoFilter ref="A2:L61" xr:uid="{A63A2C33-3BE1-4A94-B0A0-D5FEABB0860B}"/>
  <sortState xmlns:xlrd2="http://schemas.microsoft.com/office/spreadsheetml/2017/richdata2" ref="A3:L61">
    <sortCondition ref="A3:A61"/>
    <sortCondition ref="B3:B61"/>
    <sortCondition ref="C3:C61"/>
  </sortState>
  <tableColumns count="12">
    <tableColumn id="1" xr3:uid="{3A3BC3BD-D297-444E-9DAB-65DBDFD360D1}" name="Вещество" dataCellStyle="Данные"/>
    <tableColumn id="2" xr3:uid="{6C7311AD-B598-4BFF-A1E4-B3939C77CB5E}" name="Фаза        " dataCellStyle="Данные"/>
    <tableColumn id="3" xr3:uid="{FB9F17EB-244F-46C2-AF19-19BD39184FB8}" name="To" dataDxfId="162" dataCellStyle="Данные"/>
    <tableColumn id="4" xr3:uid="{33C882E4-4A0A-4BB7-BAC0-D586B390A5B9}" name="T" dataDxfId="161" dataCellStyle="Данные"/>
    <tableColumn id="5" xr3:uid="{A4B59EA6-7B65-430F-91A8-A26FC14A21A8}" name="ho" dataDxfId="160" dataCellStyle="Данные"/>
    <tableColumn id="6" xr3:uid="{076F5DF0-417A-4D83-81FA-EC2915D7C2CF}" name="ф1" dataDxfId="159" dataCellStyle="Данные"/>
    <tableColumn id="7" xr3:uid="{9CF548EE-DF1A-4FC4-A0BF-33AA14D715B7}" name="ф2 *lnX" dataDxfId="158" dataCellStyle="Данные"/>
    <tableColumn id="8" xr3:uid="{61F6E1B4-6210-44AE-B037-11513327A42E}" name="ф3 *X^(-2)" dataDxfId="157" dataCellStyle="Данные"/>
    <tableColumn id="9" xr3:uid="{2CAF1CAA-6343-4C3F-8CE7-2D091A8EE398}" name="ф4 *X^(-1)" dataDxfId="156" dataCellStyle="Данные"/>
    <tableColumn id="10" xr3:uid="{FF6A4F40-AF1B-43CC-A729-20B4ED6366D1}" name="ф5 *X" dataDxfId="155" dataCellStyle="Данные"/>
    <tableColumn id="11" xr3:uid="{F0E7E697-BAB4-42E2-B60A-B357A4DD7C4B}" name="ф6 *X^2" dataDxfId="154" dataCellStyle="Данные"/>
    <tableColumn id="12" xr3:uid="{98235FEE-1F15-46B1-A6CF-71CD3045BAB7}" name="ф7 *Х^3" dataDxfId="153" dataCellStyle="Данные"/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E70714-A3EA-4DA8-BF4B-EA35BECCB83C}" name="Таблица3" displayName="Таблица3" ref="O2:Z65" totalsRowShown="0" tableBorderDxfId="152" headerRowCellStyle="Данные" dataCellStyle="Данные">
  <autoFilter ref="O2:Z65" xr:uid="{3785F57A-21C7-4F87-941D-A8BA4A877FF5}"/>
  <sortState xmlns:xlrd2="http://schemas.microsoft.com/office/spreadsheetml/2017/richdata2" ref="O3:Z65">
    <sortCondition ref="O3:O65"/>
    <sortCondition ref="P3:P65"/>
    <sortCondition ref="Q3:Q65"/>
  </sortState>
  <tableColumns count="12">
    <tableColumn id="1" xr3:uid="{225AFEA2-0CCD-4F7E-AB1E-EA92DB58DC61}" name="Вещество" dataCellStyle="Данные"/>
    <tableColumn id="2" xr3:uid="{12F0F509-AD92-45FB-95EF-BD564C08F41C}" name="Фаза" dataCellStyle="Данные"/>
    <tableColumn id="3" xr3:uid="{C5C1B823-BB6F-47C5-8F2E-EAE66BD249D3}" name="To" dataDxfId="151" dataCellStyle="Данные"/>
    <tableColumn id="4" xr3:uid="{54A71BD6-FC09-48A8-BC76-AD54C4BC71D4}" name="T" dataDxfId="150" dataCellStyle="Данные"/>
    <tableColumn id="5" xr3:uid="{DC1AC2BC-E9F5-49D1-816C-0406CDD00704}" name="ho" dataCellStyle="Данные"/>
    <tableColumn id="6" xr3:uid="{0E1D6A4B-DA7C-4984-ABED-CC51250C1F84}" name="ф1" dataCellStyle="Данные"/>
    <tableColumn id="7" xr3:uid="{6759C707-A6E9-4E87-A722-95376BC8B8D9}" name="ф2 *lnX" dataCellStyle="Данные"/>
    <tableColumn id="8" xr3:uid="{21BA498D-CA25-472B-9917-439218781C47}" name="ф3 *X^(-2)" dataCellStyle="Данные"/>
    <tableColumn id="9" xr3:uid="{FBA9F579-1C18-4370-AE55-AA3F30F84188}" name="ф4 *X^(-1)" dataCellStyle="Данные"/>
    <tableColumn id="10" xr3:uid="{3C1BD5AB-B490-41BF-BCA2-D4C29C3E7150}" name="ф5 *X" dataCellStyle="Данные"/>
    <tableColumn id="11" xr3:uid="{013DAA69-712F-40DA-A392-41E188314193}" name="ф6 *X^2" dataCellStyle="Данные"/>
    <tableColumn id="12" xr3:uid="{000D4E4B-E48C-476C-8728-9BFA4C4AB30D}" name="ф7 *Х^3" dataCellStyle="Данные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C6BC67-A300-4141-9BC0-5086BA0B56D1}" name="Таблица1" displayName="Таблица1" ref="C1:P60" totalsRowShown="0" headerRowDxfId="165" tableBorderDxfId="164" headerRowCellStyle="Заголовок">
  <sortState xmlns:xlrd2="http://schemas.microsoft.com/office/spreadsheetml/2017/richdata2" ref="C2:P60">
    <sortCondition ref="C2:C60"/>
    <sortCondition ref="D2:D60"/>
    <sortCondition ref="E2:E60"/>
  </sortState>
  <tableColumns count="14">
    <tableColumn id="1" xr3:uid="{2CE18476-37B3-4E1C-A659-3A5A7979A99D}" name="Названиe"/>
    <tableColumn id="2" xr3:uid="{F2BE9602-0131-4AD5-9A78-26C622F05506}" name="Фаза             if &quot;?&quot; =&gt; not &quot;g&quot;"/>
    <tableColumn id="3" xr3:uid="{61067926-4E79-47BD-97D7-1F6533F7E67A}" name="To"/>
    <tableColumn id="4" xr3:uid="{D0D8578D-409F-41F8-B292-F9AEB92ABCE5}" name="T"/>
    <tableColumn id="5" xr3:uid="{A6F36F03-258F-4812-ACAE-1E960CEA5058}" name="ho"/>
    <tableColumn id="6" xr3:uid="{4545C3FE-5692-483F-8052-0F5E66E17B53}" name="ф1"/>
    <tableColumn id="7" xr3:uid="{57F40F00-D4D2-4ACA-925D-C53DEC83478A}" name="ф2 *lnX"/>
    <tableColumn id="8" xr3:uid="{1AEECC05-D683-4F86-8013-77AC54EEFEE4}" name="ф3 *X^(-2)"/>
    <tableColumn id="9" xr3:uid="{313C9E56-E27C-44AC-8B1B-434720F55376}" name="ф4 *X^(-1)"/>
    <tableColumn id="10" xr3:uid="{EF698810-42A7-46BA-87AC-3D84ED9AF407}" name="ф5 *X"/>
    <tableColumn id="11" xr3:uid="{315FE2D8-FF2D-45C9-A9CC-78D28E66BED9}" name="ф6 *X^2"/>
    <tableColumn id="12" xr3:uid="{144A1DB8-A954-440F-BBFD-AD3E11DC0F11}" name="ф7 *Х^3"/>
    <tableColumn id="13" xr3:uid="{407FF836-DCBB-4AC6-BE7A-F254F97DB6F8}" name="59"/>
    <tableColumn id="14" xr3:uid="{BA3B093B-5638-4A11-95CD-6D7776355877}" name="Мeтка            1 - добавить, 0 - удалить, * - удалено" dataDxfId="163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microsoft.com/office/2007/relationships/slicer" Target="../slicers/slicer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07/relationships/slicer" Target="../slicers/slicer4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microsoft.com/office/2007/relationships/slicer" Target="../slicers/slicer5.xml"/><Relationship Id="rId5" Type="http://schemas.openxmlformats.org/officeDocument/2006/relationships/table" Target="../tables/table7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4.xml"/><Relationship Id="rId5" Type="http://schemas.openxmlformats.org/officeDocument/2006/relationships/table" Target="../tables/table10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T92"/>
  <sheetViews>
    <sheetView zoomScaleNormal="100" workbookViewId="0">
      <selection activeCell="G23" sqref="G23"/>
    </sheetView>
  </sheetViews>
  <sheetFormatPr defaultRowHeight="21" outlineLevelCol="1" x14ac:dyDescent="0.35"/>
  <cols>
    <col min="1" max="1" width="11.7265625" customWidth="1"/>
    <col min="2" max="2" width="7.6328125" style="3" customWidth="1"/>
    <col min="3" max="3" width="7.6328125" customWidth="1"/>
    <col min="4" max="4" width="13.26953125" customWidth="1"/>
    <col min="5" max="6" width="8.6328125" customWidth="1"/>
    <col min="7" max="7" width="9.90625" customWidth="1"/>
    <col min="8" max="9" width="8.6328125" customWidth="1"/>
    <col min="10" max="11" width="9" customWidth="1"/>
    <col min="12" max="18" width="8.7265625" customWidth="1" outlineLevel="1"/>
    <col min="20" max="20" width="5.453125" style="97" customWidth="1"/>
  </cols>
  <sheetData>
    <row r="1" spans="1:20" ht="22.5" thickTop="1" thickBot="1" x14ac:dyDescent="0.4">
      <c r="A1" s="105" t="s">
        <v>141</v>
      </c>
      <c r="B1" s="26" t="s">
        <v>78</v>
      </c>
      <c r="C1" s="26" t="s">
        <v>80</v>
      </c>
      <c r="D1" s="27" t="s">
        <v>79</v>
      </c>
      <c r="E1" s="25" t="s">
        <v>0</v>
      </c>
      <c r="F1" s="25" t="s">
        <v>1</v>
      </c>
      <c r="G1" s="25" t="s">
        <v>2</v>
      </c>
      <c r="H1" s="25" t="s">
        <v>3</v>
      </c>
      <c r="I1" s="25" t="s">
        <v>4</v>
      </c>
      <c r="J1" s="25" t="s">
        <v>5</v>
      </c>
      <c r="K1" s="25" t="s">
        <v>6</v>
      </c>
      <c r="L1" s="25" t="s">
        <v>7</v>
      </c>
      <c r="M1" s="25" t="s">
        <v>8</v>
      </c>
      <c r="N1" s="25" t="s">
        <v>9</v>
      </c>
      <c r="O1" s="25" t="s">
        <v>10</v>
      </c>
      <c r="P1" s="25" t="s">
        <v>11</v>
      </c>
      <c r="Q1" s="25" t="s">
        <v>12</v>
      </c>
      <c r="R1" s="25" t="s">
        <v>13</v>
      </c>
      <c r="S1" s="25" t="s">
        <v>14</v>
      </c>
      <c r="T1" s="99" t="s">
        <v>98</v>
      </c>
    </row>
    <row r="2" spans="1:20" ht="22.5" thickTop="1" thickBot="1" x14ac:dyDescent="0.4">
      <c r="A2" s="22" t="s">
        <v>28</v>
      </c>
      <c r="B2" s="23">
        <v>2327</v>
      </c>
      <c r="C2" s="24">
        <v>5400</v>
      </c>
      <c r="D2" s="19">
        <v>-1675.7</v>
      </c>
      <c r="E2" s="20">
        <v>415.72699999999998</v>
      </c>
      <c r="F2" s="20">
        <v>162.9</v>
      </c>
      <c r="G2" s="20">
        <v>0</v>
      </c>
      <c r="H2" s="20">
        <v>2.1899999999999999E-2</v>
      </c>
      <c r="I2" s="20">
        <v>0</v>
      </c>
      <c r="J2" s="20">
        <v>0</v>
      </c>
      <c r="K2" s="21">
        <v>0</v>
      </c>
      <c r="L2" s="16">
        <f>D2/10/A1</f>
        <v>-20.153947922304404</v>
      </c>
      <c r="M2" s="17">
        <f>E2/A1</f>
        <v>50.000240543628593</v>
      </c>
      <c r="N2" s="17">
        <f>F2/A1</f>
        <v>19.592278549521918</v>
      </c>
      <c r="O2" s="17">
        <f>G2/A1</f>
        <v>0</v>
      </c>
      <c r="P2" s="17">
        <f>H2/A1</f>
        <v>2.6339527331769798E-3</v>
      </c>
      <c r="Q2" s="17">
        <f>I2/A1</f>
        <v>0</v>
      </c>
      <c r="R2" s="17">
        <f>J2/A1</f>
        <v>0</v>
      </c>
      <c r="S2" s="18">
        <f>K2/A1</f>
        <v>0</v>
      </c>
      <c r="T2" s="97">
        <v>3</v>
      </c>
    </row>
    <row r="4" spans="1:20" s="75" customFormat="1" x14ac:dyDescent="0.35">
      <c r="T4" s="97"/>
    </row>
    <row r="5" spans="1:20" s="75" customFormat="1" x14ac:dyDescent="0.35">
      <c r="T5" s="97"/>
    </row>
    <row r="6" spans="1:20" s="75" customFormat="1" x14ac:dyDescent="0.35">
      <c r="T6" s="97"/>
    </row>
    <row r="7" spans="1:20" s="75" customFormat="1" x14ac:dyDescent="0.35">
      <c r="T7" s="97"/>
    </row>
    <row r="8" spans="1:20" s="75" customFormat="1" x14ac:dyDescent="0.35">
      <c r="T8" s="97"/>
    </row>
    <row r="9" spans="1:20" s="75" customFormat="1" x14ac:dyDescent="0.35">
      <c r="T9" s="97"/>
    </row>
    <row r="10" spans="1:20" s="75" customFormat="1" x14ac:dyDescent="0.35">
      <c r="T10" s="97"/>
    </row>
    <row r="11" spans="1:20" s="75" customFormat="1" x14ac:dyDescent="0.35">
      <c r="T11" s="97"/>
    </row>
    <row r="12" spans="1:20" s="75" customFormat="1" x14ac:dyDescent="0.35">
      <c r="T12" s="97"/>
    </row>
    <row r="13" spans="1:20" s="75" customFormat="1" x14ac:dyDescent="0.35">
      <c r="T13" s="97"/>
    </row>
    <row r="14" spans="1:20" s="75" customFormat="1" x14ac:dyDescent="0.35">
      <c r="T14" s="97"/>
    </row>
    <row r="15" spans="1:20" s="75" customFormat="1" x14ac:dyDescent="0.35">
      <c r="T15" s="97"/>
    </row>
    <row r="16" spans="1:20" s="75" customFormat="1" x14ac:dyDescent="0.35">
      <c r="T16" s="97"/>
    </row>
    <row r="17" spans="1:20" s="75" customFormat="1" x14ac:dyDescent="0.35">
      <c r="T17" s="97"/>
    </row>
    <row r="18" spans="1:20" s="75" customFormat="1" x14ac:dyDescent="0.35">
      <c r="T18" s="97"/>
    </row>
    <row r="19" spans="1:20" s="75" customFormat="1" x14ac:dyDescent="0.35">
      <c r="T19" s="97"/>
    </row>
    <row r="20" spans="1:20" s="75" customFormat="1" x14ac:dyDescent="0.35">
      <c r="T20" s="97"/>
    </row>
    <row r="21" spans="1:20" s="75" customFormat="1" x14ac:dyDescent="0.35">
      <c r="T21" s="97"/>
    </row>
    <row r="27" spans="1:20" ht="21.75" thickBot="1" x14ac:dyDescent="0.4"/>
    <row r="28" spans="1:20" ht="24.75" thickTop="1" thickBot="1" x14ac:dyDescent="0.4">
      <c r="A28" s="38" t="s">
        <v>38</v>
      </c>
      <c r="B28" s="39" t="s">
        <v>78</v>
      </c>
      <c r="C28" s="39" t="s">
        <v>80</v>
      </c>
      <c r="D28" s="39" t="s">
        <v>79</v>
      </c>
      <c r="E28" s="38" t="s">
        <v>0</v>
      </c>
      <c r="F28" s="38" t="s">
        <v>1</v>
      </c>
      <c r="G28" s="38" t="s">
        <v>2</v>
      </c>
      <c r="H28" s="38" t="s">
        <v>3</v>
      </c>
      <c r="I28" s="38" t="s">
        <v>4</v>
      </c>
      <c r="J28" s="38" t="s">
        <v>5</v>
      </c>
      <c r="K28" s="38" t="s">
        <v>6</v>
      </c>
      <c r="L28" s="38" t="s">
        <v>7</v>
      </c>
      <c r="M28" s="38" t="s">
        <v>8</v>
      </c>
      <c r="N28" s="38" t="s">
        <v>72</v>
      </c>
      <c r="O28" s="38" t="s">
        <v>73</v>
      </c>
      <c r="P28" s="38" t="s">
        <v>74</v>
      </c>
      <c r="Q28" s="38" t="s">
        <v>75</v>
      </c>
      <c r="R28" s="38" t="s">
        <v>76</v>
      </c>
      <c r="S28" s="38" t="s">
        <v>77</v>
      </c>
      <c r="T28" s="100" t="s">
        <v>98</v>
      </c>
    </row>
    <row r="29" spans="1:20" ht="21.75" hidden="1" thickTop="1" x14ac:dyDescent="0.35">
      <c r="A29" s="1" t="s">
        <v>19</v>
      </c>
      <c r="B29" s="44">
        <v>298</v>
      </c>
      <c r="C29" s="48">
        <v>1802</v>
      </c>
      <c r="D29" s="2"/>
      <c r="E29" s="56"/>
      <c r="F29" s="2"/>
      <c r="G29" s="60"/>
      <c r="H29" s="2"/>
      <c r="I29" s="60"/>
      <c r="J29" s="2"/>
      <c r="K29" s="60"/>
      <c r="L29" s="52">
        <v>0</v>
      </c>
      <c r="M29" s="28">
        <v>16.724036322087915</v>
      </c>
      <c r="N29" s="52">
        <v>3.1735041193096394</v>
      </c>
      <c r="O29" s="28">
        <v>-5.5493415118167053E-5</v>
      </c>
      <c r="P29" s="52">
        <v>1.1803475855433279E-2</v>
      </c>
      <c r="Q29" s="28">
        <v>2.0178002285164469</v>
      </c>
      <c r="R29" s="52">
        <v>5.8848998737145948</v>
      </c>
      <c r="S29" s="29">
        <v>0</v>
      </c>
      <c r="T29" s="97">
        <v>3</v>
      </c>
    </row>
    <row r="30" spans="1:20" ht="21.75" hidden="1" thickTop="1" x14ac:dyDescent="0.35">
      <c r="A30" s="30" t="s">
        <v>19</v>
      </c>
      <c r="B30" s="45">
        <v>1802</v>
      </c>
      <c r="C30" s="49">
        <v>5500</v>
      </c>
      <c r="D30" s="31"/>
      <c r="E30" s="57"/>
      <c r="F30" s="31"/>
      <c r="G30" s="61"/>
      <c r="H30" s="31"/>
      <c r="I30" s="61"/>
      <c r="J30" s="31"/>
      <c r="K30" s="61"/>
      <c r="L30" s="53">
        <v>0</v>
      </c>
      <c r="M30" s="32">
        <v>20.417824282879305</v>
      </c>
      <c r="N30" s="53">
        <v>4.6545192134223345</v>
      </c>
      <c r="O30" s="32">
        <v>0</v>
      </c>
      <c r="P30" s="53">
        <v>9.6854892056046665E-2</v>
      </c>
      <c r="Q30" s="32">
        <v>0</v>
      </c>
      <c r="R30" s="53">
        <v>0</v>
      </c>
      <c r="S30" s="33">
        <v>0</v>
      </c>
      <c r="T30" s="97">
        <v>3</v>
      </c>
    </row>
    <row r="31" spans="1:20" ht="21.75" hidden="1" thickTop="1" x14ac:dyDescent="0.35">
      <c r="A31" s="30" t="s">
        <v>22</v>
      </c>
      <c r="B31" s="45">
        <v>298</v>
      </c>
      <c r="C31" s="49">
        <v>2593</v>
      </c>
      <c r="D31" s="31"/>
      <c r="E31" s="57"/>
      <c r="F31" s="31"/>
      <c r="G31" s="61"/>
      <c r="H31" s="31"/>
      <c r="I31" s="61"/>
      <c r="J31" s="31"/>
      <c r="K31" s="61"/>
      <c r="L31" s="53">
        <v>-23.908833964760355</v>
      </c>
      <c r="M31" s="32">
        <v>54.417222923807799</v>
      </c>
      <c r="N31" s="53">
        <v>14.808839978351072</v>
      </c>
      <c r="O31" s="32">
        <v>-9.2181129352336276E-4</v>
      </c>
      <c r="P31" s="53">
        <v>0.26702267123699558</v>
      </c>
      <c r="Q31" s="32">
        <v>5.2746406879547774</v>
      </c>
      <c r="R31" s="53">
        <v>0</v>
      </c>
      <c r="S31" s="33">
        <v>0</v>
      </c>
      <c r="T31" s="97">
        <v>3</v>
      </c>
    </row>
    <row r="32" spans="1:20" ht="22.5" hidden="1" thickTop="1" thickBot="1" x14ac:dyDescent="0.4">
      <c r="A32" s="34" t="s">
        <v>22</v>
      </c>
      <c r="B32" s="46">
        <v>2593</v>
      </c>
      <c r="C32" s="50">
        <v>2691</v>
      </c>
      <c r="D32" s="35"/>
      <c r="E32" s="58"/>
      <c r="F32" s="35"/>
      <c r="G32" s="62"/>
      <c r="H32" s="35"/>
      <c r="I32" s="62"/>
      <c r="J32" s="35"/>
      <c r="K32" s="62"/>
      <c r="L32" s="54">
        <v>-23.908833964760355</v>
      </c>
      <c r="M32" s="36">
        <v>58.717421372301402</v>
      </c>
      <c r="N32" s="54">
        <v>19.243526369595283</v>
      </c>
      <c r="O32" s="36">
        <v>0</v>
      </c>
      <c r="P32" s="54">
        <v>1.0551807084009863</v>
      </c>
      <c r="Q32" s="36">
        <v>0</v>
      </c>
      <c r="R32" s="54">
        <v>0</v>
      </c>
      <c r="S32" s="37">
        <v>0</v>
      </c>
      <c r="T32" s="97">
        <v>3</v>
      </c>
    </row>
    <row r="33" spans="1:20" ht="21.75" hidden="1" thickTop="1" x14ac:dyDescent="0.35">
      <c r="A33" s="1" t="s">
        <v>22</v>
      </c>
      <c r="B33" s="44">
        <v>2691</v>
      </c>
      <c r="C33" s="48">
        <v>6000</v>
      </c>
      <c r="D33" s="2"/>
      <c r="E33" s="56"/>
      <c r="F33" s="2"/>
      <c r="G33" s="60"/>
      <c r="H33" s="2"/>
      <c r="I33" s="60"/>
      <c r="J33" s="2"/>
      <c r="K33" s="60"/>
      <c r="L33" s="52">
        <v>-23.908833964760355</v>
      </c>
      <c r="M33" s="28">
        <v>66.031872030789586</v>
      </c>
      <c r="N33" s="52">
        <v>24.05436286006374</v>
      </c>
      <c r="O33" s="28">
        <v>0</v>
      </c>
      <c r="P33" s="52">
        <v>0.78625293162547349</v>
      </c>
      <c r="Q33" s="28">
        <v>0</v>
      </c>
      <c r="R33" s="52">
        <v>0</v>
      </c>
      <c r="S33" s="29">
        <v>0</v>
      </c>
      <c r="T33" s="97">
        <v>3</v>
      </c>
    </row>
    <row r="34" spans="1:20" ht="22.5" hidden="1" thickTop="1" thickBot="1" x14ac:dyDescent="0.4">
      <c r="A34" s="34" t="s">
        <v>30</v>
      </c>
      <c r="B34" s="46">
        <v>298</v>
      </c>
      <c r="C34" s="50">
        <v>1701</v>
      </c>
      <c r="D34" s="35"/>
      <c r="E34" s="58"/>
      <c r="F34" s="35"/>
      <c r="G34" s="62"/>
      <c r="H34" s="35"/>
      <c r="I34" s="62"/>
      <c r="J34" s="35"/>
      <c r="K34" s="62"/>
      <c r="L34" s="54">
        <v>0</v>
      </c>
      <c r="M34" s="36">
        <v>20.857538035961269</v>
      </c>
      <c r="N34" s="54">
        <v>4.4645017740092605</v>
      </c>
      <c r="O34" s="36">
        <v>-2.2784292501052376E-4</v>
      </c>
      <c r="P34" s="54">
        <v>4.0791388538096093E-2</v>
      </c>
      <c r="Q34" s="36">
        <v>-15.139455168681218</v>
      </c>
      <c r="R34" s="54">
        <v>40.532804137350411</v>
      </c>
      <c r="S34" s="37">
        <v>0</v>
      </c>
      <c r="T34" s="97">
        <v>3</v>
      </c>
    </row>
    <row r="35" spans="1:20" ht="21.75" hidden="1" thickTop="1" x14ac:dyDescent="0.35">
      <c r="A35" s="1" t="s">
        <v>30</v>
      </c>
      <c r="B35" s="44">
        <v>1701</v>
      </c>
      <c r="C35" s="48">
        <v>1747</v>
      </c>
      <c r="D35" s="2"/>
      <c r="E35" s="56"/>
      <c r="F35" s="2"/>
      <c r="G35" s="60"/>
      <c r="H35" s="2"/>
      <c r="I35" s="60"/>
      <c r="J35" s="2"/>
      <c r="K35" s="60"/>
      <c r="L35" s="52">
        <v>0</v>
      </c>
      <c r="M35" s="28">
        <v>20.296590294064583</v>
      </c>
      <c r="N35" s="52">
        <v>5.4122556978772023</v>
      </c>
      <c r="O35" s="28">
        <v>0</v>
      </c>
      <c r="P35" s="52">
        <v>0.18186301040351191</v>
      </c>
      <c r="Q35" s="28">
        <v>0</v>
      </c>
      <c r="R35" s="52">
        <v>0</v>
      </c>
      <c r="S35" s="29">
        <v>0</v>
      </c>
      <c r="T35" s="97">
        <v>3</v>
      </c>
    </row>
    <row r="36" spans="1:20" ht="22.5" hidden="1" thickTop="1" thickBot="1" x14ac:dyDescent="0.4">
      <c r="A36" s="34" t="s">
        <v>30</v>
      </c>
      <c r="B36" s="46">
        <v>1747</v>
      </c>
      <c r="C36" s="50">
        <v>5500</v>
      </c>
      <c r="D36" s="35"/>
      <c r="E36" s="58"/>
      <c r="F36" s="35"/>
      <c r="G36" s="62"/>
      <c r="H36" s="35"/>
      <c r="I36" s="62"/>
      <c r="J36" s="35"/>
      <c r="K36" s="62"/>
      <c r="L36" s="54">
        <v>0</v>
      </c>
      <c r="M36" s="36">
        <v>20.998737145949843</v>
      </c>
      <c r="N36" s="54">
        <v>5.2919838835768829</v>
      </c>
      <c r="O36" s="36">
        <v>0</v>
      </c>
      <c r="P36" s="54">
        <v>2.2538937999879726E-2</v>
      </c>
      <c r="Q36" s="36">
        <v>0</v>
      </c>
      <c r="R36" s="54">
        <v>0</v>
      </c>
      <c r="S36" s="37">
        <v>0</v>
      </c>
      <c r="T36" s="97">
        <v>3</v>
      </c>
    </row>
    <row r="37" spans="1:20" ht="21.75" hidden="1" thickTop="1" x14ac:dyDescent="0.35">
      <c r="A37" s="1" t="s">
        <v>33</v>
      </c>
      <c r="B37" s="44">
        <v>298</v>
      </c>
      <c r="C37" s="48">
        <v>2473</v>
      </c>
      <c r="D37" s="2"/>
      <c r="E37" s="56"/>
      <c r="F37" s="2"/>
      <c r="G37" s="60"/>
      <c r="H37" s="2"/>
      <c r="I37" s="60"/>
      <c r="J37" s="2"/>
      <c r="K37" s="60"/>
      <c r="L37" s="52">
        <v>-22.624330988032956</v>
      </c>
      <c r="M37" s="28">
        <v>55.374105478381139</v>
      </c>
      <c r="N37" s="52">
        <v>14.838547116483252</v>
      </c>
      <c r="O37" s="28">
        <v>-5.9328883276204213E-4</v>
      </c>
      <c r="P37" s="52">
        <v>0.23451801070419145</v>
      </c>
      <c r="Q37" s="28">
        <v>5.4918515845811529</v>
      </c>
      <c r="R37" s="52">
        <v>0</v>
      </c>
      <c r="S37" s="29">
        <v>0</v>
      </c>
      <c r="T37" s="97">
        <v>3</v>
      </c>
    </row>
    <row r="38" spans="1:20" ht="21.75" hidden="1" thickTop="1" x14ac:dyDescent="0.35">
      <c r="A38" s="30" t="s">
        <v>33</v>
      </c>
      <c r="B38" s="45">
        <v>2473</v>
      </c>
      <c r="C38" s="49">
        <v>2688</v>
      </c>
      <c r="D38" s="31"/>
      <c r="E38" s="57"/>
      <c r="F38" s="31"/>
      <c r="G38" s="61"/>
      <c r="H38" s="31"/>
      <c r="I38" s="61"/>
      <c r="J38" s="31"/>
      <c r="K38" s="61"/>
      <c r="L38" s="53">
        <v>-22.624330988032956</v>
      </c>
      <c r="M38" s="32">
        <v>59.849419688495999</v>
      </c>
      <c r="N38" s="53">
        <v>19.243490288050992</v>
      </c>
      <c r="O38" s="32">
        <v>0</v>
      </c>
      <c r="P38" s="53">
        <v>0.98322208190510552</v>
      </c>
      <c r="Q38" s="32">
        <v>0</v>
      </c>
      <c r="R38" s="53">
        <v>0</v>
      </c>
      <c r="S38" s="33">
        <v>0</v>
      </c>
      <c r="T38" s="97">
        <v>3</v>
      </c>
    </row>
    <row r="39" spans="1:20" ht="22.5" hidden="1" thickTop="1" thickBot="1" x14ac:dyDescent="0.4">
      <c r="A39" s="34" t="s">
        <v>33</v>
      </c>
      <c r="B39" s="46">
        <v>2688</v>
      </c>
      <c r="C39" s="50">
        <v>6000</v>
      </c>
      <c r="D39" s="35"/>
      <c r="E39" s="58"/>
      <c r="F39" s="35"/>
      <c r="G39" s="62"/>
      <c r="H39" s="35"/>
      <c r="I39" s="62"/>
      <c r="J39" s="35"/>
      <c r="K39" s="62"/>
      <c r="L39" s="54">
        <v>-22.624330988032956</v>
      </c>
      <c r="M39" s="36">
        <v>67.178182692885912</v>
      </c>
      <c r="N39" s="54">
        <v>24.054398941608035</v>
      </c>
      <c r="O39" s="36">
        <v>0</v>
      </c>
      <c r="P39" s="54">
        <v>0.71285104335798899</v>
      </c>
      <c r="Q39" s="36">
        <v>0</v>
      </c>
      <c r="R39" s="54">
        <v>0</v>
      </c>
      <c r="S39" s="37">
        <v>0</v>
      </c>
      <c r="T39" s="97">
        <v>3</v>
      </c>
    </row>
    <row r="40" spans="1:20" ht="21.75" hidden="1" thickTop="1" x14ac:dyDescent="0.35">
      <c r="A40" s="1" t="s">
        <v>37</v>
      </c>
      <c r="B40" s="44">
        <v>298</v>
      </c>
      <c r="C40" s="48">
        <v>1128</v>
      </c>
      <c r="D40" s="2"/>
      <c r="E40" s="56"/>
      <c r="F40" s="2"/>
      <c r="G40" s="60"/>
      <c r="H40" s="2"/>
      <c r="I40" s="60"/>
      <c r="J40" s="2"/>
      <c r="K40" s="60"/>
      <c r="L40" s="52">
        <v>0</v>
      </c>
      <c r="M40" s="28">
        <v>13.497143544410365</v>
      </c>
      <c r="N40" s="52">
        <v>2.1994106681099281</v>
      </c>
      <c r="O40" s="28">
        <v>1.2783691141980878E-4</v>
      </c>
      <c r="P40" s="52">
        <v>-1.6816405075470563E-2</v>
      </c>
      <c r="Q40" s="28">
        <v>13.561729508689638</v>
      </c>
      <c r="R40" s="52">
        <v>0</v>
      </c>
      <c r="S40" s="29">
        <v>0</v>
      </c>
      <c r="T40" s="97">
        <v>3</v>
      </c>
    </row>
    <row r="41" spans="1:20" ht="22.5" hidden="1" thickTop="1" thickBot="1" x14ac:dyDescent="0.4">
      <c r="A41" s="34" t="s">
        <v>37</v>
      </c>
      <c r="B41" s="46">
        <v>1128</v>
      </c>
      <c r="C41" s="50">
        <v>1289</v>
      </c>
      <c r="D41" s="35"/>
      <c r="E41" s="58"/>
      <c r="F41" s="35"/>
      <c r="G41" s="62"/>
      <c r="H41" s="35"/>
      <c r="I41" s="62"/>
      <c r="J41" s="35"/>
      <c r="K41" s="62"/>
      <c r="L41" s="54">
        <v>0</v>
      </c>
      <c r="M41" s="36">
        <v>20.685789885140416</v>
      </c>
      <c r="N41" s="54">
        <v>5.4122316435143416</v>
      </c>
      <c r="O41" s="36">
        <v>0</v>
      </c>
      <c r="P41" s="54">
        <v>0.13680918876661252</v>
      </c>
      <c r="Q41" s="36">
        <v>0</v>
      </c>
      <c r="R41" s="54">
        <v>0</v>
      </c>
      <c r="S41" s="37">
        <v>0</v>
      </c>
      <c r="T41" s="97">
        <v>3</v>
      </c>
    </row>
    <row r="42" spans="1:20" ht="21.75" hidden="1" thickTop="1" x14ac:dyDescent="0.35">
      <c r="A42" s="1" t="s">
        <v>37</v>
      </c>
      <c r="B42" s="44">
        <v>1289</v>
      </c>
      <c r="C42" s="48">
        <v>1500</v>
      </c>
      <c r="D42" s="2"/>
      <c r="E42" s="56"/>
      <c r="F42" s="2"/>
      <c r="G42" s="60"/>
      <c r="H42" s="2"/>
      <c r="I42" s="60"/>
      <c r="J42" s="2"/>
      <c r="K42" s="60"/>
      <c r="L42" s="52">
        <v>0</v>
      </c>
      <c r="M42" s="28">
        <v>16.206987792410846</v>
      </c>
      <c r="N42" s="52">
        <v>1.3868783450598352</v>
      </c>
      <c r="O42" s="28">
        <v>1.7507968007697397E-2</v>
      </c>
      <c r="P42" s="52">
        <v>-0.61282097540441394</v>
      </c>
      <c r="Q42" s="28">
        <v>7.7097841120933293</v>
      </c>
      <c r="R42" s="52">
        <v>0</v>
      </c>
      <c r="S42" s="29">
        <v>0</v>
      </c>
      <c r="T42" s="97">
        <v>3</v>
      </c>
    </row>
    <row r="43" spans="1:20" ht="22.5" hidden="1" thickTop="1" thickBot="1" x14ac:dyDescent="0.4">
      <c r="A43" s="34" t="s">
        <v>37</v>
      </c>
      <c r="B43" s="46">
        <v>1500</v>
      </c>
      <c r="C43" s="50">
        <v>5500</v>
      </c>
      <c r="D43" s="35"/>
      <c r="E43" s="58"/>
      <c r="F43" s="35"/>
      <c r="G43" s="62"/>
      <c r="H43" s="35"/>
      <c r="I43" s="62"/>
      <c r="J43" s="35"/>
      <c r="K43" s="62"/>
      <c r="L43" s="54">
        <v>0</v>
      </c>
      <c r="M43" s="36">
        <v>21.212580431775812</v>
      </c>
      <c r="N43" s="54">
        <v>5.2558782849239281</v>
      </c>
      <c r="O43" s="36">
        <v>0</v>
      </c>
      <c r="P43" s="54">
        <v>2.7506163930482889E-2</v>
      </c>
      <c r="Q43" s="36">
        <v>0</v>
      </c>
      <c r="R43" s="54">
        <v>0</v>
      </c>
      <c r="S43" s="37">
        <v>0</v>
      </c>
      <c r="T43" s="97">
        <v>3</v>
      </c>
    </row>
    <row r="44" spans="1:20" ht="22.5" hidden="1" thickTop="1" thickBot="1" x14ac:dyDescent="0.4">
      <c r="A44" s="40" t="s">
        <v>34</v>
      </c>
      <c r="B44" s="47">
        <v>298</v>
      </c>
      <c r="C44" s="51">
        <v>2333</v>
      </c>
      <c r="D44" s="41"/>
      <c r="E44" s="59"/>
      <c r="F44" s="41"/>
      <c r="G44" s="63"/>
      <c r="H44" s="41"/>
      <c r="I44" s="63"/>
      <c r="J44" s="41"/>
      <c r="K44" s="63"/>
      <c r="L44" s="55">
        <v>-21.748752179926633</v>
      </c>
      <c r="M44" s="42">
        <v>50.140477479102763</v>
      </c>
      <c r="N44" s="55">
        <v>13.202850441998915</v>
      </c>
      <c r="O44" s="42">
        <v>-5.5973299657225328E-4</v>
      </c>
      <c r="P44" s="55">
        <v>0.2014781405977509</v>
      </c>
      <c r="Q44" s="42">
        <v>25.3974382103554</v>
      </c>
      <c r="R44" s="55">
        <v>-12.783691141980876</v>
      </c>
      <c r="S44" s="43">
        <v>0</v>
      </c>
      <c r="T44" s="97">
        <v>3</v>
      </c>
    </row>
    <row r="45" spans="1:20" ht="21.75" hidden="1" thickTop="1" x14ac:dyDescent="0.35">
      <c r="A45" s="1" t="s">
        <v>34</v>
      </c>
      <c r="B45" s="44">
        <v>2333</v>
      </c>
      <c r="C45" s="48">
        <v>2593</v>
      </c>
      <c r="D45" s="2"/>
      <c r="E45" s="56"/>
      <c r="F45" s="2"/>
      <c r="G45" s="60"/>
      <c r="H45" s="2"/>
      <c r="I45" s="60"/>
      <c r="J45" s="2"/>
      <c r="K45" s="60"/>
      <c r="L45" s="52">
        <v>-21.748752179926633</v>
      </c>
      <c r="M45" s="28">
        <v>62.664922725359311</v>
      </c>
      <c r="N45" s="52">
        <v>19.243490288050992</v>
      </c>
      <c r="O45" s="28">
        <v>0</v>
      </c>
      <c r="P45" s="52">
        <v>0.54827109266943286</v>
      </c>
      <c r="Q45" s="28">
        <v>0</v>
      </c>
      <c r="R45" s="52">
        <v>0</v>
      </c>
      <c r="S45" s="29">
        <v>0</v>
      </c>
      <c r="T45" s="97">
        <v>3</v>
      </c>
    </row>
    <row r="46" spans="1:20" ht="21.75" hidden="1" thickTop="1" x14ac:dyDescent="0.35">
      <c r="A46" s="30" t="s">
        <v>34</v>
      </c>
      <c r="B46" s="45">
        <v>2593</v>
      </c>
      <c r="C46" s="49">
        <v>6000</v>
      </c>
      <c r="D46" s="31"/>
      <c r="E46" s="57"/>
      <c r="F46" s="31"/>
      <c r="G46" s="61"/>
      <c r="H46" s="31"/>
      <c r="I46" s="61"/>
      <c r="J46" s="31"/>
      <c r="K46" s="61"/>
      <c r="L46" s="53">
        <v>-21.748752179926633</v>
      </c>
      <c r="M46" s="32">
        <v>70.145528895303386</v>
      </c>
      <c r="N46" s="53">
        <v>24.05436286006374</v>
      </c>
      <c r="O46" s="32">
        <v>0</v>
      </c>
      <c r="P46" s="53">
        <v>0.29233267183835465</v>
      </c>
      <c r="Q46" s="32">
        <v>0</v>
      </c>
      <c r="R46" s="53">
        <v>0</v>
      </c>
      <c r="S46" s="33">
        <v>0</v>
      </c>
      <c r="T46" s="97">
        <v>3</v>
      </c>
    </row>
    <row r="47" spans="1:20" ht="22.5" hidden="1" thickTop="1" thickBot="1" x14ac:dyDescent="0.4">
      <c r="A47" s="34" t="s">
        <v>23</v>
      </c>
      <c r="B47" s="46">
        <v>298</v>
      </c>
      <c r="C47" s="50">
        <v>900</v>
      </c>
      <c r="D47" s="35"/>
      <c r="E47" s="58"/>
      <c r="F47" s="35"/>
      <c r="G47" s="62"/>
      <c r="H47" s="35"/>
      <c r="I47" s="62"/>
      <c r="J47" s="35"/>
      <c r="K47" s="62"/>
      <c r="L47" s="54">
        <v>0</v>
      </c>
      <c r="M47" s="36">
        <v>17.588069036021405</v>
      </c>
      <c r="N47" s="54">
        <v>3.4284803656263154</v>
      </c>
      <c r="O47" s="36">
        <v>0</v>
      </c>
      <c r="P47" s="54">
        <v>1.0173792771663959E-2</v>
      </c>
      <c r="Q47" s="36">
        <v>4.1529857477900052</v>
      </c>
      <c r="R47" s="54">
        <v>20.807023873955139</v>
      </c>
      <c r="S47" s="37">
        <v>0</v>
      </c>
      <c r="T47" s="97">
        <v>3</v>
      </c>
    </row>
    <row r="48" spans="1:20" ht="21.75" hidden="1" thickTop="1" x14ac:dyDescent="0.35">
      <c r="A48" s="1" t="s">
        <v>23</v>
      </c>
      <c r="B48" s="44">
        <v>900</v>
      </c>
      <c r="C48" s="48">
        <v>1818</v>
      </c>
      <c r="D48" s="2"/>
      <c r="E48" s="56"/>
      <c r="F48" s="2"/>
      <c r="G48" s="60"/>
      <c r="H48" s="2"/>
      <c r="I48" s="60"/>
      <c r="J48" s="2"/>
      <c r="K48" s="60"/>
      <c r="L48" s="52">
        <v>0</v>
      </c>
      <c r="M48" s="28">
        <v>15.787239160502736</v>
      </c>
      <c r="N48" s="52">
        <v>2.8906380419748632</v>
      </c>
      <c r="O48" s="28">
        <v>0</v>
      </c>
      <c r="P48" s="52">
        <v>1.1401767995670214E-3</v>
      </c>
      <c r="Q48" s="28">
        <v>4.454507186240904</v>
      </c>
      <c r="R48" s="52">
        <v>0</v>
      </c>
      <c r="S48" s="29">
        <v>0</v>
      </c>
      <c r="T48" s="97">
        <v>3</v>
      </c>
    </row>
    <row r="49" spans="1:20" ht="21.75" hidden="1" thickTop="1" x14ac:dyDescent="0.35">
      <c r="A49" s="30" t="s">
        <v>23</v>
      </c>
      <c r="B49" s="45">
        <v>1818</v>
      </c>
      <c r="C49" s="49">
        <v>4500</v>
      </c>
      <c r="D49" s="31"/>
      <c r="E49" s="57"/>
      <c r="F49" s="31"/>
      <c r="G49" s="61"/>
      <c r="H49" s="31"/>
      <c r="I49" s="61"/>
      <c r="J49" s="31"/>
      <c r="K49" s="61"/>
      <c r="L49" s="53">
        <v>0</v>
      </c>
      <c r="M49" s="32">
        <v>19.991701244813278</v>
      </c>
      <c r="N49" s="53">
        <v>4.9792531120331942</v>
      </c>
      <c r="O49" s="32">
        <v>0</v>
      </c>
      <c r="P49" s="53">
        <v>3.1342834806663056E-2</v>
      </c>
      <c r="Q49" s="32">
        <v>0</v>
      </c>
      <c r="R49" s="53">
        <v>0</v>
      </c>
      <c r="S49" s="33">
        <v>0</v>
      </c>
      <c r="T49" s="97">
        <v>3</v>
      </c>
    </row>
    <row r="50" spans="1:20" ht="22.5" hidden="1" thickTop="1" thickBot="1" x14ac:dyDescent="0.4">
      <c r="A50" s="34" t="s">
        <v>26</v>
      </c>
      <c r="B50" s="46">
        <v>298</v>
      </c>
      <c r="C50" s="50">
        <v>2623</v>
      </c>
      <c r="D50" s="35"/>
      <c r="E50" s="58"/>
      <c r="F50" s="35"/>
      <c r="G50" s="62"/>
      <c r="H50" s="35"/>
      <c r="I50" s="62"/>
      <c r="J50" s="35"/>
      <c r="K50" s="62"/>
      <c r="L50" s="54">
        <v>-22.715737566901197</v>
      </c>
      <c r="M50" s="36">
        <v>53.674905285946231</v>
      </c>
      <c r="N50" s="54">
        <v>15.056227073185399</v>
      </c>
      <c r="O50" s="36">
        <v>-5.8673401888267472E-4</v>
      </c>
      <c r="P50" s="54">
        <v>0.2414745324433219</v>
      </c>
      <c r="Q50" s="36">
        <v>5.0220698779241078</v>
      </c>
      <c r="R50" s="54">
        <v>0</v>
      </c>
      <c r="S50" s="37">
        <v>0</v>
      </c>
      <c r="T50" s="97">
        <v>3</v>
      </c>
    </row>
    <row r="51" spans="1:20" ht="21.75" hidden="1" thickTop="1" x14ac:dyDescent="0.35">
      <c r="A51" s="1" t="s">
        <v>26</v>
      </c>
      <c r="B51" s="44">
        <v>2623</v>
      </c>
      <c r="C51" s="48">
        <v>2683</v>
      </c>
      <c r="D51" s="2"/>
      <c r="E51" s="56"/>
      <c r="F51" s="2"/>
      <c r="G51" s="60"/>
      <c r="H51" s="2"/>
      <c r="I51" s="60"/>
      <c r="J51" s="2"/>
      <c r="K51" s="60"/>
      <c r="L51" s="52">
        <v>-22.715737566901197</v>
      </c>
      <c r="M51" s="28">
        <v>57.73443983402489</v>
      </c>
      <c r="N51" s="52">
        <v>19.243526369595283</v>
      </c>
      <c r="O51" s="28">
        <v>0</v>
      </c>
      <c r="P51" s="52">
        <v>0.98981297732876283</v>
      </c>
      <c r="Q51" s="28">
        <v>0</v>
      </c>
      <c r="R51" s="52">
        <v>0</v>
      </c>
      <c r="S51" s="29">
        <v>0</v>
      </c>
      <c r="T51" s="97">
        <v>3</v>
      </c>
    </row>
    <row r="52" spans="1:20" ht="21.75" hidden="1" thickTop="1" x14ac:dyDescent="0.35">
      <c r="A52" s="30" t="s">
        <v>26</v>
      </c>
      <c r="B52" s="45">
        <v>2683</v>
      </c>
      <c r="C52" s="49">
        <v>6000</v>
      </c>
      <c r="D52" s="31"/>
      <c r="E52" s="57"/>
      <c r="F52" s="31"/>
      <c r="G52" s="61"/>
      <c r="H52" s="31"/>
      <c r="I52" s="61"/>
      <c r="J52" s="31"/>
      <c r="K52" s="61"/>
      <c r="L52" s="53">
        <v>-22.715737566901197</v>
      </c>
      <c r="M52" s="32">
        <v>65.08052197967406</v>
      </c>
      <c r="N52" s="53">
        <v>24.054398941608035</v>
      </c>
      <c r="O52" s="32">
        <v>0</v>
      </c>
      <c r="P52" s="53">
        <v>0.7170365024956401</v>
      </c>
      <c r="Q52" s="32">
        <v>0</v>
      </c>
      <c r="R52" s="53">
        <v>0</v>
      </c>
      <c r="S52" s="33">
        <v>0</v>
      </c>
      <c r="T52" s="97">
        <v>3</v>
      </c>
    </row>
    <row r="53" spans="1:20" ht="22.5" thickTop="1" thickBot="1" x14ac:dyDescent="0.4">
      <c r="A53" s="34" t="s">
        <v>15</v>
      </c>
      <c r="B53" s="46">
        <v>298</v>
      </c>
      <c r="C53" s="50">
        <v>553</v>
      </c>
      <c r="D53" s="35"/>
      <c r="E53" s="58"/>
      <c r="F53" s="35"/>
      <c r="G53" s="62"/>
      <c r="H53" s="35"/>
      <c r="I53" s="62"/>
      <c r="J53" s="35"/>
      <c r="K53" s="62"/>
      <c r="L53" s="54">
        <v>0</v>
      </c>
      <c r="M53" s="36">
        <v>15.302904564315352</v>
      </c>
      <c r="N53" s="54">
        <v>3.1309278970473269</v>
      </c>
      <c r="O53" s="36">
        <v>3.1078236815202352E-5</v>
      </c>
      <c r="P53" s="54">
        <v>8.5813939503277398E-3</v>
      </c>
      <c r="Q53" s="36">
        <v>-7.0912261711467917</v>
      </c>
      <c r="R53" s="54">
        <v>81.712670635636528</v>
      </c>
      <c r="S53" s="37">
        <v>0</v>
      </c>
      <c r="T53" s="97">
        <v>3</v>
      </c>
    </row>
    <row r="54" spans="1:20" x14ac:dyDescent="0.35">
      <c r="A54" s="1" t="s">
        <v>15</v>
      </c>
      <c r="B54" s="44">
        <v>553</v>
      </c>
      <c r="C54" s="48">
        <v>1033</v>
      </c>
      <c r="D54" s="2"/>
      <c r="E54" s="56"/>
      <c r="F54" s="2"/>
      <c r="G54" s="60"/>
      <c r="H54" s="2"/>
      <c r="I54" s="60"/>
      <c r="J54" s="2"/>
      <c r="K54" s="60"/>
      <c r="L54" s="52">
        <v>0</v>
      </c>
      <c r="M54" s="28">
        <v>28.54410968789464</v>
      </c>
      <c r="N54" s="52">
        <v>8.6997414155992541</v>
      </c>
      <c r="O54" s="28">
        <v>-3.2629743219676466E-3</v>
      </c>
      <c r="P54" s="52">
        <v>0.3292224427205484</v>
      </c>
      <c r="Q54" s="28">
        <v>-39.133321306151906</v>
      </c>
      <c r="R54" s="52">
        <v>60.271814300318717</v>
      </c>
      <c r="S54" s="29">
        <v>0</v>
      </c>
      <c r="T54" s="97">
        <v>3</v>
      </c>
    </row>
    <row r="55" spans="1:20" x14ac:dyDescent="0.35">
      <c r="A55" s="30" t="s">
        <v>15</v>
      </c>
      <c r="B55" s="45">
        <v>1033</v>
      </c>
      <c r="C55" s="49">
        <v>1097</v>
      </c>
      <c r="D55" s="31"/>
      <c r="E55" s="57"/>
      <c r="F55" s="31"/>
      <c r="G55" s="61"/>
      <c r="H55" s="31"/>
      <c r="I55" s="61"/>
      <c r="J55" s="31"/>
      <c r="K55" s="61"/>
      <c r="L55" s="53">
        <v>0</v>
      </c>
      <c r="M55" s="32">
        <v>17.357387696193395</v>
      </c>
      <c r="N55" s="53">
        <v>4.3418365506043655</v>
      </c>
      <c r="O55" s="32">
        <v>0</v>
      </c>
      <c r="P55" s="53">
        <v>7.9776294425401406E-2</v>
      </c>
      <c r="Q55" s="32">
        <v>0</v>
      </c>
      <c r="R55" s="53">
        <v>0</v>
      </c>
      <c r="S55" s="33">
        <v>0</v>
      </c>
      <c r="T55" s="97">
        <v>3</v>
      </c>
    </row>
    <row r="56" spans="1:20" ht="21.75" thickBot="1" x14ac:dyDescent="0.4">
      <c r="A56" s="34" t="s">
        <v>15</v>
      </c>
      <c r="B56" s="46">
        <v>1097</v>
      </c>
      <c r="C56" s="50">
        <v>4000</v>
      </c>
      <c r="D56" s="35"/>
      <c r="E56" s="58"/>
      <c r="F56" s="35"/>
      <c r="G56" s="62"/>
      <c r="H56" s="35"/>
      <c r="I56" s="62"/>
      <c r="J56" s="35"/>
      <c r="K56" s="62"/>
      <c r="L56" s="54">
        <v>0</v>
      </c>
      <c r="M56" s="36">
        <v>18.29911600216489</v>
      </c>
      <c r="N56" s="54">
        <v>4.4260268206145881</v>
      </c>
      <c r="O56" s="36">
        <v>0</v>
      </c>
      <c r="P56" s="54">
        <v>3.1150399903782547E-3</v>
      </c>
      <c r="Q56" s="36">
        <v>0</v>
      </c>
      <c r="R56" s="54">
        <v>0</v>
      </c>
      <c r="S56" s="37">
        <v>0</v>
      </c>
      <c r="T56" s="97">
        <v>3</v>
      </c>
    </row>
    <row r="57" spans="1:20" hidden="1" x14ac:dyDescent="0.35">
      <c r="A57" s="1" t="s">
        <v>18</v>
      </c>
      <c r="B57" s="44">
        <v>298</v>
      </c>
      <c r="C57" s="48">
        <v>2663</v>
      </c>
      <c r="D57" s="2"/>
      <c r="E57" s="56"/>
      <c r="F57" s="2"/>
      <c r="G57" s="60"/>
      <c r="H57" s="2"/>
      <c r="I57" s="60"/>
      <c r="J57" s="2"/>
      <c r="K57" s="60"/>
      <c r="L57" s="52">
        <v>-21.824523422935833</v>
      </c>
      <c r="M57" s="28">
        <v>54.255457333573879</v>
      </c>
      <c r="N57" s="52">
        <v>15.657598171868422</v>
      </c>
      <c r="O57" s="28">
        <v>-8.5355703890793179E-4</v>
      </c>
      <c r="P57" s="52">
        <v>0.2900198448493595</v>
      </c>
      <c r="Q57" s="28">
        <v>2.2816765890913464</v>
      </c>
      <c r="R57" s="52">
        <v>0</v>
      </c>
      <c r="S57" s="29">
        <v>0</v>
      </c>
      <c r="T57" s="97">
        <v>3</v>
      </c>
    </row>
    <row r="58" spans="1:20" hidden="1" x14ac:dyDescent="0.35">
      <c r="A58" s="30" t="s">
        <v>18</v>
      </c>
      <c r="B58" s="45">
        <v>2663</v>
      </c>
      <c r="C58" s="49">
        <v>2708</v>
      </c>
      <c r="D58" s="31"/>
      <c r="E58" s="57"/>
      <c r="F58" s="31"/>
      <c r="G58" s="61"/>
      <c r="H58" s="31"/>
      <c r="I58" s="61"/>
      <c r="J58" s="31"/>
      <c r="K58" s="61"/>
      <c r="L58" s="53">
        <v>-21.824523422935833</v>
      </c>
      <c r="M58" s="32">
        <v>56.641409585663595</v>
      </c>
      <c r="N58" s="53">
        <v>19.243526369595283</v>
      </c>
      <c r="O58" s="32">
        <v>0</v>
      </c>
      <c r="P58" s="53">
        <v>1.0767454447050333</v>
      </c>
      <c r="Q58" s="32">
        <v>0</v>
      </c>
      <c r="R58" s="53">
        <v>0</v>
      </c>
      <c r="S58" s="33">
        <v>0</v>
      </c>
      <c r="T58" s="97">
        <v>3</v>
      </c>
    </row>
    <row r="59" spans="1:20" ht="21.75" hidden="1" thickBot="1" x14ac:dyDescent="0.4">
      <c r="A59" s="34" t="s">
        <v>18</v>
      </c>
      <c r="B59" s="46">
        <v>2708</v>
      </c>
      <c r="C59" s="50">
        <v>6000</v>
      </c>
      <c r="D59" s="35"/>
      <c r="E59" s="58"/>
      <c r="F59" s="35"/>
      <c r="G59" s="62"/>
      <c r="H59" s="35"/>
      <c r="I59" s="62"/>
      <c r="J59" s="35"/>
      <c r="K59" s="62"/>
      <c r="L59" s="54">
        <v>-21.824523422935833</v>
      </c>
      <c r="M59" s="36">
        <v>63.8891093872151</v>
      </c>
      <c r="N59" s="54">
        <v>24.054398941608035</v>
      </c>
      <c r="O59" s="36">
        <v>0</v>
      </c>
      <c r="P59" s="54">
        <v>0.81599615130194236</v>
      </c>
      <c r="Q59" s="36">
        <v>0</v>
      </c>
      <c r="R59" s="54">
        <v>0</v>
      </c>
      <c r="S59" s="37">
        <v>0</v>
      </c>
      <c r="T59" s="97">
        <v>3</v>
      </c>
    </row>
    <row r="60" spans="1:20" hidden="1" x14ac:dyDescent="0.35">
      <c r="A60" s="1" t="s">
        <v>28</v>
      </c>
      <c r="B60" s="44">
        <v>298</v>
      </c>
      <c r="C60" s="48">
        <v>500</v>
      </c>
      <c r="D60" s="2"/>
      <c r="E60" s="56"/>
      <c r="F60" s="2"/>
      <c r="G60" s="60"/>
      <c r="H60" s="2"/>
      <c r="I60" s="60"/>
      <c r="J60" s="2"/>
      <c r="K60" s="60"/>
      <c r="L60" s="52">
        <v>-20.153947922304404</v>
      </c>
      <c r="M60" s="28">
        <v>32.273137290276019</v>
      </c>
      <c r="N60" s="52">
        <v>11.673113235913164</v>
      </c>
      <c r="O60" s="28">
        <v>-1.5854110289253711E-3</v>
      </c>
      <c r="P60" s="52">
        <v>0.35477659510493714</v>
      </c>
      <c r="Q60" s="28">
        <v>23.465030969992181</v>
      </c>
      <c r="R60" s="52">
        <v>0</v>
      </c>
      <c r="S60" s="29">
        <v>0</v>
      </c>
      <c r="T60" s="97">
        <v>3</v>
      </c>
    </row>
    <row r="61" spans="1:20" hidden="1" x14ac:dyDescent="0.35">
      <c r="A61" s="30" t="s">
        <v>28</v>
      </c>
      <c r="B61" s="45">
        <v>500</v>
      </c>
      <c r="C61" s="49">
        <v>1200</v>
      </c>
      <c r="D61" s="31"/>
      <c r="E61" s="57"/>
      <c r="F61" s="31"/>
      <c r="G61" s="61"/>
      <c r="H61" s="31"/>
      <c r="I61" s="61"/>
      <c r="J61" s="31"/>
      <c r="K61" s="61"/>
      <c r="L61" s="53">
        <v>-20.153947922304404</v>
      </c>
      <c r="M61" s="32">
        <v>39.781947200673521</v>
      </c>
      <c r="N61" s="53">
        <v>14.754837933730229</v>
      </c>
      <c r="O61" s="32">
        <v>-3.0211077034097054E-3</v>
      </c>
      <c r="P61" s="53">
        <v>0.51796860905646758</v>
      </c>
      <c r="Q61" s="32">
        <v>4.1366287810451619</v>
      </c>
      <c r="R61" s="53">
        <v>0</v>
      </c>
      <c r="S61" s="33">
        <v>0</v>
      </c>
      <c r="T61" s="97">
        <v>3</v>
      </c>
    </row>
    <row r="62" spans="1:20" ht="21.75" hidden="1" thickBot="1" x14ac:dyDescent="0.4">
      <c r="A62" s="34" t="s">
        <v>28</v>
      </c>
      <c r="B62" s="46">
        <v>1200</v>
      </c>
      <c r="C62" s="50">
        <v>2327</v>
      </c>
      <c r="D62" s="35"/>
      <c r="E62" s="58"/>
      <c r="F62" s="35"/>
      <c r="G62" s="62"/>
      <c r="H62" s="35"/>
      <c r="I62" s="62"/>
      <c r="J62" s="35"/>
      <c r="K62" s="62"/>
      <c r="L62" s="54">
        <v>-20.153947922304404</v>
      </c>
      <c r="M62" s="36">
        <v>36.55758013109628</v>
      </c>
      <c r="N62" s="54">
        <v>12.937784593180586</v>
      </c>
      <c r="O62" s="36">
        <v>0</v>
      </c>
      <c r="P62" s="54">
        <v>0.33348968669192375</v>
      </c>
      <c r="Q62" s="36">
        <v>9.9641589993385029</v>
      </c>
      <c r="R62" s="54">
        <v>0</v>
      </c>
      <c r="S62" s="37">
        <v>0</v>
      </c>
      <c r="T62" s="97">
        <v>3</v>
      </c>
    </row>
    <row r="63" spans="1:20" hidden="1" x14ac:dyDescent="0.35">
      <c r="A63" s="1" t="s">
        <v>28</v>
      </c>
      <c r="B63" s="44">
        <v>2327</v>
      </c>
      <c r="C63" s="48">
        <v>5400</v>
      </c>
      <c r="D63" s="2"/>
      <c r="E63" s="56"/>
      <c r="F63" s="2"/>
      <c r="G63" s="60"/>
      <c r="H63" s="2"/>
      <c r="I63" s="60"/>
      <c r="J63" s="2"/>
      <c r="K63" s="60"/>
      <c r="L63" s="52">
        <v>-20.153947922304404</v>
      </c>
      <c r="M63" s="28">
        <v>50.000240543628593</v>
      </c>
      <c r="N63" s="52">
        <v>19.592278549521918</v>
      </c>
      <c r="O63" s="28">
        <v>0</v>
      </c>
      <c r="P63" s="52">
        <v>2.6339527331769798E-3</v>
      </c>
      <c r="Q63" s="28">
        <v>0</v>
      </c>
      <c r="R63" s="52">
        <v>0</v>
      </c>
      <c r="S63" s="29">
        <v>0</v>
      </c>
      <c r="T63" s="97">
        <v>3</v>
      </c>
    </row>
    <row r="64" spans="1:20" ht="21.75" hidden="1" thickBot="1" x14ac:dyDescent="0.4">
      <c r="A64" s="34" t="s">
        <v>29</v>
      </c>
      <c r="B64" s="46">
        <v>298</v>
      </c>
      <c r="C64" s="50">
        <v>500</v>
      </c>
      <c r="D64" s="35"/>
      <c r="E64" s="58"/>
      <c r="F64" s="35"/>
      <c r="G64" s="62"/>
      <c r="H64" s="35"/>
      <c r="I64" s="62"/>
      <c r="J64" s="35"/>
      <c r="K64" s="62"/>
      <c r="L64" s="54">
        <f>L56*2+3*L60</f>
        <v>-60.461843766913212</v>
      </c>
      <c r="M64" s="36">
        <f>M56*0.4+0.6*M60</f>
        <v>26.683528775031565</v>
      </c>
      <c r="N64" s="54">
        <f>N56*0.4+0.6*N60</f>
        <v>8.7742786697937341</v>
      </c>
      <c r="O64" s="36">
        <f>O56*0.4+0.6*O60</f>
        <v>-9.512466173552226E-4</v>
      </c>
      <c r="P64" s="54">
        <f>P56*0.4+0.6*P60</f>
        <v>0.21411197305911356</v>
      </c>
      <c r="Q64" s="36">
        <f>Q56*0.4+0.6*Q60</f>
        <v>14.079018581995308</v>
      </c>
      <c r="R64" s="54">
        <f>R56*0.4+0.6*R60</f>
        <v>0</v>
      </c>
      <c r="S64" s="37">
        <f>S56*0.4+0.6*S60</f>
        <v>0</v>
      </c>
      <c r="T64" s="97">
        <v>3</v>
      </c>
    </row>
    <row r="65" spans="1:20" hidden="1" x14ac:dyDescent="0.35">
      <c r="A65" s="1" t="s">
        <v>29</v>
      </c>
      <c r="B65" s="44">
        <v>500</v>
      </c>
      <c r="C65" s="48">
        <v>848</v>
      </c>
      <c r="D65" s="2"/>
      <c r="E65" s="56"/>
      <c r="F65" s="2"/>
      <c r="G65" s="60"/>
      <c r="H65" s="2"/>
      <c r="I65" s="60"/>
      <c r="J65" s="2"/>
      <c r="K65" s="60"/>
      <c r="L65" s="52">
        <v>-82.368152023573259</v>
      </c>
      <c r="M65" s="28">
        <f>M56*0.4+0.6*M61</f>
        <v>31.188814721270067</v>
      </c>
      <c r="N65" s="52">
        <f>N56*0.4+0.6*N61</f>
        <v>10.623313488483973</v>
      </c>
      <c r="O65" s="28">
        <f>O56*0.4+0.6*O61</f>
        <v>-1.8126646220458231E-3</v>
      </c>
      <c r="P65" s="52">
        <f>P56*0.4+0.6*P61</f>
        <v>0.31202718143003183</v>
      </c>
      <c r="Q65" s="28">
        <f>Q56*0.4+0.6*Q61</f>
        <v>2.4819772686270971</v>
      </c>
      <c r="R65" s="52">
        <f>R56*0.4+0.6*R61</f>
        <v>0</v>
      </c>
      <c r="S65" s="29">
        <f>S56*0.4+0.6*S61</f>
        <v>0</v>
      </c>
      <c r="T65" s="97">
        <v>3</v>
      </c>
    </row>
    <row r="66" spans="1:20" hidden="1" x14ac:dyDescent="0.35">
      <c r="A66" s="30" t="s">
        <v>29</v>
      </c>
      <c r="B66" s="45">
        <v>848</v>
      </c>
      <c r="C66" s="49">
        <v>1200</v>
      </c>
      <c r="D66" s="31"/>
      <c r="E66" s="57"/>
      <c r="F66" s="31"/>
      <c r="G66" s="61"/>
      <c r="H66" s="31"/>
      <c r="I66" s="61"/>
      <c r="J66" s="31"/>
      <c r="K66" s="61"/>
      <c r="L66" s="53">
        <v>-82.368152023573259</v>
      </c>
      <c r="M66" s="32">
        <f>M57*0.4+0.6*M61</f>
        <v>45.571351253833669</v>
      </c>
      <c r="N66" s="53">
        <f>N57*0.4+0.6*N61</f>
        <v>15.115942028985508</v>
      </c>
      <c r="O66" s="32">
        <f>O57*0.4+0.6*O61</f>
        <v>-2.1540874376089958E-3</v>
      </c>
      <c r="P66" s="53">
        <f>P57*0.4+0.6*P61</f>
        <v>0.4267891033736243</v>
      </c>
      <c r="Q66" s="32">
        <f>Q57*0.4+0.6*Q61</f>
        <v>3.3946479042636355</v>
      </c>
      <c r="R66" s="53">
        <f>R57*0.4+0.6*R61</f>
        <v>0</v>
      </c>
      <c r="S66" s="33">
        <f>S57*0.4+0.6*S61</f>
        <v>0</v>
      </c>
      <c r="T66" s="97">
        <v>3</v>
      </c>
    </row>
    <row r="67" spans="1:20" ht="21.75" hidden="1" thickBot="1" x14ac:dyDescent="0.4">
      <c r="A67" s="34" t="s">
        <v>29</v>
      </c>
      <c r="B67" s="46">
        <v>1200</v>
      </c>
      <c r="C67" s="50">
        <v>1996</v>
      </c>
      <c r="D67" s="35"/>
      <c r="E67" s="58"/>
      <c r="F67" s="35"/>
      <c r="G67" s="62"/>
      <c r="H67" s="35"/>
      <c r="I67" s="62"/>
      <c r="J67" s="35"/>
      <c r="K67" s="62"/>
      <c r="L67" s="54">
        <v>-82.368152023573259</v>
      </c>
      <c r="M67" s="36">
        <f>M58*0.4+0.6*M62</f>
        <v>44.591111912923211</v>
      </c>
      <c r="N67" s="54">
        <f>N58*0.4+0.6*N62</f>
        <v>15.460081303746465</v>
      </c>
      <c r="O67" s="36">
        <f>O58*0.4+0.6*O62</f>
        <v>0</v>
      </c>
      <c r="P67" s="54">
        <f>P58*0.4+0.6*P62</f>
        <v>0.63079198989716767</v>
      </c>
      <c r="Q67" s="36">
        <f>Q58*0.4+0.6*Q62</f>
        <v>5.9784953996031014</v>
      </c>
      <c r="R67" s="54">
        <f>R58*0.4+0.6*R62</f>
        <v>0</v>
      </c>
      <c r="S67" s="37">
        <f>S58*0.4+0.6*S62</f>
        <v>0</v>
      </c>
      <c r="T67" s="97">
        <v>3</v>
      </c>
    </row>
    <row r="68" spans="1:20" hidden="1" x14ac:dyDescent="0.35">
      <c r="A68" s="1" t="s">
        <v>29</v>
      </c>
      <c r="B68" s="44">
        <v>1996</v>
      </c>
      <c r="C68" s="48">
        <v>2327</v>
      </c>
      <c r="D68" s="2"/>
      <c r="E68" s="56"/>
      <c r="F68" s="2"/>
      <c r="G68" s="60"/>
      <c r="H68" s="2"/>
      <c r="I68" s="60"/>
      <c r="J68" s="2"/>
      <c r="K68" s="60"/>
      <c r="L68" s="52">
        <v>-82.368152023573259</v>
      </c>
      <c r="M68" s="28">
        <f>M59*0.4+0.6*M62</f>
        <v>47.490191833543804</v>
      </c>
      <c r="N68" s="52">
        <f>N59*0.4+0.6*N62</f>
        <v>17.384430332551567</v>
      </c>
      <c r="O68" s="28">
        <f>O59*0.4+0.6*O62</f>
        <v>0</v>
      </c>
      <c r="P68" s="52">
        <f>P59*0.4+0.6*P62</f>
        <v>0.52649227253593123</v>
      </c>
      <c r="Q68" s="28">
        <f>Q59*0.4+0.6*Q62</f>
        <v>5.9784953996031014</v>
      </c>
      <c r="R68" s="52">
        <f>R59*0.4+0.6*R62</f>
        <v>0</v>
      </c>
      <c r="S68" s="29">
        <f>S59*0.4+0.6*S62</f>
        <v>0</v>
      </c>
      <c r="T68" s="97">
        <v>3</v>
      </c>
    </row>
    <row r="69" spans="1:20" hidden="1" x14ac:dyDescent="0.35">
      <c r="A69" s="30" t="s">
        <v>29</v>
      </c>
      <c r="B69" s="45">
        <v>2327</v>
      </c>
      <c r="C69" s="49">
        <v>4700</v>
      </c>
      <c r="D69" s="31"/>
      <c r="E69" s="57"/>
      <c r="F69" s="31"/>
      <c r="G69" s="61"/>
      <c r="H69" s="31"/>
      <c r="I69" s="61"/>
      <c r="J69" s="31"/>
      <c r="K69" s="61"/>
      <c r="L69" s="53">
        <v>-82.368152023573259</v>
      </c>
      <c r="M69" s="32">
        <f>M59*0.4+0.6*M63</f>
        <v>55.555788081063199</v>
      </c>
      <c r="N69" s="53">
        <f>N59*0.4+0.6*N63</f>
        <v>21.377126706356364</v>
      </c>
      <c r="O69" s="32">
        <f>O59*0.4+0.6*O63</f>
        <v>0</v>
      </c>
      <c r="P69" s="53">
        <f>P59*0.4+0.6*P63</f>
        <v>0.32797883216068319</v>
      </c>
      <c r="Q69" s="32">
        <f>Q59*0.4+0.6*Q63</f>
        <v>0</v>
      </c>
      <c r="R69" s="53">
        <f>R59*0.4+0.6*R63</f>
        <v>0</v>
      </c>
      <c r="S69" s="33">
        <f>S59*0.4+0.6*S63</f>
        <v>0</v>
      </c>
      <c r="T69" s="97">
        <v>3</v>
      </c>
    </row>
    <row r="70" spans="1:20" ht="21.75" hidden="1" thickBot="1" x14ac:dyDescent="0.4">
      <c r="A70" s="34" t="s">
        <v>20</v>
      </c>
      <c r="B70" s="46">
        <v>298</v>
      </c>
      <c r="C70" s="50">
        <v>2200</v>
      </c>
      <c r="D70" s="35"/>
      <c r="E70" s="58"/>
      <c r="F70" s="35"/>
      <c r="G70" s="62"/>
      <c r="H70" s="35"/>
      <c r="I70" s="62"/>
      <c r="J70" s="35"/>
      <c r="K70" s="62"/>
      <c r="L70" s="54">
        <v>0</v>
      </c>
      <c r="M70" s="36">
        <v>30.448012508268686</v>
      </c>
      <c r="N70" s="54">
        <v>2.7896085152444519</v>
      </c>
      <c r="O70" s="36">
        <v>-5.8295748391364481E-5</v>
      </c>
      <c r="P70" s="54">
        <v>9.9320464249203193E-3</v>
      </c>
      <c r="Q70" s="36">
        <v>-3.3121654940164773</v>
      </c>
      <c r="R70" s="54">
        <v>5.5216789945276314</v>
      </c>
      <c r="S70" s="37">
        <v>7.2992964098863427</v>
      </c>
      <c r="T70" s="97">
        <v>3</v>
      </c>
    </row>
    <row r="71" spans="1:20" hidden="1" x14ac:dyDescent="0.35">
      <c r="A71" s="1" t="s">
        <v>20</v>
      </c>
      <c r="B71" s="44">
        <v>2200</v>
      </c>
      <c r="C71" s="48">
        <v>6000</v>
      </c>
      <c r="D71" s="2"/>
      <c r="E71" s="56"/>
      <c r="F71" s="2"/>
      <c r="G71" s="60"/>
      <c r="H71" s="2"/>
      <c r="I71" s="60"/>
      <c r="J71" s="2"/>
      <c r="K71" s="60"/>
      <c r="L71" s="52">
        <v>0</v>
      </c>
      <c r="M71" s="28">
        <v>14.18197125503638</v>
      </c>
      <c r="N71" s="52">
        <v>-7.0026219255517468</v>
      </c>
      <c r="O71" s="28">
        <v>2.8337242167298094E-2</v>
      </c>
      <c r="P71" s="52">
        <v>-1.2169944073606349</v>
      </c>
      <c r="Q71" s="28">
        <v>30.431655541523842</v>
      </c>
      <c r="R71" s="52">
        <v>-14.038486980576101</v>
      </c>
      <c r="S71" s="29">
        <v>2.9223645438691439</v>
      </c>
      <c r="T71" s="97">
        <v>3</v>
      </c>
    </row>
    <row r="72" spans="1:20" ht="21.75" hidden="1" thickBot="1" x14ac:dyDescent="0.4">
      <c r="A72" s="34" t="s">
        <v>21</v>
      </c>
      <c r="B72" s="46">
        <v>298</v>
      </c>
      <c r="C72" s="50">
        <v>6000</v>
      </c>
      <c r="D72" s="35"/>
      <c r="E72" s="58"/>
      <c r="F72" s="35"/>
      <c r="G72" s="62"/>
      <c r="H72" s="35"/>
      <c r="I72" s="62"/>
      <c r="J72" s="35"/>
      <c r="K72" s="62"/>
      <c r="L72" s="54">
        <v>-0.58027542245474772</v>
      </c>
      <c r="M72" s="36">
        <v>39.415478982500453</v>
      </c>
      <c r="N72" s="54">
        <v>5.6957243370016233</v>
      </c>
      <c r="O72" s="36">
        <v>-2.326898791268266E-4</v>
      </c>
      <c r="P72" s="54">
        <v>5.2431294726080935E-2</v>
      </c>
      <c r="Q72" s="36">
        <v>-5.7095435684647295</v>
      </c>
      <c r="R72" s="54">
        <v>7.3897408142401826</v>
      </c>
      <c r="S72" s="37">
        <v>-2.7057550063142699</v>
      </c>
      <c r="T72" s="97">
        <v>3</v>
      </c>
    </row>
    <row r="73" spans="1:20" hidden="1" x14ac:dyDescent="0.35">
      <c r="A73" s="1" t="s">
        <v>31</v>
      </c>
      <c r="B73" s="44">
        <v>298</v>
      </c>
      <c r="C73" s="48">
        <v>1400</v>
      </c>
      <c r="D73" s="2"/>
      <c r="E73" s="56"/>
      <c r="F73" s="2"/>
      <c r="G73" s="60"/>
      <c r="H73" s="2"/>
      <c r="I73" s="60"/>
      <c r="J73" s="2"/>
      <c r="K73" s="60"/>
      <c r="L73" s="52">
        <v>3.6104395934812672</v>
      </c>
      <c r="M73" s="28">
        <v>30.372722352516686</v>
      </c>
      <c r="N73" s="52">
        <v>2.6945817547657702</v>
      </c>
      <c r="O73" s="28">
        <v>-3.5672620121474529E-5</v>
      </c>
      <c r="P73" s="52">
        <v>6.3046485056227073E-3</v>
      </c>
      <c r="Q73" s="28">
        <v>-2.4813278008298751</v>
      </c>
      <c r="R73" s="52">
        <v>5.5854230561068006</v>
      </c>
      <c r="S73" s="29">
        <v>0</v>
      </c>
      <c r="T73" s="97">
        <v>3</v>
      </c>
    </row>
    <row r="74" spans="1:20" ht="21.75" hidden="1" thickBot="1" x14ac:dyDescent="0.4">
      <c r="A74" s="34" t="s">
        <v>31</v>
      </c>
      <c r="B74" s="46">
        <v>1400</v>
      </c>
      <c r="C74" s="50">
        <v>2400</v>
      </c>
      <c r="D74" s="35"/>
      <c r="E74" s="58"/>
      <c r="F74" s="35"/>
      <c r="G74" s="62"/>
      <c r="H74" s="35"/>
      <c r="I74" s="62"/>
      <c r="J74" s="35"/>
      <c r="K74" s="62"/>
      <c r="L74" s="54">
        <v>3.6104395934812672</v>
      </c>
      <c r="M74" s="36">
        <v>292.06073726622162</v>
      </c>
      <c r="N74" s="54">
        <v>132.31655541523841</v>
      </c>
      <c r="O74" s="36">
        <v>-0.21490167779180946</v>
      </c>
      <c r="P74" s="54">
        <v>11.909074508388958</v>
      </c>
      <c r="Q74" s="36">
        <v>-695.09290997654693</v>
      </c>
      <c r="R74" s="54">
        <v>912.20157556076731</v>
      </c>
      <c r="S74" s="37">
        <v>-618.67821276083941</v>
      </c>
      <c r="T74" s="97">
        <v>3</v>
      </c>
    </row>
    <row r="75" spans="1:20" hidden="1" x14ac:dyDescent="0.35">
      <c r="A75" s="1" t="s">
        <v>31</v>
      </c>
      <c r="B75" s="44">
        <v>2400</v>
      </c>
      <c r="C75" s="48">
        <v>6000</v>
      </c>
      <c r="D75" s="2"/>
      <c r="E75" s="56"/>
      <c r="F75" s="2"/>
      <c r="G75" s="60"/>
      <c r="H75" s="2"/>
      <c r="I75" s="60"/>
      <c r="J75" s="2"/>
      <c r="K75" s="60"/>
      <c r="L75" s="52">
        <v>3.6104395934812672</v>
      </c>
      <c r="M75" s="28">
        <v>4.5217391304347823</v>
      </c>
      <c r="N75" s="52">
        <v>-14.394214925732154</v>
      </c>
      <c r="O75" s="28">
        <v>6.4713452402429483E-2</v>
      </c>
      <c r="P75" s="52">
        <v>-2.4627458055204761</v>
      </c>
      <c r="Q75" s="28">
        <v>48.558422033796376</v>
      </c>
      <c r="R75" s="52">
        <v>-23.704973239521316</v>
      </c>
      <c r="S75" s="29">
        <v>5.3043478260869561</v>
      </c>
      <c r="T75" s="97">
        <v>3</v>
      </c>
    </row>
    <row r="76" spans="1:20" hidden="1" x14ac:dyDescent="0.35">
      <c r="A76" s="30" t="s">
        <v>32</v>
      </c>
      <c r="B76" s="45">
        <v>298</v>
      </c>
      <c r="C76" s="49">
        <v>1400</v>
      </c>
      <c r="D76" s="31"/>
      <c r="E76" s="57"/>
      <c r="F76" s="31"/>
      <c r="G76" s="61"/>
      <c r="H76" s="31"/>
      <c r="I76" s="61"/>
      <c r="J76" s="31"/>
      <c r="K76" s="61"/>
      <c r="L76" s="53">
        <v>-0.72997774971435436</v>
      </c>
      <c r="M76" s="32">
        <v>62.972397618618068</v>
      </c>
      <c r="N76" s="53">
        <v>12.395646160322327</v>
      </c>
      <c r="O76" s="32">
        <v>-1.5346924048349267E-3</v>
      </c>
      <c r="P76" s="53">
        <v>0.29626676288411807</v>
      </c>
      <c r="Q76" s="32">
        <v>-74.957002826387637</v>
      </c>
      <c r="R76" s="53">
        <v>178.16946298634915</v>
      </c>
      <c r="S76" s="33">
        <v>-216.85008118347463</v>
      </c>
      <c r="T76" s="97">
        <v>3</v>
      </c>
    </row>
    <row r="77" spans="1:20" hidden="1" x14ac:dyDescent="0.35">
      <c r="A77" s="30" t="s">
        <v>32</v>
      </c>
      <c r="B77" s="45">
        <v>1400</v>
      </c>
      <c r="C77" s="49">
        <v>6000</v>
      </c>
      <c r="D77" s="31"/>
      <c r="E77" s="57"/>
      <c r="F77" s="31"/>
      <c r="G77" s="61"/>
      <c r="H77" s="31"/>
      <c r="I77" s="61"/>
      <c r="J77" s="31"/>
      <c r="K77" s="61"/>
      <c r="L77" s="53">
        <v>-0.72997774971435436</v>
      </c>
      <c r="M77" s="32">
        <v>43.969932046424923</v>
      </c>
      <c r="N77" s="53">
        <v>5.4448253051897284</v>
      </c>
      <c r="O77" s="32">
        <v>-5.5204762763846297E-4</v>
      </c>
      <c r="P77" s="53">
        <v>1.6994407360635035E-2</v>
      </c>
      <c r="Q77" s="32">
        <v>-2.824463287028685</v>
      </c>
      <c r="R77" s="53">
        <v>4.248842383787359</v>
      </c>
      <c r="S77" s="33">
        <v>-1.4042937037705212</v>
      </c>
      <c r="T77" s="97">
        <v>3</v>
      </c>
    </row>
    <row r="78" spans="1:20" ht="21.75" hidden="1" thickBot="1" x14ac:dyDescent="0.4">
      <c r="A78" s="34" t="s">
        <v>36</v>
      </c>
      <c r="B78" s="46">
        <v>298</v>
      </c>
      <c r="C78" s="50">
        <v>1800</v>
      </c>
      <c r="D78" s="35"/>
      <c r="E78" s="58"/>
      <c r="F78" s="35"/>
      <c r="G78" s="62"/>
      <c r="H78" s="35"/>
      <c r="I78" s="62"/>
      <c r="J78" s="35"/>
      <c r="K78" s="62"/>
      <c r="L78" s="54">
        <v>3.9344398340248956</v>
      </c>
      <c r="M78" s="36">
        <v>26.555896325696072</v>
      </c>
      <c r="N78" s="54">
        <v>1.8786697937338384</v>
      </c>
      <c r="O78" s="36">
        <v>-1.6272776474833123E-5</v>
      </c>
      <c r="P78" s="54">
        <v>-5.2029586866317876E-3</v>
      </c>
      <c r="Q78" s="36">
        <v>17.1322388598232</v>
      </c>
      <c r="R78" s="54">
        <v>-43.040471465512056</v>
      </c>
      <c r="S78" s="37">
        <v>61.182271934572128</v>
      </c>
      <c r="T78" s="97">
        <v>3</v>
      </c>
    </row>
    <row r="79" spans="1:20" hidden="1" x14ac:dyDescent="0.35">
      <c r="A79" s="1" t="s">
        <v>36</v>
      </c>
      <c r="B79" s="44">
        <v>1800</v>
      </c>
      <c r="C79" s="48">
        <v>6000</v>
      </c>
      <c r="D79" s="2"/>
      <c r="E79" s="56"/>
      <c r="F79" s="2"/>
      <c r="G79" s="60"/>
      <c r="H79" s="2"/>
      <c r="I79" s="60"/>
      <c r="J79" s="2"/>
      <c r="K79" s="60"/>
      <c r="L79" s="52">
        <v>3.9344398340248956</v>
      </c>
      <c r="M79" s="28">
        <v>-20.093090384268443</v>
      </c>
      <c r="N79" s="52">
        <v>-27.793974382103549</v>
      </c>
      <c r="O79" s="28">
        <v>9.6123639425100729E-2</v>
      </c>
      <c r="P79" s="52">
        <v>-3.9854952191953812</v>
      </c>
      <c r="Q79" s="28">
        <v>106.62685669613325</v>
      </c>
      <c r="R79" s="52">
        <v>-73.313488483973785</v>
      </c>
      <c r="S79" s="29">
        <v>24.277467075590831</v>
      </c>
      <c r="T79" s="97">
        <v>3</v>
      </c>
    </row>
    <row r="80" spans="1:20" hidden="1" x14ac:dyDescent="0.35">
      <c r="A80" s="30" t="s">
        <v>35</v>
      </c>
      <c r="B80" s="45">
        <v>298</v>
      </c>
      <c r="C80" s="49">
        <v>1400</v>
      </c>
      <c r="D80" s="31"/>
      <c r="E80" s="57"/>
      <c r="F80" s="31"/>
      <c r="G80" s="61"/>
      <c r="H80" s="31"/>
      <c r="I80" s="61"/>
      <c r="J80" s="31"/>
      <c r="K80" s="61"/>
      <c r="L80" s="53">
        <v>-1.4942209393228696</v>
      </c>
      <c r="M80" s="32">
        <v>29.009561609236872</v>
      </c>
      <c r="N80" s="53">
        <v>1.4303926874736905</v>
      </c>
      <c r="O80" s="32">
        <v>-4.4945577004029101E-5</v>
      </c>
      <c r="P80" s="53">
        <v>-1.555475374346022E-2</v>
      </c>
      <c r="Q80" s="32">
        <v>71.353899813578693</v>
      </c>
      <c r="R80" s="53">
        <v>-222.14324373083167</v>
      </c>
      <c r="S80" s="33">
        <v>322.66522340489507</v>
      </c>
      <c r="T80" s="97">
        <v>3</v>
      </c>
    </row>
    <row r="81" spans="1:20" hidden="1" x14ac:dyDescent="0.35">
      <c r="A81" s="30" t="s">
        <v>35</v>
      </c>
      <c r="B81" s="45">
        <v>1400</v>
      </c>
      <c r="C81" s="49">
        <v>6000</v>
      </c>
      <c r="D81" s="31"/>
      <c r="E81" s="57"/>
      <c r="F81" s="31"/>
      <c r="G81" s="61"/>
      <c r="H81" s="31"/>
      <c r="I81" s="61"/>
      <c r="J81" s="31"/>
      <c r="K81" s="61"/>
      <c r="L81" s="53">
        <v>-1.4942209393228696</v>
      </c>
      <c r="M81" s="32">
        <v>47.034457874797035</v>
      </c>
      <c r="N81" s="53">
        <v>7.2667268025738156</v>
      </c>
      <c r="O81" s="32">
        <v>6.8554934151181669E-4</v>
      </c>
      <c r="P81" s="53">
        <v>0.11850381863010402</v>
      </c>
      <c r="Q81" s="32">
        <v>-8.5365325635937221</v>
      </c>
      <c r="R81" s="53">
        <v>9.2136628781045147</v>
      </c>
      <c r="S81" s="33">
        <v>-3.5703890793192614</v>
      </c>
      <c r="T81" s="97">
        <v>3</v>
      </c>
    </row>
    <row r="82" spans="1:20" ht="21.75" hidden="1" thickBot="1" x14ac:dyDescent="0.4">
      <c r="A82" s="34" t="s">
        <v>27</v>
      </c>
      <c r="B82" s="46">
        <v>298</v>
      </c>
      <c r="C82" s="50">
        <v>848</v>
      </c>
      <c r="D82" s="35"/>
      <c r="E82" s="58"/>
      <c r="F82" s="35"/>
      <c r="G82" s="62"/>
      <c r="H82" s="35"/>
      <c r="I82" s="62"/>
      <c r="J82" s="35"/>
      <c r="K82" s="62"/>
      <c r="L82" s="54">
        <v>-10.953154128330024</v>
      </c>
      <c r="M82" s="36">
        <v>-92.287930723434954</v>
      </c>
      <c r="N82" s="54">
        <v>-26.567213903421731</v>
      </c>
      <c r="O82" s="36">
        <v>2.5586505502435499E-3</v>
      </c>
      <c r="P82" s="54">
        <v>-0.58728005291959817</v>
      </c>
      <c r="Q82" s="36">
        <v>696.92104155391178</v>
      </c>
      <c r="R82" s="54">
        <v>3412.7969210415536</v>
      </c>
      <c r="S82" s="37">
        <v>8867.159781105298</v>
      </c>
      <c r="T82" s="97">
        <v>3</v>
      </c>
    </row>
    <row r="83" spans="1:20" hidden="1" x14ac:dyDescent="0.35">
      <c r="A83" s="1" t="s">
        <v>27</v>
      </c>
      <c r="B83" s="44">
        <v>848</v>
      </c>
      <c r="C83" s="48">
        <v>1200</v>
      </c>
      <c r="D83" s="2"/>
      <c r="E83" s="56"/>
      <c r="F83" s="2"/>
      <c r="G83" s="60"/>
      <c r="H83" s="2"/>
      <c r="I83" s="60"/>
      <c r="J83" s="2"/>
      <c r="K83" s="60"/>
      <c r="L83" s="52">
        <v>-10.953154128330024</v>
      </c>
      <c r="M83" s="28">
        <v>21.87636057489927</v>
      </c>
      <c r="N83" s="52">
        <v>7.0265439894160791</v>
      </c>
      <c r="O83" s="28">
        <v>1.1630284442840819E-4</v>
      </c>
      <c r="P83" s="52">
        <v>0.13388297552468578</v>
      </c>
      <c r="Q83" s="28">
        <v>6.2101148595826565</v>
      </c>
      <c r="R83" s="52">
        <v>0</v>
      </c>
      <c r="S83" s="29">
        <v>0</v>
      </c>
      <c r="T83" s="97">
        <v>3</v>
      </c>
    </row>
    <row r="84" spans="1:20" hidden="1" x14ac:dyDescent="0.35">
      <c r="A84" s="30" t="s">
        <v>27</v>
      </c>
      <c r="B84" s="45">
        <v>1200</v>
      </c>
      <c r="C84" s="49">
        <v>1996</v>
      </c>
      <c r="D84" s="31"/>
      <c r="E84" s="57"/>
      <c r="F84" s="31"/>
      <c r="G84" s="61"/>
      <c r="H84" s="31"/>
      <c r="I84" s="61"/>
      <c r="J84" s="31"/>
      <c r="K84" s="61"/>
      <c r="L84" s="53">
        <v>-10.953154128330024</v>
      </c>
      <c r="M84" s="32">
        <v>26.617234950989232</v>
      </c>
      <c r="N84" s="53">
        <v>9.3310722232244867</v>
      </c>
      <c r="O84" s="32">
        <v>-2.6784533044680978E-3</v>
      </c>
      <c r="P84" s="53">
        <v>0.30701786036442358</v>
      </c>
      <c r="Q84" s="32">
        <v>-3.6534969030007813</v>
      </c>
      <c r="R84" s="53">
        <v>5.5673822839617531</v>
      </c>
      <c r="S84" s="33">
        <v>0</v>
      </c>
      <c r="T84" s="97">
        <v>3</v>
      </c>
    </row>
    <row r="85" spans="1:20" hidden="1" x14ac:dyDescent="0.35">
      <c r="A85" s="30" t="s">
        <v>27</v>
      </c>
      <c r="B85" s="45">
        <v>1996</v>
      </c>
      <c r="C85" s="49">
        <v>4700</v>
      </c>
      <c r="D85" s="31"/>
      <c r="E85" s="57"/>
      <c r="F85" s="31"/>
      <c r="G85" s="61"/>
      <c r="H85" s="31"/>
      <c r="I85" s="61"/>
      <c r="J85" s="31"/>
      <c r="K85" s="61"/>
      <c r="L85" s="53">
        <v>-10.953154128330024</v>
      </c>
      <c r="M85" s="32">
        <v>26.904925130795593</v>
      </c>
      <c r="N85" s="53">
        <v>10.042732575620901</v>
      </c>
      <c r="O85" s="32">
        <v>0</v>
      </c>
      <c r="P85" s="53">
        <v>0.36377412953274396</v>
      </c>
      <c r="Q85" s="32">
        <v>0</v>
      </c>
      <c r="R85" s="53">
        <v>0</v>
      </c>
      <c r="S85" s="33">
        <v>0</v>
      </c>
      <c r="T85" s="97">
        <v>3</v>
      </c>
    </row>
    <row r="86" spans="1:20" ht="21.75" hidden="1" thickBot="1" x14ac:dyDescent="0.4">
      <c r="A86" s="34" t="s">
        <v>24</v>
      </c>
      <c r="B86" s="46">
        <v>298</v>
      </c>
      <c r="C86" s="50">
        <v>1800</v>
      </c>
      <c r="D86" s="35"/>
      <c r="E86" s="58"/>
      <c r="F86" s="35"/>
      <c r="G86" s="62"/>
      <c r="H86" s="35"/>
      <c r="I86" s="62"/>
      <c r="J86" s="35"/>
      <c r="K86" s="62"/>
      <c r="L86" s="54">
        <v>2.7994467496542184</v>
      </c>
      <c r="M86" s="36">
        <v>28.226471826327497</v>
      </c>
      <c r="N86" s="54">
        <v>2.2055084490949546</v>
      </c>
      <c r="O86" s="36">
        <v>4.8782247880209267E-5</v>
      </c>
      <c r="P86" s="54">
        <v>-8.9013169763665894E-3</v>
      </c>
      <c r="Q86" s="36">
        <v>4.3480666305851221</v>
      </c>
      <c r="R86" s="54">
        <v>-14.473510132900355</v>
      </c>
      <c r="S86" s="37">
        <v>23.645438691442656</v>
      </c>
      <c r="T86" s="97">
        <v>3</v>
      </c>
    </row>
    <row r="87" spans="1:20" hidden="1" x14ac:dyDescent="0.35">
      <c r="A87" s="1" t="s">
        <v>24</v>
      </c>
      <c r="B87" s="44">
        <v>1800</v>
      </c>
      <c r="C87" s="48">
        <v>6000</v>
      </c>
      <c r="D87" s="2"/>
      <c r="E87" s="56"/>
      <c r="F87" s="2"/>
      <c r="G87" s="60"/>
      <c r="H87" s="2"/>
      <c r="I87" s="60"/>
      <c r="J87" s="2"/>
      <c r="K87" s="60"/>
      <c r="L87" s="52">
        <v>2.7994467496542184</v>
      </c>
      <c r="M87" s="28">
        <v>61.297492332671837</v>
      </c>
      <c r="N87" s="52">
        <v>21.280475073666484</v>
      </c>
      <c r="O87" s="28">
        <v>-5.3868542906969748E-2</v>
      </c>
      <c r="P87" s="52">
        <v>2.3023633411510009</v>
      </c>
      <c r="Q87" s="28">
        <v>-72.255697877202465</v>
      </c>
      <c r="R87" s="52">
        <v>63.604666546394846</v>
      </c>
      <c r="S87" s="29">
        <v>-24.271814300318717</v>
      </c>
      <c r="T87" s="97">
        <v>3</v>
      </c>
    </row>
    <row r="88" spans="1:20" hidden="1" x14ac:dyDescent="0.35">
      <c r="A88" s="30" t="s">
        <v>25</v>
      </c>
      <c r="B88" s="45">
        <v>298</v>
      </c>
      <c r="C88" s="49">
        <v>6000</v>
      </c>
      <c r="D88" s="31"/>
      <c r="E88" s="57"/>
      <c r="F88" s="31"/>
      <c r="G88" s="61"/>
      <c r="H88" s="31"/>
      <c r="I88" s="61"/>
      <c r="J88" s="31"/>
      <c r="K88" s="61"/>
      <c r="L88" s="53">
        <v>-0.2270611582175717</v>
      </c>
      <c r="M88" s="32">
        <v>43.095916771904506</v>
      </c>
      <c r="N88" s="53">
        <v>5.1975236033435559</v>
      </c>
      <c r="O88" s="32">
        <v>-2.4428408202537737E-4</v>
      </c>
      <c r="P88" s="53">
        <v>4.8647543448192915E-2</v>
      </c>
      <c r="Q88" s="32">
        <v>-1.5002706115821756</v>
      </c>
      <c r="R88" s="53">
        <v>3.088099103974983</v>
      </c>
      <c r="S88" s="33">
        <v>1.0935113356184978</v>
      </c>
      <c r="T88" s="97">
        <v>3</v>
      </c>
    </row>
    <row r="89" spans="1:20" hidden="1" x14ac:dyDescent="0.35">
      <c r="A89" s="30" t="s">
        <v>16</v>
      </c>
      <c r="B89" s="45">
        <v>298</v>
      </c>
      <c r="C89" s="49">
        <v>3200</v>
      </c>
      <c r="D89" s="31"/>
      <c r="E89" s="57"/>
      <c r="F89" s="31"/>
      <c r="G89" s="61"/>
      <c r="H89" s="31"/>
      <c r="I89" s="61"/>
      <c r="J89" s="31"/>
      <c r="K89" s="61"/>
      <c r="L89" s="53">
        <v>1.83406097780985</v>
      </c>
      <c r="M89" s="32">
        <v>26.523904023092186</v>
      </c>
      <c r="N89" s="53">
        <v>2.2994046545192135</v>
      </c>
      <c r="O89" s="32">
        <v>4.6220458235612481E-5</v>
      </c>
      <c r="P89" s="53">
        <v>-7.462866077334776E-3</v>
      </c>
      <c r="Q89" s="32">
        <v>2.1927957183234108</v>
      </c>
      <c r="R89" s="53">
        <v>-5.0294064585964273</v>
      </c>
      <c r="S89" s="33">
        <v>5.4218533886583673</v>
      </c>
      <c r="T89" s="97">
        <v>3</v>
      </c>
    </row>
    <row r="90" spans="1:20" hidden="1" x14ac:dyDescent="0.35">
      <c r="A90" s="30" t="s">
        <v>16</v>
      </c>
      <c r="B90" s="45">
        <v>3200</v>
      </c>
      <c r="C90" s="49">
        <v>6000</v>
      </c>
      <c r="D90" s="31"/>
      <c r="E90" s="57"/>
      <c r="F90" s="31"/>
      <c r="G90" s="61"/>
      <c r="H90" s="31"/>
      <c r="I90" s="61"/>
      <c r="J90" s="31"/>
      <c r="K90" s="61"/>
      <c r="L90" s="53">
        <v>1.83406097780985</v>
      </c>
      <c r="M90" s="32">
        <v>164.39437127909073</v>
      </c>
      <c r="N90" s="53">
        <v>109.73023032052437</v>
      </c>
      <c r="O90" s="32">
        <v>-0.77731673582295979</v>
      </c>
      <c r="P90" s="53">
        <v>20.580912863070537</v>
      </c>
      <c r="Q90" s="32">
        <v>-272.5332852246076</v>
      </c>
      <c r="R90" s="53">
        <v>165.65036983582897</v>
      </c>
      <c r="S90" s="33">
        <v>-48.68843586505502</v>
      </c>
      <c r="T90" s="97">
        <v>3</v>
      </c>
    </row>
    <row r="91" spans="1:20" hidden="1" x14ac:dyDescent="0.35">
      <c r="A91" s="30" t="s">
        <v>17</v>
      </c>
      <c r="B91" s="45">
        <v>298</v>
      </c>
      <c r="C91" s="49">
        <v>3200</v>
      </c>
      <c r="D91" s="31"/>
      <c r="E91" s="57"/>
      <c r="F91" s="31"/>
      <c r="G91" s="61"/>
      <c r="H91" s="31"/>
      <c r="I91" s="61"/>
      <c r="J91" s="31"/>
      <c r="K91" s="61"/>
      <c r="L91" s="53">
        <v>6.0592940044500568E-2</v>
      </c>
      <c r="M91" s="32">
        <v>43.298815322629139</v>
      </c>
      <c r="N91" s="53">
        <v>6.0656323290636829</v>
      </c>
      <c r="O91" s="32">
        <v>6.3596127247579528E-4</v>
      </c>
      <c r="P91" s="53">
        <v>0.10973480064946779</v>
      </c>
      <c r="Q91" s="32">
        <v>-2.358169462986349</v>
      </c>
      <c r="R91" s="53">
        <v>1.9832822178122553</v>
      </c>
      <c r="S91" s="33">
        <v>-0.19002946659450357</v>
      </c>
      <c r="T91" s="97">
        <v>3</v>
      </c>
    </row>
    <row r="92" spans="1:20" ht="21.75" hidden="1" thickBot="1" x14ac:dyDescent="0.4">
      <c r="A92" s="34" t="s">
        <v>17</v>
      </c>
      <c r="B92" s="46">
        <v>3200</v>
      </c>
      <c r="C92" s="50">
        <v>6000</v>
      </c>
      <c r="D92" s="35"/>
      <c r="E92" s="58"/>
      <c r="F92" s="35"/>
      <c r="G92" s="62"/>
      <c r="H92" s="35"/>
      <c r="I92" s="62"/>
      <c r="J92" s="35"/>
      <c r="K92" s="62"/>
      <c r="L92" s="54">
        <v>6.0592940044500568E-2</v>
      </c>
      <c r="M92" s="36">
        <v>36.806783330326532</v>
      </c>
      <c r="N92" s="54">
        <v>-0.56067111672379566</v>
      </c>
      <c r="O92" s="36">
        <v>7.5037584941968841E-2</v>
      </c>
      <c r="P92" s="54">
        <v>-1.5360153947922304</v>
      </c>
      <c r="Q92" s="36">
        <v>9.3189007156172945</v>
      </c>
      <c r="R92" s="54">
        <v>-1.8953635215587226</v>
      </c>
      <c r="S92" s="37">
        <v>0</v>
      </c>
      <c r="T92" s="97">
        <v>3</v>
      </c>
    </row>
  </sheetData>
  <dataConsolidate link="1">
    <dataRefs count="2">
      <dataRef ref="B8:B97" sheet="TERRA"/>
      <dataRef ref="C8:C97" sheet="TERRA"/>
    </dataRefs>
  </dataConsolidate>
  <customSheetViews>
    <customSheetView guid="{5CD7248E-C04A-445B-8512-C9303DEF235B}" scale="115" hiddenColumns="1">
      <selection activeCell="A2" sqref="A2:S2"/>
      <pageMargins left="0.7" right="0.7" top="0.75" bottom="0.75" header="0.3" footer="0.3"/>
    </customSheetView>
  </customSheetViews>
  <pageMargins left="0.7" right="0.7" top="0.75" bottom="0.75" header="0.3" footer="0.3"/>
  <drawing r:id="rId1"/>
  <tableParts count="2">
    <tablePart r:id="rId2"/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96250-B6EC-4BB4-B08E-2552C3BB0118}">
  <sheetPr codeName="Лист11">
    <tabColor rgb="FF00B050"/>
  </sheetPr>
  <dimension ref="A1:AB56"/>
  <sheetViews>
    <sheetView zoomScaleNormal="100" workbookViewId="0">
      <pane xSplit="4" ySplit="1" topLeftCell="S14" activePane="bottomRight" state="frozen"/>
      <selection pane="topRight" activeCell="E1" sqref="E1"/>
      <selection pane="bottomLeft" activeCell="A2" sqref="A2"/>
      <selection pane="bottomRight" activeCell="W28" sqref="W28"/>
    </sheetView>
  </sheetViews>
  <sheetFormatPr defaultRowHeight="21" outlineLevelCol="1" x14ac:dyDescent="0.35"/>
  <cols>
    <col min="1" max="1" width="6.81640625" style="97" customWidth="1"/>
    <col min="2" max="3" width="6.1796875" style="75" customWidth="1"/>
    <col min="4" max="4" width="2.6328125" style="322" customWidth="1"/>
    <col min="5" max="5" width="9.7265625" style="75" hidden="1" customWidth="1" outlineLevel="1"/>
    <col min="6" max="6" width="9.81640625" style="75" hidden="1" customWidth="1" outlineLevel="1"/>
    <col min="7" max="10" width="9.6328125" style="75" hidden="1" customWidth="1" outlineLevel="1"/>
    <col min="11" max="11" width="9.1796875" style="75" hidden="1" customWidth="1" outlineLevel="1"/>
    <col min="12" max="12" width="6.90625" style="75" hidden="1" customWidth="1" outlineLevel="1"/>
    <col min="13" max="14" width="2.6328125" style="75" hidden="1" customWidth="1" outlineLevel="1"/>
    <col min="15" max="16" width="11.6328125" style="316" hidden="1" customWidth="1" outlineLevel="1"/>
    <col min="17" max="18" width="7.6328125" style="316" hidden="1" customWidth="1" outlineLevel="1"/>
    <col min="19" max="19" width="10.1796875" style="75" customWidth="1" collapsed="1"/>
    <col min="20" max="21" width="10.1796875" style="75" customWidth="1"/>
    <col min="22" max="23" width="10.54296875" style="75" customWidth="1"/>
    <col min="24" max="26" width="10.1796875" style="75" customWidth="1"/>
    <col min="27" max="27" width="2.7265625" style="97" customWidth="1"/>
    <col min="28" max="28" width="3.7265625" style="75" customWidth="1"/>
    <col min="29" max="32" width="9.6328125" style="75" customWidth="1"/>
    <col min="33" max="16384" width="8.7265625" style="75"/>
  </cols>
  <sheetData>
    <row r="1" spans="1:27" s="123" customFormat="1" ht="22.5" thickTop="1" thickBot="1" x14ac:dyDescent="0.4">
      <c r="A1" s="143">
        <v>8.3145000000000007</v>
      </c>
      <c r="B1" s="141" t="s">
        <v>55</v>
      </c>
      <c r="C1" s="404" t="s">
        <v>56</v>
      </c>
      <c r="D1" s="408" t="s">
        <v>165</v>
      </c>
      <c r="E1" s="406" t="s">
        <v>99</v>
      </c>
      <c r="F1" s="141" t="s">
        <v>109</v>
      </c>
      <c r="G1" s="141" t="s">
        <v>40</v>
      </c>
      <c r="H1" s="141" t="s">
        <v>65</v>
      </c>
      <c r="I1" s="141" t="s">
        <v>66</v>
      </c>
      <c r="J1" s="141" t="s">
        <v>68</v>
      </c>
      <c r="K1" s="141" t="str">
        <f>"-3          e *T^(-3)"</f>
        <v>-3          e *T^(-3)</v>
      </c>
      <c r="L1" s="141" t="str">
        <f>" 3           f *T^3"</f>
        <v xml:space="preserve"> 3           f *T^3</v>
      </c>
      <c r="M1" s="141" t="s">
        <v>110</v>
      </c>
      <c r="N1" s="141" t="s">
        <v>111</v>
      </c>
      <c r="O1" s="315" t="s">
        <v>145</v>
      </c>
      <c r="P1" s="315" t="s">
        <v>147</v>
      </c>
      <c r="Q1" s="315" t="s">
        <v>142</v>
      </c>
      <c r="R1" s="315" t="s">
        <v>143</v>
      </c>
      <c r="S1" s="141" t="s">
        <v>41</v>
      </c>
      <c r="T1" s="141" t="s">
        <v>42</v>
      </c>
      <c r="U1" s="141" t="s">
        <v>43</v>
      </c>
      <c r="V1" s="141" t="s">
        <v>44</v>
      </c>
      <c r="W1" s="141" t="s">
        <v>45</v>
      </c>
      <c r="X1" s="141" t="s">
        <v>46</v>
      </c>
      <c r="Y1" s="141" t="s">
        <v>47</v>
      </c>
      <c r="Z1" s="141" t="s">
        <v>48</v>
      </c>
      <c r="AA1" s="142" t="s">
        <v>164</v>
      </c>
    </row>
    <row r="2" spans="1:27" s="124" customFormat="1" ht="22.5" thickTop="1" thickBot="1" x14ac:dyDescent="0.4">
      <c r="A2" s="395"/>
      <c r="B2" s="394"/>
      <c r="C2" s="394"/>
      <c r="D2" s="394"/>
      <c r="E2" s="394"/>
      <c r="F2" s="92" t="s">
        <v>107</v>
      </c>
      <c r="G2" s="92">
        <v>0</v>
      </c>
      <c r="H2" s="92">
        <v>-3</v>
      </c>
      <c r="I2" s="92">
        <v>5</v>
      </c>
      <c r="J2" s="92">
        <v>-6</v>
      </c>
      <c r="K2" s="92">
        <v>8</v>
      </c>
      <c r="L2" s="92">
        <v>-9</v>
      </c>
      <c r="M2" s="393"/>
      <c r="N2" s="392"/>
      <c r="O2" s="392"/>
      <c r="P2" s="392"/>
      <c r="Q2" s="392"/>
      <c r="R2" s="392"/>
      <c r="S2" s="392"/>
      <c r="T2" s="392"/>
      <c r="U2" s="392"/>
      <c r="V2" s="392"/>
      <c r="W2" s="392"/>
      <c r="X2" s="392"/>
      <c r="Y2" s="392"/>
      <c r="Z2" s="392"/>
      <c r="AA2" s="391"/>
    </row>
    <row r="3" spans="1:27" ht="21.75" thickTop="1" x14ac:dyDescent="0.35">
      <c r="A3" s="389" t="s">
        <v>69</v>
      </c>
      <c r="B3" s="343">
        <v>100</v>
      </c>
      <c r="C3" s="343">
        <v>298.14999999999998</v>
      </c>
      <c r="D3" s="409" t="s">
        <v>61</v>
      </c>
      <c r="E3" s="388">
        <v>272</v>
      </c>
      <c r="F3" s="388">
        <v>169.042</v>
      </c>
      <c r="G3" s="388">
        <v>10.333</v>
      </c>
      <c r="H3" s="388">
        <v>69.971999999999994</v>
      </c>
      <c r="I3" s="388">
        <v>0.41799999999999998</v>
      </c>
      <c r="J3" s="388">
        <v>-72.948999999999998</v>
      </c>
      <c r="K3" s="388">
        <v>0</v>
      </c>
      <c r="L3" s="388">
        <v>0</v>
      </c>
      <c r="M3" s="387">
        <f>B3/10000</f>
        <v>0.01</v>
      </c>
      <c r="N3" s="387">
        <f>C3/10000</f>
        <v>2.9814999999999998E-2</v>
      </c>
      <c r="O3" s="386">
        <f>E3*1000</f>
        <v>272000</v>
      </c>
      <c r="P3" s="386">
        <f>10000*$A$1*(N3*U3-V3*2/N3+X3*N3^2+Y3*2*N3^3+Z3*3*N3^4-W3+S3)</f>
        <v>276465.2979380248</v>
      </c>
      <c r="Q3" s="385">
        <f>F3</f>
        <v>169.042</v>
      </c>
      <c r="R3" s="385">
        <f>$A$1*(T3+U3+U3*LN(N3)-V3/N3^2+X3*2*N3+Y3*3*N3^2+Z3*4*N3^3)</f>
        <v>193.17228398268267</v>
      </c>
      <c r="S3" s="384">
        <f>SUM($E$3:E3)/$A$1/10</f>
        <v>3.2713933489686688</v>
      </c>
      <c r="T3" s="383">
        <f>IF(D3="end","N/D",Q3/$A$1 - U3 - U3*LN(M3) + V3/(M3^2) - X3*2*M3 - Y3*3*M3^2 - Z3*4*M3^3)</f>
        <v>24.265051239619336</v>
      </c>
      <c r="U3" s="384">
        <f>G3*10^($G$2)/$A$1</f>
        <v>1.2427686571651932</v>
      </c>
      <c r="V3" s="383">
        <f>I3/(2*$A$1)*(10^($I$2)/10^8)</f>
        <v>2.5136809188766609E-5</v>
      </c>
      <c r="W3" s="384">
        <f>U3*M3 - V3*2/M3 + X3*M3^2 + Y3*2*M3^3 + Z3*3*M3^4 + S3-O3/10000/$A$1</f>
        <v>1.131569747629646E-2</v>
      </c>
      <c r="X3" s="383">
        <f>H3/2/$A$1*(10^($H$2)*10^4)</f>
        <v>42.078296951109508</v>
      </c>
      <c r="Y3" s="384">
        <f>J3/6/$A$1*(10^($J$2)*10^8)</f>
        <v>-146.22847635656581</v>
      </c>
      <c r="Z3" s="383">
        <f>L3/12/$A$1*(10^($L$2)*10^12)</f>
        <v>0</v>
      </c>
      <c r="AA3" s="382" t="s">
        <v>106</v>
      </c>
    </row>
    <row r="4" spans="1:27" x14ac:dyDescent="0.35">
      <c r="A4" s="389" t="s">
        <v>69</v>
      </c>
      <c r="B4" s="343">
        <v>298.14999999999998</v>
      </c>
      <c r="C4" s="343">
        <v>700</v>
      </c>
      <c r="D4" s="409" t="s">
        <v>61</v>
      </c>
      <c r="E4" s="388">
        <v>0</v>
      </c>
      <c r="F4" s="388">
        <v>0</v>
      </c>
      <c r="G4" s="388">
        <v>38.252000000000002</v>
      </c>
      <c r="H4" s="388">
        <v>-19.521999999999998</v>
      </c>
      <c r="I4" s="388">
        <v>-6.6580000000000004</v>
      </c>
      <c r="J4" s="388">
        <v>4.476</v>
      </c>
      <c r="K4" s="388">
        <v>0</v>
      </c>
      <c r="L4" s="388">
        <v>0</v>
      </c>
      <c r="M4" s="387">
        <f>B4/10000</f>
        <v>2.9814999999999998E-2</v>
      </c>
      <c r="N4" s="387">
        <f>C4/10000</f>
        <v>7.0000000000000007E-2</v>
      </c>
      <c r="O4" s="386">
        <f>P3+E4*1000</f>
        <v>276465.2979380248</v>
      </c>
      <c r="P4" s="386">
        <f>10000*$A$1*(N4*U4-V4*2/N4+X4*N4^2+Y4*2*N4^3+Z4*3*N4^4-W4+S4)</f>
        <v>287111.91421769361</v>
      </c>
      <c r="Q4" s="385">
        <f>R3+F4</f>
        <v>193.17228398268267</v>
      </c>
      <c r="R4" s="385">
        <f>$A$1*(T4+U4+U4*LN(N4)-V4/N4^2+X4*2*N4+Y4*3*N4^2+Z4*4*N4^3)</f>
        <v>215.80695397369695</v>
      </c>
      <c r="S4" s="384">
        <f>SUM($E$3:E4)/$A$1/10</f>
        <v>3.2713933489686688</v>
      </c>
      <c r="T4" s="383">
        <f>IF(D4="end","N/D",Q4/$A$1 - U4 - U4*LN(M4) + V4/(M4^2) - X4*2*M4 - Y4*3*M4^2 - Z4*4*M4^3)</f>
        <v>35.019106518894404</v>
      </c>
      <c r="U4" s="384">
        <f>G4*10^($G$2)/$A$1</f>
        <v>4.6006374406157917</v>
      </c>
      <c r="V4" s="383">
        <f>I4/(2*$A$1)*(10^($I$2)/10^8)</f>
        <v>-4.0038486980576099E-4</v>
      </c>
      <c r="W4" s="384">
        <f>U4*M4 - V4*2/M4 + X4*M4^2 + Y4*2*M4^3 + Z4*3*M4^4 + S4-O4/10000/$A$1</f>
        <v>0.10036075097058417</v>
      </c>
      <c r="X4" s="383">
        <f>H4/2/$A$1*(10^($H$2)*10^4)</f>
        <v>-11.739731793854109</v>
      </c>
      <c r="Y4" s="384">
        <f>J4/6/$A$1*(10^($J$2)*10^8)</f>
        <v>8.9722773468037751</v>
      </c>
      <c r="Z4" s="383">
        <f>L4/12/$A$1*(10^($L$2)*10^12)</f>
        <v>0</v>
      </c>
      <c r="AA4" s="382" t="s">
        <v>106</v>
      </c>
    </row>
    <row r="5" spans="1:27" x14ac:dyDescent="0.35">
      <c r="A5" s="389" t="s">
        <v>69</v>
      </c>
      <c r="B5" s="343">
        <v>700</v>
      </c>
      <c r="C5" s="343">
        <v>1400</v>
      </c>
      <c r="D5" s="409" t="s">
        <v>61</v>
      </c>
      <c r="E5" s="388">
        <v>0</v>
      </c>
      <c r="F5" s="388">
        <v>0</v>
      </c>
      <c r="G5" s="388">
        <v>30.738</v>
      </c>
      <c r="H5" s="388">
        <v>-10.738</v>
      </c>
      <c r="I5" s="388">
        <v>3.0350000000000001</v>
      </c>
      <c r="J5" s="388">
        <v>3.2719999999999998</v>
      </c>
      <c r="K5" s="388">
        <v>0</v>
      </c>
      <c r="L5" s="388">
        <v>0</v>
      </c>
      <c r="M5" s="387">
        <f>B5/10000</f>
        <v>7.0000000000000007E-2</v>
      </c>
      <c r="N5" s="387">
        <f>C5/10000</f>
        <v>0.14000000000000001</v>
      </c>
      <c r="O5" s="386">
        <f>P4+E5*1000</f>
        <v>287111.91421769361</v>
      </c>
      <c r="P5" s="386">
        <f>10000*$A$1*(N5*U5-V5*2/N5+X5*N5^2+Y5*2*N5^3+Z5*3*N5^4-W5+S5)</f>
        <v>303571.56059864594</v>
      </c>
      <c r="Q5" s="385">
        <f>R4+F5</f>
        <v>215.80695397369695</v>
      </c>
      <c r="R5" s="385">
        <f>$A$1*(T5+U5+U5*LN(N5)-V5/N5^2+X5*2*N5+Y5*3*N5^2+Z5*4*N5^3)</f>
        <v>232.23350241791178</v>
      </c>
      <c r="S5" s="384">
        <f>SUM($E$3:E5)/$A$1/10</f>
        <v>3.2713933489686688</v>
      </c>
      <c r="T5" s="383">
        <f>IF(D5="end","N/D",Q5/$A$1 - U5 - U5*LN(M5) + V5/(M5^2) - X5*2*M5 - Y5*3*M5^2 - Z5*4*M5^3)</f>
        <v>32.934505125562289</v>
      </c>
      <c r="U5" s="384">
        <f>G5*10^($G$2)/$A$1</f>
        <v>3.6969150279631964</v>
      </c>
      <c r="V5" s="383">
        <f>I5/(2*$A$1)*(10^($I$2)/10^8)</f>
        <v>1.8251247820073367E-4</v>
      </c>
      <c r="W5" s="384">
        <f>U5*M5 - V5*2/M5 + X5*M5^2 + Y5*2*M5^3 + Z5*3*M5^4 + S5-O5/10000/$A$1</f>
        <v>4.4673799030628736E-2</v>
      </c>
      <c r="X5" s="383">
        <f>H5/2/$A$1*(10^($H$2)*10^4)</f>
        <v>-6.4573937097841121</v>
      </c>
      <c r="Y5" s="384">
        <f>J5/6/$A$1*(10^($J$2)*10^8)</f>
        <v>6.5588229398440472</v>
      </c>
      <c r="Z5" s="383">
        <f>L5/12/$A$1*(10^($L$2)*10^12)</f>
        <v>0</v>
      </c>
      <c r="AA5" s="382" t="s">
        <v>106</v>
      </c>
    </row>
    <row r="6" spans="1:27" x14ac:dyDescent="0.35">
      <c r="A6" s="389" t="s">
        <v>69</v>
      </c>
      <c r="B6" s="343">
        <v>1400</v>
      </c>
      <c r="C6" s="343">
        <v>6000</v>
      </c>
      <c r="D6" s="409" t="s">
        <v>61</v>
      </c>
      <c r="E6" s="388">
        <v>0</v>
      </c>
      <c r="F6" s="388">
        <v>0</v>
      </c>
      <c r="G6" s="388">
        <v>21.984999999999999</v>
      </c>
      <c r="H6" s="388">
        <v>-0.63900000000000001</v>
      </c>
      <c r="I6" s="388">
        <v>19.834</v>
      </c>
      <c r="J6" s="388">
        <v>8.7999999999999995E-2</v>
      </c>
      <c r="K6" s="388">
        <v>0</v>
      </c>
      <c r="L6" s="388">
        <v>0</v>
      </c>
      <c r="M6" s="387">
        <f>B6/10000</f>
        <v>0.14000000000000001</v>
      </c>
      <c r="N6" s="387">
        <f>C6/10000</f>
        <v>0.6</v>
      </c>
      <c r="O6" s="386">
        <f>P5+E6*1000</f>
        <v>303571.56059864594</v>
      </c>
      <c r="P6" s="386">
        <f>10000*$A$1*(N6*U6-V6*2/N6+X6*N6^2+Y6*2*N6^3+Z6*3*N6^4-W6+S6)</f>
        <v>401168.43755102681</v>
      </c>
      <c r="Q6" s="385">
        <f>R5+F6</f>
        <v>232.23350241791178</v>
      </c>
      <c r="R6" s="385">
        <f>$A$1*(T6+U6+U6*LN(N6)-V6/N6^2+X6*2*N6+Y6*3*N6^2+Z6*4*N6^3)</f>
        <v>263.26477439230604</v>
      </c>
      <c r="S6" s="384">
        <f>SUM($E$3:E6)/$A$1/10</f>
        <v>3.2713933489686688</v>
      </c>
      <c r="T6" s="383">
        <f>IF(D6="end","N/D",Q6/$A$1 - U6 - U6*LN(M6) + V6/(M6^2) - X6*2*M6 - Y6*3*M6^2 - Z6*4*M6^3)</f>
        <v>30.643793728188538</v>
      </c>
      <c r="U6" s="384">
        <f>G6*10^($G$2)/$A$1</f>
        <v>2.6441758373925066</v>
      </c>
      <c r="V6" s="383">
        <f>I6/(2*$A$1)*(10^($I$2)/10^8)</f>
        <v>1.1927355824162607E-3</v>
      </c>
      <c r="W6" s="384">
        <f>U6*M6 - V6*2/M6 + X6*M6^2 + Y6*2*M6^3 + Z6*3*M6^4 + S6-O6/10000/$A$1</f>
        <v>-3.313493556670366E-2</v>
      </c>
      <c r="X6" s="383">
        <f>H6/2/$A$1*(10^($H$2)*10^4)</f>
        <v>-0.38426844668951826</v>
      </c>
      <c r="Y6" s="384">
        <f>J6/6/$A$1*(10^($J$2)*10^8)</f>
        <v>0.17639866097380077</v>
      </c>
      <c r="Z6" s="383">
        <f>L6/12/$A$1*(10^($L$2)*10^12)</f>
        <v>0</v>
      </c>
      <c r="AA6" s="382" t="s">
        <v>106</v>
      </c>
    </row>
    <row r="7" spans="1:27" x14ac:dyDescent="0.35">
      <c r="A7" s="389" t="s">
        <v>69</v>
      </c>
      <c r="B7" s="343">
        <v>6000</v>
      </c>
      <c r="C7" s="343">
        <v>10000</v>
      </c>
      <c r="D7" s="409" t="s">
        <v>61</v>
      </c>
      <c r="E7" s="388">
        <v>0</v>
      </c>
      <c r="F7" s="388">
        <v>0</v>
      </c>
      <c r="G7" s="388">
        <v>9.6980000000000004</v>
      </c>
      <c r="H7" s="388">
        <v>0.90400000000000003</v>
      </c>
      <c r="I7" s="388">
        <v>1368.24</v>
      </c>
      <c r="J7" s="388">
        <v>6.8000000000000005E-2</v>
      </c>
      <c r="K7" s="388">
        <v>0</v>
      </c>
      <c r="L7" s="388">
        <v>0</v>
      </c>
      <c r="M7" s="387">
        <f>B7/10000</f>
        <v>0.6</v>
      </c>
      <c r="N7" s="387">
        <f>C7/10000</f>
        <v>1</v>
      </c>
      <c r="O7" s="386">
        <f>P6+E7*1000</f>
        <v>401168.43755102681</v>
      </c>
      <c r="P7" s="386">
        <f>10000*$A$1*(N7*U7-V7*2/N7+X7*N7^2+Y7*2*N7^3+Z7*3*N7^4-W7+S7)</f>
        <v>495780.70421769342</v>
      </c>
      <c r="Q7" s="385">
        <f>R6+F7</f>
        <v>263.26477439230604</v>
      </c>
      <c r="R7" s="385">
        <f>$A$1*(T7+U7+U7*LN(N7)-V7/N7^2+X7*2*N7+Y7*3*N7^2+Z7*4*N7^3)</f>
        <v>275.22697462492192</v>
      </c>
      <c r="S7" s="384">
        <f>SUM($E$3:E7)/$A$1/10</f>
        <v>3.2713933489686688</v>
      </c>
      <c r="T7" s="383">
        <f>IF(D7="end","N/D",Q7/$A$1 - U7 - U7*LN(M7) + V7/(M7^2) - X7*2*M7 - Y7*3*M7^2 - Z7*4*M7^3)</f>
        <v>30.521750511145822</v>
      </c>
      <c r="U7" s="384">
        <f>G7*10^($G$2)/$A$1</f>
        <v>1.166396055084491</v>
      </c>
      <c r="V7" s="383">
        <f>I7/(2*$A$1)*(10^($I$2)/10^8)</f>
        <v>8.2280353599134035E-2</v>
      </c>
      <c r="W7" s="384">
        <f>U7*M7 - V7*2/M7 + X7*M7^2 + Y7*2*M7^3 + Z7*3*M7^4 + S7-O7/10000/$A$1</f>
        <v>-0.87337106922877838</v>
      </c>
      <c r="X7" s="383">
        <f>H7/2/$A$1*(10^($H$2)*10^4)</f>
        <v>0.54362860063744056</v>
      </c>
      <c r="Y7" s="384">
        <f>J7/6/$A$1*(10^($J$2)*10^8)</f>
        <v>0.13630805620702788</v>
      </c>
      <c r="Z7" s="383">
        <f>L7/12/$A$1*(10^($L$2)*10^12)</f>
        <v>0</v>
      </c>
      <c r="AA7" s="382" t="s">
        <v>106</v>
      </c>
    </row>
    <row r="8" spans="1:27" x14ac:dyDescent="0.35">
      <c r="A8" s="75"/>
      <c r="O8" s="317"/>
      <c r="P8" s="317"/>
      <c r="Q8" s="317"/>
      <c r="AA8" s="75"/>
    </row>
    <row r="9" spans="1:27" x14ac:dyDescent="0.35">
      <c r="A9" s="75"/>
      <c r="P9" s="317"/>
      <c r="Q9" s="317"/>
      <c r="AA9" s="75"/>
    </row>
    <row r="10" spans="1:27" x14ac:dyDescent="0.35">
      <c r="A10" s="75"/>
      <c r="AA10" s="75"/>
    </row>
    <row r="11" spans="1:27" x14ac:dyDescent="0.35">
      <c r="A11" s="75"/>
      <c r="AA11" s="75"/>
    </row>
    <row r="12" spans="1:27" x14ac:dyDescent="0.35">
      <c r="A12" s="75"/>
      <c r="AA12" s="75"/>
    </row>
    <row r="13" spans="1:27" x14ac:dyDescent="0.35">
      <c r="A13" s="75"/>
      <c r="K13" s="67"/>
      <c r="L13" s="67"/>
      <c r="M13" s="67"/>
      <c r="AA13" s="75"/>
    </row>
    <row r="14" spans="1:27" x14ac:dyDescent="0.35">
      <c r="A14" s="75"/>
      <c r="K14" s="67"/>
      <c r="L14" s="67"/>
      <c r="M14" s="67"/>
      <c r="AA14" s="75"/>
    </row>
    <row r="15" spans="1:27" x14ac:dyDescent="0.35">
      <c r="A15" s="75"/>
      <c r="K15" s="67"/>
      <c r="L15" s="67"/>
      <c r="M15" s="67"/>
      <c r="AA15" s="75"/>
    </row>
    <row r="16" spans="1:27" x14ac:dyDescent="0.35">
      <c r="A16" s="67"/>
      <c r="K16" s="67"/>
      <c r="L16" s="67"/>
      <c r="M16" s="67"/>
      <c r="AA16" s="75"/>
    </row>
    <row r="17" spans="1:28" x14ac:dyDescent="0.35">
      <c r="A17" s="67"/>
      <c r="B17" s="67"/>
      <c r="K17" s="67"/>
      <c r="L17" s="67"/>
      <c r="M17" s="67"/>
    </row>
    <row r="18" spans="1:28" x14ac:dyDescent="0.35">
      <c r="A18" s="67"/>
      <c r="B18" s="67"/>
      <c r="K18" s="67"/>
      <c r="L18" s="67"/>
      <c r="M18" s="67"/>
    </row>
    <row r="19" spans="1:28" x14ac:dyDescent="0.35">
      <c r="B19" s="67"/>
      <c r="C19" s="67"/>
      <c r="D19" s="403"/>
      <c r="E19" s="67"/>
      <c r="F19" s="67"/>
      <c r="G19" s="67"/>
      <c r="H19" s="67"/>
      <c r="I19" s="67"/>
      <c r="J19" s="67"/>
      <c r="K19" s="67"/>
      <c r="L19" s="67"/>
    </row>
    <row r="20" spans="1:28" x14ac:dyDescent="0.35">
      <c r="A20" s="98"/>
      <c r="B20" s="67"/>
      <c r="C20" s="67"/>
      <c r="D20" s="403"/>
      <c r="E20" s="67"/>
      <c r="F20" s="67"/>
      <c r="G20" s="67"/>
      <c r="H20" s="98"/>
      <c r="I20" s="98"/>
      <c r="J20" s="67"/>
      <c r="K20" s="67"/>
      <c r="L20" s="67"/>
    </row>
    <row r="21" spans="1:28" x14ac:dyDescent="0.35">
      <c r="A21" s="67"/>
      <c r="B21" s="67"/>
      <c r="C21" s="67"/>
      <c r="D21" s="403"/>
      <c r="E21" s="67"/>
      <c r="F21" s="67"/>
      <c r="G21" s="67"/>
      <c r="H21" s="67"/>
      <c r="I21" s="67"/>
      <c r="J21" s="67"/>
      <c r="K21" s="67"/>
      <c r="L21" s="67"/>
    </row>
    <row r="22" spans="1:28" x14ac:dyDescent="0.35">
      <c r="A22" s="67"/>
      <c r="B22" s="67"/>
      <c r="C22" s="67"/>
      <c r="D22" s="403"/>
      <c r="E22" s="67"/>
      <c r="F22" s="67"/>
      <c r="G22" s="67"/>
      <c r="H22" s="67"/>
      <c r="I22" s="67"/>
      <c r="J22" s="67"/>
      <c r="K22" s="67"/>
      <c r="L22" s="67"/>
    </row>
    <row r="23" spans="1:28" x14ac:dyDescent="0.35">
      <c r="A23" s="67"/>
      <c r="B23" s="67"/>
      <c r="C23" s="67"/>
      <c r="D23" s="403"/>
      <c r="E23" s="67"/>
      <c r="F23" s="67"/>
      <c r="G23" s="67"/>
      <c r="H23" s="67"/>
      <c r="I23" s="67"/>
      <c r="J23" s="67"/>
      <c r="K23" s="67"/>
      <c r="L23" s="67"/>
    </row>
    <row r="24" spans="1:28" x14ac:dyDescent="0.35">
      <c r="A24" s="67"/>
      <c r="B24" s="67"/>
      <c r="C24" s="67"/>
      <c r="D24" s="403"/>
      <c r="E24" s="67"/>
      <c r="F24" s="67"/>
      <c r="G24" s="67"/>
      <c r="H24" s="67"/>
      <c r="I24" s="67"/>
      <c r="J24" s="67"/>
      <c r="K24" s="67"/>
      <c r="L24" s="67"/>
    </row>
    <row r="25" spans="1:28" x14ac:dyDescent="0.35">
      <c r="A25" s="67"/>
      <c r="B25" s="67"/>
      <c r="C25" s="67"/>
      <c r="D25" s="403"/>
      <c r="E25" s="67"/>
      <c r="F25" s="67"/>
      <c r="G25" s="67"/>
      <c r="H25" s="67"/>
      <c r="I25" s="67"/>
      <c r="J25" s="67"/>
      <c r="K25" s="67"/>
      <c r="L25" s="67"/>
    </row>
    <row r="26" spans="1:28" x14ac:dyDescent="0.35">
      <c r="A26" s="67"/>
      <c r="B26" s="67"/>
      <c r="C26" s="67"/>
      <c r="D26" s="403"/>
      <c r="E26" s="67"/>
      <c r="F26" s="67"/>
      <c r="G26" s="67"/>
      <c r="H26" s="67"/>
      <c r="I26" s="67"/>
      <c r="J26" s="67"/>
      <c r="K26" s="67"/>
      <c r="L26" s="67"/>
    </row>
    <row r="27" spans="1:28" x14ac:dyDescent="0.35">
      <c r="A27" s="67"/>
      <c r="B27" s="67"/>
      <c r="C27" s="67"/>
      <c r="D27" s="403"/>
      <c r="E27" s="67"/>
      <c r="F27" s="67"/>
      <c r="G27" s="67"/>
      <c r="H27" s="67"/>
      <c r="I27" s="67"/>
      <c r="J27" s="67"/>
      <c r="K27" s="67"/>
      <c r="L27" s="67"/>
    </row>
    <row r="28" spans="1:28" x14ac:dyDescent="0.35">
      <c r="A28" s="67"/>
      <c r="B28" s="67"/>
      <c r="C28" s="67"/>
      <c r="D28" s="403"/>
      <c r="E28" s="67"/>
      <c r="F28" s="67"/>
      <c r="G28" s="67"/>
      <c r="H28" s="67"/>
      <c r="I28" s="67"/>
      <c r="J28" s="67"/>
      <c r="K28" s="67"/>
      <c r="L28" s="67"/>
    </row>
    <row r="29" spans="1:28" x14ac:dyDescent="0.35">
      <c r="A29" s="75"/>
    </row>
    <row r="30" spans="1:28" s="122" customFormat="1" ht="22.5" hidden="1" thickTop="1" thickBot="1" x14ac:dyDescent="0.4">
      <c r="A30" s="119" t="s">
        <v>163</v>
      </c>
      <c r="B30" s="118" t="s">
        <v>55</v>
      </c>
      <c r="C30" s="405" t="s">
        <v>56</v>
      </c>
      <c r="D30" s="410" t="s">
        <v>108</v>
      </c>
      <c r="E30" s="407" t="s">
        <v>99</v>
      </c>
      <c r="F30" s="118" t="s">
        <v>109</v>
      </c>
      <c r="G30" s="118" t="s">
        <v>40</v>
      </c>
      <c r="H30" s="118" t="s">
        <v>65</v>
      </c>
      <c r="I30" s="118" t="s">
        <v>66</v>
      </c>
      <c r="J30" s="118" t="s">
        <v>68</v>
      </c>
      <c r="K30" s="118" t="s">
        <v>162</v>
      </c>
      <c r="L30" s="118" t="s">
        <v>161</v>
      </c>
      <c r="M30" s="118" t="s">
        <v>110</v>
      </c>
      <c r="N30" s="118" t="s">
        <v>111</v>
      </c>
      <c r="O30" s="390" t="s">
        <v>51</v>
      </c>
      <c r="P30" s="390" t="s">
        <v>49</v>
      </c>
      <c r="Q30" s="390" t="s">
        <v>52</v>
      </c>
      <c r="R30" s="390" t="s">
        <v>50</v>
      </c>
      <c r="S30" s="118" t="s">
        <v>41</v>
      </c>
      <c r="T30" s="118" t="s">
        <v>42</v>
      </c>
      <c r="U30" s="118" t="s">
        <v>43</v>
      </c>
      <c r="V30" s="118" t="s">
        <v>44</v>
      </c>
      <c r="W30" s="118" t="s">
        <v>45</v>
      </c>
      <c r="X30" s="118" t="s">
        <v>46</v>
      </c>
      <c r="Y30" s="118" t="s">
        <v>47</v>
      </c>
      <c r="Z30" s="120" t="s">
        <v>48</v>
      </c>
      <c r="AA30" s="121" t="s">
        <v>112</v>
      </c>
      <c r="AB30" s="122" t="s">
        <v>160</v>
      </c>
    </row>
    <row r="31" spans="1:28" hidden="1" x14ac:dyDescent="0.35">
      <c r="A31" s="389" t="s">
        <v>69</v>
      </c>
      <c r="B31" s="343">
        <v>298.14999999999998</v>
      </c>
      <c r="C31" s="343">
        <v>302.91000000000003</v>
      </c>
      <c r="D31" s="409" t="s">
        <v>63</v>
      </c>
      <c r="E31" s="388">
        <v>0</v>
      </c>
      <c r="F31" s="388">
        <v>40.726999999999997</v>
      </c>
      <c r="G31" s="388">
        <v>-385.053</v>
      </c>
      <c r="H31" s="388">
        <v>1732.9169999999999</v>
      </c>
      <c r="I31" s="388">
        <v>65.540999999999997</v>
      </c>
      <c r="J31" s="388">
        <v>-2016.1869999999999</v>
      </c>
      <c r="K31" s="388">
        <v>0</v>
      </c>
      <c r="L31" s="388">
        <v>0</v>
      </c>
      <c r="M31" s="387">
        <v>2.9814999999999998E-2</v>
      </c>
      <c r="N31" s="387">
        <v>3.0291000000000002E-2</v>
      </c>
      <c r="O31" s="386">
        <v>0</v>
      </c>
      <c r="P31" s="386">
        <v>124.75698787267221</v>
      </c>
      <c r="Q31" s="385">
        <v>40.726999999999997</v>
      </c>
      <c r="R31" s="385">
        <v>41.142128128570683</v>
      </c>
      <c r="S31" s="384">
        <v>0</v>
      </c>
      <c r="T31" s="383">
        <v>-158.39844524532509</v>
      </c>
      <c r="U31" s="384">
        <v>-46.311022911780618</v>
      </c>
      <c r="V31" s="383">
        <v>3.9413674905285946E-3</v>
      </c>
      <c r="W31" s="384">
        <v>-0.93301705784567912</v>
      </c>
      <c r="X31" s="383">
        <v>1042.105358109327</v>
      </c>
      <c r="Y31" s="384">
        <v>-4041.5078076452774</v>
      </c>
      <c r="Z31" s="383">
        <v>0</v>
      </c>
      <c r="AA31" s="382" t="s">
        <v>106</v>
      </c>
      <c r="AB31" s="310"/>
    </row>
    <row r="32" spans="1:28" hidden="1" x14ac:dyDescent="0.35">
      <c r="A32" s="389" t="s">
        <v>69</v>
      </c>
      <c r="B32" s="343">
        <v>302.91000000000003</v>
      </c>
      <c r="C32" s="343">
        <v>700</v>
      </c>
      <c r="D32" s="409" t="s">
        <v>58</v>
      </c>
      <c r="E32" s="388">
        <v>5.59</v>
      </c>
      <c r="F32" s="388">
        <v>18.454000000000001</v>
      </c>
      <c r="G32" s="388">
        <v>26.071000000000002</v>
      </c>
      <c r="H32" s="388">
        <v>-0.307</v>
      </c>
      <c r="I32" s="388">
        <v>2.3660000000000001</v>
      </c>
      <c r="J32" s="388">
        <v>0.246</v>
      </c>
      <c r="K32" s="388">
        <v>0</v>
      </c>
      <c r="L32" s="388">
        <v>0</v>
      </c>
      <c r="M32" s="387">
        <v>3.0291000000000002E-2</v>
      </c>
      <c r="N32" s="387">
        <v>7.0000000000000007E-2</v>
      </c>
      <c r="O32" s="386">
        <v>5714.7569878726727</v>
      </c>
      <c r="P32" s="386">
        <v>16475.096727126416</v>
      </c>
      <c r="Q32" s="385">
        <v>59.596128128570683</v>
      </c>
      <c r="R32" s="385">
        <v>82.409320091077461</v>
      </c>
      <c r="S32" s="384">
        <v>6.7231944193878151E-2</v>
      </c>
      <c r="T32" s="383">
        <v>15.161939633818086</v>
      </c>
      <c r="U32" s="384">
        <v>3.1356064706236091</v>
      </c>
      <c r="V32" s="383">
        <v>1.4228155631727706E-4</v>
      </c>
      <c r="W32" s="384">
        <v>8.3943884453347564E-2</v>
      </c>
      <c r="X32" s="383">
        <v>-0.18461723495098922</v>
      </c>
      <c r="Y32" s="384">
        <v>0.49311443863130677</v>
      </c>
      <c r="Z32" s="383">
        <v>0</v>
      </c>
      <c r="AA32" s="382" t="s">
        <v>106</v>
      </c>
      <c r="AB32" s="310"/>
    </row>
    <row r="33" spans="1:28" hidden="1" x14ac:dyDescent="0.35">
      <c r="A33" s="389" t="s">
        <v>69</v>
      </c>
      <c r="B33" s="343">
        <v>700</v>
      </c>
      <c r="C33" s="343">
        <v>4000</v>
      </c>
      <c r="D33" s="409" t="s">
        <v>58</v>
      </c>
      <c r="E33" s="388">
        <v>0</v>
      </c>
      <c r="F33" s="388">
        <v>0</v>
      </c>
      <c r="G33" s="388">
        <v>26.068999999999999</v>
      </c>
      <c r="H33" s="388">
        <v>-0.30099999999999999</v>
      </c>
      <c r="I33" s="388">
        <v>2.37</v>
      </c>
      <c r="J33" s="388">
        <v>0.24099999999999999</v>
      </c>
      <c r="K33" s="388">
        <v>0</v>
      </c>
      <c r="L33" s="388">
        <v>0</v>
      </c>
      <c r="M33" s="387">
        <v>7.0000000000000007E-2</v>
      </c>
      <c r="N33" s="387">
        <v>0.4</v>
      </c>
      <c r="O33" s="386">
        <v>16475.096727126416</v>
      </c>
      <c r="P33" s="386">
        <v>105561.64215569783</v>
      </c>
      <c r="Q33" s="385">
        <v>82.409320091077461</v>
      </c>
      <c r="R33" s="385">
        <v>128.9568723893446</v>
      </c>
      <c r="S33" s="384">
        <v>6.7231944193878151E-2</v>
      </c>
      <c r="T33" s="383">
        <v>15.161231791276917</v>
      </c>
      <c r="U33" s="384">
        <v>3.1353659269950085</v>
      </c>
      <c r="V33" s="383">
        <v>1.4252209994587768E-4</v>
      </c>
      <c r="W33" s="384">
        <v>8.3930978142227303E-2</v>
      </c>
      <c r="X33" s="383">
        <v>-0.18100908052197964</v>
      </c>
      <c r="Y33" s="384">
        <v>0.48309178743961351</v>
      </c>
      <c r="Z33" s="383">
        <v>0</v>
      </c>
      <c r="AA33" s="382" t="s">
        <v>106</v>
      </c>
      <c r="AB33" s="310"/>
    </row>
    <row r="34" spans="1:28" hidden="1" x14ac:dyDescent="0.35">
      <c r="A34" s="389" t="s">
        <v>69</v>
      </c>
      <c r="B34" s="343">
        <v>100</v>
      </c>
      <c r="C34" s="343">
        <v>298.14999999999998</v>
      </c>
      <c r="D34" s="409" t="s">
        <v>61</v>
      </c>
      <c r="E34" s="388">
        <v>272</v>
      </c>
      <c r="F34" s="388">
        <v>169.042</v>
      </c>
      <c r="G34" s="388">
        <v>10.333</v>
      </c>
      <c r="H34" s="388">
        <v>69.971999999999994</v>
      </c>
      <c r="I34" s="388">
        <v>0.41799999999999998</v>
      </c>
      <c r="J34" s="388">
        <v>-72.948999999999998</v>
      </c>
      <c r="K34" s="388">
        <v>0</v>
      </c>
      <c r="L34" s="388">
        <v>0</v>
      </c>
      <c r="M34" s="387">
        <f>B34/10000</f>
        <v>0.01</v>
      </c>
      <c r="N34" s="387">
        <f>C34/10000</f>
        <v>2.9814999999999998E-2</v>
      </c>
      <c r="O34" s="386">
        <f>E34*1000</f>
        <v>272000</v>
      </c>
      <c r="P34" s="386">
        <f>10000*$A$1*(N34*U34-V34*2/N34+X34*N34^2+Y34*2*N34^3+Z34*3*N34^4-W34+S34)</f>
        <v>276465.29793802486</v>
      </c>
      <c r="Q34" s="385">
        <f>F34</f>
        <v>169.042</v>
      </c>
      <c r="R34" s="385">
        <f>$A$1*(T34+U34+U34*LN(N34)-V34/N34^2+X34*2*N34+Y34*3*N34^2+Z34*4*N34^3)</f>
        <v>193.17228398268267</v>
      </c>
      <c r="S34" s="384">
        <f>SUM($E$3:E34)/$A$1/10</f>
        <v>6.6100186421312142</v>
      </c>
      <c r="T34" s="383">
        <f>IF(D34="end","N/D",Q34/$A$1 - U34 - U34*LN(M34) + V34/(M34^2) - X34*2*M34 - Y34*3*M34^2 - Z34*4*M34^3)</f>
        <v>24.265051239619336</v>
      </c>
      <c r="U34" s="384">
        <f>G34*10^($G$2)/$A$1</f>
        <v>1.2427686571651932</v>
      </c>
      <c r="V34" s="383">
        <f>I34/(2*$A$1)*(10^($I$2)/10^8)</f>
        <v>2.5136809188766609E-5</v>
      </c>
      <c r="W34" s="384">
        <f>U34*M34 - V34*2/M34 + X34*M34^2 + Y34*2*M34^3 + Z34*3*M34^4 + S34-O34/10000/$A$1</f>
        <v>3.3499409906388413</v>
      </c>
      <c r="X34" s="383">
        <f>H34/2/$A$1*(10^($H$2)*10^4)</f>
        <v>42.078296951109508</v>
      </c>
      <c r="Y34" s="384">
        <f>J34/6/$A$1*(10^($J$2)*10^8)</f>
        <v>-146.22847635656581</v>
      </c>
      <c r="Z34" s="383">
        <f>L34/12/$A$1*(10^($L$2)*10^12)</f>
        <v>0</v>
      </c>
      <c r="AA34" s="382" t="s">
        <v>106</v>
      </c>
      <c r="AB34" s="310"/>
    </row>
    <row r="35" spans="1:28" hidden="1" x14ac:dyDescent="0.35">
      <c r="A35" s="389" t="s">
        <v>69</v>
      </c>
      <c r="B35" s="343">
        <v>298.14999999999998</v>
      </c>
      <c r="C35" s="343">
        <v>700</v>
      </c>
      <c r="D35" s="409" t="s">
        <v>61</v>
      </c>
      <c r="E35" s="388">
        <v>0</v>
      </c>
      <c r="F35" s="388">
        <v>0</v>
      </c>
      <c r="G35" s="388">
        <v>38.252000000000002</v>
      </c>
      <c r="H35" s="388">
        <v>-19.521999999999998</v>
      </c>
      <c r="I35" s="388">
        <v>-6.6580000000000004</v>
      </c>
      <c r="J35" s="388">
        <v>4.476</v>
      </c>
      <c r="K35" s="388">
        <v>0</v>
      </c>
      <c r="L35" s="388">
        <v>0</v>
      </c>
      <c r="M35" s="387">
        <f>B35/10000</f>
        <v>2.9814999999999998E-2</v>
      </c>
      <c r="N35" s="387">
        <f>C35/10000</f>
        <v>7.0000000000000007E-2</v>
      </c>
      <c r="O35" s="386">
        <f>P34+E35*1000</f>
        <v>276465.29793802486</v>
      </c>
      <c r="P35" s="386">
        <f>10000*$A$1*(N35*U35-V35*2/N35+X35*N35^2+Y35*2*N35^3+Z35*3*N35^4-W35+S35)</f>
        <v>287111.91421769373</v>
      </c>
      <c r="Q35" s="385">
        <f>R34+F35</f>
        <v>193.17228398268267</v>
      </c>
      <c r="R35" s="385">
        <f>$A$1*(T35+U35+U35*LN(N35)-V35/N35^2+X35*2*N35+Y35*3*N35^2+Z35*4*N35^3)</f>
        <v>215.80695397369695</v>
      </c>
      <c r="S35" s="384">
        <f>SUM($E$3:E35)/$A$1/10</f>
        <v>6.6100186421312142</v>
      </c>
      <c r="T35" s="383">
        <f>IF(D35="end","N/D",Q35/$A$1 - U35 - U35*LN(M35) + V35/(M35^2) - X35*2*M35 - Y35*3*M35^2 - Z35*4*M35^3)</f>
        <v>35.019106518894404</v>
      </c>
      <c r="U35" s="384">
        <f>G35*10^($G$2)/$A$1</f>
        <v>4.6006374406157917</v>
      </c>
      <c r="V35" s="383">
        <f>I35/(2*$A$1)*(10^($I$2)/10^8)</f>
        <v>-4.0038486980576099E-4</v>
      </c>
      <c r="W35" s="384">
        <f>U35*M35 - V35*2/M35 + X35*M35^2 + Y35*2*M35^3 + Z35*3*M35^4 + S35-O35/10000/$A$1</f>
        <v>3.4389860441331286</v>
      </c>
      <c r="X35" s="383">
        <f>H35/2/$A$1*(10^($H$2)*10^4)</f>
        <v>-11.739731793854109</v>
      </c>
      <c r="Y35" s="384">
        <f>J35/6/$A$1*(10^($J$2)*10^8)</f>
        <v>8.9722773468037751</v>
      </c>
      <c r="Z35" s="383">
        <f>L35/12/$A$1*(10^($L$2)*10^12)</f>
        <v>0</v>
      </c>
      <c r="AA35" s="382" t="s">
        <v>106</v>
      </c>
      <c r="AB35" s="310"/>
    </row>
    <row r="36" spans="1:28" hidden="1" x14ac:dyDescent="0.35">
      <c r="A36" s="389" t="s">
        <v>69</v>
      </c>
      <c r="B36" s="343">
        <v>700</v>
      </c>
      <c r="C36" s="343">
        <v>1400</v>
      </c>
      <c r="D36" s="409" t="s">
        <v>61</v>
      </c>
      <c r="E36" s="388">
        <v>0</v>
      </c>
      <c r="F36" s="388">
        <v>0</v>
      </c>
      <c r="G36" s="388">
        <v>30.738</v>
      </c>
      <c r="H36" s="388">
        <v>-10.738</v>
      </c>
      <c r="I36" s="388">
        <v>3.0350000000000001</v>
      </c>
      <c r="J36" s="388">
        <v>3.2719999999999998</v>
      </c>
      <c r="K36" s="388">
        <v>0</v>
      </c>
      <c r="L36" s="388">
        <v>0</v>
      </c>
      <c r="M36" s="387">
        <f>B36/10000</f>
        <v>7.0000000000000007E-2</v>
      </c>
      <c r="N36" s="387">
        <f>C36/10000</f>
        <v>0.14000000000000001</v>
      </c>
      <c r="O36" s="386">
        <f>P35+E36*1000</f>
        <v>287111.91421769373</v>
      </c>
      <c r="P36" s="386">
        <f>10000*$A$1*(N36*U36-V36*2/N36+X36*N36^2+Y36*2*N36^3+Z36*3*N36^4-W36+S36)</f>
        <v>303571.56059864612</v>
      </c>
      <c r="Q36" s="385">
        <f>R35+F36</f>
        <v>215.80695397369695</v>
      </c>
      <c r="R36" s="385">
        <f>$A$1*(T36+U36+U36*LN(N36)-V36/N36^2+X36*2*N36+Y36*3*N36^2+Z36*4*N36^3)</f>
        <v>232.23350241791178</v>
      </c>
      <c r="S36" s="384">
        <f>SUM($E$3:E36)/$A$1/10</f>
        <v>6.6100186421312142</v>
      </c>
      <c r="T36" s="383">
        <f>IF(D36="end","N/D",Q36/$A$1 - U36 - U36*LN(M36) + V36/(M36^2) - X36*2*M36 - Y36*3*M36^2 - Z36*4*M36^3)</f>
        <v>32.934505125562289</v>
      </c>
      <c r="U36" s="384">
        <f>G36*10^($G$2)/$A$1</f>
        <v>3.6969150279631964</v>
      </c>
      <c r="V36" s="383">
        <f>I36/(2*$A$1)*(10^($I$2)/10^8)</f>
        <v>1.8251247820073367E-4</v>
      </c>
      <c r="W36" s="384">
        <f>U36*M36 - V36*2/M36 + X36*M36^2 + Y36*2*M36^3 + Z36*3*M36^4 + S36-O36/10000/$A$1</f>
        <v>3.3832990921931723</v>
      </c>
      <c r="X36" s="383">
        <f>H36/2/$A$1*(10^($H$2)*10^4)</f>
        <v>-6.4573937097841121</v>
      </c>
      <c r="Y36" s="384">
        <f>J36/6/$A$1*(10^($J$2)*10^8)</f>
        <v>6.5588229398440472</v>
      </c>
      <c r="Z36" s="383">
        <f>L36/12/$A$1*(10^($L$2)*10^12)</f>
        <v>0</v>
      </c>
      <c r="AA36" s="382" t="s">
        <v>106</v>
      </c>
      <c r="AB36" s="310"/>
    </row>
    <row r="37" spans="1:28" hidden="1" x14ac:dyDescent="0.35">
      <c r="A37" s="389" t="s">
        <v>69</v>
      </c>
      <c r="B37" s="343">
        <v>1400</v>
      </c>
      <c r="C37" s="343">
        <v>6000</v>
      </c>
      <c r="D37" s="409" t="s">
        <v>61</v>
      </c>
      <c r="E37" s="388">
        <v>0</v>
      </c>
      <c r="F37" s="388">
        <v>0</v>
      </c>
      <c r="G37" s="388">
        <v>21.984999999999999</v>
      </c>
      <c r="H37" s="388">
        <v>-0.63900000000000001</v>
      </c>
      <c r="I37" s="388">
        <v>19.834</v>
      </c>
      <c r="J37" s="388">
        <v>8.7999999999999995E-2</v>
      </c>
      <c r="K37" s="388">
        <v>0</v>
      </c>
      <c r="L37" s="388">
        <v>0</v>
      </c>
      <c r="M37" s="387">
        <f>B37/10000</f>
        <v>0.14000000000000001</v>
      </c>
      <c r="N37" s="387">
        <f>C37/10000</f>
        <v>0.6</v>
      </c>
      <c r="O37" s="386">
        <f>P36+E37*1000</f>
        <v>303571.56059864612</v>
      </c>
      <c r="P37" s="386">
        <f>10000*$A$1*(N37*U37-V37*2/N37+X37*N37^2+Y37*2*N37^3+Z37*3*N37^4-W37+S37)</f>
        <v>401168.43755102699</v>
      </c>
      <c r="Q37" s="385">
        <f>R36+F37</f>
        <v>232.23350241791178</v>
      </c>
      <c r="R37" s="385">
        <f>$A$1*(T37+U37+U37*LN(N37)-V37/N37^2+X37*2*N37+Y37*3*N37^2+Z37*4*N37^3)</f>
        <v>263.26477439230604</v>
      </c>
      <c r="S37" s="384">
        <f>SUM($E$3:E37)/$A$1/10</f>
        <v>6.6100186421312142</v>
      </c>
      <c r="T37" s="383">
        <f>IF(D37="end","N/D",Q37/$A$1 - U37 - U37*LN(M37) + V37/(M37^2) - X37*2*M37 - Y37*3*M37^2 - Z37*4*M37^3)</f>
        <v>30.643793728188538</v>
      </c>
      <c r="U37" s="384">
        <f>G37*10^($G$2)/$A$1</f>
        <v>2.6441758373925066</v>
      </c>
      <c r="V37" s="383">
        <f>I37/(2*$A$1)*(10^($I$2)/10^8)</f>
        <v>1.1927355824162607E-3</v>
      </c>
      <c r="W37" s="384">
        <f>U37*M37 - V37*2/M37 + X37*M37^2 + Y37*2*M37^3 + Z37*3*M37^4 + S37-O37/10000/$A$1</f>
        <v>3.3054903575958399</v>
      </c>
      <c r="X37" s="383">
        <f>H37/2/$A$1*(10^($H$2)*10^4)</f>
        <v>-0.38426844668951826</v>
      </c>
      <c r="Y37" s="384">
        <f>J37/6/$A$1*(10^($J$2)*10^8)</f>
        <v>0.17639866097380077</v>
      </c>
      <c r="Z37" s="383">
        <f>L37/12/$A$1*(10^($L$2)*10^12)</f>
        <v>0</v>
      </c>
      <c r="AA37" s="382" t="s">
        <v>106</v>
      </c>
      <c r="AB37" s="310"/>
    </row>
    <row r="38" spans="1:28" hidden="1" x14ac:dyDescent="0.35">
      <c r="A38" s="389" t="s">
        <v>69</v>
      </c>
      <c r="B38" s="343">
        <v>6000</v>
      </c>
      <c r="C38" s="343">
        <v>10000</v>
      </c>
      <c r="D38" s="409" t="s">
        <v>61</v>
      </c>
      <c r="E38" s="388">
        <v>0</v>
      </c>
      <c r="F38" s="388">
        <v>0</v>
      </c>
      <c r="G38" s="388">
        <v>9.6980000000000004</v>
      </c>
      <c r="H38" s="388">
        <v>0.90400000000000003</v>
      </c>
      <c r="I38" s="388">
        <v>1368.24</v>
      </c>
      <c r="J38" s="388">
        <v>6.8000000000000005E-2</v>
      </c>
      <c r="K38" s="388">
        <v>0</v>
      </c>
      <c r="L38" s="388">
        <v>0</v>
      </c>
      <c r="M38" s="387">
        <f>B38/10000</f>
        <v>0.6</v>
      </c>
      <c r="N38" s="387">
        <f>C38/10000</f>
        <v>1</v>
      </c>
      <c r="O38" s="386">
        <f>P37+E38*1000</f>
        <v>401168.43755102699</v>
      </c>
      <c r="P38" s="386">
        <f>10000*$A$1*(N38*U38-V38*2/N38+X38*N38^2+Y38*2*N38^3+Z38*3*N38^4-W38+S38)</f>
        <v>495780.70421769365</v>
      </c>
      <c r="Q38" s="385">
        <f>R37+F38</f>
        <v>263.26477439230604</v>
      </c>
      <c r="R38" s="385">
        <f>$A$1*(T38+U38+U38*LN(N38)-V38/N38^2+X38*2*N38+Y38*3*N38^2+Z38*4*N38^3)</f>
        <v>275.22697462492192</v>
      </c>
      <c r="S38" s="384">
        <f>SUM($E$3:E38)/$A$1/10</f>
        <v>6.6100186421312142</v>
      </c>
      <c r="T38" s="383">
        <f>IF(D38="end","N/D",Q38/$A$1 - U38 - U38*LN(M38) + V38/(M38^2) - X38*2*M38 - Y38*3*M38^2 - Z38*4*M38^3)</f>
        <v>30.521750511145822</v>
      </c>
      <c r="U38" s="384">
        <f>G38*10^($G$2)/$A$1</f>
        <v>1.166396055084491</v>
      </c>
      <c r="V38" s="383">
        <f>I38/(2*$A$1)*(10^($I$2)/10^8)</f>
        <v>8.2280353599134035E-2</v>
      </c>
      <c r="W38" s="384">
        <f>U38*M38 - V38*2/M38 + X38*M38^2 + Y38*2*M38^3 + Z38*3*M38^4 + S38-O38/10000/$A$1</f>
        <v>2.4652542239337638</v>
      </c>
      <c r="X38" s="383">
        <f>H38/2/$A$1*(10^($H$2)*10^4)</f>
        <v>0.54362860063744056</v>
      </c>
      <c r="Y38" s="384">
        <f>J38/6/$A$1*(10^($J$2)*10^8)</f>
        <v>0.13630805620702788</v>
      </c>
      <c r="Z38" s="383">
        <f>L38/12/$A$1*(10^($L$2)*10^12)</f>
        <v>0</v>
      </c>
      <c r="AA38" s="382" t="s">
        <v>106</v>
      </c>
    </row>
    <row r="39" spans="1:28" hidden="1" x14ac:dyDescent="0.35">
      <c r="A39" s="389" t="s">
        <v>140</v>
      </c>
      <c r="B39" s="343">
        <v>298.14999999999998</v>
      </c>
      <c r="C39" s="343">
        <v>600</v>
      </c>
      <c r="D39" s="409" t="s">
        <v>58</v>
      </c>
      <c r="E39" s="388">
        <v>5.569</v>
      </c>
      <c r="F39" s="388">
        <v>59.218000000000004</v>
      </c>
      <c r="G39" s="388">
        <v>24.388999999999999</v>
      </c>
      <c r="H39" s="388">
        <v>2.2890000000000001</v>
      </c>
      <c r="I39" s="388">
        <v>3.105</v>
      </c>
      <c r="J39" s="388">
        <v>0</v>
      </c>
      <c r="K39" s="388">
        <v>0</v>
      </c>
      <c r="L39" s="388">
        <v>0</v>
      </c>
      <c r="M39" s="387">
        <f>B39/10000</f>
        <v>2.9814999999999998E-2</v>
      </c>
      <c r="N39" s="387">
        <f>C39/10000</f>
        <v>0.06</v>
      </c>
      <c r="O39" s="386">
        <f>E39*1000</f>
        <v>5569</v>
      </c>
      <c r="P39" s="386">
        <f>10000*$A$1*(N39*U39-V39*2/N39+X39*N39^2+Y39*2*N39^3+Z39*3*N39^4-W39+S39)</f>
        <v>13765.023230916981</v>
      </c>
      <c r="Q39" s="385">
        <f>F39</f>
        <v>59.218000000000004</v>
      </c>
      <c r="R39" s="385">
        <f>$A$1*(T39+U39+U39*LN(N39)-V39/N39^2+X39*2*N39+Y39*3*N39^2+Z39*4*N39^3)</f>
        <v>78.280189139449064</v>
      </c>
      <c r="S39" s="384">
        <f>SUM($E$3:E39)/$A$1/10</f>
        <v>6.6769980155150623</v>
      </c>
      <c r="T39" s="383">
        <f>IF(D39="end","N/D",Q39/$A$1 - U39 - U39*LN(M39) + V39/(M39^2) - X39*2*M39 - Y39*3*M39^2 - Z39*4*M39^3)</f>
        <v>14.62088076378731</v>
      </c>
      <c r="U39" s="384">
        <f>G39*10^($G$2)/$A$1</f>
        <v>2.9333092789704729</v>
      </c>
      <c r="V39" s="383">
        <f>I39/(2*$A$1)*(10^($I$2)/10^8)</f>
        <v>1.867219917012448E-4</v>
      </c>
      <c r="W39" s="384">
        <f>U39*M39 - V39*2/M39 + X39*M39^2 + Y39*2*M39^3 + Z39*3*M39^4 + S39-O39/10000/$A$1</f>
        <v>6.6861735133692086</v>
      </c>
      <c r="X39" s="383">
        <f>H39/2/$A$1*(10^($H$2)*10^4)</f>
        <v>1.3765109146671479</v>
      </c>
      <c r="Y39" s="384">
        <f>J39/6/$A$1*(10^($J$2)*10^8)</f>
        <v>0</v>
      </c>
      <c r="Z39" s="383">
        <f>L39/12/$A$1*(10^($L$2)*10^12)</f>
        <v>0</v>
      </c>
      <c r="AA39" s="382" t="s">
        <v>106</v>
      </c>
      <c r="AB39" s="310"/>
    </row>
    <row r="40" spans="1:28" hidden="1" x14ac:dyDescent="0.35">
      <c r="A40" s="389" t="s">
        <v>140</v>
      </c>
      <c r="B40" s="343">
        <v>600</v>
      </c>
      <c r="C40" s="343">
        <v>2478</v>
      </c>
      <c r="D40" s="409" t="s">
        <v>58</v>
      </c>
      <c r="E40" s="388">
        <v>0</v>
      </c>
      <c r="F40" s="388">
        <v>0</v>
      </c>
      <c r="G40" s="388">
        <v>26.568000000000001</v>
      </c>
      <c r="H40" s="388">
        <v>0</v>
      </c>
      <c r="I40" s="388">
        <v>0</v>
      </c>
      <c r="J40" s="388">
        <v>0</v>
      </c>
      <c r="K40" s="388">
        <v>0</v>
      </c>
      <c r="L40" s="388">
        <v>0</v>
      </c>
      <c r="M40" s="387">
        <f>B40/10000</f>
        <v>0.06</v>
      </c>
      <c r="N40" s="387">
        <f>C40/10000</f>
        <v>0.24779999999999999</v>
      </c>
      <c r="O40" s="386">
        <f>P39+E40*1000</f>
        <v>13765.023230916981</v>
      </c>
      <c r="P40" s="386">
        <f>10000*$A$1*(N40*U40-V40*2/N40+X40*N40^2+Y40*2*N40^3+Z40*3*N40^4-W40+S40)</f>
        <v>63659.727230916913</v>
      </c>
      <c r="Q40" s="385">
        <f>R39+F40</f>
        <v>78.280189139449064</v>
      </c>
      <c r="R40" s="385">
        <f>$A$1*(T40+U40+U40*LN(N40)-V40/N40^2+X40*2*N40+Y40*3*N40^2+Z40*4*N40^3)</f>
        <v>115.9609832879062</v>
      </c>
      <c r="S40" s="384">
        <f>SUM($E$3:E40)/$A$1/10</f>
        <v>6.6769980155150623</v>
      </c>
      <c r="T40" s="383">
        <f>IF(D40="end","N/D",Q40/$A$1 - U40 - U40*LN(M40) + V40/(M40^2) - X40*2*M40 - Y40*3*M40^2 - Z40*4*M40^3)</f>
        <v>15.209439540841867</v>
      </c>
      <c r="U40" s="384">
        <f>G40*10^($G$2)/$A$1</f>
        <v>3.1953815623308675</v>
      </c>
      <c r="V40" s="383">
        <f>I40/(2*$A$1)*(10^($I$2)/10^8)</f>
        <v>0</v>
      </c>
      <c r="W40" s="384">
        <f>U40*M40 - V40*2/M40 + X40*M40^2 + Y40*2*M40^3 + Z40*3*M40^4 + S40-O40/10000/$A$1</f>
        <v>6.7031664774680726</v>
      </c>
      <c r="X40" s="383">
        <f>H40/2/$A$1*(10^($H$2)*10^4)</f>
        <v>0</v>
      </c>
      <c r="Y40" s="384">
        <f>J40/6/$A$1*(10^($J$2)*10^8)</f>
        <v>0</v>
      </c>
      <c r="Z40" s="383">
        <f>L40/12/$A$1*(10^($L$2)*10^12)</f>
        <v>0</v>
      </c>
      <c r="AA40" s="382" t="s">
        <v>106</v>
      </c>
      <c r="AB40" s="310"/>
    </row>
    <row r="41" spans="1:28" hidden="1" x14ac:dyDescent="0.35">
      <c r="A41" s="389" t="s">
        <v>70</v>
      </c>
      <c r="B41" s="343">
        <v>298.14999999999998</v>
      </c>
      <c r="C41" s="343">
        <v>398</v>
      </c>
      <c r="D41" s="409" t="s">
        <v>63</v>
      </c>
      <c r="E41" s="388">
        <v>-183.25899999999999</v>
      </c>
      <c r="F41" s="388">
        <v>112.968</v>
      </c>
      <c r="G41" s="388">
        <v>0</v>
      </c>
      <c r="H41" s="388">
        <v>0</v>
      </c>
      <c r="I41" s="388">
        <v>0</v>
      </c>
      <c r="J41" s="388">
        <v>0</v>
      </c>
      <c r="K41" s="388">
        <v>0</v>
      </c>
      <c r="L41" s="388">
        <v>0</v>
      </c>
      <c r="M41" s="387">
        <v>2.9814999999999998E-2</v>
      </c>
      <c r="N41" s="387">
        <v>3.9800000000000002E-2</v>
      </c>
      <c r="O41" s="386">
        <v>-183259</v>
      </c>
      <c r="P41" s="386">
        <v>-183258.99999999997</v>
      </c>
      <c r="Q41" s="385">
        <v>112.968</v>
      </c>
      <c r="R41" s="385">
        <v>112.968</v>
      </c>
      <c r="S41" s="384">
        <v>-2.2040892416862103</v>
      </c>
      <c r="T41" s="383">
        <v>13.586866317878405</v>
      </c>
      <c r="U41" s="384">
        <v>0</v>
      </c>
      <c r="V41" s="383">
        <v>0</v>
      </c>
      <c r="W41" s="384">
        <v>0</v>
      </c>
      <c r="X41" s="383">
        <v>0</v>
      </c>
      <c r="Y41" s="384">
        <v>0</v>
      </c>
      <c r="Z41" s="383">
        <v>0</v>
      </c>
      <c r="AA41" s="382" t="s">
        <v>106</v>
      </c>
      <c r="AB41" s="310"/>
    </row>
    <row r="42" spans="1:28" hidden="1" x14ac:dyDescent="0.35">
      <c r="A42" s="389" t="s">
        <v>71</v>
      </c>
      <c r="B42" s="343">
        <v>298.14999999999998</v>
      </c>
      <c r="C42" s="343">
        <v>1293</v>
      </c>
      <c r="D42" s="409" t="s">
        <v>63</v>
      </c>
      <c r="E42" s="388">
        <v>-408.77699999999999</v>
      </c>
      <c r="F42" s="388">
        <v>179.91200000000001</v>
      </c>
      <c r="G42" s="388">
        <v>105.73</v>
      </c>
      <c r="H42" s="388">
        <v>35.313000000000002</v>
      </c>
      <c r="I42" s="388">
        <v>0</v>
      </c>
      <c r="J42" s="388">
        <v>0</v>
      </c>
      <c r="K42" s="388">
        <v>0</v>
      </c>
      <c r="L42" s="388">
        <v>0</v>
      </c>
      <c r="M42" s="387">
        <v>2.9814999999999998E-2</v>
      </c>
      <c r="N42" s="387">
        <v>0.1293</v>
      </c>
      <c r="O42" s="386">
        <v>-408777</v>
      </c>
      <c r="P42" s="386">
        <v>-275642.05434587126</v>
      </c>
      <c r="Q42" s="385">
        <v>179.91200000000001</v>
      </c>
      <c r="R42" s="385">
        <v>370.16212296042596</v>
      </c>
      <c r="S42" s="384">
        <v>-4.9164351434241382</v>
      </c>
      <c r="T42" s="383">
        <v>52.324952293212974</v>
      </c>
      <c r="U42" s="384">
        <v>12.716338925972698</v>
      </c>
      <c r="V42" s="383">
        <v>0</v>
      </c>
      <c r="W42" s="384">
        <v>0.39801486817452936</v>
      </c>
      <c r="X42" s="383">
        <v>21.235792891935773</v>
      </c>
      <c r="Y42" s="384">
        <v>0</v>
      </c>
      <c r="Z42" s="383">
        <v>0</v>
      </c>
      <c r="AA42" s="382" t="s">
        <v>106</v>
      </c>
      <c r="AB42" s="310"/>
    </row>
    <row r="43" spans="1:28" hidden="1" x14ac:dyDescent="0.35">
      <c r="A43" s="389" t="s">
        <v>62</v>
      </c>
      <c r="B43" s="343">
        <v>298.14999999999998</v>
      </c>
      <c r="C43" s="343">
        <v>1211.4000000000001</v>
      </c>
      <c r="D43" s="409" t="s">
        <v>63</v>
      </c>
      <c r="E43" s="388">
        <v>0</v>
      </c>
      <c r="F43" s="388">
        <v>31.087</v>
      </c>
      <c r="G43" s="388">
        <v>24.1</v>
      </c>
      <c r="H43" s="388">
        <v>2.99</v>
      </c>
      <c r="I43" s="388">
        <v>-1.57</v>
      </c>
      <c r="J43" s="388">
        <v>0</v>
      </c>
      <c r="K43" s="388">
        <v>0</v>
      </c>
      <c r="L43" s="388">
        <v>0</v>
      </c>
      <c r="M43" s="387">
        <v>2.9814999999999998E-2</v>
      </c>
      <c r="N43" s="387">
        <v>0.12114000000000001</v>
      </c>
      <c r="O43" s="386">
        <v>0</v>
      </c>
      <c r="P43" s="386">
        <v>23673.348356575047</v>
      </c>
      <c r="Q43" s="385">
        <v>31.087</v>
      </c>
      <c r="R43" s="385">
        <v>66.774670463076021</v>
      </c>
      <c r="S43" s="384">
        <v>0</v>
      </c>
      <c r="T43" s="383">
        <v>10.808776674393879</v>
      </c>
      <c r="U43" s="384">
        <v>2.8985507246376812</v>
      </c>
      <c r="V43" s="383">
        <v>-9.4413374225750193E-5</v>
      </c>
      <c r="W43" s="384">
        <v>9.4351930325122887E-2</v>
      </c>
      <c r="X43" s="383">
        <v>1.7980636237897649</v>
      </c>
      <c r="Y43" s="384">
        <v>0</v>
      </c>
      <c r="Z43" s="383">
        <v>0</v>
      </c>
      <c r="AA43" s="382" t="s">
        <v>106</v>
      </c>
      <c r="AB43" s="310"/>
    </row>
    <row r="44" spans="1:28" hidden="1" x14ac:dyDescent="0.35">
      <c r="A44" s="389" t="s">
        <v>62</v>
      </c>
      <c r="B44" s="343">
        <v>1211.4000000000001</v>
      </c>
      <c r="C44" s="343">
        <v>4900</v>
      </c>
      <c r="D44" s="409" t="s">
        <v>58</v>
      </c>
      <c r="E44" s="388">
        <v>36.945</v>
      </c>
      <c r="F44" s="388">
        <v>30.521999999999998</v>
      </c>
      <c r="G44" s="388">
        <v>27.6</v>
      </c>
      <c r="H44" s="388">
        <v>0</v>
      </c>
      <c r="I44" s="388">
        <v>0</v>
      </c>
      <c r="J44" s="388">
        <v>0</v>
      </c>
      <c r="K44" s="388">
        <v>0</v>
      </c>
      <c r="L44" s="388">
        <v>0</v>
      </c>
      <c r="M44" s="387">
        <v>0.12114000000000001</v>
      </c>
      <c r="N44" s="387">
        <v>0.49</v>
      </c>
      <c r="O44" s="386">
        <v>60618.34835657505</v>
      </c>
      <c r="P44" s="386">
        <v>162423.70835657502</v>
      </c>
      <c r="Q44" s="385">
        <v>97.296670463076026</v>
      </c>
      <c r="R44" s="385">
        <v>135.86652477470767</v>
      </c>
      <c r="S44" s="384">
        <v>0.44434421793252749</v>
      </c>
      <c r="T44" s="383">
        <v>15.389377795432761</v>
      </c>
      <c r="U44" s="384">
        <v>3.3195020746887964</v>
      </c>
      <c r="V44" s="383">
        <v>0</v>
      </c>
      <c r="W44" s="384">
        <v>0.11740082558692588</v>
      </c>
      <c r="X44" s="383">
        <v>0</v>
      </c>
      <c r="Y44" s="384">
        <v>0</v>
      </c>
      <c r="Z44" s="383">
        <v>0</v>
      </c>
      <c r="AA44" s="382" t="s">
        <v>106</v>
      </c>
      <c r="AB44" s="310"/>
    </row>
    <row r="45" spans="1:28" hidden="1" x14ac:dyDescent="0.35">
      <c r="A45" s="389" t="s">
        <v>81</v>
      </c>
      <c r="B45" s="343">
        <v>298.14999999999998</v>
      </c>
      <c r="C45" s="343">
        <v>948</v>
      </c>
      <c r="D45" s="409" t="s">
        <v>63</v>
      </c>
      <c r="E45" s="388">
        <v>-69.036000000000001</v>
      </c>
      <c r="F45" s="388">
        <v>78.241</v>
      </c>
      <c r="G45" s="388">
        <v>45.104999999999997</v>
      </c>
      <c r="H45" s="388">
        <v>16.393999999999998</v>
      </c>
      <c r="I45" s="388">
        <v>0</v>
      </c>
      <c r="J45" s="388">
        <v>6.0000000000000001E-3</v>
      </c>
      <c r="K45" s="388">
        <v>0</v>
      </c>
      <c r="L45" s="388">
        <v>0</v>
      </c>
      <c r="M45" s="387">
        <v>2.9814999999999998E-2</v>
      </c>
      <c r="N45" s="387">
        <v>9.4799999999999995E-2</v>
      </c>
      <c r="O45" s="386">
        <v>-69036</v>
      </c>
      <c r="P45" s="386">
        <v>-33084.847510596337</v>
      </c>
      <c r="Q45" s="385">
        <v>78.241</v>
      </c>
      <c r="R45" s="385">
        <v>141.07263030020036</v>
      </c>
      <c r="S45" s="384">
        <v>-0.83030849720368027</v>
      </c>
      <c r="T45" s="383">
        <v>22.453564837569701</v>
      </c>
      <c r="U45" s="384">
        <v>5.4248601840158752</v>
      </c>
      <c r="V45" s="383">
        <v>0</v>
      </c>
      <c r="W45" s="384">
        <v>0.17050656252787699</v>
      </c>
      <c r="X45" s="383">
        <v>9.8586806181971252</v>
      </c>
      <c r="Y45" s="384">
        <v>1.2027181430031871E-2</v>
      </c>
      <c r="Z45" s="383">
        <v>0</v>
      </c>
      <c r="AA45" s="382" t="s">
        <v>106</v>
      </c>
      <c r="AB45" s="310"/>
    </row>
    <row r="46" spans="1:28" hidden="1" x14ac:dyDescent="0.35">
      <c r="A46" s="389" t="s">
        <v>81</v>
      </c>
      <c r="B46" s="343">
        <v>948</v>
      </c>
      <c r="C46" s="343">
        <v>1200</v>
      </c>
      <c r="D46" s="409" t="s">
        <v>58</v>
      </c>
      <c r="E46" s="388">
        <v>24.686</v>
      </c>
      <c r="F46" s="388">
        <v>26.041</v>
      </c>
      <c r="G46" s="388">
        <v>63.597000000000001</v>
      </c>
      <c r="H46" s="388">
        <v>0</v>
      </c>
      <c r="I46" s="388">
        <v>0</v>
      </c>
      <c r="J46" s="388">
        <v>0</v>
      </c>
      <c r="K46" s="388">
        <v>0</v>
      </c>
      <c r="L46" s="388">
        <v>0</v>
      </c>
      <c r="M46" s="387">
        <v>9.4799999999999995E-2</v>
      </c>
      <c r="N46" s="387">
        <v>0.12</v>
      </c>
      <c r="O46" s="386">
        <v>-8398.8475105963371</v>
      </c>
      <c r="P46" s="386">
        <v>7627.5964894036615</v>
      </c>
      <c r="Q46" s="385">
        <v>167.11363030020036</v>
      </c>
      <c r="R46" s="385">
        <v>182.10486354513984</v>
      </c>
      <c r="S46" s="384">
        <v>-0.53340549642191348</v>
      </c>
      <c r="T46" s="383">
        <v>30.47089586347429</v>
      </c>
      <c r="U46" s="384">
        <v>7.6489265740573691</v>
      </c>
      <c r="V46" s="383">
        <v>0</v>
      </c>
      <c r="W46" s="384">
        <v>0.29272720561183874</v>
      </c>
      <c r="X46" s="383">
        <v>0</v>
      </c>
      <c r="Y46" s="384">
        <v>0</v>
      </c>
      <c r="Z46" s="383">
        <v>0</v>
      </c>
      <c r="AA46" s="382" t="s">
        <v>106</v>
      </c>
      <c r="AB46" s="310"/>
    </row>
    <row r="47" spans="1:28" hidden="1" x14ac:dyDescent="0.35">
      <c r="A47" s="389" t="s">
        <v>82</v>
      </c>
      <c r="B47" s="343">
        <v>298.14999999999998</v>
      </c>
      <c r="C47" s="343">
        <v>350</v>
      </c>
      <c r="D47" s="409" t="s">
        <v>63</v>
      </c>
      <c r="E47" s="388">
        <v>-112.968</v>
      </c>
      <c r="F47" s="388">
        <v>115.395</v>
      </c>
      <c r="G47" s="388">
        <v>146.40600000000001</v>
      </c>
      <c r="H47" s="388">
        <v>-419.279</v>
      </c>
      <c r="I47" s="388">
        <v>-9.6690000000000005</v>
      </c>
      <c r="J47" s="388">
        <v>690.01700000000005</v>
      </c>
      <c r="K47" s="388">
        <v>0</v>
      </c>
      <c r="L47" s="388">
        <v>0</v>
      </c>
      <c r="M47" s="387">
        <v>2.9814999999999998E-2</v>
      </c>
      <c r="N47" s="387">
        <v>3.5000000000000003E-2</v>
      </c>
      <c r="O47" s="386">
        <v>-112968</v>
      </c>
      <c r="P47" s="386">
        <v>-109137.02129574418</v>
      </c>
      <c r="Q47" s="385">
        <v>115.395</v>
      </c>
      <c r="R47" s="385">
        <v>127.2321509136336</v>
      </c>
      <c r="S47" s="384">
        <v>-1.3586866317878405</v>
      </c>
      <c r="T47" s="383">
        <v>68.816676906083146</v>
      </c>
      <c r="U47" s="384">
        <v>17.608515244452462</v>
      </c>
      <c r="V47" s="383">
        <v>-5.8145408623489088E-4</v>
      </c>
      <c r="W47" s="384">
        <v>0.41318596346922787</v>
      </c>
      <c r="X47" s="383">
        <v>-252.13723014011663</v>
      </c>
      <c r="Y47" s="384">
        <v>1383.1599414677171</v>
      </c>
      <c r="Z47" s="383">
        <v>0</v>
      </c>
      <c r="AA47" s="382" t="s">
        <v>106</v>
      </c>
      <c r="AB47" s="310"/>
    </row>
    <row r="48" spans="1:28" hidden="1" x14ac:dyDescent="0.35">
      <c r="A48" s="389" t="s">
        <v>82</v>
      </c>
      <c r="B48" s="343">
        <v>350</v>
      </c>
      <c r="C48" s="343">
        <v>420</v>
      </c>
      <c r="D48" s="409" t="s">
        <v>63</v>
      </c>
      <c r="E48" s="388">
        <v>0</v>
      </c>
      <c r="F48" s="388">
        <v>0</v>
      </c>
      <c r="G48" s="388">
        <v>14.651999999999999</v>
      </c>
      <c r="H48" s="388">
        <v>175.816</v>
      </c>
      <c r="I48" s="388">
        <v>0</v>
      </c>
      <c r="J48" s="388">
        <v>0</v>
      </c>
      <c r="K48" s="388">
        <v>0</v>
      </c>
      <c r="L48" s="388">
        <v>0</v>
      </c>
      <c r="M48" s="387">
        <v>3.5000000000000003E-2</v>
      </c>
      <c r="N48" s="387">
        <v>4.2000000000000003E-2</v>
      </c>
      <c r="O48" s="386">
        <v>-109137.02129574418</v>
      </c>
      <c r="P48" s="386">
        <v>-103373.14009574415</v>
      </c>
      <c r="Q48" s="385">
        <v>127.2321509136336</v>
      </c>
      <c r="R48" s="385">
        <v>142.21064636377864</v>
      </c>
      <c r="S48" s="384">
        <v>-1.3586866317878405</v>
      </c>
      <c r="T48" s="383">
        <v>12.046908589131874</v>
      </c>
      <c r="U48" s="384">
        <v>1.7622226231282696</v>
      </c>
      <c r="V48" s="383">
        <v>0</v>
      </c>
      <c r="W48" s="384">
        <v>0.14511938535984314</v>
      </c>
      <c r="X48" s="383">
        <v>105.72854651512418</v>
      </c>
      <c r="Y48" s="384">
        <v>0</v>
      </c>
      <c r="Z48" s="383">
        <v>0</v>
      </c>
      <c r="AA48" s="382" t="s">
        <v>106</v>
      </c>
      <c r="AB48" s="310"/>
    </row>
    <row r="49" spans="1:28" hidden="1" x14ac:dyDescent="0.35">
      <c r="A49" s="389" t="s">
        <v>82</v>
      </c>
      <c r="B49" s="343">
        <v>420</v>
      </c>
      <c r="C49" s="343">
        <v>450</v>
      </c>
      <c r="D49" s="409" t="s">
        <v>63</v>
      </c>
      <c r="E49" s="388">
        <v>0</v>
      </c>
      <c r="F49" s="388">
        <v>0</v>
      </c>
      <c r="G49" s="388">
        <v>83.006</v>
      </c>
      <c r="H49" s="388">
        <v>0</v>
      </c>
      <c r="I49" s="388">
        <v>0</v>
      </c>
      <c r="J49" s="388">
        <v>0</v>
      </c>
      <c r="K49" s="388">
        <v>0</v>
      </c>
      <c r="L49" s="388">
        <v>0</v>
      </c>
      <c r="M49" s="387">
        <v>4.2000000000000003E-2</v>
      </c>
      <c r="N49" s="387">
        <v>4.4999999999999998E-2</v>
      </c>
      <c r="O49" s="386">
        <v>-103373.14009574415</v>
      </c>
      <c r="P49" s="386">
        <v>-100882.96009574414</v>
      </c>
      <c r="Q49" s="385">
        <v>142.21064636377864</v>
      </c>
      <c r="R49" s="385">
        <v>147.93746865442452</v>
      </c>
      <c r="S49" s="384">
        <v>-1.3586866317878405</v>
      </c>
      <c r="T49" s="383">
        <v>38.768510038576053</v>
      </c>
      <c r="U49" s="384">
        <v>9.9832822178122544</v>
      </c>
      <c r="V49" s="383">
        <v>0</v>
      </c>
      <c r="W49" s="384">
        <v>0.30389873228389108</v>
      </c>
      <c r="X49" s="383">
        <v>0</v>
      </c>
      <c r="Y49" s="384">
        <v>0</v>
      </c>
      <c r="Z49" s="383">
        <v>0</v>
      </c>
      <c r="AA49" s="382" t="s">
        <v>106</v>
      </c>
      <c r="AB49" s="310"/>
    </row>
    <row r="50" spans="1:28" hidden="1" x14ac:dyDescent="0.35">
      <c r="A50" s="389" t="s">
        <v>82</v>
      </c>
      <c r="B50" s="343">
        <v>450</v>
      </c>
      <c r="C50" s="343">
        <v>900</v>
      </c>
      <c r="D50" s="409" t="s">
        <v>63</v>
      </c>
      <c r="E50" s="388">
        <v>0</v>
      </c>
      <c r="F50" s="388">
        <v>0</v>
      </c>
      <c r="G50" s="388">
        <v>16.878</v>
      </c>
      <c r="H50" s="388">
        <v>102.194</v>
      </c>
      <c r="I50" s="388">
        <v>45.500999999999998</v>
      </c>
      <c r="J50" s="388">
        <v>-39.966000000000001</v>
      </c>
      <c r="K50" s="388">
        <v>0</v>
      </c>
      <c r="L50" s="388">
        <v>0</v>
      </c>
      <c r="M50" s="387">
        <v>4.4999999999999998E-2</v>
      </c>
      <c r="N50" s="387">
        <v>0.09</v>
      </c>
      <c r="O50" s="386">
        <v>-100882.96009574414</v>
      </c>
      <c r="P50" s="386">
        <v>-65688.536679077442</v>
      </c>
      <c r="Q50" s="385">
        <v>147.93746865442452</v>
      </c>
      <c r="R50" s="385">
        <v>201.91014537902635</v>
      </c>
      <c r="S50" s="384">
        <v>-1.3586866317878405</v>
      </c>
      <c r="T50" s="383">
        <v>18.364758562217371</v>
      </c>
      <c r="U50" s="384">
        <v>2.0299476817607793</v>
      </c>
      <c r="V50" s="383">
        <v>2.736243911239401E-3</v>
      </c>
      <c r="W50" s="384">
        <v>-6.5765806573927721E-2</v>
      </c>
      <c r="X50" s="383">
        <v>61.455288953033858</v>
      </c>
      <c r="Y50" s="384">
        <v>-80.11305550544229</v>
      </c>
      <c r="Z50" s="383">
        <v>0</v>
      </c>
      <c r="AA50" s="382" t="s">
        <v>106</v>
      </c>
      <c r="AB50" s="310"/>
    </row>
    <row r="51" spans="1:28" x14ac:dyDescent="0.35">
      <c r="A51" s="389" t="s">
        <v>64</v>
      </c>
      <c r="B51" s="343">
        <v>298.14999999999998</v>
      </c>
      <c r="C51" s="343">
        <v>494.3</v>
      </c>
      <c r="D51" s="409" t="s">
        <v>63</v>
      </c>
      <c r="E51" s="388">
        <v>0</v>
      </c>
      <c r="F51" s="388">
        <v>42.442</v>
      </c>
      <c r="G51" s="388">
        <v>19.399999999999999</v>
      </c>
      <c r="H51" s="388">
        <v>22.7</v>
      </c>
      <c r="I51" s="388">
        <v>0</v>
      </c>
      <c r="J51" s="388">
        <v>-12.9</v>
      </c>
      <c r="K51" s="388">
        <v>0</v>
      </c>
      <c r="L51" s="388">
        <v>0</v>
      </c>
      <c r="M51" s="387">
        <v>2.9814999999999998E-2</v>
      </c>
      <c r="N51" s="387">
        <v>4.9430000000000002E-2</v>
      </c>
      <c r="O51" s="386">
        <v>0</v>
      </c>
      <c r="P51" s="386">
        <v>5164.1825198039123</v>
      </c>
      <c r="Q51" s="385">
        <v>42.442</v>
      </c>
      <c r="R51" s="385">
        <v>55.699613566654705</v>
      </c>
      <c r="S51" s="384">
        <v>0</v>
      </c>
      <c r="T51" s="383">
        <v>10.222452884649963</v>
      </c>
      <c r="U51" s="384">
        <v>2.3332731974261827</v>
      </c>
      <c r="V51" s="383">
        <v>0</v>
      </c>
      <c r="W51" s="384">
        <v>8.0330566811305376E-2</v>
      </c>
      <c r="X51" s="383">
        <v>13.650850923086173</v>
      </c>
      <c r="Y51" s="384">
        <v>-25.858440074568524</v>
      </c>
      <c r="Z51" s="383">
        <v>0</v>
      </c>
      <c r="AA51" s="382" t="s">
        <v>106</v>
      </c>
      <c r="AB51" s="310"/>
    </row>
    <row r="52" spans="1:28" x14ac:dyDescent="0.35">
      <c r="A52" s="389" t="s">
        <v>64</v>
      </c>
      <c r="B52" s="343">
        <v>494.3</v>
      </c>
      <c r="C52" s="343">
        <v>1000</v>
      </c>
      <c r="D52" s="409" t="s">
        <v>58</v>
      </c>
      <c r="E52" s="388">
        <v>6.1589999999999998</v>
      </c>
      <c r="F52" s="388">
        <v>12.46</v>
      </c>
      <c r="G52" s="388">
        <v>52.4</v>
      </c>
      <c r="H52" s="388">
        <v>-49.6</v>
      </c>
      <c r="I52" s="388">
        <v>0</v>
      </c>
      <c r="J52" s="388">
        <v>32.4</v>
      </c>
      <c r="K52" s="388">
        <v>0</v>
      </c>
      <c r="L52" s="388">
        <v>0</v>
      </c>
      <c r="M52" s="387">
        <v>4.9430000000000002E-2</v>
      </c>
      <c r="N52" s="387">
        <v>0.1</v>
      </c>
      <c r="O52" s="386">
        <v>11323.182519803911</v>
      </c>
      <c r="P52" s="386">
        <v>28576.953933888308</v>
      </c>
      <c r="Q52" s="385">
        <v>68.159613566654713</v>
      </c>
      <c r="R52" s="385">
        <v>92.240410542922049</v>
      </c>
      <c r="S52" s="384">
        <v>7.4075410427566296E-2</v>
      </c>
      <c r="T52" s="383">
        <v>23.32020799997715</v>
      </c>
      <c r="U52" s="384">
        <v>6.3022430693367006</v>
      </c>
      <c r="V52" s="383">
        <v>0</v>
      </c>
      <c r="W52" s="384">
        <v>0.19221896766025248</v>
      </c>
      <c r="X52" s="383">
        <v>-29.82740994647904</v>
      </c>
      <c r="Y52" s="384">
        <v>64.94677972217211</v>
      </c>
      <c r="Z52" s="383">
        <v>0</v>
      </c>
      <c r="AA52" s="382" t="s">
        <v>106</v>
      </c>
      <c r="AB52" s="310"/>
    </row>
    <row r="53" spans="1:28" x14ac:dyDescent="0.35">
      <c r="A53" s="389" t="s">
        <v>64</v>
      </c>
      <c r="B53" s="343">
        <v>1000</v>
      </c>
      <c r="C53" s="343">
        <v>1800</v>
      </c>
      <c r="D53" s="409" t="s">
        <v>58</v>
      </c>
      <c r="E53" s="388">
        <v>0</v>
      </c>
      <c r="F53" s="388">
        <v>0</v>
      </c>
      <c r="G53" s="388">
        <v>35.299999999999997</v>
      </c>
      <c r="H53" s="388">
        <v>0</v>
      </c>
      <c r="I53" s="388">
        <v>0</v>
      </c>
      <c r="J53" s="388">
        <v>0</v>
      </c>
      <c r="K53" s="388">
        <v>0</v>
      </c>
      <c r="L53" s="388">
        <v>0</v>
      </c>
      <c r="M53" s="387">
        <v>0.1</v>
      </c>
      <c r="N53" s="387">
        <v>0.18</v>
      </c>
      <c r="O53" s="386">
        <v>28576.953933888308</v>
      </c>
      <c r="P53" s="386">
        <v>56816.953933888297</v>
      </c>
      <c r="Q53" s="385">
        <v>92.240410542922049</v>
      </c>
      <c r="R53" s="385">
        <v>112.9892798139668</v>
      </c>
      <c r="S53" s="384">
        <v>7.4075410427566296E-2</v>
      </c>
      <c r="T53" s="383">
        <v>16.624170344050974</v>
      </c>
      <c r="U53" s="384">
        <v>4.2455950448012505</v>
      </c>
      <c r="V53" s="383">
        <v>0</v>
      </c>
      <c r="W53" s="384">
        <v>0.15493470522715369</v>
      </c>
      <c r="X53" s="383">
        <v>0</v>
      </c>
      <c r="Y53" s="384">
        <v>0</v>
      </c>
      <c r="Z53" s="383">
        <v>0</v>
      </c>
      <c r="AA53" s="382" t="s">
        <v>106</v>
      </c>
      <c r="AB53" s="310"/>
    </row>
    <row r="54" spans="1:28" hidden="1" x14ac:dyDescent="0.35">
      <c r="A54" s="389" t="s">
        <v>100</v>
      </c>
      <c r="B54" s="343">
        <v>298.14999999999998</v>
      </c>
      <c r="C54" s="343">
        <v>398</v>
      </c>
      <c r="D54" s="409" t="s">
        <v>63</v>
      </c>
      <c r="E54" s="388">
        <v>5.0209999999999999</v>
      </c>
      <c r="F54" s="388">
        <v>48.408999999999999</v>
      </c>
      <c r="G54" s="388">
        <v>27.15</v>
      </c>
      <c r="H54" s="388">
        <v>0</v>
      </c>
      <c r="I54" s="388">
        <v>0</v>
      </c>
      <c r="J54" s="388">
        <v>0</v>
      </c>
      <c r="K54" s="388">
        <v>0</v>
      </c>
      <c r="L54" s="388">
        <v>0</v>
      </c>
      <c r="M54" s="387">
        <v>2.9814999999999998E-2</v>
      </c>
      <c r="N54" s="387">
        <v>3.9800000000000002E-2</v>
      </c>
      <c r="O54" s="386">
        <v>5021</v>
      </c>
      <c r="P54" s="386">
        <v>7731.9275000000007</v>
      </c>
      <c r="Q54" s="385">
        <v>48.408999999999999</v>
      </c>
      <c r="R54" s="385">
        <v>56.251421115771024</v>
      </c>
      <c r="S54" s="384">
        <v>6.0388477960190028E-2</v>
      </c>
      <c r="T54" s="383">
        <v>14.027300531776039</v>
      </c>
      <c r="U54" s="384">
        <v>3.265379758253653</v>
      </c>
      <c r="V54" s="383">
        <v>0</v>
      </c>
      <c r="W54" s="384">
        <v>9.7357297492332656E-2</v>
      </c>
      <c r="X54" s="383">
        <v>0</v>
      </c>
      <c r="Y54" s="384">
        <v>0</v>
      </c>
      <c r="Z54" s="383">
        <v>0</v>
      </c>
      <c r="AA54" s="382" t="s">
        <v>106</v>
      </c>
      <c r="AB54" s="310"/>
    </row>
    <row r="55" spans="1:28" hidden="1" x14ac:dyDescent="0.35">
      <c r="A55" s="389" t="s">
        <v>101</v>
      </c>
      <c r="B55" s="343">
        <v>298</v>
      </c>
      <c r="C55" s="343">
        <v>413</v>
      </c>
      <c r="D55" s="409" t="s">
        <v>63</v>
      </c>
      <c r="E55" s="388">
        <v>8.9540000000000006</v>
      </c>
      <c r="F55" s="388">
        <v>188.154</v>
      </c>
      <c r="G55" s="388">
        <v>107.52</v>
      </c>
      <c r="H55" s="388">
        <v>-9.06</v>
      </c>
      <c r="I55" s="388">
        <v>-4.3810000000000002</v>
      </c>
      <c r="J55" s="388">
        <v>57.073</v>
      </c>
      <c r="K55" s="388">
        <v>0</v>
      </c>
      <c r="L55" s="388">
        <v>0</v>
      </c>
      <c r="M55" s="387">
        <v>2.98E-2</v>
      </c>
      <c r="N55" s="387">
        <v>4.1300000000000003E-2</v>
      </c>
      <c r="O55" s="386">
        <v>8954</v>
      </c>
      <c r="P55" s="386">
        <v>21375.76204940235</v>
      </c>
      <c r="Q55" s="385">
        <v>188.154</v>
      </c>
      <c r="R55" s="385">
        <v>223.35254329552305</v>
      </c>
      <c r="S55" s="384">
        <v>0.10769138252450537</v>
      </c>
      <c r="T55" s="383">
        <v>54.853251742343801</v>
      </c>
      <c r="U55" s="384">
        <v>12.931625473570268</v>
      </c>
      <c r="V55" s="383">
        <v>-2.6345540922484819E-4</v>
      </c>
      <c r="W55" s="384">
        <v>0.40426080105349993</v>
      </c>
      <c r="X55" s="383">
        <v>-5.4483131878044384</v>
      </c>
      <c r="Y55" s="384">
        <v>114.404554292702</v>
      </c>
      <c r="Z55" s="383">
        <v>0</v>
      </c>
      <c r="AA55" s="382" t="s">
        <v>106</v>
      </c>
      <c r="AB55" s="310"/>
    </row>
    <row r="56" spans="1:28" hidden="1" x14ac:dyDescent="0.35">
      <c r="A56" s="389" t="s">
        <v>102</v>
      </c>
      <c r="B56" s="343">
        <v>298.14999999999998</v>
      </c>
      <c r="C56" s="343">
        <v>398</v>
      </c>
      <c r="D56" s="409" t="s">
        <v>63</v>
      </c>
      <c r="E56" s="388">
        <v>16.318000000000001</v>
      </c>
      <c r="F56" s="388">
        <v>52.3</v>
      </c>
      <c r="G56" s="388">
        <v>40.585000000000001</v>
      </c>
      <c r="H56" s="388">
        <v>0</v>
      </c>
      <c r="I56" s="388">
        <v>0</v>
      </c>
      <c r="J56" s="388">
        <v>0</v>
      </c>
      <c r="K56" s="388">
        <v>0</v>
      </c>
      <c r="L56" s="388">
        <v>0</v>
      </c>
      <c r="M56" s="387">
        <v>2.9814999999999998E-2</v>
      </c>
      <c r="N56" s="387">
        <v>3.9800000000000002E-2</v>
      </c>
      <c r="O56" s="386">
        <v>16318.000000000002</v>
      </c>
      <c r="P56" s="386">
        <v>20370.412250000005</v>
      </c>
      <c r="Q56" s="385">
        <v>52.3</v>
      </c>
      <c r="R56" s="385">
        <v>64.023191933096371</v>
      </c>
      <c r="S56" s="384">
        <v>0.1962595465752601</v>
      </c>
      <c r="T56" s="383">
        <v>18.555499584494658</v>
      </c>
      <c r="U56" s="384">
        <v>4.881231583378435</v>
      </c>
      <c r="V56" s="383">
        <v>0</v>
      </c>
      <c r="W56" s="384">
        <v>0.14553391965842802</v>
      </c>
      <c r="X56" s="383">
        <v>0</v>
      </c>
      <c r="Y56" s="384">
        <v>0</v>
      </c>
      <c r="Z56" s="383">
        <v>0</v>
      </c>
      <c r="AA56" s="382" t="s">
        <v>106</v>
      </c>
      <c r="AB56" s="310"/>
    </row>
  </sheetData>
  <sheetProtection sheet="1" formatCells="0" formatColumns="0" formatRows="0" insertColumns="0" insertRows="0" sort="0" autoFilter="0" pivotTables="0"/>
  <mergeCells count="2">
    <mergeCell ref="A2:E2"/>
    <mergeCell ref="M2:AA2"/>
  </mergeCells>
  <pageMargins left="0.7" right="0.7" top="0.75" bottom="0.75" header="0.3" footer="0.3"/>
  <pageSetup paperSize="9" orientation="portrait" horizontalDpi="1200" verticalDpi="1200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010C8-0343-49A7-BE1C-064BAE70105F}">
  <sheetPr codeName="Лист5">
    <tabColor rgb="FF0070C0"/>
  </sheetPr>
  <dimension ref="A1:AD33"/>
  <sheetViews>
    <sheetView tabSelected="1" zoomScaleNormal="100" workbookViewId="0">
      <pane xSplit="3" ySplit="1" topLeftCell="D5" activePane="bottomRight" state="frozen"/>
      <selection pane="topRight" activeCell="D1" sqref="D1"/>
      <selection pane="bottomLeft" activeCell="A2" sqref="A2"/>
      <selection pane="bottomRight" activeCell="V18" sqref="V18:AC18"/>
    </sheetView>
  </sheetViews>
  <sheetFormatPr defaultRowHeight="21" outlineLevelCol="1" x14ac:dyDescent="0.35"/>
  <cols>
    <col min="1" max="1" width="8.6328125" style="75" bestFit="1" customWidth="1"/>
    <col min="2" max="2" width="2.6328125" style="403" customWidth="1"/>
    <col min="3" max="4" width="6.1796875" style="67" customWidth="1"/>
    <col min="5" max="6" width="8.6328125" style="67" hidden="1" customWidth="1" outlineLevel="1"/>
    <col min="7" max="8" width="7.6328125" style="380" hidden="1" customWidth="1" outlineLevel="1"/>
    <col min="9" max="9" width="8.81640625" style="380" hidden="1" customWidth="1" outlineLevel="1"/>
    <col min="10" max="10" width="8.453125" style="380" hidden="1" customWidth="1" outlineLevel="1"/>
    <col min="11" max="11" width="7.6328125" style="376" hidden="1" customWidth="1" outlineLevel="1"/>
    <col min="12" max="13" width="5.6328125" style="321" hidden="1" customWidth="1" outlineLevel="1"/>
    <col min="14" max="15" width="2.6328125" style="319" hidden="1" customWidth="1" outlineLevel="1"/>
    <col min="16" max="18" width="11.6328125" style="317" hidden="1" customWidth="1" outlineLevel="1"/>
    <col min="19" max="20" width="7.6328125" style="317" hidden="1" customWidth="1" outlineLevel="1"/>
    <col min="21" max="21" width="7.6328125" style="314" hidden="1" customWidth="1" outlineLevel="1"/>
    <col min="22" max="22" width="11.08984375" style="67" bestFit="1" customWidth="1" collapsed="1"/>
    <col min="23" max="24" width="9.90625" style="67" customWidth="1"/>
    <col min="25" max="25" width="12.1796875" style="67" bestFit="1" customWidth="1"/>
    <col min="26" max="26" width="10.453125" style="67" customWidth="1"/>
    <col min="27" max="27" width="10.6328125" style="67" bestFit="1" customWidth="1"/>
    <col min="28" max="29" width="9.90625" style="67" customWidth="1"/>
    <col min="30" max="30" width="2.90625" style="98" customWidth="1"/>
    <col min="31" max="16384" width="8.7265625" style="67"/>
  </cols>
  <sheetData>
    <row r="1" spans="1:30" ht="28.5" customHeight="1" thickTop="1" thickBot="1" x14ac:dyDescent="0.4">
      <c r="A1" s="396" t="s">
        <v>141</v>
      </c>
      <c r="B1" s="398" t="s">
        <v>150</v>
      </c>
      <c r="C1" s="397" t="s">
        <v>55</v>
      </c>
      <c r="D1" s="181" t="s">
        <v>56</v>
      </c>
      <c r="E1" s="181" t="s">
        <v>159</v>
      </c>
      <c r="F1" s="181" t="s">
        <v>151</v>
      </c>
      <c r="G1" s="370" t="s">
        <v>40</v>
      </c>
      <c r="H1" s="370" t="s">
        <v>65</v>
      </c>
      <c r="I1" s="370" t="s">
        <v>66</v>
      </c>
      <c r="J1" s="370" t="s">
        <v>68</v>
      </c>
      <c r="K1" s="371" t="s">
        <v>67</v>
      </c>
      <c r="L1" s="327" t="s">
        <v>153</v>
      </c>
      <c r="M1" s="327" t="s">
        <v>154</v>
      </c>
      <c r="N1" s="339" t="s">
        <v>149</v>
      </c>
      <c r="O1" s="339" t="s">
        <v>148</v>
      </c>
      <c r="P1" s="315" t="s">
        <v>145</v>
      </c>
      <c r="Q1" s="315" t="s">
        <v>158</v>
      </c>
      <c r="R1" s="315" t="s">
        <v>147</v>
      </c>
      <c r="S1" s="328" t="s">
        <v>142</v>
      </c>
      <c r="T1" s="328" t="s">
        <v>143</v>
      </c>
      <c r="U1" s="329" t="s">
        <v>144</v>
      </c>
      <c r="V1" s="181" t="s">
        <v>41</v>
      </c>
      <c r="W1" s="181" t="s">
        <v>42</v>
      </c>
      <c r="X1" s="181" t="s">
        <v>43</v>
      </c>
      <c r="Y1" s="181" t="s">
        <v>44</v>
      </c>
      <c r="Z1" s="181" t="s">
        <v>45</v>
      </c>
      <c r="AA1" s="181" t="s">
        <v>46</v>
      </c>
      <c r="AB1" s="181" t="s">
        <v>47</v>
      </c>
      <c r="AC1" s="181" t="s">
        <v>48</v>
      </c>
      <c r="AD1" s="183" t="s">
        <v>80</v>
      </c>
    </row>
    <row r="2" spans="1:30" s="338" customFormat="1" ht="24" customHeight="1" thickTop="1" x14ac:dyDescent="0.35">
      <c r="A2" s="349" t="s">
        <v>82</v>
      </c>
      <c r="B2" s="399" t="s">
        <v>63</v>
      </c>
      <c r="C2" s="350">
        <v>298</v>
      </c>
      <c r="D2" s="350">
        <v>1013</v>
      </c>
      <c r="E2" s="351">
        <v>-113</v>
      </c>
      <c r="F2" s="352">
        <v>112.6</v>
      </c>
      <c r="G2" s="379">
        <v>62.89</v>
      </c>
      <c r="H2" s="379">
        <v>27.74</v>
      </c>
      <c r="I2" s="379"/>
      <c r="J2" s="379"/>
      <c r="K2" s="375"/>
      <c r="L2" s="332" t="str">
        <f t="shared" ref="L2:L4" si="0">IF(ISBLANK(B3),"N/D",(P3-R2)/1000)</f>
        <v>N/D</v>
      </c>
      <c r="M2" s="332" t="str">
        <f t="shared" ref="M2:M4" si="1">IF(ISBLANK(B3),"N/D",L2*1000/C3)</f>
        <v>N/D</v>
      </c>
      <c r="N2" s="333">
        <f>C2/10000</f>
        <v>2.98E-2</v>
      </c>
      <c r="O2" s="333">
        <f>D2/10000</f>
        <v>0.1013</v>
      </c>
      <c r="P2" s="334">
        <f>E2*1000</f>
        <v>-113000</v>
      </c>
      <c r="Q2" s="348">
        <f>10000*$A$1*(O2*X2-Y2*2/O2+AA2*O2^2+AB2*2*O2^3+AC2*3*O2^4-Z2)</f>
        <v>57967.602549999996</v>
      </c>
      <c r="R2" s="334">
        <f>$P$2+Q2</f>
        <v>-55032.397450000004</v>
      </c>
      <c r="S2" s="335">
        <f>F2</f>
        <v>112.6</v>
      </c>
      <c r="T2" s="335">
        <f t="shared" ref="T2:T4" si="2">$A$1*(W2+X2+X2*LN(O2)-Y2/O2^2+AA2*2*O2+AB2*3*O2^2+AC2*4*O2^3)</f>
        <v>209.38492153587475</v>
      </c>
      <c r="U2" s="381">
        <f t="shared" ref="U2:U4" si="3">$A$1*(X2+Y2*2/(O2^2)+AA2*2*O2+AB2*6+AC2*12*O2^3)</f>
        <v>90.990619999999993</v>
      </c>
      <c r="V2" s="337">
        <f>$P$2/$A$1/10000</f>
        <v>-1.3590715015936015</v>
      </c>
      <c r="W2" s="312">
        <f>S2/$A$1 - X2 - X2*LN(N2) + Y2/(N2^2) - AA2*2*N2 - AB2*3*N2^2 - AC2*4*N2^3</f>
        <v>31.55831097808133</v>
      </c>
      <c r="X2" s="337">
        <f>G2/$A$1</f>
        <v>7.5638944013470439</v>
      </c>
      <c r="Y2" s="312">
        <f>I2/(2*100*$A$1)</f>
        <v>0</v>
      </c>
      <c r="Z2" s="337">
        <f>X2*N2 - Y2*2/N2 + AA2*N2^2 + AB2*2*N2^3 + AC2*3*N2^4 + ($P$2-P2)/10000/$A$1</f>
        <v>0.24021807059955499</v>
      </c>
      <c r="AA2" s="312">
        <f>H2*10/2/$A$1</f>
        <v>16.681700643454203</v>
      </c>
      <c r="AB2" s="337">
        <f>J2*100/6/$A$1</f>
        <v>0</v>
      </c>
      <c r="AC2" s="312">
        <f>K2*10^12/12/$A$1</f>
        <v>0</v>
      </c>
      <c r="AD2" s="411">
        <v>2</v>
      </c>
    </row>
    <row r="3" spans="1:30" s="338" customFormat="1" ht="24" customHeight="1" x14ac:dyDescent="0.35">
      <c r="A3" s="344"/>
      <c r="B3" s="400"/>
      <c r="C3" s="345"/>
      <c r="D3" s="345"/>
      <c r="E3" s="346"/>
      <c r="F3" s="347"/>
      <c r="G3" s="372"/>
      <c r="H3" s="372"/>
      <c r="I3" s="372"/>
      <c r="J3" s="372"/>
      <c r="K3" s="373"/>
      <c r="L3" s="332" t="str">
        <f t="shared" si="0"/>
        <v>N/D</v>
      </c>
      <c r="M3" s="332" t="str">
        <f t="shared" si="1"/>
        <v>N/D</v>
      </c>
      <c r="N3" s="333">
        <f t="shared" ref="N3:N4" si="4">C3/10000</f>
        <v>0</v>
      </c>
      <c r="O3" s="333">
        <f t="shared" ref="O3:O4" si="5">D3/10000</f>
        <v>0</v>
      </c>
      <c r="P3" s="334">
        <f t="shared" ref="P3:P4" si="6">E3*1000</f>
        <v>0</v>
      </c>
      <c r="Q3" s="334" t="e">
        <f t="shared" ref="Q3:Q4" si="7">10000*$A$1*(O3*X3-Y3*2/O3+AA3*O3^2+AB3*2*O3^3+AC3*3*O3^4-Z3)</f>
        <v>#DIV/0!</v>
      </c>
      <c r="R3" s="334" t="e">
        <f t="shared" ref="R2:R4" si="8">$P$2+Q3</f>
        <v>#DIV/0!</v>
      </c>
      <c r="S3" s="335">
        <f t="shared" ref="S3:S4" si="9">F3</f>
        <v>0</v>
      </c>
      <c r="T3" s="335" t="e">
        <f t="shared" si="2"/>
        <v>#NUM!</v>
      </c>
      <c r="U3" s="381" t="e">
        <f t="shared" si="3"/>
        <v>#DIV/0!</v>
      </c>
      <c r="V3" s="337">
        <f t="shared" ref="V3:V4" si="10">$P$2/$A$1/10000</f>
        <v>-1.3590715015936015</v>
      </c>
      <c r="W3" s="312" t="e">
        <f t="shared" ref="W3:W4" si="11">S3/$A$1 - X3 - X3*LN(N3) + Y3/(N3^2) - AA3*2*N3 - AB3*3*N3^2 - AC3*4*N3^3</f>
        <v>#NUM!</v>
      </c>
      <c r="X3" s="337">
        <f t="shared" ref="X3:X4" si="12">G3/$A$1</f>
        <v>0</v>
      </c>
      <c r="Y3" s="312">
        <f t="shared" ref="Y3:Y4" si="13">I3/(2*100*$A$1)</f>
        <v>0</v>
      </c>
      <c r="Z3" s="337" t="e">
        <f t="shared" ref="Z3:Z4" si="14">X3*N3 - Y3*2/N3 + AA3*N3^2 + AB3*2*N3^3 + AC3*3*N3^4 + ($P$2-P3)/10000/$A$1</f>
        <v>#DIV/0!</v>
      </c>
      <c r="AA3" s="312">
        <f t="shared" ref="AA3:AA4" si="15">H3*10/2/$A$1</f>
        <v>0</v>
      </c>
      <c r="AB3" s="337">
        <f t="shared" ref="AB3:AB4" si="16">J3*100/6/$A$1</f>
        <v>0</v>
      </c>
      <c r="AC3" s="312">
        <f t="shared" ref="AC3:AC4" si="17">K3*10^12/12/$A$1</f>
        <v>0</v>
      </c>
      <c r="AD3" s="411">
        <v>2</v>
      </c>
    </row>
    <row r="4" spans="1:30" s="338" customFormat="1" ht="24" customHeight="1" x14ac:dyDescent="0.35">
      <c r="A4" s="340"/>
      <c r="B4" s="401"/>
      <c r="C4" s="341"/>
      <c r="D4" s="342"/>
      <c r="E4" s="331"/>
      <c r="F4" s="330"/>
      <c r="G4" s="374"/>
      <c r="H4" s="374"/>
      <c r="I4" s="374"/>
      <c r="J4" s="374"/>
      <c r="K4" s="375"/>
      <c r="L4" s="332" t="str">
        <f t="shared" si="0"/>
        <v>N/D</v>
      </c>
      <c r="M4" s="332" t="str">
        <f t="shared" si="1"/>
        <v>N/D</v>
      </c>
      <c r="N4" s="333">
        <f t="shared" si="4"/>
        <v>0</v>
      </c>
      <c r="O4" s="333">
        <f t="shared" si="5"/>
        <v>0</v>
      </c>
      <c r="P4" s="334">
        <f t="shared" si="6"/>
        <v>0</v>
      </c>
      <c r="Q4" s="334" t="e">
        <f t="shared" si="7"/>
        <v>#DIV/0!</v>
      </c>
      <c r="R4" s="334" t="e">
        <f t="shared" si="8"/>
        <v>#DIV/0!</v>
      </c>
      <c r="S4" s="335">
        <f t="shared" si="9"/>
        <v>0</v>
      </c>
      <c r="T4" s="335" t="e">
        <f t="shared" si="2"/>
        <v>#NUM!</v>
      </c>
      <c r="U4" s="381" t="e">
        <f t="shared" si="3"/>
        <v>#DIV/0!</v>
      </c>
      <c r="V4" s="337">
        <f t="shared" si="10"/>
        <v>-1.3590715015936015</v>
      </c>
      <c r="W4" s="312" t="e">
        <f t="shared" si="11"/>
        <v>#NUM!</v>
      </c>
      <c r="X4" s="337">
        <f t="shared" si="12"/>
        <v>0</v>
      </c>
      <c r="Y4" s="312">
        <f t="shared" si="13"/>
        <v>0</v>
      </c>
      <c r="Z4" s="337" t="e">
        <f t="shared" si="14"/>
        <v>#DIV/0!</v>
      </c>
      <c r="AA4" s="312">
        <f t="shared" si="15"/>
        <v>0</v>
      </c>
      <c r="AB4" s="337">
        <f t="shared" si="16"/>
        <v>0</v>
      </c>
      <c r="AC4" s="312">
        <f t="shared" si="17"/>
        <v>0</v>
      </c>
      <c r="AD4" s="411">
        <v>2</v>
      </c>
    </row>
    <row r="5" spans="1:30" s="75" customFormat="1" ht="21.75" customHeight="1" x14ac:dyDescent="0.35">
      <c r="B5" s="322"/>
      <c r="G5" s="376"/>
      <c r="H5" s="376"/>
      <c r="I5" s="376"/>
      <c r="J5" s="376"/>
      <c r="K5" s="376"/>
      <c r="L5" s="320"/>
      <c r="M5" s="320"/>
      <c r="N5" s="318"/>
      <c r="O5" s="318"/>
      <c r="P5" s="316"/>
      <c r="Q5" s="316"/>
      <c r="R5" s="316"/>
      <c r="S5" s="316"/>
      <c r="T5" s="316"/>
      <c r="U5" s="313"/>
    </row>
    <row r="6" spans="1:30" s="75" customFormat="1" ht="21.75" customHeight="1" x14ac:dyDescent="0.35">
      <c r="B6" s="322"/>
      <c r="G6" s="376"/>
      <c r="H6" s="376"/>
      <c r="I6" s="376"/>
      <c r="J6" s="376"/>
      <c r="K6" s="376"/>
      <c r="L6" s="320"/>
      <c r="M6" s="320"/>
      <c r="N6" s="318"/>
      <c r="O6" s="318"/>
      <c r="P6" s="316"/>
      <c r="Q6" s="316"/>
      <c r="R6" s="316"/>
      <c r="S6" s="316"/>
      <c r="T6" s="316"/>
      <c r="U6" s="313"/>
    </row>
    <row r="7" spans="1:30" s="75" customFormat="1" ht="21.75" customHeight="1" x14ac:dyDescent="0.35">
      <c r="B7" s="322"/>
      <c r="G7" s="376"/>
      <c r="H7" s="376"/>
      <c r="I7" s="376"/>
      <c r="J7" s="376"/>
      <c r="K7" s="376"/>
      <c r="L7" s="320"/>
      <c r="M7" s="320"/>
      <c r="N7" s="318"/>
      <c r="O7" s="318"/>
      <c r="P7" s="316"/>
      <c r="Q7" s="316"/>
      <c r="R7" s="316"/>
      <c r="S7" s="316"/>
      <c r="T7" s="316"/>
      <c r="U7" s="313"/>
    </row>
    <row r="8" spans="1:30" s="75" customFormat="1" ht="21.75" customHeight="1" x14ac:dyDescent="0.35">
      <c r="B8" s="322"/>
      <c r="G8" s="376"/>
      <c r="H8" s="376"/>
      <c r="I8" s="376"/>
      <c r="J8" s="376"/>
      <c r="K8" s="376"/>
      <c r="L8" s="320"/>
      <c r="M8" s="320"/>
      <c r="N8" s="318"/>
      <c r="O8" s="318"/>
      <c r="P8" s="316"/>
      <c r="R8" s="316"/>
      <c r="S8" s="316"/>
      <c r="T8" s="316"/>
      <c r="U8" s="313"/>
    </row>
    <row r="9" spans="1:30" s="75" customFormat="1" ht="21.75" customHeight="1" x14ac:dyDescent="0.35">
      <c r="B9" s="322"/>
      <c r="G9" s="376"/>
      <c r="H9" s="376"/>
      <c r="I9" s="376"/>
      <c r="J9" s="376"/>
      <c r="K9" s="376"/>
      <c r="L9" s="320"/>
      <c r="M9" s="320"/>
      <c r="N9" s="318"/>
      <c r="O9" s="318"/>
      <c r="P9" s="316"/>
      <c r="Q9" s="316"/>
      <c r="R9" s="316"/>
      <c r="S9" s="316"/>
      <c r="T9" s="316"/>
      <c r="U9" s="313"/>
    </row>
    <row r="10" spans="1:30" s="75" customFormat="1" ht="21.75" customHeight="1" x14ac:dyDescent="0.35">
      <c r="B10" s="322"/>
      <c r="G10" s="376"/>
      <c r="H10" s="376"/>
      <c r="I10" s="376"/>
      <c r="J10" s="376"/>
      <c r="K10" s="376"/>
      <c r="L10" s="320"/>
      <c r="M10" s="320"/>
      <c r="N10" s="318"/>
      <c r="O10" s="318"/>
      <c r="P10" s="316"/>
      <c r="Q10" s="316"/>
      <c r="R10" s="316"/>
      <c r="S10" s="316"/>
      <c r="T10" s="316"/>
      <c r="U10" s="313"/>
    </row>
    <row r="11" spans="1:30" s="75" customFormat="1" ht="21.75" customHeight="1" x14ac:dyDescent="0.35">
      <c r="B11" s="322"/>
      <c r="G11" s="376"/>
      <c r="H11" s="376"/>
      <c r="I11" s="376"/>
      <c r="J11" s="376"/>
      <c r="K11" s="376"/>
      <c r="L11" s="320"/>
      <c r="M11" s="320"/>
      <c r="N11" s="318"/>
      <c r="O11" s="318"/>
      <c r="P11" s="316"/>
      <c r="Q11" s="316" t="s">
        <v>157</v>
      </c>
      <c r="R11" s="316"/>
      <c r="S11" s="316"/>
      <c r="T11" s="316"/>
      <c r="U11" s="313"/>
    </row>
    <row r="12" spans="1:30" s="75" customFormat="1" ht="21.75" customHeight="1" x14ac:dyDescent="0.35">
      <c r="B12" s="322"/>
      <c r="G12" s="376"/>
      <c r="H12" s="376"/>
      <c r="I12" s="376"/>
      <c r="J12" s="376"/>
      <c r="K12" s="376"/>
      <c r="L12" s="320"/>
      <c r="M12" s="320"/>
      <c r="N12" s="318"/>
      <c r="O12" s="318"/>
      <c r="P12" s="316"/>
      <c r="Q12" s="316"/>
      <c r="R12" s="316"/>
      <c r="S12" s="316"/>
      <c r="T12" s="316"/>
      <c r="U12" s="313"/>
    </row>
    <row r="13" spans="1:30" s="75" customFormat="1" ht="21.75" customHeight="1" x14ac:dyDescent="0.35">
      <c r="B13" s="322"/>
      <c r="G13" s="376"/>
      <c r="H13" s="376"/>
      <c r="I13" s="376"/>
      <c r="J13" s="376"/>
      <c r="K13" s="376"/>
      <c r="L13" s="320"/>
      <c r="M13" s="320"/>
      <c r="N13" s="318"/>
      <c r="O13" s="318"/>
      <c r="P13" s="316"/>
      <c r="Q13" s="316"/>
      <c r="R13" s="316"/>
      <c r="S13" s="316"/>
      <c r="T13" s="316"/>
      <c r="U13" s="313"/>
    </row>
    <row r="14" spans="1:30" s="75" customFormat="1" ht="21.75" customHeight="1" x14ac:dyDescent="0.35">
      <c r="B14" s="322"/>
      <c r="G14" s="376"/>
      <c r="H14" s="376"/>
      <c r="I14" s="376"/>
      <c r="J14" s="376"/>
      <c r="K14" s="376"/>
      <c r="L14" s="320"/>
      <c r="M14" s="320"/>
      <c r="N14" s="318"/>
      <c r="O14" s="318"/>
      <c r="P14" s="316"/>
      <c r="Q14" s="316"/>
      <c r="R14" s="316"/>
      <c r="S14" s="316"/>
      <c r="T14" s="316"/>
      <c r="U14" s="313"/>
    </row>
    <row r="15" spans="1:30" s="75" customFormat="1" x14ac:dyDescent="0.35">
      <c r="B15" s="322"/>
      <c r="G15" s="376"/>
      <c r="H15" s="376"/>
      <c r="I15" s="376"/>
      <c r="J15" s="376"/>
      <c r="K15" s="376"/>
      <c r="L15" s="320"/>
      <c r="M15" s="320"/>
      <c r="N15" s="318"/>
      <c r="O15" s="318"/>
      <c r="P15" s="316"/>
      <c r="Q15" s="316"/>
      <c r="R15" s="316"/>
      <c r="S15" s="316"/>
      <c r="T15" s="316"/>
      <c r="U15" s="313"/>
    </row>
    <row r="16" spans="1:30" s="75" customFormat="1" x14ac:dyDescent="0.35">
      <c r="A16" s="31"/>
      <c r="B16" s="322"/>
      <c r="C16" s="31"/>
      <c r="D16" s="31"/>
      <c r="E16" s="31"/>
      <c r="F16" s="31"/>
      <c r="G16" s="377"/>
      <c r="H16" s="377"/>
      <c r="I16" s="377"/>
      <c r="J16" s="377"/>
      <c r="K16" s="377"/>
      <c r="L16" s="360"/>
      <c r="M16" s="360"/>
      <c r="N16" s="361"/>
      <c r="O16" s="361"/>
      <c r="P16" s="362"/>
      <c r="Q16" s="362"/>
      <c r="R16" s="362"/>
      <c r="S16" s="362"/>
      <c r="T16" s="362"/>
      <c r="U16" s="363"/>
      <c r="V16" s="31"/>
      <c r="W16" s="31"/>
      <c r="X16" s="31"/>
      <c r="Y16" s="31"/>
      <c r="Z16" s="31"/>
      <c r="AA16" s="31"/>
      <c r="AB16" s="31"/>
      <c r="AC16" s="31"/>
      <c r="AD16" s="31"/>
    </row>
    <row r="17" spans="1:30" ht="27" hidden="1" customHeight="1" thickBot="1" x14ac:dyDescent="0.35">
      <c r="A17" s="364" t="s">
        <v>155</v>
      </c>
      <c r="B17" s="402" t="s">
        <v>150</v>
      </c>
      <c r="C17" s="364" t="s">
        <v>55</v>
      </c>
      <c r="D17" s="364" t="s">
        <v>56</v>
      </c>
      <c r="E17" s="364" t="s">
        <v>152</v>
      </c>
      <c r="F17" s="364" t="s">
        <v>151</v>
      </c>
      <c r="G17" s="378" t="s">
        <v>40</v>
      </c>
      <c r="H17" s="378" t="s">
        <v>65</v>
      </c>
      <c r="I17" s="378" t="s">
        <v>66</v>
      </c>
      <c r="J17" s="378" t="s">
        <v>68</v>
      </c>
      <c r="K17" s="378" t="s">
        <v>67</v>
      </c>
      <c r="L17" s="365" t="s">
        <v>153</v>
      </c>
      <c r="M17" s="365" t="s">
        <v>154</v>
      </c>
      <c r="N17" s="366" t="s">
        <v>149</v>
      </c>
      <c r="O17" s="366" t="s">
        <v>148</v>
      </c>
      <c r="P17" s="367" t="s">
        <v>145</v>
      </c>
      <c r="Q17" s="367" t="s">
        <v>146</v>
      </c>
      <c r="R17" s="367" t="s">
        <v>147</v>
      </c>
      <c r="S17" s="367" t="s">
        <v>142</v>
      </c>
      <c r="T17" s="367" t="s">
        <v>143</v>
      </c>
      <c r="U17" s="368" t="s">
        <v>144</v>
      </c>
      <c r="V17" s="364" t="s">
        <v>41</v>
      </c>
      <c r="W17" s="364" t="s">
        <v>42</v>
      </c>
      <c r="X17" s="364" t="s">
        <v>43</v>
      </c>
      <c r="Y17" s="364" t="s">
        <v>44</v>
      </c>
      <c r="Z17" s="364" t="s">
        <v>45</v>
      </c>
      <c r="AA17" s="364" t="s">
        <v>46</v>
      </c>
      <c r="AB17" s="364" t="s">
        <v>47</v>
      </c>
      <c r="AC17" s="364" t="s">
        <v>48</v>
      </c>
      <c r="AD17" s="369" t="s">
        <v>80</v>
      </c>
    </row>
    <row r="18" spans="1:30" s="96" customFormat="1" ht="23.25" x14ac:dyDescent="0.35">
      <c r="A18" s="349" t="s">
        <v>69</v>
      </c>
      <c r="B18" s="399" t="s">
        <v>63</v>
      </c>
      <c r="C18" s="350">
        <v>298.14999999999998</v>
      </c>
      <c r="D18" s="350">
        <v>303</v>
      </c>
      <c r="E18" s="351">
        <v>0</v>
      </c>
      <c r="F18" s="352">
        <v>40.799999999999997</v>
      </c>
      <c r="G18" s="379">
        <v>26.2</v>
      </c>
      <c r="H18" s="379"/>
      <c r="I18" s="379"/>
      <c r="J18" s="379"/>
      <c r="K18" s="375"/>
      <c r="L18" s="353">
        <v>5.5729299999999995</v>
      </c>
      <c r="M18" s="353">
        <v>18.392508250825081</v>
      </c>
      <c r="N18" s="354">
        <v>2.9814999999999998E-2</v>
      </c>
      <c r="O18" s="354">
        <v>3.0300000000000001E-2</v>
      </c>
      <c r="P18" s="355">
        <v>0</v>
      </c>
      <c r="Q18" s="355">
        <v>127.07000000000039</v>
      </c>
      <c r="R18" s="355">
        <v>127.07000000000039</v>
      </c>
      <c r="S18" s="356">
        <v>40.799999999999997</v>
      </c>
      <c r="T18" s="356">
        <v>41.222765556434673</v>
      </c>
      <c r="U18" s="357">
        <v>26.2</v>
      </c>
      <c r="V18" s="358">
        <v>0</v>
      </c>
      <c r="W18" s="359">
        <v>12.825050670258605</v>
      </c>
      <c r="X18" s="358">
        <v>3.1511215346683503</v>
      </c>
      <c r="Y18" s="359">
        <v>0</v>
      </c>
      <c r="Z18" s="358">
        <v>9.3950688556136863E-2</v>
      </c>
      <c r="AA18" s="359">
        <v>0</v>
      </c>
      <c r="AB18" s="358">
        <v>0</v>
      </c>
      <c r="AC18" s="359">
        <v>0</v>
      </c>
      <c r="AD18" s="412">
        <v>2</v>
      </c>
    </row>
    <row r="19" spans="1:30" s="96" customFormat="1" ht="23.25" x14ac:dyDescent="0.35">
      <c r="A19" s="349" t="s">
        <v>69</v>
      </c>
      <c r="B19" s="399" t="s">
        <v>58</v>
      </c>
      <c r="C19" s="350">
        <v>303</v>
      </c>
      <c r="D19" s="350">
        <v>700</v>
      </c>
      <c r="E19" s="351">
        <v>5.7</v>
      </c>
      <c r="F19" s="352">
        <v>59.7</v>
      </c>
      <c r="G19" s="379">
        <v>24.38</v>
      </c>
      <c r="H19" s="379">
        <v>2.29</v>
      </c>
      <c r="I19" s="379">
        <v>0.31</v>
      </c>
      <c r="J19" s="379"/>
      <c r="K19" s="375"/>
      <c r="L19" s="353" t="s">
        <v>60</v>
      </c>
      <c r="M19" s="353" t="s">
        <v>60</v>
      </c>
      <c r="N19" s="354">
        <v>3.0300000000000001E-2</v>
      </c>
      <c r="O19" s="354">
        <v>7.0000000000000007E-2</v>
      </c>
      <c r="P19" s="355">
        <v>5700</v>
      </c>
      <c r="Q19" s="355">
        <v>16415.033862373879</v>
      </c>
      <c r="R19" s="355">
        <v>16415.033862373879</v>
      </c>
      <c r="S19" s="356">
        <v>59.7</v>
      </c>
      <c r="T19" s="356">
        <v>82.395623880072804</v>
      </c>
      <c r="U19" s="357">
        <v>26.615653061224489</v>
      </c>
      <c r="V19" s="358">
        <v>0</v>
      </c>
      <c r="W19" s="359">
        <v>14.620447424512136</v>
      </c>
      <c r="X19" s="358">
        <v>2.9322268326417702</v>
      </c>
      <c r="Y19" s="359">
        <v>1.8642131216549401E-4</v>
      </c>
      <c r="Z19" s="358">
        <v>9.2508147786274225E-3</v>
      </c>
      <c r="AA19" s="359">
        <v>1.3771122737386492</v>
      </c>
      <c r="AB19" s="358">
        <v>0</v>
      </c>
      <c r="AC19" s="359">
        <v>0</v>
      </c>
      <c r="AD19" s="412">
        <v>2</v>
      </c>
    </row>
    <row r="20" spans="1:30" s="96" customFormat="1" ht="23.25" hidden="1" x14ac:dyDescent="0.35">
      <c r="A20" s="349" t="s">
        <v>69</v>
      </c>
      <c r="B20" s="399" t="s">
        <v>61</v>
      </c>
      <c r="C20" s="350">
        <v>298.14999999999998</v>
      </c>
      <c r="D20" s="350">
        <v>3000</v>
      </c>
      <c r="E20" s="351">
        <v>272</v>
      </c>
      <c r="F20" s="352">
        <v>169</v>
      </c>
      <c r="G20" s="379">
        <v>24.87</v>
      </c>
      <c r="H20" s="379">
        <v>-1.38</v>
      </c>
      <c r="I20" s="379">
        <v>0.25</v>
      </c>
      <c r="J20" s="379"/>
      <c r="K20" s="375"/>
      <c r="L20" s="353" t="s">
        <v>60</v>
      </c>
      <c r="M20" s="353" t="s">
        <v>60</v>
      </c>
      <c r="N20" s="354">
        <v>2.9814999999999998E-2</v>
      </c>
      <c r="O20" s="354">
        <v>0.3</v>
      </c>
      <c r="P20" s="355">
        <v>272000</v>
      </c>
      <c r="Q20" s="355">
        <v>61801.516736861806</v>
      </c>
      <c r="R20" s="355">
        <v>333801.51673686178</v>
      </c>
      <c r="S20" s="356">
        <v>169</v>
      </c>
      <c r="T20" s="356">
        <v>224.08286748288222</v>
      </c>
      <c r="U20" s="357">
        <v>20.757777777777779</v>
      </c>
      <c r="V20" s="358">
        <v>3.2713933489686688</v>
      </c>
      <c r="W20" s="359">
        <v>28.060564076656096</v>
      </c>
      <c r="X20" s="358">
        <v>2.9911600216489265</v>
      </c>
      <c r="Y20" s="359">
        <v>1.503397678753984E-4</v>
      </c>
      <c r="Z20" s="358">
        <v>7.8358890249622545E-2</v>
      </c>
      <c r="AA20" s="359">
        <v>-0.829875518672199</v>
      </c>
      <c r="AB20" s="358">
        <v>0</v>
      </c>
      <c r="AC20" s="359">
        <v>0</v>
      </c>
      <c r="AD20" s="412">
        <v>2</v>
      </c>
    </row>
    <row r="21" spans="1:30" s="96" customFormat="1" ht="23.25" hidden="1" x14ac:dyDescent="0.35">
      <c r="A21" s="349" t="s">
        <v>70</v>
      </c>
      <c r="B21" s="399" t="s">
        <v>63</v>
      </c>
      <c r="C21" s="350">
        <v>298</v>
      </c>
      <c r="D21" s="350">
        <v>2000</v>
      </c>
      <c r="E21" s="351">
        <v>-183</v>
      </c>
      <c r="F21" s="352">
        <v>113</v>
      </c>
      <c r="G21" s="379"/>
      <c r="H21" s="379"/>
      <c r="I21" s="379"/>
      <c r="J21" s="379"/>
      <c r="K21" s="375"/>
      <c r="L21" s="332" t="s">
        <v>60</v>
      </c>
      <c r="M21" s="332" t="s">
        <v>60</v>
      </c>
      <c r="N21" s="333">
        <v>2.98E-2</v>
      </c>
      <c r="O21" s="333">
        <v>0.2</v>
      </c>
      <c r="P21" s="334">
        <v>-183000</v>
      </c>
      <c r="Q21" s="334">
        <v>0</v>
      </c>
      <c r="R21" s="334">
        <v>-183000</v>
      </c>
      <c r="S21" s="335">
        <v>113</v>
      </c>
      <c r="T21" s="335">
        <v>113</v>
      </c>
      <c r="U21" s="336">
        <v>0</v>
      </c>
      <c r="V21" s="337">
        <v>-2.2009742016958325</v>
      </c>
      <c r="W21" s="312">
        <v>13.590715015936015</v>
      </c>
      <c r="X21" s="337">
        <v>0</v>
      </c>
      <c r="Y21" s="312">
        <v>0</v>
      </c>
      <c r="Z21" s="337">
        <v>0</v>
      </c>
      <c r="AA21" s="312">
        <v>0</v>
      </c>
      <c r="AB21" s="337">
        <v>0</v>
      </c>
      <c r="AC21" s="312">
        <v>0</v>
      </c>
      <c r="AD21" s="411">
        <v>2</v>
      </c>
    </row>
    <row r="22" spans="1:30" s="96" customFormat="1" ht="23.25" hidden="1" x14ac:dyDescent="0.35">
      <c r="A22" s="349" t="s">
        <v>70</v>
      </c>
      <c r="B22" s="399" t="s">
        <v>61</v>
      </c>
      <c r="C22" s="350">
        <v>298</v>
      </c>
      <c r="D22" s="350">
        <v>2000</v>
      </c>
      <c r="E22" s="351">
        <v>96.2</v>
      </c>
      <c r="F22" s="352">
        <v>315.5</v>
      </c>
      <c r="G22" s="379">
        <v>58.09</v>
      </c>
      <c r="H22" s="379">
        <v>0.05</v>
      </c>
      <c r="I22" s="379">
        <v>-0.28999999999999998</v>
      </c>
      <c r="J22" s="379"/>
      <c r="K22" s="375"/>
      <c r="L22" s="332" t="s">
        <v>60</v>
      </c>
      <c r="M22" s="332" t="s">
        <v>60</v>
      </c>
      <c r="N22" s="333">
        <v>2.98E-2</v>
      </c>
      <c r="O22" s="333">
        <v>0.2</v>
      </c>
      <c r="P22" s="334">
        <v>96200</v>
      </c>
      <c r="Q22" s="334">
        <v>98138.805537583903</v>
      </c>
      <c r="R22" s="334">
        <v>194338.80553758389</v>
      </c>
      <c r="S22" s="335">
        <v>315.5</v>
      </c>
      <c r="T22" s="335">
        <v>424.58080391078767</v>
      </c>
      <c r="U22" s="336">
        <v>58.117500000000007</v>
      </c>
      <c r="V22" s="337">
        <v>1.1570148535690659</v>
      </c>
      <c r="W22" s="312">
        <v>55.306609206095921</v>
      </c>
      <c r="X22" s="337">
        <v>6.9865896927055147</v>
      </c>
      <c r="Y22" s="312">
        <v>-1.7439413073546211E-4</v>
      </c>
      <c r="Z22" s="337">
        <v>0.21993137846432265</v>
      </c>
      <c r="AA22" s="312">
        <v>3.0067953575079676E-2</v>
      </c>
      <c r="AB22" s="337">
        <v>0</v>
      </c>
      <c r="AC22" s="312">
        <v>0</v>
      </c>
      <c r="AD22" s="413">
        <v>2</v>
      </c>
    </row>
    <row r="23" spans="1:30" s="96" customFormat="1" ht="23.25" hidden="1" x14ac:dyDescent="0.35">
      <c r="A23" s="349" t="s">
        <v>71</v>
      </c>
      <c r="B23" s="399" t="s">
        <v>63</v>
      </c>
      <c r="C23" s="350">
        <v>298</v>
      </c>
      <c r="D23" s="350">
        <v>1278</v>
      </c>
      <c r="E23" s="351">
        <v>-408.8</v>
      </c>
      <c r="F23" s="352">
        <v>179.9</v>
      </c>
      <c r="G23" s="379">
        <v>105.73</v>
      </c>
      <c r="H23" s="379">
        <v>35.31</v>
      </c>
      <c r="I23" s="379"/>
      <c r="J23" s="379"/>
      <c r="K23" s="375"/>
      <c r="L23" s="332" t="s">
        <v>60</v>
      </c>
      <c r="M23" s="332" t="s">
        <v>60</v>
      </c>
      <c r="N23" s="333">
        <v>2.98E-2</v>
      </c>
      <c r="O23" s="333">
        <v>0.1278</v>
      </c>
      <c r="P23" s="334">
        <v>-408800</v>
      </c>
      <c r="Q23" s="334">
        <v>130883.19439999999</v>
      </c>
      <c r="R23" s="334">
        <v>-277916.80560000002</v>
      </c>
      <c r="S23" s="335">
        <v>179.9</v>
      </c>
      <c r="T23" s="335">
        <v>368.44225503372337</v>
      </c>
      <c r="U23" s="336">
        <v>150.85617999999999</v>
      </c>
      <c r="V23" s="337">
        <v>-4.916711768597029</v>
      </c>
      <c r="W23" s="312">
        <v>52.33065285956166</v>
      </c>
      <c r="X23" s="337">
        <v>12.716338925972698</v>
      </c>
      <c r="Y23" s="312">
        <v>0</v>
      </c>
      <c r="Z23" s="337">
        <v>0.39780353142101149</v>
      </c>
      <c r="AA23" s="312">
        <v>21.233988814721268</v>
      </c>
      <c r="AB23" s="337">
        <v>0</v>
      </c>
      <c r="AC23" s="312">
        <v>0</v>
      </c>
      <c r="AD23" s="413">
        <v>2</v>
      </c>
    </row>
    <row r="24" spans="1:30" s="144" customFormat="1" ht="23.25" hidden="1" x14ac:dyDescent="0.35">
      <c r="A24" s="349" t="s">
        <v>156</v>
      </c>
      <c r="B24" s="399" t="s">
        <v>63</v>
      </c>
      <c r="C24" s="350">
        <v>298</v>
      </c>
      <c r="D24" s="350">
        <v>1211</v>
      </c>
      <c r="E24" s="351">
        <v>-159</v>
      </c>
      <c r="F24" s="352">
        <v>70.3</v>
      </c>
      <c r="G24" s="379">
        <v>44.64</v>
      </c>
      <c r="H24" s="379">
        <v>12.97</v>
      </c>
      <c r="I24" s="379"/>
      <c r="J24" s="379"/>
      <c r="K24" s="375"/>
      <c r="L24" s="332" t="s">
        <v>60</v>
      </c>
      <c r="M24" s="332" t="s">
        <v>60</v>
      </c>
      <c r="N24" s="333">
        <v>2.98E-2</v>
      </c>
      <c r="O24" s="333">
        <v>0.1211</v>
      </c>
      <c r="P24" s="334">
        <v>-159000</v>
      </c>
      <c r="Q24" s="334">
        <v>49690.814744999989</v>
      </c>
      <c r="R24" s="334">
        <v>-109309.18525500002</v>
      </c>
      <c r="S24" s="335">
        <v>70.3</v>
      </c>
      <c r="T24" s="335">
        <v>144.73172259460881</v>
      </c>
      <c r="U24" s="336">
        <v>60.346670000000003</v>
      </c>
      <c r="V24" s="337">
        <v>-1.9123218473750676</v>
      </c>
      <c r="W24" s="312">
        <v>21.483706893669559</v>
      </c>
      <c r="X24" s="337">
        <v>5.3689337903662278</v>
      </c>
      <c r="Y24" s="312">
        <v>0</v>
      </c>
      <c r="Z24" s="337">
        <v>0.16692060785374949</v>
      </c>
      <c r="AA24" s="312">
        <v>7.799627157375669</v>
      </c>
      <c r="AB24" s="337">
        <v>0</v>
      </c>
      <c r="AC24" s="312">
        <v>0</v>
      </c>
      <c r="AD24" s="413">
        <v>2</v>
      </c>
    </row>
    <row r="25" spans="1:30" ht="23.25" hidden="1" x14ac:dyDescent="0.35">
      <c r="A25" s="349" t="s">
        <v>62</v>
      </c>
      <c r="B25" s="399" t="s">
        <v>63</v>
      </c>
      <c r="C25" s="350">
        <v>298.14999999999998</v>
      </c>
      <c r="D25" s="350">
        <v>1210</v>
      </c>
      <c r="E25" s="351">
        <v>0</v>
      </c>
      <c r="F25" s="352">
        <v>31.1</v>
      </c>
      <c r="G25" s="379">
        <v>23.35</v>
      </c>
      <c r="H25" s="379">
        <v>3.9</v>
      </c>
      <c r="I25" s="379">
        <v>-0.11</v>
      </c>
      <c r="J25" s="379"/>
      <c r="K25" s="375"/>
      <c r="L25" s="353">
        <v>35.18098239078077</v>
      </c>
      <c r="M25" s="353">
        <v>29.075192058496508</v>
      </c>
      <c r="N25" s="354">
        <v>2.9814999999999998E-2</v>
      </c>
      <c r="O25" s="354">
        <v>0.121</v>
      </c>
      <c r="P25" s="355">
        <v>0</v>
      </c>
      <c r="Q25" s="355">
        <v>23695.317609219233</v>
      </c>
      <c r="R25" s="355">
        <v>23695.317609219233</v>
      </c>
      <c r="S25" s="356">
        <v>31.1</v>
      </c>
      <c r="T25" s="356">
        <v>66.783250149175245</v>
      </c>
      <c r="U25" s="357">
        <v>27.993868519909846</v>
      </c>
      <c r="V25" s="358">
        <v>0</v>
      </c>
      <c r="W25" s="359">
        <v>10.582844540703489</v>
      </c>
      <c r="X25" s="358">
        <v>2.8083468639124423</v>
      </c>
      <c r="Y25" s="359">
        <v>-6.6149497865175294E-5</v>
      </c>
      <c r="Z25" s="358">
        <v>9.0253009581933469E-2</v>
      </c>
      <c r="AA25" s="359">
        <v>2.3453003788562148</v>
      </c>
      <c r="AB25" s="358">
        <v>0</v>
      </c>
      <c r="AC25" s="359">
        <v>0</v>
      </c>
      <c r="AD25" s="412">
        <v>2</v>
      </c>
    </row>
    <row r="26" spans="1:30" ht="23.25" hidden="1" x14ac:dyDescent="0.35">
      <c r="A26" s="349" t="s">
        <v>62</v>
      </c>
      <c r="B26" s="399" t="s">
        <v>58</v>
      </c>
      <c r="C26" s="350">
        <v>1210</v>
      </c>
      <c r="D26" s="350">
        <v>2000</v>
      </c>
      <c r="E26" s="351">
        <v>60.7</v>
      </c>
      <c r="F26" s="352">
        <v>97.3</v>
      </c>
      <c r="G26" s="379">
        <v>24.61</v>
      </c>
      <c r="H26" s="379"/>
      <c r="I26" s="379"/>
      <c r="J26" s="379"/>
      <c r="K26" s="375"/>
      <c r="L26" s="353" t="s">
        <v>60</v>
      </c>
      <c r="M26" s="353" t="s">
        <v>60</v>
      </c>
      <c r="N26" s="354">
        <v>0.121</v>
      </c>
      <c r="O26" s="354">
        <v>0.2</v>
      </c>
      <c r="P26" s="355">
        <v>60700</v>
      </c>
      <c r="Q26" s="355">
        <v>80141.900000000009</v>
      </c>
      <c r="R26" s="355">
        <v>80141.900000000009</v>
      </c>
      <c r="S26" s="356">
        <v>97.3</v>
      </c>
      <c r="T26" s="356">
        <v>109.66718506361138</v>
      </c>
      <c r="U26" s="357">
        <v>24.61</v>
      </c>
      <c r="V26" s="358">
        <v>0</v>
      </c>
      <c r="W26" s="359">
        <v>14.993740103267132</v>
      </c>
      <c r="X26" s="358">
        <v>2.9598893499308434</v>
      </c>
      <c r="Y26" s="359">
        <v>0</v>
      </c>
      <c r="Z26" s="358">
        <v>-0.37190330146130257</v>
      </c>
      <c r="AA26" s="359">
        <v>0</v>
      </c>
      <c r="AB26" s="358">
        <v>0</v>
      </c>
      <c r="AC26" s="359">
        <v>0</v>
      </c>
      <c r="AD26" s="412">
        <v>2</v>
      </c>
    </row>
    <row r="27" spans="1:30" ht="23.25" hidden="1" x14ac:dyDescent="0.35">
      <c r="A27" s="349" t="s">
        <v>62</v>
      </c>
      <c r="B27" s="399" t="s">
        <v>61</v>
      </c>
      <c r="C27" s="350">
        <v>298.14999999999998</v>
      </c>
      <c r="D27" s="350">
        <v>2000</v>
      </c>
      <c r="E27" s="351">
        <v>374.5</v>
      </c>
      <c r="F27" s="352">
        <v>167.9</v>
      </c>
      <c r="G27" s="379">
        <v>29.47</v>
      </c>
      <c r="H27" s="379">
        <v>-3.66</v>
      </c>
      <c r="I27" s="379">
        <v>0.32</v>
      </c>
      <c r="J27" s="379"/>
      <c r="K27" s="375"/>
      <c r="L27" s="353" t="s">
        <v>60</v>
      </c>
      <c r="M27" s="353" t="s">
        <v>60</v>
      </c>
      <c r="N27" s="354">
        <v>2.9814999999999998E-2</v>
      </c>
      <c r="O27" s="354">
        <v>0.2</v>
      </c>
      <c r="P27" s="355">
        <v>374500</v>
      </c>
      <c r="Q27" s="355">
        <v>43909.479722272772</v>
      </c>
      <c r="R27" s="355">
        <v>418409.47972227278</v>
      </c>
      <c r="S27" s="356">
        <v>167.9</v>
      </c>
      <c r="T27" s="356">
        <v>219.52155747394053</v>
      </c>
      <c r="U27" s="357">
        <v>22.23</v>
      </c>
      <c r="V27" s="358">
        <v>4.5041794455469359</v>
      </c>
      <c r="W27" s="359">
        <v>29.447554603809422</v>
      </c>
      <c r="X27" s="358">
        <v>3.5444103674303924</v>
      </c>
      <c r="Y27" s="359">
        <v>1.9243490288050995E-4</v>
      </c>
      <c r="Z27" s="358">
        <v>9.0811477271360019E-2</v>
      </c>
      <c r="AA27" s="359">
        <v>-2.2009742016958325</v>
      </c>
      <c r="AB27" s="358">
        <v>0</v>
      </c>
      <c r="AC27" s="359">
        <v>0</v>
      </c>
      <c r="AD27" s="412">
        <v>2</v>
      </c>
    </row>
    <row r="28" spans="1:30" ht="23.25" hidden="1" x14ac:dyDescent="0.35">
      <c r="A28" s="349" t="s">
        <v>81</v>
      </c>
      <c r="B28" s="399" t="s">
        <v>63</v>
      </c>
      <c r="C28" s="350">
        <v>298</v>
      </c>
      <c r="D28" s="350">
        <v>948</v>
      </c>
      <c r="E28" s="351">
        <v>-69</v>
      </c>
      <c r="F28" s="352">
        <v>78.2</v>
      </c>
      <c r="G28" s="379">
        <v>45.1</v>
      </c>
      <c r="H28" s="379">
        <v>16.399999999999999</v>
      </c>
      <c r="I28" s="379"/>
      <c r="J28" s="379"/>
      <c r="K28" s="375"/>
      <c r="L28" s="332">
        <v>24.643819999999998</v>
      </c>
      <c r="M28" s="332">
        <v>25.995590717299578</v>
      </c>
      <c r="N28" s="333">
        <v>2.98E-2</v>
      </c>
      <c r="O28" s="333">
        <v>9.4799999999999995E-2</v>
      </c>
      <c r="P28" s="334">
        <v>-69000</v>
      </c>
      <c r="Q28" s="334">
        <v>35956.18</v>
      </c>
      <c r="R28" s="334">
        <v>-33043.82</v>
      </c>
      <c r="S28" s="335">
        <v>78.2</v>
      </c>
      <c r="T28" s="335">
        <v>141.05247181030774</v>
      </c>
      <c r="U28" s="336">
        <v>60.647200000000005</v>
      </c>
      <c r="V28" s="337">
        <v>-0.82987551867219922</v>
      </c>
      <c r="W28" s="312">
        <v>22.449965065215235</v>
      </c>
      <c r="X28" s="337">
        <v>5.4242588249443742</v>
      </c>
      <c r="Y28" s="312">
        <v>0</v>
      </c>
      <c r="Z28" s="337">
        <v>0.17040101990498527</v>
      </c>
      <c r="AA28" s="312">
        <v>9.862288772626135</v>
      </c>
      <c r="AB28" s="337">
        <v>0</v>
      </c>
      <c r="AC28" s="312">
        <v>0</v>
      </c>
      <c r="AD28" s="413">
        <v>2</v>
      </c>
    </row>
    <row r="29" spans="1:30" ht="23.25" hidden="1" x14ac:dyDescent="0.35">
      <c r="A29" s="349" t="s">
        <v>81</v>
      </c>
      <c r="B29" s="399" t="s">
        <v>58</v>
      </c>
      <c r="C29" s="350">
        <v>948</v>
      </c>
      <c r="D29" s="350">
        <v>2000</v>
      </c>
      <c r="E29" s="351">
        <v>-8.4</v>
      </c>
      <c r="F29" s="352">
        <v>167.1</v>
      </c>
      <c r="G29" s="379">
        <v>63.6</v>
      </c>
      <c r="H29" s="379"/>
      <c r="I29" s="379"/>
      <c r="J29" s="379"/>
      <c r="K29" s="375"/>
      <c r="L29" s="332" t="s">
        <v>60</v>
      </c>
      <c r="M29" s="332" t="s">
        <v>60</v>
      </c>
      <c r="N29" s="333">
        <v>9.4799999999999995E-2</v>
      </c>
      <c r="O29" s="333">
        <v>0.2</v>
      </c>
      <c r="P29" s="334">
        <v>-8400</v>
      </c>
      <c r="Q29" s="334">
        <v>127507.2</v>
      </c>
      <c r="R29" s="334">
        <v>58507.199999999997</v>
      </c>
      <c r="S29" s="335">
        <v>167.1</v>
      </c>
      <c r="T29" s="335">
        <v>214.58045008345707</v>
      </c>
      <c r="U29" s="336">
        <v>63.6</v>
      </c>
      <c r="V29" s="337">
        <v>-0.82987551867219922</v>
      </c>
      <c r="W29" s="312">
        <v>30.469745783181889</v>
      </c>
      <c r="X29" s="337">
        <v>7.6492873895002704</v>
      </c>
      <c r="Y29" s="312">
        <v>0</v>
      </c>
      <c r="Z29" s="337">
        <v>-3.6947501353057355E-3</v>
      </c>
      <c r="AA29" s="312">
        <v>0</v>
      </c>
      <c r="AB29" s="337">
        <v>0</v>
      </c>
      <c r="AC29" s="312">
        <v>0</v>
      </c>
      <c r="AD29" s="413">
        <v>2</v>
      </c>
    </row>
    <row r="30" spans="1:30" ht="23.25" hidden="1" x14ac:dyDescent="0.35">
      <c r="A30" s="349" t="s">
        <v>82</v>
      </c>
      <c r="B30" s="399" t="s">
        <v>63</v>
      </c>
      <c r="C30" s="350">
        <v>298</v>
      </c>
      <c r="D30" s="350">
        <v>1013</v>
      </c>
      <c r="E30" s="351">
        <v>-113</v>
      </c>
      <c r="F30" s="352">
        <v>112.6</v>
      </c>
      <c r="G30" s="379">
        <v>62.89</v>
      </c>
      <c r="H30" s="379">
        <v>27.74</v>
      </c>
      <c r="I30" s="379"/>
      <c r="J30" s="379"/>
      <c r="K30" s="375"/>
      <c r="L30" s="332" t="s">
        <v>60</v>
      </c>
      <c r="M30" s="332" t="s">
        <v>60</v>
      </c>
      <c r="N30" s="333">
        <v>2.98E-2</v>
      </c>
      <c r="O30" s="333">
        <v>0.1013</v>
      </c>
      <c r="P30" s="334">
        <v>-113000</v>
      </c>
      <c r="Q30" s="348">
        <v>57967.602549999996</v>
      </c>
      <c r="R30" s="334">
        <v>-55032.397450000004</v>
      </c>
      <c r="S30" s="335">
        <v>112.6</v>
      </c>
      <c r="T30" s="335">
        <v>209.38492153587475</v>
      </c>
      <c r="U30" s="381">
        <v>90.990619999999993</v>
      </c>
      <c r="V30" s="337">
        <v>-1.3590715015936015</v>
      </c>
      <c r="W30" s="312">
        <v>31.55831097808133</v>
      </c>
      <c r="X30" s="337">
        <v>7.5638944013470439</v>
      </c>
      <c r="Y30" s="312">
        <v>0</v>
      </c>
      <c r="Z30" s="337">
        <v>0.24021807059955499</v>
      </c>
      <c r="AA30" s="312">
        <v>16.681700643454203</v>
      </c>
      <c r="AB30" s="337">
        <v>0</v>
      </c>
      <c r="AC30" s="312">
        <v>0</v>
      </c>
      <c r="AD30" s="411">
        <v>2</v>
      </c>
    </row>
    <row r="31" spans="1:30" ht="23.25" hidden="1" x14ac:dyDescent="0.35">
      <c r="A31" s="344" t="s">
        <v>64</v>
      </c>
      <c r="B31" s="400" t="s">
        <v>63</v>
      </c>
      <c r="C31" s="345">
        <v>298.14999999999998</v>
      </c>
      <c r="D31" s="345">
        <v>493</v>
      </c>
      <c r="E31" s="346">
        <v>0</v>
      </c>
      <c r="F31" s="347">
        <v>42.3</v>
      </c>
      <c r="G31" s="372">
        <v>17.89</v>
      </c>
      <c r="H31" s="372">
        <v>25.1</v>
      </c>
      <c r="I31" s="372"/>
      <c r="J31" s="372"/>
      <c r="K31" s="373"/>
      <c r="L31" s="332">
        <v>5.8794810023750008</v>
      </c>
      <c r="M31" s="332">
        <v>11.925924954107506</v>
      </c>
      <c r="N31" s="333">
        <v>2.9814999999999998E-2</v>
      </c>
      <c r="O31" s="333">
        <v>4.9299999999999997E-2</v>
      </c>
      <c r="P31" s="334">
        <v>0</v>
      </c>
      <c r="Q31" s="348">
        <v>5420.5189976249994</v>
      </c>
      <c r="R31" s="334">
        <v>5420.5189976249994</v>
      </c>
      <c r="S31" s="335">
        <v>42.3</v>
      </c>
      <c r="T31" s="335">
        <v>56.187838882092244</v>
      </c>
      <c r="U31" s="381">
        <v>30.264299999999999</v>
      </c>
      <c r="V31" s="337">
        <v>0</v>
      </c>
      <c r="W31" s="312">
        <v>9.5940127503905739</v>
      </c>
      <c r="X31" s="337">
        <v>2.1516627578327019</v>
      </c>
      <c r="Y31" s="312">
        <v>0</v>
      </c>
      <c r="Z31" s="337">
        <v>7.7569498495098907E-2</v>
      </c>
      <c r="AA31" s="312">
        <v>15.094112694689999</v>
      </c>
      <c r="AB31" s="337">
        <v>0</v>
      </c>
      <c r="AC31" s="312">
        <v>0</v>
      </c>
      <c r="AD31" s="411">
        <v>2</v>
      </c>
    </row>
    <row r="32" spans="1:30" ht="23.25" hidden="1" x14ac:dyDescent="0.35">
      <c r="A32" s="344" t="s">
        <v>64</v>
      </c>
      <c r="B32" s="400" t="s">
        <v>58</v>
      </c>
      <c r="C32" s="345">
        <v>493</v>
      </c>
      <c r="D32" s="345">
        <v>957</v>
      </c>
      <c r="E32" s="346">
        <v>11.3</v>
      </c>
      <c r="F32" s="347">
        <v>68.113763836199666</v>
      </c>
      <c r="G32" s="372">
        <v>35.15</v>
      </c>
      <c r="H32" s="372"/>
      <c r="I32" s="372"/>
      <c r="J32" s="372"/>
      <c r="K32" s="373"/>
      <c r="L32" s="332" t="s">
        <v>60</v>
      </c>
      <c r="M32" s="332" t="s">
        <v>60</v>
      </c>
      <c r="N32" s="333">
        <v>4.9299999999999997E-2</v>
      </c>
      <c r="O32" s="333">
        <v>9.5699999999999993E-2</v>
      </c>
      <c r="P32" s="334">
        <v>11300</v>
      </c>
      <c r="Q32" s="334">
        <v>27609.599999999995</v>
      </c>
      <c r="R32" s="334">
        <v>27609.599999999995</v>
      </c>
      <c r="S32" s="335">
        <v>68.113763836199666</v>
      </c>
      <c r="T32" s="335">
        <v>91.428555578170489</v>
      </c>
      <c r="U32" s="381">
        <v>35.15</v>
      </c>
      <c r="V32" s="337">
        <v>0</v>
      </c>
      <c r="W32" s="312">
        <v>16.688836423544643</v>
      </c>
      <c r="X32" s="337">
        <v>4.2275542726562021</v>
      </c>
      <c r="Y32" s="312">
        <v>0</v>
      </c>
      <c r="Z32" s="337">
        <v>7.251127548259062E-2</v>
      </c>
      <c r="AA32" s="312">
        <v>0</v>
      </c>
      <c r="AB32" s="337">
        <v>0</v>
      </c>
      <c r="AC32" s="312">
        <v>0</v>
      </c>
      <c r="AD32" s="411">
        <v>2</v>
      </c>
    </row>
    <row r="33" spans="1:30" ht="23.25" hidden="1" x14ac:dyDescent="0.35">
      <c r="A33" s="344" t="s">
        <v>64</v>
      </c>
      <c r="B33" s="400" t="s">
        <v>61</v>
      </c>
      <c r="C33" s="345">
        <v>298.14999999999998</v>
      </c>
      <c r="D33" s="345">
        <v>2000</v>
      </c>
      <c r="E33" s="346">
        <v>235.4</v>
      </c>
      <c r="F33" s="347">
        <v>176.7</v>
      </c>
      <c r="G33" s="372">
        <v>21.46</v>
      </c>
      <c r="H33" s="372">
        <v>1.51</v>
      </c>
      <c r="I33" s="372">
        <v>0.09</v>
      </c>
      <c r="J33" s="372"/>
      <c r="K33" s="373"/>
      <c r="L33" s="353" t="s">
        <v>60</v>
      </c>
      <c r="M33" s="353" t="s">
        <v>60</v>
      </c>
      <c r="N33" s="354">
        <v>2.9814999999999998E-2</v>
      </c>
      <c r="O33" s="354">
        <v>0.2</v>
      </c>
      <c r="P33" s="355">
        <v>235400</v>
      </c>
      <c r="Q33" s="355">
        <v>39731.447945133754</v>
      </c>
      <c r="R33" s="355">
        <v>275131.44794513378</v>
      </c>
      <c r="S33" s="356">
        <v>176.7</v>
      </c>
      <c r="T33" s="356">
        <v>220.60970894664467</v>
      </c>
      <c r="U33" s="357">
        <v>24.502499999999998</v>
      </c>
      <c r="V33" s="358">
        <v>2.8311985086295026</v>
      </c>
      <c r="W33" s="359">
        <v>27.744241571649582</v>
      </c>
      <c r="X33" s="358">
        <v>2.5810331348848394</v>
      </c>
      <c r="Y33" s="359">
        <v>5.4122316435143416E-5</v>
      </c>
      <c r="Z33" s="358">
        <v>7.4130158817322156E-2</v>
      </c>
      <c r="AA33" s="359">
        <v>0.90805219796740622</v>
      </c>
      <c r="AB33" s="358">
        <v>0</v>
      </c>
      <c r="AC33" s="359">
        <v>0</v>
      </c>
      <c r="AD33" s="412">
        <v>2</v>
      </c>
    </row>
  </sheetData>
  <sheetProtection sheet="1" formatCells="0" formatColumns="0" formatRows="0" insertColumns="0" insertRows="0" deleteRows="0" sort="0" autoFilter="0" pivotTables="0"/>
  <phoneticPr fontId="17" type="noConversion"/>
  <pageMargins left="0.7" right="0.7" top="0.75" bottom="0.75" header="0.3" footer="0.3"/>
  <pageSetup paperSize="9" orientation="portrait" r:id="rId1"/>
  <drawing r:id="rId2"/>
  <legacyDrawing r:id="rId3"/>
  <tableParts count="2"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3C795-491B-4A21-876B-C775EFD163ED}">
  <sheetPr codeName="Лист13">
    <tabColor rgb="FFFF0000"/>
  </sheetPr>
  <dimension ref="A1:Z27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J2" sqref="J2"/>
    </sheetView>
  </sheetViews>
  <sheetFormatPr defaultRowHeight="23.25" outlineLevelCol="1" x14ac:dyDescent="0.35"/>
  <cols>
    <col min="1" max="1" width="10.26953125" style="103" bestFit="1" customWidth="1"/>
    <col min="2" max="2" width="1.6328125" style="103" customWidth="1"/>
    <col min="3" max="3" width="11.7265625" style="75" customWidth="1"/>
    <col min="4" max="4" width="3.453125" style="322" customWidth="1"/>
    <col min="5" max="6" width="8.81640625" style="75" bestFit="1" customWidth="1"/>
    <col min="7" max="9" width="11.81640625" style="91" customWidth="1" outlineLevel="1"/>
    <col min="10" max="10" width="11.36328125" style="91" customWidth="1" outlineLevel="1"/>
    <col min="11" max="14" width="11.81640625" style="91" customWidth="1" outlineLevel="1"/>
    <col min="15" max="15" width="3.36328125" style="112" customWidth="1"/>
    <col min="16" max="16" width="3.90625" style="75" customWidth="1"/>
    <col min="17" max="17" width="10.1796875" style="75" bestFit="1" customWidth="1"/>
    <col min="18" max="19" width="10.54296875" style="75" bestFit="1" customWidth="1"/>
    <col min="20" max="21" width="11.1796875" style="75" bestFit="1" customWidth="1"/>
    <col min="22" max="22" width="10.54296875" style="75" bestFit="1" customWidth="1"/>
    <col min="23" max="23" width="11.1796875" style="75" bestFit="1" customWidth="1"/>
    <col min="24" max="16384" width="8.7265625" style="75"/>
  </cols>
  <sheetData>
    <row r="1" spans="1:18" ht="21.75" thickTop="1" x14ac:dyDescent="0.35">
      <c r="A1"/>
      <c r="B1" s="102"/>
      <c r="C1" s="396" t="s">
        <v>103</v>
      </c>
      <c r="D1" s="398" t="s">
        <v>167</v>
      </c>
      <c r="E1" s="397" t="s">
        <v>168</v>
      </c>
      <c r="F1" s="181" t="s">
        <v>169</v>
      </c>
      <c r="G1" s="181" t="s">
        <v>41</v>
      </c>
      <c r="H1" s="181" t="s">
        <v>42</v>
      </c>
      <c r="I1" s="181" t="s">
        <v>43</v>
      </c>
      <c r="J1" s="181" t="s">
        <v>44</v>
      </c>
      <c r="K1" s="181" t="s">
        <v>45</v>
      </c>
      <c r="L1" s="181" t="s">
        <v>46</v>
      </c>
      <c r="M1" s="181" t="s">
        <v>47</v>
      </c>
      <c r="N1" s="181" t="s">
        <v>48</v>
      </c>
      <c r="O1" s="183" t="s">
        <v>166</v>
      </c>
      <c r="P1" s="182" t="s">
        <v>170</v>
      </c>
      <c r="R1" s="183">
        <f>COUNTA(O2:O275)</f>
        <v>59</v>
      </c>
    </row>
    <row r="2" spans="1:18" x14ac:dyDescent="0.35">
      <c r="A2"/>
      <c r="B2" s="102"/>
      <c r="C2" s="436" t="s">
        <v>69</v>
      </c>
      <c r="D2" s="276" t="s">
        <v>63</v>
      </c>
      <c r="E2" s="434">
        <v>298.14999999999998</v>
      </c>
      <c r="F2" s="434">
        <v>303</v>
      </c>
      <c r="G2" s="444">
        <v>0</v>
      </c>
      <c r="H2" s="445">
        <v>-158.4</v>
      </c>
      <c r="I2" s="444">
        <v>-46.31</v>
      </c>
      <c r="J2" s="445">
        <v>3.9409989999999997E-3</v>
      </c>
      <c r="K2" s="444">
        <v>-0.93300000000000005</v>
      </c>
      <c r="L2" s="445">
        <v>1042.105</v>
      </c>
      <c r="M2" s="444">
        <v>-4041.9989999999998</v>
      </c>
      <c r="N2" s="445">
        <v>0</v>
      </c>
      <c r="O2" s="437">
        <v>1</v>
      </c>
      <c r="P2" s="31"/>
    </row>
    <row r="3" spans="1:18" x14ac:dyDescent="0.35">
      <c r="A3"/>
      <c r="B3" s="102"/>
      <c r="C3" s="436" t="s">
        <v>69</v>
      </c>
      <c r="D3" s="276" t="s">
        <v>58</v>
      </c>
      <c r="E3" s="434">
        <v>303</v>
      </c>
      <c r="F3" s="434">
        <v>699.99990000000003</v>
      </c>
      <c r="G3" s="444">
        <v>6.7230010000000007E-2</v>
      </c>
      <c r="H3" s="445">
        <v>15.16</v>
      </c>
      <c r="I3" s="444">
        <v>3.1360000000000001</v>
      </c>
      <c r="J3" s="445">
        <v>1.4229999999999999E-4</v>
      </c>
      <c r="K3" s="444">
        <v>8.3939990000000006E-2</v>
      </c>
      <c r="L3" s="445">
        <v>-0.18459999999999999</v>
      </c>
      <c r="M3" s="444">
        <v>0.49309999999999998</v>
      </c>
      <c r="N3" s="445">
        <v>0</v>
      </c>
      <c r="O3" s="437">
        <v>1</v>
      </c>
      <c r="P3" s="31"/>
    </row>
    <row r="4" spans="1:18" x14ac:dyDescent="0.35">
      <c r="A4"/>
      <c r="B4" s="102"/>
      <c r="C4" s="133" t="s">
        <v>69</v>
      </c>
      <c r="D4" s="151" t="s">
        <v>58</v>
      </c>
      <c r="E4" s="133">
        <v>699.99990000000003</v>
      </c>
      <c r="F4" s="133">
        <v>4000.0010000000002</v>
      </c>
      <c r="G4" s="446">
        <v>6.7230010000000007E-2</v>
      </c>
      <c r="H4" s="447">
        <v>15.16</v>
      </c>
      <c r="I4" s="446">
        <v>2.1349999999999998</v>
      </c>
      <c r="J4" s="447">
        <v>1.4249999999999999E-4</v>
      </c>
      <c r="K4" s="446">
        <v>8.3929989999999996E-2</v>
      </c>
      <c r="L4" s="447">
        <v>-0.18099999999999999</v>
      </c>
      <c r="M4" s="446">
        <v>0.48309999999999997</v>
      </c>
      <c r="N4" s="447">
        <v>0</v>
      </c>
      <c r="O4" s="438">
        <v>1</v>
      </c>
      <c r="P4" s="31"/>
    </row>
    <row r="5" spans="1:18" x14ac:dyDescent="0.35">
      <c r="A5"/>
      <c r="B5" s="102"/>
      <c r="C5" s="133" t="s">
        <v>69</v>
      </c>
      <c r="D5" s="151" t="s">
        <v>61</v>
      </c>
      <c r="E5" s="133">
        <v>298.14999999999998</v>
      </c>
      <c r="F5" s="133">
        <v>1500</v>
      </c>
      <c r="G5" s="446">
        <v>3.192504</v>
      </c>
      <c r="H5" s="447">
        <v>33.995229999999999</v>
      </c>
      <c r="I5" s="446">
        <v>5.1932309999999999</v>
      </c>
      <c r="J5" s="447">
        <v>-4.8091060000000002E-4</v>
      </c>
      <c r="K5" s="446">
        <v>9.1439489999999998E-2</v>
      </c>
      <c r="L5" s="447">
        <v>-21.466670000000001</v>
      </c>
      <c r="M5" s="446">
        <v>42.981879999999997</v>
      </c>
      <c r="N5" s="447">
        <v>-45.813839999999999</v>
      </c>
      <c r="O5" s="439">
        <v>1</v>
      </c>
      <c r="P5" s="31"/>
    </row>
    <row r="6" spans="1:18" x14ac:dyDescent="0.35">
      <c r="A6"/>
      <c r="B6" s="102"/>
      <c r="C6" s="440" t="s">
        <v>69</v>
      </c>
      <c r="D6" s="276" t="s">
        <v>61</v>
      </c>
      <c r="E6" s="434">
        <v>1500</v>
      </c>
      <c r="F6" s="434">
        <v>6000</v>
      </c>
      <c r="G6" s="444">
        <v>3.192504</v>
      </c>
      <c r="H6" s="445">
        <v>27.29757</v>
      </c>
      <c r="I6" s="444">
        <v>2.370241</v>
      </c>
      <c r="J6" s="445">
        <v>2.138671E-3</v>
      </c>
      <c r="K6" s="444">
        <v>-9.5885429999999994E-2</v>
      </c>
      <c r="L6" s="445">
        <v>0.51440149999999996</v>
      </c>
      <c r="M6" s="444">
        <v>-0.49555690000000002</v>
      </c>
      <c r="N6" s="445">
        <v>0.24712329999999999</v>
      </c>
      <c r="O6" s="241">
        <v>1</v>
      </c>
      <c r="P6" s="31"/>
    </row>
    <row r="7" spans="1:18" x14ac:dyDescent="0.35">
      <c r="A7"/>
      <c r="B7" s="102"/>
      <c r="C7" s="133" t="s">
        <v>69</v>
      </c>
      <c r="D7" s="151" t="s">
        <v>61</v>
      </c>
      <c r="E7" s="133">
        <v>6000</v>
      </c>
      <c r="F7" s="133">
        <v>10000</v>
      </c>
      <c r="G7" s="446">
        <v>3.192504</v>
      </c>
      <c r="H7" s="447">
        <v>31.29327</v>
      </c>
      <c r="I7" s="446">
        <v>7.3013729999999999</v>
      </c>
      <c r="J7" s="447">
        <v>-9.3193609999999996E-2</v>
      </c>
      <c r="K7" s="446">
        <v>1.4353830000000001</v>
      </c>
      <c r="L7" s="447">
        <v>-7.4299809999999997</v>
      </c>
      <c r="M7" s="446">
        <v>2.6981959999999998</v>
      </c>
      <c r="N7" s="447">
        <v>-0.43421900000000002</v>
      </c>
      <c r="O7" s="439">
        <v>1</v>
      </c>
      <c r="P7" s="31"/>
    </row>
    <row r="8" spans="1:18" hidden="1" x14ac:dyDescent="0.35">
      <c r="A8"/>
      <c r="B8" s="102"/>
      <c r="C8" s="133" t="s">
        <v>132</v>
      </c>
      <c r="D8" s="151" t="s">
        <v>63</v>
      </c>
      <c r="E8" s="133">
        <v>298.14999999999998</v>
      </c>
      <c r="F8" s="133">
        <v>500.00009999999997</v>
      </c>
      <c r="G8" s="424">
        <v>-39.299999999999997</v>
      </c>
      <c r="H8" s="152">
        <v>1631</v>
      </c>
      <c r="I8" s="424">
        <v>409.1</v>
      </c>
      <c r="J8" s="152">
        <v>-8.7220010000000001E-3</v>
      </c>
      <c r="K8" s="424">
        <v>10.75</v>
      </c>
      <c r="L8" s="152">
        <v>-3528</v>
      </c>
      <c r="M8" s="424">
        <v>20750</v>
      </c>
      <c r="N8" s="152">
        <v>0</v>
      </c>
      <c r="O8" s="135">
        <v>1</v>
      </c>
      <c r="P8" s="31"/>
    </row>
    <row r="9" spans="1:18" hidden="1" x14ac:dyDescent="0.35">
      <c r="A9"/>
      <c r="B9" s="102"/>
      <c r="C9" s="133" t="s">
        <v>119</v>
      </c>
      <c r="D9" s="151" t="s">
        <v>63</v>
      </c>
      <c r="E9" s="133">
        <v>298.14999999999998</v>
      </c>
      <c r="F9" s="133">
        <v>500.00009999999997</v>
      </c>
      <c r="G9" s="424">
        <v>-4.8600000000000003</v>
      </c>
      <c r="H9" s="152">
        <v>212.3999</v>
      </c>
      <c r="I9" s="424">
        <v>53.359990000000003</v>
      </c>
      <c r="J9" s="152">
        <v>-1.163E-3</v>
      </c>
      <c r="K9" s="424">
        <v>1.395</v>
      </c>
      <c r="L9" s="152">
        <v>-473.2</v>
      </c>
      <c r="M9" s="424">
        <v>2766</v>
      </c>
      <c r="N9" s="152">
        <v>0</v>
      </c>
      <c r="O9" s="135">
        <v>1</v>
      </c>
      <c r="P9" s="31"/>
    </row>
    <row r="10" spans="1:18" hidden="1" x14ac:dyDescent="0.35">
      <c r="A10"/>
      <c r="B10" s="102"/>
      <c r="C10" s="133" t="s">
        <v>118</v>
      </c>
      <c r="D10" s="151" t="s">
        <v>63</v>
      </c>
      <c r="E10" s="133">
        <v>298.14999999999998</v>
      </c>
      <c r="F10" s="133">
        <v>500.00009999999997</v>
      </c>
      <c r="G10" s="424">
        <v>-5.34</v>
      </c>
      <c r="H10" s="152">
        <v>188.5</v>
      </c>
      <c r="I10" s="424">
        <v>46.599989999999998</v>
      </c>
      <c r="J10" s="152">
        <v>-5.8149999999999999E-4</v>
      </c>
      <c r="K10" s="424">
        <v>1.323</v>
      </c>
      <c r="L10" s="152">
        <v>-201.3</v>
      </c>
      <c r="M10" s="424">
        <v>1383</v>
      </c>
      <c r="N10" s="152">
        <v>0</v>
      </c>
      <c r="O10" s="135">
        <v>1</v>
      </c>
      <c r="P10" s="31"/>
    </row>
    <row r="11" spans="1:18" hidden="1" x14ac:dyDescent="0.35">
      <c r="A11"/>
      <c r="B11" s="102"/>
      <c r="C11" s="133" t="s">
        <v>129</v>
      </c>
      <c r="D11" s="151" t="s">
        <v>63</v>
      </c>
      <c r="E11" s="133">
        <v>298</v>
      </c>
      <c r="F11" s="133">
        <v>500.00009999999997</v>
      </c>
      <c r="G11" s="424">
        <v>-2.39</v>
      </c>
      <c r="H11" s="152">
        <v>74.769990000000007</v>
      </c>
      <c r="I11" s="424">
        <v>18.14</v>
      </c>
      <c r="J11" s="152">
        <v>0</v>
      </c>
      <c r="K11" s="424">
        <v>0.56850000000000001</v>
      </c>
      <c r="L11" s="152">
        <v>31.1</v>
      </c>
      <c r="M11" s="424">
        <v>0</v>
      </c>
      <c r="N11" s="152">
        <v>0</v>
      </c>
      <c r="O11" s="135">
        <v>1</v>
      </c>
      <c r="P11" s="31"/>
    </row>
    <row r="12" spans="1:18" hidden="1" x14ac:dyDescent="0.35">
      <c r="A12"/>
      <c r="B12" s="101"/>
      <c r="C12" s="133" t="s">
        <v>70</v>
      </c>
      <c r="D12" s="151" t="s">
        <v>63</v>
      </c>
      <c r="E12" s="133">
        <v>298.14999999999998</v>
      </c>
      <c r="F12" s="133">
        <v>2000</v>
      </c>
      <c r="G12" s="424">
        <v>1.157</v>
      </c>
      <c r="H12" s="152">
        <v>55.30301</v>
      </c>
      <c r="I12" s="424">
        <v>6.9866000000000001</v>
      </c>
      <c r="J12" s="152">
        <v>-1.7438999999999999E-4</v>
      </c>
      <c r="K12" s="424">
        <v>0.22003</v>
      </c>
      <c r="L12" s="152">
        <v>3.0068000000000001E-2</v>
      </c>
      <c r="M12" s="424">
        <v>0</v>
      </c>
      <c r="N12" s="152">
        <v>0</v>
      </c>
      <c r="O12" s="135">
        <v>1</v>
      </c>
      <c r="P12" s="31"/>
    </row>
    <row r="13" spans="1:18" hidden="1" x14ac:dyDescent="0.35">
      <c r="A13"/>
      <c r="B13" s="101"/>
      <c r="C13" s="133" t="s">
        <v>70</v>
      </c>
      <c r="D13" s="151" t="s">
        <v>63</v>
      </c>
      <c r="E13" s="133">
        <v>298.14999999999998</v>
      </c>
      <c r="F13" s="133">
        <v>398</v>
      </c>
      <c r="G13" s="424">
        <v>-2.2040000000000002</v>
      </c>
      <c r="H13" s="152">
        <v>13.59</v>
      </c>
      <c r="I13" s="424">
        <v>0</v>
      </c>
      <c r="J13" s="152">
        <v>0</v>
      </c>
      <c r="K13" s="424">
        <v>0</v>
      </c>
      <c r="L13" s="152">
        <v>0</v>
      </c>
      <c r="M13" s="424">
        <v>0</v>
      </c>
      <c r="N13" s="152">
        <v>0</v>
      </c>
      <c r="O13" s="135">
        <v>1</v>
      </c>
      <c r="P13" s="31"/>
    </row>
    <row r="14" spans="1:18" hidden="1" x14ac:dyDescent="0.35">
      <c r="A14"/>
      <c r="B14" s="101"/>
      <c r="C14" s="440" t="s">
        <v>71</v>
      </c>
      <c r="D14" s="276" t="s">
        <v>63</v>
      </c>
      <c r="E14" s="153">
        <v>298.14999999999998</v>
      </c>
      <c r="F14" s="153">
        <v>1278</v>
      </c>
      <c r="G14" s="337">
        <v>-4.9166999999999996</v>
      </c>
      <c r="H14" s="154">
        <v>52.323990000000002</v>
      </c>
      <c r="I14" s="337">
        <v>12.715999999999999</v>
      </c>
      <c r="J14" s="154">
        <v>0</v>
      </c>
      <c r="K14" s="337">
        <v>0.39800999999999997</v>
      </c>
      <c r="L14" s="154">
        <v>21.234000000000002</v>
      </c>
      <c r="M14" s="337">
        <v>0</v>
      </c>
      <c r="N14" s="154">
        <v>0</v>
      </c>
      <c r="O14" s="241">
        <v>1</v>
      </c>
      <c r="P14" s="31"/>
    </row>
    <row r="15" spans="1:18" hidden="1" x14ac:dyDescent="0.35">
      <c r="A15"/>
      <c r="B15" s="101"/>
      <c r="C15" s="441" t="s">
        <v>117</v>
      </c>
      <c r="D15" s="151" t="s">
        <v>63</v>
      </c>
      <c r="E15" s="133">
        <v>298.14999999999998</v>
      </c>
      <c r="F15" s="133">
        <v>500.00009999999997</v>
      </c>
      <c r="G15" s="127">
        <v>-4.78</v>
      </c>
      <c r="H15" s="134">
        <v>149.5</v>
      </c>
      <c r="I15" s="127">
        <v>36.279989999999998</v>
      </c>
      <c r="J15" s="134">
        <v>0</v>
      </c>
      <c r="K15" s="127">
        <v>1.137</v>
      </c>
      <c r="L15" s="134">
        <v>62.190010000000001</v>
      </c>
      <c r="M15" s="127">
        <v>0</v>
      </c>
      <c r="N15" s="134">
        <v>0</v>
      </c>
      <c r="O15" s="438">
        <v>1</v>
      </c>
      <c r="P15" s="31"/>
    </row>
    <row r="16" spans="1:18" hidden="1" x14ac:dyDescent="0.35">
      <c r="A16"/>
      <c r="B16" s="101"/>
      <c r="C16" s="133" t="s">
        <v>130</v>
      </c>
      <c r="D16" s="151" t="s">
        <v>63</v>
      </c>
      <c r="E16" s="133">
        <v>298</v>
      </c>
      <c r="F16" s="133">
        <v>500.00009999999997</v>
      </c>
      <c r="G16" s="424">
        <v>-4.22</v>
      </c>
      <c r="H16" s="152">
        <v>173.5</v>
      </c>
      <c r="I16" s="424">
        <v>43.04</v>
      </c>
      <c r="J16" s="152">
        <v>-5.8149999999999999E-4</v>
      </c>
      <c r="K16" s="424">
        <v>1.2090000000000001</v>
      </c>
      <c r="L16" s="152">
        <v>-209.7</v>
      </c>
      <c r="M16" s="424">
        <v>1383</v>
      </c>
      <c r="N16" s="152">
        <v>0</v>
      </c>
      <c r="O16" s="135">
        <v>1</v>
      </c>
      <c r="P16" s="31"/>
    </row>
    <row r="17" spans="1:26" hidden="1" x14ac:dyDescent="0.35">
      <c r="A17"/>
      <c r="B17" s="101"/>
      <c r="C17" s="133" t="s">
        <v>131</v>
      </c>
      <c r="D17" s="151" t="s">
        <v>63</v>
      </c>
      <c r="E17" s="133">
        <v>298</v>
      </c>
      <c r="F17" s="133">
        <v>500.00009999999997</v>
      </c>
      <c r="G17" s="424">
        <v>-1.81</v>
      </c>
      <c r="H17" s="152">
        <v>71.790000000000006</v>
      </c>
      <c r="I17" s="424">
        <v>17.87</v>
      </c>
      <c r="J17" s="152">
        <v>-2.9069989999999998E-4</v>
      </c>
      <c r="K17" s="424">
        <v>0.49080000000000001</v>
      </c>
      <c r="L17" s="152">
        <v>-110.5</v>
      </c>
      <c r="M17" s="424">
        <v>691.6</v>
      </c>
      <c r="N17" s="152">
        <v>0</v>
      </c>
      <c r="O17" s="135">
        <v>1</v>
      </c>
      <c r="P17" s="31"/>
    </row>
    <row r="18" spans="1:26" hidden="1" x14ac:dyDescent="0.35">
      <c r="A18"/>
      <c r="B18" s="101"/>
      <c r="C18" s="133" t="s">
        <v>62</v>
      </c>
      <c r="D18" s="151" t="s">
        <v>122</v>
      </c>
      <c r="E18" s="133">
        <v>298.14999999999998</v>
      </c>
      <c r="F18" s="133">
        <v>1211.4000000000001</v>
      </c>
      <c r="G18" s="424">
        <v>-5.5760690000000002E-2</v>
      </c>
      <c r="H18" s="152">
        <v>10.808619999999999</v>
      </c>
      <c r="I18" s="424">
        <v>2.898209</v>
      </c>
      <c r="J18" s="152">
        <v>-9.4357770000000004E-5</v>
      </c>
      <c r="K18" s="424">
        <v>3.8575789999999999E-2</v>
      </c>
      <c r="L18" s="152">
        <v>1.796346</v>
      </c>
      <c r="M18" s="424">
        <v>0</v>
      </c>
      <c r="N18" s="152">
        <v>0</v>
      </c>
      <c r="O18" s="135">
        <v>1</v>
      </c>
      <c r="P18" s="31"/>
    </row>
    <row r="19" spans="1:26" hidden="1" x14ac:dyDescent="0.35">
      <c r="A19"/>
      <c r="B19" s="101"/>
      <c r="C19" s="133" t="s">
        <v>62</v>
      </c>
      <c r="D19" s="151" t="s">
        <v>63</v>
      </c>
      <c r="E19" s="133">
        <v>298.14999999999998</v>
      </c>
      <c r="F19" s="133">
        <v>1211.4000000000001</v>
      </c>
      <c r="G19" s="424">
        <v>-5.5760690000000002E-2</v>
      </c>
      <c r="H19" s="152">
        <v>10.808619999999999</v>
      </c>
      <c r="I19" s="424">
        <v>2.898209</v>
      </c>
      <c r="J19" s="152">
        <v>-9.4357770000000004E-5</v>
      </c>
      <c r="K19" s="424">
        <v>3.8575789999999999E-2</v>
      </c>
      <c r="L19" s="152">
        <v>1.796346</v>
      </c>
      <c r="M19" s="424">
        <v>0</v>
      </c>
      <c r="N19" s="152">
        <v>0</v>
      </c>
      <c r="O19" s="135">
        <v>1</v>
      </c>
      <c r="P19" s="31"/>
    </row>
    <row r="20" spans="1:26" hidden="1" x14ac:dyDescent="0.35">
      <c r="A20"/>
      <c r="B20" s="101"/>
      <c r="C20" s="133" t="s">
        <v>62</v>
      </c>
      <c r="D20" s="151" t="s">
        <v>58</v>
      </c>
      <c r="E20" s="133">
        <v>1211.4000000000001</v>
      </c>
      <c r="F20" s="133">
        <v>4900</v>
      </c>
      <c r="G20" s="424">
        <v>-5.5760690000000002E-2</v>
      </c>
      <c r="H20" s="152">
        <v>15.395060000000001</v>
      </c>
      <c r="I20" s="424">
        <v>3.319661</v>
      </c>
      <c r="J20" s="152">
        <v>0</v>
      </c>
      <c r="K20" s="424">
        <v>-0.38367639999999997</v>
      </c>
      <c r="L20" s="152">
        <v>0</v>
      </c>
      <c r="M20" s="424">
        <v>0</v>
      </c>
      <c r="N20" s="152">
        <v>0</v>
      </c>
      <c r="O20" s="135">
        <v>1</v>
      </c>
      <c r="P20" s="31"/>
    </row>
    <row r="21" spans="1:26" hidden="1" x14ac:dyDescent="0.35">
      <c r="A21"/>
      <c r="B21" s="101"/>
      <c r="C21" s="133" t="s">
        <v>62</v>
      </c>
      <c r="D21" s="151" t="s">
        <v>61</v>
      </c>
      <c r="E21" s="133">
        <v>298.14999999999998</v>
      </c>
      <c r="F21" s="133">
        <v>1500</v>
      </c>
      <c r="G21" s="424">
        <v>4.3829390000000004</v>
      </c>
      <c r="H21" s="152">
        <v>34.862279999999998</v>
      </c>
      <c r="I21" s="424">
        <v>5.530119</v>
      </c>
      <c r="J21" s="152">
        <v>-3.3787839999999998E-4</v>
      </c>
      <c r="K21" s="424">
        <v>8.1663529999999998E-2</v>
      </c>
      <c r="L21" s="152">
        <v>-21.130780000000001</v>
      </c>
      <c r="M21" s="424">
        <v>36.52984</v>
      </c>
      <c r="N21" s="152">
        <v>-31.421589999999998</v>
      </c>
      <c r="O21" s="135">
        <v>1</v>
      </c>
      <c r="P21" s="31"/>
    </row>
    <row r="22" spans="1:26" hidden="1" x14ac:dyDescent="0.35">
      <c r="A22"/>
      <c r="B22" s="101"/>
      <c r="C22" s="133" t="s">
        <v>62</v>
      </c>
      <c r="D22" s="151" t="s">
        <v>61</v>
      </c>
      <c r="E22" s="133">
        <v>1500</v>
      </c>
      <c r="F22" s="133">
        <v>6000</v>
      </c>
      <c r="G22" s="127">
        <v>4.3829390000000004</v>
      </c>
      <c r="H22" s="134">
        <v>26.704419999999999</v>
      </c>
      <c r="I22" s="127">
        <v>1.8358589999999999</v>
      </c>
      <c r="J22" s="134">
        <v>3.9919220000000002E-3</v>
      </c>
      <c r="K22" s="127">
        <v>-0.2011674</v>
      </c>
      <c r="L22" s="134">
        <v>2.865237</v>
      </c>
      <c r="M22" s="127">
        <v>-1.920703</v>
      </c>
      <c r="N22" s="134">
        <v>0.6292025</v>
      </c>
      <c r="O22" s="326">
        <v>1</v>
      </c>
      <c r="P22" s="31"/>
    </row>
    <row r="23" spans="1:26" hidden="1" x14ac:dyDescent="0.35">
      <c r="A23"/>
      <c r="B23" s="101"/>
      <c r="C23" s="133" t="s">
        <v>62</v>
      </c>
      <c r="D23" s="151" t="s">
        <v>61</v>
      </c>
      <c r="E23" s="133">
        <v>6000</v>
      </c>
      <c r="F23" s="133">
        <v>10000</v>
      </c>
      <c r="G23" s="127">
        <v>4.3829390000000004</v>
      </c>
      <c r="H23" s="134">
        <v>30.185140000000001</v>
      </c>
      <c r="I23" s="127">
        <v>6.3430540000000004</v>
      </c>
      <c r="J23" s="134">
        <v>-9.5135109999999995E-2</v>
      </c>
      <c r="K23" s="127">
        <v>1.2754369999999999</v>
      </c>
      <c r="L23" s="134">
        <v>-4.2694150000000004</v>
      </c>
      <c r="M23" s="127">
        <v>1.041687</v>
      </c>
      <c r="N23" s="134">
        <v>-6.3588229999999996E-2</v>
      </c>
      <c r="O23" s="135">
        <v>1</v>
      </c>
      <c r="P23" s="31"/>
    </row>
    <row r="24" spans="1:26" hidden="1" x14ac:dyDescent="0.35">
      <c r="A24"/>
      <c r="B24" s="101"/>
      <c r="C24" s="133" t="s">
        <v>95</v>
      </c>
      <c r="D24" s="151" t="s">
        <v>61</v>
      </c>
      <c r="E24" s="133">
        <v>298.14999999999998</v>
      </c>
      <c r="F24" s="133">
        <v>1100</v>
      </c>
      <c r="G24" s="127">
        <v>5.2149859999999997</v>
      </c>
      <c r="H24" s="134">
        <v>41.701000000000001</v>
      </c>
      <c r="I24" s="127">
        <v>4.0561670000000003</v>
      </c>
      <c r="J24" s="134">
        <v>2.357301E-5</v>
      </c>
      <c r="K24" s="127">
        <v>0.12889</v>
      </c>
      <c r="L24" s="134">
        <v>11.272</v>
      </c>
      <c r="M24" s="127">
        <v>-9.1847989999999999</v>
      </c>
      <c r="N24" s="134">
        <v>0</v>
      </c>
      <c r="O24" s="135">
        <v>1</v>
      </c>
      <c r="P24" s="31"/>
    </row>
    <row r="25" spans="1:26" hidden="1" x14ac:dyDescent="0.35">
      <c r="A25"/>
      <c r="B25" s="101"/>
      <c r="C25" s="133" t="s">
        <v>95</v>
      </c>
      <c r="D25" s="151" t="s">
        <v>61</v>
      </c>
      <c r="E25" s="133">
        <v>1100</v>
      </c>
      <c r="F25" s="133">
        <v>2500</v>
      </c>
      <c r="G25" s="127">
        <v>5.2149859999999997</v>
      </c>
      <c r="H25" s="134">
        <v>43.677999999999997</v>
      </c>
      <c r="I25" s="127">
        <v>4.8509000000000002</v>
      </c>
      <c r="J25" s="134">
        <v>-3.7446989999999998E-4</v>
      </c>
      <c r="K25" s="127">
        <v>0.1716596</v>
      </c>
      <c r="L25" s="134">
        <v>5.0346000000000002</v>
      </c>
      <c r="M25" s="127">
        <v>-0.32273000000000002</v>
      </c>
      <c r="N25" s="134">
        <v>0</v>
      </c>
      <c r="O25" s="439">
        <v>1</v>
      </c>
      <c r="P25" s="31"/>
    </row>
    <row r="26" spans="1:26" hidden="1" x14ac:dyDescent="0.35">
      <c r="A26"/>
      <c r="B26" s="101"/>
      <c r="C26" s="440" t="s">
        <v>95</v>
      </c>
      <c r="D26" s="276" t="s">
        <v>61</v>
      </c>
      <c r="E26" s="153">
        <v>1500</v>
      </c>
      <c r="F26" s="153">
        <v>6000</v>
      </c>
      <c r="G26" s="337">
        <v>5.674709</v>
      </c>
      <c r="H26" s="154">
        <v>40.162990000000001</v>
      </c>
      <c r="I26" s="337">
        <v>2.7510140000000001</v>
      </c>
      <c r="J26" s="154">
        <v>7.8054969999999998E-3</v>
      </c>
      <c r="K26" s="337">
        <v>-0.32734089999999999</v>
      </c>
      <c r="L26" s="154">
        <v>6.01546</v>
      </c>
      <c r="M26" s="337">
        <v>-3.5431430000000002</v>
      </c>
      <c r="N26" s="154">
        <v>0.75900279999999998</v>
      </c>
      <c r="O26" s="241">
        <v>1</v>
      </c>
      <c r="P26" s="31"/>
    </row>
    <row r="27" spans="1:26" hidden="1" x14ac:dyDescent="0.35">
      <c r="A27"/>
      <c r="B27" s="101"/>
      <c r="C27" s="436" t="s">
        <v>121</v>
      </c>
      <c r="D27" s="203" t="s">
        <v>63</v>
      </c>
      <c r="E27" s="435">
        <v>298.14999999999998</v>
      </c>
      <c r="F27" s="435">
        <v>500.00009999999997</v>
      </c>
      <c r="G27" s="337">
        <v>-2.95</v>
      </c>
      <c r="H27" s="154">
        <v>113.7</v>
      </c>
      <c r="I27" s="337">
        <v>28.46</v>
      </c>
      <c r="J27" s="154">
        <v>-5.8149999999999999E-4</v>
      </c>
      <c r="K27" s="337">
        <v>0.75419999999999998</v>
      </c>
      <c r="L27" s="154">
        <v>-232.4</v>
      </c>
      <c r="M27" s="337">
        <v>1383</v>
      </c>
      <c r="N27" s="154">
        <v>0</v>
      </c>
      <c r="O27" s="241">
        <v>1</v>
      </c>
      <c r="P27" s="31"/>
    </row>
    <row r="28" spans="1:26" hidden="1" x14ac:dyDescent="0.35">
      <c r="A28"/>
      <c r="B28" s="101"/>
      <c r="C28" s="436" t="s">
        <v>120</v>
      </c>
      <c r="D28" s="203" t="s">
        <v>63</v>
      </c>
      <c r="E28" s="435">
        <v>298.14999999999998</v>
      </c>
      <c r="F28" s="435">
        <v>500.00009999999997</v>
      </c>
      <c r="G28" s="337">
        <v>-3.78</v>
      </c>
      <c r="H28" s="154">
        <v>136.19999999999999</v>
      </c>
      <c r="I28" s="337">
        <v>33.880000000000003</v>
      </c>
      <c r="J28" s="154">
        <v>-5.8149999999999999E-4</v>
      </c>
      <c r="K28" s="337">
        <v>0.92469999999999997</v>
      </c>
      <c r="L28" s="154">
        <v>-222.6</v>
      </c>
      <c r="M28" s="337">
        <v>1383</v>
      </c>
      <c r="N28" s="154">
        <v>0</v>
      </c>
      <c r="O28" s="241">
        <v>1</v>
      </c>
      <c r="P28" s="31"/>
      <c r="Q28" s="74"/>
      <c r="R28" s="74"/>
      <c r="S28" s="74"/>
      <c r="T28" s="74"/>
      <c r="U28" s="74"/>
      <c r="V28" s="74"/>
      <c r="W28" s="74"/>
      <c r="X28" s="74"/>
      <c r="Y28" s="74"/>
      <c r="Z28" s="74"/>
    </row>
    <row r="29" spans="1:26" hidden="1" x14ac:dyDescent="0.35">
      <c r="A29"/>
      <c r="B29" s="101"/>
      <c r="C29" s="436" t="s">
        <v>123</v>
      </c>
      <c r="D29" s="276" t="s">
        <v>61</v>
      </c>
      <c r="E29" s="153">
        <v>298.14999999999998</v>
      </c>
      <c r="F29" s="153">
        <v>1500</v>
      </c>
      <c r="G29" s="337">
        <v>5.674709</v>
      </c>
      <c r="H29" s="154">
        <v>49.524940000000001</v>
      </c>
      <c r="I29" s="337">
        <v>7.0513279999999998</v>
      </c>
      <c r="J29" s="154">
        <v>-1.341195E-5</v>
      </c>
      <c r="K29" s="337">
        <v>5.245814E-2</v>
      </c>
      <c r="L29" s="154">
        <v>-24.580100000000002</v>
      </c>
      <c r="M29" s="337">
        <v>62.099780000000003</v>
      </c>
      <c r="N29" s="154">
        <v>-81.046109999999999</v>
      </c>
      <c r="O29" s="241">
        <v>1</v>
      </c>
      <c r="P29" s="31"/>
    </row>
    <row r="30" spans="1:26" hidden="1" x14ac:dyDescent="0.35">
      <c r="A30"/>
      <c r="B30" s="101"/>
      <c r="C30" s="442" t="s">
        <v>81</v>
      </c>
      <c r="D30" s="151" t="s">
        <v>63</v>
      </c>
      <c r="E30" s="133">
        <v>298.14999999999998</v>
      </c>
      <c r="F30" s="133">
        <v>947.99990000000003</v>
      </c>
      <c r="G30" s="127">
        <v>-0.82987549999999999</v>
      </c>
      <c r="H30" s="134">
        <v>22.446940000000001</v>
      </c>
      <c r="I30" s="127">
        <v>5.4242590000000002</v>
      </c>
      <c r="J30" s="134">
        <v>0</v>
      </c>
      <c r="K30" s="127">
        <v>0.17049120000000001</v>
      </c>
      <c r="L30" s="134">
        <v>9.8622890000000005</v>
      </c>
      <c r="M30" s="127">
        <v>0</v>
      </c>
      <c r="N30" s="134">
        <v>0</v>
      </c>
      <c r="O30" s="135">
        <v>1</v>
      </c>
      <c r="P30" s="31"/>
    </row>
    <row r="31" spans="1:26" hidden="1" x14ac:dyDescent="0.35">
      <c r="C31" s="442" t="s">
        <v>81</v>
      </c>
      <c r="D31" s="151" t="s">
        <v>61</v>
      </c>
      <c r="E31" s="133">
        <v>298.14999999999998</v>
      </c>
      <c r="F31" s="133">
        <v>2000</v>
      </c>
      <c r="G31" s="127">
        <v>1.2677</v>
      </c>
      <c r="H31" s="134">
        <v>11.071</v>
      </c>
      <c r="I31" s="127">
        <v>4.4489000000000001</v>
      </c>
      <c r="J31" s="134">
        <v>-1.0823999999999999E-4</v>
      </c>
      <c r="K31" s="127">
        <v>0.13999</v>
      </c>
      <c r="L31" s="134">
        <v>0.10223</v>
      </c>
      <c r="M31" s="127">
        <v>0</v>
      </c>
      <c r="N31" s="134">
        <v>0</v>
      </c>
      <c r="O31" s="240">
        <v>1</v>
      </c>
      <c r="P31" s="31"/>
    </row>
    <row r="32" spans="1:26" hidden="1" x14ac:dyDescent="0.35">
      <c r="C32" s="442" t="s">
        <v>82</v>
      </c>
      <c r="D32" s="151" t="s">
        <v>63</v>
      </c>
      <c r="E32" s="133">
        <v>298.14999999999998</v>
      </c>
      <c r="F32" s="133">
        <v>1013</v>
      </c>
      <c r="G32" s="127">
        <v>-1.3591</v>
      </c>
      <c r="H32" s="134">
        <v>31.553999999999998</v>
      </c>
      <c r="I32" s="127">
        <v>7.5639000000000003</v>
      </c>
      <c r="J32" s="134">
        <v>0</v>
      </c>
      <c r="K32" s="127">
        <v>0.24035000000000001</v>
      </c>
      <c r="L32" s="134">
        <v>16.681999999999999</v>
      </c>
      <c r="M32" s="127">
        <v>0</v>
      </c>
      <c r="N32" s="134">
        <v>0</v>
      </c>
      <c r="O32" s="135">
        <v>1</v>
      </c>
      <c r="P32" s="31"/>
    </row>
    <row r="33" spans="1:18" hidden="1" x14ac:dyDescent="0.35">
      <c r="C33" s="133" t="s">
        <v>82</v>
      </c>
      <c r="D33" s="151" t="s">
        <v>63</v>
      </c>
      <c r="E33" s="133">
        <v>298.14999999999998</v>
      </c>
      <c r="F33" s="133">
        <v>350</v>
      </c>
      <c r="G33" s="426">
        <v>-1.359</v>
      </c>
      <c r="H33" s="134">
        <v>68.819999999999993</v>
      </c>
      <c r="I33" s="127">
        <v>17.670000000000002</v>
      </c>
      <c r="J33" s="134">
        <v>-5.8149999999999999E-4</v>
      </c>
      <c r="K33" s="127">
        <v>0.41320000000000001</v>
      </c>
      <c r="L33" s="134">
        <v>-252.1001</v>
      </c>
      <c r="M33" s="127">
        <v>1383</v>
      </c>
      <c r="N33" s="325">
        <v>0</v>
      </c>
      <c r="O33" s="326">
        <v>1</v>
      </c>
      <c r="P33" s="31"/>
    </row>
    <row r="34" spans="1:18" hidden="1" x14ac:dyDescent="0.35">
      <c r="C34" s="31" t="s">
        <v>82</v>
      </c>
      <c r="D34" s="322" t="s">
        <v>63</v>
      </c>
      <c r="E34" s="31">
        <v>350</v>
      </c>
      <c r="F34" s="31">
        <v>420</v>
      </c>
      <c r="G34" s="426">
        <v>-1.359</v>
      </c>
      <c r="H34" s="325">
        <v>12.05</v>
      </c>
      <c r="I34" s="426">
        <v>1.762</v>
      </c>
      <c r="J34" s="325">
        <v>0</v>
      </c>
      <c r="K34" s="426">
        <v>0.14510000000000001</v>
      </c>
      <c r="L34" s="325">
        <v>105.7</v>
      </c>
      <c r="M34" s="426">
        <v>0</v>
      </c>
      <c r="N34" s="325">
        <v>0</v>
      </c>
      <c r="O34" s="432">
        <v>1</v>
      </c>
      <c r="P34" s="31"/>
    </row>
    <row r="35" spans="1:18" hidden="1" x14ac:dyDescent="0.35">
      <c r="C35" s="31" t="s">
        <v>82</v>
      </c>
      <c r="D35" s="322" t="s">
        <v>63</v>
      </c>
      <c r="E35" s="31">
        <v>420</v>
      </c>
      <c r="F35" s="31">
        <v>450</v>
      </c>
      <c r="G35" s="426">
        <v>-1.359</v>
      </c>
      <c r="H35" s="325">
        <v>38.770000000000003</v>
      </c>
      <c r="I35" s="426">
        <v>9.9830000000000005</v>
      </c>
      <c r="J35" s="325">
        <v>0</v>
      </c>
      <c r="K35" s="426">
        <v>0.3039</v>
      </c>
      <c r="L35" s="325">
        <v>0</v>
      </c>
      <c r="M35" s="426">
        <v>0</v>
      </c>
      <c r="N35" s="325">
        <v>0</v>
      </c>
      <c r="O35" s="432">
        <v>1</v>
      </c>
      <c r="P35" s="31"/>
    </row>
    <row r="36" spans="1:18" hidden="1" x14ac:dyDescent="0.35">
      <c r="C36" s="440" t="s">
        <v>82</v>
      </c>
      <c r="D36" s="276" t="s">
        <v>63</v>
      </c>
      <c r="E36" s="153">
        <v>450</v>
      </c>
      <c r="F36" s="153">
        <v>899.99990000000003</v>
      </c>
      <c r="G36" s="337">
        <v>-1.359</v>
      </c>
      <c r="H36" s="154">
        <v>18.36</v>
      </c>
      <c r="I36" s="337">
        <v>2.0299999999999998</v>
      </c>
      <c r="J36" s="154">
        <v>2.7360000000000002E-3</v>
      </c>
      <c r="K36" s="337">
        <v>-6.5769999999999995E-2</v>
      </c>
      <c r="L36" s="154">
        <v>61.46</v>
      </c>
      <c r="M36" s="337">
        <v>-80.110010000000003</v>
      </c>
      <c r="N36" s="154">
        <v>0</v>
      </c>
      <c r="O36" s="241">
        <v>1</v>
      </c>
      <c r="P36" s="31"/>
    </row>
    <row r="37" spans="1:18" s="93" customFormat="1" hidden="1" x14ac:dyDescent="0.35">
      <c r="A37" s="104"/>
      <c r="B37" s="104"/>
      <c r="C37" s="133" t="s">
        <v>64</v>
      </c>
      <c r="D37" s="151" t="s">
        <v>63</v>
      </c>
      <c r="E37" s="133">
        <v>298.14999999999998</v>
      </c>
      <c r="F37" s="133">
        <v>494.3</v>
      </c>
      <c r="G37" s="424">
        <v>-6.6260929999999996E-2</v>
      </c>
      <c r="H37" s="152">
        <v>10.212899999999999</v>
      </c>
      <c r="I37" s="424">
        <v>2.3373539999999999</v>
      </c>
      <c r="J37" s="152">
        <v>0</v>
      </c>
      <c r="K37" s="424">
        <v>1.4182739999999999E-2</v>
      </c>
      <c r="L37" s="152">
        <v>13.63707</v>
      </c>
      <c r="M37" s="424">
        <v>-25.78952</v>
      </c>
      <c r="N37" s="152">
        <v>0</v>
      </c>
      <c r="O37" s="135">
        <v>1</v>
      </c>
      <c r="P37" s="31"/>
    </row>
    <row r="38" spans="1:18" s="93" customFormat="1" hidden="1" x14ac:dyDescent="0.35">
      <c r="A38" s="104"/>
      <c r="B38" s="104"/>
      <c r="C38" s="133" t="s">
        <v>64</v>
      </c>
      <c r="D38" s="151" t="s">
        <v>63</v>
      </c>
      <c r="E38" s="133">
        <v>494.3</v>
      </c>
      <c r="F38" s="133">
        <v>1000</v>
      </c>
      <c r="G38" s="424">
        <v>-6.6260929999999996E-2</v>
      </c>
      <c r="H38" s="152">
        <v>23.305810000000001</v>
      </c>
      <c r="I38" s="424">
        <v>6.3044700000000002</v>
      </c>
      <c r="J38" s="152">
        <v>0</v>
      </c>
      <c r="K38" s="424">
        <v>5.1929419999999997E-2</v>
      </c>
      <c r="L38" s="152">
        <v>-29.829440000000002</v>
      </c>
      <c r="M38" s="424">
        <v>65.022059999999996</v>
      </c>
      <c r="N38" s="152">
        <v>0</v>
      </c>
      <c r="O38" s="135">
        <v>1</v>
      </c>
      <c r="P38" s="31"/>
    </row>
    <row r="39" spans="1:18" s="93" customFormat="1" hidden="1" x14ac:dyDescent="0.35">
      <c r="A39" s="104"/>
      <c r="B39" s="104"/>
      <c r="C39" s="133" t="s">
        <v>64</v>
      </c>
      <c r="D39" s="151" t="s">
        <v>63</v>
      </c>
      <c r="E39" s="133">
        <v>1000</v>
      </c>
      <c r="F39" s="133">
        <v>1800</v>
      </c>
      <c r="G39" s="424">
        <v>-6.6260929999999996E-2</v>
      </c>
      <c r="H39" s="152">
        <v>16.601150000000001</v>
      </c>
      <c r="I39" s="424">
        <v>4.2397850000000004</v>
      </c>
      <c r="J39" s="152">
        <v>0</v>
      </c>
      <c r="K39" s="424">
        <v>1.3699609999999999E-2</v>
      </c>
      <c r="L39" s="152">
        <v>0</v>
      </c>
      <c r="M39" s="424">
        <v>0</v>
      </c>
      <c r="N39" s="152">
        <v>0</v>
      </c>
      <c r="O39" s="135">
        <v>1</v>
      </c>
      <c r="P39" s="31"/>
    </row>
    <row r="40" spans="1:18" s="93" customFormat="1" hidden="1" x14ac:dyDescent="0.35">
      <c r="A40" s="104"/>
      <c r="B40" s="104"/>
      <c r="C40" s="442" t="s">
        <v>64</v>
      </c>
      <c r="D40" s="151" t="s">
        <v>128</v>
      </c>
      <c r="E40" s="133">
        <v>298.14999999999998</v>
      </c>
      <c r="F40" s="133">
        <v>398</v>
      </c>
      <c r="G40" s="424">
        <v>0.1963</v>
      </c>
      <c r="H40" s="152">
        <v>18.559999999999999</v>
      </c>
      <c r="I40" s="424">
        <v>4.8810000000000002</v>
      </c>
      <c r="J40" s="152">
        <v>0</v>
      </c>
      <c r="K40" s="424">
        <v>0.14549999999999999</v>
      </c>
      <c r="L40" s="152">
        <v>0</v>
      </c>
      <c r="M40" s="424">
        <v>0</v>
      </c>
      <c r="N40" s="152">
        <v>0</v>
      </c>
      <c r="O40" s="135">
        <v>1</v>
      </c>
      <c r="P40" s="31"/>
    </row>
    <row r="41" spans="1:18" hidden="1" x14ac:dyDescent="0.35">
      <c r="C41" s="442" t="s">
        <v>64</v>
      </c>
      <c r="D41" s="151" t="s">
        <v>127</v>
      </c>
      <c r="E41" s="133">
        <v>298.14999999999998</v>
      </c>
      <c r="F41" s="133">
        <v>413.00009999999997</v>
      </c>
      <c r="G41" s="424">
        <v>0.1077</v>
      </c>
      <c r="H41" s="152">
        <v>54.85</v>
      </c>
      <c r="I41" s="424">
        <v>12.93</v>
      </c>
      <c r="J41" s="152">
        <v>-2.6350000000000001E-4</v>
      </c>
      <c r="K41" s="424">
        <v>0.40429999999999999</v>
      </c>
      <c r="L41" s="152">
        <v>-5.4480000000000004</v>
      </c>
      <c r="M41" s="424">
        <v>144</v>
      </c>
      <c r="N41" s="152">
        <v>0</v>
      </c>
      <c r="O41" s="135">
        <v>1</v>
      </c>
      <c r="P41" s="31"/>
    </row>
    <row r="42" spans="1:18" hidden="1" x14ac:dyDescent="0.35">
      <c r="C42" s="442" t="s">
        <v>64</v>
      </c>
      <c r="D42" s="151" t="s">
        <v>58</v>
      </c>
      <c r="E42" s="133">
        <v>494.00009999999997</v>
      </c>
      <c r="F42" s="133">
        <v>1000</v>
      </c>
      <c r="G42" s="424">
        <v>7.4080010000000002E-2</v>
      </c>
      <c r="H42" s="152">
        <v>23.32</v>
      </c>
      <c r="I42" s="424">
        <v>6.3019999999999996</v>
      </c>
      <c r="J42" s="152">
        <v>0</v>
      </c>
      <c r="K42" s="424">
        <v>0.19220000000000001</v>
      </c>
      <c r="L42" s="152">
        <v>-29.83</v>
      </c>
      <c r="M42" s="424">
        <v>64.95</v>
      </c>
      <c r="N42" s="152">
        <v>0</v>
      </c>
      <c r="O42" s="135">
        <v>1</v>
      </c>
      <c r="P42" s="31"/>
    </row>
    <row r="43" spans="1:18" hidden="1" x14ac:dyDescent="0.35">
      <c r="C43" s="442" t="s">
        <v>64</v>
      </c>
      <c r="D43" s="151" t="s">
        <v>58</v>
      </c>
      <c r="E43" s="133">
        <v>1000</v>
      </c>
      <c r="F43" s="133">
        <v>1800</v>
      </c>
      <c r="G43" s="424">
        <v>7.4080010000000002E-2</v>
      </c>
      <c r="H43" s="152">
        <v>16.62</v>
      </c>
      <c r="I43" s="424">
        <v>4.2460000000000004</v>
      </c>
      <c r="J43" s="152">
        <v>0</v>
      </c>
      <c r="K43" s="424">
        <v>0.15490000000000001</v>
      </c>
      <c r="L43" s="152">
        <v>0</v>
      </c>
      <c r="M43" s="424">
        <v>0</v>
      </c>
      <c r="N43" s="152">
        <v>0</v>
      </c>
      <c r="O43" s="135">
        <v>1</v>
      </c>
      <c r="P43" s="31"/>
      <c r="R43" s="97"/>
    </row>
    <row r="44" spans="1:18" hidden="1" x14ac:dyDescent="0.35">
      <c r="C44" s="440" t="s">
        <v>64</v>
      </c>
      <c r="D44" s="276" t="s">
        <v>61</v>
      </c>
      <c r="E44" s="435">
        <v>298.14999999999998</v>
      </c>
      <c r="F44" s="153">
        <v>1500</v>
      </c>
      <c r="G44" s="337">
        <v>2.783115</v>
      </c>
      <c r="H44" s="154">
        <v>25.378499999999999</v>
      </c>
      <c r="I44" s="337">
        <v>1.797085</v>
      </c>
      <c r="J44" s="154">
        <v>1.090393E-4</v>
      </c>
      <c r="K44" s="337">
        <v>-2.1003919999999999E-2</v>
      </c>
      <c r="L44" s="154">
        <v>9.1604179999999999</v>
      </c>
      <c r="M44" s="337">
        <v>-16.28604</v>
      </c>
      <c r="N44" s="154">
        <v>12.30222</v>
      </c>
      <c r="O44" s="241">
        <v>1</v>
      </c>
      <c r="P44" s="31"/>
    </row>
    <row r="45" spans="1:18" hidden="1" x14ac:dyDescent="0.35">
      <c r="C45" s="442" t="s">
        <v>64</v>
      </c>
      <c r="D45" s="151" t="s">
        <v>61</v>
      </c>
      <c r="E45" s="133">
        <v>1500</v>
      </c>
      <c r="F45" s="133">
        <v>10000</v>
      </c>
      <c r="G45" s="424">
        <v>2.783115</v>
      </c>
      <c r="H45" s="152">
        <v>27.619869999999999</v>
      </c>
      <c r="I45" s="424">
        <v>2.4307400000000001</v>
      </c>
      <c r="J45" s="152">
        <v>2.4488410000000002E-3</v>
      </c>
      <c r="K45" s="424">
        <v>-5.4265309999999997E-2</v>
      </c>
      <c r="L45" s="152">
        <v>0.91438399999999997</v>
      </c>
      <c r="M45" s="424">
        <v>-0.4321508</v>
      </c>
      <c r="N45" s="152">
        <v>8.956944E-2</v>
      </c>
      <c r="O45" s="135">
        <v>1</v>
      </c>
      <c r="P45" s="31"/>
    </row>
    <row r="46" spans="1:18" hidden="1" x14ac:dyDescent="0.35">
      <c r="C46" s="440" t="s">
        <v>64</v>
      </c>
      <c r="D46" s="276" t="s">
        <v>126</v>
      </c>
      <c r="E46" s="153">
        <v>298.14999999999998</v>
      </c>
      <c r="F46" s="153">
        <v>398</v>
      </c>
      <c r="G46" s="337">
        <v>6.0389989999999998E-2</v>
      </c>
      <c r="H46" s="154">
        <v>14.03</v>
      </c>
      <c r="I46" s="337">
        <v>3.2650000000000001</v>
      </c>
      <c r="J46" s="154">
        <v>0</v>
      </c>
      <c r="K46" s="337">
        <v>9.7360000000000002E-2</v>
      </c>
      <c r="L46" s="154">
        <v>0</v>
      </c>
      <c r="M46" s="337">
        <v>0</v>
      </c>
      <c r="N46" s="154">
        <v>0</v>
      </c>
      <c r="O46" s="241">
        <v>1</v>
      </c>
      <c r="P46" s="31"/>
    </row>
    <row r="47" spans="1:18" hidden="1" x14ac:dyDescent="0.35">
      <c r="C47" s="133" t="s">
        <v>88</v>
      </c>
      <c r="D47" s="151" t="s">
        <v>61</v>
      </c>
      <c r="E47" s="133">
        <v>298.14999999999998</v>
      </c>
      <c r="F47" s="133">
        <v>1500</v>
      </c>
      <c r="G47" s="424">
        <v>1.6083639999999999</v>
      </c>
      <c r="H47" s="152">
        <v>46.654719999999998</v>
      </c>
      <c r="I47" s="424">
        <v>6.370749</v>
      </c>
      <c r="J47" s="152">
        <v>-1.7220000000000001E-4</v>
      </c>
      <c r="K47" s="424">
        <v>6.049562E-2</v>
      </c>
      <c r="L47" s="152">
        <v>-20.810030000000001</v>
      </c>
      <c r="M47" s="424">
        <v>56.994140000000002</v>
      </c>
      <c r="N47" s="152">
        <v>-73.985680000000002</v>
      </c>
      <c r="O47" s="135">
        <v>1</v>
      </c>
      <c r="P47" s="31"/>
    </row>
    <row r="48" spans="1:18" hidden="1" x14ac:dyDescent="0.35">
      <c r="C48" s="133" t="s">
        <v>88</v>
      </c>
      <c r="D48" s="151" t="s">
        <v>61</v>
      </c>
      <c r="E48" s="133">
        <v>1500</v>
      </c>
      <c r="F48" s="133">
        <v>6000</v>
      </c>
      <c r="G48" s="424">
        <v>1.6083639999999999</v>
      </c>
      <c r="H48" s="152">
        <v>41.393599999999999</v>
      </c>
      <c r="I48" s="424">
        <v>4.6638549999999999</v>
      </c>
      <c r="J48" s="152">
        <v>-1.334432E-3</v>
      </c>
      <c r="K48" s="424">
        <v>3.6780319999999998E-2</v>
      </c>
      <c r="L48" s="152">
        <v>0.98545360000000004</v>
      </c>
      <c r="M48" s="424">
        <v>-0.13838919999999999</v>
      </c>
      <c r="N48" s="152">
        <v>-0.2247374</v>
      </c>
      <c r="O48" s="135">
        <v>1</v>
      </c>
      <c r="P48" s="31"/>
    </row>
    <row r="49" spans="3:16" hidden="1" x14ac:dyDescent="0.35">
      <c r="C49" s="133" t="s">
        <v>89</v>
      </c>
      <c r="D49" s="151" t="s">
        <v>61</v>
      </c>
      <c r="E49" s="133">
        <v>298.14999999999998</v>
      </c>
      <c r="F49" s="133">
        <v>1500</v>
      </c>
      <c r="G49" s="424">
        <v>1.9782420000000001</v>
      </c>
      <c r="H49" s="152">
        <v>54.51784</v>
      </c>
      <c r="I49" s="424">
        <v>6.89046</v>
      </c>
      <c r="J49" s="152">
        <v>-1.736525E-4</v>
      </c>
      <c r="K49" s="424">
        <v>5.6347979999999999E-2</v>
      </c>
      <c r="L49" s="152">
        <v>1.1843140000000001</v>
      </c>
      <c r="M49" s="424">
        <v>-3.094471</v>
      </c>
      <c r="N49" s="152">
        <v>4.1616710000000001</v>
      </c>
      <c r="O49" s="135">
        <v>1</v>
      </c>
      <c r="P49" s="31"/>
    </row>
    <row r="50" spans="3:16" hidden="1" x14ac:dyDescent="0.35">
      <c r="C50" s="133" t="s">
        <v>89</v>
      </c>
      <c r="D50" s="151" t="s">
        <v>61</v>
      </c>
      <c r="E50" s="133">
        <v>1500</v>
      </c>
      <c r="F50" s="133">
        <v>6000</v>
      </c>
      <c r="G50" s="424">
        <v>1.9782420000000001</v>
      </c>
      <c r="H50" s="152">
        <v>54.816650000000003</v>
      </c>
      <c r="I50" s="424">
        <v>7.0000840000000002</v>
      </c>
      <c r="J50" s="152">
        <v>-2.193664E-4</v>
      </c>
      <c r="K50" s="424">
        <v>6.1325909999999997E-2</v>
      </c>
      <c r="L50" s="152">
        <v>3.7539989999999998E-4</v>
      </c>
      <c r="M50" s="424">
        <v>-1.8322499999999999E-4</v>
      </c>
      <c r="N50" s="152">
        <v>4.3410669999999999E-5</v>
      </c>
      <c r="O50" s="135">
        <v>1</v>
      </c>
      <c r="P50" s="31"/>
    </row>
    <row r="51" spans="3:16" hidden="1" x14ac:dyDescent="0.35">
      <c r="C51" s="133" t="s">
        <v>90</v>
      </c>
      <c r="D51" s="151" t="s">
        <v>61</v>
      </c>
      <c r="E51" s="133">
        <v>298.14999999999998</v>
      </c>
      <c r="F51" s="133">
        <v>1500</v>
      </c>
      <c r="G51" s="424">
        <v>1.7796749999999999</v>
      </c>
      <c r="H51" s="152">
        <v>65.627989999999997</v>
      </c>
      <c r="I51" s="424">
        <v>9.8077830000000006</v>
      </c>
      <c r="J51" s="152">
        <v>-2.9475889999999998E-4</v>
      </c>
      <c r="K51" s="424">
        <v>0.1005359</v>
      </c>
      <c r="L51" s="152">
        <v>2.0750869999999999</v>
      </c>
      <c r="M51" s="424">
        <v>-5.417872</v>
      </c>
      <c r="N51" s="152">
        <v>7.2822940000000003</v>
      </c>
      <c r="O51" s="135">
        <v>1</v>
      </c>
      <c r="P51" s="31"/>
    </row>
    <row r="52" spans="3:16" hidden="1" x14ac:dyDescent="0.35">
      <c r="C52" s="133" t="s">
        <v>90</v>
      </c>
      <c r="D52" s="151" t="s">
        <v>61</v>
      </c>
      <c r="E52" s="133">
        <v>1500</v>
      </c>
      <c r="F52" s="133">
        <v>6000</v>
      </c>
      <c r="G52" s="424">
        <v>1.7796749999999999</v>
      </c>
      <c r="H52" s="152">
        <v>66.151300000000006</v>
      </c>
      <c r="I52" s="424">
        <v>9.9996779999999994</v>
      </c>
      <c r="J52" s="152">
        <v>-3.7359040000000001E-4</v>
      </c>
      <c r="K52" s="424">
        <v>0.1092219</v>
      </c>
      <c r="L52" s="152">
        <v>1.8328540000000001E-3</v>
      </c>
      <c r="M52" s="424">
        <v>-1.155547E-3</v>
      </c>
      <c r="N52" s="152">
        <v>3.7609010000000002E-4</v>
      </c>
      <c r="O52" s="135">
        <v>1</v>
      </c>
      <c r="P52" s="31"/>
    </row>
    <row r="53" spans="3:16" hidden="1" x14ac:dyDescent="0.35">
      <c r="C53" s="94" t="s">
        <v>91</v>
      </c>
      <c r="D53" s="219" t="s">
        <v>61</v>
      </c>
      <c r="E53" s="94">
        <v>298.14999999999998</v>
      </c>
      <c r="F53" s="94">
        <v>1500</v>
      </c>
      <c r="G53" s="127">
        <v>1.593137</v>
      </c>
      <c r="H53" s="128">
        <v>82.10181</v>
      </c>
      <c r="I53" s="127">
        <v>12.889200000000001</v>
      </c>
      <c r="J53" s="128">
        <v>-2.7534359999999998E-4</v>
      </c>
      <c r="K53" s="127">
        <v>0.11292489999999999</v>
      </c>
      <c r="L53" s="128">
        <v>1.2045049999999999</v>
      </c>
      <c r="M53" s="127">
        <v>-3.1549330000000002</v>
      </c>
      <c r="N53" s="128">
        <v>4.2508710000000001</v>
      </c>
      <c r="O53" s="432">
        <v>1</v>
      </c>
      <c r="P53" s="31"/>
    </row>
    <row r="54" spans="3:16" hidden="1" x14ac:dyDescent="0.35">
      <c r="C54" s="94" t="s">
        <v>91</v>
      </c>
      <c r="D54" s="219" t="s">
        <v>61</v>
      </c>
      <c r="E54" s="94">
        <v>1500</v>
      </c>
      <c r="F54" s="94">
        <v>6000</v>
      </c>
      <c r="G54" s="127">
        <v>1.593137</v>
      </c>
      <c r="H54" s="128">
        <v>82.404619999999994</v>
      </c>
      <c r="I54" s="127">
        <v>12.999980000000001</v>
      </c>
      <c r="J54" s="128">
        <v>-3.1975439999999998E-4</v>
      </c>
      <c r="K54" s="127">
        <v>0.117897</v>
      </c>
      <c r="L54" s="128">
        <v>1.496076E-3</v>
      </c>
      <c r="M54" s="127">
        <v>-1.046272E-3</v>
      </c>
      <c r="N54" s="128">
        <v>3.8618760000000001E-4</v>
      </c>
      <c r="O54" s="432">
        <v>1</v>
      </c>
      <c r="P54" s="31"/>
    </row>
    <row r="55" spans="3:16" hidden="1" x14ac:dyDescent="0.35">
      <c r="C55" s="94" t="s">
        <v>92</v>
      </c>
      <c r="D55" s="219" t="s">
        <v>61</v>
      </c>
      <c r="E55" s="94">
        <v>298.14999999999998</v>
      </c>
      <c r="F55" s="94">
        <v>1500</v>
      </c>
      <c r="G55" s="127">
        <v>1.310376</v>
      </c>
      <c r="H55" s="128">
        <v>92.080410000000001</v>
      </c>
      <c r="I55" s="127">
        <v>15.90657</v>
      </c>
      <c r="J55" s="128">
        <v>-3.1941130000000002E-4</v>
      </c>
      <c r="K55" s="127">
        <v>0.14695030000000001</v>
      </c>
      <c r="L55" s="128">
        <v>1.017784</v>
      </c>
      <c r="M55" s="127">
        <v>-2.6653210000000001</v>
      </c>
      <c r="N55" s="128">
        <v>3.5898659999999998</v>
      </c>
      <c r="O55" s="432">
        <v>1</v>
      </c>
      <c r="P55" s="31"/>
    </row>
    <row r="56" spans="3:16" hidden="1" x14ac:dyDescent="0.35">
      <c r="C56" s="443" t="s">
        <v>92</v>
      </c>
      <c r="D56" s="219" t="s">
        <v>61</v>
      </c>
      <c r="E56" s="94">
        <v>1500</v>
      </c>
      <c r="F56" s="94">
        <v>6000</v>
      </c>
      <c r="G56" s="127">
        <v>1.310376</v>
      </c>
      <c r="H56" s="128">
        <v>92.335269999999994</v>
      </c>
      <c r="I56" s="127">
        <v>15.99952</v>
      </c>
      <c r="J56" s="128">
        <v>-3.5474159999999999E-4</v>
      </c>
      <c r="K56" s="127">
        <v>0.151062</v>
      </c>
      <c r="L56" s="128">
        <v>3.4559289999999999E-3</v>
      </c>
      <c r="M56" s="127">
        <v>-2.5853989999999999E-3</v>
      </c>
      <c r="N56" s="128">
        <v>9.828650999999999E-4</v>
      </c>
      <c r="O56" s="432">
        <v>1</v>
      </c>
      <c r="P56" s="31"/>
    </row>
    <row r="57" spans="3:16" hidden="1" x14ac:dyDescent="0.35">
      <c r="C57" s="94" t="s">
        <v>93</v>
      </c>
      <c r="D57" s="219" t="s">
        <v>61</v>
      </c>
      <c r="E57" s="94">
        <v>298.14999999999998</v>
      </c>
      <c r="F57" s="94">
        <v>1500</v>
      </c>
      <c r="G57" s="127">
        <v>1.3764209999999999</v>
      </c>
      <c r="H57" s="128">
        <v>106.2873</v>
      </c>
      <c r="I57" s="127">
        <v>18.87481</v>
      </c>
      <c r="J57" s="128">
        <v>-3.9471889999999999E-4</v>
      </c>
      <c r="K57" s="127">
        <v>0.18061250000000001</v>
      </c>
      <c r="L57" s="128">
        <v>1.363551</v>
      </c>
      <c r="M57" s="127">
        <v>-3.5720109999999998</v>
      </c>
      <c r="N57" s="128">
        <v>4.8116719999999997</v>
      </c>
      <c r="O57" s="432">
        <v>1</v>
      </c>
      <c r="P57" s="31"/>
    </row>
    <row r="58" spans="3:16" hidden="1" x14ac:dyDescent="0.35">
      <c r="C58" s="94" t="s">
        <v>93</v>
      </c>
      <c r="D58" s="219" t="s">
        <v>61</v>
      </c>
      <c r="E58" s="94">
        <v>1500</v>
      </c>
      <c r="F58" s="94">
        <v>6000</v>
      </c>
      <c r="G58" s="127">
        <v>1.3764209999999999</v>
      </c>
      <c r="H58" s="128">
        <v>106.6301</v>
      </c>
      <c r="I58" s="127">
        <v>19.000219999999999</v>
      </c>
      <c r="J58" s="128">
        <v>-4.455711E-4</v>
      </c>
      <c r="K58" s="127">
        <v>0.18625030000000001</v>
      </c>
      <c r="L58" s="128">
        <v>1.466539E-3</v>
      </c>
      <c r="M58" s="127">
        <v>-9.910276E-4</v>
      </c>
      <c r="N58" s="128">
        <v>3.4599259999999998E-4</v>
      </c>
      <c r="O58" s="432">
        <v>1</v>
      </c>
      <c r="P58" s="31"/>
    </row>
    <row r="59" spans="3:16" hidden="1" x14ac:dyDescent="0.35">
      <c r="C59" s="94" t="s">
        <v>94</v>
      </c>
      <c r="D59" s="219" t="s">
        <v>61</v>
      </c>
      <c r="E59" s="94">
        <v>298.14999999999998</v>
      </c>
      <c r="F59" s="94">
        <v>1500</v>
      </c>
      <c r="G59" s="127">
        <v>1.4184099999999999</v>
      </c>
      <c r="H59" s="128">
        <v>118.3836</v>
      </c>
      <c r="I59" s="127">
        <v>21.846499999999999</v>
      </c>
      <c r="J59" s="128">
        <v>-4.55196E-4</v>
      </c>
      <c r="K59" s="127">
        <v>0.2049985</v>
      </c>
      <c r="L59" s="128">
        <v>1.669807</v>
      </c>
      <c r="M59" s="127">
        <v>-4.3705270000000001</v>
      </c>
      <c r="N59" s="128">
        <v>5.8827660000000002</v>
      </c>
      <c r="O59" s="432">
        <v>1</v>
      </c>
      <c r="P59" s="31"/>
    </row>
    <row r="60" spans="3:16" hidden="1" x14ac:dyDescent="0.35">
      <c r="C60" s="94" t="s">
        <v>94</v>
      </c>
      <c r="D60" s="219" t="s">
        <v>61</v>
      </c>
      <c r="E60" s="94">
        <v>1500</v>
      </c>
      <c r="F60" s="94">
        <v>6000</v>
      </c>
      <c r="G60" s="127">
        <v>1.4184099999999999</v>
      </c>
      <c r="H60" s="128">
        <v>118.80549999999999</v>
      </c>
      <c r="I60" s="127">
        <v>22.001380000000001</v>
      </c>
      <c r="J60" s="128">
        <v>-5.2171050000000005E-4</v>
      </c>
      <c r="K60" s="127">
        <v>0.21207509999999999</v>
      </c>
      <c r="L60" s="128">
        <v>-2.09779E-3</v>
      </c>
      <c r="M60" s="127">
        <v>1.840469E-3</v>
      </c>
      <c r="N60" s="128">
        <v>-7.697003E-4</v>
      </c>
      <c r="O60" s="432">
        <v>1</v>
      </c>
      <c r="P60" s="31"/>
    </row>
    <row r="61" spans="3:16" x14ac:dyDescent="0.35">
      <c r="C61" s="90"/>
      <c r="D61" s="219"/>
      <c r="E61" s="90"/>
      <c r="F61" s="90"/>
      <c r="G61" s="448"/>
      <c r="H61" s="448"/>
      <c r="I61" s="448"/>
      <c r="J61" s="448"/>
      <c r="K61" s="448"/>
      <c r="L61" s="448"/>
      <c r="M61" s="448"/>
      <c r="N61" s="448"/>
      <c r="P61" s="310"/>
    </row>
    <row r="62" spans="3:16" x14ac:dyDescent="0.35">
      <c r="C62" s="90"/>
      <c r="D62" s="219"/>
      <c r="E62" s="90"/>
      <c r="F62" s="90"/>
      <c r="G62" s="448"/>
      <c r="H62" s="448"/>
      <c r="I62" s="448"/>
      <c r="J62" s="448"/>
      <c r="K62" s="448"/>
      <c r="L62" s="448"/>
      <c r="M62" s="448"/>
      <c r="N62" s="448"/>
      <c r="P62" s="310"/>
    </row>
    <row r="63" spans="3:16" x14ac:dyDescent="0.35">
      <c r="C63" s="90"/>
      <c r="D63" s="219"/>
      <c r="E63" s="90"/>
      <c r="F63" s="90"/>
      <c r="G63" s="448"/>
      <c r="H63" s="448"/>
      <c r="I63" s="448"/>
      <c r="J63" s="448"/>
      <c r="K63" s="448"/>
      <c r="L63" s="448"/>
      <c r="M63" s="448"/>
      <c r="N63" s="448"/>
      <c r="P63" s="310"/>
    </row>
    <row r="64" spans="3:16" x14ac:dyDescent="0.35">
      <c r="C64" s="90"/>
      <c r="D64" s="219"/>
      <c r="E64" s="90"/>
      <c r="F64" s="90"/>
      <c r="G64" s="448"/>
      <c r="H64" s="448"/>
      <c r="I64" s="448"/>
      <c r="J64" s="448"/>
      <c r="K64" s="448"/>
      <c r="L64" s="448"/>
      <c r="M64" s="448"/>
      <c r="N64" s="448"/>
      <c r="P64" s="310"/>
    </row>
    <row r="65" spans="3:16" x14ac:dyDescent="0.35">
      <c r="C65" s="90"/>
      <c r="D65" s="219"/>
      <c r="E65" s="90"/>
      <c r="F65" s="90"/>
      <c r="G65" s="448"/>
      <c r="H65" s="448"/>
      <c r="I65" s="448"/>
      <c r="J65" s="448"/>
      <c r="K65" s="448"/>
      <c r="L65" s="448"/>
      <c r="M65" s="448"/>
      <c r="N65" s="448"/>
      <c r="P65" s="310"/>
    </row>
    <row r="66" spans="3:16" x14ac:dyDescent="0.35">
      <c r="C66" s="90"/>
      <c r="D66" s="219"/>
      <c r="E66" s="90"/>
      <c r="F66" s="90"/>
      <c r="G66" s="448"/>
      <c r="H66" s="448"/>
      <c r="I66" s="448"/>
      <c r="J66" s="448"/>
      <c r="K66" s="448"/>
      <c r="L66" s="448"/>
      <c r="M66" s="448"/>
      <c r="N66" s="448"/>
      <c r="P66" s="310"/>
    </row>
    <row r="67" spans="3:16" x14ac:dyDescent="0.35">
      <c r="C67" s="90"/>
      <c r="D67" s="219"/>
      <c r="E67" s="90"/>
      <c r="F67" s="90"/>
      <c r="G67" s="448"/>
      <c r="H67" s="448"/>
      <c r="I67" s="448"/>
      <c r="J67" s="448"/>
      <c r="K67" s="448"/>
      <c r="L67" s="448"/>
      <c r="M67" s="448"/>
      <c r="N67" s="448"/>
      <c r="P67" s="310"/>
    </row>
    <row r="68" spans="3:16" x14ac:dyDescent="0.35">
      <c r="C68" s="90"/>
      <c r="D68" s="219"/>
      <c r="E68" s="90"/>
      <c r="F68" s="90"/>
      <c r="G68" s="448"/>
      <c r="H68" s="448"/>
      <c r="I68" s="448"/>
      <c r="J68" s="448"/>
      <c r="K68" s="448"/>
      <c r="L68" s="448"/>
      <c r="M68" s="448"/>
      <c r="N68" s="448"/>
      <c r="P68" s="310"/>
    </row>
    <row r="69" spans="3:16" x14ac:dyDescent="0.35">
      <c r="C69" s="90"/>
      <c r="D69" s="219"/>
      <c r="E69" s="90"/>
      <c r="F69" s="90"/>
      <c r="G69" s="448"/>
      <c r="H69" s="448"/>
      <c r="I69" s="448"/>
      <c r="J69" s="448"/>
      <c r="K69" s="448"/>
      <c r="L69" s="448"/>
      <c r="M69" s="448"/>
      <c r="N69" s="448"/>
      <c r="P69" s="310"/>
    </row>
    <row r="70" spans="3:16" x14ac:dyDescent="0.35">
      <c r="C70" s="90"/>
      <c r="D70" s="219"/>
      <c r="E70" s="90"/>
      <c r="F70" s="90"/>
      <c r="G70" s="448"/>
      <c r="H70" s="448"/>
      <c r="I70" s="448"/>
      <c r="J70" s="448"/>
      <c r="K70" s="448"/>
      <c r="L70" s="448"/>
      <c r="M70" s="448"/>
      <c r="N70" s="448"/>
      <c r="P70" s="310"/>
    </row>
    <row r="71" spans="3:16" x14ac:dyDescent="0.35">
      <c r="C71" s="90"/>
      <c r="D71" s="219"/>
      <c r="E71" s="90"/>
      <c r="F71" s="90"/>
      <c r="G71" s="448"/>
      <c r="H71" s="448"/>
      <c r="I71" s="448"/>
      <c r="J71" s="448"/>
      <c r="K71" s="448"/>
      <c r="L71" s="448"/>
      <c r="M71" s="448"/>
      <c r="N71" s="448"/>
      <c r="P71" s="310"/>
    </row>
    <row r="72" spans="3:16" x14ac:dyDescent="0.35">
      <c r="C72" s="90"/>
      <c r="D72" s="219"/>
      <c r="E72" s="90"/>
      <c r="F72" s="90"/>
      <c r="G72" s="448"/>
      <c r="H72" s="448"/>
      <c r="I72" s="448"/>
      <c r="J72" s="448"/>
      <c r="K72" s="448"/>
      <c r="L72" s="448"/>
      <c r="M72" s="448"/>
      <c r="N72" s="448"/>
      <c r="P72" s="310"/>
    </row>
    <row r="73" spans="3:16" x14ac:dyDescent="0.35">
      <c r="C73" s="90"/>
      <c r="D73" s="219"/>
      <c r="E73" s="90"/>
      <c r="F73" s="90"/>
      <c r="G73" s="448"/>
      <c r="H73" s="448"/>
      <c r="I73" s="448"/>
      <c r="J73" s="448"/>
      <c r="K73" s="448"/>
      <c r="L73" s="448"/>
      <c r="M73" s="448"/>
      <c r="N73" s="448"/>
      <c r="P73" s="310"/>
    </row>
    <row r="74" spans="3:16" x14ac:dyDescent="0.35">
      <c r="C74" s="90"/>
      <c r="D74" s="219"/>
      <c r="E74" s="90"/>
      <c r="F74" s="90"/>
      <c r="G74" s="448"/>
      <c r="H74" s="448"/>
      <c r="I74" s="448"/>
      <c r="J74" s="448"/>
      <c r="K74" s="448"/>
      <c r="L74" s="448"/>
      <c r="M74" s="448"/>
      <c r="N74" s="448"/>
      <c r="P74" s="310"/>
    </row>
    <row r="75" spans="3:16" x14ac:dyDescent="0.35">
      <c r="C75" s="90"/>
      <c r="D75" s="219"/>
      <c r="E75" s="90"/>
      <c r="F75" s="90"/>
      <c r="G75" s="448"/>
      <c r="H75" s="448"/>
      <c r="I75" s="448"/>
      <c r="J75" s="448"/>
      <c r="K75" s="448"/>
      <c r="L75" s="448"/>
      <c r="M75" s="448"/>
      <c r="N75" s="448"/>
      <c r="P75" s="310"/>
    </row>
    <row r="76" spans="3:16" x14ac:dyDescent="0.35">
      <c r="C76" s="90"/>
      <c r="D76" s="219"/>
      <c r="E76" s="90"/>
      <c r="F76" s="90"/>
      <c r="G76" s="448"/>
      <c r="H76" s="448"/>
      <c r="I76" s="448"/>
      <c r="J76" s="448"/>
      <c r="K76" s="448"/>
      <c r="L76" s="448"/>
      <c r="M76" s="448"/>
      <c r="N76" s="448"/>
      <c r="P76" s="310"/>
    </row>
    <row r="77" spans="3:16" x14ac:dyDescent="0.35">
      <c r="C77" s="90"/>
      <c r="D77" s="219"/>
      <c r="E77" s="90"/>
      <c r="F77" s="90"/>
      <c r="G77" s="448"/>
      <c r="H77" s="448"/>
      <c r="I77" s="448"/>
      <c r="J77" s="448"/>
      <c r="K77" s="448"/>
      <c r="L77" s="448"/>
      <c r="M77" s="448"/>
      <c r="N77" s="448"/>
      <c r="P77" s="310"/>
    </row>
    <row r="78" spans="3:16" x14ac:dyDescent="0.35">
      <c r="C78" s="90"/>
      <c r="D78" s="219"/>
      <c r="E78" s="90"/>
      <c r="F78" s="90"/>
      <c r="G78" s="448"/>
      <c r="H78" s="448"/>
      <c r="I78" s="448"/>
      <c r="J78" s="448"/>
      <c r="K78" s="448"/>
      <c r="L78" s="448"/>
      <c r="M78" s="448"/>
      <c r="N78" s="448"/>
      <c r="P78" s="310"/>
    </row>
    <row r="79" spans="3:16" x14ac:dyDescent="0.35">
      <c r="C79" s="90"/>
      <c r="D79" s="219"/>
      <c r="E79" s="90"/>
      <c r="F79" s="90"/>
      <c r="G79" s="448"/>
      <c r="H79" s="448"/>
      <c r="I79" s="448"/>
      <c r="J79" s="448"/>
      <c r="K79" s="448"/>
      <c r="L79" s="448"/>
      <c r="M79" s="448"/>
      <c r="N79" s="448"/>
      <c r="P79" s="310"/>
    </row>
    <row r="80" spans="3:16" x14ac:dyDescent="0.35">
      <c r="C80" s="90"/>
      <c r="D80" s="219"/>
      <c r="E80" s="90"/>
      <c r="F80" s="90"/>
      <c r="G80" s="448"/>
      <c r="H80" s="448"/>
      <c r="I80" s="448"/>
      <c r="J80" s="448"/>
      <c r="K80" s="448"/>
      <c r="L80" s="448"/>
      <c r="M80" s="448"/>
      <c r="N80" s="448"/>
      <c r="P80" s="310"/>
    </row>
    <row r="81" spans="3:16" x14ac:dyDescent="0.35">
      <c r="C81" s="90"/>
      <c r="D81" s="219"/>
      <c r="E81" s="90"/>
      <c r="F81" s="90"/>
      <c r="G81" s="448"/>
      <c r="H81" s="448"/>
      <c r="I81" s="448"/>
      <c r="J81" s="448"/>
      <c r="K81" s="448"/>
      <c r="L81" s="448"/>
      <c r="M81" s="448"/>
      <c r="N81" s="448"/>
      <c r="P81" s="310"/>
    </row>
    <row r="82" spans="3:16" x14ac:dyDescent="0.35">
      <c r="C82" s="90"/>
      <c r="D82" s="219"/>
      <c r="E82" s="90"/>
      <c r="F82" s="90"/>
      <c r="G82" s="448"/>
      <c r="H82" s="448"/>
      <c r="I82" s="448"/>
      <c r="J82" s="448"/>
      <c r="K82" s="448"/>
      <c r="L82" s="448"/>
      <c r="M82" s="448"/>
      <c r="N82" s="448"/>
      <c r="P82" s="310"/>
    </row>
    <row r="83" spans="3:16" x14ac:dyDescent="0.35">
      <c r="C83" s="90"/>
      <c r="D83" s="219"/>
      <c r="E83" s="90"/>
      <c r="F83" s="90"/>
      <c r="G83" s="448"/>
      <c r="H83" s="448"/>
      <c r="I83" s="448"/>
      <c r="J83" s="448"/>
      <c r="K83" s="448"/>
      <c r="L83" s="448"/>
      <c r="M83" s="448"/>
      <c r="N83" s="448"/>
      <c r="P83" s="310"/>
    </row>
    <row r="84" spans="3:16" x14ac:dyDescent="0.35">
      <c r="C84" s="90"/>
      <c r="D84" s="219"/>
      <c r="E84" s="90"/>
      <c r="F84" s="90"/>
      <c r="G84" s="448"/>
      <c r="H84" s="448"/>
      <c r="I84" s="448"/>
      <c r="J84" s="448"/>
      <c r="K84" s="448"/>
      <c r="L84" s="448"/>
      <c r="M84" s="448"/>
      <c r="N84" s="448"/>
      <c r="P84" s="310"/>
    </row>
    <row r="85" spans="3:16" x14ac:dyDescent="0.35">
      <c r="C85" s="90"/>
      <c r="D85" s="219"/>
      <c r="E85" s="90"/>
      <c r="F85" s="90"/>
      <c r="G85" s="448"/>
      <c r="H85" s="448"/>
      <c r="I85" s="448"/>
      <c r="J85" s="448"/>
      <c r="K85" s="448"/>
      <c r="L85" s="448"/>
      <c r="M85" s="448"/>
      <c r="N85" s="448"/>
      <c r="P85" s="310"/>
    </row>
    <row r="86" spans="3:16" x14ac:dyDescent="0.35">
      <c r="C86" s="90"/>
      <c r="D86" s="219"/>
      <c r="E86" s="90"/>
      <c r="F86" s="90"/>
      <c r="G86" s="448"/>
      <c r="H86" s="448"/>
      <c r="I86" s="448"/>
      <c r="J86" s="448"/>
      <c r="K86" s="448"/>
      <c r="L86" s="448"/>
      <c r="M86" s="448"/>
      <c r="N86" s="448"/>
      <c r="P86" s="310"/>
    </row>
    <row r="87" spans="3:16" x14ac:dyDescent="0.35">
      <c r="C87" s="90"/>
      <c r="D87" s="219"/>
      <c r="E87" s="90"/>
      <c r="F87" s="90"/>
      <c r="G87" s="448"/>
      <c r="H87" s="448"/>
      <c r="I87" s="448"/>
      <c r="J87" s="448"/>
      <c r="K87" s="448"/>
      <c r="L87" s="448"/>
      <c r="M87" s="448"/>
      <c r="N87" s="448"/>
      <c r="P87" s="310"/>
    </row>
    <row r="88" spans="3:16" x14ac:dyDescent="0.35">
      <c r="C88" s="90"/>
      <c r="D88" s="219"/>
      <c r="E88" s="90"/>
      <c r="F88" s="90"/>
      <c r="G88" s="448"/>
      <c r="H88" s="448"/>
      <c r="I88" s="448"/>
      <c r="J88" s="448"/>
      <c r="K88" s="448"/>
      <c r="L88" s="448"/>
      <c r="M88" s="448"/>
      <c r="N88" s="448"/>
      <c r="P88" s="310"/>
    </row>
    <row r="89" spans="3:16" x14ac:dyDescent="0.35">
      <c r="C89" s="90"/>
      <c r="D89" s="219"/>
      <c r="E89" s="90"/>
      <c r="F89" s="90"/>
      <c r="G89" s="448"/>
      <c r="H89" s="448"/>
      <c r="I89" s="448"/>
      <c r="J89" s="448"/>
      <c r="K89" s="448"/>
      <c r="L89" s="448"/>
      <c r="M89" s="448"/>
      <c r="N89" s="448"/>
      <c r="P89" s="310"/>
    </row>
    <row r="90" spans="3:16" x14ac:dyDescent="0.35">
      <c r="C90" s="90"/>
      <c r="D90" s="219"/>
      <c r="E90" s="90"/>
      <c r="F90" s="90"/>
      <c r="G90" s="448"/>
      <c r="H90" s="448"/>
      <c r="I90" s="448"/>
      <c r="J90" s="448"/>
      <c r="K90" s="448"/>
      <c r="L90" s="448"/>
      <c r="M90" s="448"/>
      <c r="N90" s="448"/>
      <c r="P90" s="310"/>
    </row>
    <row r="91" spans="3:16" x14ac:dyDescent="0.35">
      <c r="C91" s="90"/>
      <c r="D91" s="219"/>
      <c r="E91" s="90"/>
      <c r="F91" s="90"/>
      <c r="G91" s="448"/>
      <c r="H91" s="448"/>
      <c r="I91" s="448"/>
      <c r="J91" s="448"/>
      <c r="K91" s="448"/>
      <c r="L91" s="448"/>
      <c r="M91" s="448"/>
      <c r="N91" s="448"/>
      <c r="P91" s="310"/>
    </row>
    <row r="92" spans="3:16" x14ac:dyDescent="0.35">
      <c r="C92" s="90"/>
      <c r="D92" s="219"/>
      <c r="E92" s="90"/>
      <c r="F92" s="90"/>
      <c r="G92" s="448"/>
      <c r="H92" s="448"/>
      <c r="I92" s="448"/>
      <c r="J92" s="448"/>
      <c r="K92" s="448"/>
      <c r="L92" s="448"/>
      <c r="M92" s="448"/>
      <c r="N92" s="448"/>
      <c r="P92" s="310"/>
    </row>
    <row r="93" spans="3:16" x14ac:dyDescent="0.35">
      <c r="C93" s="90"/>
      <c r="D93" s="219"/>
      <c r="E93" s="90"/>
      <c r="F93" s="90"/>
      <c r="G93" s="448"/>
      <c r="H93" s="448"/>
      <c r="I93" s="448"/>
      <c r="J93" s="448"/>
      <c r="K93" s="448"/>
      <c r="L93" s="448"/>
      <c r="M93" s="448"/>
      <c r="N93" s="448"/>
      <c r="P93" s="310"/>
    </row>
    <row r="94" spans="3:16" x14ac:dyDescent="0.35">
      <c r="C94" s="90"/>
      <c r="D94" s="219"/>
      <c r="E94" s="90"/>
      <c r="F94" s="90"/>
      <c r="G94" s="448"/>
      <c r="H94" s="448"/>
      <c r="I94" s="448"/>
      <c r="J94" s="448"/>
      <c r="K94" s="448"/>
      <c r="L94" s="448"/>
      <c r="M94" s="448"/>
      <c r="N94" s="448"/>
      <c r="P94" s="310"/>
    </row>
    <row r="95" spans="3:16" x14ac:dyDescent="0.35">
      <c r="C95" s="90"/>
      <c r="D95" s="219"/>
      <c r="E95" s="90"/>
      <c r="F95" s="90"/>
      <c r="G95" s="448"/>
      <c r="H95" s="448"/>
      <c r="I95" s="448"/>
      <c r="J95" s="448"/>
      <c r="K95" s="448"/>
      <c r="L95" s="448"/>
      <c r="M95" s="448"/>
      <c r="N95" s="448"/>
      <c r="P95" s="310"/>
    </row>
    <row r="96" spans="3:16" x14ac:dyDescent="0.35">
      <c r="C96" s="90"/>
      <c r="D96" s="219"/>
      <c r="E96" s="90"/>
      <c r="F96" s="90"/>
      <c r="G96" s="448"/>
      <c r="H96" s="448"/>
      <c r="I96" s="448"/>
      <c r="J96" s="448"/>
      <c r="K96" s="448"/>
      <c r="L96" s="448"/>
      <c r="M96" s="448"/>
      <c r="N96" s="448"/>
      <c r="P96" s="310"/>
    </row>
    <row r="97" spans="1:26" x14ac:dyDescent="0.35">
      <c r="C97" s="90"/>
      <c r="D97" s="219"/>
      <c r="E97" s="90"/>
      <c r="F97" s="90"/>
      <c r="G97" s="448"/>
      <c r="H97" s="448"/>
      <c r="I97" s="448"/>
      <c r="J97" s="448"/>
      <c r="K97" s="448"/>
      <c r="L97" s="448"/>
      <c r="M97" s="448"/>
      <c r="N97" s="448"/>
    </row>
    <row r="98" spans="1:26" x14ac:dyDescent="0.35">
      <c r="C98" s="90"/>
      <c r="D98" s="219"/>
      <c r="E98" s="90"/>
      <c r="F98" s="90"/>
      <c r="G98" s="448"/>
      <c r="H98" s="448"/>
      <c r="I98" s="448"/>
      <c r="J98" s="448"/>
      <c r="K98" s="448"/>
      <c r="L98" s="448"/>
      <c r="M98" s="448"/>
      <c r="N98" s="448"/>
    </row>
    <row r="99" spans="1:26" x14ac:dyDescent="0.35">
      <c r="C99" s="90"/>
      <c r="D99" s="219"/>
      <c r="E99" s="90"/>
      <c r="F99" s="90"/>
      <c r="G99" s="448"/>
      <c r="H99" s="448"/>
      <c r="I99" s="448"/>
      <c r="J99" s="448"/>
      <c r="K99" s="448"/>
      <c r="L99" s="448"/>
      <c r="M99" s="448"/>
      <c r="N99" s="448"/>
    </row>
    <row r="100" spans="1:26" x14ac:dyDescent="0.35">
      <c r="C100" s="90"/>
      <c r="D100" s="219"/>
      <c r="E100" s="90"/>
      <c r="F100" s="90"/>
      <c r="G100" s="448"/>
      <c r="H100" s="448"/>
      <c r="I100" s="448"/>
      <c r="J100" s="448"/>
      <c r="K100" s="448"/>
      <c r="L100" s="448"/>
      <c r="M100" s="448"/>
      <c r="N100" s="448"/>
    </row>
    <row r="101" spans="1:26" x14ac:dyDescent="0.35">
      <c r="C101" s="90"/>
      <c r="D101" s="219"/>
      <c r="E101" s="90"/>
      <c r="F101" s="90"/>
      <c r="G101" s="448"/>
      <c r="H101" s="448"/>
      <c r="I101" s="448"/>
      <c r="J101" s="448"/>
      <c r="K101" s="448"/>
      <c r="L101" s="448"/>
      <c r="M101" s="448"/>
      <c r="N101" s="448"/>
    </row>
    <row r="102" spans="1:26" x14ac:dyDescent="0.35">
      <c r="C102" s="90"/>
      <c r="D102" s="219"/>
      <c r="E102" s="90"/>
      <c r="F102" s="90"/>
      <c r="G102" s="448"/>
      <c r="H102" s="448"/>
      <c r="I102" s="448"/>
      <c r="J102" s="448"/>
      <c r="K102" s="448"/>
      <c r="L102" s="448"/>
      <c r="M102" s="448"/>
      <c r="N102" s="448"/>
    </row>
    <row r="103" spans="1:26" x14ac:dyDescent="0.35">
      <c r="C103" s="90"/>
      <c r="D103" s="219"/>
      <c r="E103" s="90"/>
      <c r="F103" s="90"/>
      <c r="G103" s="448"/>
      <c r="H103" s="448"/>
      <c r="I103" s="448"/>
      <c r="J103" s="448"/>
      <c r="K103" s="448"/>
      <c r="L103" s="448"/>
      <c r="M103" s="448"/>
      <c r="N103" s="448"/>
    </row>
    <row r="104" spans="1:26" x14ac:dyDescent="0.35">
      <c r="C104" s="90"/>
      <c r="D104" s="219"/>
      <c r="E104" s="90"/>
      <c r="F104" s="90"/>
      <c r="G104" s="448"/>
      <c r="H104" s="448"/>
      <c r="I104" s="448"/>
      <c r="J104" s="448"/>
      <c r="K104" s="448"/>
      <c r="L104" s="448"/>
      <c r="M104" s="448"/>
      <c r="N104" s="448"/>
    </row>
    <row r="105" spans="1:26" x14ac:dyDescent="0.35">
      <c r="C105" s="90"/>
      <c r="D105" s="219"/>
      <c r="E105" s="90"/>
      <c r="F105" s="90"/>
      <c r="G105" s="448"/>
      <c r="H105" s="448"/>
      <c r="I105" s="448"/>
      <c r="J105" s="448"/>
      <c r="K105" s="448"/>
      <c r="L105" s="448"/>
      <c r="M105" s="448"/>
      <c r="N105" s="448"/>
    </row>
    <row r="106" spans="1:26" x14ac:dyDescent="0.35">
      <c r="C106" s="90"/>
      <c r="D106" s="219"/>
      <c r="E106" s="90"/>
      <c r="F106" s="90"/>
      <c r="G106" s="448"/>
      <c r="H106" s="448"/>
      <c r="I106" s="448"/>
      <c r="J106" s="448"/>
      <c r="K106" s="448"/>
      <c r="L106" s="448"/>
      <c r="M106" s="448"/>
      <c r="N106" s="448"/>
    </row>
    <row r="107" spans="1:26" x14ac:dyDescent="0.35">
      <c r="C107" s="90"/>
      <c r="D107" s="219"/>
      <c r="E107" s="90"/>
      <c r="F107" s="90"/>
      <c r="G107" s="448"/>
      <c r="H107" s="448"/>
      <c r="I107" s="448"/>
      <c r="J107" s="448"/>
      <c r="K107" s="448"/>
      <c r="L107" s="448"/>
      <c r="M107" s="448"/>
      <c r="N107" s="448"/>
    </row>
    <row r="108" spans="1:26" x14ac:dyDescent="0.35">
      <c r="C108" s="90"/>
      <c r="D108" s="219"/>
      <c r="E108" s="90"/>
      <c r="F108" s="90"/>
      <c r="G108" s="448"/>
      <c r="H108" s="448"/>
      <c r="I108" s="448"/>
      <c r="J108" s="448"/>
      <c r="K108" s="448"/>
      <c r="L108" s="448"/>
      <c r="M108" s="448"/>
      <c r="N108" s="448"/>
    </row>
    <row r="109" spans="1:26" x14ac:dyDescent="0.35">
      <c r="C109" s="90"/>
      <c r="D109" s="219"/>
      <c r="E109" s="90"/>
      <c r="F109" s="90"/>
      <c r="G109" s="448"/>
      <c r="H109" s="448"/>
      <c r="I109" s="448"/>
      <c r="J109" s="448"/>
      <c r="K109" s="448"/>
      <c r="L109" s="448"/>
      <c r="M109" s="448"/>
      <c r="N109" s="448"/>
    </row>
    <row r="110" spans="1:26" x14ac:dyDescent="0.35">
      <c r="C110" s="90"/>
      <c r="D110" s="219"/>
      <c r="E110" s="90"/>
      <c r="F110" s="90"/>
      <c r="G110" s="448"/>
      <c r="H110" s="448"/>
      <c r="I110" s="448"/>
      <c r="J110" s="448"/>
      <c r="K110" s="448"/>
      <c r="L110" s="448"/>
      <c r="M110" s="448"/>
      <c r="N110" s="448"/>
    </row>
    <row r="111" spans="1:26" s="112" customFormat="1" x14ac:dyDescent="0.35">
      <c r="A111" s="103"/>
      <c r="B111" s="103"/>
      <c r="C111" s="90"/>
      <c r="D111" s="219"/>
      <c r="E111" s="90"/>
      <c r="F111" s="90"/>
      <c r="G111" s="448"/>
      <c r="H111" s="448"/>
      <c r="I111" s="448"/>
      <c r="J111" s="448"/>
      <c r="K111" s="448"/>
      <c r="L111" s="448"/>
      <c r="M111" s="448"/>
      <c r="N111" s="448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</row>
    <row r="112" spans="1:26" s="112" customFormat="1" x14ac:dyDescent="0.35">
      <c r="A112" s="103"/>
      <c r="B112" s="103"/>
      <c r="C112" s="90"/>
      <c r="D112" s="219"/>
      <c r="E112" s="90"/>
      <c r="F112" s="90"/>
      <c r="G112" s="448"/>
      <c r="H112" s="448"/>
      <c r="I112" s="448"/>
      <c r="J112" s="448"/>
      <c r="K112" s="448"/>
      <c r="L112" s="448"/>
      <c r="M112" s="448"/>
      <c r="N112" s="448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</row>
    <row r="113" spans="1:26" s="112" customFormat="1" x14ac:dyDescent="0.35">
      <c r="A113" s="103"/>
      <c r="B113" s="103"/>
      <c r="C113" s="90"/>
      <c r="D113" s="219"/>
      <c r="E113" s="90"/>
      <c r="F113" s="90"/>
      <c r="G113" s="448"/>
      <c r="H113" s="448"/>
      <c r="I113" s="448"/>
      <c r="J113" s="448"/>
      <c r="K113" s="448"/>
      <c r="L113" s="448"/>
      <c r="M113" s="448"/>
      <c r="N113" s="448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</row>
    <row r="114" spans="1:26" s="112" customFormat="1" x14ac:dyDescent="0.35">
      <c r="A114" s="103"/>
      <c r="B114" s="103"/>
      <c r="C114" s="90"/>
      <c r="D114" s="219"/>
      <c r="E114" s="90"/>
      <c r="F114" s="90"/>
      <c r="G114" s="448"/>
      <c r="H114" s="448"/>
      <c r="I114" s="448"/>
      <c r="J114" s="448"/>
      <c r="K114" s="448"/>
      <c r="L114" s="448"/>
      <c r="M114" s="448"/>
      <c r="N114" s="448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</row>
    <row r="115" spans="1:26" s="112" customFormat="1" x14ac:dyDescent="0.35">
      <c r="A115" s="103"/>
      <c r="B115" s="103"/>
      <c r="C115" s="90"/>
      <c r="D115" s="219"/>
      <c r="E115" s="90"/>
      <c r="F115" s="90"/>
      <c r="G115" s="448"/>
      <c r="H115" s="448"/>
      <c r="I115" s="448"/>
      <c r="J115" s="448"/>
      <c r="K115" s="448"/>
      <c r="L115" s="448"/>
      <c r="M115" s="448"/>
      <c r="N115" s="448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</row>
    <row r="116" spans="1:26" s="112" customFormat="1" x14ac:dyDescent="0.35">
      <c r="A116" s="103"/>
      <c r="B116" s="103"/>
      <c r="C116" s="90"/>
      <c r="D116" s="219"/>
      <c r="E116" s="90"/>
      <c r="F116" s="90"/>
      <c r="G116" s="448"/>
      <c r="H116" s="448"/>
      <c r="I116" s="448"/>
      <c r="J116" s="448"/>
      <c r="K116" s="448"/>
      <c r="L116" s="448"/>
      <c r="M116" s="448"/>
      <c r="N116" s="448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</row>
    <row r="117" spans="1:26" s="112" customFormat="1" x14ac:dyDescent="0.35">
      <c r="A117" s="103"/>
      <c r="B117" s="103"/>
      <c r="C117" s="90"/>
      <c r="D117" s="219"/>
      <c r="E117" s="90"/>
      <c r="F117" s="90"/>
      <c r="G117" s="448"/>
      <c r="H117" s="448"/>
      <c r="I117" s="448"/>
      <c r="J117" s="448"/>
      <c r="K117" s="448"/>
      <c r="L117" s="448"/>
      <c r="M117" s="448"/>
      <c r="N117" s="448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</row>
    <row r="118" spans="1:26" s="112" customFormat="1" x14ac:dyDescent="0.35">
      <c r="A118" s="103"/>
      <c r="B118" s="103"/>
      <c r="C118" s="90"/>
      <c r="D118" s="219"/>
      <c r="E118" s="90"/>
      <c r="F118" s="90"/>
      <c r="G118" s="448"/>
      <c r="H118" s="448"/>
      <c r="I118" s="448"/>
      <c r="J118" s="448"/>
      <c r="K118" s="448"/>
      <c r="L118" s="448"/>
      <c r="M118" s="448"/>
      <c r="N118" s="448"/>
      <c r="P118" s="75"/>
      <c r="Q118" s="75"/>
      <c r="R118" s="75"/>
      <c r="S118" s="75"/>
      <c r="T118" s="75"/>
      <c r="U118" s="75"/>
      <c r="V118" s="75"/>
      <c r="W118" s="75"/>
      <c r="X118" s="75"/>
      <c r="Y118" s="75"/>
      <c r="Z118" s="75"/>
    </row>
    <row r="119" spans="1:26" s="112" customFormat="1" x14ac:dyDescent="0.35">
      <c r="A119" s="103"/>
      <c r="B119" s="103"/>
      <c r="C119" s="90"/>
      <c r="D119" s="219"/>
      <c r="E119" s="90"/>
      <c r="F119" s="90"/>
      <c r="G119" s="448"/>
      <c r="H119" s="448"/>
      <c r="I119" s="448"/>
      <c r="J119" s="448"/>
      <c r="K119" s="448"/>
      <c r="L119" s="448"/>
      <c r="M119" s="448"/>
      <c r="N119" s="448"/>
      <c r="P119" s="75"/>
      <c r="Q119" s="75"/>
      <c r="R119" s="75"/>
      <c r="S119" s="75"/>
      <c r="T119" s="75"/>
      <c r="U119" s="75"/>
      <c r="V119" s="75"/>
      <c r="W119" s="75"/>
      <c r="X119" s="75"/>
      <c r="Y119" s="75"/>
      <c r="Z119" s="75"/>
    </row>
    <row r="120" spans="1:26" s="112" customFormat="1" x14ac:dyDescent="0.35">
      <c r="A120" s="103"/>
      <c r="B120" s="103"/>
      <c r="C120" s="90"/>
      <c r="D120" s="219"/>
      <c r="E120" s="90"/>
      <c r="F120" s="90"/>
      <c r="G120" s="448"/>
      <c r="H120" s="448"/>
      <c r="I120" s="448"/>
      <c r="J120" s="448"/>
      <c r="K120" s="448"/>
      <c r="L120" s="448"/>
      <c r="M120" s="448"/>
      <c r="N120" s="448"/>
      <c r="P120" s="75"/>
      <c r="Q120" s="75"/>
      <c r="R120" s="75"/>
      <c r="S120" s="75"/>
      <c r="T120" s="75"/>
      <c r="U120" s="75"/>
      <c r="V120" s="75"/>
      <c r="W120" s="75"/>
      <c r="X120" s="75"/>
      <c r="Y120" s="75"/>
      <c r="Z120" s="75"/>
    </row>
    <row r="121" spans="1:26" s="112" customFormat="1" x14ac:dyDescent="0.35">
      <c r="A121" s="103"/>
      <c r="B121" s="103"/>
      <c r="C121" s="90"/>
      <c r="D121" s="219"/>
      <c r="E121" s="90"/>
      <c r="F121" s="90"/>
      <c r="G121" s="448"/>
      <c r="H121" s="448"/>
      <c r="I121" s="448"/>
      <c r="J121" s="448"/>
      <c r="K121" s="448"/>
      <c r="L121" s="448"/>
      <c r="M121" s="448"/>
      <c r="N121" s="448"/>
      <c r="P121" s="75"/>
      <c r="Q121" s="75"/>
      <c r="R121" s="75"/>
      <c r="S121" s="75"/>
      <c r="T121" s="75"/>
      <c r="U121" s="75"/>
      <c r="V121" s="75"/>
      <c r="W121" s="75"/>
      <c r="X121" s="75"/>
      <c r="Y121" s="75"/>
      <c r="Z121" s="75"/>
    </row>
    <row r="122" spans="1:26" s="112" customFormat="1" x14ac:dyDescent="0.35">
      <c r="A122" s="103"/>
      <c r="B122" s="103"/>
      <c r="C122" s="90"/>
      <c r="D122" s="219"/>
      <c r="E122" s="90"/>
      <c r="F122" s="90"/>
      <c r="G122" s="448"/>
      <c r="H122" s="448"/>
      <c r="I122" s="448"/>
      <c r="J122" s="448"/>
      <c r="K122" s="448"/>
      <c r="L122" s="448"/>
      <c r="M122" s="448"/>
      <c r="N122" s="448"/>
      <c r="P122" s="75"/>
      <c r="Q122" s="75"/>
      <c r="R122" s="75"/>
      <c r="S122" s="75"/>
      <c r="T122" s="75"/>
      <c r="U122" s="75"/>
      <c r="V122" s="75"/>
      <c r="W122" s="75"/>
      <c r="X122" s="75"/>
      <c r="Y122" s="75"/>
      <c r="Z122" s="75"/>
    </row>
    <row r="123" spans="1:26" s="112" customFormat="1" x14ac:dyDescent="0.35">
      <c r="A123" s="103"/>
      <c r="B123" s="103"/>
      <c r="C123" s="90"/>
      <c r="D123" s="219"/>
      <c r="E123" s="90"/>
      <c r="F123" s="90"/>
      <c r="G123" s="448"/>
      <c r="H123" s="448"/>
      <c r="I123" s="448"/>
      <c r="J123" s="448"/>
      <c r="K123" s="448"/>
      <c r="L123" s="448"/>
      <c r="M123" s="448"/>
      <c r="N123" s="448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</row>
    <row r="124" spans="1:26" s="112" customFormat="1" x14ac:dyDescent="0.35">
      <c r="A124" s="103"/>
      <c r="B124" s="103"/>
      <c r="C124" s="90"/>
      <c r="D124" s="219"/>
      <c r="E124" s="90"/>
      <c r="F124" s="90"/>
      <c r="G124" s="448"/>
      <c r="H124" s="448"/>
      <c r="I124" s="448"/>
      <c r="J124" s="448"/>
      <c r="K124" s="448"/>
      <c r="L124" s="448"/>
      <c r="M124" s="448"/>
      <c r="N124" s="448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</row>
    <row r="125" spans="1:26" s="112" customFormat="1" x14ac:dyDescent="0.35">
      <c r="A125" s="103"/>
      <c r="B125" s="103"/>
      <c r="C125" s="90"/>
      <c r="D125" s="219"/>
      <c r="E125" s="90"/>
      <c r="F125" s="90"/>
      <c r="G125" s="448"/>
      <c r="H125" s="448"/>
      <c r="I125" s="448"/>
      <c r="J125" s="448"/>
      <c r="K125" s="448"/>
      <c r="L125" s="448"/>
      <c r="M125" s="448"/>
      <c r="N125" s="448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</row>
    <row r="126" spans="1:26" s="112" customFormat="1" x14ac:dyDescent="0.35">
      <c r="A126" s="103"/>
      <c r="B126" s="103"/>
      <c r="C126" s="90"/>
      <c r="D126" s="219"/>
      <c r="E126" s="90"/>
      <c r="F126" s="90"/>
      <c r="G126" s="448"/>
      <c r="H126" s="448"/>
      <c r="I126" s="448"/>
      <c r="J126" s="448"/>
      <c r="K126" s="448"/>
      <c r="L126" s="448"/>
      <c r="M126" s="448"/>
      <c r="N126" s="448"/>
      <c r="P126" s="75"/>
      <c r="Q126" s="75"/>
      <c r="R126" s="75"/>
      <c r="S126" s="75"/>
      <c r="T126" s="75"/>
      <c r="U126" s="75"/>
      <c r="V126" s="75"/>
      <c r="W126" s="75"/>
      <c r="X126" s="75"/>
      <c r="Y126" s="75"/>
      <c r="Z126" s="75"/>
    </row>
    <row r="127" spans="1:26" s="112" customFormat="1" x14ac:dyDescent="0.35">
      <c r="A127" s="103"/>
      <c r="B127" s="103"/>
      <c r="C127" s="90"/>
      <c r="D127" s="219"/>
      <c r="E127" s="90"/>
      <c r="F127" s="90"/>
      <c r="G127" s="448"/>
      <c r="H127" s="448"/>
      <c r="I127" s="448"/>
      <c r="J127" s="448"/>
      <c r="K127" s="448"/>
      <c r="L127" s="448"/>
      <c r="M127" s="448"/>
      <c r="N127" s="448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</row>
    <row r="128" spans="1:26" s="112" customFormat="1" x14ac:dyDescent="0.35">
      <c r="A128" s="103"/>
      <c r="B128" s="103"/>
      <c r="C128" s="90"/>
      <c r="D128" s="219"/>
      <c r="E128" s="90"/>
      <c r="F128" s="90"/>
      <c r="G128" s="448"/>
      <c r="H128" s="448"/>
      <c r="I128" s="448"/>
      <c r="J128" s="448"/>
      <c r="K128" s="448"/>
      <c r="L128" s="448"/>
      <c r="M128" s="448"/>
      <c r="N128" s="448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</row>
    <row r="129" spans="1:26" s="112" customFormat="1" x14ac:dyDescent="0.35">
      <c r="A129" s="103"/>
      <c r="B129" s="103"/>
      <c r="C129" s="90"/>
      <c r="D129" s="219"/>
      <c r="E129" s="90"/>
      <c r="F129" s="90"/>
      <c r="G129" s="448"/>
      <c r="H129" s="448"/>
      <c r="I129" s="448"/>
      <c r="J129" s="448"/>
      <c r="K129" s="448"/>
      <c r="L129" s="448"/>
      <c r="M129" s="448"/>
      <c r="N129" s="448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</row>
    <row r="130" spans="1:26" s="112" customFormat="1" x14ac:dyDescent="0.35">
      <c r="A130" s="103"/>
      <c r="B130" s="103"/>
      <c r="C130" s="90"/>
      <c r="D130" s="219"/>
      <c r="E130" s="90"/>
      <c r="F130" s="90"/>
      <c r="G130" s="448"/>
      <c r="H130" s="448"/>
      <c r="I130" s="448"/>
      <c r="J130" s="448"/>
      <c r="K130" s="448"/>
      <c r="L130" s="448"/>
      <c r="M130" s="448"/>
      <c r="N130" s="448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</row>
    <row r="131" spans="1:26" s="112" customFormat="1" x14ac:dyDescent="0.35">
      <c r="A131" s="103"/>
      <c r="B131" s="103"/>
      <c r="C131" s="90"/>
      <c r="D131" s="219"/>
      <c r="E131" s="90"/>
      <c r="F131" s="90"/>
      <c r="G131" s="448"/>
      <c r="H131" s="448"/>
      <c r="I131" s="448"/>
      <c r="J131" s="448"/>
      <c r="K131" s="448"/>
      <c r="L131" s="448"/>
      <c r="M131" s="448"/>
      <c r="N131" s="448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</row>
    <row r="132" spans="1:26" s="112" customFormat="1" x14ac:dyDescent="0.35">
      <c r="A132" s="103"/>
      <c r="B132" s="103"/>
      <c r="C132" s="90"/>
      <c r="D132" s="219"/>
      <c r="E132" s="90"/>
      <c r="F132" s="90"/>
      <c r="G132" s="448"/>
      <c r="H132" s="448"/>
      <c r="I132" s="448"/>
      <c r="J132" s="448"/>
      <c r="K132" s="448"/>
      <c r="L132" s="448"/>
      <c r="M132" s="448"/>
      <c r="N132" s="448"/>
      <c r="P132" s="75"/>
      <c r="Q132" s="75"/>
      <c r="R132" s="75"/>
      <c r="S132" s="75"/>
      <c r="T132" s="75"/>
      <c r="U132" s="75"/>
      <c r="V132" s="75"/>
      <c r="W132" s="75"/>
      <c r="X132" s="75"/>
      <c r="Y132" s="75"/>
      <c r="Z132" s="75"/>
    </row>
    <row r="133" spans="1:26" s="112" customFormat="1" x14ac:dyDescent="0.35">
      <c r="A133" s="103"/>
      <c r="B133" s="103"/>
      <c r="C133" s="90"/>
      <c r="D133" s="219"/>
      <c r="E133" s="90"/>
      <c r="F133" s="90"/>
      <c r="G133" s="448"/>
      <c r="H133" s="448"/>
      <c r="I133" s="448"/>
      <c r="J133" s="448"/>
      <c r="K133" s="448"/>
      <c r="L133" s="448"/>
      <c r="M133" s="448"/>
      <c r="N133" s="448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</row>
    <row r="134" spans="1:26" s="112" customFormat="1" x14ac:dyDescent="0.35">
      <c r="A134" s="103"/>
      <c r="B134" s="103"/>
      <c r="C134" s="90"/>
      <c r="D134" s="219"/>
      <c r="E134" s="90"/>
      <c r="F134" s="90"/>
      <c r="G134" s="448"/>
      <c r="H134" s="448"/>
      <c r="I134" s="448"/>
      <c r="J134" s="448"/>
      <c r="K134" s="448"/>
      <c r="L134" s="448"/>
      <c r="M134" s="448"/>
      <c r="N134" s="448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</row>
    <row r="135" spans="1:26" s="112" customFormat="1" x14ac:dyDescent="0.35">
      <c r="A135" s="103"/>
      <c r="B135" s="103"/>
      <c r="C135" s="90"/>
      <c r="D135" s="219"/>
      <c r="E135" s="90"/>
      <c r="F135" s="90"/>
      <c r="G135" s="448"/>
      <c r="H135" s="448"/>
      <c r="I135" s="448"/>
      <c r="J135" s="448"/>
      <c r="K135" s="448"/>
      <c r="L135" s="448"/>
      <c r="M135" s="448"/>
      <c r="N135" s="448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</row>
    <row r="136" spans="1:26" s="112" customFormat="1" x14ac:dyDescent="0.35">
      <c r="A136" s="103"/>
      <c r="B136" s="103"/>
      <c r="C136" s="90"/>
      <c r="D136" s="219"/>
      <c r="E136" s="90"/>
      <c r="F136" s="90"/>
      <c r="G136" s="448"/>
      <c r="H136" s="448"/>
      <c r="I136" s="448"/>
      <c r="J136" s="448"/>
      <c r="K136" s="448"/>
      <c r="L136" s="448"/>
      <c r="M136" s="448"/>
      <c r="N136" s="448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</row>
    <row r="137" spans="1:26" s="112" customFormat="1" x14ac:dyDescent="0.35">
      <c r="A137" s="103"/>
      <c r="B137" s="103"/>
      <c r="C137" s="90"/>
      <c r="D137" s="219"/>
      <c r="E137" s="90"/>
      <c r="F137" s="90"/>
      <c r="G137" s="448"/>
      <c r="H137" s="448"/>
      <c r="I137" s="448"/>
      <c r="J137" s="448"/>
      <c r="K137" s="448"/>
      <c r="L137" s="448"/>
      <c r="M137" s="448"/>
      <c r="N137" s="448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</row>
    <row r="138" spans="1:26" s="112" customFormat="1" x14ac:dyDescent="0.35">
      <c r="A138" s="103"/>
      <c r="B138" s="103"/>
      <c r="C138" s="90"/>
      <c r="D138" s="219"/>
      <c r="E138" s="90"/>
      <c r="F138" s="90"/>
      <c r="G138" s="448"/>
      <c r="H138" s="448"/>
      <c r="I138" s="448"/>
      <c r="J138" s="448"/>
      <c r="K138" s="448"/>
      <c r="L138" s="448"/>
      <c r="M138" s="448"/>
      <c r="N138" s="448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</row>
    <row r="139" spans="1:26" s="112" customFormat="1" x14ac:dyDescent="0.35">
      <c r="A139" s="103"/>
      <c r="B139" s="103"/>
      <c r="C139" s="90"/>
      <c r="D139" s="219"/>
      <c r="E139" s="90"/>
      <c r="F139" s="90"/>
      <c r="G139" s="448"/>
      <c r="H139" s="448"/>
      <c r="I139" s="448"/>
      <c r="J139" s="448"/>
      <c r="K139" s="448"/>
      <c r="L139" s="448"/>
      <c r="M139" s="448"/>
      <c r="N139" s="448"/>
      <c r="P139" s="75"/>
      <c r="Q139" s="75"/>
      <c r="R139" s="75"/>
      <c r="S139" s="75"/>
      <c r="T139" s="75"/>
      <c r="U139" s="75"/>
      <c r="V139" s="75"/>
      <c r="W139" s="75"/>
      <c r="X139" s="75"/>
      <c r="Y139" s="75"/>
      <c r="Z139" s="75"/>
    </row>
    <row r="140" spans="1:26" s="112" customFormat="1" x14ac:dyDescent="0.35">
      <c r="A140" s="103"/>
      <c r="B140" s="103"/>
      <c r="C140" s="90"/>
      <c r="D140" s="219"/>
      <c r="E140" s="90"/>
      <c r="F140" s="90"/>
      <c r="G140" s="448"/>
      <c r="H140" s="448"/>
      <c r="I140" s="448"/>
      <c r="J140" s="448"/>
      <c r="K140" s="448"/>
      <c r="L140" s="448"/>
      <c r="M140" s="448"/>
      <c r="N140" s="448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</row>
    <row r="141" spans="1:26" s="112" customFormat="1" x14ac:dyDescent="0.35">
      <c r="A141" s="103"/>
      <c r="B141" s="103"/>
      <c r="C141" s="90"/>
      <c r="D141" s="219"/>
      <c r="E141" s="90"/>
      <c r="F141" s="90"/>
      <c r="G141" s="448"/>
      <c r="H141" s="448"/>
      <c r="I141" s="448"/>
      <c r="J141" s="448"/>
      <c r="K141" s="448"/>
      <c r="L141" s="448"/>
      <c r="M141" s="448"/>
      <c r="N141" s="448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</row>
    <row r="142" spans="1:26" s="112" customFormat="1" x14ac:dyDescent="0.35">
      <c r="A142" s="103"/>
      <c r="B142" s="103"/>
      <c r="C142" s="90"/>
      <c r="D142" s="219"/>
      <c r="E142" s="90"/>
      <c r="F142" s="90"/>
      <c r="G142" s="448"/>
      <c r="H142" s="448"/>
      <c r="I142" s="448"/>
      <c r="J142" s="448"/>
      <c r="K142" s="448"/>
      <c r="L142" s="448"/>
      <c r="M142" s="448"/>
      <c r="N142" s="448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</row>
    <row r="143" spans="1:26" s="112" customFormat="1" x14ac:dyDescent="0.35">
      <c r="A143" s="103"/>
      <c r="B143" s="103"/>
      <c r="C143" s="90"/>
      <c r="D143" s="219"/>
      <c r="E143" s="90"/>
      <c r="F143" s="90"/>
      <c r="G143" s="448"/>
      <c r="H143" s="448"/>
      <c r="I143" s="448"/>
      <c r="J143" s="448"/>
      <c r="K143" s="448"/>
      <c r="L143" s="448"/>
      <c r="M143" s="448"/>
      <c r="N143" s="448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</row>
    <row r="144" spans="1:26" s="112" customFormat="1" x14ac:dyDescent="0.35">
      <c r="A144" s="103"/>
      <c r="B144" s="103"/>
      <c r="C144" s="90"/>
      <c r="D144" s="219"/>
      <c r="E144" s="90"/>
      <c r="F144" s="90"/>
      <c r="G144" s="448"/>
      <c r="H144" s="448"/>
      <c r="I144" s="448"/>
      <c r="J144" s="448"/>
      <c r="K144" s="448"/>
      <c r="L144" s="448"/>
      <c r="M144" s="448"/>
      <c r="N144" s="448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</row>
    <row r="145" spans="1:26" s="112" customFormat="1" x14ac:dyDescent="0.35">
      <c r="A145" s="103"/>
      <c r="B145" s="103"/>
      <c r="C145" s="90"/>
      <c r="D145" s="219"/>
      <c r="E145" s="90"/>
      <c r="F145" s="90"/>
      <c r="G145" s="448"/>
      <c r="H145" s="448"/>
      <c r="I145" s="448"/>
      <c r="J145" s="448"/>
      <c r="K145" s="448"/>
      <c r="L145" s="448"/>
      <c r="M145" s="448"/>
      <c r="N145" s="448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</row>
    <row r="146" spans="1:26" s="112" customFormat="1" x14ac:dyDescent="0.35">
      <c r="A146" s="103"/>
      <c r="B146" s="103"/>
      <c r="C146" s="90"/>
      <c r="D146" s="219"/>
      <c r="E146" s="90"/>
      <c r="F146" s="90"/>
      <c r="G146" s="448"/>
      <c r="H146" s="448"/>
      <c r="I146" s="448"/>
      <c r="J146" s="448"/>
      <c r="K146" s="448"/>
      <c r="L146" s="448"/>
      <c r="M146" s="448"/>
      <c r="N146" s="448"/>
      <c r="P146" s="75"/>
      <c r="Q146" s="75"/>
      <c r="R146" s="75"/>
      <c r="S146" s="75"/>
      <c r="T146" s="75"/>
      <c r="U146" s="75"/>
      <c r="V146" s="75"/>
      <c r="W146" s="75"/>
      <c r="X146" s="75"/>
      <c r="Y146" s="75"/>
      <c r="Z146" s="75"/>
    </row>
    <row r="147" spans="1:26" s="112" customFormat="1" x14ac:dyDescent="0.35">
      <c r="A147" s="103"/>
      <c r="B147" s="103"/>
      <c r="C147" s="90"/>
      <c r="D147" s="219"/>
      <c r="E147" s="90"/>
      <c r="F147" s="90"/>
      <c r="G147" s="448"/>
      <c r="H147" s="448"/>
      <c r="I147" s="448"/>
      <c r="J147" s="448"/>
      <c r="K147" s="448"/>
      <c r="L147" s="448"/>
      <c r="M147" s="448"/>
      <c r="N147" s="448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</row>
    <row r="148" spans="1:26" s="112" customFormat="1" x14ac:dyDescent="0.35">
      <c r="A148" s="103"/>
      <c r="B148" s="103"/>
      <c r="C148" s="90"/>
      <c r="D148" s="219"/>
      <c r="E148" s="90"/>
      <c r="F148" s="90"/>
      <c r="G148" s="448"/>
      <c r="H148" s="448"/>
      <c r="I148" s="448"/>
      <c r="J148" s="448"/>
      <c r="K148" s="448"/>
      <c r="L148" s="448"/>
      <c r="M148" s="448"/>
      <c r="N148" s="448"/>
      <c r="P148" s="75"/>
      <c r="Q148" s="75"/>
      <c r="R148" s="75"/>
      <c r="S148" s="75"/>
      <c r="T148" s="75"/>
      <c r="U148" s="75"/>
      <c r="V148" s="75"/>
      <c r="W148" s="75"/>
      <c r="X148" s="75"/>
      <c r="Y148" s="75"/>
      <c r="Z148" s="75"/>
    </row>
    <row r="149" spans="1:26" s="112" customFormat="1" x14ac:dyDescent="0.35">
      <c r="A149" s="103"/>
      <c r="B149" s="103"/>
      <c r="C149" s="90"/>
      <c r="D149" s="219"/>
      <c r="E149" s="90"/>
      <c r="F149" s="90"/>
      <c r="G149" s="448"/>
      <c r="H149" s="448"/>
      <c r="I149" s="448"/>
      <c r="J149" s="448"/>
      <c r="K149" s="448"/>
      <c r="L149" s="448"/>
      <c r="M149" s="448"/>
      <c r="N149" s="448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</row>
    <row r="150" spans="1:26" s="112" customFormat="1" x14ac:dyDescent="0.35">
      <c r="A150" s="103"/>
      <c r="B150" s="103"/>
      <c r="C150" s="90"/>
      <c r="D150" s="219"/>
      <c r="E150" s="90"/>
      <c r="F150" s="90"/>
      <c r="G150" s="448"/>
      <c r="H150" s="448"/>
      <c r="I150" s="448"/>
      <c r="J150" s="448"/>
      <c r="K150" s="448"/>
      <c r="L150" s="448"/>
      <c r="M150" s="448"/>
      <c r="N150" s="448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</row>
    <row r="151" spans="1:26" s="112" customFormat="1" x14ac:dyDescent="0.35">
      <c r="A151" s="103"/>
      <c r="B151" s="103"/>
      <c r="C151" s="90"/>
      <c r="D151" s="219"/>
      <c r="E151" s="90"/>
      <c r="F151" s="90"/>
      <c r="G151" s="448"/>
      <c r="H151" s="448"/>
      <c r="I151" s="448"/>
      <c r="J151" s="448"/>
      <c r="K151" s="448"/>
      <c r="L151" s="448"/>
      <c r="M151" s="448"/>
      <c r="N151" s="448"/>
      <c r="P151" s="75"/>
      <c r="Q151" s="75"/>
      <c r="R151" s="75"/>
      <c r="S151" s="75"/>
      <c r="T151" s="75"/>
      <c r="U151" s="75"/>
      <c r="V151" s="75"/>
      <c r="W151" s="75"/>
      <c r="X151" s="75"/>
      <c r="Y151" s="75"/>
      <c r="Z151" s="75"/>
    </row>
    <row r="152" spans="1:26" s="112" customFormat="1" x14ac:dyDescent="0.35">
      <c r="A152" s="103"/>
      <c r="B152" s="103"/>
      <c r="C152" s="90"/>
      <c r="D152" s="219"/>
      <c r="E152" s="90"/>
      <c r="F152" s="90"/>
      <c r="G152" s="448"/>
      <c r="H152" s="448"/>
      <c r="I152" s="448"/>
      <c r="J152" s="448"/>
      <c r="K152" s="448"/>
      <c r="L152" s="448"/>
      <c r="M152" s="448"/>
      <c r="N152" s="448"/>
      <c r="P152" s="75"/>
      <c r="Q152" s="75"/>
      <c r="R152" s="75"/>
      <c r="S152" s="75"/>
      <c r="T152" s="75"/>
      <c r="U152" s="75"/>
      <c r="V152" s="75"/>
      <c r="W152" s="75"/>
      <c r="X152" s="75"/>
      <c r="Y152" s="75"/>
      <c r="Z152" s="75"/>
    </row>
    <row r="153" spans="1:26" s="112" customFormat="1" x14ac:dyDescent="0.35">
      <c r="A153" s="103"/>
      <c r="B153" s="103"/>
      <c r="C153" s="90"/>
      <c r="D153" s="219"/>
      <c r="E153" s="90"/>
      <c r="F153" s="90"/>
      <c r="G153" s="448"/>
      <c r="H153" s="448"/>
      <c r="I153" s="448"/>
      <c r="J153" s="448"/>
      <c r="K153" s="448"/>
      <c r="L153" s="448"/>
      <c r="M153" s="448"/>
      <c r="N153" s="448"/>
      <c r="P153" s="75"/>
      <c r="Q153" s="75"/>
      <c r="R153" s="75"/>
      <c r="S153" s="75"/>
      <c r="T153" s="75"/>
      <c r="U153" s="75"/>
      <c r="V153" s="75"/>
      <c r="W153" s="75"/>
      <c r="X153" s="75"/>
      <c r="Y153" s="75"/>
      <c r="Z153" s="75"/>
    </row>
    <row r="154" spans="1:26" s="112" customFormat="1" x14ac:dyDescent="0.35">
      <c r="A154" s="103"/>
      <c r="B154" s="103"/>
      <c r="C154" s="90"/>
      <c r="D154" s="219"/>
      <c r="E154" s="90"/>
      <c r="F154" s="90"/>
      <c r="G154" s="448"/>
      <c r="H154" s="448"/>
      <c r="I154" s="448"/>
      <c r="J154" s="448"/>
      <c r="K154" s="448"/>
      <c r="L154" s="448"/>
      <c r="M154" s="448"/>
      <c r="N154" s="448"/>
      <c r="P154" s="75"/>
      <c r="Q154" s="75"/>
      <c r="R154" s="75"/>
      <c r="S154" s="75"/>
      <c r="T154" s="75"/>
      <c r="U154" s="75"/>
      <c r="V154" s="75"/>
      <c r="W154" s="75"/>
      <c r="X154" s="75"/>
      <c r="Y154" s="75"/>
      <c r="Z154" s="75"/>
    </row>
    <row r="155" spans="1:26" s="112" customFormat="1" x14ac:dyDescent="0.35">
      <c r="A155" s="103"/>
      <c r="B155" s="103"/>
      <c r="C155" s="90"/>
      <c r="D155" s="219"/>
      <c r="E155" s="90"/>
      <c r="F155" s="90"/>
      <c r="G155" s="448"/>
      <c r="H155" s="448"/>
      <c r="I155" s="448"/>
      <c r="J155" s="448"/>
      <c r="K155" s="448"/>
      <c r="L155" s="448"/>
      <c r="M155" s="448"/>
      <c r="N155" s="448"/>
      <c r="P155" s="75"/>
      <c r="Q155" s="75"/>
      <c r="R155" s="75"/>
      <c r="S155" s="75"/>
      <c r="T155" s="75"/>
      <c r="U155" s="75"/>
      <c r="V155" s="75"/>
      <c r="W155" s="75"/>
      <c r="X155" s="75"/>
      <c r="Y155" s="75"/>
      <c r="Z155" s="75"/>
    </row>
    <row r="156" spans="1:26" s="112" customFormat="1" x14ac:dyDescent="0.35">
      <c r="A156" s="103"/>
      <c r="B156" s="103"/>
      <c r="C156" s="90"/>
      <c r="D156" s="219"/>
      <c r="E156" s="90"/>
      <c r="F156" s="90"/>
      <c r="G156" s="448"/>
      <c r="H156" s="448"/>
      <c r="I156" s="448"/>
      <c r="J156" s="448"/>
      <c r="K156" s="448"/>
      <c r="L156" s="448"/>
      <c r="M156" s="448"/>
      <c r="N156" s="448"/>
      <c r="P156" s="75"/>
      <c r="Q156" s="75"/>
      <c r="R156" s="75"/>
      <c r="S156" s="75"/>
      <c r="T156" s="75"/>
      <c r="U156" s="75"/>
      <c r="V156" s="75"/>
      <c r="W156" s="75"/>
      <c r="X156" s="75"/>
      <c r="Y156" s="75"/>
      <c r="Z156" s="75"/>
    </row>
    <row r="157" spans="1:26" s="112" customFormat="1" x14ac:dyDescent="0.35">
      <c r="A157" s="103"/>
      <c r="B157" s="103"/>
      <c r="C157" s="90"/>
      <c r="D157" s="219"/>
      <c r="E157" s="90"/>
      <c r="F157" s="90"/>
      <c r="G157" s="448"/>
      <c r="H157" s="448"/>
      <c r="I157" s="448"/>
      <c r="J157" s="448"/>
      <c r="K157" s="448"/>
      <c r="L157" s="448"/>
      <c r="M157" s="448"/>
      <c r="N157" s="448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</row>
    <row r="158" spans="1:26" s="112" customFormat="1" x14ac:dyDescent="0.35">
      <c r="A158" s="103"/>
      <c r="B158" s="103"/>
      <c r="C158" s="90"/>
      <c r="D158" s="219"/>
      <c r="E158" s="90"/>
      <c r="F158" s="90"/>
      <c r="G158" s="448"/>
      <c r="H158" s="448"/>
      <c r="I158" s="448"/>
      <c r="J158" s="448"/>
      <c r="K158" s="448"/>
      <c r="L158" s="448"/>
      <c r="M158" s="448"/>
      <c r="N158" s="448"/>
      <c r="P158" s="75"/>
      <c r="Q158" s="75"/>
      <c r="R158" s="75"/>
      <c r="S158" s="75"/>
      <c r="T158" s="75"/>
      <c r="U158" s="75"/>
      <c r="V158" s="75"/>
      <c r="W158" s="75"/>
      <c r="X158" s="75"/>
      <c r="Y158" s="75"/>
      <c r="Z158" s="75"/>
    </row>
    <row r="159" spans="1:26" s="112" customFormat="1" x14ac:dyDescent="0.35">
      <c r="A159" s="103"/>
      <c r="B159" s="103"/>
      <c r="C159" s="90"/>
      <c r="D159" s="219"/>
      <c r="E159" s="90"/>
      <c r="F159" s="90"/>
      <c r="G159" s="448"/>
      <c r="H159" s="448"/>
      <c r="I159" s="448"/>
      <c r="J159" s="448"/>
      <c r="K159" s="448"/>
      <c r="L159" s="448"/>
      <c r="M159" s="448"/>
      <c r="N159" s="448"/>
      <c r="P159" s="75"/>
      <c r="Q159" s="75"/>
      <c r="R159" s="75"/>
      <c r="S159" s="75"/>
      <c r="T159" s="75"/>
      <c r="U159" s="75"/>
      <c r="V159" s="75"/>
      <c r="W159" s="75"/>
      <c r="X159" s="75"/>
      <c r="Y159" s="75"/>
      <c r="Z159" s="75"/>
    </row>
    <row r="160" spans="1:26" s="112" customFormat="1" x14ac:dyDescent="0.35">
      <c r="A160" s="103"/>
      <c r="B160" s="103"/>
      <c r="C160" s="90"/>
      <c r="D160" s="219"/>
      <c r="E160" s="90"/>
      <c r="F160" s="90"/>
      <c r="G160" s="448"/>
      <c r="H160" s="448"/>
      <c r="I160" s="448"/>
      <c r="J160" s="448"/>
      <c r="K160" s="448"/>
      <c r="L160" s="448"/>
      <c r="M160" s="448"/>
      <c r="N160" s="448"/>
      <c r="P160" s="75"/>
      <c r="Q160" s="75"/>
      <c r="R160" s="75"/>
      <c r="S160" s="75"/>
      <c r="T160" s="75"/>
      <c r="U160" s="75"/>
      <c r="V160" s="75"/>
      <c r="W160" s="75"/>
      <c r="X160" s="75"/>
      <c r="Y160" s="75"/>
      <c r="Z160" s="75"/>
    </row>
    <row r="161" spans="1:26" s="112" customFormat="1" x14ac:dyDescent="0.35">
      <c r="A161" s="103"/>
      <c r="B161" s="103"/>
      <c r="C161" s="90"/>
      <c r="D161" s="219"/>
      <c r="E161" s="90"/>
      <c r="F161" s="90"/>
      <c r="G161" s="448"/>
      <c r="H161" s="448"/>
      <c r="I161" s="448"/>
      <c r="J161" s="448"/>
      <c r="K161" s="448"/>
      <c r="L161" s="448"/>
      <c r="M161" s="448"/>
      <c r="N161" s="448"/>
      <c r="P161" s="75"/>
      <c r="Q161" s="75"/>
      <c r="R161" s="75"/>
      <c r="S161" s="75"/>
      <c r="T161" s="75"/>
      <c r="U161" s="75"/>
      <c r="V161" s="75"/>
      <c r="W161" s="75"/>
      <c r="X161" s="75"/>
      <c r="Y161" s="75"/>
      <c r="Z161" s="75"/>
    </row>
    <row r="162" spans="1:26" s="112" customFormat="1" x14ac:dyDescent="0.35">
      <c r="A162" s="103"/>
      <c r="B162" s="103"/>
      <c r="C162" s="90"/>
      <c r="D162" s="219"/>
      <c r="E162" s="90"/>
      <c r="F162" s="90"/>
      <c r="G162" s="448"/>
      <c r="H162" s="448"/>
      <c r="I162" s="448"/>
      <c r="J162" s="448"/>
      <c r="K162" s="448"/>
      <c r="L162" s="448"/>
      <c r="M162" s="448"/>
      <c r="N162" s="448"/>
      <c r="P162" s="75"/>
      <c r="Q162" s="75"/>
      <c r="R162" s="75"/>
      <c r="S162" s="75"/>
      <c r="T162" s="75"/>
      <c r="U162" s="75"/>
      <c r="V162" s="75"/>
      <c r="W162" s="75"/>
      <c r="X162" s="75"/>
      <c r="Y162" s="75"/>
      <c r="Z162" s="75"/>
    </row>
    <row r="163" spans="1:26" s="112" customFormat="1" x14ac:dyDescent="0.35">
      <c r="A163" s="103"/>
      <c r="B163" s="103"/>
      <c r="C163" s="90"/>
      <c r="D163" s="219"/>
      <c r="E163" s="90"/>
      <c r="F163" s="90"/>
      <c r="G163" s="448"/>
      <c r="H163" s="448"/>
      <c r="I163" s="448"/>
      <c r="J163" s="448"/>
      <c r="K163" s="448"/>
      <c r="L163" s="448"/>
      <c r="M163" s="448"/>
      <c r="N163" s="448"/>
      <c r="P163" s="75"/>
      <c r="Q163" s="75"/>
      <c r="R163" s="75"/>
      <c r="S163" s="75"/>
      <c r="T163" s="75"/>
      <c r="U163" s="75"/>
      <c r="V163" s="75"/>
      <c r="W163" s="75"/>
      <c r="X163" s="75"/>
      <c r="Y163" s="75"/>
      <c r="Z163" s="75"/>
    </row>
    <row r="164" spans="1:26" s="112" customFormat="1" x14ac:dyDescent="0.35">
      <c r="A164" s="103"/>
      <c r="B164" s="103"/>
      <c r="C164" s="90"/>
      <c r="D164" s="219"/>
      <c r="E164" s="90"/>
      <c r="F164" s="90"/>
      <c r="G164" s="448"/>
      <c r="H164" s="448"/>
      <c r="I164" s="448"/>
      <c r="J164" s="448"/>
      <c r="K164" s="448"/>
      <c r="L164" s="448"/>
      <c r="M164" s="448"/>
      <c r="N164" s="448"/>
      <c r="P164" s="75"/>
      <c r="Q164" s="75"/>
      <c r="R164" s="75"/>
      <c r="S164" s="75"/>
      <c r="T164" s="75"/>
      <c r="U164" s="75"/>
      <c r="V164" s="75"/>
      <c r="W164" s="75"/>
      <c r="X164" s="75"/>
      <c r="Y164" s="75"/>
      <c r="Z164" s="75"/>
    </row>
    <row r="165" spans="1:26" s="112" customFormat="1" x14ac:dyDescent="0.35">
      <c r="A165" s="103"/>
      <c r="B165" s="103"/>
      <c r="C165" s="90"/>
      <c r="D165" s="219"/>
      <c r="E165" s="90"/>
      <c r="F165" s="90"/>
      <c r="G165" s="448"/>
      <c r="H165" s="448"/>
      <c r="I165" s="448"/>
      <c r="J165" s="448"/>
      <c r="K165" s="448"/>
      <c r="L165" s="448"/>
      <c r="M165" s="448"/>
      <c r="N165" s="448"/>
      <c r="P165" s="75"/>
      <c r="Q165" s="75"/>
      <c r="R165" s="75"/>
      <c r="S165" s="75"/>
      <c r="T165" s="75"/>
      <c r="U165" s="75"/>
      <c r="V165" s="75"/>
      <c r="W165" s="75"/>
      <c r="X165" s="75"/>
      <c r="Y165" s="75"/>
      <c r="Z165" s="75"/>
    </row>
    <row r="166" spans="1:26" s="112" customFormat="1" x14ac:dyDescent="0.35">
      <c r="A166" s="103"/>
      <c r="B166" s="103"/>
      <c r="C166" s="90"/>
      <c r="D166" s="219"/>
      <c r="E166" s="90"/>
      <c r="F166" s="90"/>
      <c r="G166" s="448"/>
      <c r="H166" s="448"/>
      <c r="I166" s="448"/>
      <c r="J166" s="448"/>
      <c r="K166" s="448"/>
      <c r="L166" s="448"/>
      <c r="M166" s="448"/>
      <c r="N166" s="448"/>
      <c r="P166" s="75"/>
      <c r="Q166" s="75"/>
      <c r="R166" s="75"/>
      <c r="S166" s="75"/>
      <c r="T166" s="75"/>
      <c r="U166" s="75"/>
      <c r="V166" s="75"/>
      <c r="W166" s="75"/>
      <c r="X166" s="75"/>
      <c r="Y166" s="75"/>
      <c r="Z166" s="75"/>
    </row>
    <row r="167" spans="1:26" s="112" customFormat="1" x14ac:dyDescent="0.35">
      <c r="A167" s="103"/>
      <c r="B167" s="103"/>
      <c r="C167" s="90"/>
      <c r="D167" s="219"/>
      <c r="E167" s="90"/>
      <c r="F167" s="90"/>
      <c r="G167" s="448"/>
      <c r="H167" s="448"/>
      <c r="I167" s="448"/>
      <c r="J167" s="448"/>
      <c r="K167" s="448"/>
      <c r="L167" s="448"/>
      <c r="M167" s="448"/>
      <c r="N167" s="448"/>
      <c r="P167" s="75"/>
      <c r="Q167" s="75"/>
      <c r="R167" s="75"/>
      <c r="S167" s="75"/>
      <c r="T167" s="75"/>
      <c r="U167" s="75"/>
      <c r="V167" s="75"/>
      <c r="W167" s="75"/>
      <c r="X167" s="75"/>
      <c r="Y167" s="75"/>
      <c r="Z167" s="75"/>
    </row>
    <row r="168" spans="1:26" s="112" customFormat="1" x14ac:dyDescent="0.35">
      <c r="A168" s="103"/>
      <c r="B168" s="103"/>
      <c r="C168" s="90"/>
      <c r="D168" s="219"/>
      <c r="E168" s="90"/>
      <c r="F168" s="90"/>
      <c r="G168" s="448"/>
      <c r="H168" s="448"/>
      <c r="I168" s="448"/>
      <c r="J168" s="448"/>
      <c r="K168" s="448"/>
      <c r="L168" s="448"/>
      <c r="M168" s="448"/>
      <c r="N168" s="448"/>
      <c r="P168" s="75"/>
      <c r="Q168" s="75"/>
      <c r="R168" s="75"/>
      <c r="S168" s="75"/>
      <c r="T168" s="75"/>
      <c r="U168" s="75"/>
      <c r="V168" s="75"/>
      <c r="W168" s="75"/>
      <c r="X168" s="75"/>
      <c r="Y168" s="75"/>
      <c r="Z168" s="75"/>
    </row>
    <row r="169" spans="1:26" s="112" customFormat="1" x14ac:dyDescent="0.35">
      <c r="A169" s="103"/>
      <c r="B169" s="103"/>
      <c r="C169" s="90"/>
      <c r="D169" s="219"/>
      <c r="E169" s="90"/>
      <c r="F169" s="90"/>
      <c r="G169" s="448"/>
      <c r="H169" s="448"/>
      <c r="I169" s="448"/>
      <c r="J169" s="448"/>
      <c r="K169" s="448"/>
      <c r="L169" s="448"/>
      <c r="M169" s="448"/>
      <c r="N169" s="448"/>
      <c r="P169" s="75"/>
      <c r="Q169" s="75"/>
      <c r="R169" s="75"/>
      <c r="S169" s="75"/>
      <c r="T169" s="75"/>
      <c r="U169" s="75"/>
      <c r="V169" s="75"/>
      <c r="W169" s="75"/>
      <c r="X169" s="75"/>
      <c r="Y169" s="75"/>
      <c r="Z169" s="75"/>
    </row>
    <row r="170" spans="1:26" s="112" customFormat="1" x14ac:dyDescent="0.35">
      <c r="A170" s="103"/>
      <c r="B170" s="103"/>
      <c r="C170" s="90"/>
      <c r="D170" s="219"/>
      <c r="E170" s="90"/>
      <c r="F170" s="90"/>
      <c r="G170" s="448"/>
      <c r="H170" s="448"/>
      <c r="I170" s="448"/>
      <c r="J170" s="448"/>
      <c r="K170" s="448"/>
      <c r="L170" s="448"/>
      <c r="M170" s="448"/>
      <c r="N170" s="448"/>
      <c r="P170" s="75"/>
      <c r="Q170" s="75"/>
      <c r="R170" s="75"/>
      <c r="S170" s="75"/>
      <c r="T170" s="75"/>
      <c r="U170" s="75"/>
      <c r="V170" s="75"/>
      <c r="W170" s="75"/>
      <c r="X170" s="75"/>
      <c r="Y170" s="75"/>
      <c r="Z170" s="75"/>
    </row>
    <row r="171" spans="1:26" s="112" customFormat="1" x14ac:dyDescent="0.35">
      <c r="A171" s="103"/>
      <c r="B171" s="103"/>
      <c r="C171" s="90"/>
      <c r="D171" s="219"/>
      <c r="E171" s="90"/>
      <c r="F171" s="90"/>
      <c r="G171" s="448"/>
      <c r="H171" s="448"/>
      <c r="I171" s="448"/>
      <c r="J171" s="448"/>
      <c r="K171" s="448"/>
      <c r="L171" s="448"/>
      <c r="M171" s="448"/>
      <c r="N171" s="448"/>
      <c r="P171" s="75"/>
      <c r="Q171" s="75"/>
      <c r="R171" s="75"/>
      <c r="S171" s="75"/>
      <c r="T171" s="75"/>
      <c r="U171" s="75"/>
      <c r="V171" s="75"/>
      <c r="W171" s="75"/>
      <c r="X171" s="75"/>
      <c r="Y171" s="75"/>
      <c r="Z171" s="75"/>
    </row>
    <row r="172" spans="1:26" s="112" customFormat="1" x14ac:dyDescent="0.35">
      <c r="A172" s="103"/>
      <c r="B172" s="103"/>
      <c r="C172" s="90"/>
      <c r="D172" s="219"/>
      <c r="E172" s="90"/>
      <c r="F172" s="90"/>
      <c r="G172" s="448"/>
      <c r="H172" s="448"/>
      <c r="I172" s="448"/>
      <c r="J172" s="448"/>
      <c r="K172" s="448"/>
      <c r="L172" s="448"/>
      <c r="M172" s="448"/>
      <c r="N172" s="448"/>
      <c r="P172" s="75"/>
      <c r="Q172" s="75"/>
      <c r="R172" s="75"/>
      <c r="S172" s="75"/>
      <c r="T172" s="75"/>
      <c r="U172" s="75"/>
      <c r="V172" s="75"/>
      <c r="W172" s="75"/>
      <c r="X172" s="75"/>
      <c r="Y172" s="75"/>
      <c r="Z172" s="75"/>
    </row>
    <row r="173" spans="1:26" s="112" customFormat="1" x14ac:dyDescent="0.35">
      <c r="A173" s="103"/>
      <c r="B173" s="103"/>
      <c r="C173" s="90"/>
      <c r="D173" s="219"/>
      <c r="E173" s="90"/>
      <c r="F173" s="90"/>
      <c r="G173" s="448"/>
      <c r="H173" s="448"/>
      <c r="I173" s="448"/>
      <c r="J173" s="448"/>
      <c r="K173" s="448"/>
      <c r="L173" s="448"/>
      <c r="M173" s="448"/>
      <c r="N173" s="448"/>
      <c r="P173" s="75"/>
      <c r="Q173" s="75"/>
      <c r="R173" s="75"/>
      <c r="S173" s="75"/>
      <c r="T173" s="75"/>
      <c r="U173" s="75"/>
      <c r="V173" s="75"/>
      <c r="W173" s="75"/>
      <c r="X173" s="75"/>
      <c r="Y173" s="75"/>
      <c r="Z173" s="75"/>
    </row>
    <row r="174" spans="1:26" s="112" customFormat="1" x14ac:dyDescent="0.35">
      <c r="A174" s="103"/>
      <c r="B174" s="103"/>
      <c r="C174" s="90"/>
      <c r="D174" s="219"/>
      <c r="E174" s="90"/>
      <c r="F174" s="90"/>
      <c r="G174" s="448"/>
      <c r="H174" s="448"/>
      <c r="I174" s="448"/>
      <c r="J174" s="448"/>
      <c r="K174" s="448"/>
      <c r="L174" s="448"/>
      <c r="M174" s="448"/>
      <c r="N174" s="448"/>
      <c r="P174" s="75"/>
      <c r="Q174" s="75"/>
      <c r="R174" s="75"/>
      <c r="S174" s="75"/>
      <c r="T174" s="75"/>
      <c r="U174" s="75"/>
      <c r="V174" s="75"/>
      <c r="W174" s="75"/>
      <c r="X174" s="75"/>
      <c r="Y174" s="75"/>
      <c r="Z174" s="75"/>
    </row>
    <row r="175" spans="1:26" s="112" customFormat="1" x14ac:dyDescent="0.35">
      <c r="A175" s="103"/>
      <c r="B175" s="103"/>
      <c r="C175" s="90"/>
      <c r="D175" s="219"/>
      <c r="E175" s="90"/>
      <c r="F175" s="90"/>
      <c r="G175" s="448"/>
      <c r="H175" s="448"/>
      <c r="I175" s="448"/>
      <c r="J175" s="448"/>
      <c r="K175" s="448"/>
      <c r="L175" s="448"/>
      <c r="M175" s="448"/>
      <c r="N175" s="448"/>
      <c r="P175" s="75"/>
      <c r="Q175" s="75"/>
      <c r="R175" s="75"/>
      <c r="S175" s="75"/>
      <c r="T175" s="75"/>
      <c r="U175" s="75"/>
      <c r="V175" s="75"/>
      <c r="W175" s="75"/>
      <c r="X175" s="75"/>
      <c r="Y175" s="75"/>
      <c r="Z175" s="75"/>
    </row>
    <row r="176" spans="1:26" s="112" customFormat="1" x14ac:dyDescent="0.35">
      <c r="A176" s="103"/>
      <c r="B176" s="103"/>
      <c r="C176" s="90"/>
      <c r="D176" s="219"/>
      <c r="E176" s="90"/>
      <c r="F176" s="90"/>
      <c r="G176" s="448"/>
      <c r="H176" s="448"/>
      <c r="I176" s="448"/>
      <c r="J176" s="448"/>
      <c r="K176" s="448"/>
      <c r="L176" s="448"/>
      <c r="M176" s="448"/>
      <c r="N176" s="448"/>
      <c r="P176" s="75"/>
      <c r="Q176" s="75"/>
      <c r="R176" s="75"/>
      <c r="S176" s="75"/>
      <c r="T176" s="75"/>
      <c r="U176" s="75"/>
      <c r="V176" s="75"/>
      <c r="W176" s="75"/>
      <c r="X176" s="75"/>
      <c r="Y176" s="75"/>
      <c r="Z176" s="75"/>
    </row>
    <row r="177" spans="1:26" s="112" customFormat="1" x14ac:dyDescent="0.35">
      <c r="A177" s="103"/>
      <c r="B177" s="103"/>
      <c r="C177" s="90"/>
      <c r="D177" s="219"/>
      <c r="E177" s="90"/>
      <c r="F177" s="90"/>
      <c r="G177" s="448"/>
      <c r="H177" s="448"/>
      <c r="I177" s="448"/>
      <c r="J177" s="448"/>
      <c r="K177" s="448"/>
      <c r="L177" s="448"/>
      <c r="M177" s="448"/>
      <c r="N177" s="448"/>
      <c r="P177" s="75"/>
      <c r="Q177" s="75"/>
      <c r="R177" s="75"/>
      <c r="S177" s="75"/>
      <c r="T177" s="75"/>
      <c r="U177" s="75"/>
      <c r="V177" s="75"/>
      <c r="W177" s="75"/>
      <c r="X177" s="75"/>
      <c r="Y177" s="75"/>
      <c r="Z177" s="75"/>
    </row>
    <row r="178" spans="1:26" s="112" customFormat="1" x14ac:dyDescent="0.35">
      <c r="A178" s="103"/>
      <c r="B178" s="103"/>
      <c r="C178" s="90"/>
      <c r="D178" s="219"/>
      <c r="E178" s="90"/>
      <c r="F178" s="90"/>
      <c r="G178" s="448"/>
      <c r="H178" s="448"/>
      <c r="I178" s="448"/>
      <c r="J178" s="448"/>
      <c r="K178" s="448"/>
      <c r="L178" s="448"/>
      <c r="M178" s="448"/>
      <c r="N178" s="448"/>
      <c r="P178" s="75"/>
      <c r="Q178" s="75"/>
      <c r="R178" s="75"/>
      <c r="S178" s="75"/>
      <c r="T178" s="75"/>
      <c r="U178" s="75"/>
      <c r="V178" s="75"/>
      <c r="W178" s="75"/>
      <c r="X178" s="75"/>
      <c r="Y178" s="75"/>
      <c r="Z178" s="75"/>
    </row>
    <row r="179" spans="1:26" s="112" customFormat="1" x14ac:dyDescent="0.35">
      <c r="A179" s="103"/>
      <c r="B179" s="103"/>
      <c r="C179" s="90"/>
      <c r="D179" s="219"/>
      <c r="E179" s="90"/>
      <c r="F179" s="90"/>
      <c r="G179" s="448"/>
      <c r="H179" s="448"/>
      <c r="I179" s="448"/>
      <c r="J179" s="448"/>
      <c r="K179" s="448"/>
      <c r="L179" s="448"/>
      <c r="M179" s="448"/>
      <c r="N179" s="448"/>
      <c r="P179" s="75"/>
      <c r="Q179" s="75"/>
      <c r="R179" s="75"/>
      <c r="S179" s="75"/>
      <c r="T179" s="75"/>
      <c r="U179" s="75"/>
      <c r="V179" s="75"/>
      <c r="W179" s="75"/>
      <c r="X179" s="75"/>
      <c r="Y179" s="75"/>
      <c r="Z179" s="75"/>
    </row>
    <row r="180" spans="1:26" s="112" customFormat="1" x14ac:dyDescent="0.35">
      <c r="A180" s="103"/>
      <c r="B180" s="103"/>
      <c r="C180" s="90"/>
      <c r="D180" s="219"/>
      <c r="E180" s="90"/>
      <c r="F180" s="90"/>
      <c r="G180" s="448"/>
      <c r="H180" s="448"/>
      <c r="I180" s="448"/>
      <c r="J180" s="448"/>
      <c r="K180" s="448"/>
      <c r="L180" s="448"/>
      <c r="M180" s="448"/>
      <c r="N180" s="448"/>
      <c r="P180" s="75"/>
      <c r="Q180" s="75"/>
      <c r="R180" s="75"/>
      <c r="S180" s="75"/>
      <c r="T180" s="75"/>
      <c r="U180" s="75"/>
      <c r="V180" s="75"/>
      <c r="W180" s="75"/>
      <c r="X180" s="75"/>
      <c r="Y180" s="75"/>
      <c r="Z180" s="75"/>
    </row>
    <row r="181" spans="1:26" s="112" customFormat="1" x14ac:dyDescent="0.35">
      <c r="A181" s="103"/>
      <c r="B181" s="103"/>
      <c r="C181" s="90"/>
      <c r="D181" s="219"/>
      <c r="E181" s="90"/>
      <c r="F181" s="90"/>
      <c r="G181" s="448"/>
      <c r="H181" s="448"/>
      <c r="I181" s="448"/>
      <c r="J181" s="448"/>
      <c r="K181" s="448"/>
      <c r="L181" s="448"/>
      <c r="M181" s="448"/>
      <c r="N181" s="448"/>
      <c r="P181" s="75"/>
      <c r="Q181" s="75"/>
      <c r="R181" s="75"/>
      <c r="S181" s="75"/>
      <c r="T181" s="75"/>
      <c r="U181" s="75"/>
      <c r="V181" s="75"/>
      <c r="W181" s="75"/>
      <c r="X181" s="75"/>
      <c r="Y181" s="75"/>
      <c r="Z181" s="75"/>
    </row>
    <row r="182" spans="1:26" s="112" customFormat="1" x14ac:dyDescent="0.35">
      <c r="A182" s="103"/>
      <c r="B182" s="103"/>
      <c r="C182" s="90"/>
      <c r="D182" s="219"/>
      <c r="E182" s="90"/>
      <c r="F182" s="90"/>
      <c r="G182" s="448"/>
      <c r="H182" s="448"/>
      <c r="I182" s="448"/>
      <c r="J182" s="448"/>
      <c r="K182" s="448"/>
      <c r="L182" s="448"/>
      <c r="M182" s="448"/>
      <c r="N182" s="448"/>
      <c r="P182" s="75"/>
      <c r="Q182" s="75"/>
      <c r="R182" s="75"/>
      <c r="S182" s="75"/>
      <c r="T182" s="75"/>
      <c r="U182" s="75"/>
      <c r="V182" s="75"/>
      <c r="W182" s="75"/>
      <c r="X182" s="75"/>
      <c r="Y182" s="75"/>
      <c r="Z182" s="75"/>
    </row>
    <row r="183" spans="1:26" s="112" customFormat="1" x14ac:dyDescent="0.35">
      <c r="A183" s="103"/>
      <c r="B183" s="103"/>
      <c r="C183" s="90"/>
      <c r="D183" s="219"/>
      <c r="E183" s="90"/>
      <c r="F183" s="90"/>
      <c r="G183" s="448"/>
      <c r="H183" s="448"/>
      <c r="I183" s="448"/>
      <c r="J183" s="448"/>
      <c r="K183" s="448"/>
      <c r="L183" s="448"/>
      <c r="M183" s="448"/>
      <c r="N183" s="448"/>
      <c r="P183" s="75"/>
      <c r="Q183" s="75"/>
      <c r="R183" s="75"/>
      <c r="S183" s="75"/>
      <c r="T183" s="75"/>
      <c r="U183" s="75"/>
      <c r="V183" s="75"/>
      <c r="W183" s="75"/>
      <c r="X183" s="75"/>
      <c r="Y183" s="75"/>
      <c r="Z183" s="75"/>
    </row>
    <row r="184" spans="1:26" s="112" customFormat="1" x14ac:dyDescent="0.35">
      <c r="A184" s="103"/>
      <c r="B184" s="103"/>
      <c r="C184" s="90"/>
      <c r="D184" s="219"/>
      <c r="E184" s="90"/>
      <c r="F184" s="90"/>
      <c r="G184" s="448"/>
      <c r="H184" s="448"/>
      <c r="I184" s="448"/>
      <c r="J184" s="448"/>
      <c r="K184" s="448"/>
      <c r="L184" s="448"/>
      <c r="M184" s="448"/>
      <c r="N184" s="448"/>
      <c r="P184" s="75"/>
      <c r="Q184" s="75"/>
      <c r="R184" s="75"/>
      <c r="S184" s="75"/>
      <c r="T184" s="75"/>
      <c r="U184" s="75"/>
      <c r="V184" s="75"/>
      <c r="W184" s="75"/>
      <c r="X184" s="75"/>
      <c r="Y184" s="75"/>
      <c r="Z184" s="75"/>
    </row>
    <row r="185" spans="1:26" s="112" customFormat="1" x14ac:dyDescent="0.35">
      <c r="A185" s="103"/>
      <c r="B185" s="103"/>
      <c r="C185" s="90"/>
      <c r="D185" s="219"/>
      <c r="E185" s="90"/>
      <c r="F185" s="90"/>
      <c r="G185" s="448"/>
      <c r="H185" s="448"/>
      <c r="I185" s="448"/>
      <c r="J185" s="448"/>
      <c r="K185" s="448"/>
      <c r="L185" s="448"/>
      <c r="M185" s="448"/>
      <c r="N185" s="448"/>
      <c r="P185" s="75"/>
      <c r="Q185" s="75"/>
      <c r="R185" s="75"/>
      <c r="S185" s="75"/>
      <c r="T185" s="75"/>
      <c r="U185" s="75"/>
      <c r="V185" s="75"/>
      <c r="W185" s="75"/>
      <c r="X185" s="75"/>
      <c r="Y185" s="75"/>
      <c r="Z185" s="75"/>
    </row>
    <row r="186" spans="1:26" s="112" customFormat="1" x14ac:dyDescent="0.35">
      <c r="A186" s="103"/>
      <c r="B186" s="103"/>
      <c r="C186" s="90"/>
      <c r="D186" s="219"/>
      <c r="E186" s="90"/>
      <c r="F186" s="90"/>
      <c r="G186" s="448"/>
      <c r="H186" s="448"/>
      <c r="I186" s="448"/>
      <c r="J186" s="448"/>
      <c r="K186" s="448"/>
      <c r="L186" s="448"/>
      <c r="M186" s="448"/>
      <c r="N186" s="448"/>
      <c r="P186" s="75"/>
      <c r="Q186" s="75"/>
      <c r="R186" s="75"/>
      <c r="S186" s="75"/>
      <c r="T186" s="75"/>
      <c r="U186" s="75"/>
      <c r="V186" s="75"/>
      <c r="W186" s="75"/>
      <c r="X186" s="75"/>
      <c r="Y186" s="75"/>
      <c r="Z186" s="75"/>
    </row>
    <row r="187" spans="1:26" s="112" customFormat="1" x14ac:dyDescent="0.35">
      <c r="A187" s="103"/>
      <c r="B187" s="103"/>
      <c r="C187" s="90"/>
      <c r="D187" s="219"/>
      <c r="E187" s="90"/>
      <c r="F187" s="90"/>
      <c r="G187" s="448"/>
      <c r="H187" s="448"/>
      <c r="I187" s="448"/>
      <c r="J187" s="448"/>
      <c r="K187" s="448"/>
      <c r="L187" s="448"/>
      <c r="M187" s="448"/>
      <c r="N187" s="448"/>
      <c r="P187" s="75"/>
      <c r="Q187" s="75"/>
      <c r="R187" s="75"/>
      <c r="S187" s="75"/>
      <c r="T187" s="75"/>
      <c r="U187" s="75"/>
      <c r="V187" s="75"/>
      <c r="W187" s="75"/>
      <c r="X187" s="75"/>
      <c r="Y187" s="75"/>
      <c r="Z187" s="75"/>
    </row>
    <row r="188" spans="1:26" s="112" customFormat="1" x14ac:dyDescent="0.35">
      <c r="A188" s="103"/>
      <c r="B188" s="103"/>
      <c r="C188" s="90"/>
      <c r="D188" s="219"/>
      <c r="E188" s="90"/>
      <c r="F188" s="90"/>
      <c r="G188" s="448"/>
      <c r="H188" s="448"/>
      <c r="I188" s="448"/>
      <c r="J188" s="448"/>
      <c r="K188" s="448"/>
      <c r="L188" s="448"/>
      <c r="M188" s="448"/>
      <c r="N188" s="448"/>
      <c r="P188" s="75"/>
      <c r="Q188" s="75"/>
      <c r="R188" s="75"/>
      <c r="S188" s="75"/>
      <c r="T188" s="75"/>
      <c r="U188" s="75"/>
      <c r="V188" s="75"/>
      <c r="W188" s="75"/>
      <c r="X188" s="75"/>
      <c r="Y188" s="75"/>
      <c r="Z188" s="75"/>
    </row>
    <row r="189" spans="1:26" s="112" customFormat="1" x14ac:dyDescent="0.35">
      <c r="A189" s="103"/>
      <c r="B189" s="103"/>
      <c r="C189" s="90"/>
      <c r="D189" s="219"/>
      <c r="E189" s="90"/>
      <c r="F189" s="90"/>
      <c r="G189" s="448"/>
      <c r="H189" s="448"/>
      <c r="I189" s="448"/>
      <c r="J189" s="448"/>
      <c r="K189" s="448"/>
      <c r="L189" s="448"/>
      <c r="M189" s="448"/>
      <c r="N189" s="448"/>
      <c r="P189" s="75"/>
      <c r="Q189" s="75"/>
      <c r="R189" s="75"/>
      <c r="S189" s="75"/>
      <c r="T189" s="75"/>
      <c r="U189" s="75"/>
      <c r="V189" s="75"/>
      <c r="W189" s="75"/>
      <c r="X189" s="75"/>
      <c r="Y189" s="75"/>
      <c r="Z189" s="75"/>
    </row>
    <row r="190" spans="1:26" s="112" customFormat="1" x14ac:dyDescent="0.35">
      <c r="A190" s="103"/>
      <c r="B190" s="103"/>
      <c r="C190" s="90"/>
      <c r="D190" s="219"/>
      <c r="E190" s="90"/>
      <c r="F190" s="90"/>
      <c r="G190" s="448"/>
      <c r="H190" s="448"/>
      <c r="I190" s="448"/>
      <c r="J190" s="448"/>
      <c r="K190" s="448"/>
      <c r="L190" s="448"/>
      <c r="M190" s="448"/>
      <c r="N190" s="448"/>
      <c r="P190" s="75"/>
      <c r="Q190" s="75"/>
      <c r="R190" s="75"/>
      <c r="S190" s="75"/>
      <c r="T190" s="75"/>
      <c r="U190" s="75"/>
      <c r="V190" s="75"/>
      <c r="W190" s="75"/>
      <c r="X190" s="75"/>
      <c r="Y190" s="75"/>
      <c r="Z190" s="75"/>
    </row>
    <row r="191" spans="1:26" s="112" customFormat="1" x14ac:dyDescent="0.35">
      <c r="A191" s="103"/>
      <c r="B191" s="103"/>
      <c r="C191" s="90"/>
      <c r="D191" s="219"/>
      <c r="E191" s="90"/>
      <c r="F191" s="90"/>
      <c r="G191" s="448"/>
      <c r="H191" s="448"/>
      <c r="I191" s="448"/>
      <c r="J191" s="448"/>
      <c r="K191" s="448"/>
      <c r="L191" s="448"/>
      <c r="M191" s="448"/>
      <c r="N191" s="448"/>
      <c r="P191" s="75"/>
      <c r="Q191" s="75"/>
      <c r="R191" s="75"/>
      <c r="S191" s="75"/>
      <c r="T191" s="75"/>
      <c r="U191" s="75"/>
      <c r="V191" s="75"/>
      <c r="W191" s="75"/>
      <c r="X191" s="75"/>
      <c r="Y191" s="75"/>
      <c r="Z191" s="75"/>
    </row>
    <row r="192" spans="1:26" s="112" customFormat="1" x14ac:dyDescent="0.35">
      <c r="A192" s="103"/>
      <c r="B192" s="103"/>
      <c r="C192" s="90"/>
      <c r="D192" s="219"/>
      <c r="E192" s="90"/>
      <c r="F192" s="90"/>
      <c r="G192" s="448"/>
      <c r="H192" s="448"/>
      <c r="I192" s="448"/>
      <c r="J192" s="448"/>
      <c r="K192" s="448"/>
      <c r="L192" s="448"/>
      <c r="M192" s="448"/>
      <c r="N192" s="448"/>
      <c r="P192" s="75"/>
      <c r="Q192" s="75"/>
      <c r="R192" s="75"/>
      <c r="S192" s="75"/>
      <c r="T192" s="75"/>
      <c r="U192" s="75"/>
      <c r="V192" s="75"/>
      <c r="W192" s="75"/>
      <c r="X192" s="75"/>
      <c r="Y192" s="75"/>
      <c r="Z192" s="75"/>
    </row>
    <row r="193" spans="1:26" s="112" customFormat="1" x14ac:dyDescent="0.35">
      <c r="A193" s="103"/>
      <c r="B193" s="103"/>
      <c r="C193" s="90"/>
      <c r="D193" s="219"/>
      <c r="E193" s="90"/>
      <c r="F193" s="90"/>
      <c r="G193" s="448"/>
      <c r="H193" s="448"/>
      <c r="I193" s="448"/>
      <c r="J193" s="448"/>
      <c r="K193" s="448"/>
      <c r="L193" s="448"/>
      <c r="M193" s="448"/>
      <c r="N193" s="448"/>
      <c r="P193" s="75"/>
      <c r="Q193" s="75"/>
      <c r="R193" s="75"/>
      <c r="S193" s="75"/>
      <c r="T193" s="75"/>
      <c r="U193" s="75"/>
      <c r="V193" s="75"/>
      <c r="W193" s="75"/>
      <c r="X193" s="75"/>
      <c r="Y193" s="75"/>
      <c r="Z193" s="75"/>
    </row>
    <row r="194" spans="1:26" s="112" customFormat="1" x14ac:dyDescent="0.35">
      <c r="A194" s="103"/>
      <c r="B194" s="103"/>
      <c r="C194" s="90"/>
      <c r="D194" s="219"/>
      <c r="E194" s="90"/>
      <c r="F194" s="90"/>
      <c r="G194" s="448"/>
      <c r="H194" s="448"/>
      <c r="I194" s="448"/>
      <c r="J194" s="448"/>
      <c r="K194" s="448"/>
      <c r="L194" s="448"/>
      <c r="M194" s="448"/>
      <c r="N194" s="448"/>
      <c r="P194" s="75"/>
      <c r="Q194" s="75"/>
      <c r="R194" s="75"/>
      <c r="S194" s="75"/>
      <c r="T194" s="75"/>
      <c r="U194" s="75"/>
      <c r="V194" s="75"/>
      <c r="W194" s="75"/>
      <c r="X194" s="75"/>
      <c r="Y194" s="75"/>
      <c r="Z194" s="75"/>
    </row>
    <row r="195" spans="1:26" s="112" customFormat="1" x14ac:dyDescent="0.35">
      <c r="A195" s="103"/>
      <c r="B195" s="103"/>
      <c r="C195" s="90"/>
      <c r="D195" s="219"/>
      <c r="E195" s="90"/>
      <c r="F195" s="90"/>
      <c r="G195" s="448"/>
      <c r="H195" s="448"/>
      <c r="I195" s="448"/>
      <c r="J195" s="448"/>
      <c r="K195" s="448"/>
      <c r="L195" s="448"/>
      <c r="M195" s="448"/>
      <c r="N195" s="448"/>
      <c r="P195" s="75"/>
      <c r="Q195" s="75"/>
      <c r="R195" s="75"/>
      <c r="S195" s="75"/>
      <c r="T195" s="75"/>
      <c r="U195" s="75"/>
      <c r="V195" s="75"/>
      <c r="W195" s="75"/>
      <c r="X195" s="75"/>
      <c r="Y195" s="75"/>
      <c r="Z195" s="75"/>
    </row>
    <row r="196" spans="1:26" s="112" customFormat="1" x14ac:dyDescent="0.35">
      <c r="A196" s="103"/>
      <c r="B196" s="103"/>
      <c r="C196" s="90"/>
      <c r="D196" s="219"/>
      <c r="E196" s="90"/>
      <c r="F196" s="90"/>
      <c r="G196" s="448"/>
      <c r="H196" s="448"/>
      <c r="I196" s="448"/>
      <c r="J196" s="448"/>
      <c r="K196" s="448"/>
      <c r="L196" s="448"/>
      <c r="M196" s="448"/>
      <c r="N196" s="448"/>
      <c r="P196" s="75"/>
      <c r="Q196" s="75"/>
      <c r="R196" s="75"/>
      <c r="S196" s="75"/>
      <c r="T196" s="75"/>
      <c r="U196" s="75"/>
      <c r="V196" s="75"/>
      <c r="W196" s="75"/>
      <c r="X196" s="75"/>
      <c r="Y196" s="75"/>
      <c r="Z196" s="75"/>
    </row>
    <row r="197" spans="1:26" s="112" customFormat="1" x14ac:dyDescent="0.35">
      <c r="A197" s="103"/>
      <c r="B197" s="103"/>
      <c r="C197" s="90"/>
      <c r="D197" s="219"/>
      <c r="E197" s="90"/>
      <c r="F197" s="90"/>
      <c r="G197" s="448"/>
      <c r="H197" s="448"/>
      <c r="I197" s="448"/>
      <c r="J197" s="448"/>
      <c r="K197" s="448"/>
      <c r="L197" s="448"/>
      <c r="M197" s="448"/>
      <c r="N197" s="448"/>
      <c r="P197" s="75"/>
      <c r="Q197" s="75"/>
      <c r="R197" s="75"/>
      <c r="S197" s="75"/>
      <c r="T197" s="75"/>
      <c r="U197" s="75"/>
      <c r="V197" s="75"/>
      <c r="W197" s="75"/>
      <c r="X197" s="75"/>
      <c r="Y197" s="75"/>
      <c r="Z197" s="75"/>
    </row>
    <row r="198" spans="1:26" s="112" customFormat="1" x14ac:dyDescent="0.35">
      <c r="A198" s="103"/>
      <c r="B198" s="103"/>
      <c r="C198" s="90"/>
      <c r="D198" s="219"/>
      <c r="E198" s="90"/>
      <c r="F198" s="90"/>
      <c r="G198" s="448"/>
      <c r="H198" s="448"/>
      <c r="I198" s="448"/>
      <c r="J198" s="448"/>
      <c r="K198" s="448"/>
      <c r="L198" s="448"/>
      <c r="M198" s="448"/>
      <c r="N198" s="448"/>
      <c r="P198" s="75"/>
      <c r="Q198" s="75"/>
      <c r="R198" s="75"/>
      <c r="S198" s="75"/>
      <c r="T198" s="75"/>
      <c r="U198" s="75"/>
      <c r="V198" s="75"/>
      <c r="W198" s="75"/>
      <c r="X198" s="75"/>
      <c r="Y198" s="75"/>
      <c r="Z198" s="75"/>
    </row>
    <row r="199" spans="1:26" s="112" customFormat="1" x14ac:dyDescent="0.35">
      <c r="A199" s="103"/>
      <c r="B199" s="103"/>
      <c r="C199" s="90"/>
      <c r="D199" s="219"/>
      <c r="E199" s="90"/>
      <c r="F199" s="90"/>
      <c r="G199" s="448"/>
      <c r="H199" s="448"/>
      <c r="I199" s="448"/>
      <c r="J199" s="448"/>
      <c r="K199" s="448"/>
      <c r="L199" s="448"/>
      <c r="M199" s="448"/>
      <c r="N199" s="448"/>
      <c r="P199" s="75"/>
      <c r="Q199" s="75"/>
      <c r="R199" s="75"/>
      <c r="S199" s="75"/>
      <c r="T199" s="75"/>
      <c r="U199" s="75"/>
      <c r="V199" s="75"/>
      <c r="W199" s="75"/>
      <c r="X199" s="75"/>
      <c r="Y199" s="75"/>
      <c r="Z199" s="75"/>
    </row>
    <row r="200" spans="1:26" s="112" customFormat="1" x14ac:dyDescent="0.35">
      <c r="A200" s="103"/>
      <c r="B200" s="103"/>
      <c r="C200" s="90"/>
      <c r="D200" s="219"/>
      <c r="E200" s="90"/>
      <c r="F200" s="90"/>
      <c r="G200" s="448"/>
      <c r="H200" s="448"/>
      <c r="I200" s="448"/>
      <c r="J200" s="448"/>
      <c r="K200" s="448"/>
      <c r="L200" s="448"/>
      <c r="M200" s="448"/>
      <c r="N200" s="448"/>
      <c r="P200" s="75"/>
      <c r="Q200" s="75"/>
      <c r="R200" s="75"/>
      <c r="S200" s="75"/>
      <c r="T200" s="75"/>
      <c r="U200" s="75"/>
      <c r="V200" s="75"/>
      <c r="W200" s="75"/>
      <c r="X200" s="75"/>
      <c r="Y200" s="75"/>
      <c r="Z200" s="75"/>
    </row>
    <row r="201" spans="1:26" s="112" customFormat="1" x14ac:dyDescent="0.35">
      <c r="A201" s="103"/>
      <c r="B201" s="103"/>
      <c r="C201" s="90"/>
      <c r="D201" s="219"/>
      <c r="E201" s="90"/>
      <c r="F201" s="90"/>
      <c r="G201" s="448"/>
      <c r="H201" s="448"/>
      <c r="I201" s="448"/>
      <c r="J201" s="448"/>
      <c r="K201" s="448"/>
      <c r="L201" s="448"/>
      <c r="M201" s="448"/>
      <c r="N201" s="448"/>
      <c r="P201" s="75"/>
      <c r="Q201" s="75"/>
      <c r="R201" s="75"/>
      <c r="S201" s="75"/>
      <c r="T201" s="75"/>
      <c r="U201" s="75"/>
      <c r="V201" s="75"/>
      <c r="W201" s="75"/>
      <c r="X201" s="75"/>
      <c r="Y201" s="75"/>
      <c r="Z201" s="75"/>
    </row>
    <row r="202" spans="1:26" s="112" customFormat="1" x14ac:dyDescent="0.35">
      <c r="A202" s="103"/>
      <c r="B202" s="103"/>
      <c r="C202" s="90"/>
      <c r="D202" s="219"/>
      <c r="E202" s="90"/>
      <c r="F202" s="90"/>
      <c r="G202" s="448"/>
      <c r="H202" s="448"/>
      <c r="I202" s="448"/>
      <c r="J202" s="448"/>
      <c r="K202" s="448"/>
      <c r="L202" s="448"/>
      <c r="M202" s="448"/>
      <c r="N202" s="448"/>
      <c r="P202" s="75"/>
      <c r="Q202" s="75"/>
      <c r="R202" s="75"/>
      <c r="S202" s="75"/>
      <c r="T202" s="75"/>
      <c r="U202" s="75"/>
      <c r="V202" s="75"/>
      <c r="W202" s="75"/>
      <c r="X202" s="75"/>
      <c r="Y202" s="75"/>
      <c r="Z202" s="75"/>
    </row>
    <row r="203" spans="1:26" s="112" customFormat="1" x14ac:dyDescent="0.35">
      <c r="A203" s="103"/>
      <c r="B203" s="103"/>
      <c r="C203" s="90"/>
      <c r="D203" s="219"/>
      <c r="E203" s="90"/>
      <c r="F203" s="90"/>
      <c r="G203" s="448"/>
      <c r="H203" s="448"/>
      <c r="I203" s="448"/>
      <c r="J203" s="448"/>
      <c r="K203" s="448"/>
      <c r="L203" s="448"/>
      <c r="M203" s="448"/>
      <c r="N203" s="448"/>
      <c r="P203" s="75"/>
      <c r="Q203" s="75"/>
      <c r="R203" s="75"/>
      <c r="S203" s="75"/>
      <c r="T203" s="75"/>
      <c r="U203" s="75"/>
      <c r="V203" s="75"/>
      <c r="W203" s="75"/>
      <c r="X203" s="75"/>
      <c r="Y203" s="75"/>
      <c r="Z203" s="75"/>
    </row>
    <row r="204" spans="1:26" s="112" customFormat="1" x14ac:dyDescent="0.35">
      <c r="A204" s="103"/>
      <c r="B204" s="103"/>
      <c r="C204" s="90"/>
      <c r="D204" s="219"/>
      <c r="E204" s="90"/>
      <c r="F204" s="90"/>
      <c r="G204" s="448"/>
      <c r="H204" s="448"/>
      <c r="I204" s="448"/>
      <c r="J204" s="448"/>
      <c r="K204" s="448"/>
      <c r="L204" s="448"/>
      <c r="M204" s="448"/>
      <c r="N204" s="448"/>
      <c r="P204" s="75"/>
      <c r="Q204" s="75"/>
      <c r="R204" s="75"/>
      <c r="S204" s="75"/>
      <c r="T204" s="75"/>
      <c r="U204" s="75"/>
      <c r="V204" s="75"/>
      <c r="W204" s="75"/>
      <c r="X204" s="75"/>
      <c r="Y204" s="75"/>
      <c r="Z204" s="75"/>
    </row>
    <row r="205" spans="1:26" s="112" customFormat="1" x14ac:dyDescent="0.35">
      <c r="A205" s="103"/>
      <c r="B205" s="103"/>
      <c r="C205" s="90"/>
      <c r="D205" s="219"/>
      <c r="E205" s="90"/>
      <c r="F205" s="90"/>
      <c r="G205" s="448"/>
      <c r="H205" s="448"/>
      <c r="I205" s="448"/>
      <c r="J205" s="448"/>
      <c r="K205" s="448"/>
      <c r="L205" s="448"/>
      <c r="M205" s="448"/>
      <c r="N205" s="448"/>
      <c r="P205" s="75"/>
      <c r="Q205" s="75"/>
      <c r="R205" s="75"/>
      <c r="S205" s="75"/>
      <c r="T205" s="75"/>
      <c r="U205" s="75"/>
      <c r="V205" s="75"/>
      <c r="W205" s="75"/>
      <c r="X205" s="75"/>
      <c r="Y205" s="75"/>
      <c r="Z205" s="75"/>
    </row>
    <row r="206" spans="1:26" s="112" customFormat="1" x14ac:dyDescent="0.35">
      <c r="A206" s="103"/>
      <c r="B206" s="103"/>
      <c r="C206" s="90"/>
      <c r="D206" s="219"/>
      <c r="E206" s="90"/>
      <c r="F206" s="90"/>
      <c r="G206" s="448"/>
      <c r="H206" s="448"/>
      <c r="I206" s="448"/>
      <c r="J206" s="448"/>
      <c r="K206" s="448"/>
      <c r="L206" s="448"/>
      <c r="M206" s="448"/>
      <c r="N206" s="448"/>
      <c r="P206" s="75"/>
      <c r="Q206" s="75"/>
      <c r="R206" s="75"/>
      <c r="S206" s="75"/>
      <c r="T206" s="75"/>
      <c r="U206" s="75"/>
      <c r="V206" s="75"/>
      <c r="W206" s="75"/>
      <c r="X206" s="75"/>
      <c r="Y206" s="75"/>
      <c r="Z206" s="75"/>
    </row>
    <row r="207" spans="1:26" s="112" customFormat="1" x14ac:dyDescent="0.35">
      <c r="A207" s="103"/>
      <c r="B207" s="103"/>
      <c r="C207" s="90"/>
      <c r="D207" s="219"/>
      <c r="E207" s="90"/>
      <c r="F207" s="90"/>
      <c r="G207" s="448"/>
      <c r="H207" s="448"/>
      <c r="I207" s="448"/>
      <c r="J207" s="448"/>
      <c r="K207" s="448"/>
      <c r="L207" s="448"/>
      <c r="M207" s="448"/>
      <c r="N207" s="448"/>
      <c r="P207" s="75"/>
      <c r="Q207" s="75"/>
      <c r="R207" s="75"/>
      <c r="S207" s="75"/>
      <c r="T207" s="75"/>
      <c r="U207" s="75"/>
      <c r="V207" s="75"/>
      <c r="W207" s="75"/>
      <c r="X207" s="75"/>
      <c r="Y207" s="75"/>
      <c r="Z207" s="75"/>
    </row>
    <row r="208" spans="1:26" s="112" customFormat="1" x14ac:dyDescent="0.35">
      <c r="A208" s="103"/>
      <c r="B208" s="103"/>
      <c r="C208" s="90"/>
      <c r="D208" s="219"/>
      <c r="E208" s="90"/>
      <c r="F208" s="90"/>
      <c r="G208" s="448"/>
      <c r="H208" s="448"/>
      <c r="I208" s="448"/>
      <c r="J208" s="448"/>
      <c r="K208" s="448"/>
      <c r="L208" s="448"/>
      <c r="M208" s="448"/>
      <c r="N208" s="448"/>
      <c r="P208" s="75"/>
      <c r="Q208" s="75"/>
      <c r="R208" s="75"/>
      <c r="S208" s="75"/>
      <c r="T208" s="75"/>
      <c r="U208" s="75"/>
      <c r="V208" s="75"/>
      <c r="W208" s="75"/>
      <c r="X208" s="75"/>
      <c r="Y208" s="75"/>
      <c r="Z208" s="75"/>
    </row>
    <row r="209" spans="1:26" s="112" customFormat="1" x14ac:dyDescent="0.35">
      <c r="A209" s="103"/>
      <c r="B209" s="103"/>
      <c r="C209" s="90"/>
      <c r="D209" s="219"/>
      <c r="E209" s="90"/>
      <c r="F209" s="90"/>
      <c r="G209" s="448"/>
      <c r="H209" s="448"/>
      <c r="I209" s="448"/>
      <c r="J209" s="448"/>
      <c r="K209" s="448"/>
      <c r="L209" s="448"/>
      <c r="M209" s="448"/>
      <c r="N209" s="448"/>
      <c r="P209" s="75"/>
      <c r="Q209" s="75"/>
      <c r="R209" s="75"/>
      <c r="S209" s="75"/>
      <c r="T209" s="75"/>
      <c r="U209" s="75"/>
      <c r="V209" s="75"/>
      <c r="W209" s="75"/>
      <c r="X209" s="75"/>
      <c r="Y209" s="75"/>
      <c r="Z209" s="75"/>
    </row>
    <row r="210" spans="1:26" s="112" customFormat="1" x14ac:dyDescent="0.35">
      <c r="A210" s="103"/>
      <c r="B210" s="103"/>
      <c r="C210" s="90"/>
      <c r="D210" s="219"/>
      <c r="E210" s="90"/>
      <c r="F210" s="90"/>
      <c r="G210" s="448"/>
      <c r="H210" s="448"/>
      <c r="I210" s="448"/>
      <c r="J210" s="448"/>
      <c r="K210" s="448"/>
      <c r="L210" s="448"/>
      <c r="M210" s="448"/>
      <c r="N210" s="448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</row>
    <row r="211" spans="1:26" s="112" customFormat="1" x14ac:dyDescent="0.35">
      <c r="A211" s="103"/>
      <c r="B211" s="103"/>
      <c r="C211" s="90"/>
      <c r="D211" s="219"/>
      <c r="E211" s="90"/>
      <c r="F211" s="90"/>
      <c r="G211" s="448"/>
      <c r="H211" s="448"/>
      <c r="I211" s="448"/>
      <c r="J211" s="448"/>
      <c r="K211" s="448"/>
      <c r="L211" s="448"/>
      <c r="M211" s="448"/>
      <c r="N211" s="448"/>
      <c r="P211" s="75"/>
      <c r="Q211" s="75"/>
      <c r="R211" s="75"/>
      <c r="S211" s="75"/>
      <c r="T211" s="75"/>
      <c r="U211" s="75"/>
      <c r="V211" s="75"/>
      <c r="W211" s="75"/>
      <c r="X211" s="75"/>
      <c r="Y211" s="75"/>
      <c r="Z211" s="75"/>
    </row>
    <row r="212" spans="1:26" s="112" customFormat="1" x14ac:dyDescent="0.35">
      <c r="A212" s="103"/>
      <c r="B212" s="103"/>
      <c r="C212" s="90"/>
      <c r="D212" s="219"/>
      <c r="E212" s="90"/>
      <c r="F212" s="90"/>
      <c r="G212" s="448"/>
      <c r="H212" s="448"/>
      <c r="I212" s="448"/>
      <c r="J212" s="448"/>
      <c r="K212" s="448"/>
      <c r="L212" s="448"/>
      <c r="M212" s="448"/>
      <c r="N212" s="448"/>
      <c r="P212" s="75"/>
      <c r="Q212" s="75"/>
      <c r="R212" s="75"/>
      <c r="S212" s="75"/>
      <c r="T212" s="75"/>
      <c r="U212" s="75"/>
      <c r="V212" s="75"/>
      <c r="W212" s="75"/>
      <c r="X212" s="75"/>
      <c r="Y212" s="75"/>
      <c r="Z212" s="75"/>
    </row>
    <row r="213" spans="1:26" s="112" customFormat="1" x14ac:dyDescent="0.35">
      <c r="A213" s="103"/>
      <c r="B213" s="103"/>
      <c r="C213" s="90"/>
      <c r="D213" s="219"/>
      <c r="E213" s="90"/>
      <c r="F213" s="90"/>
      <c r="G213" s="448"/>
      <c r="H213" s="448"/>
      <c r="I213" s="448"/>
      <c r="J213" s="448"/>
      <c r="K213" s="448"/>
      <c r="L213" s="448"/>
      <c r="M213" s="448"/>
      <c r="N213" s="448"/>
      <c r="P213" s="75"/>
      <c r="Q213" s="75"/>
      <c r="R213" s="75"/>
      <c r="S213" s="75"/>
      <c r="T213" s="75"/>
      <c r="U213" s="75"/>
      <c r="V213" s="75"/>
      <c r="W213" s="75"/>
      <c r="X213" s="75"/>
      <c r="Y213" s="75"/>
      <c r="Z213" s="75"/>
    </row>
    <row r="214" spans="1:26" s="112" customFormat="1" x14ac:dyDescent="0.35">
      <c r="A214" s="103"/>
      <c r="B214" s="103"/>
      <c r="C214" s="90"/>
      <c r="D214" s="219"/>
      <c r="E214" s="90"/>
      <c r="F214" s="90"/>
      <c r="G214" s="448"/>
      <c r="H214" s="448"/>
      <c r="I214" s="448"/>
      <c r="J214" s="448"/>
      <c r="K214" s="448"/>
      <c r="L214" s="448"/>
      <c r="M214" s="448"/>
      <c r="N214" s="448"/>
      <c r="P214" s="75"/>
      <c r="Q214" s="75"/>
      <c r="R214" s="75"/>
      <c r="S214" s="75"/>
      <c r="T214" s="75"/>
      <c r="U214" s="75"/>
      <c r="V214" s="75"/>
      <c r="W214" s="75"/>
      <c r="X214" s="75"/>
      <c r="Y214" s="75"/>
      <c r="Z214" s="75"/>
    </row>
    <row r="215" spans="1:26" s="112" customFormat="1" x14ac:dyDescent="0.35">
      <c r="A215" s="103"/>
      <c r="B215" s="103"/>
      <c r="C215" s="90"/>
      <c r="D215" s="219"/>
      <c r="E215" s="90"/>
      <c r="F215" s="90"/>
      <c r="G215" s="448"/>
      <c r="H215" s="448"/>
      <c r="I215" s="448"/>
      <c r="J215" s="448"/>
      <c r="K215" s="448"/>
      <c r="L215" s="448"/>
      <c r="M215" s="448"/>
      <c r="N215" s="448"/>
      <c r="P215" s="75"/>
      <c r="Q215" s="75"/>
      <c r="R215" s="75"/>
      <c r="S215" s="75"/>
      <c r="T215" s="75"/>
      <c r="U215" s="75"/>
      <c r="V215" s="75"/>
      <c r="W215" s="75"/>
      <c r="X215" s="75"/>
      <c r="Y215" s="75"/>
      <c r="Z215" s="75"/>
    </row>
    <row r="216" spans="1:26" s="112" customFormat="1" x14ac:dyDescent="0.35">
      <c r="A216" s="103"/>
      <c r="B216" s="103"/>
      <c r="C216" s="90"/>
      <c r="D216" s="219"/>
      <c r="E216" s="90"/>
      <c r="F216" s="90"/>
      <c r="G216" s="448"/>
      <c r="H216" s="448"/>
      <c r="I216" s="448"/>
      <c r="J216" s="448"/>
      <c r="K216" s="448"/>
      <c r="L216" s="448"/>
      <c r="M216" s="448"/>
      <c r="N216" s="448"/>
      <c r="P216" s="75"/>
      <c r="Q216" s="75"/>
      <c r="R216" s="75"/>
      <c r="S216" s="75"/>
      <c r="T216" s="75"/>
      <c r="U216" s="75"/>
      <c r="V216" s="75"/>
      <c r="W216" s="75"/>
      <c r="X216" s="75"/>
      <c r="Y216" s="75"/>
      <c r="Z216" s="75"/>
    </row>
    <row r="217" spans="1:26" s="112" customFormat="1" x14ac:dyDescent="0.35">
      <c r="A217" s="103"/>
      <c r="B217" s="103"/>
      <c r="C217" s="90"/>
      <c r="D217" s="219"/>
      <c r="E217" s="90"/>
      <c r="F217" s="90"/>
      <c r="G217" s="448"/>
      <c r="H217" s="448"/>
      <c r="I217" s="448"/>
      <c r="J217" s="448"/>
      <c r="K217" s="448"/>
      <c r="L217" s="448"/>
      <c r="M217" s="448"/>
      <c r="N217" s="448"/>
      <c r="P217" s="75"/>
      <c r="Q217" s="75"/>
      <c r="R217" s="75"/>
      <c r="S217" s="75"/>
      <c r="T217" s="75"/>
      <c r="U217" s="75"/>
      <c r="V217" s="75"/>
      <c r="W217" s="75"/>
      <c r="X217" s="75"/>
      <c r="Y217" s="75"/>
      <c r="Z217" s="75"/>
    </row>
    <row r="218" spans="1:26" s="112" customFormat="1" x14ac:dyDescent="0.35">
      <c r="A218" s="103"/>
      <c r="B218" s="103"/>
      <c r="C218" s="90"/>
      <c r="D218" s="219"/>
      <c r="E218" s="90"/>
      <c r="F218" s="90"/>
      <c r="G218" s="448"/>
      <c r="H218" s="448"/>
      <c r="I218" s="448"/>
      <c r="J218" s="448"/>
      <c r="K218" s="448"/>
      <c r="L218" s="448"/>
      <c r="M218" s="448"/>
      <c r="N218" s="448"/>
      <c r="P218" s="75"/>
      <c r="Q218" s="75"/>
      <c r="R218" s="75"/>
      <c r="S218" s="75"/>
      <c r="T218" s="75"/>
      <c r="U218" s="75"/>
      <c r="V218" s="75"/>
      <c r="W218" s="75"/>
      <c r="X218" s="75"/>
      <c r="Y218" s="75"/>
      <c r="Z218" s="75"/>
    </row>
    <row r="219" spans="1:26" s="112" customFormat="1" x14ac:dyDescent="0.35">
      <c r="A219" s="103"/>
      <c r="B219" s="103"/>
      <c r="C219" s="90"/>
      <c r="D219" s="219"/>
      <c r="E219" s="90"/>
      <c r="F219" s="90"/>
      <c r="G219" s="448"/>
      <c r="H219" s="448"/>
      <c r="I219" s="448"/>
      <c r="J219" s="448"/>
      <c r="K219" s="448"/>
      <c r="L219" s="448"/>
      <c r="M219" s="448"/>
      <c r="N219" s="448"/>
      <c r="P219" s="75"/>
      <c r="Q219" s="75"/>
      <c r="R219" s="75"/>
      <c r="S219" s="75"/>
      <c r="T219" s="75"/>
      <c r="U219" s="75"/>
      <c r="V219" s="75"/>
      <c r="W219" s="75"/>
      <c r="X219" s="75"/>
      <c r="Y219" s="75"/>
      <c r="Z219" s="75"/>
    </row>
    <row r="220" spans="1:26" s="112" customFormat="1" x14ac:dyDescent="0.35">
      <c r="A220" s="103"/>
      <c r="B220" s="103"/>
      <c r="C220" s="90"/>
      <c r="D220" s="219"/>
      <c r="E220" s="90"/>
      <c r="F220" s="90"/>
      <c r="G220" s="448"/>
      <c r="H220" s="448"/>
      <c r="I220" s="448"/>
      <c r="J220" s="448"/>
      <c r="K220" s="448"/>
      <c r="L220" s="448"/>
      <c r="M220" s="448"/>
      <c r="N220" s="448"/>
      <c r="P220" s="75"/>
      <c r="Q220" s="75"/>
      <c r="R220" s="75"/>
      <c r="S220" s="75"/>
      <c r="T220" s="75"/>
      <c r="U220" s="75"/>
      <c r="V220" s="75"/>
      <c r="W220" s="75"/>
      <c r="X220" s="75"/>
      <c r="Y220" s="75"/>
      <c r="Z220" s="75"/>
    </row>
    <row r="221" spans="1:26" s="112" customFormat="1" x14ac:dyDescent="0.35">
      <c r="A221" s="103"/>
      <c r="B221" s="103"/>
      <c r="C221" s="90"/>
      <c r="D221" s="219"/>
      <c r="E221" s="90"/>
      <c r="F221" s="90"/>
      <c r="G221" s="448"/>
      <c r="H221" s="448"/>
      <c r="I221" s="448"/>
      <c r="J221" s="448"/>
      <c r="K221" s="448"/>
      <c r="L221" s="448"/>
      <c r="M221" s="448"/>
      <c r="N221" s="448"/>
      <c r="P221" s="75"/>
      <c r="Q221" s="75"/>
      <c r="R221" s="75"/>
      <c r="S221" s="75"/>
      <c r="T221" s="75"/>
      <c r="U221" s="75"/>
      <c r="V221" s="75"/>
      <c r="W221" s="75"/>
      <c r="X221" s="75"/>
      <c r="Y221" s="75"/>
      <c r="Z221" s="75"/>
    </row>
    <row r="222" spans="1:26" s="112" customFormat="1" x14ac:dyDescent="0.35">
      <c r="A222" s="103"/>
      <c r="B222" s="103"/>
      <c r="C222" s="90"/>
      <c r="D222" s="219"/>
      <c r="E222" s="90"/>
      <c r="F222" s="90"/>
      <c r="G222" s="448"/>
      <c r="H222" s="448"/>
      <c r="I222" s="448"/>
      <c r="J222" s="448"/>
      <c r="K222" s="448"/>
      <c r="L222" s="448"/>
      <c r="M222" s="448"/>
      <c r="N222" s="448"/>
      <c r="P222" s="75"/>
      <c r="Q222" s="75"/>
      <c r="R222" s="75"/>
      <c r="S222" s="75"/>
      <c r="T222" s="75"/>
      <c r="U222" s="75"/>
      <c r="V222" s="75"/>
      <c r="W222" s="75"/>
      <c r="X222" s="75"/>
      <c r="Y222" s="75"/>
      <c r="Z222" s="75"/>
    </row>
    <row r="223" spans="1:26" s="112" customFormat="1" x14ac:dyDescent="0.35">
      <c r="A223" s="103"/>
      <c r="B223" s="103"/>
      <c r="C223" s="90"/>
      <c r="D223" s="219"/>
      <c r="E223" s="90"/>
      <c r="F223" s="90"/>
      <c r="G223" s="448"/>
      <c r="H223" s="448"/>
      <c r="I223" s="448"/>
      <c r="J223" s="448"/>
      <c r="K223" s="448"/>
      <c r="L223" s="448"/>
      <c r="M223" s="448"/>
      <c r="N223" s="448"/>
      <c r="P223" s="75"/>
      <c r="Q223" s="75"/>
      <c r="R223" s="75"/>
      <c r="S223" s="75"/>
      <c r="T223" s="75"/>
      <c r="U223" s="75"/>
      <c r="V223" s="75"/>
      <c r="W223" s="75"/>
      <c r="X223" s="75"/>
      <c r="Y223" s="75"/>
      <c r="Z223" s="75"/>
    </row>
    <row r="224" spans="1:26" s="112" customFormat="1" x14ac:dyDescent="0.35">
      <c r="A224" s="103"/>
      <c r="B224" s="103"/>
      <c r="C224" s="90"/>
      <c r="D224" s="219"/>
      <c r="E224" s="90"/>
      <c r="F224" s="90"/>
      <c r="G224" s="448"/>
      <c r="H224" s="448"/>
      <c r="I224" s="448"/>
      <c r="J224" s="448"/>
      <c r="K224" s="448"/>
      <c r="L224" s="448"/>
      <c r="M224" s="448"/>
      <c r="N224" s="448"/>
      <c r="P224" s="75"/>
      <c r="Q224" s="75"/>
      <c r="R224" s="75"/>
      <c r="S224" s="75"/>
      <c r="T224" s="75"/>
      <c r="U224" s="75"/>
      <c r="V224" s="75"/>
      <c r="W224" s="75"/>
      <c r="X224" s="75"/>
      <c r="Y224" s="75"/>
      <c r="Z224" s="75"/>
    </row>
    <row r="225" spans="1:26" s="112" customFormat="1" x14ac:dyDescent="0.35">
      <c r="A225" s="103"/>
      <c r="B225" s="103"/>
      <c r="C225" s="90"/>
      <c r="D225" s="219"/>
      <c r="E225" s="90"/>
      <c r="F225" s="90"/>
      <c r="G225" s="448"/>
      <c r="H225" s="448"/>
      <c r="I225" s="448"/>
      <c r="J225" s="448"/>
      <c r="K225" s="448"/>
      <c r="L225" s="448"/>
      <c r="M225" s="448"/>
      <c r="N225" s="448"/>
      <c r="P225" s="75"/>
      <c r="Q225" s="75"/>
      <c r="R225" s="75"/>
      <c r="S225" s="75"/>
      <c r="T225" s="75"/>
      <c r="U225" s="75"/>
      <c r="V225" s="75"/>
      <c r="W225" s="75"/>
      <c r="X225" s="75"/>
      <c r="Y225" s="75"/>
      <c r="Z225" s="75"/>
    </row>
    <row r="226" spans="1:26" s="112" customFormat="1" x14ac:dyDescent="0.35">
      <c r="A226" s="103"/>
      <c r="B226" s="103"/>
      <c r="C226" s="90"/>
      <c r="D226" s="219"/>
      <c r="E226" s="90"/>
      <c r="F226" s="90"/>
      <c r="G226" s="448"/>
      <c r="H226" s="448"/>
      <c r="I226" s="448"/>
      <c r="J226" s="448"/>
      <c r="K226" s="448"/>
      <c r="L226" s="448"/>
      <c r="M226" s="448"/>
      <c r="N226" s="448"/>
      <c r="P226" s="75"/>
      <c r="Q226" s="75"/>
      <c r="R226" s="75"/>
      <c r="S226" s="75"/>
      <c r="T226" s="75"/>
      <c r="U226" s="75"/>
      <c r="V226" s="75"/>
      <c r="W226" s="75"/>
      <c r="X226" s="75"/>
      <c r="Y226" s="75"/>
      <c r="Z226" s="75"/>
    </row>
    <row r="227" spans="1:26" s="112" customFormat="1" x14ac:dyDescent="0.35">
      <c r="A227" s="103"/>
      <c r="B227" s="103"/>
      <c r="C227" s="90"/>
      <c r="D227" s="219"/>
      <c r="E227" s="90"/>
      <c r="F227" s="90"/>
      <c r="G227" s="448"/>
      <c r="H227" s="448"/>
      <c r="I227" s="448"/>
      <c r="J227" s="448"/>
      <c r="K227" s="448"/>
      <c r="L227" s="448"/>
      <c r="M227" s="448"/>
      <c r="N227" s="448"/>
      <c r="P227" s="75"/>
      <c r="Q227" s="75"/>
      <c r="R227" s="75"/>
      <c r="S227" s="75"/>
      <c r="T227" s="75"/>
      <c r="U227" s="75"/>
      <c r="V227" s="75"/>
      <c r="W227" s="75"/>
      <c r="X227" s="75"/>
      <c r="Y227" s="75"/>
      <c r="Z227" s="75"/>
    </row>
    <row r="228" spans="1:26" s="112" customFormat="1" x14ac:dyDescent="0.35">
      <c r="A228" s="103"/>
      <c r="B228" s="103"/>
      <c r="C228" s="90"/>
      <c r="D228" s="219"/>
      <c r="E228" s="90"/>
      <c r="F228" s="90"/>
      <c r="G228" s="448"/>
      <c r="H228" s="448"/>
      <c r="I228" s="448"/>
      <c r="J228" s="448"/>
      <c r="K228" s="448"/>
      <c r="L228" s="448"/>
      <c r="M228" s="448"/>
      <c r="N228" s="448"/>
      <c r="P228" s="75"/>
      <c r="Q228" s="75"/>
      <c r="R228" s="75"/>
      <c r="S228" s="75"/>
      <c r="T228" s="75"/>
      <c r="U228" s="75"/>
      <c r="V228" s="75"/>
      <c r="W228" s="75"/>
      <c r="X228" s="75"/>
      <c r="Y228" s="75"/>
      <c r="Z228" s="75"/>
    </row>
    <row r="229" spans="1:26" s="112" customFormat="1" x14ac:dyDescent="0.35">
      <c r="A229" s="103"/>
      <c r="B229" s="103"/>
      <c r="C229" s="90"/>
      <c r="D229" s="219"/>
      <c r="E229" s="90"/>
      <c r="F229" s="90"/>
      <c r="G229" s="448"/>
      <c r="H229" s="448"/>
      <c r="I229" s="448"/>
      <c r="J229" s="448"/>
      <c r="K229" s="448"/>
      <c r="L229" s="448"/>
      <c r="M229" s="448"/>
      <c r="N229" s="448"/>
      <c r="P229" s="75"/>
      <c r="Q229" s="75"/>
      <c r="R229" s="75"/>
      <c r="S229" s="75"/>
      <c r="T229" s="75"/>
      <c r="U229" s="75"/>
      <c r="V229" s="75"/>
      <c r="W229" s="75"/>
      <c r="X229" s="75"/>
      <c r="Y229" s="75"/>
      <c r="Z229" s="75"/>
    </row>
    <row r="230" spans="1:26" s="112" customFormat="1" x14ac:dyDescent="0.35">
      <c r="A230" s="103"/>
      <c r="B230" s="103"/>
      <c r="C230" s="90"/>
      <c r="D230" s="219"/>
      <c r="E230" s="90"/>
      <c r="F230" s="90"/>
      <c r="G230" s="448"/>
      <c r="H230" s="448"/>
      <c r="I230" s="448"/>
      <c r="J230" s="448"/>
      <c r="K230" s="448"/>
      <c r="L230" s="448"/>
      <c r="M230" s="448"/>
      <c r="N230" s="448"/>
      <c r="P230" s="75"/>
      <c r="Q230" s="75"/>
      <c r="R230" s="75"/>
      <c r="S230" s="75"/>
      <c r="T230" s="75"/>
      <c r="U230" s="75"/>
      <c r="V230" s="75"/>
      <c r="W230" s="75"/>
      <c r="X230" s="75"/>
      <c r="Y230" s="75"/>
      <c r="Z230" s="75"/>
    </row>
    <row r="231" spans="1:26" s="112" customFormat="1" x14ac:dyDescent="0.35">
      <c r="A231" s="103"/>
      <c r="B231" s="103"/>
      <c r="C231" s="90"/>
      <c r="D231" s="219"/>
      <c r="E231" s="90"/>
      <c r="F231" s="90"/>
      <c r="G231" s="448"/>
      <c r="H231" s="448"/>
      <c r="I231" s="448"/>
      <c r="J231" s="448"/>
      <c r="K231" s="448"/>
      <c r="L231" s="448"/>
      <c r="M231" s="448"/>
      <c r="N231" s="448"/>
      <c r="P231" s="75"/>
      <c r="Q231" s="75"/>
      <c r="R231" s="75"/>
      <c r="S231" s="75"/>
      <c r="T231" s="75"/>
      <c r="U231" s="75"/>
      <c r="V231" s="75"/>
      <c r="W231" s="75"/>
      <c r="X231" s="75"/>
      <c r="Y231" s="75"/>
      <c r="Z231" s="75"/>
    </row>
    <row r="232" spans="1:26" s="112" customFormat="1" x14ac:dyDescent="0.35">
      <c r="A232" s="103"/>
      <c r="B232" s="103"/>
      <c r="C232" s="90"/>
      <c r="D232" s="219"/>
      <c r="E232" s="90"/>
      <c r="F232" s="90"/>
      <c r="G232" s="448"/>
      <c r="H232" s="448"/>
      <c r="I232" s="448"/>
      <c r="J232" s="448"/>
      <c r="K232" s="448"/>
      <c r="L232" s="448"/>
      <c r="M232" s="448"/>
      <c r="N232" s="448"/>
      <c r="P232" s="75"/>
      <c r="Q232" s="75"/>
      <c r="R232" s="75"/>
      <c r="S232" s="75"/>
      <c r="T232" s="75"/>
      <c r="U232" s="75"/>
      <c r="V232" s="75"/>
      <c r="W232" s="75"/>
      <c r="X232" s="75"/>
      <c r="Y232" s="75"/>
      <c r="Z232" s="75"/>
    </row>
    <row r="233" spans="1:26" s="112" customFormat="1" x14ac:dyDescent="0.35">
      <c r="A233" s="103"/>
      <c r="B233" s="103"/>
      <c r="C233" s="90"/>
      <c r="D233" s="219"/>
      <c r="E233" s="90"/>
      <c r="F233" s="90"/>
      <c r="G233" s="448"/>
      <c r="H233" s="448"/>
      <c r="I233" s="448"/>
      <c r="J233" s="448"/>
      <c r="K233" s="448"/>
      <c r="L233" s="448"/>
      <c r="M233" s="448"/>
      <c r="N233" s="448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</row>
    <row r="234" spans="1:26" s="112" customFormat="1" x14ac:dyDescent="0.35">
      <c r="A234" s="103"/>
      <c r="B234" s="103"/>
      <c r="C234" s="90"/>
      <c r="D234" s="219"/>
      <c r="E234" s="90"/>
      <c r="F234" s="90"/>
      <c r="G234" s="448"/>
      <c r="H234" s="448"/>
      <c r="I234" s="448"/>
      <c r="J234" s="448"/>
      <c r="K234" s="448"/>
      <c r="L234" s="448"/>
      <c r="M234" s="448"/>
      <c r="N234" s="448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</row>
    <row r="235" spans="1:26" s="112" customFormat="1" x14ac:dyDescent="0.35">
      <c r="A235" s="103"/>
      <c r="B235" s="103"/>
      <c r="C235" s="90"/>
      <c r="D235" s="219"/>
      <c r="E235" s="90"/>
      <c r="F235" s="90"/>
      <c r="G235" s="448"/>
      <c r="H235" s="448"/>
      <c r="I235" s="448"/>
      <c r="J235" s="448"/>
      <c r="K235" s="448"/>
      <c r="L235" s="448"/>
      <c r="M235" s="448"/>
      <c r="N235" s="448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</row>
    <row r="236" spans="1:26" s="112" customFormat="1" x14ac:dyDescent="0.35">
      <c r="A236" s="103"/>
      <c r="B236" s="103"/>
      <c r="C236" s="90"/>
      <c r="D236" s="219"/>
      <c r="E236" s="90"/>
      <c r="F236" s="90"/>
      <c r="G236" s="448"/>
      <c r="H236" s="448"/>
      <c r="I236" s="448"/>
      <c r="J236" s="448"/>
      <c r="K236" s="448"/>
      <c r="L236" s="448"/>
      <c r="M236" s="448"/>
      <c r="N236" s="448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</row>
    <row r="237" spans="1:26" s="112" customFormat="1" x14ac:dyDescent="0.35">
      <c r="A237" s="103"/>
      <c r="B237" s="103"/>
      <c r="C237" s="90"/>
      <c r="D237" s="219"/>
      <c r="E237" s="90"/>
      <c r="F237" s="90"/>
      <c r="G237" s="448"/>
      <c r="H237" s="448"/>
      <c r="I237" s="448"/>
      <c r="J237" s="448"/>
      <c r="K237" s="448"/>
      <c r="L237" s="448"/>
      <c r="M237" s="448"/>
      <c r="N237" s="448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</row>
    <row r="238" spans="1:26" s="112" customFormat="1" x14ac:dyDescent="0.35">
      <c r="A238" s="103"/>
      <c r="B238" s="103"/>
      <c r="C238" s="90"/>
      <c r="D238" s="219"/>
      <c r="E238" s="90"/>
      <c r="F238" s="90"/>
      <c r="G238" s="448"/>
      <c r="H238" s="448"/>
      <c r="I238" s="448"/>
      <c r="J238" s="448"/>
      <c r="K238" s="448"/>
      <c r="L238" s="448"/>
      <c r="M238" s="448"/>
      <c r="N238" s="448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</row>
    <row r="239" spans="1:26" s="112" customFormat="1" x14ac:dyDescent="0.35">
      <c r="A239" s="103"/>
      <c r="B239" s="103"/>
      <c r="C239" s="90"/>
      <c r="D239" s="219"/>
      <c r="E239" s="90"/>
      <c r="F239" s="90"/>
      <c r="G239" s="448"/>
      <c r="H239" s="448"/>
      <c r="I239" s="448"/>
      <c r="J239" s="448"/>
      <c r="K239" s="448"/>
      <c r="L239" s="448"/>
      <c r="M239" s="448"/>
      <c r="N239" s="448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</row>
    <row r="240" spans="1:26" s="112" customFormat="1" x14ac:dyDescent="0.35">
      <c r="A240" s="103"/>
      <c r="B240" s="103"/>
      <c r="C240" s="90"/>
      <c r="D240" s="219"/>
      <c r="E240" s="90"/>
      <c r="F240" s="90"/>
      <c r="G240" s="448"/>
      <c r="H240" s="448"/>
      <c r="I240" s="448"/>
      <c r="J240" s="448"/>
      <c r="K240" s="448"/>
      <c r="L240" s="448"/>
      <c r="M240" s="448"/>
      <c r="N240" s="448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</row>
    <row r="241" spans="1:26" s="112" customFormat="1" x14ac:dyDescent="0.35">
      <c r="A241" s="103"/>
      <c r="B241" s="103"/>
      <c r="C241" s="90"/>
      <c r="D241" s="219"/>
      <c r="E241" s="90"/>
      <c r="F241" s="90"/>
      <c r="G241" s="448"/>
      <c r="H241" s="448"/>
      <c r="I241" s="448"/>
      <c r="J241" s="448"/>
      <c r="K241" s="448"/>
      <c r="L241" s="448"/>
      <c r="M241" s="448"/>
      <c r="N241" s="448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</row>
    <row r="242" spans="1:26" s="112" customFormat="1" x14ac:dyDescent="0.35">
      <c r="A242" s="103"/>
      <c r="B242" s="103"/>
      <c r="C242" s="90"/>
      <c r="D242" s="219"/>
      <c r="E242" s="90"/>
      <c r="F242" s="90"/>
      <c r="G242" s="448"/>
      <c r="H242" s="448"/>
      <c r="I242" s="448"/>
      <c r="J242" s="448"/>
      <c r="K242" s="448"/>
      <c r="L242" s="448"/>
      <c r="M242" s="448"/>
      <c r="N242" s="448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</row>
    <row r="243" spans="1:26" s="112" customFormat="1" x14ac:dyDescent="0.35">
      <c r="A243" s="103"/>
      <c r="B243" s="103"/>
      <c r="C243" s="90"/>
      <c r="D243" s="219"/>
      <c r="E243" s="90"/>
      <c r="F243" s="90"/>
      <c r="G243" s="448"/>
      <c r="H243" s="448"/>
      <c r="I243" s="448"/>
      <c r="J243" s="448"/>
      <c r="K243" s="448"/>
      <c r="L243" s="448"/>
      <c r="M243" s="448"/>
      <c r="N243" s="448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</row>
    <row r="244" spans="1:26" s="112" customFormat="1" x14ac:dyDescent="0.35">
      <c r="A244" s="103"/>
      <c r="B244" s="103"/>
      <c r="C244" s="90"/>
      <c r="D244" s="219"/>
      <c r="E244" s="90"/>
      <c r="F244" s="90"/>
      <c r="G244" s="448"/>
      <c r="H244" s="448"/>
      <c r="I244" s="448"/>
      <c r="J244" s="448"/>
      <c r="K244" s="448"/>
      <c r="L244" s="448"/>
      <c r="M244" s="448"/>
      <c r="N244" s="448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</row>
    <row r="245" spans="1:26" s="112" customFormat="1" x14ac:dyDescent="0.35">
      <c r="A245" s="103"/>
      <c r="B245" s="103"/>
      <c r="C245" s="90"/>
      <c r="D245" s="219"/>
      <c r="E245" s="90"/>
      <c r="F245" s="90"/>
      <c r="G245" s="448"/>
      <c r="H245" s="448"/>
      <c r="I245" s="448"/>
      <c r="J245" s="448"/>
      <c r="K245" s="448"/>
      <c r="L245" s="448"/>
      <c r="M245" s="448"/>
      <c r="N245" s="448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</row>
    <row r="246" spans="1:26" s="112" customFormat="1" x14ac:dyDescent="0.35">
      <c r="A246" s="103"/>
      <c r="B246" s="103"/>
      <c r="C246" s="90"/>
      <c r="D246" s="219"/>
      <c r="E246" s="90"/>
      <c r="F246" s="90"/>
      <c r="G246" s="448"/>
      <c r="H246" s="448"/>
      <c r="I246" s="448"/>
      <c r="J246" s="448"/>
      <c r="K246" s="448"/>
      <c r="L246" s="448"/>
      <c r="M246" s="448"/>
      <c r="N246" s="448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</row>
    <row r="247" spans="1:26" s="112" customFormat="1" x14ac:dyDescent="0.35">
      <c r="A247" s="103"/>
      <c r="B247" s="103"/>
      <c r="C247" s="90"/>
      <c r="D247" s="219"/>
      <c r="E247" s="90"/>
      <c r="F247" s="90"/>
      <c r="G247" s="448"/>
      <c r="H247" s="448"/>
      <c r="I247" s="448"/>
      <c r="J247" s="448"/>
      <c r="K247" s="448"/>
      <c r="L247" s="448"/>
      <c r="M247" s="448"/>
      <c r="N247" s="448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</row>
    <row r="248" spans="1:26" s="112" customFormat="1" x14ac:dyDescent="0.35">
      <c r="A248" s="103"/>
      <c r="B248" s="103"/>
      <c r="C248" s="90"/>
      <c r="D248" s="219"/>
      <c r="E248" s="90"/>
      <c r="F248" s="90"/>
      <c r="G248" s="448"/>
      <c r="H248" s="448"/>
      <c r="I248" s="448"/>
      <c r="J248" s="448"/>
      <c r="K248" s="448"/>
      <c r="L248" s="448"/>
      <c r="M248" s="448"/>
      <c r="N248" s="448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</row>
    <row r="249" spans="1:26" s="112" customFormat="1" x14ac:dyDescent="0.35">
      <c r="A249" s="103"/>
      <c r="B249" s="103"/>
      <c r="C249" s="90"/>
      <c r="D249" s="219"/>
      <c r="E249" s="90"/>
      <c r="F249" s="90"/>
      <c r="G249" s="448"/>
      <c r="H249" s="448"/>
      <c r="I249" s="448"/>
      <c r="J249" s="448"/>
      <c r="K249" s="448"/>
      <c r="L249" s="448"/>
      <c r="M249" s="448"/>
      <c r="N249" s="448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</row>
    <row r="250" spans="1:26" s="112" customFormat="1" x14ac:dyDescent="0.35">
      <c r="A250" s="103"/>
      <c r="B250" s="103"/>
      <c r="C250" s="90"/>
      <c r="D250" s="219"/>
      <c r="E250" s="90"/>
      <c r="F250" s="90"/>
      <c r="G250" s="448"/>
      <c r="H250" s="448"/>
      <c r="I250" s="448"/>
      <c r="J250" s="448"/>
      <c r="K250" s="448"/>
      <c r="L250" s="448"/>
      <c r="M250" s="448"/>
      <c r="N250" s="448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</row>
    <row r="251" spans="1:26" s="112" customFormat="1" x14ac:dyDescent="0.35">
      <c r="A251" s="103"/>
      <c r="B251" s="103"/>
      <c r="C251" s="90"/>
      <c r="D251" s="219"/>
      <c r="E251" s="90"/>
      <c r="F251" s="90"/>
      <c r="G251" s="448"/>
      <c r="H251" s="448"/>
      <c r="I251" s="448"/>
      <c r="J251" s="448"/>
      <c r="K251" s="448"/>
      <c r="L251" s="448"/>
      <c r="M251" s="448"/>
      <c r="N251" s="448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</row>
    <row r="252" spans="1:26" s="112" customFormat="1" x14ac:dyDescent="0.35">
      <c r="A252" s="103"/>
      <c r="B252" s="103"/>
      <c r="C252" s="90"/>
      <c r="D252" s="219"/>
      <c r="E252" s="90"/>
      <c r="F252" s="90"/>
      <c r="G252" s="448"/>
      <c r="H252" s="448"/>
      <c r="I252" s="448"/>
      <c r="J252" s="448"/>
      <c r="K252" s="448"/>
      <c r="L252" s="448"/>
      <c r="M252" s="448"/>
      <c r="N252" s="448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</row>
    <row r="253" spans="1:26" s="112" customFormat="1" x14ac:dyDescent="0.35">
      <c r="A253" s="103"/>
      <c r="B253" s="103"/>
      <c r="C253" s="90"/>
      <c r="D253" s="219"/>
      <c r="E253" s="90"/>
      <c r="F253" s="90"/>
      <c r="G253" s="448"/>
      <c r="H253" s="448"/>
      <c r="I253" s="448"/>
      <c r="J253" s="448"/>
      <c r="K253" s="448"/>
      <c r="L253" s="448"/>
      <c r="M253" s="448"/>
      <c r="N253" s="448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</row>
    <row r="254" spans="1:26" s="112" customFormat="1" x14ac:dyDescent="0.35">
      <c r="A254" s="103"/>
      <c r="B254" s="103"/>
      <c r="C254" s="90"/>
      <c r="D254" s="219"/>
      <c r="E254" s="90"/>
      <c r="F254" s="90"/>
      <c r="G254" s="448"/>
      <c r="H254" s="448"/>
      <c r="I254" s="448"/>
      <c r="J254" s="448"/>
      <c r="K254" s="448"/>
      <c r="L254" s="448"/>
      <c r="M254" s="448"/>
      <c r="N254" s="448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</row>
    <row r="255" spans="1:26" s="112" customFormat="1" x14ac:dyDescent="0.35">
      <c r="A255" s="103"/>
      <c r="B255" s="103"/>
      <c r="C255" s="90"/>
      <c r="D255" s="219"/>
      <c r="E255" s="90"/>
      <c r="F255" s="90"/>
      <c r="G255" s="448"/>
      <c r="H255" s="448"/>
      <c r="I255" s="448"/>
      <c r="J255" s="448"/>
      <c r="K255" s="448"/>
      <c r="L255" s="448"/>
      <c r="M255" s="448"/>
      <c r="N255" s="448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</row>
    <row r="256" spans="1:26" s="112" customFormat="1" x14ac:dyDescent="0.35">
      <c r="A256" s="103"/>
      <c r="B256" s="103"/>
      <c r="C256" s="90"/>
      <c r="D256" s="219"/>
      <c r="E256" s="90"/>
      <c r="F256" s="90"/>
      <c r="G256" s="448"/>
      <c r="H256" s="448"/>
      <c r="I256" s="448"/>
      <c r="J256" s="448"/>
      <c r="K256" s="448"/>
      <c r="L256" s="448"/>
      <c r="M256" s="448"/>
      <c r="N256" s="448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</row>
    <row r="257" spans="1:26" s="112" customFormat="1" x14ac:dyDescent="0.35">
      <c r="A257" s="103"/>
      <c r="B257" s="103"/>
      <c r="C257" s="90"/>
      <c r="D257" s="219"/>
      <c r="E257" s="90"/>
      <c r="F257" s="90"/>
      <c r="G257" s="448"/>
      <c r="H257" s="448"/>
      <c r="I257" s="448"/>
      <c r="J257" s="448"/>
      <c r="K257" s="448"/>
      <c r="L257" s="448"/>
      <c r="M257" s="448"/>
      <c r="N257" s="448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</row>
    <row r="258" spans="1:26" s="112" customFormat="1" x14ac:dyDescent="0.35">
      <c r="A258" s="103"/>
      <c r="B258" s="103"/>
      <c r="C258" s="90"/>
      <c r="D258" s="219"/>
      <c r="E258" s="90"/>
      <c r="F258" s="90"/>
      <c r="G258" s="448"/>
      <c r="H258" s="448"/>
      <c r="I258" s="448"/>
      <c r="J258" s="448"/>
      <c r="K258" s="448"/>
      <c r="L258" s="448"/>
      <c r="M258" s="448"/>
      <c r="N258" s="448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</row>
    <row r="259" spans="1:26" s="112" customFormat="1" x14ac:dyDescent="0.35">
      <c r="A259" s="103"/>
      <c r="B259" s="103"/>
      <c r="C259" s="90"/>
      <c r="D259" s="219"/>
      <c r="E259" s="90"/>
      <c r="F259" s="90"/>
      <c r="G259" s="448"/>
      <c r="H259" s="448"/>
      <c r="I259" s="448"/>
      <c r="J259" s="448"/>
      <c r="K259" s="448"/>
      <c r="L259" s="448"/>
      <c r="M259" s="448"/>
      <c r="N259" s="448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</row>
    <row r="260" spans="1:26" s="112" customFormat="1" x14ac:dyDescent="0.35">
      <c r="A260" s="103"/>
      <c r="B260" s="103"/>
      <c r="C260" s="90"/>
      <c r="D260" s="219"/>
      <c r="E260" s="90"/>
      <c r="F260" s="90"/>
      <c r="G260" s="448"/>
      <c r="H260" s="448"/>
      <c r="I260" s="448"/>
      <c r="J260" s="448"/>
      <c r="K260" s="448"/>
      <c r="L260" s="448"/>
      <c r="M260" s="448"/>
      <c r="N260" s="448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</row>
    <row r="261" spans="1:26" s="112" customFormat="1" x14ac:dyDescent="0.35">
      <c r="A261" s="103"/>
      <c r="B261" s="103"/>
      <c r="C261" s="90"/>
      <c r="D261" s="219"/>
      <c r="E261" s="90"/>
      <c r="F261" s="90"/>
      <c r="G261" s="448"/>
      <c r="H261" s="448"/>
      <c r="I261" s="448"/>
      <c r="J261" s="448"/>
      <c r="K261" s="448"/>
      <c r="L261" s="448"/>
      <c r="M261" s="448"/>
      <c r="N261" s="448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</row>
    <row r="262" spans="1:26" s="112" customFormat="1" x14ac:dyDescent="0.35">
      <c r="A262" s="103"/>
      <c r="B262" s="103"/>
      <c r="C262" s="90"/>
      <c r="D262" s="219"/>
      <c r="E262" s="90"/>
      <c r="F262" s="90"/>
      <c r="G262" s="448"/>
      <c r="H262" s="448"/>
      <c r="I262" s="448"/>
      <c r="J262" s="448"/>
      <c r="K262" s="448"/>
      <c r="L262" s="448"/>
      <c r="M262" s="448"/>
      <c r="N262" s="448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</row>
    <row r="263" spans="1:26" s="112" customFormat="1" x14ac:dyDescent="0.35">
      <c r="A263" s="103"/>
      <c r="B263" s="103"/>
      <c r="C263" s="90"/>
      <c r="D263" s="219"/>
      <c r="E263" s="90"/>
      <c r="F263" s="90"/>
      <c r="G263" s="448"/>
      <c r="H263" s="448"/>
      <c r="I263" s="448"/>
      <c r="J263" s="448"/>
      <c r="K263" s="448"/>
      <c r="L263" s="448"/>
      <c r="M263" s="448"/>
      <c r="N263" s="448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</row>
    <row r="264" spans="1:26" s="112" customFormat="1" x14ac:dyDescent="0.35">
      <c r="A264" s="103"/>
      <c r="B264" s="103"/>
      <c r="C264" s="90"/>
      <c r="D264" s="219"/>
      <c r="E264" s="90"/>
      <c r="F264" s="90"/>
      <c r="G264" s="448"/>
      <c r="H264" s="448"/>
      <c r="I264" s="448"/>
      <c r="J264" s="448"/>
      <c r="K264" s="448"/>
      <c r="L264" s="448"/>
      <c r="M264" s="448"/>
      <c r="N264" s="448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</row>
    <row r="265" spans="1:26" s="112" customFormat="1" x14ac:dyDescent="0.35">
      <c r="A265" s="103"/>
      <c r="B265" s="103"/>
      <c r="C265" s="90"/>
      <c r="D265" s="219"/>
      <c r="E265" s="90"/>
      <c r="F265" s="90"/>
      <c r="G265" s="448"/>
      <c r="H265" s="448"/>
      <c r="I265" s="448"/>
      <c r="J265" s="448"/>
      <c r="K265" s="448"/>
      <c r="L265" s="448"/>
      <c r="M265" s="448"/>
      <c r="N265" s="448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</row>
    <row r="266" spans="1:26" s="112" customFormat="1" x14ac:dyDescent="0.35">
      <c r="A266" s="103"/>
      <c r="B266" s="103"/>
      <c r="C266" s="90"/>
      <c r="D266" s="219"/>
      <c r="E266" s="90"/>
      <c r="F266" s="90"/>
      <c r="G266" s="448"/>
      <c r="H266" s="448"/>
      <c r="I266" s="448"/>
      <c r="J266" s="448"/>
      <c r="K266" s="448"/>
      <c r="L266" s="448"/>
      <c r="M266" s="448"/>
      <c r="N266" s="448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</row>
    <row r="267" spans="1:26" s="112" customFormat="1" x14ac:dyDescent="0.35">
      <c r="A267" s="103"/>
      <c r="B267" s="103"/>
      <c r="C267" s="90"/>
      <c r="D267" s="219"/>
      <c r="E267" s="90"/>
      <c r="F267" s="90"/>
      <c r="G267" s="448"/>
      <c r="H267" s="448"/>
      <c r="I267" s="448"/>
      <c r="J267" s="448"/>
      <c r="K267" s="448"/>
      <c r="L267" s="448"/>
      <c r="M267" s="448"/>
      <c r="N267" s="448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</row>
    <row r="268" spans="1:26" s="112" customFormat="1" x14ac:dyDescent="0.35">
      <c r="A268" s="103"/>
      <c r="B268" s="103"/>
      <c r="C268" s="90"/>
      <c r="D268" s="219"/>
      <c r="E268" s="90"/>
      <c r="F268" s="90"/>
      <c r="G268" s="448"/>
      <c r="H268" s="448"/>
      <c r="I268" s="448"/>
      <c r="J268" s="448"/>
      <c r="K268" s="448"/>
      <c r="L268" s="448"/>
      <c r="M268" s="448"/>
      <c r="N268" s="448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</row>
    <row r="269" spans="1:26" s="112" customFormat="1" x14ac:dyDescent="0.35">
      <c r="A269" s="103"/>
      <c r="B269" s="103"/>
      <c r="C269" s="90"/>
      <c r="D269" s="219"/>
      <c r="E269" s="90"/>
      <c r="F269" s="90"/>
      <c r="G269" s="448"/>
      <c r="H269" s="448"/>
      <c r="I269" s="448"/>
      <c r="J269" s="448"/>
      <c r="K269" s="448"/>
      <c r="L269" s="448"/>
      <c r="M269" s="448"/>
      <c r="N269" s="448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</row>
    <row r="270" spans="1:26" s="112" customFormat="1" x14ac:dyDescent="0.35">
      <c r="A270" s="103"/>
      <c r="B270" s="103"/>
      <c r="C270" s="90"/>
      <c r="D270" s="219"/>
      <c r="E270" s="90"/>
      <c r="F270" s="90"/>
      <c r="G270" s="448"/>
      <c r="H270" s="448"/>
      <c r="I270" s="448"/>
      <c r="J270" s="448"/>
      <c r="K270" s="448"/>
      <c r="L270" s="448"/>
      <c r="M270" s="448"/>
      <c r="N270" s="448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</row>
    <row r="271" spans="1:26" s="112" customFormat="1" x14ac:dyDescent="0.35">
      <c r="A271" s="103"/>
      <c r="B271" s="103"/>
      <c r="C271" s="90"/>
      <c r="D271" s="219"/>
      <c r="E271" s="90"/>
      <c r="F271" s="90"/>
      <c r="G271" s="448"/>
      <c r="H271" s="448"/>
      <c r="I271" s="448"/>
      <c r="J271" s="448"/>
      <c r="K271" s="448"/>
      <c r="L271" s="448"/>
      <c r="M271" s="448"/>
      <c r="N271" s="448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</row>
    <row r="272" spans="1:26" s="112" customFormat="1" x14ac:dyDescent="0.35">
      <c r="A272" s="103"/>
      <c r="B272" s="103"/>
      <c r="C272" s="90"/>
      <c r="D272" s="219"/>
      <c r="E272" s="90"/>
      <c r="F272" s="90"/>
      <c r="G272" s="448"/>
      <c r="H272" s="448"/>
      <c r="I272" s="448"/>
      <c r="J272" s="448"/>
      <c r="K272" s="448"/>
      <c r="L272" s="448"/>
      <c r="M272" s="448"/>
      <c r="N272" s="448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</row>
    <row r="273" spans="1:26" s="112" customFormat="1" x14ac:dyDescent="0.35">
      <c r="A273" s="103"/>
      <c r="B273" s="103"/>
      <c r="C273" s="90"/>
      <c r="D273" s="219"/>
      <c r="E273" s="90"/>
      <c r="F273" s="90"/>
      <c r="G273" s="448"/>
      <c r="H273" s="448"/>
      <c r="I273" s="448"/>
      <c r="J273" s="448"/>
      <c r="K273" s="448"/>
      <c r="L273" s="448"/>
      <c r="M273" s="448"/>
      <c r="N273" s="448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</row>
  </sheetData>
  <sheetProtection formatCells="0" formatColumns="0" formatRows="0" insertColumns="0" insertRows="0" deleteRows="0" sort="0" autoFilter="0"/>
  <conditionalFormatting sqref="O1:O1048576">
    <cfRule type="cellIs" dxfId="21" priority="3" operator="equal">
      <formula>2</formula>
    </cfRule>
    <cfRule type="cellIs" dxfId="20" priority="4" operator="equal">
      <formula>4</formula>
    </cfRule>
  </conditionalFormatting>
  <conditionalFormatting sqref="O1">
    <cfRule type="cellIs" dxfId="19" priority="2" operator="equal">
      <formula>3</formula>
    </cfRule>
  </conditionalFormatting>
  <conditionalFormatting sqref="O2:O60">
    <cfRule type="cellIs" dxfId="18" priority="5" operator="equal">
      <formula>1</formula>
    </cfRule>
  </conditionalFormatting>
  <conditionalFormatting sqref="P1:P1048576">
    <cfRule type="cellIs" dxfId="17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Sorting">
                <anchor moveWithCells="1" sizeWithCells="1">
                  <from>
                    <xdr:col>16</xdr:col>
                    <xdr:colOff>190500</xdr:colOff>
                    <xdr:row>0</xdr:row>
                    <xdr:rowOff>57150</xdr:rowOff>
                  </from>
                  <to>
                    <xdr:col>19</xdr:col>
                    <xdr:colOff>581025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9">
    <tabColor theme="5" tint="0.59999389629810485"/>
  </sheetPr>
  <dimension ref="A1:Z279"/>
  <sheetViews>
    <sheetView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H8" sqref="H8"/>
    </sheetView>
  </sheetViews>
  <sheetFormatPr defaultRowHeight="23.25" outlineLevelCol="1" x14ac:dyDescent="0.35"/>
  <cols>
    <col min="1" max="1" width="10.26953125" style="103" bestFit="1" customWidth="1"/>
    <col min="2" max="2" width="1.6328125" style="103" customWidth="1"/>
    <col min="3" max="3" width="11.7265625" style="75" customWidth="1"/>
    <col min="4" max="4" width="3.453125" customWidth="1"/>
    <col min="5" max="6" width="8.81640625" bestFit="1" customWidth="1"/>
    <col min="7" max="9" width="11.81640625" customWidth="1" outlineLevel="1"/>
    <col min="10" max="10" width="11.36328125" customWidth="1" outlineLevel="1"/>
    <col min="11" max="14" width="11.81640625" customWidth="1" outlineLevel="1"/>
    <col min="15" max="15" width="3.36328125" style="112" customWidth="1"/>
    <col min="16" max="16" width="3.90625" customWidth="1"/>
    <col min="17" max="17" width="10.1796875" bestFit="1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9" ht="22.5" thickTop="1" thickBot="1" x14ac:dyDescent="0.4">
      <c r="A1"/>
      <c r="B1" s="102"/>
      <c r="C1" s="141" t="s">
        <v>103</v>
      </c>
      <c r="D1" s="141" t="s">
        <v>167</v>
      </c>
      <c r="E1" s="141" t="s">
        <v>168</v>
      </c>
      <c r="F1" s="141" t="s">
        <v>169</v>
      </c>
      <c r="G1" s="140" t="s">
        <v>41</v>
      </c>
      <c r="H1" s="140" t="s">
        <v>42</v>
      </c>
      <c r="I1" s="140" t="s">
        <v>43</v>
      </c>
      <c r="J1" s="140" t="s">
        <v>44</v>
      </c>
      <c r="K1" s="140" t="s">
        <v>45</v>
      </c>
      <c r="L1" s="140" t="s">
        <v>46</v>
      </c>
      <c r="M1" s="140" t="s">
        <v>47</v>
      </c>
      <c r="N1" s="140" t="s">
        <v>48</v>
      </c>
      <c r="O1" s="142" t="s">
        <v>166</v>
      </c>
      <c r="P1" s="140" t="s">
        <v>104</v>
      </c>
    </row>
    <row r="2" spans="1:19" ht="24" thickTop="1" x14ac:dyDescent="0.35">
      <c r="A2"/>
      <c r="B2" s="102"/>
      <c r="C2" s="146" t="s">
        <v>69</v>
      </c>
      <c r="D2" s="147" t="s">
        <v>63</v>
      </c>
      <c r="E2" s="148">
        <v>298.14999999999998</v>
      </c>
      <c r="F2" s="149">
        <v>302.92</v>
      </c>
      <c r="G2" s="125">
        <v>-6.7018670000000002E-2</v>
      </c>
      <c r="H2" s="163">
        <v>-1611406</v>
      </c>
      <c r="I2" s="125">
        <v>-370772.3</v>
      </c>
      <c r="J2" s="163">
        <v>0</v>
      </c>
      <c r="K2" s="125">
        <v>-2763.64</v>
      </c>
      <c r="L2" s="163">
        <v>18653810</v>
      </c>
      <c r="M2" s="125">
        <v>-208550600</v>
      </c>
      <c r="N2" s="163">
        <v>1165804000</v>
      </c>
      <c r="O2" s="414">
        <v>1</v>
      </c>
      <c r="P2" s="131" t="s">
        <v>105</v>
      </c>
      <c r="S2" s="183">
        <f>COUNTA(O2:O281)</f>
        <v>63</v>
      </c>
    </row>
    <row r="3" spans="1:19" x14ac:dyDescent="0.35">
      <c r="A3"/>
      <c r="B3" s="102"/>
      <c r="C3" s="161" t="s">
        <v>69</v>
      </c>
      <c r="D3" s="153" t="s">
        <v>63</v>
      </c>
      <c r="E3" s="281">
        <v>298.14999999999998</v>
      </c>
      <c r="F3" s="286">
        <v>302.91000000000003</v>
      </c>
      <c r="G3" s="337">
        <v>0</v>
      </c>
      <c r="H3" s="154">
        <v>-158.39844524532509</v>
      </c>
      <c r="I3" s="337">
        <v>-46.311022911780618</v>
      </c>
      <c r="J3" s="154">
        <v>3.9413674905285946E-3</v>
      </c>
      <c r="K3" s="337">
        <v>-0.93301705784567912</v>
      </c>
      <c r="L3" s="154">
        <v>1042.105358109327</v>
      </c>
      <c r="M3" s="337">
        <v>-4041.5078076452774</v>
      </c>
      <c r="N3" s="154">
        <v>0</v>
      </c>
      <c r="O3" s="415">
        <v>4</v>
      </c>
      <c r="P3" s="106"/>
    </row>
    <row r="4" spans="1:19" ht="24" thickBot="1" x14ac:dyDescent="0.4">
      <c r="A4"/>
      <c r="B4" s="102"/>
      <c r="C4" s="151" t="s">
        <v>69</v>
      </c>
      <c r="D4" s="133" t="s">
        <v>63</v>
      </c>
      <c r="E4" s="108">
        <v>302.92</v>
      </c>
      <c r="F4" s="109">
        <v>4000</v>
      </c>
      <c r="G4" s="127">
        <v>-6.7018670000000002E-2</v>
      </c>
      <c r="H4" s="134">
        <v>15.167669999999999</v>
      </c>
      <c r="I4" s="127">
        <v>3.135516</v>
      </c>
      <c r="J4" s="134">
        <v>1.4234849999999999E-4</v>
      </c>
      <c r="K4" s="127">
        <v>-5.0186000000000001E-2</v>
      </c>
      <c r="L4" s="134">
        <v>-0.18101780000000001</v>
      </c>
      <c r="M4" s="127">
        <v>0.48311500000000002</v>
      </c>
      <c r="N4" s="134">
        <v>0</v>
      </c>
      <c r="O4" s="416">
        <v>1</v>
      </c>
      <c r="P4" s="131" t="s">
        <v>105</v>
      </c>
    </row>
    <row r="5" spans="1:19" x14ac:dyDescent="0.35">
      <c r="A5"/>
      <c r="B5" s="102"/>
      <c r="C5" s="193" t="s">
        <v>69</v>
      </c>
      <c r="D5" s="196" t="s">
        <v>58</v>
      </c>
      <c r="E5" s="157">
        <v>302.91000000000003</v>
      </c>
      <c r="F5" s="158">
        <v>700</v>
      </c>
      <c r="G5" s="417">
        <v>6.7231944193878151E-2</v>
      </c>
      <c r="H5" s="159">
        <v>15.161939633818086</v>
      </c>
      <c r="I5" s="417">
        <v>3.1356064706236091</v>
      </c>
      <c r="J5" s="159">
        <v>1.4228155631727706E-4</v>
      </c>
      <c r="K5" s="417">
        <v>8.3943884453347564E-2</v>
      </c>
      <c r="L5" s="159">
        <v>-0.18461723495098922</v>
      </c>
      <c r="M5" s="417">
        <v>0.49311443863130677</v>
      </c>
      <c r="N5" s="189">
        <v>0</v>
      </c>
      <c r="O5" s="206">
        <v>4</v>
      </c>
      <c r="P5" s="207">
        <v>0</v>
      </c>
    </row>
    <row r="6" spans="1:19" ht="24" thickBot="1" x14ac:dyDescent="0.4">
      <c r="A6"/>
      <c r="B6" s="102"/>
      <c r="C6" s="194" t="s">
        <v>69</v>
      </c>
      <c r="D6" s="151" t="s">
        <v>58</v>
      </c>
      <c r="E6" s="108">
        <v>303</v>
      </c>
      <c r="F6" s="109">
        <v>699.99990000000003</v>
      </c>
      <c r="G6" s="127">
        <v>0</v>
      </c>
      <c r="H6" s="134">
        <v>14.61</v>
      </c>
      <c r="I6" s="127">
        <v>2.9321999999999999</v>
      </c>
      <c r="J6" s="134">
        <v>1.8641999999999999E-4</v>
      </c>
      <c r="K6" s="127">
        <v>9.2508020000000007E-3</v>
      </c>
      <c r="L6" s="134">
        <v>1.3771</v>
      </c>
      <c r="M6" s="127">
        <v>0</v>
      </c>
      <c r="N6" s="190">
        <v>0</v>
      </c>
      <c r="O6" s="139">
        <v>2</v>
      </c>
      <c r="P6" s="107">
        <v>1</v>
      </c>
    </row>
    <row r="7" spans="1:19" ht="24" thickBot="1" x14ac:dyDescent="0.4">
      <c r="A7"/>
      <c r="B7" s="102"/>
      <c r="C7" s="195" t="s">
        <v>69</v>
      </c>
      <c r="D7" s="197" t="s">
        <v>58</v>
      </c>
      <c r="E7" s="198">
        <v>700</v>
      </c>
      <c r="F7" s="199">
        <v>4000</v>
      </c>
      <c r="G7" s="418">
        <v>6.7231944193878151E-2</v>
      </c>
      <c r="H7" s="166">
        <v>15.161231791276917</v>
      </c>
      <c r="I7" s="418">
        <v>3.1353659269950085</v>
      </c>
      <c r="J7" s="166">
        <v>1.4252209994587768E-4</v>
      </c>
      <c r="K7" s="418">
        <v>8.3930978142227303E-2</v>
      </c>
      <c r="L7" s="166">
        <v>-0.18100908052197964</v>
      </c>
      <c r="M7" s="418">
        <v>0.48309178743961351</v>
      </c>
      <c r="N7" s="192">
        <v>0</v>
      </c>
      <c r="O7" s="208">
        <v>4</v>
      </c>
      <c r="P7" s="207">
        <v>0</v>
      </c>
    </row>
    <row r="8" spans="1:19" ht="24" thickBot="1" x14ac:dyDescent="0.4">
      <c r="A8"/>
      <c r="B8" s="102"/>
      <c r="C8" s="155" t="s">
        <v>69</v>
      </c>
      <c r="D8" s="136" t="s">
        <v>61</v>
      </c>
      <c r="E8" s="110">
        <v>298.14999999999998</v>
      </c>
      <c r="F8" s="111">
        <v>1500</v>
      </c>
      <c r="G8" s="419">
        <v>3.192504</v>
      </c>
      <c r="H8" s="179">
        <v>33.995229999999999</v>
      </c>
      <c r="I8" s="419">
        <v>5.1932309999999999</v>
      </c>
      <c r="J8" s="179">
        <v>-4.8091060000000002E-4</v>
      </c>
      <c r="K8" s="419">
        <v>9.1439489999999998E-2</v>
      </c>
      <c r="L8" s="179">
        <v>-21.466670000000001</v>
      </c>
      <c r="M8" s="419">
        <v>42.981879999999997</v>
      </c>
      <c r="N8" s="179">
        <v>-45.813839999999999</v>
      </c>
      <c r="O8" s="117">
        <v>1</v>
      </c>
      <c r="P8" s="310"/>
    </row>
    <row r="9" spans="1:19" x14ac:dyDescent="0.35">
      <c r="A9"/>
      <c r="B9" s="102"/>
      <c r="C9" s="146" t="s">
        <v>69</v>
      </c>
      <c r="D9" s="147" t="s">
        <v>61</v>
      </c>
      <c r="E9" s="148">
        <v>1500</v>
      </c>
      <c r="F9" s="149">
        <v>6000</v>
      </c>
      <c r="G9" s="420">
        <v>3.192504</v>
      </c>
      <c r="H9" s="150">
        <v>27.29757</v>
      </c>
      <c r="I9" s="420">
        <v>2.370241</v>
      </c>
      <c r="J9" s="150">
        <v>2.138671E-3</v>
      </c>
      <c r="K9" s="420">
        <v>-9.5885429999999994E-2</v>
      </c>
      <c r="L9" s="150">
        <v>0.51440149999999996</v>
      </c>
      <c r="M9" s="420">
        <v>-0.49555690000000002</v>
      </c>
      <c r="N9" s="150">
        <v>0.24712329999999999</v>
      </c>
      <c r="O9" s="184">
        <v>1</v>
      </c>
      <c r="P9" s="310"/>
    </row>
    <row r="10" spans="1:19" ht="24" thickBot="1" x14ac:dyDescent="0.4">
      <c r="A10"/>
      <c r="B10" s="102"/>
      <c r="C10" s="155" t="s">
        <v>69</v>
      </c>
      <c r="D10" s="136" t="s">
        <v>61</v>
      </c>
      <c r="E10" s="110">
        <v>6000</v>
      </c>
      <c r="F10" s="111">
        <v>10000</v>
      </c>
      <c r="G10" s="419">
        <v>3.192504</v>
      </c>
      <c r="H10" s="179">
        <v>31.29327</v>
      </c>
      <c r="I10" s="419">
        <v>7.3013729999999999</v>
      </c>
      <c r="J10" s="179">
        <v>-9.3193609999999996E-2</v>
      </c>
      <c r="K10" s="419">
        <v>1.4353830000000001</v>
      </c>
      <c r="L10" s="179">
        <v>-7.4299809999999997</v>
      </c>
      <c r="M10" s="419">
        <v>2.6981959999999998</v>
      </c>
      <c r="N10" s="179">
        <v>-0.43421900000000002</v>
      </c>
      <c r="O10" s="117">
        <v>1</v>
      </c>
      <c r="P10" s="310"/>
    </row>
    <row r="11" spans="1:19" x14ac:dyDescent="0.35">
      <c r="A11"/>
      <c r="B11" s="102"/>
      <c r="C11" s="146" t="s">
        <v>97</v>
      </c>
      <c r="D11" s="147" t="s">
        <v>61</v>
      </c>
      <c r="E11" s="148">
        <v>298.14999999999998</v>
      </c>
      <c r="F11" s="149">
        <v>1100</v>
      </c>
      <c r="G11" s="420">
        <v>5.2149859999999997</v>
      </c>
      <c r="H11" s="150">
        <v>41.701000000000001</v>
      </c>
      <c r="I11" s="420">
        <v>4.0561670000000003</v>
      </c>
      <c r="J11" s="150">
        <v>2.357301E-5</v>
      </c>
      <c r="K11" s="420">
        <v>0.12889</v>
      </c>
      <c r="L11" s="150">
        <v>11.272</v>
      </c>
      <c r="M11" s="420">
        <v>-9.1847989999999999</v>
      </c>
      <c r="N11" s="150">
        <v>0</v>
      </c>
      <c r="O11" s="184">
        <v>1</v>
      </c>
      <c r="P11" s="95"/>
    </row>
    <row r="12" spans="1:19" ht="24" thickBot="1" x14ac:dyDescent="0.4">
      <c r="A12"/>
      <c r="B12" s="101"/>
      <c r="C12" s="155" t="s">
        <v>97</v>
      </c>
      <c r="D12" s="136" t="s">
        <v>61</v>
      </c>
      <c r="E12" s="110">
        <v>1100</v>
      </c>
      <c r="F12" s="111">
        <v>2500</v>
      </c>
      <c r="G12" s="419">
        <v>5.2149859999999997</v>
      </c>
      <c r="H12" s="179">
        <v>43.677999999999997</v>
      </c>
      <c r="I12" s="419">
        <v>4.8509000000000002</v>
      </c>
      <c r="J12" s="179">
        <v>-3.7446989999999998E-4</v>
      </c>
      <c r="K12" s="419">
        <v>0.1716596</v>
      </c>
      <c r="L12" s="179">
        <v>5.0346000000000002</v>
      </c>
      <c r="M12" s="419">
        <v>-0.32273000000000002</v>
      </c>
      <c r="N12" s="179">
        <v>0</v>
      </c>
      <c r="O12" s="117">
        <v>1</v>
      </c>
      <c r="P12" s="95"/>
    </row>
    <row r="13" spans="1:19" ht="24" thickBot="1" x14ac:dyDescent="0.4">
      <c r="A13"/>
      <c r="B13" s="101"/>
      <c r="C13" s="180" t="s">
        <v>70</v>
      </c>
      <c r="D13" s="174" t="s">
        <v>61</v>
      </c>
      <c r="E13" s="175">
        <v>298.14999999999998</v>
      </c>
      <c r="F13" s="176">
        <v>2000</v>
      </c>
      <c r="G13" s="421">
        <v>1.157</v>
      </c>
      <c r="H13" s="177">
        <v>55.30301</v>
      </c>
      <c r="I13" s="421">
        <v>6.9866000000000001</v>
      </c>
      <c r="J13" s="177">
        <v>-1.7438999999999999E-4</v>
      </c>
      <c r="K13" s="421">
        <v>0.22003</v>
      </c>
      <c r="L13" s="177">
        <v>3.0068000000000001E-2</v>
      </c>
      <c r="M13" s="421">
        <v>0</v>
      </c>
      <c r="N13" s="177">
        <v>0</v>
      </c>
      <c r="O13" s="132">
        <v>1</v>
      </c>
      <c r="P13" s="107"/>
    </row>
    <row r="14" spans="1:19" ht="24" thickBot="1" x14ac:dyDescent="0.4">
      <c r="A14"/>
      <c r="B14" s="101"/>
      <c r="C14" s="169" t="s">
        <v>70</v>
      </c>
      <c r="D14" s="170" t="s">
        <v>63</v>
      </c>
      <c r="E14" s="171">
        <v>298.14999999999998</v>
      </c>
      <c r="F14" s="172">
        <v>398</v>
      </c>
      <c r="G14" s="422">
        <v>-2.2040892416862103</v>
      </c>
      <c r="H14" s="167">
        <v>13.586866317878405</v>
      </c>
      <c r="I14" s="422">
        <v>0</v>
      </c>
      <c r="J14" s="167">
        <v>0</v>
      </c>
      <c r="K14" s="422">
        <v>0</v>
      </c>
      <c r="L14" s="167">
        <v>0</v>
      </c>
      <c r="M14" s="422">
        <v>0</v>
      </c>
      <c r="N14" s="167">
        <v>0</v>
      </c>
      <c r="O14" s="211">
        <v>4</v>
      </c>
      <c r="P14" s="106"/>
    </row>
    <row r="15" spans="1:19" ht="24" thickBot="1" x14ac:dyDescent="0.4">
      <c r="A15"/>
      <c r="B15" s="101"/>
      <c r="C15" s="185" t="s">
        <v>71</v>
      </c>
      <c r="D15" s="174" t="s">
        <v>63</v>
      </c>
      <c r="E15" s="175">
        <v>150</v>
      </c>
      <c r="F15" s="176">
        <v>1278</v>
      </c>
      <c r="G15" s="423">
        <v>-4.9166999999999996</v>
      </c>
      <c r="H15" s="186">
        <v>52.323990000000002</v>
      </c>
      <c r="I15" s="423">
        <v>12.715999999999999</v>
      </c>
      <c r="J15" s="186">
        <v>0</v>
      </c>
      <c r="K15" s="423">
        <v>0.39800999999999997</v>
      </c>
      <c r="L15" s="186">
        <v>21.234000000000002</v>
      </c>
      <c r="M15" s="423">
        <v>0</v>
      </c>
      <c r="N15" s="186">
        <v>0</v>
      </c>
      <c r="O15" s="187">
        <v>2</v>
      </c>
      <c r="P15" s="107"/>
    </row>
    <row r="16" spans="1:19" x14ac:dyDescent="0.35">
      <c r="A16"/>
      <c r="B16" s="101"/>
      <c r="C16" s="146" t="s">
        <v>62</v>
      </c>
      <c r="D16" s="147" t="s">
        <v>61</v>
      </c>
      <c r="E16" s="148">
        <v>298.14999999999998</v>
      </c>
      <c r="F16" s="149">
        <v>1500</v>
      </c>
      <c r="G16" s="420">
        <v>4.3829390000000004</v>
      </c>
      <c r="H16" s="150">
        <v>34.862279999999998</v>
      </c>
      <c r="I16" s="420">
        <v>5.530119</v>
      </c>
      <c r="J16" s="150">
        <v>-3.3787839999999998E-4</v>
      </c>
      <c r="K16" s="420">
        <v>8.1663529999999998E-2</v>
      </c>
      <c r="L16" s="150">
        <v>-21.130780000000001</v>
      </c>
      <c r="M16" s="420">
        <v>36.52984</v>
      </c>
      <c r="N16" s="150">
        <v>-31.421589999999998</v>
      </c>
      <c r="O16" s="184">
        <v>1</v>
      </c>
      <c r="P16" s="95"/>
    </row>
    <row r="17" spans="1:26" x14ac:dyDescent="0.35">
      <c r="A17"/>
      <c r="B17" s="101"/>
      <c r="C17" s="151" t="s">
        <v>62</v>
      </c>
      <c r="D17" s="133" t="s">
        <v>61</v>
      </c>
      <c r="E17" s="108">
        <v>1500</v>
      </c>
      <c r="F17" s="109">
        <v>6000</v>
      </c>
      <c r="G17" s="424">
        <v>4.3829390000000004</v>
      </c>
      <c r="H17" s="152">
        <v>26.704419999999999</v>
      </c>
      <c r="I17" s="424">
        <v>1.8358589999999999</v>
      </c>
      <c r="J17" s="152">
        <v>3.9919220000000002E-3</v>
      </c>
      <c r="K17" s="424">
        <v>-0.2011674</v>
      </c>
      <c r="L17" s="152">
        <v>2.865237</v>
      </c>
      <c r="M17" s="424">
        <v>-1.920703</v>
      </c>
      <c r="N17" s="152">
        <v>0.6292025</v>
      </c>
      <c r="O17" s="116">
        <v>1</v>
      </c>
      <c r="P17" s="95"/>
    </row>
    <row r="18" spans="1:26" ht="24" thickBot="1" x14ac:dyDescent="0.4">
      <c r="A18"/>
      <c r="B18" s="101"/>
      <c r="C18" s="155" t="s">
        <v>62</v>
      </c>
      <c r="D18" s="136" t="s">
        <v>61</v>
      </c>
      <c r="E18" s="110">
        <v>6000</v>
      </c>
      <c r="F18" s="111">
        <v>10000</v>
      </c>
      <c r="G18" s="419">
        <v>4.3829390000000004</v>
      </c>
      <c r="H18" s="179">
        <v>30.185140000000001</v>
      </c>
      <c r="I18" s="419">
        <v>6.3430540000000004</v>
      </c>
      <c r="J18" s="179">
        <v>-9.5135109999999995E-2</v>
      </c>
      <c r="K18" s="419">
        <v>1.2754369999999999</v>
      </c>
      <c r="L18" s="179">
        <v>-4.2694150000000004</v>
      </c>
      <c r="M18" s="419">
        <v>1.041687</v>
      </c>
      <c r="N18" s="179">
        <v>-6.3588229999999996E-2</v>
      </c>
      <c r="O18" s="117">
        <v>1</v>
      </c>
      <c r="P18" s="95"/>
    </row>
    <row r="19" spans="1:26" ht="24" thickBot="1" x14ac:dyDescent="0.4">
      <c r="A19"/>
      <c r="B19" s="101"/>
      <c r="C19" s="180" t="s">
        <v>62</v>
      </c>
      <c r="D19" s="174" t="s">
        <v>58</v>
      </c>
      <c r="E19" s="175">
        <v>1211.4000000000001</v>
      </c>
      <c r="F19" s="176">
        <v>4900</v>
      </c>
      <c r="G19" s="423">
        <v>-5.5760690000000002E-2</v>
      </c>
      <c r="H19" s="186">
        <v>15.395060000000001</v>
      </c>
      <c r="I19" s="423">
        <v>3.319661</v>
      </c>
      <c r="J19" s="186">
        <v>0</v>
      </c>
      <c r="K19" s="423">
        <v>-0.38367639999999997</v>
      </c>
      <c r="L19" s="186">
        <v>0</v>
      </c>
      <c r="M19" s="423">
        <v>0</v>
      </c>
      <c r="N19" s="186">
        <v>0</v>
      </c>
      <c r="O19" s="209">
        <v>1</v>
      </c>
      <c r="P19" s="107"/>
    </row>
    <row r="20" spans="1:26" ht="24" thickBot="1" x14ac:dyDescent="0.4">
      <c r="A20"/>
      <c r="B20" s="101"/>
      <c r="C20" s="180" t="s">
        <v>62</v>
      </c>
      <c r="D20" s="174" t="s">
        <v>63</v>
      </c>
      <c r="E20" s="175">
        <v>298.14999999999998</v>
      </c>
      <c r="F20" s="176">
        <v>1211.4000000000001</v>
      </c>
      <c r="G20" s="423">
        <v>-5.5760690000000002E-2</v>
      </c>
      <c r="H20" s="186">
        <v>10.808619999999999</v>
      </c>
      <c r="I20" s="423">
        <v>2.898209</v>
      </c>
      <c r="J20" s="186">
        <v>-9.4357770000000004E-5</v>
      </c>
      <c r="K20" s="423">
        <v>3.8575789999999999E-2</v>
      </c>
      <c r="L20" s="186">
        <v>1.796346</v>
      </c>
      <c r="M20" s="423">
        <v>0</v>
      </c>
      <c r="N20" s="186">
        <v>0</v>
      </c>
      <c r="O20" s="132">
        <v>1</v>
      </c>
      <c r="P20" s="95"/>
    </row>
    <row r="21" spans="1:26" x14ac:dyDescent="0.35">
      <c r="A21"/>
      <c r="B21" s="101"/>
      <c r="C21" s="146" t="s">
        <v>95</v>
      </c>
      <c r="D21" s="147" t="s">
        <v>61</v>
      </c>
      <c r="E21" s="148">
        <v>298.14999999999998</v>
      </c>
      <c r="F21" s="149">
        <v>1500</v>
      </c>
      <c r="G21" s="420">
        <v>5.674709</v>
      </c>
      <c r="H21" s="150">
        <v>49.524940000000001</v>
      </c>
      <c r="I21" s="420">
        <v>7.0513279999999998</v>
      </c>
      <c r="J21" s="150">
        <v>-1.341195E-5</v>
      </c>
      <c r="K21" s="420">
        <v>5.245814E-2</v>
      </c>
      <c r="L21" s="150">
        <v>-24.580100000000002</v>
      </c>
      <c r="M21" s="420">
        <v>62.099780000000003</v>
      </c>
      <c r="N21" s="150">
        <v>-81.046109999999999</v>
      </c>
      <c r="O21" s="113">
        <v>1</v>
      </c>
      <c r="P21" s="130"/>
    </row>
    <row r="22" spans="1:26" ht="24" thickBot="1" x14ac:dyDescent="0.4">
      <c r="A22"/>
      <c r="B22" s="101"/>
      <c r="C22" s="155" t="s">
        <v>95</v>
      </c>
      <c r="D22" s="136" t="s">
        <v>61</v>
      </c>
      <c r="E22" s="110">
        <v>1500</v>
      </c>
      <c r="F22" s="111">
        <v>6000</v>
      </c>
      <c r="G22" s="419">
        <v>5.674709</v>
      </c>
      <c r="H22" s="179">
        <v>40.162990000000001</v>
      </c>
      <c r="I22" s="419">
        <v>2.7510140000000001</v>
      </c>
      <c r="J22" s="179">
        <v>7.8054969999999998E-3</v>
      </c>
      <c r="K22" s="419">
        <v>-0.32734089999999999</v>
      </c>
      <c r="L22" s="179">
        <v>6.01546</v>
      </c>
      <c r="M22" s="419">
        <v>-3.5431430000000002</v>
      </c>
      <c r="N22" s="179">
        <v>0.75900279999999998</v>
      </c>
      <c r="O22" s="115">
        <v>1</v>
      </c>
      <c r="P22" s="130"/>
    </row>
    <row r="23" spans="1:26" ht="24" thickBot="1" x14ac:dyDescent="0.4">
      <c r="A23"/>
      <c r="B23" s="101"/>
      <c r="C23" s="180" t="s">
        <v>81</v>
      </c>
      <c r="D23" s="174" t="s">
        <v>61</v>
      </c>
      <c r="E23" s="175">
        <v>298.14999999999998</v>
      </c>
      <c r="F23" s="176">
        <v>2000</v>
      </c>
      <c r="G23" s="421">
        <v>1.2677</v>
      </c>
      <c r="H23" s="177">
        <v>11.071</v>
      </c>
      <c r="I23" s="421">
        <v>4.4489000000000001</v>
      </c>
      <c r="J23" s="177">
        <v>-1.0823999999999999E-4</v>
      </c>
      <c r="K23" s="421">
        <v>0.13999</v>
      </c>
      <c r="L23" s="177">
        <v>0.10223</v>
      </c>
      <c r="M23" s="421">
        <v>0</v>
      </c>
      <c r="N23" s="177">
        <v>0</v>
      </c>
      <c r="O23" s="132">
        <v>1</v>
      </c>
      <c r="P23" s="95"/>
    </row>
    <row r="24" spans="1:26" ht="24" thickBot="1" x14ac:dyDescent="0.4">
      <c r="A24"/>
      <c r="B24" s="101"/>
      <c r="C24" s="155" t="s">
        <v>81</v>
      </c>
      <c r="D24" s="136" t="s">
        <v>63</v>
      </c>
      <c r="E24" s="110">
        <v>298.14999999999998</v>
      </c>
      <c r="F24" s="111">
        <v>947.99990000000003</v>
      </c>
      <c r="G24" s="425">
        <v>-0.82987549999999999</v>
      </c>
      <c r="H24" s="137">
        <v>22.446940000000001</v>
      </c>
      <c r="I24" s="425">
        <v>5.4242590000000002</v>
      </c>
      <c r="J24" s="137">
        <v>0</v>
      </c>
      <c r="K24" s="425">
        <v>0.17049120000000001</v>
      </c>
      <c r="L24" s="137">
        <v>9.8622890000000005</v>
      </c>
      <c r="M24" s="425">
        <v>0</v>
      </c>
      <c r="N24" s="137">
        <v>0</v>
      </c>
      <c r="O24" s="117">
        <v>1</v>
      </c>
      <c r="P24" s="130"/>
    </row>
    <row r="25" spans="1:26" ht="24" thickBot="1" x14ac:dyDescent="0.4">
      <c r="A25"/>
      <c r="B25" s="101"/>
      <c r="C25" s="146" t="s">
        <v>82</v>
      </c>
      <c r="D25" s="147" t="s">
        <v>63</v>
      </c>
      <c r="E25" s="148">
        <v>298.14999999999998</v>
      </c>
      <c r="F25" s="149">
        <v>1013</v>
      </c>
      <c r="G25" s="125">
        <v>-1.3591</v>
      </c>
      <c r="H25" s="163">
        <v>31.553999999999998</v>
      </c>
      <c r="I25" s="125">
        <v>7.5639000000000003</v>
      </c>
      <c r="J25" s="163">
        <v>0</v>
      </c>
      <c r="K25" s="125">
        <v>0.24035000000000001</v>
      </c>
      <c r="L25" s="163">
        <v>16.681999999999999</v>
      </c>
      <c r="M25" s="125">
        <v>0</v>
      </c>
      <c r="N25" s="163">
        <v>0</v>
      </c>
      <c r="O25" s="138">
        <v>2</v>
      </c>
      <c r="P25" s="131" t="s">
        <v>105</v>
      </c>
    </row>
    <row r="26" spans="1:26" x14ac:dyDescent="0.35">
      <c r="A26"/>
      <c r="B26" s="101"/>
      <c r="C26" s="201" t="s">
        <v>82</v>
      </c>
      <c r="D26" s="196" t="s">
        <v>63</v>
      </c>
      <c r="E26" s="204">
        <v>298.14999999999998</v>
      </c>
      <c r="F26" s="205">
        <v>350</v>
      </c>
      <c r="G26" s="417">
        <v>-1.3586866317878405</v>
      </c>
      <c r="H26" s="159">
        <v>68.816676906083146</v>
      </c>
      <c r="I26" s="417">
        <v>17.608515244452462</v>
      </c>
      <c r="J26" s="159">
        <v>-5.8145408623489088E-4</v>
      </c>
      <c r="K26" s="417">
        <v>0.41318596346922787</v>
      </c>
      <c r="L26" s="159">
        <v>-252.13723014011663</v>
      </c>
      <c r="M26" s="417">
        <v>1383.1599414677171</v>
      </c>
      <c r="N26" s="159">
        <v>0</v>
      </c>
      <c r="O26" s="210">
        <v>4</v>
      </c>
      <c r="P26" s="106"/>
    </row>
    <row r="27" spans="1:26" x14ac:dyDescent="0.35">
      <c r="A27"/>
      <c r="B27" s="101"/>
      <c r="C27" s="202" t="s">
        <v>82</v>
      </c>
      <c r="D27" s="203" t="s">
        <v>63</v>
      </c>
      <c r="E27" s="173">
        <v>350</v>
      </c>
      <c r="F27" s="200">
        <v>420</v>
      </c>
      <c r="G27" s="337">
        <v>-1.3586866317878405</v>
      </c>
      <c r="H27" s="154">
        <v>12.046908589131874</v>
      </c>
      <c r="I27" s="337">
        <v>1.7622226231282696</v>
      </c>
      <c r="J27" s="154">
        <v>0</v>
      </c>
      <c r="K27" s="337">
        <v>0.14511938535984314</v>
      </c>
      <c r="L27" s="154">
        <v>105.72854651512418</v>
      </c>
      <c r="M27" s="337">
        <v>0</v>
      </c>
      <c r="N27" s="154">
        <v>0</v>
      </c>
      <c r="O27" s="239">
        <v>4</v>
      </c>
      <c r="P27" s="106"/>
    </row>
    <row r="28" spans="1:26" x14ac:dyDescent="0.35">
      <c r="A28"/>
      <c r="B28" s="101"/>
      <c r="C28" s="202" t="s">
        <v>82</v>
      </c>
      <c r="D28" s="203" t="s">
        <v>63</v>
      </c>
      <c r="E28" s="173">
        <v>420</v>
      </c>
      <c r="F28" s="200">
        <v>450</v>
      </c>
      <c r="G28" s="337">
        <v>-1.3586866317878405</v>
      </c>
      <c r="H28" s="154">
        <v>38.768510038576053</v>
      </c>
      <c r="I28" s="337">
        <v>9.9832822178122544</v>
      </c>
      <c r="J28" s="154">
        <v>0</v>
      </c>
      <c r="K28" s="337">
        <v>0.30389873228389108</v>
      </c>
      <c r="L28" s="154">
        <v>0</v>
      </c>
      <c r="M28" s="337">
        <v>0</v>
      </c>
      <c r="N28" s="154">
        <v>0</v>
      </c>
      <c r="O28" s="415">
        <v>4</v>
      </c>
      <c r="P28" s="106"/>
      <c r="Q28" s="74"/>
      <c r="R28" s="74"/>
      <c r="S28" s="74"/>
      <c r="T28" s="74"/>
      <c r="U28" s="74"/>
      <c r="V28" s="74"/>
      <c r="W28" s="74"/>
      <c r="X28" s="74"/>
      <c r="Y28" s="74"/>
      <c r="Z28" s="74"/>
    </row>
    <row r="29" spans="1:26" ht="24" thickBot="1" x14ac:dyDescent="0.4">
      <c r="A29"/>
      <c r="B29" s="101"/>
      <c r="C29" s="191" t="s">
        <v>82</v>
      </c>
      <c r="D29" s="197" t="s">
        <v>63</v>
      </c>
      <c r="E29" s="164">
        <v>450</v>
      </c>
      <c r="F29" s="165">
        <v>900</v>
      </c>
      <c r="G29" s="418">
        <v>-1.3586866317878405</v>
      </c>
      <c r="H29" s="166">
        <v>18.364758562217371</v>
      </c>
      <c r="I29" s="418">
        <v>2.0299476817607793</v>
      </c>
      <c r="J29" s="166">
        <v>2.736243911239401E-3</v>
      </c>
      <c r="K29" s="418">
        <v>-6.5765806573927721E-2</v>
      </c>
      <c r="L29" s="166">
        <v>61.455288953033858</v>
      </c>
      <c r="M29" s="418">
        <v>-80.11305550544229</v>
      </c>
      <c r="N29" s="166">
        <v>0</v>
      </c>
      <c r="O29" s="431">
        <v>4</v>
      </c>
      <c r="P29" s="106"/>
    </row>
    <row r="30" spans="1:26" x14ac:dyDescent="0.35">
      <c r="A30"/>
      <c r="B30" s="101"/>
      <c r="C30" s="188" t="s">
        <v>64</v>
      </c>
      <c r="D30" s="147" t="s">
        <v>63</v>
      </c>
      <c r="E30" s="148">
        <v>298.14999999999998</v>
      </c>
      <c r="F30" s="149">
        <v>494.3</v>
      </c>
      <c r="G30" s="125">
        <v>-6.6260929999999996E-2</v>
      </c>
      <c r="H30" s="163">
        <v>10.212899999999999</v>
      </c>
      <c r="I30" s="125">
        <v>2.3373539999999999</v>
      </c>
      <c r="J30" s="163">
        <v>0</v>
      </c>
      <c r="K30" s="125">
        <v>1.4182739999999999E-2</v>
      </c>
      <c r="L30" s="163">
        <v>13.63707</v>
      </c>
      <c r="M30" s="125">
        <v>-25.78952</v>
      </c>
      <c r="N30" s="163">
        <v>0</v>
      </c>
      <c r="O30" s="233">
        <v>1</v>
      </c>
      <c r="P30" s="130"/>
    </row>
    <row r="31" spans="1:26" ht="24" thickBot="1" x14ac:dyDescent="0.4">
      <c r="C31" s="178" t="s">
        <v>64</v>
      </c>
      <c r="D31" s="136" t="s">
        <v>63</v>
      </c>
      <c r="E31" s="110">
        <v>494.3</v>
      </c>
      <c r="F31" s="111">
        <v>1000</v>
      </c>
      <c r="G31" s="425">
        <v>-6.6260929999999996E-2</v>
      </c>
      <c r="H31" s="137">
        <v>23.305810000000001</v>
      </c>
      <c r="I31" s="425">
        <v>6.3044700000000002</v>
      </c>
      <c r="J31" s="137">
        <v>0</v>
      </c>
      <c r="K31" s="425">
        <v>5.1929419999999997E-2</v>
      </c>
      <c r="L31" s="137">
        <v>-29.829440000000002</v>
      </c>
      <c r="M31" s="425">
        <v>65.022059999999996</v>
      </c>
      <c r="N31" s="137">
        <v>0</v>
      </c>
      <c r="O31" s="117">
        <v>1</v>
      </c>
      <c r="P31" s="130"/>
    </row>
    <row r="32" spans="1:26" ht="24" thickBot="1" x14ac:dyDescent="0.4">
      <c r="C32" s="178" t="s">
        <v>64</v>
      </c>
      <c r="D32" s="136" t="s">
        <v>63</v>
      </c>
      <c r="E32" s="110">
        <v>1000</v>
      </c>
      <c r="F32" s="111">
        <v>1800</v>
      </c>
      <c r="G32" s="425">
        <v>-6.6260929999999996E-2</v>
      </c>
      <c r="H32" s="137">
        <v>16.601150000000001</v>
      </c>
      <c r="I32" s="425">
        <v>4.2397850000000004</v>
      </c>
      <c r="J32" s="137">
        <v>0</v>
      </c>
      <c r="K32" s="425">
        <v>1.3699609999999999E-2</v>
      </c>
      <c r="L32" s="137">
        <v>0</v>
      </c>
      <c r="M32" s="425">
        <v>0</v>
      </c>
      <c r="N32" s="137">
        <v>0</v>
      </c>
      <c r="O32" s="117">
        <v>1</v>
      </c>
      <c r="P32" s="310"/>
    </row>
    <row r="33" spans="1:16" x14ac:dyDescent="0.35">
      <c r="C33" s="151" t="s">
        <v>64</v>
      </c>
      <c r="D33" s="133" t="s">
        <v>58</v>
      </c>
      <c r="E33" s="108">
        <v>493.00009999999997</v>
      </c>
      <c r="F33" s="109">
        <v>957.00009999999997</v>
      </c>
      <c r="G33" s="127">
        <v>0</v>
      </c>
      <c r="H33" s="134">
        <v>16.690000000000001</v>
      </c>
      <c r="I33" s="127">
        <v>4.2279999999999998</v>
      </c>
      <c r="J33" s="134">
        <v>0</v>
      </c>
      <c r="K33" s="127">
        <v>7.2510000000000005E-2</v>
      </c>
      <c r="L33" s="134">
        <v>0</v>
      </c>
      <c r="M33" s="127">
        <v>0</v>
      </c>
      <c r="N33" s="134">
        <v>0</v>
      </c>
      <c r="O33" s="326">
        <v>2</v>
      </c>
      <c r="P33" s="107">
        <v>1</v>
      </c>
    </row>
    <row r="34" spans="1:16" x14ac:dyDescent="0.35">
      <c r="C34" s="322" t="s">
        <v>64</v>
      </c>
      <c r="D34" s="31" t="s">
        <v>58</v>
      </c>
      <c r="E34" s="30">
        <v>494.00009999999997</v>
      </c>
      <c r="F34" s="324">
        <v>1000</v>
      </c>
      <c r="G34" s="426">
        <v>7.4080010000000002E-2</v>
      </c>
      <c r="H34" s="325">
        <v>23.32</v>
      </c>
      <c r="I34" s="426">
        <v>6.3019999999999996</v>
      </c>
      <c r="J34" s="325">
        <v>0</v>
      </c>
      <c r="K34" s="426">
        <v>0.19220000000000001</v>
      </c>
      <c r="L34" s="325">
        <v>-29.83</v>
      </c>
      <c r="M34" s="426">
        <v>64.95</v>
      </c>
      <c r="N34" s="325">
        <v>0</v>
      </c>
      <c r="O34" s="432">
        <v>1</v>
      </c>
      <c r="P34" s="130">
        <v>0</v>
      </c>
    </row>
    <row r="35" spans="1:16" ht="24" thickBot="1" x14ac:dyDescent="0.4">
      <c r="C35" s="322" t="s">
        <v>64</v>
      </c>
      <c r="D35" s="31" t="s">
        <v>58</v>
      </c>
      <c r="E35" s="30">
        <v>1000</v>
      </c>
      <c r="F35" s="324">
        <v>1800</v>
      </c>
      <c r="G35" s="426">
        <v>7.4080010000000002E-2</v>
      </c>
      <c r="H35" s="325">
        <v>16.62</v>
      </c>
      <c r="I35" s="426">
        <v>4.2460000000000004</v>
      </c>
      <c r="J35" s="325">
        <v>0</v>
      </c>
      <c r="K35" s="426">
        <v>0.15490000000000001</v>
      </c>
      <c r="L35" s="325">
        <v>0</v>
      </c>
      <c r="M35" s="426">
        <v>0</v>
      </c>
      <c r="N35" s="325">
        <v>0</v>
      </c>
      <c r="O35" s="432">
        <v>1</v>
      </c>
      <c r="P35" s="130">
        <v>0</v>
      </c>
    </row>
    <row r="36" spans="1:16" ht="24" thickBot="1" x14ac:dyDescent="0.4">
      <c r="C36" s="169" t="s">
        <v>100</v>
      </c>
      <c r="D36" s="170" t="s">
        <v>63</v>
      </c>
      <c r="E36" s="171">
        <v>298.14999999999998</v>
      </c>
      <c r="F36" s="172">
        <v>398</v>
      </c>
      <c r="G36" s="422">
        <v>6.0388477960190028E-2</v>
      </c>
      <c r="H36" s="167">
        <v>14.027300531776039</v>
      </c>
      <c r="I36" s="422">
        <v>3.265379758253653</v>
      </c>
      <c r="J36" s="167">
        <v>0</v>
      </c>
      <c r="K36" s="422">
        <v>9.7357297492332656E-2</v>
      </c>
      <c r="L36" s="167">
        <v>0</v>
      </c>
      <c r="M36" s="422">
        <v>0</v>
      </c>
      <c r="N36" s="167">
        <v>0</v>
      </c>
      <c r="O36" s="211">
        <v>4</v>
      </c>
      <c r="P36" s="95"/>
    </row>
    <row r="37" spans="1:16" s="93" customFormat="1" ht="24" thickBot="1" x14ac:dyDescent="0.4">
      <c r="A37" s="104"/>
      <c r="B37" s="104"/>
      <c r="C37" s="169" t="s">
        <v>101</v>
      </c>
      <c r="D37" s="170" t="s">
        <v>63</v>
      </c>
      <c r="E37" s="171">
        <v>298</v>
      </c>
      <c r="F37" s="172">
        <v>413</v>
      </c>
      <c r="G37" s="422">
        <v>0.10769138252450537</v>
      </c>
      <c r="H37" s="167">
        <v>54.853251742343801</v>
      </c>
      <c r="I37" s="422">
        <v>12.931625473570268</v>
      </c>
      <c r="J37" s="167">
        <v>-2.6345540922484819E-4</v>
      </c>
      <c r="K37" s="422">
        <v>0.40426080105349993</v>
      </c>
      <c r="L37" s="167">
        <v>-5.4483131878044384</v>
      </c>
      <c r="M37" s="422">
        <v>114.4045542927015</v>
      </c>
      <c r="N37" s="167">
        <v>0</v>
      </c>
      <c r="O37" s="433">
        <v>4</v>
      </c>
      <c r="P37" s="106"/>
    </row>
    <row r="38" spans="1:16" s="93" customFormat="1" ht="24" thickBot="1" x14ac:dyDescent="0.4">
      <c r="A38" s="104"/>
      <c r="B38" s="104"/>
      <c r="C38" s="161" t="s">
        <v>102</v>
      </c>
      <c r="D38" s="153" t="s">
        <v>63</v>
      </c>
      <c r="E38" s="173">
        <v>298.14999999999998</v>
      </c>
      <c r="F38" s="162">
        <v>398</v>
      </c>
      <c r="G38" s="337">
        <v>0.1962595465752601</v>
      </c>
      <c r="H38" s="154">
        <v>18.555499584494658</v>
      </c>
      <c r="I38" s="337">
        <v>4.881231583378435</v>
      </c>
      <c r="J38" s="154">
        <v>0</v>
      </c>
      <c r="K38" s="337">
        <v>0.14553391965842802</v>
      </c>
      <c r="L38" s="154">
        <v>0</v>
      </c>
      <c r="M38" s="337">
        <v>0</v>
      </c>
      <c r="N38" s="154">
        <v>0</v>
      </c>
      <c r="O38" s="241">
        <v>4</v>
      </c>
      <c r="P38" s="106"/>
    </row>
    <row r="39" spans="1:16" s="93" customFormat="1" x14ac:dyDescent="0.35">
      <c r="A39" s="104"/>
      <c r="B39" s="104"/>
      <c r="C39" s="188" t="s">
        <v>88</v>
      </c>
      <c r="D39" s="146" t="s">
        <v>61</v>
      </c>
      <c r="E39" s="148">
        <v>298.14999999999998</v>
      </c>
      <c r="F39" s="149">
        <v>1500</v>
      </c>
      <c r="G39" s="420">
        <v>1.6083639999999999</v>
      </c>
      <c r="H39" s="150">
        <v>46.654719999999998</v>
      </c>
      <c r="I39" s="420">
        <v>6.370749</v>
      </c>
      <c r="J39" s="150">
        <v>-1.7220000000000001E-4</v>
      </c>
      <c r="K39" s="420">
        <v>6.049562E-2</v>
      </c>
      <c r="L39" s="150">
        <v>-20.810030000000001</v>
      </c>
      <c r="M39" s="420">
        <v>56.994140000000002</v>
      </c>
      <c r="N39" s="150">
        <v>-73.985680000000002</v>
      </c>
      <c r="O39" s="184">
        <v>1</v>
      </c>
      <c r="P39" s="130"/>
    </row>
    <row r="40" spans="1:16" s="93" customFormat="1" ht="24" thickBot="1" x14ac:dyDescent="0.4">
      <c r="A40" s="104"/>
      <c r="B40" s="104"/>
      <c r="C40" s="168" t="s">
        <v>88</v>
      </c>
      <c r="D40" s="151" t="s">
        <v>61</v>
      </c>
      <c r="E40" s="108">
        <v>1500</v>
      </c>
      <c r="F40" s="109">
        <v>6000</v>
      </c>
      <c r="G40" s="424">
        <v>1.6083639999999999</v>
      </c>
      <c r="H40" s="152">
        <v>41.393599999999999</v>
      </c>
      <c r="I40" s="424">
        <v>4.6638549999999999</v>
      </c>
      <c r="J40" s="152">
        <v>-1.334432E-3</v>
      </c>
      <c r="K40" s="424">
        <v>3.6780319999999998E-2</v>
      </c>
      <c r="L40" s="152">
        <v>0.98545360000000004</v>
      </c>
      <c r="M40" s="424">
        <v>-0.13838919999999999</v>
      </c>
      <c r="N40" s="152">
        <v>-0.2247374</v>
      </c>
      <c r="O40" s="116">
        <v>1</v>
      </c>
      <c r="P40" s="130"/>
    </row>
    <row r="41" spans="1:16" x14ac:dyDescent="0.35">
      <c r="C41" s="225" t="s">
        <v>89</v>
      </c>
      <c r="D41" s="146" t="s">
        <v>61</v>
      </c>
      <c r="E41" s="148">
        <v>298.14999999999998</v>
      </c>
      <c r="F41" s="149">
        <v>1500</v>
      </c>
      <c r="G41" s="420">
        <v>1.9782420000000001</v>
      </c>
      <c r="H41" s="150">
        <v>54.51784</v>
      </c>
      <c r="I41" s="420">
        <v>6.89046</v>
      </c>
      <c r="J41" s="150">
        <v>-1.736525E-4</v>
      </c>
      <c r="K41" s="420">
        <v>5.6347979999999999E-2</v>
      </c>
      <c r="L41" s="150">
        <v>1.1843140000000001</v>
      </c>
      <c r="M41" s="420">
        <v>-3.094471</v>
      </c>
      <c r="N41" s="150">
        <v>4.1616710000000001</v>
      </c>
      <c r="O41" s="184">
        <v>1</v>
      </c>
      <c r="P41" s="130"/>
    </row>
    <row r="42" spans="1:16" ht="24" thickBot="1" x14ac:dyDescent="0.4">
      <c r="C42" s="226" t="s">
        <v>89</v>
      </c>
      <c r="D42" s="151" t="s">
        <v>61</v>
      </c>
      <c r="E42" s="108">
        <v>1500</v>
      </c>
      <c r="F42" s="109">
        <v>6000</v>
      </c>
      <c r="G42" s="424">
        <v>1.9782420000000001</v>
      </c>
      <c r="H42" s="152">
        <v>54.816650000000003</v>
      </c>
      <c r="I42" s="424">
        <v>7.0000840000000002</v>
      </c>
      <c r="J42" s="152">
        <v>-2.193664E-4</v>
      </c>
      <c r="K42" s="424">
        <v>6.1325909999999997E-2</v>
      </c>
      <c r="L42" s="152">
        <v>3.7539989999999998E-4</v>
      </c>
      <c r="M42" s="424">
        <v>-1.8322499999999999E-4</v>
      </c>
      <c r="N42" s="152">
        <v>4.3410669999999999E-5</v>
      </c>
      <c r="O42" s="116">
        <v>1</v>
      </c>
      <c r="P42" s="130"/>
    </row>
    <row r="43" spans="1:16" x14ac:dyDescent="0.35">
      <c r="C43" s="225" t="s">
        <v>90</v>
      </c>
      <c r="D43" s="146" t="s">
        <v>61</v>
      </c>
      <c r="E43" s="148">
        <v>298.14999999999998</v>
      </c>
      <c r="F43" s="149">
        <v>1500</v>
      </c>
      <c r="G43" s="420">
        <v>1.7796749999999999</v>
      </c>
      <c r="H43" s="150">
        <v>65.627989999999997</v>
      </c>
      <c r="I43" s="420">
        <v>9.8077830000000006</v>
      </c>
      <c r="J43" s="150">
        <v>-2.9475889999999998E-4</v>
      </c>
      <c r="K43" s="420">
        <v>0.1005359</v>
      </c>
      <c r="L43" s="150">
        <v>2.0750869999999999</v>
      </c>
      <c r="M43" s="420">
        <v>-5.417872</v>
      </c>
      <c r="N43" s="150">
        <v>7.2822940000000003</v>
      </c>
      <c r="O43" s="184">
        <v>1</v>
      </c>
      <c r="P43" s="130"/>
    </row>
    <row r="44" spans="1:16" ht="24" thickBot="1" x14ac:dyDescent="0.4">
      <c r="C44" s="110" t="s">
        <v>90</v>
      </c>
      <c r="D44" s="155" t="s">
        <v>61</v>
      </c>
      <c r="E44" s="110">
        <v>1500</v>
      </c>
      <c r="F44" s="111">
        <v>6000</v>
      </c>
      <c r="G44" s="419">
        <v>1.7796749999999999</v>
      </c>
      <c r="H44" s="179">
        <v>66.151300000000006</v>
      </c>
      <c r="I44" s="419">
        <v>9.9996779999999994</v>
      </c>
      <c r="J44" s="179">
        <v>-3.7359040000000001E-4</v>
      </c>
      <c r="K44" s="419">
        <v>0.1092219</v>
      </c>
      <c r="L44" s="179">
        <v>1.8328540000000001E-3</v>
      </c>
      <c r="M44" s="419">
        <v>-1.155547E-3</v>
      </c>
      <c r="N44" s="179">
        <v>3.7609010000000002E-4</v>
      </c>
      <c r="O44" s="117">
        <v>1</v>
      </c>
      <c r="P44" s="130"/>
    </row>
    <row r="45" spans="1:16" x14ac:dyDescent="0.35">
      <c r="C45" s="151" t="s">
        <v>91</v>
      </c>
      <c r="D45" s="133" t="s">
        <v>61</v>
      </c>
      <c r="E45" s="108">
        <v>298.14999999999998</v>
      </c>
      <c r="F45" s="109">
        <v>1500</v>
      </c>
      <c r="G45" s="424">
        <v>1.593137</v>
      </c>
      <c r="H45" s="152">
        <v>82.10181</v>
      </c>
      <c r="I45" s="424">
        <v>12.889200000000001</v>
      </c>
      <c r="J45" s="152">
        <v>-2.7534359999999998E-4</v>
      </c>
      <c r="K45" s="424">
        <v>0.11292489999999999</v>
      </c>
      <c r="L45" s="152">
        <v>1.2045049999999999</v>
      </c>
      <c r="M45" s="424">
        <v>-3.1549330000000002</v>
      </c>
      <c r="N45" s="152">
        <v>4.2508710000000001</v>
      </c>
      <c r="O45" s="114">
        <v>1</v>
      </c>
      <c r="P45" s="130"/>
    </row>
    <row r="46" spans="1:16" ht="24" thickBot="1" x14ac:dyDescent="0.4">
      <c r="C46" s="151" t="s">
        <v>91</v>
      </c>
      <c r="D46" s="133" t="s">
        <v>61</v>
      </c>
      <c r="E46" s="108">
        <v>1500</v>
      </c>
      <c r="F46" s="109">
        <v>6000</v>
      </c>
      <c r="G46" s="424">
        <v>1.593137</v>
      </c>
      <c r="H46" s="152">
        <v>82.404619999999994</v>
      </c>
      <c r="I46" s="424">
        <v>12.999980000000001</v>
      </c>
      <c r="J46" s="152">
        <v>-3.1975439999999998E-4</v>
      </c>
      <c r="K46" s="424">
        <v>0.117897</v>
      </c>
      <c r="L46" s="152">
        <v>1.496076E-3</v>
      </c>
      <c r="M46" s="424">
        <v>-1.046272E-3</v>
      </c>
      <c r="N46" s="152">
        <v>3.8618760000000001E-4</v>
      </c>
      <c r="O46" s="114">
        <v>1</v>
      </c>
      <c r="P46" s="130"/>
    </row>
    <row r="47" spans="1:16" x14ac:dyDescent="0.35">
      <c r="C47" s="148" t="s">
        <v>92</v>
      </c>
      <c r="D47" s="146" t="s">
        <v>61</v>
      </c>
      <c r="E47" s="148">
        <v>298.14999999999998</v>
      </c>
      <c r="F47" s="149">
        <v>1500</v>
      </c>
      <c r="G47" s="420">
        <v>1.310376</v>
      </c>
      <c r="H47" s="150">
        <v>92.080410000000001</v>
      </c>
      <c r="I47" s="420">
        <v>15.90657</v>
      </c>
      <c r="J47" s="150">
        <v>-3.1941130000000002E-4</v>
      </c>
      <c r="K47" s="420">
        <v>0.14695030000000001</v>
      </c>
      <c r="L47" s="150">
        <v>1.017784</v>
      </c>
      <c r="M47" s="420">
        <v>-2.6653210000000001</v>
      </c>
      <c r="N47" s="150">
        <v>3.5898659999999998</v>
      </c>
      <c r="O47" s="184">
        <v>1</v>
      </c>
      <c r="P47" s="130"/>
    </row>
    <row r="48" spans="1:16" ht="24" thickBot="1" x14ac:dyDescent="0.4">
      <c r="C48" s="108" t="s">
        <v>92</v>
      </c>
      <c r="D48" s="151" t="s">
        <v>61</v>
      </c>
      <c r="E48" s="108">
        <v>1500</v>
      </c>
      <c r="F48" s="109">
        <v>6000</v>
      </c>
      <c r="G48" s="424">
        <v>1.310376</v>
      </c>
      <c r="H48" s="152">
        <v>92.335269999999994</v>
      </c>
      <c r="I48" s="424">
        <v>15.99952</v>
      </c>
      <c r="J48" s="152">
        <v>-3.5474159999999999E-4</v>
      </c>
      <c r="K48" s="424">
        <v>0.151062</v>
      </c>
      <c r="L48" s="152">
        <v>3.4559289999999999E-3</v>
      </c>
      <c r="M48" s="424">
        <v>-2.5853989999999999E-3</v>
      </c>
      <c r="N48" s="152">
        <v>9.828650999999999E-4</v>
      </c>
      <c r="O48" s="116">
        <v>1</v>
      </c>
      <c r="P48" s="130"/>
    </row>
    <row r="49" spans="3:16" x14ac:dyDescent="0.35">
      <c r="C49" s="148" t="s">
        <v>93</v>
      </c>
      <c r="D49" s="146" t="s">
        <v>61</v>
      </c>
      <c r="E49" s="148">
        <v>298.14999999999998</v>
      </c>
      <c r="F49" s="149">
        <v>1500</v>
      </c>
      <c r="G49" s="420">
        <v>1.3764209999999999</v>
      </c>
      <c r="H49" s="150">
        <v>106.2873</v>
      </c>
      <c r="I49" s="420">
        <v>18.87481</v>
      </c>
      <c r="J49" s="150">
        <v>-3.9471889999999999E-4</v>
      </c>
      <c r="K49" s="420">
        <v>0.18061250000000001</v>
      </c>
      <c r="L49" s="150">
        <v>1.363551</v>
      </c>
      <c r="M49" s="420">
        <v>-3.5720109999999998</v>
      </c>
      <c r="N49" s="150">
        <v>4.8116719999999997</v>
      </c>
      <c r="O49" s="184">
        <v>1</v>
      </c>
      <c r="P49" s="130"/>
    </row>
    <row r="50" spans="3:16" ht="24" thickBot="1" x14ac:dyDescent="0.4">
      <c r="C50" s="108" t="s">
        <v>93</v>
      </c>
      <c r="D50" s="151" t="s">
        <v>61</v>
      </c>
      <c r="E50" s="108">
        <v>1500</v>
      </c>
      <c r="F50" s="109">
        <v>6000</v>
      </c>
      <c r="G50" s="424">
        <v>1.3764209999999999</v>
      </c>
      <c r="H50" s="152">
        <v>106.6301</v>
      </c>
      <c r="I50" s="424">
        <v>19.000219999999999</v>
      </c>
      <c r="J50" s="152">
        <v>-4.455711E-4</v>
      </c>
      <c r="K50" s="424">
        <v>0.18625030000000001</v>
      </c>
      <c r="L50" s="152">
        <v>1.466539E-3</v>
      </c>
      <c r="M50" s="424">
        <v>-9.910276E-4</v>
      </c>
      <c r="N50" s="152">
        <v>3.4599259999999998E-4</v>
      </c>
      <c r="O50" s="116">
        <v>1</v>
      </c>
      <c r="P50" s="130"/>
    </row>
    <row r="51" spans="3:16" x14ac:dyDescent="0.35">
      <c r="C51" s="148" t="s">
        <v>94</v>
      </c>
      <c r="D51" s="147" t="s">
        <v>61</v>
      </c>
      <c r="E51" s="148">
        <v>298.14999999999998</v>
      </c>
      <c r="F51" s="149">
        <v>1500</v>
      </c>
      <c r="G51" s="420">
        <v>1.4184099999999999</v>
      </c>
      <c r="H51" s="150">
        <v>118.3836</v>
      </c>
      <c r="I51" s="420">
        <v>21.846499999999999</v>
      </c>
      <c r="J51" s="150">
        <v>-4.55196E-4</v>
      </c>
      <c r="K51" s="420">
        <v>0.2049985</v>
      </c>
      <c r="L51" s="150">
        <v>1.669807</v>
      </c>
      <c r="M51" s="420">
        <v>-4.3705270000000001</v>
      </c>
      <c r="N51" s="150">
        <v>5.8827660000000002</v>
      </c>
      <c r="O51" s="184">
        <v>1</v>
      </c>
      <c r="P51" s="130"/>
    </row>
    <row r="52" spans="3:16" ht="24" thickBot="1" x14ac:dyDescent="0.4">
      <c r="C52" s="110" t="s">
        <v>94</v>
      </c>
      <c r="D52" s="136" t="s">
        <v>61</v>
      </c>
      <c r="E52" s="110">
        <v>1500</v>
      </c>
      <c r="F52" s="111">
        <v>6000</v>
      </c>
      <c r="G52" s="419">
        <v>1.4184099999999999</v>
      </c>
      <c r="H52" s="179">
        <v>118.80549999999999</v>
      </c>
      <c r="I52" s="419">
        <v>22.001380000000001</v>
      </c>
      <c r="J52" s="179">
        <v>-5.2171050000000005E-4</v>
      </c>
      <c r="K52" s="419">
        <v>0.21207509999999999</v>
      </c>
      <c r="L52" s="179">
        <v>-2.09779E-3</v>
      </c>
      <c r="M52" s="419">
        <v>1.840469E-3</v>
      </c>
      <c r="N52" s="179">
        <v>-7.697003E-4</v>
      </c>
      <c r="O52" s="117">
        <v>1</v>
      </c>
      <c r="P52" s="130"/>
    </row>
    <row r="53" spans="3:16" x14ac:dyDescent="0.35">
      <c r="C53" s="212" t="s">
        <v>113</v>
      </c>
      <c r="D53" s="219" t="s">
        <v>63</v>
      </c>
      <c r="E53" s="212">
        <v>298.14999999999998</v>
      </c>
      <c r="F53" s="217">
        <v>500</v>
      </c>
      <c r="G53" s="127">
        <v>-2.3913798664982862</v>
      </c>
      <c r="H53" s="128">
        <v>74.770930000000007</v>
      </c>
      <c r="I53" s="127">
        <v>18.140259</v>
      </c>
      <c r="J53" s="128">
        <v>0</v>
      </c>
      <c r="K53" s="127">
        <v>0.56850120000000004</v>
      </c>
      <c r="L53" s="128">
        <v>31.096289000000002</v>
      </c>
      <c r="M53" s="127">
        <v>0</v>
      </c>
      <c r="N53" s="128">
        <v>0</v>
      </c>
      <c r="O53" s="213">
        <v>3</v>
      </c>
      <c r="P53" s="107"/>
    </row>
    <row r="54" spans="3:16" x14ac:dyDescent="0.35">
      <c r="C54" s="212" t="s">
        <v>114</v>
      </c>
      <c r="D54" s="219" t="s">
        <v>63</v>
      </c>
      <c r="E54" s="212">
        <v>298.14999999999998</v>
      </c>
      <c r="F54" s="217">
        <v>500</v>
      </c>
      <c r="G54" s="127">
        <v>-4.2169772565999155</v>
      </c>
      <c r="H54" s="128">
        <v>173.46465690608315</v>
      </c>
      <c r="I54" s="127">
        <v>43.040515244452465</v>
      </c>
      <c r="J54" s="128">
        <v>-5.8145408623489088E-4</v>
      </c>
      <c r="K54" s="127">
        <v>1.2092059634692278</v>
      </c>
      <c r="L54" s="128">
        <v>-209.66923014011661</v>
      </c>
      <c r="M54" s="127">
        <v>1383.1599414677171</v>
      </c>
      <c r="N54" s="128">
        <v>0</v>
      </c>
      <c r="O54" s="213">
        <v>3</v>
      </c>
      <c r="P54" s="107"/>
    </row>
    <row r="55" spans="3:16" x14ac:dyDescent="0.35">
      <c r="C55" s="212" t="s">
        <v>115</v>
      </c>
      <c r="D55" s="219" t="s">
        <v>63</v>
      </c>
      <c r="E55" s="212">
        <v>298.14999999999998</v>
      </c>
      <c r="F55" s="217">
        <v>500</v>
      </c>
      <c r="G55" s="127">
        <v>-1.8108390642852847</v>
      </c>
      <c r="H55" s="128">
        <v>71.793803453041576</v>
      </c>
      <c r="I55" s="127">
        <v>17.874387122226231</v>
      </c>
      <c r="J55" s="128">
        <v>-2.9072704311744544E-4</v>
      </c>
      <c r="K55" s="127">
        <v>0.49084358173461395</v>
      </c>
      <c r="L55" s="128">
        <v>-110.52047057005831</v>
      </c>
      <c r="M55" s="127">
        <v>691.57997073385854</v>
      </c>
      <c r="N55" s="128">
        <v>0</v>
      </c>
      <c r="O55" s="213">
        <v>3</v>
      </c>
      <c r="P55" s="107"/>
    </row>
    <row r="56" spans="3:16" x14ac:dyDescent="0.35">
      <c r="C56" s="221" t="s">
        <v>116</v>
      </c>
      <c r="D56" s="219" t="s">
        <v>63</v>
      </c>
      <c r="E56" s="212">
        <v>298.14999999999998</v>
      </c>
      <c r="F56" s="217">
        <v>500</v>
      </c>
      <c r="G56" s="127">
        <v>-39.271554633471638</v>
      </c>
      <c r="H56" s="128">
        <v>1630.5742035912474</v>
      </c>
      <c r="I56" s="127">
        <v>409.0716136667869</v>
      </c>
      <c r="J56" s="128">
        <v>-8.7218112935233631E-3</v>
      </c>
      <c r="K56" s="127">
        <v>10.745207452038418</v>
      </c>
      <c r="L56" s="128">
        <v>-3527.9541171017495</v>
      </c>
      <c r="M56" s="127">
        <v>20747.399122015755</v>
      </c>
      <c r="N56" s="128">
        <v>0</v>
      </c>
      <c r="O56" s="213">
        <v>3</v>
      </c>
      <c r="P56" s="95"/>
    </row>
    <row r="57" spans="3:16" x14ac:dyDescent="0.35">
      <c r="C57" s="212" t="s">
        <v>117</v>
      </c>
      <c r="D57" s="219" t="s">
        <v>63</v>
      </c>
      <c r="E57" s="212">
        <v>298.14999999999998</v>
      </c>
      <c r="F57" s="217">
        <v>500</v>
      </c>
      <c r="G57" s="127">
        <v>-4.7827597329965723</v>
      </c>
      <c r="H57" s="128">
        <v>149.54186000000001</v>
      </c>
      <c r="I57" s="127">
        <v>36.280518000000001</v>
      </c>
      <c r="J57" s="128">
        <v>0</v>
      </c>
      <c r="K57" s="127">
        <v>1.1370024000000001</v>
      </c>
      <c r="L57" s="128">
        <v>62.192578000000005</v>
      </c>
      <c r="M57" s="127">
        <v>0</v>
      </c>
      <c r="N57" s="128">
        <v>0</v>
      </c>
      <c r="O57" s="213">
        <v>3</v>
      </c>
      <c r="P57" s="95"/>
    </row>
    <row r="58" spans="3:16" x14ac:dyDescent="0.35">
      <c r="C58" s="212" t="s">
        <v>118</v>
      </c>
      <c r="D58" s="219" t="s">
        <v>63</v>
      </c>
      <c r="E58" s="212">
        <v>298.14999999999998</v>
      </c>
      <c r="F58" s="217">
        <v>500</v>
      </c>
      <c r="G58" s="127">
        <v>-5.3441197185639542</v>
      </c>
      <c r="H58" s="128">
        <v>188.48148690608318</v>
      </c>
      <c r="I58" s="127">
        <v>46.597292244452468</v>
      </c>
      <c r="J58" s="128">
        <v>-5.8145408623489088E-4</v>
      </c>
      <c r="K58" s="127">
        <v>1.3226695634692278</v>
      </c>
      <c r="L58" s="128">
        <v>-201.31636314011661</v>
      </c>
      <c r="M58" s="127">
        <v>1383.1599414677171</v>
      </c>
      <c r="N58" s="128">
        <v>0</v>
      </c>
      <c r="O58" s="213">
        <v>3</v>
      </c>
      <c r="P58" s="95"/>
    </row>
    <row r="59" spans="3:16" x14ac:dyDescent="0.35">
      <c r="C59" s="212" t="s">
        <v>119</v>
      </c>
      <c r="D59" s="219" t="s">
        <v>63</v>
      </c>
      <c r="E59" s="212">
        <v>298.14999999999998</v>
      </c>
      <c r="F59" s="217">
        <v>500</v>
      </c>
      <c r="G59" s="127">
        <v>-4.8580355403211248</v>
      </c>
      <c r="H59" s="128">
        <v>212.40428381216631</v>
      </c>
      <c r="I59" s="127">
        <v>53.357289488904925</v>
      </c>
      <c r="J59" s="128">
        <v>-1.1629081724697818E-3</v>
      </c>
      <c r="K59" s="127">
        <v>1.3948731269384558</v>
      </c>
      <c r="L59" s="128">
        <v>-473.1781712802333</v>
      </c>
      <c r="M59" s="127">
        <v>2766.3198829354342</v>
      </c>
      <c r="N59" s="128">
        <v>0</v>
      </c>
      <c r="O59" s="213">
        <v>3</v>
      </c>
      <c r="P59" s="95"/>
    </row>
    <row r="60" spans="3:16" x14ac:dyDescent="0.35">
      <c r="C60" s="212" t="s">
        <v>120</v>
      </c>
      <c r="D60" s="219" t="s">
        <v>63</v>
      </c>
      <c r="E60" s="212">
        <v>298.14999999999998</v>
      </c>
      <c r="F60" s="217">
        <v>500</v>
      </c>
      <c r="G60" s="127">
        <v>-3.7810713933489688</v>
      </c>
      <c r="H60" s="128">
        <v>136.15749690608317</v>
      </c>
      <c r="I60" s="127">
        <v>33.881292244452467</v>
      </c>
      <c r="J60" s="128">
        <v>-5.8145408623489088E-4</v>
      </c>
      <c r="K60" s="127">
        <v>0.92465956346922784</v>
      </c>
      <c r="L60" s="128">
        <v>-222.55036314011662</v>
      </c>
      <c r="M60" s="127">
        <v>1383.1599414677171</v>
      </c>
      <c r="N60" s="128">
        <v>0</v>
      </c>
      <c r="O60" s="213">
        <v>3</v>
      </c>
      <c r="P60" s="95"/>
    </row>
    <row r="61" spans="3:16" ht="24" thickBot="1" x14ac:dyDescent="0.4">
      <c r="C61" s="214" t="s">
        <v>121</v>
      </c>
      <c r="D61" s="220" t="s">
        <v>63</v>
      </c>
      <c r="E61" s="214">
        <v>298.14999999999998</v>
      </c>
      <c r="F61" s="218">
        <v>500</v>
      </c>
      <c r="G61" s="425">
        <v>-2.9538579229057667</v>
      </c>
      <c r="H61" s="215">
        <v>113.71055690608316</v>
      </c>
      <c r="I61" s="425">
        <v>28.457033244452461</v>
      </c>
      <c r="J61" s="215">
        <v>-5.8145408623489088E-4</v>
      </c>
      <c r="K61" s="425">
        <v>0.75416836346922789</v>
      </c>
      <c r="L61" s="215">
        <v>-232.41265214011662</v>
      </c>
      <c r="M61" s="425">
        <v>1383.1599414677171</v>
      </c>
      <c r="N61" s="215">
        <v>0</v>
      </c>
      <c r="O61" s="216">
        <v>3</v>
      </c>
      <c r="P61" s="95"/>
    </row>
    <row r="62" spans="3:16" ht="24" thickBot="1" x14ac:dyDescent="0.4">
      <c r="C62" s="40" t="s">
        <v>62</v>
      </c>
      <c r="D62" s="222" t="s">
        <v>122</v>
      </c>
      <c r="E62" s="40">
        <v>298.14999999999998</v>
      </c>
      <c r="F62" s="223">
        <v>1211.4000000000001</v>
      </c>
      <c r="G62" s="427">
        <v>-5.5760690000000002E-2</v>
      </c>
      <c r="H62" s="224">
        <v>10.808619999999999</v>
      </c>
      <c r="I62" s="430">
        <v>2.898209</v>
      </c>
      <c r="J62" s="224">
        <v>-9.4357770000000004E-5</v>
      </c>
      <c r="K62" s="430">
        <v>3.8575789999999999E-2</v>
      </c>
      <c r="L62" s="224">
        <v>1.796346</v>
      </c>
      <c r="M62" s="430">
        <v>0</v>
      </c>
      <c r="N62" s="224">
        <v>0</v>
      </c>
      <c r="O62" s="237">
        <v>1</v>
      </c>
      <c r="P62" s="95"/>
    </row>
    <row r="63" spans="3:16" x14ac:dyDescent="0.35">
      <c r="C63" s="225" t="s">
        <v>64</v>
      </c>
      <c r="D63" s="146" t="s">
        <v>61</v>
      </c>
      <c r="E63" s="148">
        <v>298.14999999999998</v>
      </c>
      <c r="F63" s="149">
        <v>1500</v>
      </c>
      <c r="G63" s="428">
        <v>2.783115</v>
      </c>
      <c r="H63" s="150">
        <v>25.378499999999999</v>
      </c>
      <c r="I63" s="420">
        <v>1.797085</v>
      </c>
      <c r="J63" s="150">
        <v>1.090393E-4</v>
      </c>
      <c r="K63" s="420">
        <v>-2.1003919999999999E-2</v>
      </c>
      <c r="L63" s="150">
        <v>9.1604179999999999</v>
      </c>
      <c r="M63" s="420">
        <v>-16.28604</v>
      </c>
      <c r="N63" s="150">
        <v>12.30222</v>
      </c>
      <c r="O63" s="184">
        <v>1</v>
      </c>
      <c r="P63" s="95"/>
    </row>
    <row r="64" spans="3:16" ht="24" thickBot="1" x14ac:dyDescent="0.4">
      <c r="C64" s="323" t="s">
        <v>64</v>
      </c>
      <c r="D64" s="155" t="s">
        <v>61</v>
      </c>
      <c r="E64" s="110">
        <v>1500</v>
      </c>
      <c r="F64" s="111">
        <v>10000</v>
      </c>
      <c r="G64" s="429">
        <v>2.783115</v>
      </c>
      <c r="H64" s="179">
        <v>27.619869999999999</v>
      </c>
      <c r="I64" s="419">
        <v>2.4307400000000001</v>
      </c>
      <c r="J64" s="179">
        <v>2.4488410000000002E-3</v>
      </c>
      <c r="K64" s="419">
        <v>-5.4265309999999997E-2</v>
      </c>
      <c r="L64" s="179">
        <v>0.91438399999999997</v>
      </c>
      <c r="M64" s="419">
        <v>-0.4321508</v>
      </c>
      <c r="N64" s="179">
        <v>8.956944E-2</v>
      </c>
      <c r="O64" s="117">
        <v>1</v>
      </c>
      <c r="P64" s="95"/>
    </row>
    <row r="65" spans="3:16" x14ac:dyDescent="0.35">
      <c r="C65" s="90"/>
      <c r="D65" s="90"/>
      <c r="E65" s="90"/>
      <c r="F65" s="90"/>
      <c r="G65" s="129"/>
      <c r="H65" s="129"/>
      <c r="I65" s="129"/>
      <c r="J65" s="129"/>
      <c r="K65" s="129"/>
      <c r="L65" s="129"/>
      <c r="M65" s="129"/>
      <c r="N65" s="129"/>
      <c r="P65" s="95"/>
    </row>
    <row r="66" spans="3:16" x14ac:dyDescent="0.35">
      <c r="C66" s="90"/>
      <c r="D66" s="90"/>
      <c r="E66" s="90"/>
      <c r="F66" s="90"/>
      <c r="G66" s="129"/>
      <c r="H66" s="129"/>
      <c r="I66" s="129"/>
      <c r="J66" s="129"/>
      <c r="K66" s="129"/>
      <c r="L66" s="129"/>
      <c r="M66" s="129"/>
      <c r="N66" s="129"/>
      <c r="P66" s="95"/>
    </row>
    <row r="67" spans="3:16" x14ac:dyDescent="0.35">
      <c r="C67" s="90"/>
      <c r="D67" s="90"/>
      <c r="E67" s="90"/>
      <c r="F67" s="90"/>
      <c r="G67" s="129"/>
      <c r="H67" s="129"/>
      <c r="I67" s="129"/>
      <c r="J67" s="129"/>
      <c r="K67" s="129"/>
      <c r="L67" s="129"/>
      <c r="M67" s="129"/>
      <c r="N67" s="129"/>
      <c r="P67" s="95"/>
    </row>
    <row r="68" spans="3:16" x14ac:dyDescent="0.35">
      <c r="C68" s="90"/>
      <c r="D68" s="90"/>
      <c r="E68" s="90"/>
      <c r="F68" s="90"/>
      <c r="G68" s="129"/>
      <c r="H68" s="129"/>
      <c r="I68" s="129"/>
      <c r="J68" s="129"/>
      <c r="K68" s="129"/>
      <c r="L68" s="129"/>
      <c r="M68" s="129"/>
      <c r="N68" s="129"/>
      <c r="P68" s="95"/>
    </row>
    <row r="69" spans="3:16" x14ac:dyDescent="0.35">
      <c r="C69" s="90"/>
      <c r="D69" s="90"/>
      <c r="E69" s="90"/>
      <c r="F69" s="90"/>
      <c r="G69" s="129"/>
      <c r="H69" s="129"/>
      <c r="I69" s="129"/>
      <c r="J69" s="129"/>
      <c r="K69" s="129"/>
      <c r="L69" s="129"/>
      <c r="M69" s="129"/>
      <c r="N69" s="129"/>
      <c r="P69" s="95"/>
    </row>
    <row r="70" spans="3:16" x14ac:dyDescent="0.35">
      <c r="C70" s="90"/>
      <c r="D70" s="90"/>
      <c r="E70" s="90"/>
      <c r="F70" s="90"/>
      <c r="G70" s="129"/>
      <c r="H70" s="129"/>
      <c r="I70" s="129"/>
      <c r="J70" s="129"/>
      <c r="K70" s="129"/>
      <c r="L70" s="129"/>
      <c r="M70" s="129"/>
      <c r="N70" s="129"/>
      <c r="P70" s="95"/>
    </row>
    <row r="71" spans="3:16" x14ac:dyDescent="0.35">
      <c r="C71" s="90"/>
      <c r="D71" s="90"/>
      <c r="E71" s="90"/>
      <c r="F71" s="90"/>
      <c r="G71" s="129"/>
      <c r="H71" s="129"/>
      <c r="I71" s="129"/>
      <c r="J71" s="129"/>
      <c r="K71" s="129"/>
      <c r="L71" s="129"/>
      <c r="M71" s="129"/>
      <c r="N71" s="129"/>
      <c r="P71" s="95"/>
    </row>
    <row r="72" spans="3:16" x14ac:dyDescent="0.35">
      <c r="C72" s="90"/>
      <c r="D72" s="90"/>
      <c r="E72" s="90"/>
      <c r="F72" s="90"/>
      <c r="G72" s="129"/>
      <c r="H72" s="129"/>
      <c r="I72" s="129"/>
      <c r="J72" s="129"/>
      <c r="K72" s="129"/>
      <c r="L72" s="129"/>
      <c r="M72" s="129"/>
      <c r="N72" s="129"/>
      <c r="P72" s="95"/>
    </row>
    <row r="73" spans="3:16" x14ac:dyDescent="0.35">
      <c r="C73" s="90"/>
      <c r="D73" s="90"/>
      <c r="E73" s="90"/>
      <c r="F73" s="90"/>
      <c r="G73" s="129"/>
      <c r="H73" s="129"/>
      <c r="I73" s="129"/>
      <c r="J73" s="129"/>
      <c r="K73" s="129"/>
      <c r="L73" s="129"/>
      <c r="M73" s="129"/>
      <c r="N73" s="129"/>
      <c r="P73" s="95"/>
    </row>
    <row r="74" spans="3:16" x14ac:dyDescent="0.35">
      <c r="C74" s="90"/>
      <c r="D74" s="90"/>
      <c r="E74" s="90"/>
      <c r="F74" s="90"/>
      <c r="G74" s="129"/>
      <c r="H74" s="129"/>
      <c r="I74" s="129"/>
      <c r="J74" s="129"/>
      <c r="K74" s="129"/>
      <c r="L74" s="129"/>
      <c r="M74" s="129"/>
      <c r="N74" s="129"/>
      <c r="P74" s="95"/>
    </row>
    <row r="75" spans="3:16" x14ac:dyDescent="0.35">
      <c r="C75" s="90"/>
      <c r="D75" s="90"/>
      <c r="E75" s="90"/>
      <c r="F75" s="90"/>
      <c r="G75" s="129"/>
      <c r="H75" s="129"/>
      <c r="I75" s="129"/>
      <c r="J75" s="129"/>
      <c r="K75" s="129"/>
      <c r="L75" s="129"/>
      <c r="M75" s="129"/>
      <c r="N75" s="129"/>
      <c r="P75" s="95"/>
    </row>
    <row r="76" spans="3:16" x14ac:dyDescent="0.35">
      <c r="C76" s="90"/>
      <c r="D76" s="90"/>
      <c r="E76" s="90"/>
      <c r="F76" s="90"/>
      <c r="G76" s="129"/>
      <c r="H76" s="129"/>
      <c r="I76" s="129"/>
      <c r="J76" s="129"/>
      <c r="K76" s="129"/>
      <c r="L76" s="129"/>
      <c r="M76" s="129"/>
      <c r="N76" s="129"/>
      <c r="P76" s="95"/>
    </row>
    <row r="77" spans="3:16" x14ac:dyDescent="0.35">
      <c r="C77" s="90"/>
      <c r="D77" s="90"/>
      <c r="E77" s="90"/>
      <c r="F77" s="90"/>
      <c r="G77" s="129"/>
      <c r="H77" s="129"/>
      <c r="I77" s="129"/>
      <c r="J77" s="129"/>
      <c r="K77" s="129"/>
      <c r="L77" s="129"/>
      <c r="M77" s="129"/>
      <c r="N77" s="129"/>
      <c r="P77" s="95"/>
    </row>
    <row r="78" spans="3:16" x14ac:dyDescent="0.35">
      <c r="C78" s="90"/>
      <c r="D78" s="90"/>
      <c r="E78" s="90"/>
      <c r="F78" s="90"/>
      <c r="G78" s="129"/>
      <c r="H78" s="129"/>
      <c r="I78" s="129"/>
      <c r="J78" s="129"/>
      <c r="K78" s="129"/>
      <c r="L78" s="129"/>
      <c r="M78" s="129"/>
      <c r="N78" s="129"/>
      <c r="P78" s="95"/>
    </row>
    <row r="79" spans="3:16" x14ac:dyDescent="0.35">
      <c r="C79" s="90"/>
      <c r="D79" s="90"/>
      <c r="E79" s="90"/>
      <c r="F79" s="90"/>
      <c r="G79" s="129"/>
      <c r="H79" s="129"/>
      <c r="I79" s="129"/>
      <c r="J79" s="129"/>
      <c r="K79" s="129"/>
      <c r="L79" s="129"/>
      <c r="M79" s="129"/>
      <c r="N79" s="129"/>
      <c r="P79" s="95"/>
    </row>
    <row r="80" spans="3:16" x14ac:dyDescent="0.35">
      <c r="C80" s="90"/>
      <c r="D80" s="90"/>
      <c r="E80" s="90"/>
      <c r="F80" s="90"/>
      <c r="G80" s="129"/>
      <c r="H80" s="129"/>
      <c r="I80" s="129"/>
      <c r="J80" s="129"/>
      <c r="K80" s="129"/>
      <c r="L80" s="129"/>
      <c r="M80" s="129"/>
      <c r="N80" s="129"/>
      <c r="P80" s="95"/>
    </row>
    <row r="81" spans="3:16" x14ac:dyDescent="0.35">
      <c r="C81" s="90"/>
      <c r="D81" s="90"/>
      <c r="E81" s="90"/>
      <c r="F81" s="90"/>
      <c r="G81" s="129"/>
      <c r="H81" s="129"/>
      <c r="I81" s="129"/>
      <c r="J81" s="129"/>
      <c r="K81" s="129"/>
      <c r="L81" s="129"/>
      <c r="M81" s="129"/>
      <c r="N81" s="129"/>
      <c r="P81" s="95"/>
    </row>
    <row r="82" spans="3:16" x14ac:dyDescent="0.35">
      <c r="C82" s="90"/>
      <c r="D82" s="90"/>
      <c r="E82" s="90"/>
      <c r="F82" s="90"/>
      <c r="G82" s="129"/>
      <c r="H82" s="129"/>
      <c r="I82" s="129"/>
      <c r="J82" s="129"/>
      <c r="K82" s="129"/>
      <c r="L82" s="129"/>
      <c r="M82" s="129"/>
      <c r="N82" s="129"/>
      <c r="P82" s="95"/>
    </row>
    <row r="83" spans="3:16" x14ac:dyDescent="0.35">
      <c r="C83" s="90"/>
      <c r="D83" s="90"/>
      <c r="E83" s="90"/>
      <c r="F83" s="90"/>
      <c r="G83" s="129"/>
      <c r="H83" s="129"/>
      <c r="I83" s="129"/>
      <c r="J83" s="129"/>
      <c r="K83" s="129"/>
      <c r="L83" s="129"/>
      <c r="M83" s="129"/>
      <c r="N83" s="129"/>
      <c r="P83" s="95"/>
    </row>
    <row r="84" spans="3:16" x14ac:dyDescent="0.35">
      <c r="C84" s="90"/>
      <c r="D84" s="90"/>
      <c r="E84" s="90"/>
      <c r="F84" s="90"/>
      <c r="G84" s="129"/>
      <c r="H84" s="129"/>
      <c r="I84" s="129"/>
      <c r="J84" s="129"/>
      <c r="K84" s="129"/>
      <c r="L84" s="129"/>
      <c r="M84" s="129"/>
      <c r="N84" s="129"/>
      <c r="P84" s="95"/>
    </row>
    <row r="85" spans="3:16" x14ac:dyDescent="0.35">
      <c r="C85" s="90"/>
      <c r="D85" s="90"/>
      <c r="E85" s="90"/>
      <c r="F85" s="90"/>
      <c r="G85" s="129"/>
      <c r="H85" s="129"/>
      <c r="I85" s="129"/>
      <c r="J85" s="129"/>
      <c r="K85" s="129"/>
      <c r="L85" s="129"/>
      <c r="M85" s="129"/>
      <c r="N85" s="129"/>
      <c r="P85" s="95"/>
    </row>
    <row r="86" spans="3:16" x14ac:dyDescent="0.35">
      <c r="C86" s="90"/>
      <c r="D86" s="90"/>
      <c r="E86" s="90"/>
      <c r="F86" s="90"/>
      <c r="G86" s="129"/>
      <c r="H86" s="129"/>
      <c r="I86" s="129"/>
      <c r="J86" s="129"/>
      <c r="K86" s="129"/>
      <c r="L86" s="129"/>
      <c r="M86" s="129"/>
      <c r="N86" s="129"/>
      <c r="P86" s="95"/>
    </row>
    <row r="87" spans="3:16" x14ac:dyDescent="0.35">
      <c r="C87" s="90"/>
      <c r="D87" s="90"/>
      <c r="E87" s="90"/>
      <c r="F87" s="90"/>
      <c r="G87" s="129"/>
      <c r="H87" s="129"/>
      <c r="I87" s="129"/>
      <c r="J87" s="129"/>
      <c r="K87" s="129"/>
      <c r="L87" s="129"/>
      <c r="M87" s="129"/>
      <c r="N87" s="129"/>
      <c r="P87" s="95"/>
    </row>
    <row r="88" spans="3:16" x14ac:dyDescent="0.35">
      <c r="C88" s="90"/>
      <c r="D88" s="90"/>
      <c r="E88" s="90"/>
      <c r="F88" s="90"/>
      <c r="G88" s="129"/>
      <c r="H88" s="129"/>
      <c r="I88" s="129"/>
      <c r="J88" s="129"/>
      <c r="K88" s="129"/>
      <c r="L88" s="129"/>
      <c r="M88" s="129"/>
      <c r="N88" s="129"/>
      <c r="P88" s="95"/>
    </row>
    <row r="89" spans="3:16" x14ac:dyDescent="0.35">
      <c r="C89" s="90"/>
      <c r="D89" s="90"/>
      <c r="E89" s="90"/>
      <c r="F89" s="90"/>
      <c r="G89" s="129"/>
      <c r="H89" s="129"/>
      <c r="I89" s="129"/>
      <c r="J89" s="129"/>
      <c r="K89" s="129"/>
      <c r="L89" s="129"/>
      <c r="M89" s="129"/>
      <c r="N89" s="129"/>
      <c r="P89" s="95"/>
    </row>
    <row r="90" spans="3:16" x14ac:dyDescent="0.35">
      <c r="C90" s="90"/>
      <c r="D90" s="90"/>
      <c r="E90" s="90"/>
      <c r="F90" s="90"/>
      <c r="G90" s="129"/>
      <c r="H90" s="129"/>
      <c r="I90" s="129"/>
      <c r="J90" s="129"/>
      <c r="K90" s="129"/>
      <c r="L90" s="129"/>
      <c r="M90" s="129"/>
      <c r="N90" s="129"/>
      <c r="P90" s="95"/>
    </row>
    <row r="91" spans="3:16" x14ac:dyDescent="0.35">
      <c r="C91" s="90"/>
      <c r="D91" s="90"/>
      <c r="E91" s="90"/>
      <c r="F91" s="90"/>
      <c r="G91" s="129"/>
      <c r="H91" s="129"/>
      <c r="I91" s="129"/>
      <c r="J91" s="129"/>
      <c r="K91" s="129"/>
      <c r="L91" s="129"/>
      <c r="M91" s="129"/>
      <c r="N91" s="129"/>
      <c r="P91" s="95"/>
    </row>
    <row r="92" spans="3:16" x14ac:dyDescent="0.35">
      <c r="C92" s="90"/>
      <c r="D92" s="90"/>
      <c r="E92" s="90"/>
      <c r="F92" s="90"/>
      <c r="G92" s="129"/>
      <c r="H92" s="129"/>
      <c r="I92" s="129"/>
      <c r="J92" s="129"/>
      <c r="K92" s="129"/>
      <c r="L92" s="129"/>
      <c r="M92" s="129"/>
      <c r="N92" s="129"/>
      <c r="P92" s="95"/>
    </row>
    <row r="93" spans="3:16" x14ac:dyDescent="0.35">
      <c r="C93" s="90"/>
      <c r="D93" s="90"/>
      <c r="E93" s="90"/>
      <c r="F93" s="90"/>
      <c r="G93" s="129"/>
      <c r="H93" s="129"/>
      <c r="I93" s="129"/>
      <c r="J93" s="129"/>
      <c r="K93" s="129"/>
      <c r="L93" s="129"/>
      <c r="M93" s="129"/>
      <c r="N93" s="129"/>
      <c r="P93" s="95"/>
    </row>
    <row r="94" spans="3:16" x14ac:dyDescent="0.35">
      <c r="C94" s="90"/>
      <c r="D94" s="90"/>
      <c r="E94" s="90"/>
      <c r="F94" s="90"/>
      <c r="G94" s="129"/>
      <c r="H94" s="129"/>
      <c r="I94" s="129"/>
      <c r="J94" s="129"/>
      <c r="K94" s="129"/>
      <c r="L94" s="129"/>
      <c r="M94" s="129"/>
      <c r="N94" s="129"/>
      <c r="P94" s="95"/>
    </row>
    <row r="95" spans="3:16" x14ac:dyDescent="0.35">
      <c r="C95" s="90"/>
      <c r="D95" s="90"/>
      <c r="E95" s="90"/>
      <c r="F95" s="90"/>
      <c r="G95" s="129"/>
      <c r="H95" s="129"/>
      <c r="I95" s="129"/>
      <c r="J95" s="129"/>
      <c r="K95" s="129"/>
      <c r="L95" s="129"/>
      <c r="M95" s="129"/>
      <c r="N95" s="129"/>
      <c r="P95" s="95"/>
    </row>
    <row r="96" spans="3:16" x14ac:dyDescent="0.35">
      <c r="C96" s="90"/>
      <c r="D96" s="90"/>
      <c r="E96" s="90"/>
      <c r="F96" s="90"/>
      <c r="G96" s="129"/>
      <c r="H96" s="129"/>
      <c r="I96" s="129"/>
      <c r="J96" s="129"/>
      <c r="K96" s="129"/>
      <c r="L96" s="129"/>
      <c r="M96" s="129"/>
      <c r="N96" s="129"/>
      <c r="P96" s="95"/>
    </row>
    <row r="97" spans="3:16" x14ac:dyDescent="0.35">
      <c r="C97" s="90"/>
      <c r="D97" s="90"/>
      <c r="E97" s="90"/>
      <c r="F97" s="90"/>
      <c r="G97" s="129"/>
      <c r="H97" s="129"/>
      <c r="I97" s="129"/>
      <c r="J97" s="129"/>
      <c r="K97" s="129"/>
      <c r="L97" s="129"/>
      <c r="M97" s="129"/>
      <c r="N97" s="129"/>
      <c r="P97" s="95"/>
    </row>
    <row r="98" spans="3:16" x14ac:dyDescent="0.35">
      <c r="C98" s="90"/>
      <c r="D98" s="90"/>
      <c r="E98" s="90"/>
      <c r="F98" s="90"/>
      <c r="G98" s="129"/>
      <c r="H98" s="129"/>
      <c r="I98" s="129"/>
      <c r="J98" s="129"/>
      <c r="K98" s="129"/>
      <c r="L98" s="129"/>
      <c r="M98" s="129"/>
      <c r="N98" s="129"/>
      <c r="P98" s="95"/>
    </row>
    <row r="99" spans="3:16" x14ac:dyDescent="0.35">
      <c r="C99" s="90"/>
      <c r="D99" s="90"/>
      <c r="E99" s="90"/>
      <c r="F99" s="90"/>
      <c r="G99" s="129"/>
      <c r="H99" s="129"/>
      <c r="I99" s="129"/>
      <c r="J99" s="129"/>
      <c r="K99" s="129"/>
      <c r="L99" s="129"/>
      <c r="M99" s="129"/>
      <c r="N99" s="129"/>
      <c r="P99" s="95"/>
    </row>
    <row r="100" spans="3:16" x14ac:dyDescent="0.35">
      <c r="C100" s="90"/>
      <c r="D100" s="90"/>
      <c r="E100" s="90"/>
      <c r="F100" s="90"/>
      <c r="G100" s="129"/>
      <c r="H100" s="129"/>
      <c r="I100" s="129"/>
      <c r="J100" s="129"/>
      <c r="K100" s="129"/>
      <c r="L100" s="129"/>
      <c r="M100" s="129"/>
      <c r="N100" s="129"/>
      <c r="P100" s="95"/>
    </row>
    <row r="101" spans="3:16" x14ac:dyDescent="0.35">
      <c r="C101" s="90"/>
      <c r="D101" s="90"/>
      <c r="E101" s="90"/>
      <c r="F101" s="90"/>
      <c r="G101" s="129"/>
      <c r="H101" s="129"/>
      <c r="I101" s="129"/>
      <c r="J101" s="129"/>
      <c r="K101" s="129"/>
      <c r="L101" s="129"/>
      <c r="M101" s="129"/>
      <c r="N101" s="129"/>
      <c r="P101" s="95"/>
    </row>
    <row r="102" spans="3:16" x14ac:dyDescent="0.35">
      <c r="C102" s="90"/>
      <c r="D102" s="90"/>
      <c r="E102" s="90"/>
      <c r="F102" s="90"/>
      <c r="G102" s="129"/>
      <c r="H102" s="129"/>
      <c r="I102" s="129"/>
      <c r="J102" s="129"/>
      <c r="K102" s="129"/>
      <c r="L102" s="129"/>
      <c r="M102" s="129"/>
      <c r="N102" s="129"/>
      <c r="P102" s="95"/>
    </row>
    <row r="103" spans="3:16" x14ac:dyDescent="0.35">
      <c r="C103" s="90"/>
      <c r="D103" s="90"/>
      <c r="E103" s="90"/>
      <c r="F103" s="90"/>
      <c r="G103" s="129"/>
      <c r="H103" s="129"/>
      <c r="I103" s="129"/>
      <c r="J103" s="129"/>
      <c r="K103" s="129"/>
      <c r="L103" s="129"/>
      <c r="M103" s="129"/>
      <c r="N103" s="129"/>
    </row>
    <row r="104" spans="3:16" x14ac:dyDescent="0.35">
      <c r="C104" s="90"/>
      <c r="D104" s="90"/>
      <c r="E104" s="90"/>
      <c r="F104" s="90"/>
      <c r="G104" s="129"/>
      <c r="H104" s="129"/>
      <c r="I104" s="129"/>
      <c r="J104" s="129"/>
      <c r="K104" s="129"/>
      <c r="L104" s="129"/>
      <c r="M104" s="129"/>
      <c r="N104" s="129"/>
    </row>
    <row r="105" spans="3:16" x14ac:dyDescent="0.35">
      <c r="C105" s="90"/>
      <c r="D105" s="90"/>
      <c r="E105" s="90"/>
      <c r="F105" s="90"/>
      <c r="G105" s="129"/>
      <c r="H105" s="129"/>
      <c r="I105" s="129"/>
      <c r="J105" s="129"/>
      <c r="K105" s="129"/>
      <c r="L105" s="129"/>
      <c r="M105" s="129"/>
      <c r="N105" s="129"/>
    </row>
    <row r="106" spans="3:16" x14ac:dyDescent="0.35">
      <c r="C106" s="90"/>
      <c r="D106" s="90"/>
      <c r="E106" s="90"/>
      <c r="F106" s="90"/>
      <c r="G106" s="129"/>
      <c r="H106" s="129"/>
      <c r="I106" s="129"/>
      <c r="J106" s="129"/>
      <c r="K106" s="129"/>
      <c r="L106" s="129"/>
      <c r="M106" s="129"/>
      <c r="N106" s="129"/>
    </row>
    <row r="107" spans="3:16" x14ac:dyDescent="0.35">
      <c r="C107" s="90"/>
      <c r="D107" s="90"/>
      <c r="E107" s="90"/>
      <c r="F107" s="90"/>
      <c r="G107" s="129"/>
      <c r="H107" s="129"/>
      <c r="I107" s="129"/>
      <c r="J107" s="129"/>
      <c r="K107" s="129"/>
      <c r="L107" s="129"/>
      <c r="M107" s="129"/>
      <c r="N107" s="129"/>
    </row>
    <row r="108" spans="3:16" x14ac:dyDescent="0.35">
      <c r="C108" s="90"/>
      <c r="D108" s="90"/>
      <c r="E108" s="90"/>
      <c r="F108" s="90"/>
      <c r="G108" s="129"/>
      <c r="H108" s="129"/>
      <c r="I108" s="129"/>
      <c r="J108" s="129"/>
      <c r="K108" s="129"/>
      <c r="L108" s="129"/>
      <c r="M108" s="129"/>
      <c r="N108" s="129"/>
    </row>
    <row r="109" spans="3:16" x14ac:dyDescent="0.35">
      <c r="C109" s="90"/>
      <c r="D109" s="90"/>
      <c r="E109" s="90"/>
      <c r="F109" s="90"/>
      <c r="G109" s="129"/>
      <c r="H109" s="129"/>
      <c r="I109" s="129"/>
      <c r="J109" s="129"/>
      <c r="K109" s="129"/>
      <c r="L109" s="129"/>
      <c r="M109" s="129"/>
      <c r="N109" s="129"/>
    </row>
    <row r="110" spans="3:16" x14ac:dyDescent="0.35">
      <c r="C110" s="90"/>
      <c r="D110" s="90"/>
      <c r="E110" s="90"/>
      <c r="F110" s="90"/>
      <c r="G110" s="129"/>
      <c r="H110" s="129"/>
      <c r="I110" s="129"/>
      <c r="J110" s="129"/>
      <c r="K110" s="129"/>
      <c r="L110" s="129"/>
      <c r="M110" s="129"/>
      <c r="N110" s="129"/>
    </row>
    <row r="111" spans="3:16" x14ac:dyDescent="0.35">
      <c r="C111" s="90"/>
      <c r="D111" s="90"/>
      <c r="E111" s="90"/>
      <c r="F111" s="90"/>
      <c r="G111" s="129"/>
      <c r="H111" s="129"/>
      <c r="I111" s="129"/>
      <c r="J111" s="129"/>
      <c r="K111" s="129"/>
      <c r="L111" s="129"/>
      <c r="M111" s="129"/>
      <c r="N111" s="129"/>
    </row>
    <row r="112" spans="3:16" x14ac:dyDescent="0.35">
      <c r="C112" s="90"/>
      <c r="D112" s="90"/>
      <c r="E112" s="90"/>
      <c r="F112" s="90"/>
      <c r="G112" s="129"/>
      <c r="H112" s="129"/>
      <c r="I112" s="129"/>
      <c r="J112" s="129"/>
      <c r="K112" s="129"/>
      <c r="L112" s="129"/>
      <c r="M112" s="129"/>
      <c r="N112" s="129"/>
    </row>
    <row r="113" spans="3:14" x14ac:dyDescent="0.35">
      <c r="C113" s="90"/>
      <c r="D113" s="90"/>
      <c r="E113" s="90"/>
      <c r="F113" s="90"/>
      <c r="G113" s="129"/>
      <c r="H113" s="129"/>
      <c r="I113" s="129"/>
      <c r="J113" s="129"/>
      <c r="K113" s="129"/>
      <c r="L113" s="129"/>
      <c r="M113" s="129"/>
      <c r="N113" s="129"/>
    </row>
    <row r="114" spans="3:14" x14ac:dyDescent="0.35">
      <c r="C114" s="90"/>
      <c r="D114" s="90"/>
      <c r="E114" s="90"/>
      <c r="F114" s="90"/>
      <c r="G114" s="129"/>
      <c r="H114" s="129"/>
      <c r="I114" s="129"/>
      <c r="J114" s="129"/>
      <c r="K114" s="129"/>
      <c r="L114" s="129"/>
      <c r="M114" s="129"/>
      <c r="N114" s="129"/>
    </row>
    <row r="115" spans="3:14" x14ac:dyDescent="0.35">
      <c r="C115" s="90"/>
      <c r="D115" s="90"/>
      <c r="E115" s="90"/>
      <c r="F115" s="90"/>
      <c r="G115" s="129"/>
      <c r="H115" s="129"/>
      <c r="I115" s="129"/>
      <c r="J115" s="129"/>
      <c r="K115" s="129"/>
      <c r="L115" s="129"/>
      <c r="M115" s="129"/>
      <c r="N115" s="129"/>
    </row>
    <row r="116" spans="3:14" x14ac:dyDescent="0.35">
      <c r="C116" s="90"/>
      <c r="D116" s="90"/>
      <c r="E116" s="90"/>
      <c r="F116" s="90"/>
      <c r="G116" s="129"/>
      <c r="H116" s="129"/>
      <c r="I116" s="129"/>
      <c r="J116" s="129"/>
      <c r="K116" s="129"/>
      <c r="L116" s="129"/>
      <c r="M116" s="129"/>
      <c r="N116" s="129"/>
    </row>
    <row r="117" spans="3:14" x14ac:dyDescent="0.35">
      <c r="C117" s="90"/>
      <c r="D117" s="90"/>
      <c r="E117" s="90"/>
      <c r="F117" s="90"/>
      <c r="G117" s="129"/>
      <c r="H117" s="129"/>
      <c r="I117" s="129"/>
      <c r="J117" s="129"/>
      <c r="K117" s="129"/>
      <c r="L117" s="129"/>
      <c r="M117" s="129"/>
      <c r="N117" s="129"/>
    </row>
    <row r="118" spans="3:14" x14ac:dyDescent="0.35">
      <c r="C118" s="90"/>
      <c r="D118" s="90"/>
      <c r="E118" s="90"/>
      <c r="F118" s="90"/>
      <c r="G118" s="129"/>
      <c r="H118" s="129"/>
      <c r="I118" s="129"/>
      <c r="J118" s="129"/>
      <c r="K118" s="129"/>
      <c r="L118" s="129"/>
      <c r="M118" s="129"/>
      <c r="N118" s="129"/>
    </row>
    <row r="119" spans="3:14" x14ac:dyDescent="0.35">
      <c r="C119" s="90"/>
      <c r="D119" s="90"/>
      <c r="E119" s="90"/>
      <c r="F119" s="90"/>
      <c r="G119" s="129"/>
      <c r="H119" s="129"/>
      <c r="I119" s="129"/>
      <c r="J119" s="129"/>
      <c r="K119" s="129"/>
      <c r="L119" s="129"/>
      <c r="M119" s="129"/>
      <c r="N119" s="129"/>
    </row>
    <row r="120" spans="3:14" x14ac:dyDescent="0.35">
      <c r="C120" s="90"/>
      <c r="D120" s="90"/>
      <c r="E120" s="90"/>
      <c r="F120" s="90"/>
      <c r="G120" s="129"/>
      <c r="H120" s="129"/>
      <c r="I120" s="129"/>
      <c r="J120" s="129"/>
      <c r="K120" s="129"/>
      <c r="L120" s="129"/>
      <c r="M120" s="129"/>
      <c r="N120" s="129"/>
    </row>
    <row r="121" spans="3:14" x14ac:dyDescent="0.35">
      <c r="C121" s="90"/>
      <c r="D121" s="90"/>
      <c r="E121" s="90"/>
      <c r="F121" s="90"/>
      <c r="G121" s="129"/>
      <c r="H121" s="129"/>
      <c r="I121" s="129"/>
      <c r="J121" s="129"/>
      <c r="K121" s="129"/>
      <c r="L121" s="129"/>
      <c r="M121" s="129"/>
      <c r="N121" s="129"/>
    </row>
    <row r="122" spans="3:14" x14ac:dyDescent="0.35">
      <c r="C122" s="90"/>
      <c r="D122" s="90"/>
      <c r="E122" s="90"/>
      <c r="F122" s="90"/>
      <c r="G122" s="129"/>
      <c r="H122" s="129"/>
      <c r="I122" s="129"/>
      <c r="J122" s="129"/>
      <c r="K122" s="129"/>
      <c r="L122" s="129"/>
      <c r="M122" s="129"/>
      <c r="N122" s="129"/>
    </row>
    <row r="123" spans="3:14" x14ac:dyDescent="0.35">
      <c r="C123" s="90"/>
      <c r="D123" s="90"/>
      <c r="E123" s="90"/>
      <c r="F123" s="90"/>
      <c r="G123" s="129"/>
      <c r="H123" s="129"/>
      <c r="I123" s="129"/>
      <c r="J123" s="129"/>
      <c r="K123" s="129"/>
      <c r="L123" s="129"/>
      <c r="M123" s="129"/>
      <c r="N123" s="129"/>
    </row>
    <row r="124" spans="3:14" x14ac:dyDescent="0.35">
      <c r="C124" s="90"/>
      <c r="D124" s="90"/>
      <c r="E124" s="90"/>
      <c r="F124" s="90"/>
      <c r="G124" s="129"/>
      <c r="H124" s="129"/>
      <c r="I124" s="129"/>
      <c r="J124" s="129"/>
      <c r="K124" s="129"/>
      <c r="L124" s="129"/>
      <c r="M124" s="129"/>
      <c r="N124" s="129"/>
    </row>
    <row r="125" spans="3:14" x14ac:dyDescent="0.35">
      <c r="C125" s="90"/>
      <c r="D125" s="90"/>
      <c r="E125" s="90"/>
      <c r="F125" s="90"/>
      <c r="G125" s="129"/>
      <c r="H125" s="129"/>
      <c r="I125" s="129"/>
      <c r="J125" s="129"/>
      <c r="K125" s="129"/>
      <c r="L125" s="129"/>
      <c r="M125" s="129"/>
      <c r="N125" s="129"/>
    </row>
    <row r="126" spans="3:14" x14ac:dyDescent="0.35">
      <c r="C126" s="90"/>
      <c r="D126" s="90"/>
      <c r="E126" s="90"/>
      <c r="F126" s="90"/>
      <c r="G126" s="129"/>
      <c r="H126" s="129"/>
      <c r="I126" s="129"/>
      <c r="J126" s="129"/>
      <c r="K126" s="129"/>
      <c r="L126" s="129"/>
      <c r="M126" s="129"/>
      <c r="N126" s="129"/>
    </row>
    <row r="127" spans="3:14" x14ac:dyDescent="0.35">
      <c r="C127" s="90"/>
      <c r="D127" s="90"/>
      <c r="E127" s="90"/>
      <c r="F127" s="90"/>
      <c r="G127" s="129"/>
      <c r="H127" s="129"/>
      <c r="I127" s="129"/>
      <c r="J127" s="129"/>
      <c r="K127" s="129"/>
      <c r="L127" s="129"/>
      <c r="M127" s="129"/>
      <c r="N127" s="129"/>
    </row>
    <row r="128" spans="3:14" x14ac:dyDescent="0.35">
      <c r="C128" s="90"/>
      <c r="D128" s="90"/>
      <c r="E128" s="90"/>
      <c r="F128" s="90"/>
      <c r="G128" s="129"/>
      <c r="H128" s="129"/>
      <c r="I128" s="129"/>
      <c r="J128" s="129"/>
      <c r="K128" s="129"/>
      <c r="L128" s="129"/>
      <c r="M128" s="129"/>
      <c r="N128" s="129"/>
    </row>
    <row r="129" spans="3:14" x14ac:dyDescent="0.35">
      <c r="C129" s="90"/>
      <c r="D129" s="90"/>
      <c r="E129" s="90"/>
      <c r="F129" s="90"/>
      <c r="G129" s="129"/>
      <c r="H129" s="129"/>
      <c r="I129" s="129"/>
      <c r="J129" s="129"/>
      <c r="K129" s="129"/>
      <c r="L129" s="129"/>
      <c r="M129" s="129"/>
      <c r="N129" s="129"/>
    </row>
    <row r="130" spans="3:14" x14ac:dyDescent="0.35">
      <c r="C130" s="90"/>
      <c r="D130" s="90"/>
      <c r="E130" s="90"/>
      <c r="F130" s="90"/>
      <c r="G130" s="129"/>
      <c r="H130" s="129"/>
      <c r="I130" s="129"/>
      <c r="J130" s="129"/>
      <c r="K130" s="129"/>
      <c r="L130" s="129"/>
      <c r="M130" s="129"/>
      <c r="N130" s="129"/>
    </row>
    <row r="131" spans="3:14" x14ac:dyDescent="0.35">
      <c r="C131" s="90"/>
      <c r="D131" s="90"/>
      <c r="E131" s="90"/>
      <c r="F131" s="90"/>
      <c r="G131" s="129"/>
      <c r="H131" s="129"/>
      <c r="I131" s="129"/>
      <c r="J131" s="129"/>
      <c r="K131" s="129"/>
      <c r="L131" s="129"/>
      <c r="M131" s="129"/>
      <c r="N131" s="129"/>
    </row>
    <row r="132" spans="3:14" x14ac:dyDescent="0.35">
      <c r="C132" s="90"/>
      <c r="D132" s="90"/>
      <c r="E132" s="90"/>
      <c r="F132" s="90"/>
      <c r="G132" s="129"/>
      <c r="H132" s="129"/>
      <c r="I132" s="129"/>
      <c r="J132" s="129"/>
      <c r="K132" s="129"/>
      <c r="L132" s="129"/>
      <c r="M132" s="129"/>
      <c r="N132" s="129"/>
    </row>
    <row r="133" spans="3:14" x14ac:dyDescent="0.35">
      <c r="C133" s="90"/>
      <c r="D133" s="90"/>
      <c r="E133" s="90"/>
      <c r="F133" s="90"/>
      <c r="G133" s="129"/>
      <c r="H133" s="129"/>
      <c r="I133" s="129"/>
      <c r="J133" s="129"/>
      <c r="K133" s="129"/>
      <c r="L133" s="129"/>
      <c r="M133" s="129"/>
      <c r="N133" s="129"/>
    </row>
    <row r="134" spans="3:14" x14ac:dyDescent="0.35">
      <c r="C134" s="90"/>
      <c r="D134" s="90"/>
      <c r="E134" s="90"/>
      <c r="F134" s="90"/>
      <c r="G134" s="129"/>
      <c r="H134" s="129"/>
      <c r="I134" s="129"/>
      <c r="J134" s="129"/>
      <c r="K134" s="129"/>
      <c r="L134" s="129"/>
      <c r="M134" s="129"/>
      <c r="N134" s="129"/>
    </row>
    <row r="135" spans="3:14" x14ac:dyDescent="0.35">
      <c r="C135" s="90"/>
      <c r="D135" s="90"/>
      <c r="E135" s="90"/>
      <c r="F135" s="90"/>
      <c r="G135" s="129"/>
      <c r="H135" s="129"/>
      <c r="I135" s="129"/>
      <c r="J135" s="129"/>
      <c r="K135" s="129"/>
      <c r="L135" s="129"/>
      <c r="M135" s="129"/>
      <c r="N135" s="129"/>
    </row>
    <row r="136" spans="3:14" x14ac:dyDescent="0.35">
      <c r="C136" s="90"/>
      <c r="D136" s="90"/>
      <c r="E136" s="90"/>
      <c r="F136" s="90"/>
      <c r="G136" s="129"/>
      <c r="H136" s="129"/>
      <c r="I136" s="129"/>
      <c r="J136" s="129"/>
      <c r="K136" s="129"/>
      <c r="L136" s="129"/>
      <c r="M136" s="129"/>
      <c r="N136" s="129"/>
    </row>
    <row r="137" spans="3:14" x14ac:dyDescent="0.35">
      <c r="C137" s="90"/>
      <c r="D137" s="90"/>
      <c r="E137" s="90"/>
      <c r="F137" s="90"/>
      <c r="G137" s="129"/>
      <c r="H137" s="129"/>
      <c r="I137" s="129"/>
      <c r="J137" s="129"/>
      <c r="K137" s="129"/>
      <c r="L137" s="129"/>
      <c r="M137" s="129"/>
      <c r="N137" s="129"/>
    </row>
    <row r="138" spans="3:14" x14ac:dyDescent="0.35">
      <c r="C138" s="90"/>
      <c r="D138" s="90"/>
      <c r="E138" s="90"/>
      <c r="F138" s="90"/>
      <c r="G138" s="129"/>
      <c r="H138" s="129"/>
      <c r="I138" s="129"/>
      <c r="J138" s="129"/>
      <c r="K138" s="129"/>
      <c r="L138" s="129"/>
      <c r="M138" s="129"/>
      <c r="N138" s="129"/>
    </row>
    <row r="139" spans="3:14" x14ac:dyDescent="0.35">
      <c r="C139" s="90"/>
      <c r="D139" s="90"/>
      <c r="E139" s="90"/>
      <c r="F139" s="90"/>
      <c r="G139" s="129"/>
      <c r="H139" s="129"/>
      <c r="I139" s="129"/>
      <c r="J139" s="129"/>
      <c r="K139" s="129"/>
      <c r="L139" s="129"/>
      <c r="M139" s="129"/>
      <c r="N139" s="129"/>
    </row>
    <row r="140" spans="3:14" x14ac:dyDescent="0.35">
      <c r="C140" s="90"/>
      <c r="D140" s="90"/>
      <c r="E140" s="90"/>
      <c r="F140" s="90"/>
      <c r="G140" s="129"/>
      <c r="H140" s="129"/>
      <c r="I140" s="129"/>
      <c r="J140" s="129"/>
      <c r="K140" s="129"/>
      <c r="L140" s="129"/>
      <c r="M140" s="129"/>
      <c r="N140" s="129"/>
    </row>
    <row r="141" spans="3:14" x14ac:dyDescent="0.35">
      <c r="C141" s="90"/>
      <c r="D141" s="90"/>
      <c r="E141" s="90"/>
      <c r="F141" s="90"/>
      <c r="G141" s="129"/>
      <c r="H141" s="129"/>
      <c r="I141" s="129"/>
      <c r="J141" s="129"/>
      <c r="K141" s="129"/>
      <c r="L141" s="129"/>
      <c r="M141" s="129"/>
      <c r="N141" s="129"/>
    </row>
    <row r="142" spans="3:14" x14ac:dyDescent="0.35">
      <c r="C142" s="90"/>
      <c r="D142" s="90"/>
      <c r="E142" s="90"/>
      <c r="F142" s="90"/>
      <c r="G142" s="129"/>
      <c r="H142" s="129"/>
      <c r="I142" s="129"/>
      <c r="J142" s="129"/>
      <c r="K142" s="129"/>
      <c r="L142" s="129"/>
      <c r="M142" s="129"/>
      <c r="N142" s="129"/>
    </row>
    <row r="143" spans="3:14" x14ac:dyDescent="0.35">
      <c r="C143" s="90"/>
      <c r="D143" s="90"/>
      <c r="E143" s="90"/>
      <c r="F143" s="90"/>
      <c r="G143" s="129"/>
      <c r="H143" s="129"/>
      <c r="I143" s="129"/>
      <c r="J143" s="129"/>
      <c r="K143" s="129"/>
      <c r="L143" s="129"/>
      <c r="M143" s="129"/>
      <c r="N143" s="129"/>
    </row>
    <row r="144" spans="3:14" x14ac:dyDescent="0.35">
      <c r="C144" s="90"/>
      <c r="D144" s="90"/>
      <c r="E144" s="90"/>
      <c r="F144" s="90"/>
      <c r="G144" s="129"/>
      <c r="H144" s="129"/>
      <c r="I144" s="129"/>
      <c r="J144" s="129"/>
      <c r="K144" s="129"/>
      <c r="L144" s="129"/>
      <c r="M144" s="129"/>
      <c r="N144" s="129"/>
    </row>
    <row r="145" spans="3:14" x14ac:dyDescent="0.35">
      <c r="C145" s="90"/>
      <c r="D145" s="90"/>
      <c r="E145" s="90"/>
      <c r="F145" s="90"/>
      <c r="G145" s="129"/>
      <c r="H145" s="129"/>
      <c r="I145" s="129"/>
      <c r="J145" s="129"/>
      <c r="K145" s="129"/>
      <c r="L145" s="129"/>
      <c r="M145" s="129"/>
      <c r="N145" s="129"/>
    </row>
    <row r="146" spans="3:14" x14ac:dyDescent="0.35">
      <c r="C146" s="90"/>
      <c r="D146" s="90"/>
      <c r="E146" s="90"/>
      <c r="F146" s="90"/>
      <c r="G146" s="129"/>
      <c r="H146" s="129"/>
      <c r="I146" s="129"/>
      <c r="J146" s="129"/>
      <c r="K146" s="129"/>
      <c r="L146" s="129"/>
      <c r="M146" s="129"/>
      <c r="N146" s="129"/>
    </row>
    <row r="147" spans="3:14" x14ac:dyDescent="0.35">
      <c r="C147" s="90"/>
      <c r="D147" s="90"/>
      <c r="E147" s="90"/>
      <c r="F147" s="90"/>
      <c r="G147" s="129"/>
      <c r="H147" s="129"/>
      <c r="I147" s="129"/>
      <c r="J147" s="129"/>
      <c r="K147" s="129"/>
      <c r="L147" s="129"/>
      <c r="M147" s="129"/>
      <c r="N147" s="129"/>
    </row>
    <row r="148" spans="3:14" x14ac:dyDescent="0.35">
      <c r="C148" s="90"/>
      <c r="D148" s="90"/>
      <c r="E148" s="90"/>
      <c r="F148" s="90"/>
      <c r="G148" s="129"/>
      <c r="H148" s="129"/>
      <c r="I148" s="129"/>
      <c r="J148" s="129"/>
      <c r="K148" s="129"/>
      <c r="L148" s="129"/>
      <c r="M148" s="129"/>
      <c r="N148" s="129"/>
    </row>
    <row r="149" spans="3:14" x14ac:dyDescent="0.35">
      <c r="C149" s="90"/>
      <c r="D149" s="90"/>
      <c r="E149" s="90"/>
      <c r="F149" s="90"/>
      <c r="G149" s="129"/>
      <c r="H149" s="129"/>
      <c r="I149" s="129"/>
      <c r="J149" s="129"/>
      <c r="K149" s="129"/>
      <c r="L149" s="129"/>
      <c r="M149" s="129"/>
      <c r="N149" s="129"/>
    </row>
    <row r="150" spans="3:14" x14ac:dyDescent="0.35">
      <c r="C150" s="90"/>
      <c r="D150" s="90"/>
      <c r="E150" s="90"/>
      <c r="F150" s="90"/>
      <c r="G150" s="129"/>
      <c r="H150" s="129"/>
      <c r="I150" s="129"/>
      <c r="J150" s="129"/>
      <c r="K150" s="129"/>
      <c r="L150" s="129"/>
      <c r="M150" s="129"/>
      <c r="N150" s="129"/>
    </row>
    <row r="151" spans="3:14" x14ac:dyDescent="0.35">
      <c r="C151" s="90"/>
      <c r="D151" s="90"/>
      <c r="E151" s="90"/>
      <c r="F151" s="90"/>
      <c r="G151" s="129"/>
      <c r="H151" s="129"/>
      <c r="I151" s="129"/>
      <c r="J151" s="129"/>
      <c r="K151" s="129"/>
      <c r="L151" s="129"/>
      <c r="M151" s="129"/>
      <c r="N151" s="129"/>
    </row>
    <row r="152" spans="3:14" x14ac:dyDescent="0.35">
      <c r="C152" s="90"/>
      <c r="D152" s="90"/>
      <c r="E152" s="90"/>
      <c r="F152" s="90"/>
      <c r="G152" s="129"/>
      <c r="H152" s="129"/>
      <c r="I152" s="129"/>
      <c r="J152" s="129"/>
      <c r="K152" s="129"/>
      <c r="L152" s="129"/>
      <c r="M152" s="129"/>
      <c r="N152" s="129"/>
    </row>
    <row r="153" spans="3:14" x14ac:dyDescent="0.35">
      <c r="C153" s="90"/>
      <c r="D153" s="90"/>
      <c r="E153" s="90"/>
      <c r="F153" s="90"/>
      <c r="G153" s="129"/>
      <c r="H153" s="129"/>
      <c r="I153" s="129"/>
      <c r="J153" s="129"/>
      <c r="K153" s="129"/>
      <c r="L153" s="129"/>
      <c r="M153" s="129"/>
      <c r="N153" s="129"/>
    </row>
    <row r="154" spans="3:14" x14ac:dyDescent="0.35">
      <c r="C154" s="90"/>
      <c r="D154" s="90"/>
      <c r="E154" s="90"/>
      <c r="F154" s="90"/>
      <c r="G154" s="129"/>
      <c r="H154" s="129"/>
      <c r="I154" s="129"/>
      <c r="J154" s="129"/>
      <c r="K154" s="129"/>
      <c r="L154" s="129"/>
      <c r="M154" s="129"/>
      <c r="N154" s="129"/>
    </row>
    <row r="155" spans="3:14" x14ac:dyDescent="0.35">
      <c r="C155" s="90"/>
      <c r="D155" s="90"/>
      <c r="E155" s="90"/>
      <c r="F155" s="90"/>
      <c r="G155" s="129"/>
      <c r="H155" s="129"/>
      <c r="I155" s="129"/>
      <c r="J155" s="129"/>
      <c r="K155" s="129"/>
      <c r="L155" s="129"/>
      <c r="M155" s="129"/>
      <c r="N155" s="129"/>
    </row>
    <row r="156" spans="3:14" x14ac:dyDescent="0.35">
      <c r="C156" s="90"/>
      <c r="D156" s="90"/>
      <c r="E156" s="90"/>
      <c r="F156" s="90"/>
      <c r="G156" s="129"/>
      <c r="H156" s="129"/>
      <c r="I156" s="129"/>
      <c r="J156" s="129"/>
      <c r="K156" s="129"/>
      <c r="L156" s="129"/>
      <c r="M156" s="129"/>
      <c r="N156" s="129"/>
    </row>
    <row r="157" spans="3:14" x14ac:dyDescent="0.35">
      <c r="C157" s="90"/>
      <c r="D157" s="90"/>
      <c r="E157" s="90"/>
      <c r="F157" s="90"/>
      <c r="G157" s="129"/>
      <c r="H157" s="129"/>
      <c r="I157" s="129"/>
      <c r="J157" s="129"/>
      <c r="K157" s="129"/>
      <c r="L157" s="129"/>
      <c r="M157" s="129"/>
      <c r="N157" s="129"/>
    </row>
    <row r="158" spans="3:14" x14ac:dyDescent="0.35">
      <c r="C158" s="90"/>
      <c r="D158" s="90"/>
      <c r="E158" s="90"/>
      <c r="F158" s="90"/>
      <c r="G158" s="129"/>
      <c r="H158" s="129"/>
      <c r="I158" s="129"/>
      <c r="J158" s="129"/>
      <c r="K158" s="129"/>
      <c r="L158" s="129"/>
      <c r="M158" s="129"/>
      <c r="N158" s="129"/>
    </row>
    <row r="159" spans="3:14" x14ac:dyDescent="0.35">
      <c r="C159" s="90"/>
      <c r="D159" s="90"/>
      <c r="E159" s="90"/>
      <c r="F159" s="90"/>
      <c r="G159" s="129"/>
      <c r="H159" s="129"/>
      <c r="I159" s="129"/>
      <c r="J159" s="129"/>
      <c r="K159" s="129"/>
      <c r="L159" s="129"/>
      <c r="M159" s="129"/>
      <c r="N159" s="129"/>
    </row>
    <row r="160" spans="3:14" x14ac:dyDescent="0.35">
      <c r="C160" s="90"/>
      <c r="D160" s="90"/>
      <c r="E160" s="90"/>
      <c r="F160" s="90"/>
      <c r="G160" s="129"/>
      <c r="H160" s="129"/>
      <c r="I160" s="129"/>
      <c r="J160" s="129"/>
      <c r="K160" s="129"/>
      <c r="L160" s="129"/>
      <c r="M160" s="129"/>
      <c r="N160" s="129"/>
    </row>
    <row r="161" spans="3:14" x14ac:dyDescent="0.35">
      <c r="C161" s="90"/>
      <c r="D161" s="90"/>
      <c r="E161" s="90"/>
      <c r="F161" s="90"/>
      <c r="G161" s="129"/>
      <c r="H161" s="129"/>
      <c r="I161" s="129"/>
      <c r="J161" s="129"/>
      <c r="K161" s="129"/>
      <c r="L161" s="129"/>
      <c r="M161" s="129"/>
      <c r="N161" s="129"/>
    </row>
    <row r="162" spans="3:14" x14ac:dyDescent="0.35">
      <c r="C162" s="90"/>
      <c r="D162" s="90"/>
      <c r="E162" s="90"/>
      <c r="F162" s="90"/>
      <c r="G162" s="129"/>
      <c r="H162" s="129"/>
      <c r="I162" s="129"/>
      <c r="J162" s="129"/>
      <c r="K162" s="129"/>
      <c r="L162" s="129"/>
      <c r="M162" s="129"/>
      <c r="N162" s="129"/>
    </row>
    <row r="163" spans="3:14" x14ac:dyDescent="0.35">
      <c r="C163" s="90"/>
      <c r="D163" s="90"/>
      <c r="E163" s="90"/>
      <c r="F163" s="90"/>
      <c r="G163" s="129"/>
      <c r="H163" s="129"/>
      <c r="I163" s="129"/>
      <c r="J163" s="129"/>
      <c r="K163" s="129"/>
      <c r="L163" s="129"/>
      <c r="M163" s="129"/>
      <c r="N163" s="129"/>
    </row>
    <row r="164" spans="3:14" x14ac:dyDescent="0.35">
      <c r="C164" s="90"/>
      <c r="D164" s="90"/>
      <c r="E164" s="90"/>
      <c r="F164" s="90"/>
      <c r="G164" s="129"/>
      <c r="H164" s="129"/>
      <c r="I164" s="129"/>
      <c r="J164" s="129"/>
      <c r="K164" s="129"/>
      <c r="L164" s="129"/>
      <c r="M164" s="129"/>
      <c r="N164" s="129"/>
    </row>
    <row r="165" spans="3:14" x14ac:dyDescent="0.35">
      <c r="C165" s="90"/>
      <c r="D165" s="90"/>
      <c r="E165" s="90"/>
      <c r="F165" s="90"/>
      <c r="G165" s="129"/>
      <c r="H165" s="129"/>
      <c r="I165" s="129"/>
      <c r="J165" s="129"/>
      <c r="K165" s="129"/>
      <c r="L165" s="129"/>
      <c r="M165" s="129"/>
      <c r="N165" s="129"/>
    </row>
    <row r="166" spans="3:14" x14ac:dyDescent="0.35">
      <c r="C166" s="90"/>
      <c r="D166" s="90"/>
      <c r="E166" s="90"/>
      <c r="F166" s="90"/>
      <c r="G166" s="129"/>
      <c r="H166" s="129"/>
      <c r="I166" s="129"/>
      <c r="J166" s="129"/>
      <c r="K166" s="129"/>
      <c r="L166" s="129"/>
      <c r="M166" s="129"/>
      <c r="N166" s="129"/>
    </row>
    <row r="167" spans="3:14" x14ac:dyDescent="0.35">
      <c r="C167" s="90"/>
      <c r="D167" s="90"/>
      <c r="E167" s="90"/>
      <c r="F167" s="90"/>
      <c r="G167" s="129"/>
      <c r="H167" s="129"/>
      <c r="I167" s="129"/>
      <c r="J167" s="129"/>
      <c r="K167" s="129"/>
      <c r="L167" s="129"/>
      <c r="M167" s="129"/>
      <c r="N167" s="129"/>
    </row>
    <row r="168" spans="3:14" x14ac:dyDescent="0.35">
      <c r="C168" s="90"/>
      <c r="D168" s="90"/>
      <c r="E168" s="90"/>
      <c r="F168" s="90"/>
      <c r="G168" s="129"/>
      <c r="H168" s="129"/>
      <c r="I168" s="129"/>
      <c r="J168" s="129"/>
      <c r="K168" s="129"/>
      <c r="L168" s="129"/>
      <c r="M168" s="129"/>
      <c r="N168" s="129"/>
    </row>
    <row r="169" spans="3:14" x14ac:dyDescent="0.35">
      <c r="C169" s="90"/>
      <c r="D169" s="90"/>
      <c r="E169" s="90"/>
      <c r="F169" s="90"/>
      <c r="G169" s="129"/>
      <c r="H169" s="129"/>
      <c r="I169" s="129"/>
      <c r="J169" s="129"/>
      <c r="K169" s="129"/>
      <c r="L169" s="129"/>
      <c r="M169" s="129"/>
      <c r="N169" s="129"/>
    </row>
    <row r="170" spans="3:14" x14ac:dyDescent="0.35">
      <c r="C170" s="90"/>
      <c r="D170" s="90"/>
      <c r="E170" s="90"/>
      <c r="F170" s="90"/>
      <c r="G170" s="129"/>
      <c r="H170" s="129"/>
      <c r="I170" s="129"/>
      <c r="J170" s="129"/>
      <c r="K170" s="129"/>
      <c r="L170" s="129"/>
      <c r="M170" s="129"/>
      <c r="N170" s="129"/>
    </row>
    <row r="171" spans="3:14" x14ac:dyDescent="0.35">
      <c r="C171" s="90"/>
      <c r="D171" s="90"/>
      <c r="E171" s="90"/>
      <c r="F171" s="90"/>
      <c r="G171" s="129"/>
      <c r="H171" s="129"/>
      <c r="I171" s="129"/>
      <c r="J171" s="129"/>
      <c r="K171" s="129"/>
      <c r="L171" s="129"/>
      <c r="M171" s="129"/>
      <c r="N171" s="129"/>
    </row>
    <row r="172" spans="3:14" x14ac:dyDescent="0.35">
      <c r="C172" s="90"/>
      <c r="D172" s="90"/>
      <c r="E172" s="90"/>
      <c r="F172" s="90"/>
      <c r="G172" s="129"/>
      <c r="H172" s="129"/>
      <c r="I172" s="129"/>
      <c r="J172" s="129"/>
      <c r="K172" s="129"/>
      <c r="L172" s="129"/>
      <c r="M172" s="129"/>
      <c r="N172" s="129"/>
    </row>
    <row r="173" spans="3:14" x14ac:dyDescent="0.35">
      <c r="C173" s="90"/>
      <c r="D173" s="90"/>
      <c r="E173" s="90"/>
      <c r="F173" s="90"/>
      <c r="G173" s="129"/>
      <c r="H173" s="129"/>
      <c r="I173" s="129"/>
      <c r="J173" s="129"/>
      <c r="K173" s="129"/>
      <c r="L173" s="129"/>
      <c r="M173" s="129"/>
      <c r="N173" s="129"/>
    </row>
    <row r="174" spans="3:14" x14ac:dyDescent="0.35">
      <c r="C174" s="90"/>
      <c r="D174" s="90"/>
      <c r="E174" s="90"/>
      <c r="F174" s="90"/>
      <c r="G174" s="129"/>
      <c r="H174" s="129"/>
      <c r="I174" s="129"/>
      <c r="J174" s="129"/>
      <c r="K174" s="129"/>
      <c r="L174" s="129"/>
      <c r="M174" s="129"/>
      <c r="N174" s="129"/>
    </row>
    <row r="175" spans="3:14" x14ac:dyDescent="0.35">
      <c r="C175" s="90"/>
      <c r="D175" s="90"/>
      <c r="E175" s="90"/>
      <c r="F175" s="90"/>
      <c r="G175" s="129"/>
      <c r="H175" s="129"/>
      <c r="I175" s="129"/>
      <c r="J175" s="129"/>
      <c r="K175" s="129"/>
      <c r="L175" s="129"/>
      <c r="M175" s="129"/>
      <c r="N175" s="129"/>
    </row>
    <row r="176" spans="3:14" x14ac:dyDescent="0.35">
      <c r="C176" s="90"/>
      <c r="D176" s="90"/>
      <c r="E176" s="90"/>
      <c r="F176" s="90"/>
      <c r="G176" s="129"/>
      <c r="H176" s="129"/>
      <c r="I176" s="129"/>
      <c r="J176" s="129"/>
      <c r="K176" s="129"/>
      <c r="L176" s="129"/>
      <c r="M176" s="129"/>
      <c r="N176" s="129"/>
    </row>
    <row r="177" spans="3:14" x14ac:dyDescent="0.35">
      <c r="C177" s="90"/>
      <c r="D177" s="90"/>
      <c r="E177" s="90"/>
      <c r="F177" s="90"/>
      <c r="G177" s="129"/>
      <c r="H177" s="129"/>
      <c r="I177" s="129"/>
      <c r="J177" s="129"/>
      <c r="K177" s="129"/>
      <c r="L177" s="129"/>
      <c r="M177" s="129"/>
      <c r="N177" s="129"/>
    </row>
    <row r="178" spans="3:14" x14ac:dyDescent="0.35">
      <c r="C178" s="90"/>
      <c r="D178" s="90"/>
      <c r="E178" s="90"/>
      <c r="F178" s="90"/>
      <c r="G178" s="129"/>
      <c r="H178" s="129"/>
      <c r="I178" s="129"/>
      <c r="J178" s="129"/>
      <c r="K178" s="129"/>
      <c r="L178" s="129"/>
      <c r="M178" s="129"/>
      <c r="N178" s="129"/>
    </row>
    <row r="179" spans="3:14" x14ac:dyDescent="0.35">
      <c r="C179" s="90"/>
      <c r="D179" s="90"/>
      <c r="E179" s="90"/>
      <c r="F179" s="90"/>
      <c r="G179" s="129"/>
      <c r="H179" s="129"/>
      <c r="I179" s="129"/>
      <c r="J179" s="129"/>
      <c r="K179" s="129"/>
      <c r="L179" s="129"/>
      <c r="M179" s="129"/>
      <c r="N179" s="129"/>
    </row>
    <row r="180" spans="3:14" x14ac:dyDescent="0.35">
      <c r="C180" s="90"/>
      <c r="D180" s="90"/>
      <c r="E180" s="90"/>
      <c r="F180" s="90"/>
      <c r="G180" s="129"/>
      <c r="H180" s="129"/>
      <c r="I180" s="129"/>
      <c r="J180" s="129"/>
      <c r="K180" s="129"/>
      <c r="L180" s="129"/>
      <c r="M180" s="129"/>
      <c r="N180" s="129"/>
    </row>
    <row r="181" spans="3:14" x14ac:dyDescent="0.35">
      <c r="C181" s="90"/>
      <c r="D181" s="90"/>
      <c r="E181" s="90"/>
      <c r="F181" s="90"/>
      <c r="G181" s="129"/>
      <c r="H181" s="129"/>
      <c r="I181" s="129"/>
      <c r="J181" s="129"/>
      <c r="K181" s="129"/>
      <c r="L181" s="129"/>
      <c r="M181" s="129"/>
      <c r="N181" s="129"/>
    </row>
    <row r="182" spans="3:14" x14ac:dyDescent="0.35">
      <c r="C182" s="90"/>
      <c r="D182" s="90"/>
      <c r="E182" s="90"/>
      <c r="F182" s="90"/>
      <c r="G182" s="129"/>
      <c r="H182" s="129"/>
      <c r="I182" s="129"/>
      <c r="J182" s="129"/>
      <c r="K182" s="129"/>
      <c r="L182" s="129"/>
      <c r="M182" s="129"/>
      <c r="N182" s="129"/>
    </row>
    <row r="183" spans="3:14" x14ac:dyDescent="0.35">
      <c r="C183" s="90"/>
      <c r="D183" s="90"/>
      <c r="E183" s="90"/>
      <c r="F183" s="90"/>
      <c r="G183" s="129"/>
      <c r="H183" s="129"/>
      <c r="I183" s="129"/>
      <c r="J183" s="129"/>
      <c r="K183" s="129"/>
      <c r="L183" s="129"/>
      <c r="M183" s="129"/>
      <c r="N183" s="129"/>
    </row>
    <row r="184" spans="3:14" x14ac:dyDescent="0.35">
      <c r="C184" s="90"/>
      <c r="D184" s="90"/>
      <c r="E184" s="90"/>
      <c r="F184" s="90"/>
      <c r="G184" s="129"/>
      <c r="H184" s="129"/>
      <c r="I184" s="129"/>
      <c r="J184" s="129"/>
      <c r="K184" s="129"/>
      <c r="L184" s="129"/>
      <c r="M184" s="129"/>
      <c r="N184" s="129"/>
    </row>
    <row r="185" spans="3:14" x14ac:dyDescent="0.35">
      <c r="C185" s="90"/>
      <c r="D185" s="90"/>
      <c r="E185" s="90"/>
      <c r="F185" s="90"/>
      <c r="G185" s="129"/>
      <c r="H185" s="129"/>
      <c r="I185" s="129"/>
      <c r="J185" s="129"/>
      <c r="K185" s="129"/>
      <c r="L185" s="129"/>
      <c r="M185" s="129"/>
      <c r="N185" s="129"/>
    </row>
    <row r="186" spans="3:14" x14ac:dyDescent="0.35">
      <c r="C186" s="90"/>
      <c r="D186" s="90"/>
      <c r="E186" s="90"/>
      <c r="F186" s="90"/>
      <c r="G186" s="129"/>
      <c r="H186" s="129"/>
      <c r="I186" s="129"/>
      <c r="J186" s="129"/>
      <c r="K186" s="129"/>
      <c r="L186" s="129"/>
      <c r="M186" s="129"/>
      <c r="N186" s="129"/>
    </row>
    <row r="187" spans="3:14" x14ac:dyDescent="0.35">
      <c r="C187" s="90"/>
      <c r="D187" s="90"/>
      <c r="E187" s="90"/>
      <c r="F187" s="90"/>
      <c r="G187" s="129"/>
      <c r="H187" s="129"/>
      <c r="I187" s="129"/>
      <c r="J187" s="129"/>
      <c r="K187" s="129"/>
      <c r="L187" s="129"/>
      <c r="M187" s="129"/>
      <c r="N187" s="129"/>
    </row>
    <row r="188" spans="3:14" x14ac:dyDescent="0.35">
      <c r="C188" s="90"/>
      <c r="D188" s="90"/>
      <c r="E188" s="90"/>
      <c r="F188" s="90"/>
      <c r="G188" s="129"/>
      <c r="H188" s="129"/>
      <c r="I188" s="129"/>
      <c r="J188" s="129"/>
      <c r="K188" s="129"/>
      <c r="L188" s="129"/>
      <c r="M188" s="129"/>
      <c r="N188" s="129"/>
    </row>
    <row r="189" spans="3:14" x14ac:dyDescent="0.35">
      <c r="C189" s="90"/>
      <c r="D189" s="90"/>
      <c r="E189" s="90"/>
      <c r="F189" s="90"/>
      <c r="G189" s="129"/>
      <c r="H189" s="129"/>
      <c r="I189" s="129"/>
      <c r="J189" s="129"/>
      <c r="K189" s="129"/>
      <c r="L189" s="129"/>
      <c r="M189" s="129"/>
      <c r="N189" s="129"/>
    </row>
    <row r="190" spans="3:14" x14ac:dyDescent="0.35">
      <c r="C190" s="90"/>
      <c r="D190" s="90"/>
      <c r="E190" s="90"/>
      <c r="F190" s="90"/>
      <c r="G190" s="129"/>
      <c r="H190" s="129"/>
      <c r="I190" s="129"/>
      <c r="J190" s="129"/>
      <c r="K190" s="129"/>
      <c r="L190" s="129"/>
      <c r="M190" s="129"/>
      <c r="N190" s="129"/>
    </row>
    <row r="191" spans="3:14" x14ac:dyDescent="0.35">
      <c r="C191" s="90"/>
      <c r="D191" s="90"/>
      <c r="E191" s="90"/>
      <c r="F191" s="90"/>
      <c r="G191" s="129"/>
      <c r="H191" s="129"/>
      <c r="I191" s="129"/>
      <c r="J191" s="129"/>
      <c r="K191" s="129"/>
      <c r="L191" s="129"/>
      <c r="M191" s="129"/>
      <c r="N191" s="129"/>
    </row>
    <row r="192" spans="3:14" x14ac:dyDescent="0.35">
      <c r="C192" s="90"/>
      <c r="D192" s="90"/>
      <c r="E192" s="90"/>
      <c r="F192" s="90"/>
      <c r="G192" s="129"/>
      <c r="H192" s="129"/>
      <c r="I192" s="129"/>
      <c r="J192" s="129"/>
      <c r="K192" s="129"/>
      <c r="L192" s="129"/>
      <c r="M192" s="129"/>
      <c r="N192" s="129"/>
    </row>
    <row r="193" spans="3:14" x14ac:dyDescent="0.35">
      <c r="C193" s="90"/>
      <c r="D193" s="90"/>
      <c r="E193" s="90"/>
      <c r="F193" s="90"/>
      <c r="G193" s="129"/>
      <c r="H193" s="129"/>
      <c r="I193" s="129"/>
      <c r="J193" s="129"/>
      <c r="K193" s="129"/>
      <c r="L193" s="129"/>
      <c r="M193" s="129"/>
      <c r="N193" s="129"/>
    </row>
    <row r="194" spans="3:14" x14ac:dyDescent="0.35">
      <c r="C194" s="90"/>
      <c r="D194" s="90"/>
      <c r="E194" s="90"/>
      <c r="F194" s="90"/>
      <c r="G194" s="129"/>
      <c r="H194" s="129"/>
      <c r="I194" s="129"/>
      <c r="J194" s="129"/>
      <c r="K194" s="129"/>
      <c r="L194" s="129"/>
      <c r="M194" s="129"/>
      <c r="N194" s="129"/>
    </row>
    <row r="195" spans="3:14" x14ac:dyDescent="0.35">
      <c r="C195" s="90"/>
      <c r="D195" s="90"/>
      <c r="E195" s="90"/>
      <c r="F195" s="90"/>
      <c r="G195" s="129"/>
      <c r="H195" s="129"/>
      <c r="I195" s="129"/>
      <c r="J195" s="129"/>
      <c r="K195" s="129"/>
      <c r="L195" s="129"/>
      <c r="M195" s="129"/>
      <c r="N195" s="129"/>
    </row>
    <row r="196" spans="3:14" x14ac:dyDescent="0.35">
      <c r="C196" s="90"/>
      <c r="D196" s="90"/>
      <c r="E196" s="90"/>
      <c r="F196" s="90"/>
      <c r="G196" s="129"/>
      <c r="H196" s="129"/>
      <c r="I196" s="129"/>
      <c r="J196" s="129"/>
      <c r="K196" s="129"/>
      <c r="L196" s="129"/>
      <c r="M196" s="129"/>
      <c r="N196" s="129"/>
    </row>
    <row r="197" spans="3:14" x14ac:dyDescent="0.35">
      <c r="C197" s="90"/>
      <c r="D197" s="90"/>
      <c r="E197" s="90"/>
      <c r="F197" s="90"/>
      <c r="G197" s="129"/>
      <c r="H197" s="129"/>
      <c r="I197" s="129"/>
      <c r="J197" s="129"/>
      <c r="K197" s="129"/>
      <c r="L197" s="129"/>
      <c r="M197" s="129"/>
      <c r="N197" s="129"/>
    </row>
    <row r="198" spans="3:14" x14ac:dyDescent="0.35">
      <c r="C198" s="90"/>
      <c r="D198" s="90"/>
      <c r="E198" s="90"/>
      <c r="F198" s="90"/>
      <c r="G198" s="129"/>
      <c r="H198" s="129"/>
      <c r="I198" s="129"/>
      <c r="J198" s="129"/>
      <c r="K198" s="129"/>
      <c r="L198" s="129"/>
      <c r="M198" s="129"/>
      <c r="N198" s="129"/>
    </row>
    <row r="199" spans="3:14" x14ac:dyDescent="0.35">
      <c r="C199" s="90"/>
      <c r="D199" s="90"/>
      <c r="E199" s="90"/>
      <c r="F199" s="90"/>
      <c r="G199" s="129"/>
      <c r="H199" s="129"/>
      <c r="I199" s="129"/>
      <c r="J199" s="129"/>
      <c r="K199" s="129"/>
      <c r="L199" s="129"/>
      <c r="M199" s="129"/>
      <c r="N199" s="129"/>
    </row>
    <row r="200" spans="3:14" x14ac:dyDescent="0.35">
      <c r="C200" s="90"/>
      <c r="D200" s="90"/>
      <c r="E200" s="90"/>
      <c r="F200" s="90"/>
      <c r="G200" s="129"/>
      <c r="H200" s="129"/>
      <c r="I200" s="129"/>
      <c r="J200" s="129"/>
      <c r="K200" s="129"/>
      <c r="L200" s="129"/>
      <c r="M200" s="129"/>
      <c r="N200" s="129"/>
    </row>
    <row r="201" spans="3:14" x14ac:dyDescent="0.35">
      <c r="C201" s="90"/>
      <c r="D201" s="90"/>
      <c r="E201" s="90"/>
      <c r="F201" s="90"/>
      <c r="G201" s="129"/>
      <c r="H201" s="129"/>
      <c r="I201" s="129"/>
      <c r="J201" s="129"/>
      <c r="K201" s="129"/>
      <c r="L201" s="129"/>
      <c r="M201" s="129"/>
      <c r="N201" s="129"/>
    </row>
    <row r="202" spans="3:14" x14ac:dyDescent="0.35">
      <c r="C202" s="90"/>
      <c r="D202" s="90"/>
      <c r="E202" s="90"/>
      <c r="F202" s="90"/>
      <c r="G202" s="90"/>
      <c r="H202" s="90"/>
      <c r="I202" s="90"/>
      <c r="J202" s="90"/>
      <c r="K202" s="90"/>
      <c r="L202" s="90"/>
      <c r="M202" s="90"/>
      <c r="N202" s="90"/>
    </row>
    <row r="203" spans="3:14" x14ac:dyDescent="0.35">
      <c r="C203" s="90"/>
      <c r="D203" s="90"/>
      <c r="E203" s="90"/>
      <c r="F203" s="90"/>
      <c r="G203" s="90"/>
      <c r="H203" s="90"/>
      <c r="I203" s="90"/>
      <c r="J203" s="90"/>
      <c r="K203" s="90"/>
      <c r="L203" s="90"/>
      <c r="M203" s="90"/>
      <c r="N203" s="90"/>
    </row>
    <row r="204" spans="3:14" x14ac:dyDescent="0.35">
      <c r="C204" s="90"/>
      <c r="D204" s="90"/>
      <c r="E204" s="90"/>
      <c r="F204" s="90"/>
      <c r="G204" s="90"/>
      <c r="H204" s="90"/>
      <c r="I204" s="90"/>
      <c r="J204" s="90"/>
      <c r="K204" s="90"/>
      <c r="L204" s="90"/>
      <c r="M204" s="90"/>
      <c r="N204" s="90"/>
    </row>
    <row r="205" spans="3:14" x14ac:dyDescent="0.35">
      <c r="C205" s="90"/>
      <c r="D205" s="90"/>
      <c r="E205" s="90"/>
      <c r="F205" s="90"/>
      <c r="G205" s="90"/>
      <c r="H205" s="90"/>
      <c r="I205" s="90"/>
      <c r="J205" s="90"/>
      <c r="K205" s="90"/>
      <c r="L205" s="90"/>
      <c r="M205" s="90"/>
      <c r="N205" s="90"/>
    </row>
    <row r="206" spans="3:14" x14ac:dyDescent="0.35">
      <c r="C206" s="90"/>
      <c r="D206" s="90"/>
      <c r="E206" s="90"/>
      <c r="F206" s="90"/>
      <c r="G206" s="90"/>
      <c r="H206" s="90"/>
      <c r="I206" s="90"/>
      <c r="J206" s="90"/>
      <c r="K206" s="90"/>
      <c r="L206" s="90"/>
      <c r="M206" s="90"/>
      <c r="N206" s="90"/>
    </row>
    <row r="207" spans="3:14" x14ac:dyDescent="0.35">
      <c r="C207" s="90"/>
      <c r="D207" s="90"/>
      <c r="E207" s="90"/>
      <c r="F207" s="90"/>
      <c r="G207" s="90"/>
      <c r="H207" s="90"/>
      <c r="I207" s="90"/>
      <c r="J207" s="90"/>
      <c r="K207" s="90"/>
      <c r="L207" s="90"/>
      <c r="M207" s="90"/>
      <c r="N207" s="90"/>
    </row>
    <row r="208" spans="3:14" x14ac:dyDescent="0.35">
      <c r="C208" s="90"/>
      <c r="D208" s="90"/>
      <c r="E208" s="90"/>
      <c r="F208" s="90"/>
      <c r="G208" s="90"/>
      <c r="H208" s="90"/>
      <c r="I208" s="90"/>
      <c r="J208" s="90"/>
      <c r="K208" s="90"/>
      <c r="L208" s="90"/>
      <c r="M208" s="90"/>
      <c r="N208" s="90"/>
    </row>
    <row r="209" spans="3:14" x14ac:dyDescent="0.35">
      <c r="C209" s="90"/>
      <c r="D209" s="90"/>
      <c r="E209" s="90"/>
      <c r="F209" s="90"/>
      <c r="G209" s="90"/>
      <c r="H209" s="90"/>
      <c r="I209" s="90"/>
      <c r="J209" s="90"/>
      <c r="K209" s="90"/>
      <c r="L209" s="90"/>
      <c r="M209" s="90"/>
      <c r="N209" s="90"/>
    </row>
    <row r="210" spans="3:14" x14ac:dyDescent="0.35">
      <c r="C210" s="90"/>
      <c r="D210" s="90"/>
      <c r="E210" s="90"/>
      <c r="F210" s="90"/>
      <c r="G210" s="90"/>
      <c r="H210" s="90"/>
      <c r="I210" s="90"/>
      <c r="J210" s="90"/>
      <c r="K210" s="90"/>
      <c r="L210" s="90"/>
      <c r="M210" s="90"/>
      <c r="N210" s="90"/>
    </row>
    <row r="211" spans="3:14" x14ac:dyDescent="0.35">
      <c r="C211" s="90"/>
      <c r="D211" s="90"/>
      <c r="E211" s="90"/>
      <c r="F211" s="90"/>
      <c r="G211" s="90"/>
      <c r="H211" s="90"/>
      <c r="I211" s="90"/>
      <c r="J211" s="90"/>
      <c r="K211" s="90"/>
      <c r="L211" s="90"/>
      <c r="M211" s="90"/>
      <c r="N211" s="90"/>
    </row>
    <row r="212" spans="3:14" x14ac:dyDescent="0.35">
      <c r="C212" s="90"/>
      <c r="D212" s="90"/>
      <c r="E212" s="90"/>
      <c r="F212" s="90"/>
      <c r="G212" s="90"/>
      <c r="H212" s="90"/>
      <c r="I212" s="90"/>
      <c r="J212" s="90"/>
      <c r="K212" s="90"/>
      <c r="L212" s="90"/>
      <c r="M212" s="90"/>
      <c r="N212" s="90"/>
    </row>
    <row r="213" spans="3:14" x14ac:dyDescent="0.35">
      <c r="C213" s="90"/>
      <c r="D213" s="90"/>
      <c r="E213" s="90"/>
      <c r="F213" s="90"/>
      <c r="G213" s="90"/>
      <c r="H213" s="90"/>
      <c r="I213" s="90"/>
      <c r="J213" s="90"/>
      <c r="K213" s="90"/>
      <c r="L213" s="90"/>
      <c r="M213" s="90"/>
      <c r="N213" s="90"/>
    </row>
    <row r="214" spans="3:14" x14ac:dyDescent="0.35">
      <c r="C214" s="90"/>
      <c r="D214" s="90"/>
      <c r="E214" s="90"/>
      <c r="F214" s="90"/>
      <c r="G214" s="90"/>
      <c r="H214" s="90"/>
      <c r="I214" s="90"/>
      <c r="J214" s="90"/>
      <c r="K214" s="90"/>
      <c r="L214" s="90"/>
      <c r="M214" s="90"/>
      <c r="N214" s="90"/>
    </row>
    <row r="215" spans="3:14" x14ac:dyDescent="0.35">
      <c r="C215" s="90"/>
      <c r="D215" s="90"/>
      <c r="E215" s="90"/>
      <c r="F215" s="90"/>
      <c r="G215" s="90"/>
      <c r="H215" s="90"/>
      <c r="I215" s="90"/>
      <c r="J215" s="90"/>
      <c r="K215" s="90"/>
      <c r="L215" s="90"/>
      <c r="M215" s="90"/>
      <c r="N215" s="90"/>
    </row>
    <row r="216" spans="3:14" x14ac:dyDescent="0.35">
      <c r="C216" s="90"/>
      <c r="D216" s="90"/>
      <c r="E216" s="90"/>
      <c r="F216" s="90"/>
      <c r="G216" s="90"/>
      <c r="H216" s="90"/>
      <c r="I216" s="90"/>
      <c r="J216" s="90"/>
      <c r="K216" s="90"/>
      <c r="L216" s="90"/>
      <c r="M216" s="90"/>
      <c r="N216" s="90"/>
    </row>
    <row r="217" spans="3:14" x14ac:dyDescent="0.35">
      <c r="C217" s="90"/>
      <c r="D217" s="90"/>
      <c r="E217" s="90"/>
      <c r="F217" s="90"/>
      <c r="G217" s="90"/>
      <c r="H217" s="90"/>
      <c r="I217" s="90"/>
      <c r="J217" s="90"/>
      <c r="K217" s="90"/>
      <c r="L217" s="90"/>
      <c r="M217" s="90"/>
      <c r="N217" s="90"/>
    </row>
    <row r="218" spans="3:14" x14ac:dyDescent="0.35">
      <c r="C218" s="90"/>
      <c r="D218" s="90"/>
      <c r="E218" s="90"/>
      <c r="F218" s="90"/>
      <c r="G218" s="90"/>
      <c r="H218" s="90"/>
      <c r="I218" s="90"/>
      <c r="J218" s="90"/>
      <c r="K218" s="90"/>
      <c r="L218" s="90"/>
      <c r="M218" s="90"/>
      <c r="N218" s="90"/>
    </row>
    <row r="219" spans="3:14" x14ac:dyDescent="0.35">
      <c r="C219" s="90"/>
      <c r="D219" s="90"/>
      <c r="E219" s="90"/>
      <c r="F219" s="90"/>
      <c r="G219" s="90"/>
      <c r="H219" s="90"/>
      <c r="I219" s="90"/>
      <c r="J219" s="90"/>
      <c r="K219" s="90"/>
      <c r="L219" s="90"/>
      <c r="M219" s="90"/>
      <c r="N219" s="90"/>
    </row>
    <row r="220" spans="3:14" x14ac:dyDescent="0.35">
      <c r="C220" s="90"/>
      <c r="D220" s="90"/>
      <c r="E220" s="90"/>
      <c r="F220" s="90"/>
      <c r="G220" s="90"/>
      <c r="H220" s="90"/>
      <c r="I220" s="90"/>
      <c r="J220" s="90"/>
      <c r="K220" s="90"/>
      <c r="L220" s="90"/>
      <c r="M220" s="90"/>
      <c r="N220" s="90"/>
    </row>
    <row r="221" spans="3:14" x14ac:dyDescent="0.35">
      <c r="C221" s="90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</row>
    <row r="222" spans="3:14" x14ac:dyDescent="0.35">
      <c r="C222" s="90"/>
      <c r="D222" s="90"/>
      <c r="E222" s="90"/>
      <c r="F222" s="90"/>
      <c r="G222" s="90"/>
      <c r="H222" s="90"/>
      <c r="I222" s="90"/>
      <c r="J222" s="90"/>
      <c r="K222" s="90"/>
      <c r="L222" s="90"/>
      <c r="M222" s="90"/>
      <c r="N222" s="90"/>
    </row>
    <row r="223" spans="3:14" x14ac:dyDescent="0.35">
      <c r="C223" s="90"/>
      <c r="D223" s="90"/>
      <c r="E223" s="90"/>
      <c r="F223" s="90"/>
      <c r="G223" s="90"/>
      <c r="H223" s="90"/>
      <c r="I223" s="90"/>
      <c r="J223" s="90"/>
      <c r="K223" s="90"/>
      <c r="L223" s="90"/>
      <c r="M223" s="90"/>
      <c r="N223" s="90"/>
    </row>
    <row r="224" spans="3:14" x14ac:dyDescent="0.35">
      <c r="C224" s="90"/>
      <c r="D224" s="90"/>
      <c r="E224" s="90"/>
      <c r="F224" s="90"/>
      <c r="G224" s="90"/>
      <c r="H224" s="90"/>
      <c r="I224" s="90"/>
      <c r="J224" s="90"/>
      <c r="K224" s="90"/>
      <c r="L224" s="90"/>
      <c r="M224" s="90"/>
      <c r="N224" s="90"/>
    </row>
    <row r="225" spans="3:14" x14ac:dyDescent="0.35">
      <c r="C225" s="90"/>
      <c r="D225" s="90"/>
      <c r="E225" s="90"/>
      <c r="F225" s="90"/>
      <c r="G225" s="90"/>
      <c r="H225" s="90"/>
      <c r="I225" s="90"/>
      <c r="J225" s="90"/>
      <c r="K225" s="90"/>
      <c r="L225" s="90"/>
      <c r="M225" s="90"/>
      <c r="N225" s="90"/>
    </row>
    <row r="226" spans="3:14" x14ac:dyDescent="0.35">
      <c r="C226" s="90"/>
      <c r="D226" s="90"/>
      <c r="E226" s="90"/>
      <c r="F226" s="90"/>
      <c r="G226" s="90"/>
      <c r="H226" s="90"/>
      <c r="I226" s="90"/>
      <c r="J226" s="90"/>
      <c r="K226" s="90"/>
      <c r="L226" s="90"/>
      <c r="M226" s="90"/>
      <c r="N226" s="90"/>
    </row>
    <row r="227" spans="3:14" x14ac:dyDescent="0.35">
      <c r="C227" s="90"/>
      <c r="D227" s="90"/>
      <c r="E227" s="90"/>
      <c r="F227" s="90"/>
      <c r="G227" s="90"/>
      <c r="H227" s="90"/>
      <c r="I227" s="90"/>
      <c r="J227" s="90"/>
      <c r="K227" s="90"/>
      <c r="L227" s="90"/>
      <c r="M227" s="90"/>
      <c r="N227" s="90"/>
    </row>
    <row r="228" spans="3:14" x14ac:dyDescent="0.35">
      <c r="C228" s="90"/>
      <c r="D228" s="90"/>
      <c r="E228" s="90"/>
      <c r="F228" s="90"/>
      <c r="G228" s="90"/>
      <c r="H228" s="90"/>
      <c r="I228" s="90"/>
      <c r="J228" s="90"/>
      <c r="K228" s="90"/>
      <c r="L228" s="90"/>
      <c r="M228" s="90"/>
      <c r="N228" s="90"/>
    </row>
    <row r="229" spans="3:14" x14ac:dyDescent="0.35">
      <c r="C229" s="90"/>
      <c r="D229" s="90"/>
      <c r="E229" s="90"/>
      <c r="F229" s="90"/>
      <c r="G229" s="90"/>
      <c r="H229" s="90"/>
      <c r="I229" s="90"/>
      <c r="J229" s="90"/>
      <c r="K229" s="90"/>
      <c r="L229" s="90"/>
      <c r="M229" s="90"/>
      <c r="N229" s="90"/>
    </row>
    <row r="230" spans="3:14" x14ac:dyDescent="0.35">
      <c r="C230" s="90"/>
      <c r="D230" s="90"/>
      <c r="E230" s="90"/>
      <c r="F230" s="90"/>
      <c r="G230" s="90"/>
      <c r="H230" s="90"/>
      <c r="I230" s="90"/>
      <c r="J230" s="90"/>
      <c r="K230" s="90"/>
      <c r="L230" s="90"/>
      <c r="M230" s="90"/>
      <c r="N230" s="90"/>
    </row>
    <row r="231" spans="3:14" x14ac:dyDescent="0.35">
      <c r="C231" s="90"/>
      <c r="D231" s="90"/>
      <c r="E231" s="90"/>
      <c r="F231" s="90"/>
      <c r="G231" s="90"/>
      <c r="H231" s="90"/>
      <c r="I231" s="90"/>
      <c r="J231" s="90"/>
      <c r="K231" s="90"/>
      <c r="L231" s="90"/>
      <c r="M231" s="90"/>
      <c r="N231" s="90"/>
    </row>
    <row r="232" spans="3:14" x14ac:dyDescent="0.35">
      <c r="C232" s="90"/>
      <c r="D232" s="90"/>
      <c r="E232" s="90"/>
      <c r="F232" s="90"/>
      <c r="G232" s="90"/>
      <c r="H232" s="90"/>
      <c r="I232" s="90"/>
      <c r="J232" s="90"/>
      <c r="K232" s="90"/>
      <c r="L232" s="90"/>
      <c r="M232" s="90"/>
      <c r="N232" s="90"/>
    </row>
    <row r="233" spans="3:14" x14ac:dyDescent="0.35">
      <c r="C233" s="90"/>
      <c r="D233" s="90"/>
      <c r="E233" s="90"/>
      <c r="F233" s="90"/>
      <c r="G233" s="90"/>
      <c r="H233" s="90"/>
      <c r="I233" s="90"/>
      <c r="J233" s="90"/>
      <c r="K233" s="90"/>
      <c r="L233" s="90"/>
      <c r="M233" s="90"/>
      <c r="N233" s="90"/>
    </row>
    <row r="234" spans="3:14" x14ac:dyDescent="0.35">
      <c r="C234" s="90"/>
      <c r="D234" s="90"/>
      <c r="E234" s="90"/>
      <c r="F234" s="90"/>
      <c r="G234" s="90"/>
      <c r="H234" s="90"/>
      <c r="I234" s="90"/>
      <c r="J234" s="90"/>
      <c r="K234" s="90"/>
      <c r="L234" s="90"/>
      <c r="M234" s="90"/>
      <c r="N234" s="90"/>
    </row>
    <row r="235" spans="3:14" x14ac:dyDescent="0.35">
      <c r="C235" s="90"/>
      <c r="D235" s="90"/>
      <c r="E235" s="90"/>
      <c r="F235" s="90"/>
      <c r="G235" s="90"/>
      <c r="H235" s="90"/>
      <c r="I235" s="90"/>
      <c r="J235" s="90"/>
      <c r="K235" s="90"/>
      <c r="L235" s="90"/>
      <c r="M235" s="90"/>
      <c r="N235" s="90"/>
    </row>
    <row r="236" spans="3:14" x14ac:dyDescent="0.35">
      <c r="C236" s="90"/>
      <c r="D236" s="90"/>
      <c r="E236" s="90"/>
      <c r="F236" s="90"/>
      <c r="G236" s="90"/>
      <c r="H236" s="90"/>
      <c r="I236" s="90"/>
      <c r="J236" s="90"/>
      <c r="K236" s="90"/>
      <c r="L236" s="90"/>
      <c r="M236" s="90"/>
      <c r="N236" s="90"/>
    </row>
    <row r="237" spans="3:14" x14ac:dyDescent="0.35">
      <c r="C237" s="90"/>
      <c r="D237" s="90"/>
      <c r="E237" s="90"/>
      <c r="F237" s="90"/>
      <c r="G237" s="90"/>
      <c r="H237" s="90"/>
      <c r="I237" s="90"/>
      <c r="J237" s="90"/>
      <c r="K237" s="90"/>
      <c r="L237" s="90"/>
      <c r="M237" s="90"/>
      <c r="N237" s="90"/>
    </row>
    <row r="238" spans="3:14" x14ac:dyDescent="0.35">
      <c r="C238" s="90"/>
      <c r="D238" s="90"/>
      <c r="E238" s="90"/>
      <c r="F238" s="90"/>
      <c r="G238" s="90"/>
      <c r="H238" s="90"/>
      <c r="I238" s="90"/>
      <c r="J238" s="90"/>
      <c r="K238" s="90"/>
      <c r="L238" s="90"/>
      <c r="M238" s="90"/>
      <c r="N238" s="90"/>
    </row>
    <row r="239" spans="3:14" x14ac:dyDescent="0.35">
      <c r="C239" s="90"/>
      <c r="D239" s="90"/>
      <c r="E239" s="90"/>
      <c r="F239" s="90"/>
      <c r="G239" s="90"/>
      <c r="H239" s="90"/>
      <c r="I239" s="90"/>
      <c r="J239" s="90"/>
      <c r="K239" s="90"/>
      <c r="L239" s="90"/>
      <c r="M239" s="90"/>
      <c r="N239" s="90"/>
    </row>
    <row r="240" spans="3:14" x14ac:dyDescent="0.35">
      <c r="C240" s="90"/>
      <c r="D240" s="90"/>
      <c r="E240" s="90"/>
      <c r="F240" s="90"/>
      <c r="G240" s="90"/>
      <c r="H240" s="90"/>
      <c r="I240" s="90"/>
      <c r="J240" s="90"/>
      <c r="K240" s="90"/>
      <c r="L240" s="90"/>
      <c r="M240" s="90"/>
      <c r="N240" s="90"/>
    </row>
    <row r="241" spans="3:14" x14ac:dyDescent="0.35">
      <c r="C241" s="90"/>
      <c r="D241" s="90"/>
      <c r="E241" s="90"/>
      <c r="F241" s="90"/>
      <c r="G241" s="90"/>
      <c r="H241" s="90"/>
      <c r="I241" s="90"/>
      <c r="J241" s="90"/>
      <c r="K241" s="90"/>
      <c r="L241" s="90"/>
      <c r="M241" s="90"/>
      <c r="N241" s="90"/>
    </row>
    <row r="242" spans="3:14" x14ac:dyDescent="0.35">
      <c r="C242" s="90"/>
      <c r="D242" s="90"/>
      <c r="E242" s="90"/>
      <c r="F242" s="90"/>
      <c r="G242" s="90"/>
      <c r="H242" s="90"/>
      <c r="I242" s="90"/>
      <c r="J242" s="90"/>
      <c r="K242" s="90"/>
      <c r="L242" s="90"/>
      <c r="M242" s="90"/>
      <c r="N242" s="90"/>
    </row>
    <row r="243" spans="3:14" x14ac:dyDescent="0.35">
      <c r="C243" s="90"/>
      <c r="D243" s="90"/>
      <c r="E243" s="90"/>
      <c r="F243" s="90"/>
      <c r="G243" s="90"/>
      <c r="H243" s="90"/>
      <c r="I243" s="90"/>
      <c r="J243" s="90"/>
      <c r="K243" s="90"/>
      <c r="L243" s="90"/>
      <c r="M243" s="90"/>
      <c r="N243" s="90"/>
    </row>
    <row r="244" spans="3:14" x14ac:dyDescent="0.35">
      <c r="C244" s="90"/>
      <c r="D244" s="90"/>
      <c r="E244" s="90"/>
      <c r="F244" s="90"/>
      <c r="G244" s="90"/>
      <c r="H244" s="90"/>
      <c r="I244" s="90"/>
      <c r="J244" s="90"/>
      <c r="K244" s="90"/>
      <c r="L244" s="90"/>
      <c r="M244" s="90"/>
      <c r="N244" s="90"/>
    </row>
    <row r="245" spans="3:14" x14ac:dyDescent="0.35">
      <c r="C245" s="90"/>
      <c r="D245" s="90"/>
      <c r="E245" s="90"/>
      <c r="F245" s="90"/>
      <c r="G245" s="90"/>
      <c r="H245" s="90"/>
      <c r="I245" s="90"/>
      <c r="J245" s="90"/>
      <c r="K245" s="90"/>
      <c r="L245" s="90"/>
      <c r="M245" s="90"/>
      <c r="N245" s="90"/>
    </row>
    <row r="246" spans="3:14" x14ac:dyDescent="0.35">
      <c r="C246" s="90"/>
      <c r="D246" s="90"/>
      <c r="E246" s="90"/>
      <c r="F246" s="90"/>
      <c r="G246" s="90"/>
      <c r="H246" s="90"/>
      <c r="I246" s="90"/>
      <c r="J246" s="90"/>
      <c r="K246" s="90"/>
      <c r="L246" s="90"/>
      <c r="M246" s="90"/>
      <c r="N246" s="90"/>
    </row>
    <row r="247" spans="3:14" x14ac:dyDescent="0.35">
      <c r="C247" s="90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</row>
    <row r="248" spans="3:14" x14ac:dyDescent="0.35">
      <c r="C248" s="90"/>
      <c r="D248" s="90"/>
      <c r="E248" s="90"/>
      <c r="F248" s="90"/>
      <c r="G248" s="90"/>
      <c r="H248" s="90"/>
      <c r="I248" s="90"/>
      <c r="J248" s="90"/>
      <c r="K248" s="90"/>
      <c r="L248" s="90"/>
      <c r="M248" s="90"/>
      <c r="N248" s="90"/>
    </row>
    <row r="249" spans="3:14" x14ac:dyDescent="0.35">
      <c r="C249" s="90"/>
      <c r="D249" s="90"/>
      <c r="E249" s="90"/>
      <c r="F249" s="90"/>
      <c r="G249" s="90"/>
      <c r="H249" s="90"/>
      <c r="I249" s="90"/>
      <c r="J249" s="90"/>
      <c r="K249" s="90"/>
      <c r="L249" s="90"/>
      <c r="M249" s="90"/>
      <c r="N249" s="90"/>
    </row>
    <row r="250" spans="3:14" x14ac:dyDescent="0.35">
      <c r="C250" s="90"/>
      <c r="D250" s="90"/>
      <c r="E250" s="90"/>
      <c r="F250" s="90"/>
      <c r="G250" s="90"/>
      <c r="H250" s="90"/>
      <c r="I250" s="90"/>
      <c r="J250" s="90"/>
      <c r="K250" s="90"/>
      <c r="L250" s="90"/>
      <c r="M250" s="90"/>
      <c r="N250" s="90"/>
    </row>
    <row r="251" spans="3:14" x14ac:dyDescent="0.35">
      <c r="C251" s="90"/>
      <c r="D251" s="90"/>
      <c r="E251" s="90"/>
      <c r="F251" s="90"/>
      <c r="G251" s="90"/>
      <c r="H251" s="90"/>
      <c r="I251" s="90"/>
      <c r="J251" s="90"/>
      <c r="K251" s="90"/>
      <c r="L251" s="90"/>
      <c r="M251" s="90"/>
      <c r="N251" s="90"/>
    </row>
    <row r="252" spans="3:14" x14ac:dyDescent="0.35">
      <c r="C252" s="90"/>
      <c r="D252" s="90"/>
      <c r="E252" s="90"/>
      <c r="F252" s="90"/>
      <c r="G252" s="90"/>
      <c r="H252" s="90"/>
      <c r="I252" s="90"/>
      <c r="J252" s="90"/>
      <c r="K252" s="90"/>
      <c r="L252" s="90"/>
      <c r="M252" s="90"/>
      <c r="N252" s="90"/>
    </row>
    <row r="253" spans="3:14" x14ac:dyDescent="0.35">
      <c r="C253" s="90"/>
      <c r="D253" s="90"/>
      <c r="E253" s="90"/>
      <c r="F253" s="90"/>
      <c r="G253" s="90"/>
      <c r="H253" s="90"/>
      <c r="I253" s="90"/>
      <c r="J253" s="90"/>
      <c r="K253" s="90"/>
      <c r="L253" s="90"/>
      <c r="M253" s="90"/>
      <c r="N253" s="90"/>
    </row>
    <row r="254" spans="3:14" x14ac:dyDescent="0.35">
      <c r="C254" s="90"/>
      <c r="D254" s="90"/>
      <c r="E254" s="90"/>
      <c r="F254" s="90"/>
      <c r="G254" s="90"/>
      <c r="H254" s="90"/>
      <c r="I254" s="90"/>
      <c r="J254" s="90"/>
      <c r="K254" s="90"/>
      <c r="L254" s="90"/>
      <c r="M254" s="90"/>
      <c r="N254" s="90"/>
    </row>
    <row r="255" spans="3:14" x14ac:dyDescent="0.35">
      <c r="C255" s="90"/>
      <c r="D255" s="90"/>
      <c r="E255" s="90"/>
      <c r="F255" s="90"/>
      <c r="G255" s="90"/>
      <c r="H255" s="90"/>
      <c r="I255" s="90"/>
      <c r="J255" s="90"/>
      <c r="K255" s="90"/>
      <c r="L255" s="90"/>
      <c r="M255" s="90"/>
      <c r="N255" s="90"/>
    </row>
    <row r="256" spans="3:14" x14ac:dyDescent="0.35">
      <c r="C256" s="90"/>
      <c r="D256" s="90"/>
      <c r="E256" s="90"/>
      <c r="F256" s="90"/>
      <c r="G256" s="90"/>
      <c r="H256" s="90"/>
      <c r="I256" s="90"/>
      <c r="J256" s="90"/>
      <c r="K256" s="90"/>
      <c r="L256" s="90"/>
      <c r="M256" s="90"/>
      <c r="N256" s="90"/>
    </row>
    <row r="257" spans="3:14" x14ac:dyDescent="0.35">
      <c r="C257" s="90"/>
      <c r="D257" s="90"/>
      <c r="E257" s="90"/>
      <c r="F257" s="90"/>
      <c r="G257" s="90"/>
      <c r="H257" s="90"/>
      <c r="I257" s="90"/>
      <c r="J257" s="90"/>
      <c r="K257" s="90"/>
      <c r="L257" s="90"/>
      <c r="M257" s="90"/>
      <c r="N257" s="90"/>
    </row>
    <row r="258" spans="3:14" x14ac:dyDescent="0.35">
      <c r="C258" s="90"/>
      <c r="D258" s="90"/>
      <c r="E258" s="90"/>
      <c r="F258" s="90"/>
      <c r="G258" s="90"/>
      <c r="H258" s="90"/>
      <c r="I258" s="90"/>
      <c r="J258" s="90"/>
      <c r="K258" s="90"/>
      <c r="L258" s="90"/>
      <c r="M258" s="90"/>
      <c r="N258" s="90"/>
    </row>
    <row r="259" spans="3:14" x14ac:dyDescent="0.35">
      <c r="C259" s="90"/>
      <c r="D259" s="90"/>
      <c r="E259" s="90"/>
      <c r="F259" s="90"/>
      <c r="G259" s="90"/>
      <c r="H259" s="90"/>
      <c r="I259" s="90"/>
      <c r="J259" s="90"/>
      <c r="K259" s="90"/>
      <c r="L259" s="90"/>
      <c r="M259" s="90"/>
      <c r="N259" s="90"/>
    </row>
    <row r="260" spans="3:14" x14ac:dyDescent="0.35">
      <c r="C260" s="90"/>
      <c r="D260" s="90"/>
      <c r="E260" s="90"/>
      <c r="F260" s="90"/>
      <c r="G260" s="90"/>
      <c r="H260" s="90"/>
      <c r="I260" s="90"/>
      <c r="J260" s="90"/>
      <c r="K260" s="90"/>
      <c r="L260" s="90"/>
      <c r="M260" s="90"/>
      <c r="N260" s="90"/>
    </row>
    <row r="261" spans="3:14" x14ac:dyDescent="0.35">
      <c r="C261" s="90"/>
      <c r="D261" s="90"/>
      <c r="E261" s="90"/>
      <c r="F261" s="90"/>
      <c r="G261" s="90"/>
      <c r="H261" s="90"/>
      <c r="I261" s="90"/>
      <c r="J261" s="90"/>
      <c r="K261" s="90"/>
      <c r="L261" s="90"/>
      <c r="M261" s="90"/>
      <c r="N261" s="90"/>
    </row>
    <row r="262" spans="3:14" x14ac:dyDescent="0.35">
      <c r="C262" s="90"/>
      <c r="D262" s="90"/>
      <c r="E262" s="90"/>
      <c r="F262" s="90"/>
      <c r="G262" s="90"/>
      <c r="H262" s="90"/>
      <c r="I262" s="90"/>
      <c r="J262" s="90"/>
      <c r="K262" s="90"/>
      <c r="L262" s="90"/>
      <c r="M262" s="90"/>
      <c r="N262" s="90"/>
    </row>
    <row r="263" spans="3:14" x14ac:dyDescent="0.35">
      <c r="C263" s="90"/>
      <c r="D263" s="90"/>
      <c r="E263" s="90"/>
      <c r="F263" s="90"/>
      <c r="G263" s="90"/>
      <c r="H263" s="90"/>
      <c r="I263" s="90"/>
      <c r="J263" s="90"/>
      <c r="K263" s="90"/>
      <c r="L263" s="90"/>
      <c r="M263" s="90"/>
      <c r="N263" s="90"/>
    </row>
    <row r="264" spans="3:14" x14ac:dyDescent="0.35">
      <c r="C264" s="90"/>
      <c r="D264" s="90"/>
      <c r="E264" s="90"/>
      <c r="F264" s="90"/>
      <c r="G264" s="90"/>
      <c r="H264" s="90"/>
      <c r="I264" s="90"/>
      <c r="J264" s="90"/>
      <c r="K264" s="90"/>
      <c r="L264" s="90"/>
      <c r="M264" s="90"/>
      <c r="N264" s="90"/>
    </row>
    <row r="265" spans="3:14" x14ac:dyDescent="0.35">
      <c r="C265" s="90"/>
      <c r="D265" s="90"/>
      <c r="E265" s="90"/>
      <c r="F265" s="90"/>
      <c r="G265" s="90"/>
      <c r="H265" s="90"/>
      <c r="I265" s="90"/>
      <c r="J265" s="90"/>
      <c r="K265" s="90"/>
      <c r="L265" s="90"/>
      <c r="M265" s="90"/>
      <c r="N265" s="90"/>
    </row>
    <row r="266" spans="3:14" x14ac:dyDescent="0.35">
      <c r="C266" s="90"/>
      <c r="D266" s="90"/>
      <c r="E266" s="90"/>
      <c r="F266" s="90"/>
      <c r="G266" s="90"/>
      <c r="H266" s="90"/>
      <c r="I266" s="90"/>
      <c r="J266" s="90"/>
      <c r="K266" s="90"/>
      <c r="L266" s="90"/>
      <c r="M266" s="90"/>
      <c r="N266" s="90"/>
    </row>
    <row r="267" spans="3:14" x14ac:dyDescent="0.35">
      <c r="C267" s="90"/>
      <c r="D267" s="90"/>
      <c r="E267" s="90"/>
      <c r="F267" s="90"/>
      <c r="G267" s="90"/>
      <c r="H267" s="90"/>
      <c r="I267" s="90"/>
      <c r="J267" s="90"/>
      <c r="K267" s="90"/>
      <c r="L267" s="90"/>
      <c r="M267" s="90"/>
      <c r="N267" s="90"/>
    </row>
    <row r="268" spans="3:14" x14ac:dyDescent="0.35">
      <c r="C268" s="90"/>
      <c r="D268" s="90"/>
      <c r="E268" s="90"/>
      <c r="F268" s="90"/>
      <c r="G268" s="90"/>
      <c r="H268" s="90"/>
      <c r="I268" s="90"/>
      <c r="J268" s="90"/>
      <c r="K268" s="90"/>
      <c r="L268" s="90"/>
      <c r="M268" s="90"/>
      <c r="N268" s="90"/>
    </row>
    <row r="269" spans="3:14" x14ac:dyDescent="0.35">
      <c r="C269" s="90"/>
      <c r="D269" s="90"/>
      <c r="E269" s="90"/>
      <c r="F269" s="90"/>
      <c r="G269" s="90"/>
      <c r="H269" s="90"/>
      <c r="I269" s="90"/>
      <c r="J269" s="90"/>
      <c r="K269" s="90"/>
      <c r="L269" s="90"/>
      <c r="M269" s="90"/>
      <c r="N269" s="90"/>
    </row>
    <row r="270" spans="3:14" x14ac:dyDescent="0.35">
      <c r="C270" s="90"/>
      <c r="D270" s="90"/>
      <c r="E270" s="90"/>
      <c r="F270" s="90"/>
      <c r="G270" s="90"/>
      <c r="H270" s="90"/>
      <c r="I270" s="90"/>
      <c r="J270" s="90"/>
      <c r="K270" s="90"/>
      <c r="L270" s="90"/>
      <c r="M270" s="90"/>
      <c r="N270" s="90"/>
    </row>
    <row r="271" spans="3:14" x14ac:dyDescent="0.35">
      <c r="C271" s="90"/>
      <c r="D271" s="90"/>
      <c r="E271" s="90"/>
      <c r="F271" s="90"/>
      <c r="G271" s="90"/>
      <c r="H271" s="90"/>
      <c r="I271" s="90"/>
      <c r="J271" s="90"/>
      <c r="K271" s="90"/>
      <c r="L271" s="90"/>
      <c r="M271" s="90"/>
      <c r="N271" s="90"/>
    </row>
    <row r="272" spans="3:14" x14ac:dyDescent="0.35">
      <c r="C272" s="90"/>
      <c r="D272" s="90"/>
      <c r="E272" s="90"/>
      <c r="F272" s="90"/>
      <c r="G272" s="90"/>
      <c r="H272" s="90"/>
      <c r="I272" s="90"/>
      <c r="J272" s="90"/>
      <c r="K272" s="90"/>
      <c r="L272" s="90"/>
      <c r="M272" s="90"/>
      <c r="N272" s="90"/>
    </row>
    <row r="273" spans="3:14" x14ac:dyDescent="0.35">
      <c r="C273" s="90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</row>
    <row r="274" spans="3:14" x14ac:dyDescent="0.35">
      <c r="C274" s="90"/>
      <c r="D274" s="90"/>
      <c r="E274" s="90"/>
      <c r="F274" s="90"/>
      <c r="G274" s="90"/>
      <c r="H274" s="90"/>
      <c r="I274" s="90"/>
      <c r="J274" s="90"/>
      <c r="K274" s="90"/>
      <c r="L274" s="90"/>
      <c r="M274" s="90"/>
      <c r="N274" s="90"/>
    </row>
    <row r="275" spans="3:14" x14ac:dyDescent="0.35">
      <c r="C275" s="90"/>
      <c r="D275" s="90"/>
      <c r="E275" s="90"/>
      <c r="F275" s="90"/>
      <c r="G275" s="90"/>
      <c r="H275" s="90"/>
      <c r="I275" s="90"/>
      <c r="J275" s="90"/>
      <c r="K275" s="90"/>
      <c r="L275" s="90"/>
      <c r="M275" s="90"/>
      <c r="N275" s="90"/>
    </row>
    <row r="276" spans="3:14" x14ac:dyDescent="0.35">
      <c r="C276" s="90"/>
      <c r="D276" s="90"/>
      <c r="E276" s="90"/>
      <c r="F276" s="90"/>
      <c r="G276" s="90"/>
      <c r="H276" s="90"/>
      <c r="I276" s="90"/>
      <c r="J276" s="90"/>
      <c r="K276" s="90"/>
      <c r="L276" s="90"/>
      <c r="M276" s="90"/>
      <c r="N276" s="90"/>
    </row>
    <row r="277" spans="3:14" x14ac:dyDescent="0.35">
      <c r="C277" s="90"/>
      <c r="D277" s="90"/>
      <c r="E277" s="90"/>
      <c r="F277" s="90"/>
      <c r="G277" s="90"/>
      <c r="H277" s="90"/>
      <c r="I277" s="90"/>
      <c r="J277" s="90"/>
      <c r="K277" s="90"/>
      <c r="L277" s="90"/>
      <c r="M277" s="90"/>
      <c r="N277" s="90"/>
    </row>
    <row r="278" spans="3:14" x14ac:dyDescent="0.35">
      <c r="C278" s="90"/>
      <c r="D278" s="90"/>
      <c r="E278" s="90"/>
      <c r="F278" s="90"/>
      <c r="G278" s="90"/>
      <c r="H278" s="90"/>
      <c r="I278" s="90"/>
      <c r="J278" s="90"/>
      <c r="K278" s="90"/>
      <c r="L278" s="90"/>
      <c r="M278" s="90"/>
      <c r="N278" s="90"/>
    </row>
    <row r="279" spans="3:14" x14ac:dyDescent="0.35">
      <c r="C279" s="90"/>
      <c r="D279" s="90"/>
      <c r="E279" s="90"/>
      <c r="F279" s="90"/>
      <c r="G279" s="90"/>
      <c r="H279" s="90"/>
      <c r="I279" s="90"/>
      <c r="J279" s="90"/>
      <c r="K279" s="90"/>
      <c r="L279" s="90"/>
      <c r="M279" s="90"/>
      <c r="N279" s="90"/>
    </row>
  </sheetData>
  <conditionalFormatting sqref="O1:O1048576">
    <cfRule type="cellIs" dxfId="16" priority="1" operator="equal">
      <formula>3</formula>
    </cfRule>
    <cfRule type="cellIs" dxfId="15" priority="5" operator="equal">
      <formula>2</formula>
    </cfRule>
    <cfRule type="cellIs" dxfId="14" priority="6" operator="equal">
      <formula>4</formula>
    </cfRule>
    <cfRule type="cellIs" dxfId="13" priority="7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6" r:id="rId4" name="Button 12">
              <controlPr defaultSize="0" print="0" autoFill="0" autoPict="0" macro="[0]!Sorting">
                <anchor moveWithCells="1" sizeWithCells="1">
                  <from>
                    <xdr:col>16</xdr:col>
                    <xdr:colOff>190500</xdr:colOff>
                    <xdr:row>0</xdr:row>
                    <xdr:rowOff>66675</xdr:rowOff>
                  </from>
                  <to>
                    <xdr:col>17</xdr:col>
                    <xdr:colOff>885825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4C230-E9C5-4998-8813-D62AE81A50A0}">
  <sheetPr codeName="Лист2"/>
  <dimension ref="A1:AP66"/>
  <sheetViews>
    <sheetView zoomScale="85" zoomScaleNormal="85" workbookViewId="0">
      <pane ySplit="2" topLeftCell="A3" activePane="bottomLeft" state="frozen"/>
      <selection pane="bottomLeft" activeCell="AG4" sqref="AG4"/>
    </sheetView>
  </sheetViews>
  <sheetFormatPr defaultRowHeight="21" x14ac:dyDescent="0.35"/>
  <cols>
    <col min="1" max="1" width="10.36328125" style="144" customWidth="1"/>
    <col min="2" max="2" width="2.81640625" style="144" customWidth="1"/>
    <col min="3" max="3" width="7" style="242" customWidth="1"/>
    <col min="4" max="4" width="9.54296875" style="242" customWidth="1"/>
    <col min="5" max="12" width="2.1796875" style="243" customWidth="1"/>
    <col min="13" max="13" width="10.08984375" style="242" bestFit="1" customWidth="1"/>
    <col min="14" max="14" width="3.1796875" style="242" customWidth="1"/>
    <col min="15" max="15" width="11.1796875" style="144" customWidth="1"/>
    <col min="16" max="16" width="3.1796875" style="144" customWidth="1"/>
    <col min="17" max="18" width="8" style="242" customWidth="1"/>
    <col min="19" max="26" width="2.1796875" style="144" customWidth="1"/>
    <col min="27" max="27" width="8.7265625" style="242" customWidth="1"/>
    <col min="28" max="28" width="2.1796875" style="144" customWidth="1"/>
    <col min="29" max="29" width="10.08984375" style="145" hidden="1" customWidth="1"/>
    <col min="30" max="30" width="9.6328125" style="247" customWidth="1"/>
    <col min="31" max="41" width="3.90625" style="247" customWidth="1"/>
    <col min="42" max="42" width="10.08984375" style="242" customWidth="1"/>
    <col min="43" max="16384" width="8.7265625" style="144"/>
  </cols>
  <sheetData>
    <row r="1" spans="1:41" ht="21.75" thickBot="1" x14ac:dyDescent="0.4">
      <c r="A1" s="311" t="s">
        <v>136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O1" s="311" t="s">
        <v>137</v>
      </c>
      <c r="P1" s="311"/>
      <c r="Q1" s="311"/>
      <c r="R1" s="311"/>
      <c r="S1" s="311"/>
      <c r="T1" s="311"/>
      <c r="U1" s="311"/>
      <c r="V1" s="311"/>
      <c r="W1" s="311"/>
      <c r="X1" s="311"/>
      <c r="Y1" s="311"/>
      <c r="Z1" s="311"/>
    </row>
    <row r="2" spans="1:41" ht="21.75" thickTop="1" x14ac:dyDescent="0.35">
      <c r="A2" s="144" t="s">
        <v>133</v>
      </c>
      <c r="B2" s="144" t="s">
        <v>134</v>
      </c>
      <c r="C2" s="242" t="s">
        <v>78</v>
      </c>
      <c r="D2" s="242" t="s">
        <v>80</v>
      </c>
      <c r="E2" s="243" t="s">
        <v>41</v>
      </c>
      <c r="F2" s="243" t="s">
        <v>42</v>
      </c>
      <c r="G2" s="243" t="s">
        <v>43</v>
      </c>
      <c r="H2" s="243" t="s">
        <v>44</v>
      </c>
      <c r="I2" s="243" t="s">
        <v>45</v>
      </c>
      <c r="J2" s="243" t="s">
        <v>46</v>
      </c>
      <c r="K2" s="243" t="s">
        <v>47</v>
      </c>
      <c r="L2" s="243" t="s">
        <v>48</v>
      </c>
      <c r="M2" s="242" t="s">
        <v>135</v>
      </c>
      <c r="O2" s="144" t="s">
        <v>133</v>
      </c>
      <c r="P2" s="144" t="s">
        <v>87</v>
      </c>
      <c r="Q2" s="242" t="s">
        <v>78</v>
      </c>
      <c r="R2" s="242" t="s">
        <v>80</v>
      </c>
      <c r="S2" s="144" t="s">
        <v>41</v>
      </c>
      <c r="T2" s="144" t="s">
        <v>42</v>
      </c>
      <c r="U2" s="144" t="s">
        <v>43</v>
      </c>
      <c r="V2" s="144" t="s">
        <v>44</v>
      </c>
      <c r="W2" s="144" t="s">
        <v>45</v>
      </c>
      <c r="X2" s="144" t="s">
        <v>46</v>
      </c>
      <c r="Y2" s="144" t="s">
        <v>47</v>
      </c>
      <c r="Z2" s="144" t="s">
        <v>48</v>
      </c>
      <c r="AC2" s="248" t="s">
        <v>138</v>
      </c>
      <c r="AD2" s="248" t="s">
        <v>133</v>
      </c>
      <c r="AE2" s="249" t="s">
        <v>87</v>
      </c>
      <c r="AF2" s="250" t="s">
        <v>78</v>
      </c>
      <c r="AG2" s="250" t="s">
        <v>80</v>
      </c>
      <c r="AH2" s="249" t="s">
        <v>41</v>
      </c>
      <c r="AI2" s="249" t="s">
        <v>42</v>
      </c>
      <c r="AJ2" s="249" t="s">
        <v>43</v>
      </c>
      <c r="AK2" s="249" t="s">
        <v>44</v>
      </c>
      <c r="AL2" s="249" t="s">
        <v>45</v>
      </c>
      <c r="AM2" s="249" t="s">
        <v>46</v>
      </c>
      <c r="AN2" s="249" t="s">
        <v>47</v>
      </c>
      <c r="AO2" s="251" t="s">
        <v>48</v>
      </c>
    </row>
    <row r="3" spans="1:41" x14ac:dyDescent="0.35">
      <c r="A3" s="144" t="s">
        <v>69</v>
      </c>
      <c r="B3" s="144" t="s">
        <v>61</v>
      </c>
      <c r="C3" s="242">
        <v>298.14999999999998</v>
      </c>
      <c r="D3" s="242">
        <v>1500</v>
      </c>
      <c r="E3" s="243">
        <v>3.192504</v>
      </c>
      <c r="F3" s="243">
        <v>33.995229999999999</v>
      </c>
      <c r="G3" s="243">
        <v>5.1932309999999999</v>
      </c>
      <c r="H3" s="243">
        <v>-4.8091060000000002E-4</v>
      </c>
      <c r="I3" s="243">
        <v>9.1439489999999998E-2</v>
      </c>
      <c r="J3" s="243">
        <v>-21.466670000000001</v>
      </c>
      <c r="K3" s="243">
        <v>42.981879999999997</v>
      </c>
      <c r="L3" s="243">
        <v>-45.813839999999999</v>
      </c>
      <c r="M3" s="242">
        <f>AA3</f>
        <v>1</v>
      </c>
      <c r="O3" s="144" t="s">
        <v>69</v>
      </c>
      <c r="P3" s="144" t="s">
        <v>61</v>
      </c>
      <c r="Q3" s="242">
        <v>298.14999999999998</v>
      </c>
      <c r="R3" s="242">
        <v>1500</v>
      </c>
      <c r="S3" s="144">
        <v>3.192504</v>
      </c>
      <c r="T3" s="144">
        <v>33.995229999999999</v>
      </c>
      <c r="U3" s="144">
        <v>5.1932309999999999</v>
      </c>
      <c r="V3" s="144">
        <v>-4.8091060000000002E-4</v>
      </c>
      <c r="W3" s="144">
        <v>9.1439489999999998E-2</v>
      </c>
      <c r="X3" s="144">
        <v>-21.466670000000001</v>
      </c>
      <c r="Y3" s="144">
        <v>42.981879999999997</v>
      </c>
      <c r="Z3" s="144">
        <v>-45.813839999999999</v>
      </c>
      <c r="AA3" s="242">
        <v>1</v>
      </c>
      <c r="AE3" s="247">
        <f>IF(B3=Таблица3[[#This Row],[Фаза]],0,2)</f>
        <v>0</v>
      </c>
      <c r="AF3" s="247">
        <f>IF(C3=Таблица3[[#This Row],[To]],0,IF(ABS((C3-Таблица3[[#This Row],[To]])/(C3+Таблица3[[#This Row],[To]]))&lt;0.01,1,2))</f>
        <v>0</v>
      </c>
      <c r="AG3" s="247">
        <f>IF(D3=Таблица3[[#This Row],[T]],0,IF(ABS((D3-Таблица3[[#This Row],[T]])/(D3+Таблица3[[#This Row],[T]]))&lt;0.01,1,2))</f>
        <v>0</v>
      </c>
      <c r="AH3" s="247">
        <f>IF(E3=Таблица3[[#This Row],[ho]],0,IF(ABS((E3-Таблица3[[#This Row],[ho]])/(E3+Таблица3[[#This Row],[ho]]))&lt;0.01,1,2))</f>
        <v>0</v>
      </c>
      <c r="AI3" s="247">
        <f>IF(F3=Таблица3[[#This Row],[ф1]],0,IF(ABS((F3-Таблица3[[#This Row],[ф1]])/(F3+Таблица3[[#This Row],[ф1]]))&lt;0.01,1,2))</f>
        <v>0</v>
      </c>
      <c r="AJ3" s="247">
        <f>IF(G3=Таблица3[[#This Row],[ф2 *lnX]],0,IF(ABS((G3-Таблица3[[#This Row],[ф2 *lnX]])/(G3+Таблица3[[#This Row],[ф2 *lnX]]))&lt;0.01,1,2))</f>
        <v>0</v>
      </c>
      <c r="AK3" s="247">
        <f>IF(H3=Таблица3[[#This Row],[ф3 *X^(-2)]],0,IF(ABS((H3-Таблица3[[#This Row],[ф3 *X^(-2)]])/(H3+Таблица3[[#This Row],[ф3 *X^(-2)]]))&lt;0.01,1,2))</f>
        <v>0</v>
      </c>
      <c r="AL3" s="247">
        <f>IF(I3=Таблица3[[#This Row],[ф4 *X^(-1)]],0,IF(ABS((I3-Таблица3[[#This Row],[ф4 *X^(-1)]])/(I3+Таблица3[[#This Row],[ф4 *X^(-1)]]))&lt;0.01,1,2))</f>
        <v>0</v>
      </c>
      <c r="AM3" s="247">
        <f>IF(J3=Таблица3[[#This Row],[ф5 *X]],0,IF(ABS((J3-Таблица3[[#This Row],[ф5 *X]])/(J3+Таблица3[[#This Row],[ф5 *X]]))&lt;0.01,1,2))</f>
        <v>0</v>
      </c>
      <c r="AN3" s="247">
        <f>IF(K3=Таблица3[[#This Row],[ф6 *X^2]],0,IF(ABS((K3-Таблица3[[#This Row],[ф6 *X^2]])/(K3+Таблица3[[#This Row],[ф6 *X^2]]))&lt;0.01,1,2))</f>
        <v>0</v>
      </c>
      <c r="AO3" s="247">
        <f>IF(L3=Таблица3[[#This Row],[ф7 *Х^3]],0,IF(ABS((L3-Таблица3[[#This Row],[ф7 *Х^3]])/(L3+Таблица3[[#This Row],[ф7 *Х^3]]))&lt;0.01,1,2))</f>
        <v>0</v>
      </c>
    </row>
    <row r="4" spans="1:41" x14ac:dyDescent="0.35">
      <c r="A4" s="144" t="s">
        <v>69</v>
      </c>
      <c r="B4" s="144" t="s">
        <v>61</v>
      </c>
      <c r="C4" s="242">
        <v>1500</v>
      </c>
      <c r="D4" s="242">
        <v>6000</v>
      </c>
      <c r="E4" s="243">
        <v>3.192504</v>
      </c>
      <c r="F4" s="243">
        <v>27.29757</v>
      </c>
      <c r="G4" s="243">
        <v>2.370241</v>
      </c>
      <c r="H4" s="243">
        <v>2.138671E-3</v>
      </c>
      <c r="I4" s="243">
        <v>-9.5885429999999994E-2</v>
      </c>
      <c r="J4" s="243">
        <v>0.51440149999999996</v>
      </c>
      <c r="K4" s="243">
        <v>-0.49555690000000002</v>
      </c>
      <c r="L4" s="243">
        <v>0.24712329999999999</v>
      </c>
      <c r="M4" s="242">
        <f>AA4</f>
        <v>1</v>
      </c>
      <c r="O4" s="144" t="s">
        <v>69</v>
      </c>
      <c r="P4" s="144" t="s">
        <v>61</v>
      </c>
      <c r="Q4" s="242">
        <v>1500</v>
      </c>
      <c r="R4" s="242">
        <v>6000</v>
      </c>
      <c r="S4" s="144">
        <v>3.192504</v>
      </c>
      <c r="T4" s="144">
        <v>27.29757</v>
      </c>
      <c r="U4" s="144">
        <v>2.370241</v>
      </c>
      <c r="V4" s="144">
        <v>2.138671E-3</v>
      </c>
      <c r="W4" s="144">
        <v>-9.5885429999999994E-2</v>
      </c>
      <c r="X4" s="144">
        <v>0.51440149999999996</v>
      </c>
      <c r="Y4" s="144">
        <v>-0.49555690000000002</v>
      </c>
      <c r="Z4" s="144">
        <v>0.24712329999999999</v>
      </c>
      <c r="AA4" s="242">
        <v>1</v>
      </c>
      <c r="AC4" s="145" t="str">
        <f t="shared" ref="AC4:AC8" si="0">A1</f>
        <v>новое</v>
      </c>
      <c r="AD4" s="247" t="str">
        <f>Таблица3[[#This Row],[Вещество]]</f>
        <v>Ga</v>
      </c>
      <c r="AE4" s="247">
        <f>IF(B4=Таблица3[[#This Row],[Фаза]],0,2)</f>
        <v>0</v>
      </c>
      <c r="AF4" s="247">
        <f>IF(C4=Таблица3[[#This Row],[To]],0,IF(ABS((C4-Таблица3[[#This Row],[To]])/(C4+Таблица3[[#This Row],[To]]))&lt;0.01,1,2))</f>
        <v>0</v>
      </c>
      <c r="AG4" s="247">
        <f>IF(D4=Таблица3[[#This Row],[T]],0,IF(ABS((D4-Таблица3[[#This Row],[T]])/(D4+Таблица3[[#This Row],[T]]))&lt;0.01,1,2))</f>
        <v>0</v>
      </c>
      <c r="AH4" s="247">
        <f>IF(E4=Таблица3[[#This Row],[ho]],0,IF(ABS((E4-Таблица3[[#This Row],[ho]])/(E4+Таблица3[[#This Row],[ho]]))&lt;0.01,1,2))</f>
        <v>0</v>
      </c>
      <c r="AI4" s="247">
        <f>IF(F4=Таблица3[[#This Row],[ф1]],0,IF(ABS((F4-Таблица3[[#This Row],[ф1]])/(F4+Таблица3[[#This Row],[ф1]]))&lt;0.01,1,2))</f>
        <v>0</v>
      </c>
      <c r="AJ4" s="247">
        <f>IF(G4=Таблица3[[#This Row],[ф2 *lnX]],0,IF(ABS((G4-Таблица3[[#This Row],[ф2 *lnX]])/(G4+Таблица3[[#This Row],[ф2 *lnX]]))&lt;0.01,1,2))</f>
        <v>0</v>
      </c>
      <c r="AK4" s="247">
        <f>IF(H4=Таблица3[[#This Row],[ф3 *X^(-2)]],0,IF(ABS((H4-Таблица3[[#This Row],[ф3 *X^(-2)]])/(H4+Таблица3[[#This Row],[ф3 *X^(-2)]]))&lt;0.01,1,2))</f>
        <v>0</v>
      </c>
      <c r="AL4" s="247">
        <f>IF(I4=Таблица3[[#This Row],[ф4 *X^(-1)]],0,IF(ABS((I4-Таблица3[[#This Row],[ф4 *X^(-1)]])/(I4+Таблица3[[#This Row],[ф4 *X^(-1)]]))&lt;0.01,1,2))</f>
        <v>0</v>
      </c>
      <c r="AM4" s="247">
        <f>IF(J4=Таблица3[[#This Row],[ф5 *X]],0,IF(ABS((J4-Таблица3[[#This Row],[ф5 *X]])/(J4+Таблица3[[#This Row],[ф5 *X]]))&lt;0.01,1,2))</f>
        <v>0</v>
      </c>
      <c r="AN4" s="247">
        <f>IF(K4=Таблица3[[#This Row],[ф6 *X^2]],0,IF(ABS((K4-Таблица3[[#This Row],[ф6 *X^2]])/(K4+Таблица3[[#This Row],[ф6 *X^2]]))&lt;0.01,1,2))</f>
        <v>0</v>
      </c>
      <c r="AO4" s="247">
        <f>IF(L4=Таблица3[[#This Row],[ф7 *Х^3]],0,IF(ABS((L4-Таблица3[[#This Row],[ф7 *Х^3]])/(L4+Таблица3[[#This Row],[ф7 *Х^3]]))&lt;0.01,1,2))</f>
        <v>0</v>
      </c>
    </row>
    <row r="5" spans="1:41" ht="21.75" thickBot="1" x14ac:dyDescent="0.4">
      <c r="A5" s="144" t="s">
        <v>69</v>
      </c>
      <c r="B5" s="144" t="s">
        <v>61</v>
      </c>
      <c r="C5" s="242">
        <v>6000</v>
      </c>
      <c r="D5" s="242">
        <v>10000</v>
      </c>
      <c r="E5" s="243">
        <v>3.192504</v>
      </c>
      <c r="F5" s="243">
        <v>31.29327</v>
      </c>
      <c r="G5" s="243">
        <v>7.3013729999999999</v>
      </c>
      <c r="H5" s="243">
        <v>-9.3193609999999996E-2</v>
      </c>
      <c r="I5" s="243">
        <v>1.4353830000000001</v>
      </c>
      <c r="J5" s="243">
        <v>-7.4299809999999997</v>
      </c>
      <c r="K5" s="243">
        <v>2.6981959999999998</v>
      </c>
      <c r="L5" s="243">
        <v>-0.43421900000000002</v>
      </c>
      <c r="M5" s="242">
        <f>AA5</f>
        <v>1</v>
      </c>
      <c r="O5" s="144" t="s">
        <v>69</v>
      </c>
      <c r="P5" s="144" t="s">
        <v>61</v>
      </c>
      <c r="Q5" s="242">
        <v>6000</v>
      </c>
      <c r="R5" s="242">
        <v>10000</v>
      </c>
      <c r="S5" s="144">
        <v>3.192504</v>
      </c>
      <c r="T5" s="144">
        <v>31.29327</v>
      </c>
      <c r="U5" s="144">
        <v>7.3013729999999999</v>
      </c>
      <c r="V5" s="144">
        <v>-9.3193609999999996E-2</v>
      </c>
      <c r="W5" s="144">
        <v>1.4353830000000001</v>
      </c>
      <c r="X5" s="144">
        <v>-7.4299809999999997</v>
      </c>
      <c r="Y5" s="144">
        <v>2.6981959999999998</v>
      </c>
      <c r="Z5" s="144">
        <v>-0.43421900000000002</v>
      </c>
      <c r="AA5" s="242">
        <v>1</v>
      </c>
      <c r="AC5" s="145" t="str">
        <f t="shared" si="0"/>
        <v>Вещество</v>
      </c>
      <c r="AD5" s="247" t="str">
        <f>Таблица3[[#This Row],[Вещество]]</f>
        <v>Ga</v>
      </c>
      <c r="AE5" s="247">
        <f>IF(B5=Таблица3[[#This Row],[Фаза]],0,2)</f>
        <v>0</v>
      </c>
      <c r="AF5" s="247">
        <f>IF(C5=Таблица3[[#This Row],[To]],0,IF(ABS((C5-Таблица3[[#This Row],[To]])/(C5+Таблица3[[#This Row],[To]]))&lt;0.01,1,2))</f>
        <v>0</v>
      </c>
      <c r="AG5" s="247">
        <f>IF(D5=Таблица3[[#This Row],[T]],0,IF(ABS((D5-Таблица3[[#This Row],[T]])/(D5+Таблица3[[#This Row],[T]]))&lt;0.01,1,2))</f>
        <v>0</v>
      </c>
      <c r="AH5" s="247">
        <f>IF(E5=Таблица3[[#This Row],[ho]],0,IF(ABS((E5-Таблица3[[#This Row],[ho]])/(E5+Таблица3[[#This Row],[ho]]))&lt;0.01,1,2))</f>
        <v>0</v>
      </c>
      <c r="AI5" s="247">
        <f>IF(F5=Таблица3[[#This Row],[ф1]],0,IF(ABS((F5-Таблица3[[#This Row],[ф1]])/(F5+Таблица3[[#This Row],[ф1]]))&lt;0.01,1,2))</f>
        <v>0</v>
      </c>
      <c r="AJ5" s="247">
        <f>IF(G5=Таблица3[[#This Row],[ф2 *lnX]],0,IF(ABS((G5-Таблица3[[#This Row],[ф2 *lnX]])/(G5+Таблица3[[#This Row],[ф2 *lnX]]))&lt;0.01,1,2))</f>
        <v>0</v>
      </c>
      <c r="AK5" s="247">
        <f>IF(H5=Таблица3[[#This Row],[ф3 *X^(-2)]],0,IF(ABS((H5-Таблица3[[#This Row],[ф3 *X^(-2)]])/(H5+Таблица3[[#This Row],[ф3 *X^(-2)]]))&lt;0.01,1,2))</f>
        <v>0</v>
      </c>
      <c r="AL5" s="247">
        <f>IF(I5=Таблица3[[#This Row],[ф4 *X^(-1)]],0,IF(ABS((I5-Таблица3[[#This Row],[ф4 *X^(-1)]])/(I5+Таблица3[[#This Row],[ф4 *X^(-1)]]))&lt;0.01,1,2))</f>
        <v>0</v>
      </c>
      <c r="AM5" s="247">
        <f>IF(J5=Таблица3[[#This Row],[ф5 *X]],0,IF(ABS((J5-Таблица3[[#This Row],[ф5 *X]])/(J5+Таблица3[[#This Row],[ф5 *X]]))&lt;0.01,1,2))</f>
        <v>0</v>
      </c>
      <c r="AN5" s="247">
        <f>IF(K5=Таблица3[[#This Row],[ф6 *X^2]],0,IF(ABS((K5-Таблица3[[#This Row],[ф6 *X^2]])/(K5+Таблица3[[#This Row],[ф6 *X^2]]))&lt;0.01,1,2))</f>
        <v>0</v>
      </c>
      <c r="AO5" s="247">
        <f>IF(L5=Таблица3[[#This Row],[ф7 *Х^3]],0,IF(ABS((L5-Таблица3[[#This Row],[ф7 *Х^3]])/(L5+Таблица3[[#This Row],[ф7 *Х^3]]))&lt;0.01,1,2))</f>
        <v>0</v>
      </c>
    </row>
    <row r="6" spans="1:41" ht="21.75" thickBot="1" x14ac:dyDescent="0.4">
      <c r="A6" s="144" t="s">
        <v>69</v>
      </c>
      <c r="B6" s="144" t="s">
        <v>58</v>
      </c>
      <c r="C6" s="242">
        <v>303</v>
      </c>
      <c r="D6" s="242">
        <v>699.99990000000003</v>
      </c>
      <c r="E6" s="243">
        <v>6.7230010000000007E-2</v>
      </c>
      <c r="F6" s="243">
        <v>15.16</v>
      </c>
      <c r="G6" s="243">
        <v>3.1360000000000001</v>
      </c>
      <c r="H6" s="243">
        <v>1.4229999999999999E-4</v>
      </c>
      <c r="I6" s="243">
        <v>8.3939990000000006E-2</v>
      </c>
      <c r="J6" s="243">
        <v>-0.18459999999999999</v>
      </c>
      <c r="K6" s="243">
        <v>0.49309999999999998</v>
      </c>
      <c r="L6" s="243">
        <v>0</v>
      </c>
      <c r="M6" s="263">
        <f>AA6</f>
        <v>1</v>
      </c>
      <c r="O6" s="144" t="s">
        <v>69</v>
      </c>
      <c r="P6" s="144" t="s">
        <v>58</v>
      </c>
      <c r="Q6" s="242">
        <v>302.91000000000003</v>
      </c>
      <c r="R6" s="242">
        <v>700</v>
      </c>
      <c r="S6" s="144">
        <v>6.7231944193878151E-2</v>
      </c>
      <c r="T6" s="144">
        <v>15.161939633818086</v>
      </c>
      <c r="U6" s="144">
        <v>3.1356064706236091</v>
      </c>
      <c r="V6" s="144">
        <v>1.4228155631727706E-4</v>
      </c>
      <c r="W6" s="144">
        <v>8.3943884453347564E-2</v>
      </c>
      <c r="X6" s="144">
        <v>-0.18461723495098922</v>
      </c>
      <c r="Y6" s="144">
        <v>0.49311443863130677</v>
      </c>
      <c r="Z6" s="144">
        <v>0</v>
      </c>
      <c r="AA6" s="242">
        <v>1</v>
      </c>
      <c r="AC6" s="145" t="str">
        <f t="shared" si="0"/>
        <v>Ga</v>
      </c>
      <c r="AD6" s="247" t="str">
        <f>Таблица3[[#This Row],[Вещество]]</f>
        <v>Ga</v>
      </c>
      <c r="AE6" s="247">
        <f>IF(B6=Таблица3[[#This Row],[Фаза]],0,2)</f>
        <v>0</v>
      </c>
      <c r="AF6" s="247">
        <f>IF(C6=Таблица3[[#This Row],[To]],0,IF(ABS((C6-Таблица3[[#This Row],[To]])/(C6+Таблица3[[#This Row],[To]]))&lt;0.01,1,2))</f>
        <v>1</v>
      </c>
      <c r="AG6" s="247">
        <f>IF(D6=Таблица3[[#This Row],[T]],0,IF(ABS((D6-Таблица3[[#This Row],[T]])/(D6+Таблица3[[#This Row],[T]]))&lt;0.01,1,2))</f>
        <v>1</v>
      </c>
      <c r="AH6" s="247">
        <f>IF(E6=Таблица3[[#This Row],[ho]],0,IF(ABS((E6-Таблица3[[#This Row],[ho]])/(E6+Таблица3[[#This Row],[ho]]))&lt;0.01,1,2))</f>
        <v>1</v>
      </c>
      <c r="AI6" s="247">
        <f>IF(F6=Таблица3[[#This Row],[ф1]],0,IF(ABS((F6-Таблица3[[#This Row],[ф1]])/(F6+Таблица3[[#This Row],[ф1]]))&lt;0.01,1,2))</f>
        <v>1</v>
      </c>
      <c r="AJ6" s="247">
        <f>IF(G6=Таблица3[[#This Row],[ф2 *lnX]],0,IF(ABS((G6-Таблица3[[#This Row],[ф2 *lnX]])/(G6+Таблица3[[#This Row],[ф2 *lnX]]))&lt;0.01,1,2))</f>
        <v>1</v>
      </c>
      <c r="AK6" s="247">
        <f>IF(H6=Таблица3[[#This Row],[ф3 *X^(-2)]],0,IF(ABS((H6-Таблица3[[#This Row],[ф3 *X^(-2)]])/(H6+Таблица3[[#This Row],[ф3 *X^(-2)]]))&lt;0.01,1,2))</f>
        <v>1</v>
      </c>
      <c r="AL6" s="247">
        <f>IF(I6=Таблица3[[#This Row],[ф4 *X^(-1)]],0,IF(ABS((I6-Таблица3[[#This Row],[ф4 *X^(-1)]])/(I6+Таблица3[[#This Row],[ф4 *X^(-1)]]))&lt;0.01,1,2))</f>
        <v>1</v>
      </c>
      <c r="AM6" s="247">
        <f>IF(J6=Таблица3[[#This Row],[ф5 *X]],0,IF(ABS((J6-Таблица3[[#This Row],[ф5 *X]])/(J6+Таблица3[[#This Row],[ф5 *X]]))&lt;0.01,1,2))</f>
        <v>1</v>
      </c>
      <c r="AN6" s="247">
        <f>IF(K6=Таблица3[[#This Row],[ф6 *X^2]],0,IF(ABS((K6-Таблица3[[#This Row],[ф6 *X^2]])/(K6+Таблица3[[#This Row],[ф6 *X^2]]))&lt;0.01,1,2))</f>
        <v>1</v>
      </c>
      <c r="AO6" s="247">
        <f>IF(L6=Таблица3[[#This Row],[ф7 *Х^3]],0,IF(ABS((L6-Таблица3[[#This Row],[ф7 *Х^3]])/(L6+Таблица3[[#This Row],[ф7 *Х^3]]))&lt;0.01,1,2))</f>
        <v>0</v>
      </c>
    </row>
    <row r="7" spans="1:41" ht="21.75" thickBot="1" x14ac:dyDescent="0.4">
      <c r="A7" s="144" t="s">
        <v>69</v>
      </c>
      <c r="B7" s="144" t="s">
        <v>58</v>
      </c>
      <c r="C7" s="242">
        <v>699.99990000000003</v>
      </c>
      <c r="D7" s="242">
        <v>4000.0010000000002</v>
      </c>
      <c r="E7" s="243">
        <v>6.7230010000000007E-2</v>
      </c>
      <c r="F7" s="243">
        <v>15.16</v>
      </c>
      <c r="G7" s="243">
        <v>3.1349999999999998</v>
      </c>
      <c r="H7" s="243">
        <v>1.4249999999999999E-4</v>
      </c>
      <c r="I7" s="243">
        <v>8.3929989999999996E-2</v>
      </c>
      <c r="J7" s="243">
        <v>-0.18099999999999999</v>
      </c>
      <c r="K7" s="243">
        <v>0.48309999999999997</v>
      </c>
      <c r="L7" s="243">
        <v>0</v>
      </c>
      <c r="M7" s="242">
        <f>AA8</f>
        <v>1</v>
      </c>
      <c r="O7" s="258" t="s">
        <v>69</v>
      </c>
      <c r="P7" s="258" t="s">
        <v>58</v>
      </c>
      <c r="Q7" s="259">
        <v>303</v>
      </c>
      <c r="R7" s="259">
        <v>699.99990000000003</v>
      </c>
      <c r="S7" s="258">
        <v>0</v>
      </c>
      <c r="T7" s="258">
        <v>14.61</v>
      </c>
      <c r="U7" s="258">
        <v>2.9321999999999999</v>
      </c>
      <c r="V7" s="258">
        <v>1.8641999999999999E-4</v>
      </c>
      <c r="W7" s="258">
        <v>9.2508020000000007E-3</v>
      </c>
      <c r="X7" s="258">
        <v>1.3771</v>
      </c>
      <c r="Y7" s="258">
        <v>0</v>
      </c>
      <c r="Z7" s="258">
        <v>0</v>
      </c>
      <c r="AC7" s="145" t="str">
        <f t="shared" si="0"/>
        <v>Ga</v>
      </c>
      <c r="AD7" s="247" t="str">
        <f>Таблица3[[#This Row],[Вещество]]</f>
        <v>Ga</v>
      </c>
    </row>
    <row r="8" spans="1:41" ht="21.75" thickBot="1" x14ac:dyDescent="0.4">
      <c r="A8" s="144" t="s">
        <v>69</v>
      </c>
      <c r="B8" s="144" t="s">
        <v>63</v>
      </c>
      <c r="C8" s="242">
        <v>298.14999999999998</v>
      </c>
      <c r="D8" s="242">
        <v>303</v>
      </c>
      <c r="E8" s="243">
        <v>0</v>
      </c>
      <c r="F8" s="243">
        <v>-158.4</v>
      </c>
      <c r="G8" s="243">
        <v>-46.31</v>
      </c>
      <c r="H8" s="243">
        <v>3.9409989999999997E-3</v>
      </c>
      <c r="I8" s="246">
        <v>-0.93300000000000005</v>
      </c>
      <c r="J8" s="246">
        <v>1042.105</v>
      </c>
      <c r="K8" s="243">
        <v>-4041.9989999999998</v>
      </c>
      <c r="L8" s="243">
        <v>0</v>
      </c>
      <c r="M8" s="263">
        <f>AA10</f>
        <v>1</v>
      </c>
      <c r="O8" s="144" t="s">
        <v>69</v>
      </c>
      <c r="P8" s="144" t="s">
        <v>58</v>
      </c>
      <c r="Q8" s="242">
        <v>700</v>
      </c>
      <c r="R8" s="242">
        <v>4000</v>
      </c>
      <c r="S8" s="144">
        <v>6.7231944193878151E-2</v>
      </c>
      <c r="T8" s="144">
        <v>15.161231791276917</v>
      </c>
      <c r="U8" s="144">
        <v>3.1353659269950085</v>
      </c>
      <c r="V8" s="144">
        <v>1.4252209994587768E-4</v>
      </c>
      <c r="W8" s="144">
        <v>8.3930978142227303E-2</v>
      </c>
      <c r="X8" s="144">
        <v>-0.18100908052197964</v>
      </c>
      <c r="Y8" s="144">
        <v>0.48309178743961351</v>
      </c>
      <c r="Z8" s="144">
        <v>0</v>
      </c>
      <c r="AA8" s="242">
        <v>1</v>
      </c>
      <c r="AC8" s="145" t="str">
        <f t="shared" si="0"/>
        <v>Ga</v>
      </c>
      <c r="AD8" s="247" t="str">
        <f>Таблица3[[#This Row],[Вещество]]</f>
        <v>Ga</v>
      </c>
      <c r="AE8" s="247">
        <f>IF(B7=Таблица3[[#This Row],[Фаза]],0,2)</f>
        <v>0</v>
      </c>
      <c r="AF8" s="247">
        <f>IF(C7=Таблица3[[#This Row],[To]],0,IF(ABS((C7-Таблица3[[#This Row],[To]])/(C7+Таблица3[[#This Row],[To]]))&lt;0.01,1,2))</f>
        <v>1</v>
      </c>
      <c r="AG8" s="247">
        <f>IF(D7=Таблица3[[#This Row],[T]],0,IF(ABS((D7-Таблица3[[#This Row],[T]])/(D7+Таблица3[[#This Row],[T]]))&lt;0.01,1,2))</f>
        <v>1</v>
      </c>
      <c r="AH8" s="247">
        <f>IF(E7=Таблица3[[#This Row],[ho]],0,IF(ABS((E7-Таблица3[[#This Row],[ho]])/(E7+Таблица3[[#This Row],[ho]]))&lt;0.01,1,2))</f>
        <v>1</v>
      </c>
      <c r="AI8" s="247">
        <f>IF(F7=Таблица3[[#This Row],[ф1]],0,IF(ABS((F7-Таблица3[[#This Row],[ф1]])/(F7+Таблица3[[#This Row],[ф1]]))&lt;0.01,1,2))</f>
        <v>1</v>
      </c>
      <c r="AJ8" s="247">
        <f>IF(G7=Таблица3[[#This Row],[ф2 *lnX]],0,IF(ABS((G7-Таблица3[[#This Row],[ф2 *lnX]])/(G7+Таблица3[[#This Row],[ф2 *lnX]]))&lt;0.01,1,2))</f>
        <v>1</v>
      </c>
      <c r="AK8" s="247">
        <f>IF(H7=Таблица3[[#This Row],[ф3 *X^(-2)]],0,IF(ABS((H7-Таблица3[[#This Row],[ф3 *X^(-2)]])/(H7+Таблица3[[#This Row],[ф3 *X^(-2)]]))&lt;0.01,1,2))</f>
        <v>1</v>
      </c>
      <c r="AL8" s="247">
        <f>IF(I7=Таблица3[[#This Row],[ф4 *X^(-1)]],0,IF(ABS((I7-Таблица3[[#This Row],[ф4 *X^(-1)]])/(I7+Таблица3[[#This Row],[ф4 *X^(-1)]]))&lt;0.01,1,2))</f>
        <v>1</v>
      </c>
      <c r="AM8" s="247">
        <f>IF(J7=Таблица3[[#This Row],[ф5 *X]],0,IF(ABS((J7-Таблица3[[#This Row],[ф5 *X]])/(J7+Таблица3[[#This Row],[ф5 *X]]))&lt;0.01,1,2))</f>
        <v>1</v>
      </c>
      <c r="AN8" s="247">
        <f>IF(K7=Таблица3[[#This Row],[ф6 *X^2]],0,IF(ABS((K7-Таблица3[[#This Row],[ф6 *X^2]])/(K7+Таблица3[[#This Row],[ф6 *X^2]]))&lt;0.01,1,2))</f>
        <v>1</v>
      </c>
      <c r="AO8" s="247">
        <f>IF(L7=Таблица3[[#This Row],[ф7 *Х^3]],0,IF(ABS((L7-Таблица3[[#This Row],[ф7 *Х^3]])/(L7+Таблица3[[#This Row],[ф7 *Х^3]]))&lt;0.01,1,2))</f>
        <v>0</v>
      </c>
    </row>
    <row r="9" spans="1:41" x14ac:dyDescent="0.35">
      <c r="A9" s="144" t="s">
        <v>132</v>
      </c>
      <c r="B9" s="144" t="s">
        <v>63</v>
      </c>
      <c r="C9" s="242">
        <v>298.14999999999998</v>
      </c>
      <c r="D9" s="242">
        <v>500.00009999999997</v>
      </c>
      <c r="E9" s="243">
        <v>-39.299999999999997</v>
      </c>
      <c r="F9" s="243">
        <v>1631</v>
      </c>
      <c r="G9" s="243">
        <v>409.1</v>
      </c>
      <c r="H9" s="243">
        <v>-8.7220010000000001E-3</v>
      </c>
      <c r="I9" s="243">
        <v>10.75</v>
      </c>
      <c r="J9" s="243">
        <v>-3528</v>
      </c>
      <c r="K9" s="243">
        <v>20750</v>
      </c>
      <c r="L9" s="243">
        <v>0</v>
      </c>
      <c r="M9" s="260">
        <f t="shared" ref="M9:M38" si="1">AA12</f>
        <v>1</v>
      </c>
      <c r="O9" s="258" t="s">
        <v>69</v>
      </c>
      <c r="P9" s="258" t="s">
        <v>63</v>
      </c>
      <c r="Q9" s="259">
        <v>298.14999999999998</v>
      </c>
      <c r="R9" s="259">
        <v>302.92</v>
      </c>
      <c r="S9" s="258">
        <v>-6.7018670000000002E-2</v>
      </c>
      <c r="T9" s="258">
        <v>-1611406</v>
      </c>
      <c r="U9" s="258">
        <v>-370772.3</v>
      </c>
      <c r="V9" s="258">
        <v>0</v>
      </c>
      <c r="W9" s="258">
        <v>-2763.64</v>
      </c>
      <c r="X9" s="258">
        <v>18653810</v>
      </c>
      <c r="Y9" s="258">
        <v>-208550600</v>
      </c>
      <c r="Z9" s="258">
        <v>1165804000</v>
      </c>
      <c r="AC9" s="145" t="str">
        <f t="shared" ref="AC9:AC20" si="2">A6</f>
        <v>Ga</v>
      </c>
      <c r="AD9" s="247" t="str">
        <f>Таблица3[[#This Row],[Вещество]]</f>
        <v>Ga</v>
      </c>
    </row>
    <row r="10" spans="1:41" x14ac:dyDescent="0.35">
      <c r="A10" s="144" t="s">
        <v>115</v>
      </c>
      <c r="B10" s="144" t="s">
        <v>63</v>
      </c>
      <c r="C10" s="242">
        <v>298</v>
      </c>
      <c r="D10" s="242">
        <v>500.00009999999997</v>
      </c>
      <c r="E10" s="243">
        <v>-1.81</v>
      </c>
      <c r="F10" s="243">
        <v>71.790000000000006</v>
      </c>
      <c r="G10" s="243">
        <v>17.87</v>
      </c>
      <c r="H10" s="243">
        <v>-2.9069989999999998E-4</v>
      </c>
      <c r="I10" s="243">
        <v>0.49080000000000001</v>
      </c>
      <c r="J10" s="243">
        <v>-110.5</v>
      </c>
      <c r="K10" s="243">
        <v>691.6</v>
      </c>
      <c r="L10" s="243">
        <v>0</v>
      </c>
      <c r="M10" s="261">
        <f t="shared" si="1"/>
        <v>1</v>
      </c>
      <c r="O10" s="144" t="s">
        <v>69</v>
      </c>
      <c r="P10" s="144" t="s">
        <v>63</v>
      </c>
      <c r="Q10" s="242">
        <v>298.14999999999998</v>
      </c>
      <c r="R10" s="242">
        <v>302.91000000000003</v>
      </c>
      <c r="S10" s="144">
        <v>0</v>
      </c>
      <c r="T10" s="144">
        <v>-158.39844524532509</v>
      </c>
      <c r="U10" s="144">
        <v>-46.311022911780618</v>
      </c>
      <c r="V10" s="144">
        <v>3.9413674905285946E-3</v>
      </c>
      <c r="W10" s="144">
        <v>-0.93301705784567912</v>
      </c>
      <c r="X10" s="245">
        <v>1042.105358109327</v>
      </c>
      <c r="Y10" s="144">
        <v>-4041.5078076452774</v>
      </c>
      <c r="Z10" s="144">
        <v>0</v>
      </c>
      <c r="AA10" s="242">
        <v>1</v>
      </c>
      <c r="AC10" s="145" t="str">
        <f t="shared" si="2"/>
        <v>Ga</v>
      </c>
      <c r="AD10" s="247" t="str">
        <f>Таблица3[[#This Row],[Вещество]]</f>
        <v>Ga</v>
      </c>
      <c r="AE10" s="247">
        <f>IF(B8=Таблица3[[#This Row],[Фаза]],0,2)</f>
        <v>0</v>
      </c>
      <c r="AF10" s="247">
        <f>IF(C8=Таблица3[[#This Row],[To]],0,IF(ABS((C8-Таблица3[[#This Row],[To]])/(C8+Таблица3[[#This Row],[To]]))&lt;0.01,1,2))</f>
        <v>0</v>
      </c>
      <c r="AG10" s="247">
        <f>IF(D8=Таблица3[[#This Row],[T]],0,IF(ABS((D8-Таблица3[[#This Row],[T]])/(D8+Таблица3[[#This Row],[T]]))&lt;0.01,1,2))</f>
        <v>1</v>
      </c>
      <c r="AH10" s="247">
        <f>IF(E8=Таблица3[[#This Row],[ho]],0,IF(ABS((E8-Таблица3[[#This Row],[ho]])/(E8+Таблица3[[#This Row],[ho]]))&lt;0.01,1,2))</f>
        <v>0</v>
      </c>
      <c r="AI10" s="247">
        <f>IF(F8=Таблица3[[#This Row],[ф1]],0,IF(ABS((F8-Таблица3[[#This Row],[ф1]])/(F8+Таблица3[[#This Row],[ф1]]))&lt;0.01,1,2))</f>
        <v>1</v>
      </c>
      <c r="AJ10" s="247">
        <f>IF(G8=Таблица3[[#This Row],[ф2 *lnX]],0,IF(ABS((G8-Таблица3[[#This Row],[ф2 *lnX]])/(G8+Таблица3[[#This Row],[ф2 *lnX]]))&lt;0.01,1,2))</f>
        <v>1</v>
      </c>
      <c r="AK10" s="247">
        <f>IF(H8=Таблица3[[#This Row],[ф3 *X^(-2)]],0,IF(ABS((H8-Таблица3[[#This Row],[ф3 *X^(-2)]])/(H8+Таблица3[[#This Row],[ф3 *X^(-2)]]))&lt;0.01,1,2))</f>
        <v>1</v>
      </c>
      <c r="AL10" s="247">
        <f>IF(I8=Таблица3[[#This Row],[ф4 *X^(-1)]],0,IF(ABS((I8-Таблица3[[#This Row],[ф4 *X^(-1)]])/(I8+Таблица3[[#This Row],[ф4 *X^(-1)]]))&lt;0.01,1,2))</f>
        <v>1</v>
      </c>
      <c r="AM10" s="247">
        <f>IF(J8=Таблица3[[#This Row],[ф5 *X]],0,IF(ABS((J8-Таблица3[[#This Row],[ф5 *X]])/(J8+Таблица3[[#This Row],[ф5 *X]]))&lt;0.01,1,2))</f>
        <v>1</v>
      </c>
      <c r="AN10" s="247">
        <f>IF(K8=Таблица3[[#This Row],[ф6 *X^2]],0,IF(ABS((K8-Таблица3[[#This Row],[ф6 *X^2]])/(K8+Таблица3[[#This Row],[ф6 *X^2]]))&lt;0.01,1,2))</f>
        <v>1</v>
      </c>
      <c r="AO10" s="247">
        <f>IF(L8=Таблица3[[#This Row],[ф7 *Х^3]],0,IF(ABS((L8-Таблица3[[#This Row],[ф7 *Х^3]])/(L8+Таблица3[[#This Row],[ф7 *Х^3]]))&lt;0.01,1,2))</f>
        <v>0</v>
      </c>
    </row>
    <row r="11" spans="1:41" x14ac:dyDescent="0.35">
      <c r="A11" s="144" t="s">
        <v>97</v>
      </c>
      <c r="B11" s="144" t="s">
        <v>61</v>
      </c>
      <c r="C11" s="242">
        <v>298.14999999999998</v>
      </c>
      <c r="D11" s="242">
        <v>1100</v>
      </c>
      <c r="E11" s="243">
        <v>5.2149859999999997</v>
      </c>
      <c r="F11" s="243">
        <v>41.701000000000001</v>
      </c>
      <c r="G11" s="243">
        <v>4.0561670000000003</v>
      </c>
      <c r="H11" s="243">
        <v>2.357301E-5</v>
      </c>
      <c r="I11" s="243">
        <v>0.12889</v>
      </c>
      <c r="J11" s="243">
        <v>11.272</v>
      </c>
      <c r="K11" s="243">
        <v>-9.1847989999999999</v>
      </c>
      <c r="L11" s="243">
        <v>0</v>
      </c>
      <c r="M11" s="261">
        <f t="shared" si="1"/>
        <v>1</v>
      </c>
      <c r="O11" s="258" t="s">
        <v>69</v>
      </c>
      <c r="P11" s="258" t="s">
        <v>63</v>
      </c>
      <c r="Q11" s="259">
        <v>302.92</v>
      </c>
      <c r="R11" s="259">
        <v>4000</v>
      </c>
      <c r="S11" s="258">
        <v>-6.7018670000000002E-2</v>
      </c>
      <c r="T11" s="258">
        <v>15.167669999999999</v>
      </c>
      <c r="U11" s="258">
        <v>3.135516</v>
      </c>
      <c r="V11" s="258">
        <v>1.4234849999999999E-4</v>
      </c>
      <c r="W11" s="258">
        <v>-5.0186000000000001E-2</v>
      </c>
      <c r="X11" s="258">
        <v>-0.18101780000000001</v>
      </c>
      <c r="Y11" s="258">
        <v>0.48311500000000002</v>
      </c>
      <c r="Z11" s="258">
        <v>0</v>
      </c>
      <c r="AC11" s="145" t="str">
        <f t="shared" si="2"/>
        <v>Ga</v>
      </c>
      <c r="AD11" s="247" t="str">
        <f>Таблица3[[#This Row],[Вещество]]</f>
        <v>Ga</v>
      </c>
    </row>
    <row r="12" spans="1:41" x14ac:dyDescent="0.35">
      <c r="A12" s="144" t="s">
        <v>97</v>
      </c>
      <c r="B12" s="144" t="s">
        <v>61</v>
      </c>
      <c r="C12" s="242">
        <v>1100</v>
      </c>
      <c r="D12" s="242">
        <v>2500</v>
      </c>
      <c r="E12" s="243">
        <v>5.2149859999999997</v>
      </c>
      <c r="F12" s="243">
        <v>43.677999999999997</v>
      </c>
      <c r="G12" s="243">
        <v>4.8509000000000002</v>
      </c>
      <c r="H12" s="243">
        <v>-3.7446989999999998E-4</v>
      </c>
      <c r="I12" s="243">
        <v>0.1716596</v>
      </c>
      <c r="J12" s="243">
        <v>5.0346000000000002</v>
      </c>
      <c r="K12" s="243">
        <v>-0.32273000000000002</v>
      </c>
      <c r="L12" s="243">
        <v>0</v>
      </c>
      <c r="M12" s="261">
        <f t="shared" si="1"/>
        <v>1</v>
      </c>
      <c r="O12" s="144" t="s">
        <v>116</v>
      </c>
      <c r="P12" s="144" t="s">
        <v>63</v>
      </c>
      <c r="Q12" s="242">
        <v>298.14999999999998</v>
      </c>
      <c r="R12" s="242">
        <v>500</v>
      </c>
      <c r="S12" s="144">
        <v>-39.271554633471638</v>
      </c>
      <c r="T12" s="144">
        <v>1630.5742035912474</v>
      </c>
      <c r="U12" s="144">
        <v>409.0716136667869</v>
      </c>
      <c r="V12" s="144">
        <v>-8.7218112935233631E-3</v>
      </c>
      <c r="W12" s="144">
        <v>10.745207452038418</v>
      </c>
      <c r="X12" s="144">
        <v>-3527.9541171017495</v>
      </c>
      <c r="Y12" s="144">
        <v>20747.399122015755</v>
      </c>
      <c r="Z12" s="144">
        <v>0</v>
      </c>
      <c r="AA12" s="242">
        <v>1</v>
      </c>
      <c r="AC12" s="145" t="str">
        <f t="shared" si="2"/>
        <v>Ga10Ge30S</v>
      </c>
      <c r="AD12" s="247" t="str">
        <f>Таблица3[[#This Row],[Вещество]]</f>
        <v>Ga10Ge30Se60</v>
      </c>
      <c r="AE12" s="247">
        <f>IF(B9=Таблица3[[#This Row],[Фаза]],0,2)</f>
        <v>0</v>
      </c>
      <c r="AF12" s="247">
        <f>IF(C9=Таблица3[[#This Row],[To]],0,IF(ABS((C9-Таблица3[[#This Row],[To]])/(C9+Таблица3[[#This Row],[To]]))&lt;0.01,1,2))</f>
        <v>0</v>
      </c>
      <c r="AG12" s="247">
        <f>IF(D9=Таблица3[[#This Row],[T]],0,IF(ABS((D9-Таблица3[[#This Row],[T]])/(D9+Таблица3[[#This Row],[T]]))&lt;0.01,1,2))</f>
        <v>1</v>
      </c>
      <c r="AH12" s="247">
        <f>IF(E9=Таблица3[[#This Row],[ho]],0,IF(ABS((E9-Таблица3[[#This Row],[ho]])/(E9+Таблица3[[#This Row],[ho]]))&lt;0.01,1,2))</f>
        <v>1</v>
      </c>
      <c r="AI12" s="247">
        <f>IF(F9=Таблица3[[#This Row],[ф1]],0,IF(ABS((F9-Таблица3[[#This Row],[ф1]])/(F9+Таблица3[[#This Row],[ф1]]))&lt;0.01,1,2))</f>
        <v>1</v>
      </c>
      <c r="AJ12" s="247">
        <f>IF(G9=Таблица3[[#This Row],[ф2 *lnX]],0,IF(ABS((G9-Таблица3[[#This Row],[ф2 *lnX]])/(G9+Таблица3[[#This Row],[ф2 *lnX]]))&lt;0.01,1,2))</f>
        <v>1</v>
      </c>
      <c r="AK12" s="247">
        <f>IF(H9=Таблица3[[#This Row],[ф3 *X^(-2)]],0,IF(ABS((H9-Таблица3[[#This Row],[ф3 *X^(-2)]])/(H9+Таблица3[[#This Row],[ф3 *X^(-2)]]))&lt;0.01,1,2))</f>
        <v>1</v>
      </c>
      <c r="AL12" s="247">
        <f>IF(I9=Таблица3[[#This Row],[ф4 *X^(-1)]],0,IF(ABS((I9-Таблица3[[#This Row],[ф4 *X^(-1)]])/(I9+Таблица3[[#This Row],[ф4 *X^(-1)]]))&lt;0.01,1,2))</f>
        <v>1</v>
      </c>
      <c r="AM12" s="247">
        <f>IF(J9=Таблица3[[#This Row],[ф5 *X]],0,IF(ABS((J9-Таблица3[[#This Row],[ф5 *X]])/(J9+Таблица3[[#This Row],[ф5 *X]]))&lt;0.01,1,2))</f>
        <v>1</v>
      </c>
      <c r="AN12" s="247">
        <f>IF(K9=Таблица3[[#This Row],[ф6 *X^2]],0,IF(ABS((K9-Таблица3[[#This Row],[ф6 *X^2]])/(K9+Таблица3[[#This Row],[ф6 *X^2]]))&lt;0.01,1,2))</f>
        <v>1</v>
      </c>
      <c r="AO12" s="247">
        <f>IF(L9=Таблица3[[#This Row],[ф7 *Х^3]],0,IF(ABS((L9-Таблица3[[#This Row],[ф7 *Х^3]])/(L9+Таблица3[[#This Row],[ф7 *Х^3]]))&lt;0.01,1,2))</f>
        <v>0</v>
      </c>
    </row>
    <row r="13" spans="1:41" x14ac:dyDescent="0.35">
      <c r="A13" s="144" t="s">
        <v>113</v>
      </c>
      <c r="B13" s="144" t="s">
        <v>63</v>
      </c>
      <c r="C13" s="242">
        <v>298</v>
      </c>
      <c r="D13" s="242">
        <v>500.00009999999997</v>
      </c>
      <c r="E13" s="243">
        <v>-2.39</v>
      </c>
      <c r="F13" s="243">
        <v>74.769990000000007</v>
      </c>
      <c r="G13" s="243">
        <v>18.14</v>
      </c>
      <c r="H13" s="243">
        <v>0</v>
      </c>
      <c r="I13" s="243">
        <v>0.56850000000000001</v>
      </c>
      <c r="J13" s="243">
        <v>31.1</v>
      </c>
      <c r="K13" s="243">
        <v>0</v>
      </c>
      <c r="L13" s="243">
        <v>0</v>
      </c>
      <c r="M13" s="261">
        <f t="shared" si="1"/>
        <v>1</v>
      </c>
      <c r="O13" s="144" t="s">
        <v>115</v>
      </c>
      <c r="P13" s="144" t="s">
        <v>63</v>
      </c>
      <c r="Q13" s="242">
        <v>298.14999999999998</v>
      </c>
      <c r="R13" s="242">
        <v>500</v>
      </c>
      <c r="S13" s="144">
        <v>-1.8108390642852847</v>
      </c>
      <c r="T13" s="144">
        <v>71.793803453041576</v>
      </c>
      <c r="U13" s="144">
        <v>17.874387122226231</v>
      </c>
      <c r="V13" s="144">
        <v>-2.9072704311744544E-4</v>
      </c>
      <c r="W13" s="144">
        <v>0.49084358173461395</v>
      </c>
      <c r="X13" s="144">
        <v>-110.52047057005831</v>
      </c>
      <c r="Y13" s="144">
        <v>691.57997073385854</v>
      </c>
      <c r="Z13" s="144">
        <v>0</v>
      </c>
      <c r="AA13" s="242">
        <v>1</v>
      </c>
      <c r="AC13" s="145" t="str">
        <f t="shared" si="2"/>
        <v>Ga1Ge1Se3</v>
      </c>
      <c r="AD13" s="247" t="str">
        <f>Таблица3[[#This Row],[Вещество]]</f>
        <v>Ga1Ge1Se3</v>
      </c>
      <c r="AE13" s="247">
        <f>IF(B10=Таблица3[[#This Row],[Фаза]],0,2)</f>
        <v>0</v>
      </c>
      <c r="AF13" s="247">
        <f>IF(C10=Таблица3[[#This Row],[To]],0,IF(ABS((C10-Таблица3[[#This Row],[To]])/(C10+Таблица3[[#This Row],[To]]))&lt;0.01,1,2))</f>
        <v>1</v>
      </c>
      <c r="AG13" s="247">
        <f>IF(D10=Таблица3[[#This Row],[T]],0,IF(ABS((D10-Таблица3[[#This Row],[T]])/(D10+Таблица3[[#This Row],[T]]))&lt;0.01,1,2))</f>
        <v>1</v>
      </c>
      <c r="AH13" s="247">
        <f>IF(E10=Таблица3[[#This Row],[ho]],0,IF(ABS((E10-Таблица3[[#This Row],[ho]])/(E10+Таблица3[[#This Row],[ho]]))&lt;0.01,1,2))</f>
        <v>1</v>
      </c>
      <c r="AI13" s="247">
        <f>IF(F10=Таблица3[[#This Row],[ф1]],0,IF(ABS((F10-Таблица3[[#This Row],[ф1]])/(F10+Таблица3[[#This Row],[ф1]]))&lt;0.01,1,2))</f>
        <v>1</v>
      </c>
      <c r="AJ13" s="247">
        <f>IF(G10=Таблица3[[#This Row],[ф2 *lnX]],0,IF(ABS((G10-Таблица3[[#This Row],[ф2 *lnX]])/(G10+Таблица3[[#This Row],[ф2 *lnX]]))&lt;0.01,1,2))</f>
        <v>1</v>
      </c>
      <c r="AK13" s="247">
        <f>IF(H10=Таблица3[[#This Row],[ф3 *X^(-2)]],0,IF(ABS((H10-Таблица3[[#This Row],[ф3 *X^(-2)]])/(H10+Таблица3[[#This Row],[ф3 *X^(-2)]]))&lt;0.01,1,2))</f>
        <v>1</v>
      </c>
      <c r="AL13" s="247">
        <f>IF(I10=Таблица3[[#This Row],[ф4 *X^(-1)]],0,IF(ABS((I10-Таблица3[[#This Row],[ф4 *X^(-1)]])/(I10+Таблица3[[#This Row],[ф4 *X^(-1)]]))&lt;0.01,1,2))</f>
        <v>1</v>
      </c>
      <c r="AM13" s="247">
        <f>IF(J10=Таблица3[[#This Row],[ф5 *X]],0,IF(ABS((J10-Таблица3[[#This Row],[ф5 *X]])/(J10+Таблица3[[#This Row],[ф5 *X]]))&lt;0.01,1,2))</f>
        <v>1</v>
      </c>
      <c r="AN13" s="247">
        <f>IF(K10=Таблица3[[#This Row],[ф6 *X^2]],0,IF(ABS((K10-Таблица3[[#This Row],[ф6 *X^2]])/(K10+Таблица3[[#This Row],[ф6 *X^2]]))&lt;0.01,1,2))</f>
        <v>1</v>
      </c>
      <c r="AO13" s="247">
        <f>IF(L10=Таблица3[[#This Row],[ф7 *Х^3]],0,IF(ABS((L10-Таблица3[[#This Row],[ф7 *Х^3]])/(L10+Таблица3[[#This Row],[ф7 *Х^3]]))&lt;0.01,1,2))</f>
        <v>0</v>
      </c>
    </row>
    <row r="14" spans="1:41" x14ac:dyDescent="0.35">
      <c r="A14" s="144" t="s">
        <v>119</v>
      </c>
      <c r="B14" s="144" t="s">
        <v>63</v>
      </c>
      <c r="C14" s="242">
        <v>298.14999999999998</v>
      </c>
      <c r="D14" s="242">
        <v>500.00009999999997</v>
      </c>
      <c r="E14" s="243">
        <v>-4.8600000000000003</v>
      </c>
      <c r="F14" s="243">
        <v>212.3999</v>
      </c>
      <c r="G14" s="243">
        <v>53.359990000000003</v>
      </c>
      <c r="H14" s="243">
        <v>-1.163E-3</v>
      </c>
      <c r="I14" s="243">
        <v>1.395</v>
      </c>
      <c r="J14" s="243">
        <v>-473.2</v>
      </c>
      <c r="K14" s="243">
        <v>2766</v>
      </c>
      <c r="L14" s="243">
        <v>0</v>
      </c>
      <c r="M14" s="261">
        <f t="shared" si="1"/>
        <v>1</v>
      </c>
      <c r="O14" s="144" t="s">
        <v>97</v>
      </c>
      <c r="P14" s="144" t="s">
        <v>61</v>
      </c>
      <c r="Q14" s="242">
        <v>298.14999999999998</v>
      </c>
      <c r="R14" s="242">
        <v>1100</v>
      </c>
      <c r="S14" s="144">
        <v>5.2149859999999997</v>
      </c>
      <c r="T14" s="144">
        <v>41.701000000000001</v>
      </c>
      <c r="U14" s="144">
        <v>4.0561670000000003</v>
      </c>
      <c r="V14" s="144">
        <v>2.357301E-5</v>
      </c>
      <c r="W14" s="144">
        <v>0.12889</v>
      </c>
      <c r="X14" s="144">
        <v>11.272</v>
      </c>
      <c r="Y14" s="144">
        <v>-9.1847989999999999</v>
      </c>
      <c r="Z14" s="144">
        <v>0</v>
      </c>
      <c r="AA14" s="242">
        <v>1</v>
      </c>
      <c r="AC14" s="145" t="str">
        <f t="shared" si="2"/>
        <v>Ga2</v>
      </c>
      <c r="AD14" s="247" t="str">
        <f>Таблица3[[#This Row],[Вещество]]</f>
        <v>Ga2</v>
      </c>
      <c r="AE14" s="247">
        <f>IF(B11=Таблица3[[#This Row],[Фаза]],0,2)</f>
        <v>0</v>
      </c>
      <c r="AF14" s="247">
        <f>IF(C11=Таблица3[[#This Row],[To]],0,IF(ABS((C11-Таблица3[[#This Row],[To]])/(C11+Таблица3[[#This Row],[To]]))&lt;0.01,1,2))</f>
        <v>0</v>
      </c>
      <c r="AG14" s="247">
        <f>IF(D11=Таблица3[[#This Row],[T]],0,IF(ABS((D11-Таблица3[[#This Row],[T]])/(D11+Таблица3[[#This Row],[T]]))&lt;0.01,1,2))</f>
        <v>0</v>
      </c>
      <c r="AH14" s="247">
        <f>IF(E11=Таблица3[[#This Row],[ho]],0,IF(ABS((E11-Таблица3[[#This Row],[ho]])/(E11+Таблица3[[#This Row],[ho]]))&lt;0.01,1,2))</f>
        <v>0</v>
      </c>
      <c r="AI14" s="247">
        <f>IF(F11=Таблица3[[#This Row],[ф1]],0,IF(ABS((F11-Таблица3[[#This Row],[ф1]])/(F11+Таблица3[[#This Row],[ф1]]))&lt;0.01,1,2))</f>
        <v>0</v>
      </c>
      <c r="AJ14" s="247">
        <f>IF(G11=Таблица3[[#This Row],[ф2 *lnX]],0,IF(ABS((G11-Таблица3[[#This Row],[ф2 *lnX]])/(G11+Таблица3[[#This Row],[ф2 *lnX]]))&lt;0.01,1,2))</f>
        <v>0</v>
      </c>
      <c r="AK14" s="247">
        <f>IF(H11=Таблица3[[#This Row],[ф3 *X^(-2)]],0,IF(ABS((H11-Таблица3[[#This Row],[ф3 *X^(-2)]])/(H11+Таблица3[[#This Row],[ф3 *X^(-2)]]))&lt;0.01,1,2))</f>
        <v>0</v>
      </c>
      <c r="AL14" s="247">
        <f>IF(I11=Таблица3[[#This Row],[ф4 *X^(-1)]],0,IF(ABS((I11-Таблица3[[#This Row],[ф4 *X^(-1)]])/(I11+Таблица3[[#This Row],[ф4 *X^(-1)]]))&lt;0.01,1,2))</f>
        <v>0</v>
      </c>
      <c r="AM14" s="247">
        <f>IF(J11=Таблица3[[#This Row],[ф5 *X]],0,IF(ABS((J11-Таблица3[[#This Row],[ф5 *X]])/(J11+Таблица3[[#This Row],[ф5 *X]]))&lt;0.01,1,2))</f>
        <v>0</v>
      </c>
      <c r="AN14" s="247">
        <f>IF(K11=Таблица3[[#This Row],[ф6 *X^2]],0,IF(ABS((K11-Таблица3[[#This Row],[ф6 *X^2]])/(K11+Таблица3[[#This Row],[ф6 *X^2]]))&lt;0.01,1,2))</f>
        <v>0</v>
      </c>
      <c r="AO14" s="247">
        <f>IF(L11=Таблица3[[#This Row],[ф7 *Х^3]],0,IF(ABS((L11-Таблица3[[#This Row],[ф7 *Х^3]])/(L11+Таблица3[[#This Row],[ф7 *Х^3]]))&lt;0.01,1,2))</f>
        <v>0</v>
      </c>
    </row>
    <row r="15" spans="1:41" x14ac:dyDescent="0.35">
      <c r="A15" s="144" t="s">
        <v>118</v>
      </c>
      <c r="B15" s="144" t="s">
        <v>63</v>
      </c>
      <c r="C15" s="242">
        <v>298.14999999999998</v>
      </c>
      <c r="D15" s="242">
        <v>500.00009999999997</v>
      </c>
      <c r="E15" s="243">
        <v>-5.34</v>
      </c>
      <c r="F15" s="243">
        <v>188.5</v>
      </c>
      <c r="G15" s="243">
        <v>46.599989999999998</v>
      </c>
      <c r="H15" s="243">
        <v>-5.8149999999999999E-4</v>
      </c>
      <c r="I15" s="243">
        <v>1.323</v>
      </c>
      <c r="J15" s="243">
        <v>-201.3</v>
      </c>
      <c r="K15" s="243">
        <v>1383</v>
      </c>
      <c r="L15" s="243">
        <v>0</v>
      </c>
      <c r="M15" s="261">
        <f t="shared" si="1"/>
        <v>1</v>
      </c>
      <c r="O15" s="144" t="s">
        <v>97</v>
      </c>
      <c r="P15" s="144" t="s">
        <v>61</v>
      </c>
      <c r="Q15" s="242">
        <v>1100</v>
      </c>
      <c r="R15" s="242">
        <v>2500</v>
      </c>
      <c r="S15" s="144">
        <v>5.2149859999999997</v>
      </c>
      <c r="T15" s="144">
        <v>43.677999999999997</v>
      </c>
      <c r="U15" s="144">
        <v>4.8509000000000002</v>
      </c>
      <c r="V15" s="144">
        <v>-3.7446989999999998E-4</v>
      </c>
      <c r="W15" s="144">
        <v>0.1716596</v>
      </c>
      <c r="X15" s="144">
        <v>5.0346000000000002</v>
      </c>
      <c r="Y15" s="144">
        <v>-0.32273000000000002</v>
      </c>
      <c r="Z15" s="144">
        <v>0</v>
      </c>
      <c r="AA15" s="242">
        <v>1</v>
      </c>
      <c r="AC15" s="145" t="str">
        <f t="shared" si="2"/>
        <v>Ga2</v>
      </c>
      <c r="AD15" s="247" t="str">
        <f>Таблица3[[#This Row],[Вещество]]</f>
        <v>Ga2</v>
      </c>
      <c r="AE15" s="247">
        <f>IF(B12=Таблица3[[#This Row],[Фаза]],0,2)</f>
        <v>0</v>
      </c>
      <c r="AF15" s="247">
        <f>IF(C12=Таблица3[[#This Row],[To]],0,IF(ABS((C12-Таблица3[[#This Row],[To]])/(C12+Таблица3[[#This Row],[To]]))&lt;0.01,1,2))</f>
        <v>0</v>
      </c>
      <c r="AG15" s="247">
        <f>IF(D12=Таблица3[[#This Row],[T]],0,IF(ABS((D12-Таблица3[[#This Row],[T]])/(D12+Таблица3[[#This Row],[T]]))&lt;0.01,1,2))</f>
        <v>0</v>
      </c>
      <c r="AH15" s="247">
        <f>IF(E12=Таблица3[[#This Row],[ho]],0,IF(ABS((E12-Таблица3[[#This Row],[ho]])/(E12+Таблица3[[#This Row],[ho]]))&lt;0.01,1,2))</f>
        <v>0</v>
      </c>
      <c r="AI15" s="247">
        <f>IF(F12=Таблица3[[#This Row],[ф1]],0,IF(ABS((F12-Таблица3[[#This Row],[ф1]])/(F12+Таблица3[[#This Row],[ф1]]))&lt;0.01,1,2))</f>
        <v>0</v>
      </c>
      <c r="AJ15" s="247">
        <f>IF(G12=Таблица3[[#This Row],[ф2 *lnX]],0,IF(ABS((G12-Таблица3[[#This Row],[ф2 *lnX]])/(G12+Таблица3[[#This Row],[ф2 *lnX]]))&lt;0.01,1,2))</f>
        <v>0</v>
      </c>
      <c r="AK15" s="247">
        <f>IF(H12=Таблица3[[#This Row],[ф3 *X^(-2)]],0,IF(ABS((H12-Таблица3[[#This Row],[ф3 *X^(-2)]])/(H12+Таблица3[[#This Row],[ф3 *X^(-2)]]))&lt;0.01,1,2))</f>
        <v>0</v>
      </c>
      <c r="AL15" s="247">
        <f>IF(I12=Таблица3[[#This Row],[ф4 *X^(-1)]],0,IF(ABS((I12-Таблица3[[#This Row],[ф4 *X^(-1)]])/(I12+Таблица3[[#This Row],[ф4 *X^(-1)]]))&lt;0.01,1,2))</f>
        <v>0</v>
      </c>
      <c r="AM15" s="247">
        <f>IF(J12=Таблица3[[#This Row],[ф5 *X]],0,IF(ABS((J12-Таблица3[[#This Row],[ф5 *X]])/(J12+Таблица3[[#This Row],[ф5 *X]]))&lt;0.01,1,2))</f>
        <v>0</v>
      </c>
      <c r="AN15" s="247">
        <f>IF(K12=Таблица3[[#This Row],[ф6 *X^2]],0,IF(ABS((K12-Таблица3[[#This Row],[ф6 *X^2]])/(K12+Таблица3[[#This Row],[ф6 *X^2]]))&lt;0.01,1,2))</f>
        <v>0</v>
      </c>
      <c r="AO15" s="247">
        <f>IF(L12=Таблица3[[#This Row],[ф7 *Х^3]],0,IF(ABS((L12-Таблица3[[#This Row],[ф7 *Х^3]])/(L12+Таблица3[[#This Row],[ф7 *Х^3]]))&lt;0.01,1,2))</f>
        <v>0</v>
      </c>
    </row>
    <row r="16" spans="1:41" x14ac:dyDescent="0.35">
      <c r="A16" s="144" t="s">
        <v>70</v>
      </c>
      <c r="B16" s="144" t="s">
        <v>61</v>
      </c>
      <c r="C16" s="242">
        <v>298.14999999999998</v>
      </c>
      <c r="D16" s="242">
        <v>2000</v>
      </c>
      <c r="E16" s="243">
        <v>1.157</v>
      </c>
      <c r="F16" s="243">
        <v>55.30301</v>
      </c>
      <c r="G16" s="243">
        <v>6.9866000000000001</v>
      </c>
      <c r="H16" s="243">
        <v>-1.7438999999999999E-4</v>
      </c>
      <c r="I16" s="243">
        <v>0.22003</v>
      </c>
      <c r="J16" s="243">
        <v>3.0068000000000001E-2</v>
      </c>
      <c r="K16" s="243">
        <v>0</v>
      </c>
      <c r="L16" s="243">
        <v>0</v>
      </c>
      <c r="M16" s="261">
        <f t="shared" si="1"/>
        <v>1</v>
      </c>
      <c r="O16" s="144" t="s">
        <v>113</v>
      </c>
      <c r="P16" s="144" t="s">
        <v>63</v>
      </c>
      <c r="Q16" s="242">
        <v>298.14999999999998</v>
      </c>
      <c r="R16" s="242">
        <v>500</v>
      </c>
      <c r="S16" s="144">
        <v>-2.3913798664982862</v>
      </c>
      <c r="T16" s="144">
        <v>74.770930000000007</v>
      </c>
      <c r="U16" s="144">
        <v>18.140259</v>
      </c>
      <c r="V16" s="144">
        <v>0</v>
      </c>
      <c r="W16" s="144">
        <v>0.56850120000000004</v>
      </c>
      <c r="X16" s="144">
        <v>31.096289000000002</v>
      </c>
      <c r="Y16" s="144">
        <v>0</v>
      </c>
      <c r="Z16" s="144">
        <v>0</v>
      </c>
      <c r="AA16" s="242">
        <v>1</v>
      </c>
      <c r="AC16" s="145" t="str">
        <f t="shared" si="2"/>
        <v>Ga2Ge1Se4</v>
      </c>
      <c r="AD16" s="247" t="str">
        <f>Таблица3[[#This Row],[Вещество]]</f>
        <v>Ga2Ge1Se4</v>
      </c>
      <c r="AE16" s="247">
        <f>IF(B13=Таблица3[[#This Row],[Фаза]],0,2)</f>
        <v>0</v>
      </c>
      <c r="AF16" s="247">
        <f>IF(C13=Таблица3[[#This Row],[To]],0,IF(ABS((C13-Таблица3[[#This Row],[To]])/(C13+Таблица3[[#This Row],[To]]))&lt;0.01,1,2))</f>
        <v>1</v>
      </c>
      <c r="AG16" s="247">
        <f>IF(D13=Таблица3[[#This Row],[T]],0,IF(ABS((D13-Таблица3[[#This Row],[T]])/(D13+Таблица3[[#This Row],[T]]))&lt;0.01,1,2))</f>
        <v>1</v>
      </c>
      <c r="AH16" s="247">
        <f>IF(E13=Таблица3[[#This Row],[ho]],0,IF(ABS((E13-Таблица3[[#This Row],[ho]])/(E13+Таблица3[[#This Row],[ho]]))&lt;0.01,1,2))</f>
        <v>1</v>
      </c>
      <c r="AI16" s="247">
        <f>IF(F13=Таблица3[[#This Row],[ф1]],0,IF(ABS((F13-Таблица3[[#This Row],[ф1]])/(F13+Таблица3[[#This Row],[ф1]]))&lt;0.01,1,2))</f>
        <v>1</v>
      </c>
      <c r="AJ16" s="247">
        <f>IF(G13=Таблица3[[#This Row],[ф2 *lnX]],0,IF(ABS((G13-Таблица3[[#This Row],[ф2 *lnX]])/(G13+Таблица3[[#This Row],[ф2 *lnX]]))&lt;0.01,1,2))</f>
        <v>1</v>
      </c>
      <c r="AK16" s="247">
        <f>IF(H13=Таблица3[[#This Row],[ф3 *X^(-2)]],0,IF(ABS((H13-Таблица3[[#This Row],[ф3 *X^(-2)]])/(H13+Таблица3[[#This Row],[ф3 *X^(-2)]]))&lt;0.01,1,2))</f>
        <v>0</v>
      </c>
      <c r="AL16" s="247">
        <f>IF(I13=Таблица3[[#This Row],[ф4 *X^(-1)]],0,IF(ABS((I13-Таблица3[[#This Row],[ф4 *X^(-1)]])/(I13+Таблица3[[#This Row],[ф4 *X^(-1)]]))&lt;0.01,1,2))</f>
        <v>1</v>
      </c>
      <c r="AM16" s="247">
        <f>IF(J13=Таблица3[[#This Row],[ф5 *X]],0,IF(ABS((J13-Таблица3[[#This Row],[ф5 *X]])/(J13+Таблица3[[#This Row],[ф5 *X]]))&lt;0.01,1,2))</f>
        <v>1</v>
      </c>
      <c r="AN16" s="247">
        <f>IF(K13=Таблица3[[#This Row],[ф6 *X^2]],0,IF(ABS((K13-Таблица3[[#This Row],[ф6 *X^2]])/(K13+Таблица3[[#This Row],[ф6 *X^2]]))&lt;0.01,1,2))</f>
        <v>0</v>
      </c>
      <c r="AO16" s="247">
        <f>IF(L13=Таблица3[[#This Row],[ф7 *Х^3]],0,IF(ABS((L13-Таблица3[[#This Row],[ф7 *Х^3]])/(L13+Таблица3[[#This Row],[ф7 *Х^3]]))&lt;0.01,1,2))</f>
        <v>0</v>
      </c>
    </row>
    <row r="17" spans="1:41" x14ac:dyDescent="0.35">
      <c r="A17" s="144" t="s">
        <v>70</v>
      </c>
      <c r="B17" s="144" t="s">
        <v>63</v>
      </c>
      <c r="C17" s="242">
        <v>298.14999999999998</v>
      </c>
      <c r="D17" s="242">
        <v>398</v>
      </c>
      <c r="E17" s="243">
        <v>-2.2040000000000002</v>
      </c>
      <c r="F17" s="243">
        <v>13.59</v>
      </c>
      <c r="G17" s="243">
        <v>0</v>
      </c>
      <c r="H17" s="243">
        <v>0</v>
      </c>
      <c r="I17" s="243">
        <v>0</v>
      </c>
      <c r="J17" s="243">
        <v>0</v>
      </c>
      <c r="K17" s="243">
        <v>0</v>
      </c>
      <c r="L17" s="243">
        <v>0</v>
      </c>
      <c r="M17" s="261">
        <f t="shared" si="1"/>
        <v>1</v>
      </c>
      <c r="O17" s="144" t="s">
        <v>119</v>
      </c>
      <c r="P17" s="144" t="s">
        <v>63</v>
      </c>
      <c r="Q17" s="242">
        <v>298.14999999999998</v>
      </c>
      <c r="R17" s="242">
        <v>500</v>
      </c>
      <c r="S17" s="144">
        <v>-4.8580355403211248</v>
      </c>
      <c r="T17" s="144">
        <v>212.40428381216631</v>
      </c>
      <c r="U17" s="144">
        <v>53.357289488904925</v>
      </c>
      <c r="V17" s="144">
        <v>-1.1629081724697818E-3</v>
      </c>
      <c r="W17" s="144">
        <v>1.3948731269384558</v>
      </c>
      <c r="X17" s="144">
        <v>-473.1781712802333</v>
      </c>
      <c r="Y17" s="144">
        <v>2766.3198829354342</v>
      </c>
      <c r="Z17" s="144">
        <v>0</v>
      </c>
      <c r="AA17" s="242">
        <v>1</v>
      </c>
      <c r="AC17" s="145" t="str">
        <f t="shared" si="2"/>
        <v>Ga2Ge3Se8</v>
      </c>
      <c r="AD17" s="247" t="str">
        <f>Таблица3[[#This Row],[Вещество]]</f>
        <v>Ga2Ge3Se8</v>
      </c>
      <c r="AE17" s="247">
        <f>IF(B14=Таблица3[[#This Row],[Фаза]],0,2)</f>
        <v>0</v>
      </c>
      <c r="AF17" s="247">
        <f>IF(C14=Таблица3[[#This Row],[To]],0,IF(ABS((C14-Таблица3[[#This Row],[To]])/(C14+Таблица3[[#This Row],[To]]))&lt;0.01,1,2))</f>
        <v>0</v>
      </c>
      <c r="AG17" s="247">
        <f>IF(D14=Таблица3[[#This Row],[T]],0,IF(ABS((D14-Таблица3[[#This Row],[T]])/(D14+Таблица3[[#This Row],[T]]))&lt;0.01,1,2))</f>
        <v>1</v>
      </c>
      <c r="AH17" s="247">
        <f>IF(E14=Таблица3[[#This Row],[ho]],0,IF(ABS((E14-Таблица3[[#This Row],[ho]])/(E14+Таблица3[[#This Row],[ho]]))&lt;0.01,1,2))</f>
        <v>1</v>
      </c>
      <c r="AI17" s="247">
        <f>IF(F14=Таблица3[[#This Row],[ф1]],0,IF(ABS((F14-Таблица3[[#This Row],[ф1]])/(F14+Таблица3[[#This Row],[ф1]]))&lt;0.01,1,2))</f>
        <v>1</v>
      </c>
      <c r="AJ17" s="247">
        <f>IF(G14=Таблица3[[#This Row],[ф2 *lnX]],0,IF(ABS((G14-Таблица3[[#This Row],[ф2 *lnX]])/(G14+Таблица3[[#This Row],[ф2 *lnX]]))&lt;0.01,1,2))</f>
        <v>1</v>
      </c>
      <c r="AK17" s="247">
        <f>IF(H14=Таблица3[[#This Row],[ф3 *X^(-2)]],0,IF(ABS((H14-Таблица3[[#This Row],[ф3 *X^(-2)]])/(H14+Таблица3[[#This Row],[ф3 *X^(-2)]]))&lt;0.01,1,2))</f>
        <v>1</v>
      </c>
      <c r="AL17" s="247">
        <f>IF(I14=Таблица3[[#This Row],[ф4 *X^(-1)]],0,IF(ABS((I14-Таблица3[[#This Row],[ф4 *X^(-1)]])/(I14+Таблица3[[#This Row],[ф4 *X^(-1)]]))&lt;0.01,1,2))</f>
        <v>1</v>
      </c>
      <c r="AM17" s="247">
        <f>IF(J14=Таблица3[[#This Row],[ф5 *X]],0,IF(ABS((J14-Таблица3[[#This Row],[ф5 *X]])/(J14+Таблица3[[#This Row],[ф5 *X]]))&lt;0.01,1,2))</f>
        <v>1</v>
      </c>
      <c r="AN17" s="247">
        <f>IF(K14=Таблица3[[#This Row],[ф6 *X^2]],0,IF(ABS((K14-Таблица3[[#This Row],[ф6 *X^2]])/(K14+Таблица3[[#This Row],[ф6 *X^2]]))&lt;0.01,1,2))</f>
        <v>1</v>
      </c>
      <c r="AO17" s="247">
        <f>IF(L14=Таблица3[[#This Row],[ф7 *Х^3]],0,IF(ABS((L14-Таблица3[[#This Row],[ф7 *Х^3]])/(L14+Таблица3[[#This Row],[ф7 *Х^3]]))&lt;0.01,1,2))</f>
        <v>0</v>
      </c>
    </row>
    <row r="18" spans="1:41" x14ac:dyDescent="0.35">
      <c r="A18" s="144" t="s">
        <v>71</v>
      </c>
      <c r="B18" s="144" t="s">
        <v>63</v>
      </c>
      <c r="C18" s="242">
        <v>298.14999999999998</v>
      </c>
      <c r="D18" s="242">
        <v>1278</v>
      </c>
      <c r="E18" s="243">
        <v>-4.9166999999999996</v>
      </c>
      <c r="F18" s="243">
        <v>52.323990000000002</v>
      </c>
      <c r="G18" s="243">
        <v>12.715999999999999</v>
      </c>
      <c r="H18" s="243">
        <v>0</v>
      </c>
      <c r="I18" s="243">
        <v>0.39800999999999997</v>
      </c>
      <c r="J18" s="243">
        <v>21.234000000000002</v>
      </c>
      <c r="K18" s="243">
        <v>0</v>
      </c>
      <c r="L18" s="243">
        <v>0</v>
      </c>
      <c r="M18" s="261">
        <f t="shared" si="1"/>
        <v>1</v>
      </c>
      <c r="O18" s="144" t="s">
        <v>118</v>
      </c>
      <c r="P18" s="144" t="s">
        <v>63</v>
      </c>
      <c r="Q18" s="242">
        <v>298.14999999999998</v>
      </c>
      <c r="R18" s="242">
        <v>500</v>
      </c>
      <c r="S18" s="144">
        <v>-5.3441197185639542</v>
      </c>
      <c r="T18" s="144">
        <v>188.48148690608318</v>
      </c>
      <c r="U18" s="144">
        <v>46.597292244452468</v>
      </c>
      <c r="V18" s="144">
        <v>-5.8145408623489088E-4</v>
      </c>
      <c r="W18" s="144">
        <v>1.3226695634692278</v>
      </c>
      <c r="X18" s="144">
        <v>-201.31636314011661</v>
      </c>
      <c r="Y18" s="144">
        <v>1383.1599414677171</v>
      </c>
      <c r="Z18" s="144">
        <v>0</v>
      </c>
      <c r="AA18" s="242">
        <v>1</v>
      </c>
      <c r="AC18" s="145" t="str">
        <f t="shared" si="2"/>
        <v>Ga2Ge4Se8</v>
      </c>
      <c r="AD18" s="247" t="str">
        <f>Таблица3[[#This Row],[Вещество]]</f>
        <v>Ga2Ge4Se8</v>
      </c>
      <c r="AE18" s="247">
        <f>IF(B15=Таблица3[[#This Row],[Фаза]],0,2)</f>
        <v>0</v>
      </c>
      <c r="AF18" s="247">
        <f>IF(C15=Таблица3[[#This Row],[To]],0,IF(ABS((C15-Таблица3[[#This Row],[To]])/(C15+Таблица3[[#This Row],[To]]))&lt;0.01,1,2))</f>
        <v>0</v>
      </c>
      <c r="AG18" s="247">
        <f>IF(D15=Таблица3[[#This Row],[T]],0,IF(ABS((D15-Таблица3[[#This Row],[T]])/(D15+Таблица3[[#This Row],[T]]))&lt;0.01,1,2))</f>
        <v>1</v>
      </c>
      <c r="AH18" s="247">
        <f>IF(E15=Таблица3[[#This Row],[ho]],0,IF(ABS((E15-Таблица3[[#This Row],[ho]])/(E15+Таблица3[[#This Row],[ho]]))&lt;0.01,1,2))</f>
        <v>1</v>
      </c>
      <c r="AI18" s="247">
        <f>IF(F15=Таблица3[[#This Row],[ф1]],0,IF(ABS((F15-Таблица3[[#This Row],[ф1]])/(F15+Таблица3[[#This Row],[ф1]]))&lt;0.01,1,2))</f>
        <v>1</v>
      </c>
      <c r="AJ18" s="247">
        <f>IF(G15=Таблица3[[#This Row],[ф2 *lnX]],0,IF(ABS((G15-Таблица3[[#This Row],[ф2 *lnX]])/(G15+Таблица3[[#This Row],[ф2 *lnX]]))&lt;0.01,1,2))</f>
        <v>1</v>
      </c>
      <c r="AK18" s="247">
        <f>IF(H15=Таблица3[[#This Row],[ф3 *X^(-2)]],0,IF(ABS((H15-Таблица3[[#This Row],[ф3 *X^(-2)]])/(H15+Таблица3[[#This Row],[ф3 *X^(-2)]]))&lt;0.01,1,2))</f>
        <v>1</v>
      </c>
      <c r="AL18" s="247">
        <f>IF(I15=Таблица3[[#This Row],[ф4 *X^(-1)]],0,IF(ABS((I15-Таблица3[[#This Row],[ф4 *X^(-1)]])/(I15+Таблица3[[#This Row],[ф4 *X^(-1)]]))&lt;0.01,1,2))</f>
        <v>1</v>
      </c>
      <c r="AM18" s="247">
        <f>IF(J15=Таблица3[[#This Row],[ф5 *X]],0,IF(ABS((J15-Таблица3[[#This Row],[ф5 *X]])/(J15+Таблица3[[#This Row],[ф5 *X]]))&lt;0.01,1,2))</f>
        <v>1</v>
      </c>
      <c r="AN18" s="247">
        <f>IF(K15=Таблица3[[#This Row],[ф6 *X^2]],0,IF(ABS((K15-Таблица3[[#This Row],[ф6 *X^2]])/(K15+Таблица3[[#This Row],[ф6 *X^2]]))&lt;0.01,1,2))</f>
        <v>1</v>
      </c>
      <c r="AO18" s="247">
        <f>IF(L15=Таблица3[[#This Row],[ф7 *Х^3]],0,IF(ABS((L15-Таблица3[[#This Row],[ф7 *Х^3]])/(L15+Таблица3[[#This Row],[ф7 *Х^3]]))&lt;0.01,1,2))</f>
        <v>0</v>
      </c>
    </row>
    <row r="19" spans="1:41" x14ac:dyDescent="0.35">
      <c r="A19" s="144" t="s">
        <v>114</v>
      </c>
      <c r="B19" s="144" t="s">
        <v>63</v>
      </c>
      <c r="C19" s="242">
        <v>298</v>
      </c>
      <c r="D19" s="242">
        <v>500.00009999999997</v>
      </c>
      <c r="E19" s="243">
        <v>-4.22</v>
      </c>
      <c r="F19" s="243">
        <v>173.5</v>
      </c>
      <c r="G19" s="243">
        <v>43.04</v>
      </c>
      <c r="H19" s="243">
        <v>-5.8149999999999999E-4</v>
      </c>
      <c r="I19" s="243">
        <v>1.2090000000000001</v>
      </c>
      <c r="J19" s="243">
        <v>-209.7</v>
      </c>
      <c r="K19" s="243">
        <v>1383</v>
      </c>
      <c r="L19" s="243">
        <v>0</v>
      </c>
      <c r="M19" s="261">
        <f t="shared" si="1"/>
        <v>1</v>
      </c>
      <c r="O19" s="144" t="s">
        <v>70</v>
      </c>
      <c r="P19" s="144" t="s">
        <v>61</v>
      </c>
      <c r="Q19" s="242">
        <v>298.14999999999998</v>
      </c>
      <c r="R19" s="242">
        <v>2000</v>
      </c>
      <c r="S19" s="144">
        <v>1.157</v>
      </c>
      <c r="T19" s="144">
        <v>55.30301</v>
      </c>
      <c r="U19" s="144">
        <v>6.9866000000000001</v>
      </c>
      <c r="V19" s="144">
        <v>-1.7438999999999999E-4</v>
      </c>
      <c r="W19" s="144">
        <v>0.22003</v>
      </c>
      <c r="X19" s="144">
        <v>3.0068000000000001E-2</v>
      </c>
      <c r="Y19" s="144">
        <v>0</v>
      </c>
      <c r="Z19" s="144">
        <v>0</v>
      </c>
      <c r="AA19" s="242">
        <v>1</v>
      </c>
      <c r="AC19" s="145" t="str">
        <f t="shared" si="2"/>
        <v>Ga2Se</v>
      </c>
      <c r="AD19" s="247" t="str">
        <f>Таблица3[[#This Row],[Вещество]]</f>
        <v>Ga2Se</v>
      </c>
      <c r="AE19" s="247">
        <f>IF(B16=Таблица3[[#This Row],[Фаза]],0,2)</f>
        <v>0</v>
      </c>
      <c r="AF19" s="247">
        <f>IF(C16=Таблица3[[#This Row],[To]],0,IF(ABS((C16-Таблица3[[#This Row],[To]])/(C16+Таблица3[[#This Row],[To]]))&lt;0.01,1,2))</f>
        <v>0</v>
      </c>
      <c r="AG19" s="247">
        <f>IF(D16=Таблица3[[#This Row],[T]],0,IF(ABS((D16-Таблица3[[#This Row],[T]])/(D16+Таблица3[[#This Row],[T]]))&lt;0.01,1,2))</f>
        <v>0</v>
      </c>
      <c r="AH19" s="247">
        <f>IF(E16=Таблица3[[#This Row],[ho]],0,IF(ABS((E16-Таблица3[[#This Row],[ho]])/(E16+Таблица3[[#This Row],[ho]]))&lt;0.01,1,2))</f>
        <v>0</v>
      </c>
      <c r="AI19" s="247">
        <f>IF(F16=Таблица3[[#This Row],[ф1]],0,IF(ABS((F16-Таблица3[[#This Row],[ф1]])/(F16+Таблица3[[#This Row],[ф1]]))&lt;0.01,1,2))</f>
        <v>0</v>
      </c>
      <c r="AJ19" s="247">
        <f>IF(G16=Таблица3[[#This Row],[ф2 *lnX]],0,IF(ABS((G16-Таблица3[[#This Row],[ф2 *lnX]])/(G16+Таблица3[[#This Row],[ф2 *lnX]]))&lt;0.01,1,2))</f>
        <v>0</v>
      </c>
      <c r="AK19" s="247">
        <f>IF(H16=Таблица3[[#This Row],[ф3 *X^(-2)]],0,IF(ABS((H16-Таблица3[[#This Row],[ф3 *X^(-2)]])/(H16+Таблица3[[#This Row],[ф3 *X^(-2)]]))&lt;0.01,1,2))</f>
        <v>0</v>
      </c>
      <c r="AL19" s="247">
        <f>IF(I16=Таблица3[[#This Row],[ф4 *X^(-1)]],0,IF(ABS((I16-Таблица3[[#This Row],[ф4 *X^(-1)]])/(I16+Таблица3[[#This Row],[ф4 *X^(-1)]]))&lt;0.01,1,2))</f>
        <v>0</v>
      </c>
      <c r="AM19" s="247">
        <f>IF(J16=Таблица3[[#This Row],[ф5 *X]],0,IF(ABS((J16-Таблица3[[#This Row],[ф5 *X]])/(J16+Таблица3[[#This Row],[ф5 *X]]))&lt;0.01,1,2))</f>
        <v>0</v>
      </c>
      <c r="AN19" s="247">
        <f>IF(K16=Таблица3[[#This Row],[ф6 *X^2]],0,IF(ABS((K16-Таблица3[[#This Row],[ф6 *X^2]])/(K16+Таблица3[[#This Row],[ф6 *X^2]]))&lt;0.01,1,2))</f>
        <v>0</v>
      </c>
      <c r="AO19" s="247">
        <f>IF(L16=Таблица3[[#This Row],[ф7 *Х^3]],0,IF(ABS((L16-Таблица3[[#This Row],[ф7 *Х^3]])/(L16+Таблица3[[#This Row],[ф7 *Х^3]]))&lt;0.01,1,2))</f>
        <v>0</v>
      </c>
    </row>
    <row r="20" spans="1:41" x14ac:dyDescent="0.35">
      <c r="A20" s="144" t="s">
        <v>117</v>
      </c>
      <c r="B20" s="144" t="s">
        <v>63</v>
      </c>
      <c r="C20" s="242">
        <v>298.14999999999998</v>
      </c>
      <c r="D20" s="242">
        <v>500.00009999999997</v>
      </c>
      <c r="E20" s="243">
        <v>-4.78</v>
      </c>
      <c r="F20" s="243">
        <v>149.5</v>
      </c>
      <c r="G20" s="243">
        <v>36.279989999999998</v>
      </c>
      <c r="H20" s="243">
        <v>0</v>
      </c>
      <c r="I20" s="243">
        <v>1.137</v>
      </c>
      <c r="J20" s="243">
        <v>62.190010000000001</v>
      </c>
      <c r="K20" s="243">
        <v>0</v>
      </c>
      <c r="L20" s="243">
        <v>0</v>
      </c>
      <c r="M20" s="261">
        <f t="shared" si="1"/>
        <v>1</v>
      </c>
      <c r="O20" s="144" t="s">
        <v>70</v>
      </c>
      <c r="P20" s="144" t="s">
        <v>63</v>
      </c>
      <c r="Q20" s="242">
        <v>298.14999999999998</v>
      </c>
      <c r="R20" s="242">
        <v>398</v>
      </c>
      <c r="S20" s="144">
        <v>-2.2040892416862103</v>
      </c>
      <c r="T20" s="144">
        <v>13.586866317878405</v>
      </c>
      <c r="U20" s="144">
        <v>0</v>
      </c>
      <c r="V20" s="144">
        <v>0</v>
      </c>
      <c r="W20" s="144">
        <v>0</v>
      </c>
      <c r="X20" s="144">
        <v>0</v>
      </c>
      <c r="Y20" s="144">
        <v>0</v>
      </c>
      <c r="Z20" s="144">
        <v>0</v>
      </c>
      <c r="AA20" s="242">
        <v>1</v>
      </c>
      <c r="AC20" s="145" t="str">
        <f t="shared" si="2"/>
        <v>Ga2Se</v>
      </c>
      <c r="AD20" s="247" t="str">
        <f>Таблица3[[#This Row],[Вещество]]</f>
        <v>Ga2Se</v>
      </c>
      <c r="AE20" s="247">
        <f>IF(B17=Таблица3[[#This Row],[Фаза]],0,2)</f>
        <v>0</v>
      </c>
      <c r="AF20" s="247">
        <f>IF(C17=Таблица3[[#This Row],[To]],0,IF(ABS((C17-Таблица3[[#This Row],[To]])/(C17+Таблица3[[#This Row],[To]]))&lt;0.01,1,2))</f>
        <v>0</v>
      </c>
      <c r="AG20" s="247">
        <f>IF(D17=Таблица3[[#This Row],[T]],0,IF(ABS((D17-Таблица3[[#This Row],[T]])/(D17+Таблица3[[#This Row],[T]]))&lt;0.01,1,2))</f>
        <v>0</v>
      </c>
      <c r="AH20" s="247">
        <f>IF(E17=Таблица3[[#This Row],[ho]],0,IF(ABS((E17-Таблица3[[#This Row],[ho]])/(E17+Таблица3[[#This Row],[ho]]))&lt;0.01,1,2))</f>
        <v>1</v>
      </c>
      <c r="AI20" s="247">
        <f>IF(F17=Таблица3[[#This Row],[ф1]],0,IF(ABS((F17-Таблица3[[#This Row],[ф1]])/(F17+Таблица3[[#This Row],[ф1]]))&lt;0.01,1,2))</f>
        <v>1</v>
      </c>
      <c r="AJ20" s="247">
        <f>IF(G17=Таблица3[[#This Row],[ф2 *lnX]],0,IF(ABS((G17-Таблица3[[#This Row],[ф2 *lnX]])/(G17+Таблица3[[#This Row],[ф2 *lnX]]))&lt;0.01,1,2))</f>
        <v>0</v>
      </c>
      <c r="AK20" s="247">
        <f>IF(H17=Таблица3[[#This Row],[ф3 *X^(-2)]],0,IF(ABS((H17-Таблица3[[#This Row],[ф3 *X^(-2)]])/(H17+Таблица3[[#This Row],[ф3 *X^(-2)]]))&lt;0.01,1,2))</f>
        <v>0</v>
      </c>
      <c r="AL20" s="247">
        <f>IF(I17=Таблица3[[#This Row],[ф4 *X^(-1)]],0,IF(ABS((I17-Таблица3[[#This Row],[ф4 *X^(-1)]])/(I17+Таблица3[[#This Row],[ф4 *X^(-1)]]))&lt;0.01,1,2))</f>
        <v>0</v>
      </c>
      <c r="AM20" s="247">
        <f>IF(J17=Таблица3[[#This Row],[ф5 *X]],0,IF(ABS((J17-Таблица3[[#This Row],[ф5 *X]])/(J17+Таблица3[[#This Row],[ф5 *X]]))&lt;0.01,1,2))</f>
        <v>0</v>
      </c>
      <c r="AN20" s="247">
        <f>IF(K17=Таблица3[[#This Row],[ф6 *X^2]],0,IF(ABS((K17-Таблица3[[#This Row],[ф6 *X^2]])/(K17+Таблица3[[#This Row],[ф6 *X^2]]))&lt;0.01,1,2))</f>
        <v>0</v>
      </c>
      <c r="AO20" s="247">
        <f>IF(L17=Таблица3[[#This Row],[ф7 *Х^3]],0,IF(ABS((L17-Таблица3[[#This Row],[ф7 *Х^3]])/(L17+Таблица3[[#This Row],[ф7 *Х^3]]))&lt;0.01,1,2))</f>
        <v>0</v>
      </c>
    </row>
    <row r="21" spans="1:41" x14ac:dyDescent="0.35">
      <c r="A21" s="144" t="s">
        <v>62</v>
      </c>
      <c r="B21" s="144" t="s">
        <v>61</v>
      </c>
      <c r="C21" s="242">
        <v>298.14999999999998</v>
      </c>
      <c r="D21" s="242">
        <v>1500</v>
      </c>
      <c r="E21" s="243">
        <v>4.3829390000000004</v>
      </c>
      <c r="F21" s="243">
        <v>34.862279999999998</v>
      </c>
      <c r="G21" s="243">
        <v>5.530119</v>
      </c>
      <c r="H21" s="243">
        <v>-3.3787839999999998E-4</v>
      </c>
      <c r="I21" s="243">
        <v>8.1663529999999998E-2</v>
      </c>
      <c r="J21" s="243">
        <v>-21.130780000000001</v>
      </c>
      <c r="K21" s="243">
        <v>36.52984</v>
      </c>
      <c r="L21" s="243">
        <v>-31.421589999999998</v>
      </c>
      <c r="M21" s="261">
        <f t="shared" si="1"/>
        <v>1</v>
      </c>
      <c r="O21" s="144" t="s">
        <v>71</v>
      </c>
      <c r="P21" s="144" t="s">
        <v>63</v>
      </c>
      <c r="Q21" s="259">
        <v>150</v>
      </c>
      <c r="R21" s="242">
        <v>1278</v>
      </c>
      <c r="S21" s="144">
        <v>-4.9166999999999996</v>
      </c>
      <c r="T21" s="144">
        <v>52.323990000000002</v>
      </c>
      <c r="U21" s="144">
        <v>12.715999999999999</v>
      </c>
      <c r="V21" s="144">
        <v>0</v>
      </c>
      <c r="W21" s="144">
        <v>0.39800999999999997</v>
      </c>
      <c r="X21" s="144">
        <v>21.234000000000002</v>
      </c>
      <c r="Y21" s="144">
        <v>0</v>
      </c>
      <c r="Z21" s="144">
        <v>0</v>
      </c>
      <c r="AA21" s="242">
        <v>1</v>
      </c>
      <c r="AC21" s="145" t="str">
        <f t="shared" ref="AC21:AC41" si="3">A18</f>
        <v>Ga2Se3</v>
      </c>
      <c r="AD21" s="247" t="str">
        <f>Таблица3[[#This Row],[Вещество]]</f>
        <v>Ga2Se3</v>
      </c>
      <c r="AE21" s="247">
        <f>IF(B18=Таблица3[[#This Row],[Фаза]],0,2)</f>
        <v>0</v>
      </c>
      <c r="AF21" s="247">
        <f>IF(C18=Таблица3[[#This Row],[To]],0,IF(ABS((C18-Таблица3[[#This Row],[To]])/(C18+Таблица3[[#This Row],[To]]))&lt;0.01,1,2))</f>
        <v>2</v>
      </c>
      <c r="AG21" s="247">
        <f>IF(D18=Таблица3[[#This Row],[T]],0,IF(ABS((D18-Таблица3[[#This Row],[T]])/(D18+Таблица3[[#This Row],[T]]))&lt;0.01,1,2))</f>
        <v>0</v>
      </c>
      <c r="AH21" s="247">
        <f>IF(E18=Таблица3[[#This Row],[ho]],0,IF(ABS((E18-Таблица3[[#This Row],[ho]])/(E18+Таблица3[[#This Row],[ho]]))&lt;0.01,1,2))</f>
        <v>0</v>
      </c>
      <c r="AI21" s="247">
        <f>IF(F18=Таблица3[[#This Row],[ф1]],0,IF(ABS((F18-Таблица3[[#This Row],[ф1]])/(F18+Таблица3[[#This Row],[ф1]]))&lt;0.01,1,2))</f>
        <v>0</v>
      </c>
      <c r="AJ21" s="247">
        <f>IF(G18=Таблица3[[#This Row],[ф2 *lnX]],0,IF(ABS((G18-Таблица3[[#This Row],[ф2 *lnX]])/(G18+Таблица3[[#This Row],[ф2 *lnX]]))&lt;0.01,1,2))</f>
        <v>0</v>
      </c>
      <c r="AK21" s="247">
        <f>IF(H18=Таблица3[[#This Row],[ф3 *X^(-2)]],0,IF(ABS((H18-Таблица3[[#This Row],[ф3 *X^(-2)]])/(H18+Таблица3[[#This Row],[ф3 *X^(-2)]]))&lt;0.01,1,2))</f>
        <v>0</v>
      </c>
      <c r="AL21" s="247">
        <f>IF(I18=Таблица3[[#This Row],[ф4 *X^(-1)]],0,IF(ABS((I18-Таблица3[[#This Row],[ф4 *X^(-1)]])/(I18+Таблица3[[#This Row],[ф4 *X^(-1)]]))&lt;0.01,1,2))</f>
        <v>0</v>
      </c>
      <c r="AM21" s="247">
        <f>IF(J18=Таблица3[[#This Row],[ф5 *X]],0,IF(ABS((J18-Таблица3[[#This Row],[ф5 *X]])/(J18+Таблица3[[#This Row],[ф5 *X]]))&lt;0.01,1,2))</f>
        <v>0</v>
      </c>
      <c r="AN21" s="247">
        <f>IF(K18=Таблица3[[#This Row],[ф6 *X^2]],0,IF(ABS((K18-Таблица3[[#This Row],[ф6 *X^2]])/(K18+Таблица3[[#This Row],[ф6 *X^2]]))&lt;0.01,1,2))</f>
        <v>0</v>
      </c>
      <c r="AO21" s="247">
        <f>IF(L18=Таблица3[[#This Row],[ф7 *Х^3]],0,IF(ABS((L18-Таблица3[[#This Row],[ф7 *Х^3]])/(L18+Таблица3[[#This Row],[ф7 *Х^3]]))&lt;0.01,1,2))</f>
        <v>0</v>
      </c>
    </row>
    <row r="22" spans="1:41" x14ac:dyDescent="0.35">
      <c r="A22" s="144" t="s">
        <v>62</v>
      </c>
      <c r="B22" s="144" t="s">
        <v>61</v>
      </c>
      <c r="C22" s="242">
        <v>1500</v>
      </c>
      <c r="D22" s="242">
        <v>6000</v>
      </c>
      <c r="E22" s="243">
        <v>4.3829390000000004</v>
      </c>
      <c r="F22" s="243">
        <v>26.704419999999999</v>
      </c>
      <c r="G22" s="243">
        <v>1.8358589999999999</v>
      </c>
      <c r="H22" s="243">
        <v>3.9919220000000002E-3</v>
      </c>
      <c r="I22" s="243">
        <v>-0.2011674</v>
      </c>
      <c r="J22" s="243">
        <v>2.865237</v>
      </c>
      <c r="K22" s="243">
        <v>-1.920703</v>
      </c>
      <c r="L22" s="243">
        <v>0.6292025</v>
      </c>
      <c r="M22" s="261">
        <f t="shared" si="1"/>
        <v>1</v>
      </c>
      <c r="O22" s="144" t="s">
        <v>114</v>
      </c>
      <c r="P22" s="144" t="s">
        <v>63</v>
      </c>
      <c r="Q22" s="242">
        <v>298.14999999999998</v>
      </c>
      <c r="R22" s="242">
        <v>500</v>
      </c>
      <c r="S22" s="144">
        <v>-4.2169772565999155</v>
      </c>
      <c r="T22" s="144">
        <v>173.46465690608315</v>
      </c>
      <c r="U22" s="144">
        <v>43.040515244452465</v>
      </c>
      <c r="V22" s="144">
        <v>-5.8145408623489088E-4</v>
      </c>
      <c r="W22" s="144">
        <v>1.2092059634692278</v>
      </c>
      <c r="X22" s="144">
        <v>-209.66923014011661</v>
      </c>
      <c r="Y22" s="144">
        <v>1383.1599414677171</v>
      </c>
      <c r="Z22" s="144">
        <v>0</v>
      </c>
      <c r="AA22" s="242">
        <v>1</v>
      </c>
      <c r="AC22" s="145" t="str">
        <f t="shared" si="3"/>
        <v>Ga4Ge1Se8</v>
      </c>
      <c r="AD22" s="247" t="str">
        <f>Таблица3[[#This Row],[Вещество]]</f>
        <v>Ga4Ge1Se8</v>
      </c>
      <c r="AE22" s="247">
        <f>IF(B19=Таблица3[[#This Row],[Фаза]],0,2)</f>
        <v>0</v>
      </c>
      <c r="AF22" s="247">
        <f>IF(C19=Таблица3[[#This Row],[To]],0,IF(ABS((C19-Таблица3[[#This Row],[To]])/(C19+Таблица3[[#This Row],[To]]))&lt;0.01,1,2))</f>
        <v>1</v>
      </c>
      <c r="AG22" s="247">
        <f>IF(D19=Таблица3[[#This Row],[T]],0,IF(ABS((D19-Таблица3[[#This Row],[T]])/(D19+Таблица3[[#This Row],[T]]))&lt;0.01,1,2))</f>
        <v>1</v>
      </c>
      <c r="AH22" s="247">
        <f>IF(E19=Таблица3[[#This Row],[ho]],0,IF(ABS((E19-Таблица3[[#This Row],[ho]])/(E19+Таблица3[[#This Row],[ho]]))&lt;0.01,1,2))</f>
        <v>1</v>
      </c>
      <c r="AI22" s="247">
        <f>IF(F19=Таблица3[[#This Row],[ф1]],0,IF(ABS((F19-Таблица3[[#This Row],[ф1]])/(F19+Таблица3[[#This Row],[ф1]]))&lt;0.01,1,2))</f>
        <v>1</v>
      </c>
      <c r="AJ22" s="247">
        <f>IF(G19=Таблица3[[#This Row],[ф2 *lnX]],0,IF(ABS((G19-Таблица3[[#This Row],[ф2 *lnX]])/(G19+Таблица3[[#This Row],[ф2 *lnX]]))&lt;0.01,1,2))</f>
        <v>1</v>
      </c>
      <c r="AK22" s="247">
        <f>IF(H19=Таблица3[[#This Row],[ф3 *X^(-2)]],0,IF(ABS((H19-Таблица3[[#This Row],[ф3 *X^(-2)]])/(H19+Таблица3[[#This Row],[ф3 *X^(-2)]]))&lt;0.01,1,2))</f>
        <v>1</v>
      </c>
      <c r="AL22" s="247">
        <f>IF(I19=Таблица3[[#This Row],[ф4 *X^(-1)]],0,IF(ABS((I19-Таблица3[[#This Row],[ф4 *X^(-1)]])/(I19+Таблица3[[#This Row],[ф4 *X^(-1)]]))&lt;0.01,1,2))</f>
        <v>1</v>
      </c>
      <c r="AM22" s="247">
        <f>IF(J19=Таблица3[[#This Row],[ф5 *X]],0,IF(ABS((J19-Таблица3[[#This Row],[ф5 *X]])/(J19+Таблица3[[#This Row],[ф5 *X]]))&lt;0.01,1,2))</f>
        <v>1</v>
      </c>
      <c r="AN22" s="247">
        <f>IF(K19=Таблица3[[#This Row],[ф6 *X^2]],0,IF(ABS((K19-Таблица3[[#This Row],[ф6 *X^2]])/(K19+Таблица3[[#This Row],[ф6 *X^2]]))&lt;0.01,1,2))</f>
        <v>1</v>
      </c>
      <c r="AO22" s="247">
        <f>IF(L19=Таблица3[[#This Row],[ф7 *Х^3]],0,IF(ABS((L19-Таблица3[[#This Row],[ф7 *Х^3]])/(L19+Таблица3[[#This Row],[ф7 *Х^3]]))&lt;0.01,1,2))</f>
        <v>0</v>
      </c>
    </row>
    <row r="23" spans="1:41" x14ac:dyDescent="0.35">
      <c r="A23" s="144" t="s">
        <v>62</v>
      </c>
      <c r="B23" s="144" t="s">
        <v>61</v>
      </c>
      <c r="C23" s="242">
        <v>6000</v>
      </c>
      <c r="D23" s="242">
        <v>10000</v>
      </c>
      <c r="E23" s="243">
        <v>4.3829390000000004</v>
      </c>
      <c r="F23" s="243">
        <v>30.185140000000001</v>
      </c>
      <c r="G23" s="243">
        <v>6.3430540000000004</v>
      </c>
      <c r="H23" s="243">
        <v>-9.5135109999999995E-2</v>
      </c>
      <c r="I23" s="243">
        <v>1.2754369999999999</v>
      </c>
      <c r="J23" s="243">
        <v>-4.2694150000000004</v>
      </c>
      <c r="K23" s="243">
        <v>1.041687</v>
      </c>
      <c r="L23" s="243">
        <v>-6.3588229999999996E-2</v>
      </c>
      <c r="M23" s="261">
        <f t="shared" si="1"/>
        <v>1</v>
      </c>
      <c r="O23" s="144" t="s">
        <v>117</v>
      </c>
      <c r="P23" s="144" t="s">
        <v>63</v>
      </c>
      <c r="Q23" s="242">
        <v>298.14999999999998</v>
      </c>
      <c r="R23" s="242">
        <v>500</v>
      </c>
      <c r="S23" s="144">
        <v>-4.7827597329965723</v>
      </c>
      <c r="T23" s="144">
        <v>149.54186000000001</v>
      </c>
      <c r="U23" s="144">
        <v>36.280518000000001</v>
      </c>
      <c r="V23" s="144">
        <v>0</v>
      </c>
      <c r="W23" s="144">
        <v>1.1370024000000001</v>
      </c>
      <c r="X23" s="144">
        <v>62.192578000000005</v>
      </c>
      <c r="Y23" s="144">
        <v>0</v>
      </c>
      <c r="Z23" s="144">
        <v>0</v>
      </c>
      <c r="AA23" s="242">
        <v>1</v>
      </c>
      <c r="AC23" s="145" t="str">
        <f t="shared" si="3"/>
        <v>Ga4Ge2Se8</v>
      </c>
      <c r="AD23" s="247" t="str">
        <f>Таблица3[[#This Row],[Вещество]]</f>
        <v>Ga4Ge2Se8</v>
      </c>
      <c r="AE23" s="247">
        <f>IF(B20=Таблица3[[#This Row],[Фаза]],0,2)</f>
        <v>0</v>
      </c>
      <c r="AF23" s="247">
        <f>IF(C20=Таблица3[[#This Row],[To]],0,IF(ABS((C20-Таблица3[[#This Row],[To]])/(C20+Таблица3[[#This Row],[To]]))&lt;0.01,1,2))</f>
        <v>0</v>
      </c>
      <c r="AG23" s="247">
        <f>IF(D20=Таблица3[[#This Row],[T]],0,IF(ABS((D20-Таблица3[[#This Row],[T]])/(D20+Таблица3[[#This Row],[T]]))&lt;0.01,1,2))</f>
        <v>1</v>
      </c>
      <c r="AH23" s="247">
        <f>IF(E20=Таблица3[[#This Row],[ho]],0,IF(ABS((E20-Таблица3[[#This Row],[ho]])/(E20+Таблица3[[#This Row],[ho]]))&lt;0.01,1,2))</f>
        <v>1</v>
      </c>
      <c r="AI23" s="247">
        <f>IF(F20=Таблица3[[#This Row],[ф1]],0,IF(ABS((F20-Таблица3[[#This Row],[ф1]])/(F20+Таблица3[[#This Row],[ф1]]))&lt;0.01,1,2))</f>
        <v>1</v>
      </c>
      <c r="AJ23" s="247">
        <f>IF(G20=Таблица3[[#This Row],[ф2 *lnX]],0,IF(ABS((G20-Таблица3[[#This Row],[ф2 *lnX]])/(G20+Таблица3[[#This Row],[ф2 *lnX]]))&lt;0.01,1,2))</f>
        <v>1</v>
      </c>
      <c r="AK23" s="247">
        <f>IF(H20=Таблица3[[#This Row],[ф3 *X^(-2)]],0,IF(ABS((H20-Таблица3[[#This Row],[ф3 *X^(-2)]])/(H20+Таблица3[[#This Row],[ф3 *X^(-2)]]))&lt;0.01,1,2))</f>
        <v>0</v>
      </c>
      <c r="AL23" s="247">
        <f>IF(I20=Таблица3[[#This Row],[ф4 *X^(-1)]],0,IF(ABS((I20-Таблица3[[#This Row],[ф4 *X^(-1)]])/(I20+Таблица3[[#This Row],[ф4 *X^(-1)]]))&lt;0.01,1,2))</f>
        <v>1</v>
      </c>
      <c r="AM23" s="247">
        <f>IF(J20=Таблица3[[#This Row],[ф5 *X]],0,IF(ABS((J20-Таблица3[[#This Row],[ф5 *X]])/(J20+Таблица3[[#This Row],[ф5 *X]]))&lt;0.01,1,2))</f>
        <v>1</v>
      </c>
      <c r="AN23" s="247">
        <f>IF(K20=Таблица3[[#This Row],[ф6 *X^2]],0,IF(ABS((K20-Таблица3[[#This Row],[ф6 *X^2]])/(K20+Таблица3[[#This Row],[ф6 *X^2]]))&lt;0.01,1,2))</f>
        <v>0</v>
      </c>
      <c r="AO23" s="247">
        <f>IF(L20=Таблица3[[#This Row],[ф7 *Х^3]],0,IF(ABS((L20-Таблица3[[#This Row],[ф7 *Х^3]])/(L20+Таблица3[[#This Row],[ф7 *Х^3]]))&lt;0.01,1,2))</f>
        <v>0</v>
      </c>
    </row>
    <row r="24" spans="1:41" x14ac:dyDescent="0.35">
      <c r="A24" s="144" t="s">
        <v>62</v>
      </c>
      <c r="B24" s="144" t="s">
        <v>58</v>
      </c>
      <c r="C24" s="242">
        <v>1211.4000000000001</v>
      </c>
      <c r="D24" s="242">
        <v>4900</v>
      </c>
      <c r="E24" s="243">
        <v>-5.5760690000000002E-2</v>
      </c>
      <c r="F24" s="243">
        <v>15.395060000000001</v>
      </c>
      <c r="G24" s="243">
        <v>3.319661</v>
      </c>
      <c r="H24" s="243">
        <v>0</v>
      </c>
      <c r="I24" s="243">
        <v>-0.38367639999999997</v>
      </c>
      <c r="J24" s="243">
        <v>0</v>
      </c>
      <c r="K24" s="243">
        <v>0</v>
      </c>
      <c r="L24" s="243">
        <v>0</v>
      </c>
      <c r="M24" s="261">
        <f t="shared" si="1"/>
        <v>1</v>
      </c>
      <c r="O24" s="144" t="s">
        <v>62</v>
      </c>
      <c r="P24" s="144" t="s">
        <v>61</v>
      </c>
      <c r="Q24" s="242">
        <v>298.14999999999998</v>
      </c>
      <c r="R24" s="242">
        <v>1500</v>
      </c>
      <c r="S24" s="144">
        <v>4.3829390000000004</v>
      </c>
      <c r="T24" s="144">
        <v>34.862279999999998</v>
      </c>
      <c r="U24" s="144">
        <v>5.530119</v>
      </c>
      <c r="V24" s="144">
        <v>-3.3787839999999998E-4</v>
      </c>
      <c r="W24" s="144">
        <v>8.1663529999999998E-2</v>
      </c>
      <c r="X24" s="144">
        <v>-21.130780000000001</v>
      </c>
      <c r="Y24" s="144">
        <v>36.52984</v>
      </c>
      <c r="Z24" s="144">
        <v>-31.421589999999998</v>
      </c>
      <c r="AA24" s="242">
        <v>1</v>
      </c>
      <c r="AC24" s="145" t="str">
        <f t="shared" si="3"/>
        <v>Ge</v>
      </c>
      <c r="AD24" s="247" t="str">
        <f>Таблица3[[#This Row],[Вещество]]</f>
        <v>Ge</v>
      </c>
      <c r="AE24" s="247">
        <f>IF(B21=Таблица3[[#This Row],[Фаза]],0,2)</f>
        <v>0</v>
      </c>
      <c r="AF24" s="247">
        <f>IF(C21=Таблица3[[#This Row],[To]],0,IF(ABS((C21-Таблица3[[#This Row],[To]])/(C21+Таблица3[[#This Row],[To]]))&lt;0.01,1,2))</f>
        <v>0</v>
      </c>
      <c r="AG24" s="247">
        <f>IF(D21=Таблица3[[#This Row],[T]],0,IF(ABS((D21-Таблица3[[#This Row],[T]])/(D21+Таблица3[[#This Row],[T]]))&lt;0.01,1,2))</f>
        <v>0</v>
      </c>
      <c r="AH24" s="247">
        <f>IF(E21=Таблица3[[#This Row],[ho]],0,IF(ABS((E21-Таблица3[[#This Row],[ho]])/(E21+Таблица3[[#This Row],[ho]]))&lt;0.01,1,2))</f>
        <v>0</v>
      </c>
      <c r="AI24" s="247">
        <f>IF(F21=Таблица3[[#This Row],[ф1]],0,IF(ABS((F21-Таблица3[[#This Row],[ф1]])/(F21+Таблица3[[#This Row],[ф1]]))&lt;0.01,1,2))</f>
        <v>0</v>
      </c>
      <c r="AJ24" s="247">
        <f>IF(G21=Таблица3[[#This Row],[ф2 *lnX]],0,IF(ABS((G21-Таблица3[[#This Row],[ф2 *lnX]])/(G21+Таблица3[[#This Row],[ф2 *lnX]]))&lt;0.01,1,2))</f>
        <v>0</v>
      </c>
      <c r="AK24" s="247">
        <f>IF(H21=Таблица3[[#This Row],[ф3 *X^(-2)]],0,IF(ABS((H21-Таблица3[[#This Row],[ф3 *X^(-2)]])/(H21+Таблица3[[#This Row],[ф3 *X^(-2)]]))&lt;0.01,1,2))</f>
        <v>0</v>
      </c>
      <c r="AL24" s="247">
        <f>IF(I21=Таблица3[[#This Row],[ф4 *X^(-1)]],0,IF(ABS((I21-Таблица3[[#This Row],[ф4 *X^(-1)]])/(I21+Таблица3[[#This Row],[ф4 *X^(-1)]]))&lt;0.01,1,2))</f>
        <v>0</v>
      </c>
      <c r="AM24" s="247">
        <f>IF(J21=Таблица3[[#This Row],[ф5 *X]],0,IF(ABS((J21-Таблица3[[#This Row],[ф5 *X]])/(J21+Таблица3[[#This Row],[ф5 *X]]))&lt;0.01,1,2))</f>
        <v>0</v>
      </c>
      <c r="AN24" s="247">
        <f>IF(K21=Таблица3[[#This Row],[ф6 *X^2]],0,IF(ABS((K21-Таблица3[[#This Row],[ф6 *X^2]])/(K21+Таблица3[[#This Row],[ф6 *X^2]]))&lt;0.01,1,2))</f>
        <v>0</v>
      </c>
      <c r="AO24" s="247">
        <f>IF(L21=Таблица3[[#This Row],[ф7 *Х^3]],0,IF(ABS((L21-Таблица3[[#This Row],[ф7 *Х^3]])/(L21+Таблица3[[#This Row],[ф7 *Х^3]]))&lt;0.01,1,2))</f>
        <v>0</v>
      </c>
    </row>
    <row r="25" spans="1:41" x14ac:dyDescent="0.35">
      <c r="A25" s="144" t="s">
        <v>62</v>
      </c>
      <c r="B25" s="144" t="s">
        <v>63</v>
      </c>
      <c r="C25" s="242">
        <v>298.14999999999998</v>
      </c>
      <c r="D25" s="242">
        <v>1211.4000000000001</v>
      </c>
      <c r="E25" s="243">
        <v>-5.5760690000000002E-2</v>
      </c>
      <c r="F25" s="243">
        <v>10.808619999999999</v>
      </c>
      <c r="G25" s="243">
        <v>2.898209</v>
      </c>
      <c r="H25" s="243">
        <v>-9.4357770000000004E-5</v>
      </c>
      <c r="I25" s="243">
        <v>3.8575789999999999E-2</v>
      </c>
      <c r="J25" s="243">
        <v>1.796346</v>
      </c>
      <c r="K25" s="243">
        <v>0</v>
      </c>
      <c r="L25" s="243">
        <v>0</v>
      </c>
      <c r="M25" s="261">
        <f t="shared" si="1"/>
        <v>1</v>
      </c>
      <c r="O25" s="144" t="s">
        <v>62</v>
      </c>
      <c r="P25" s="144" t="s">
        <v>61</v>
      </c>
      <c r="Q25" s="242">
        <v>1500</v>
      </c>
      <c r="R25" s="242">
        <v>6000</v>
      </c>
      <c r="S25" s="144">
        <v>4.3829390000000004</v>
      </c>
      <c r="T25" s="144">
        <v>26.704419999999999</v>
      </c>
      <c r="U25" s="144">
        <v>1.8358589999999999</v>
      </c>
      <c r="V25" s="144">
        <v>3.9919220000000002E-3</v>
      </c>
      <c r="W25" s="144">
        <v>-0.2011674</v>
      </c>
      <c r="X25" s="144">
        <v>2.865237</v>
      </c>
      <c r="Y25" s="144">
        <v>-1.920703</v>
      </c>
      <c r="Z25" s="144">
        <v>0.6292025</v>
      </c>
      <c r="AA25" s="242">
        <v>1</v>
      </c>
      <c r="AC25" s="145" t="str">
        <f t="shared" si="3"/>
        <v>Ge</v>
      </c>
      <c r="AD25" s="247" t="str">
        <f>Таблица3[[#This Row],[Вещество]]</f>
        <v>Ge</v>
      </c>
      <c r="AE25" s="247">
        <f>IF(B22=Таблица3[[#This Row],[Фаза]],0,2)</f>
        <v>0</v>
      </c>
      <c r="AF25" s="247">
        <f>IF(C22=Таблица3[[#This Row],[To]],0,IF(ABS((C22-Таблица3[[#This Row],[To]])/(C22+Таблица3[[#This Row],[To]]))&lt;0.01,1,2))</f>
        <v>0</v>
      </c>
      <c r="AG25" s="247">
        <f>IF(D22=Таблица3[[#This Row],[T]],0,IF(ABS((D22-Таблица3[[#This Row],[T]])/(D22+Таблица3[[#This Row],[T]]))&lt;0.01,1,2))</f>
        <v>0</v>
      </c>
      <c r="AH25" s="247">
        <f>IF(E22=Таблица3[[#This Row],[ho]],0,IF(ABS((E22-Таблица3[[#This Row],[ho]])/(E22+Таблица3[[#This Row],[ho]]))&lt;0.01,1,2))</f>
        <v>0</v>
      </c>
      <c r="AI25" s="247">
        <f>IF(F22=Таблица3[[#This Row],[ф1]],0,IF(ABS((F22-Таблица3[[#This Row],[ф1]])/(F22+Таблица3[[#This Row],[ф1]]))&lt;0.01,1,2))</f>
        <v>0</v>
      </c>
      <c r="AJ25" s="247">
        <f>IF(G22=Таблица3[[#This Row],[ф2 *lnX]],0,IF(ABS((G22-Таблица3[[#This Row],[ф2 *lnX]])/(G22+Таблица3[[#This Row],[ф2 *lnX]]))&lt;0.01,1,2))</f>
        <v>0</v>
      </c>
      <c r="AK25" s="247">
        <f>IF(H22=Таблица3[[#This Row],[ф3 *X^(-2)]],0,IF(ABS((H22-Таблица3[[#This Row],[ф3 *X^(-2)]])/(H22+Таблица3[[#This Row],[ф3 *X^(-2)]]))&lt;0.01,1,2))</f>
        <v>0</v>
      </c>
      <c r="AL25" s="247">
        <f>IF(I22=Таблица3[[#This Row],[ф4 *X^(-1)]],0,IF(ABS((I22-Таблица3[[#This Row],[ф4 *X^(-1)]])/(I22+Таблица3[[#This Row],[ф4 *X^(-1)]]))&lt;0.01,1,2))</f>
        <v>0</v>
      </c>
      <c r="AM25" s="247">
        <f>IF(J22=Таблица3[[#This Row],[ф5 *X]],0,IF(ABS((J22-Таблица3[[#This Row],[ф5 *X]])/(J22+Таблица3[[#This Row],[ф5 *X]]))&lt;0.01,1,2))</f>
        <v>0</v>
      </c>
      <c r="AN25" s="247">
        <f>IF(K22=Таблица3[[#This Row],[ф6 *X^2]],0,IF(ABS((K22-Таблица3[[#This Row],[ф6 *X^2]])/(K22+Таблица3[[#This Row],[ф6 *X^2]]))&lt;0.01,1,2))</f>
        <v>0</v>
      </c>
      <c r="AO25" s="247">
        <f>IF(L22=Таблица3[[#This Row],[ф7 *Х^3]],0,IF(ABS((L22-Таблица3[[#This Row],[ф7 *Х^3]])/(L22+Таблица3[[#This Row],[ф7 *Х^3]]))&lt;0.01,1,2))</f>
        <v>0</v>
      </c>
    </row>
    <row r="26" spans="1:41" x14ac:dyDescent="0.35">
      <c r="A26" s="144" t="s">
        <v>62</v>
      </c>
      <c r="B26" s="144" t="s">
        <v>122</v>
      </c>
      <c r="C26" s="242">
        <v>298.14999999999998</v>
      </c>
      <c r="D26" s="242">
        <v>1211.4000000000001</v>
      </c>
      <c r="E26" s="243">
        <v>-5.5760690000000002E-2</v>
      </c>
      <c r="F26" s="243">
        <v>10.808619999999999</v>
      </c>
      <c r="G26" s="243">
        <v>2.898209</v>
      </c>
      <c r="H26" s="243">
        <v>-9.4357770000000004E-5</v>
      </c>
      <c r="I26" s="243">
        <v>3.8575789999999999E-2</v>
      </c>
      <c r="J26" s="243">
        <v>1.796346</v>
      </c>
      <c r="K26" s="243">
        <v>0</v>
      </c>
      <c r="L26" s="243">
        <v>0</v>
      </c>
      <c r="M26" s="261">
        <f t="shared" si="1"/>
        <v>1</v>
      </c>
      <c r="O26" s="144" t="s">
        <v>62</v>
      </c>
      <c r="P26" s="144" t="s">
        <v>61</v>
      </c>
      <c r="Q26" s="242">
        <v>6000</v>
      </c>
      <c r="R26" s="242">
        <v>10000</v>
      </c>
      <c r="S26" s="144">
        <v>4.3829390000000004</v>
      </c>
      <c r="T26" s="144">
        <v>30.185140000000001</v>
      </c>
      <c r="U26" s="144">
        <v>6.3430540000000004</v>
      </c>
      <c r="V26" s="144">
        <v>-9.5135109999999995E-2</v>
      </c>
      <c r="W26" s="144">
        <v>1.2754369999999999</v>
      </c>
      <c r="X26" s="144">
        <v>-4.2694150000000004</v>
      </c>
      <c r="Y26" s="144">
        <v>1.041687</v>
      </c>
      <c r="Z26" s="144">
        <v>-6.3588229999999996E-2</v>
      </c>
      <c r="AA26" s="242">
        <v>1</v>
      </c>
      <c r="AC26" s="145" t="str">
        <f t="shared" si="3"/>
        <v>Ge</v>
      </c>
      <c r="AD26" s="247" t="str">
        <f>Таблица3[[#This Row],[Вещество]]</f>
        <v>Ge</v>
      </c>
      <c r="AE26" s="247">
        <f>IF(B23=Таблица3[[#This Row],[Фаза]],0,2)</f>
        <v>0</v>
      </c>
      <c r="AF26" s="247">
        <f>IF(C23=Таблица3[[#This Row],[To]],0,IF(ABS((C23-Таблица3[[#This Row],[To]])/(C23+Таблица3[[#This Row],[To]]))&lt;0.01,1,2))</f>
        <v>0</v>
      </c>
      <c r="AG26" s="247">
        <f>IF(D23=Таблица3[[#This Row],[T]],0,IF(ABS((D23-Таблица3[[#This Row],[T]])/(D23+Таблица3[[#This Row],[T]]))&lt;0.01,1,2))</f>
        <v>0</v>
      </c>
      <c r="AH26" s="247">
        <f>IF(E23=Таблица3[[#This Row],[ho]],0,IF(ABS((E23-Таблица3[[#This Row],[ho]])/(E23+Таблица3[[#This Row],[ho]]))&lt;0.01,1,2))</f>
        <v>0</v>
      </c>
      <c r="AI26" s="247">
        <f>IF(F23=Таблица3[[#This Row],[ф1]],0,IF(ABS((F23-Таблица3[[#This Row],[ф1]])/(F23+Таблица3[[#This Row],[ф1]]))&lt;0.01,1,2))</f>
        <v>0</v>
      </c>
      <c r="AJ26" s="247">
        <f>IF(G23=Таблица3[[#This Row],[ф2 *lnX]],0,IF(ABS((G23-Таблица3[[#This Row],[ф2 *lnX]])/(G23+Таблица3[[#This Row],[ф2 *lnX]]))&lt;0.01,1,2))</f>
        <v>0</v>
      </c>
      <c r="AK26" s="247">
        <f>IF(H23=Таблица3[[#This Row],[ф3 *X^(-2)]],0,IF(ABS((H23-Таблица3[[#This Row],[ф3 *X^(-2)]])/(H23+Таблица3[[#This Row],[ф3 *X^(-2)]]))&lt;0.01,1,2))</f>
        <v>0</v>
      </c>
      <c r="AL26" s="247">
        <f>IF(I23=Таблица3[[#This Row],[ф4 *X^(-1)]],0,IF(ABS((I23-Таблица3[[#This Row],[ф4 *X^(-1)]])/(I23+Таблица3[[#This Row],[ф4 *X^(-1)]]))&lt;0.01,1,2))</f>
        <v>0</v>
      </c>
      <c r="AM26" s="247">
        <f>IF(J23=Таблица3[[#This Row],[ф5 *X]],0,IF(ABS((J23-Таблица3[[#This Row],[ф5 *X]])/(J23+Таблица3[[#This Row],[ф5 *X]]))&lt;0.01,1,2))</f>
        <v>0</v>
      </c>
      <c r="AN26" s="247">
        <f>IF(K23=Таблица3[[#This Row],[ф6 *X^2]],0,IF(ABS((K23-Таблица3[[#This Row],[ф6 *X^2]])/(K23+Таблица3[[#This Row],[ф6 *X^2]]))&lt;0.01,1,2))</f>
        <v>0</v>
      </c>
      <c r="AO26" s="247">
        <f>IF(L23=Таблица3[[#This Row],[ф7 *Х^3]],0,IF(ABS((L23-Таблица3[[#This Row],[ф7 *Х^3]])/(L23+Таблица3[[#This Row],[ф7 *Х^3]]))&lt;0.01,1,2))</f>
        <v>0</v>
      </c>
    </row>
    <row r="27" spans="1:41" x14ac:dyDescent="0.35">
      <c r="A27" s="144" t="s">
        <v>95</v>
      </c>
      <c r="B27" s="144" t="s">
        <v>61</v>
      </c>
      <c r="C27" s="242">
        <v>298.14999999999998</v>
      </c>
      <c r="D27" s="242">
        <v>1500</v>
      </c>
      <c r="E27" s="243">
        <v>5.674709</v>
      </c>
      <c r="F27" s="243">
        <v>49.524940000000001</v>
      </c>
      <c r="G27" s="243">
        <v>7.0513279999999998</v>
      </c>
      <c r="H27" s="243">
        <v>-1.341195E-5</v>
      </c>
      <c r="I27" s="243">
        <v>5.245814E-2</v>
      </c>
      <c r="J27" s="243">
        <v>-24.580100000000002</v>
      </c>
      <c r="K27" s="243">
        <v>62.099780000000003</v>
      </c>
      <c r="L27" s="243">
        <v>-81.046109999999999</v>
      </c>
      <c r="M27" s="261">
        <f t="shared" si="1"/>
        <v>1</v>
      </c>
      <c r="O27" s="144" t="s">
        <v>62</v>
      </c>
      <c r="P27" s="144" t="s">
        <v>58</v>
      </c>
      <c r="Q27" s="242">
        <v>1211.4000000000001</v>
      </c>
      <c r="R27" s="242">
        <v>4900</v>
      </c>
      <c r="S27" s="144">
        <v>-5.5760690000000002E-2</v>
      </c>
      <c r="T27" s="144">
        <v>15.395060000000001</v>
      </c>
      <c r="U27" s="144">
        <v>3.319661</v>
      </c>
      <c r="V27" s="144">
        <v>0</v>
      </c>
      <c r="W27" s="144">
        <v>-0.38367639999999997</v>
      </c>
      <c r="X27" s="144">
        <v>0</v>
      </c>
      <c r="Y27" s="144">
        <v>0</v>
      </c>
      <c r="Z27" s="144">
        <v>0</v>
      </c>
      <c r="AA27" s="242">
        <v>1</v>
      </c>
      <c r="AC27" s="145" t="str">
        <f t="shared" si="3"/>
        <v>Ge</v>
      </c>
      <c r="AD27" s="247" t="str">
        <f>Таблица3[[#This Row],[Вещество]]</f>
        <v>Ge</v>
      </c>
      <c r="AE27" s="247">
        <f>IF(B24=Таблица3[[#This Row],[Фаза]],0,2)</f>
        <v>0</v>
      </c>
      <c r="AF27" s="247">
        <f>IF(C24=Таблица3[[#This Row],[To]],0,IF(ABS((C24-Таблица3[[#This Row],[To]])/(C24+Таблица3[[#This Row],[To]]))&lt;0.01,1,2))</f>
        <v>0</v>
      </c>
      <c r="AG27" s="247">
        <f>IF(D24=Таблица3[[#This Row],[T]],0,IF(ABS((D24-Таблица3[[#This Row],[T]])/(D24+Таблица3[[#This Row],[T]]))&lt;0.01,1,2))</f>
        <v>0</v>
      </c>
      <c r="AH27" s="247">
        <f>IF(E24=Таблица3[[#This Row],[ho]],0,IF(ABS((E24-Таблица3[[#This Row],[ho]])/(E24+Таблица3[[#This Row],[ho]]))&lt;0.01,1,2))</f>
        <v>0</v>
      </c>
      <c r="AI27" s="247">
        <f>IF(F24=Таблица3[[#This Row],[ф1]],0,IF(ABS((F24-Таблица3[[#This Row],[ф1]])/(F24+Таблица3[[#This Row],[ф1]]))&lt;0.01,1,2))</f>
        <v>0</v>
      </c>
      <c r="AJ27" s="247">
        <f>IF(G24=Таблица3[[#This Row],[ф2 *lnX]],0,IF(ABS((G24-Таблица3[[#This Row],[ф2 *lnX]])/(G24+Таблица3[[#This Row],[ф2 *lnX]]))&lt;0.01,1,2))</f>
        <v>0</v>
      </c>
      <c r="AK27" s="247">
        <f>IF(H24=Таблица3[[#This Row],[ф3 *X^(-2)]],0,IF(ABS((H24-Таблица3[[#This Row],[ф3 *X^(-2)]])/(H24+Таблица3[[#This Row],[ф3 *X^(-2)]]))&lt;0.01,1,2))</f>
        <v>0</v>
      </c>
      <c r="AL27" s="247">
        <f>IF(I24=Таблица3[[#This Row],[ф4 *X^(-1)]],0,IF(ABS((I24-Таблица3[[#This Row],[ф4 *X^(-1)]])/(I24+Таблица3[[#This Row],[ф4 *X^(-1)]]))&lt;0.01,1,2))</f>
        <v>0</v>
      </c>
      <c r="AM27" s="247">
        <f>IF(J24=Таблица3[[#This Row],[ф5 *X]],0,IF(ABS((J24-Таблица3[[#This Row],[ф5 *X]])/(J24+Таблица3[[#This Row],[ф5 *X]]))&lt;0.01,1,2))</f>
        <v>0</v>
      </c>
      <c r="AN27" s="247">
        <f>IF(K24=Таблица3[[#This Row],[ф6 *X^2]],0,IF(ABS((K24-Таблица3[[#This Row],[ф6 *X^2]])/(K24+Таблица3[[#This Row],[ф6 *X^2]]))&lt;0.01,1,2))</f>
        <v>0</v>
      </c>
      <c r="AO27" s="247">
        <f>IF(L24=Таблица3[[#This Row],[ф7 *Х^3]],0,IF(ABS((L24-Таблица3[[#This Row],[ф7 *Х^3]])/(L24+Таблица3[[#This Row],[ф7 *Х^3]]))&lt;0.01,1,2))</f>
        <v>0</v>
      </c>
    </row>
    <row r="28" spans="1:41" x14ac:dyDescent="0.35">
      <c r="A28" s="144" t="s">
        <v>95</v>
      </c>
      <c r="B28" s="144" t="s">
        <v>61</v>
      </c>
      <c r="C28" s="242">
        <v>1500</v>
      </c>
      <c r="D28" s="242">
        <v>6000</v>
      </c>
      <c r="E28" s="243">
        <v>5.674709</v>
      </c>
      <c r="F28" s="243">
        <v>40.162990000000001</v>
      </c>
      <c r="G28" s="243">
        <v>2.7510140000000001</v>
      </c>
      <c r="H28" s="243">
        <v>7.8054969999999998E-3</v>
      </c>
      <c r="I28" s="243">
        <v>-0.32734089999999999</v>
      </c>
      <c r="J28" s="243">
        <v>6.01546</v>
      </c>
      <c r="K28" s="243">
        <v>-3.5431430000000002</v>
      </c>
      <c r="L28" s="243">
        <v>0.75900279999999998</v>
      </c>
      <c r="M28" s="261">
        <f t="shared" si="1"/>
        <v>1</v>
      </c>
      <c r="O28" s="144" t="s">
        <v>62</v>
      </c>
      <c r="P28" s="144" t="s">
        <v>63</v>
      </c>
      <c r="Q28" s="242">
        <v>298.14999999999998</v>
      </c>
      <c r="R28" s="242">
        <v>1211.4000000000001</v>
      </c>
      <c r="S28" s="144">
        <v>-5.5760690000000002E-2</v>
      </c>
      <c r="T28" s="144">
        <v>10.808619999999999</v>
      </c>
      <c r="U28" s="144">
        <v>2.898209</v>
      </c>
      <c r="V28" s="144">
        <v>-9.4357770000000004E-5</v>
      </c>
      <c r="W28" s="144">
        <v>3.8575789999999999E-2</v>
      </c>
      <c r="X28" s="144">
        <v>1.796346</v>
      </c>
      <c r="Y28" s="144">
        <v>0</v>
      </c>
      <c r="Z28" s="144">
        <v>0</v>
      </c>
      <c r="AA28" s="242">
        <v>1</v>
      </c>
      <c r="AC28" s="145" t="str">
        <f t="shared" si="3"/>
        <v>Ge</v>
      </c>
      <c r="AD28" s="247" t="str">
        <f>Таблица3[[#This Row],[Вещество]]</f>
        <v>Ge</v>
      </c>
      <c r="AE28" s="247">
        <f>IF(B25=Таблица3[[#This Row],[Фаза]],0,2)</f>
        <v>0</v>
      </c>
      <c r="AF28" s="247">
        <f>IF(C25=Таблица3[[#This Row],[To]],0,IF(ABS((C25-Таблица3[[#This Row],[To]])/(C25+Таблица3[[#This Row],[To]]))&lt;0.01,1,2))</f>
        <v>0</v>
      </c>
      <c r="AG28" s="247">
        <f>IF(D25=Таблица3[[#This Row],[T]],0,IF(ABS((D25-Таблица3[[#This Row],[T]])/(D25+Таблица3[[#This Row],[T]]))&lt;0.01,1,2))</f>
        <v>0</v>
      </c>
      <c r="AH28" s="247">
        <f>IF(E25=Таблица3[[#This Row],[ho]],0,IF(ABS((E25-Таблица3[[#This Row],[ho]])/(E25+Таблица3[[#This Row],[ho]]))&lt;0.01,1,2))</f>
        <v>0</v>
      </c>
      <c r="AI28" s="247">
        <f>IF(F25=Таблица3[[#This Row],[ф1]],0,IF(ABS((F25-Таблица3[[#This Row],[ф1]])/(F25+Таблица3[[#This Row],[ф1]]))&lt;0.01,1,2))</f>
        <v>0</v>
      </c>
      <c r="AJ28" s="247">
        <f>IF(G25=Таблица3[[#This Row],[ф2 *lnX]],0,IF(ABS((G25-Таблица3[[#This Row],[ф2 *lnX]])/(G25+Таблица3[[#This Row],[ф2 *lnX]]))&lt;0.01,1,2))</f>
        <v>0</v>
      </c>
      <c r="AK28" s="247">
        <f>IF(H25=Таблица3[[#This Row],[ф3 *X^(-2)]],0,IF(ABS((H25-Таблица3[[#This Row],[ф3 *X^(-2)]])/(H25+Таблица3[[#This Row],[ф3 *X^(-2)]]))&lt;0.01,1,2))</f>
        <v>0</v>
      </c>
      <c r="AL28" s="247">
        <f>IF(I25=Таблица3[[#This Row],[ф4 *X^(-1)]],0,IF(ABS((I25-Таблица3[[#This Row],[ф4 *X^(-1)]])/(I25+Таблица3[[#This Row],[ф4 *X^(-1)]]))&lt;0.01,1,2))</f>
        <v>0</v>
      </c>
      <c r="AM28" s="247">
        <f>IF(J25=Таблица3[[#This Row],[ф5 *X]],0,IF(ABS((J25-Таблица3[[#This Row],[ф5 *X]])/(J25+Таблица3[[#This Row],[ф5 *X]]))&lt;0.01,1,2))</f>
        <v>0</v>
      </c>
      <c r="AN28" s="247">
        <f>IF(K25=Таблица3[[#This Row],[ф6 *X^2]],0,IF(ABS((K25-Таблица3[[#This Row],[ф6 *X^2]])/(K25+Таблица3[[#This Row],[ф6 *X^2]]))&lt;0.01,1,2))</f>
        <v>0</v>
      </c>
      <c r="AO28" s="247">
        <f>IF(L25=Таблица3[[#This Row],[ф7 *Х^3]],0,IF(ABS((L25-Таблица3[[#This Row],[ф7 *Х^3]])/(L25+Таблица3[[#This Row],[ф7 *Х^3]]))&lt;0.01,1,2))</f>
        <v>0</v>
      </c>
    </row>
    <row r="29" spans="1:41" x14ac:dyDescent="0.35">
      <c r="A29" s="144" t="s">
        <v>121</v>
      </c>
      <c r="B29" s="144" t="s">
        <v>63</v>
      </c>
      <c r="C29" s="242">
        <v>298.14999999999998</v>
      </c>
      <c r="D29" s="242">
        <v>500.00009999999997</v>
      </c>
      <c r="E29" s="243">
        <v>-2.95</v>
      </c>
      <c r="F29" s="243">
        <v>113.7</v>
      </c>
      <c r="G29" s="243">
        <v>28.46</v>
      </c>
      <c r="H29" s="243">
        <v>-5.8149999999999999E-4</v>
      </c>
      <c r="I29" s="243">
        <v>0.75419999999999998</v>
      </c>
      <c r="J29" s="243">
        <v>-232.4</v>
      </c>
      <c r="K29" s="243">
        <v>1383</v>
      </c>
      <c r="L29" s="243">
        <v>0</v>
      </c>
      <c r="M29" s="261">
        <f t="shared" si="1"/>
        <v>1</v>
      </c>
      <c r="O29" s="144" t="s">
        <v>62</v>
      </c>
      <c r="P29" s="144" t="s">
        <v>122</v>
      </c>
      <c r="Q29" s="242">
        <v>298.14999999999998</v>
      </c>
      <c r="R29" s="242">
        <v>1211.4000000000001</v>
      </c>
      <c r="S29" s="144">
        <v>-5.5760690000000002E-2</v>
      </c>
      <c r="T29" s="144">
        <v>10.808619999999999</v>
      </c>
      <c r="U29" s="144">
        <v>2.898209</v>
      </c>
      <c r="V29" s="144">
        <v>-9.4357770000000004E-5</v>
      </c>
      <c r="W29" s="144">
        <v>3.8575789999999999E-2</v>
      </c>
      <c r="X29" s="144">
        <v>1.796346</v>
      </c>
      <c r="Y29" s="144">
        <v>0</v>
      </c>
      <c r="Z29" s="144">
        <v>0</v>
      </c>
      <c r="AA29" s="242">
        <v>1</v>
      </c>
      <c r="AC29" s="145" t="str">
        <f t="shared" si="3"/>
        <v>Ge</v>
      </c>
      <c r="AD29" s="247" t="str">
        <f>Таблица3[[#This Row],[Вещество]]</f>
        <v>Ge</v>
      </c>
      <c r="AE29" s="247">
        <f>IF(B26=Таблица3[[#This Row],[Фаза]],0,2)</f>
        <v>0</v>
      </c>
      <c r="AF29" s="247">
        <f>IF(C26=Таблица3[[#This Row],[To]],0,IF(ABS((C26-Таблица3[[#This Row],[To]])/(C26+Таблица3[[#This Row],[To]]))&lt;0.01,1,2))</f>
        <v>0</v>
      </c>
      <c r="AG29" s="247">
        <f>IF(D26=Таблица3[[#This Row],[T]],0,IF(ABS((D26-Таблица3[[#This Row],[T]])/(D26+Таблица3[[#This Row],[T]]))&lt;0.01,1,2))</f>
        <v>0</v>
      </c>
      <c r="AH29" s="247">
        <f>IF(E26=Таблица3[[#This Row],[ho]],0,IF(ABS((E26-Таблица3[[#This Row],[ho]])/(E26+Таблица3[[#This Row],[ho]]))&lt;0.01,1,2))</f>
        <v>0</v>
      </c>
      <c r="AI29" s="247">
        <f>IF(F26=Таблица3[[#This Row],[ф1]],0,IF(ABS((F26-Таблица3[[#This Row],[ф1]])/(F26+Таблица3[[#This Row],[ф1]]))&lt;0.01,1,2))</f>
        <v>0</v>
      </c>
      <c r="AJ29" s="247">
        <f>IF(G26=Таблица3[[#This Row],[ф2 *lnX]],0,IF(ABS((G26-Таблица3[[#This Row],[ф2 *lnX]])/(G26+Таблица3[[#This Row],[ф2 *lnX]]))&lt;0.01,1,2))</f>
        <v>0</v>
      </c>
      <c r="AK29" s="247">
        <f>IF(H26=Таблица3[[#This Row],[ф3 *X^(-2)]],0,IF(ABS((H26-Таблица3[[#This Row],[ф3 *X^(-2)]])/(H26+Таблица3[[#This Row],[ф3 *X^(-2)]]))&lt;0.01,1,2))</f>
        <v>0</v>
      </c>
      <c r="AL29" s="247">
        <f>IF(I26=Таблица3[[#This Row],[ф4 *X^(-1)]],0,IF(ABS((I26-Таблица3[[#This Row],[ф4 *X^(-1)]])/(I26+Таблица3[[#This Row],[ф4 *X^(-1)]]))&lt;0.01,1,2))</f>
        <v>0</v>
      </c>
      <c r="AM29" s="247">
        <f>IF(J26=Таблица3[[#This Row],[ф5 *X]],0,IF(ABS((J26-Таблица3[[#This Row],[ф5 *X]])/(J26+Таблица3[[#This Row],[ф5 *X]]))&lt;0.01,1,2))</f>
        <v>0</v>
      </c>
      <c r="AN29" s="247">
        <f>IF(K26=Таблица3[[#This Row],[ф6 *X^2]],0,IF(ABS((K26-Таблица3[[#This Row],[ф6 *X^2]])/(K26+Таблица3[[#This Row],[ф6 *X^2]]))&lt;0.01,1,2))</f>
        <v>0</v>
      </c>
      <c r="AO29" s="247">
        <f>IF(L26=Таблица3[[#This Row],[ф7 *Х^3]],0,IF(ABS((L26-Таблица3[[#This Row],[ф7 *Х^3]])/(L26+Таблица3[[#This Row],[ф7 *Х^3]]))&lt;0.01,1,2))</f>
        <v>0</v>
      </c>
    </row>
    <row r="30" spans="1:41" x14ac:dyDescent="0.35">
      <c r="A30" s="144" t="s">
        <v>120</v>
      </c>
      <c r="B30" s="144" t="s">
        <v>63</v>
      </c>
      <c r="C30" s="242">
        <v>298.14999999999998</v>
      </c>
      <c r="D30" s="242">
        <v>500.00009999999997</v>
      </c>
      <c r="E30" s="243">
        <v>-3.78</v>
      </c>
      <c r="F30" s="243">
        <v>136.19999999999999</v>
      </c>
      <c r="G30" s="243">
        <v>33.880000000000003</v>
      </c>
      <c r="H30" s="243">
        <v>-5.8149999999999999E-4</v>
      </c>
      <c r="I30" s="243">
        <v>0.92469999999999997</v>
      </c>
      <c r="J30" s="243">
        <v>-222.6</v>
      </c>
      <c r="K30" s="243">
        <v>1383</v>
      </c>
      <c r="L30" s="243">
        <v>0</v>
      </c>
      <c r="M30" s="261">
        <f t="shared" si="1"/>
        <v>1</v>
      </c>
      <c r="O30" s="144" t="s">
        <v>95</v>
      </c>
      <c r="P30" s="144" t="s">
        <v>61</v>
      </c>
      <c r="Q30" s="242">
        <v>298.14999999999998</v>
      </c>
      <c r="R30" s="242">
        <v>1500</v>
      </c>
      <c r="S30" s="144">
        <v>5.674709</v>
      </c>
      <c r="T30" s="144">
        <v>49.524940000000001</v>
      </c>
      <c r="U30" s="144">
        <v>7.0513279999999998</v>
      </c>
      <c r="V30" s="144">
        <v>-1.341195E-5</v>
      </c>
      <c r="W30" s="144">
        <v>5.245814E-2</v>
      </c>
      <c r="X30" s="144">
        <v>-24.580100000000002</v>
      </c>
      <c r="Y30" s="144">
        <v>62.099780000000003</v>
      </c>
      <c r="Z30" s="144">
        <v>-81.046109999999999</v>
      </c>
      <c r="AA30" s="242">
        <v>1</v>
      </c>
      <c r="AC30" s="145" t="str">
        <f t="shared" si="3"/>
        <v>Ge2</v>
      </c>
      <c r="AD30" s="247" t="str">
        <f>Таблица3[[#This Row],[Вещество]]</f>
        <v>Ge2</v>
      </c>
      <c r="AE30" s="247">
        <f>IF(B27=Таблица3[[#This Row],[Фаза]],0,2)</f>
        <v>0</v>
      </c>
      <c r="AF30" s="247">
        <f>IF(C27=Таблица3[[#This Row],[To]],0,IF(ABS((C27-Таблица3[[#This Row],[To]])/(C27+Таблица3[[#This Row],[To]]))&lt;0.01,1,2))</f>
        <v>0</v>
      </c>
      <c r="AG30" s="247">
        <f>IF(D27=Таблица3[[#This Row],[T]],0,IF(ABS((D27-Таблица3[[#This Row],[T]])/(D27+Таблица3[[#This Row],[T]]))&lt;0.01,1,2))</f>
        <v>0</v>
      </c>
      <c r="AH30" s="247">
        <f>IF(E27=Таблица3[[#This Row],[ho]],0,IF(ABS((E27-Таблица3[[#This Row],[ho]])/(E27+Таблица3[[#This Row],[ho]]))&lt;0.01,1,2))</f>
        <v>0</v>
      </c>
      <c r="AI30" s="247">
        <f>IF(F27=Таблица3[[#This Row],[ф1]],0,IF(ABS((F27-Таблица3[[#This Row],[ф1]])/(F27+Таблица3[[#This Row],[ф1]]))&lt;0.01,1,2))</f>
        <v>0</v>
      </c>
      <c r="AJ30" s="247">
        <f>IF(G27=Таблица3[[#This Row],[ф2 *lnX]],0,IF(ABS((G27-Таблица3[[#This Row],[ф2 *lnX]])/(G27+Таблица3[[#This Row],[ф2 *lnX]]))&lt;0.01,1,2))</f>
        <v>0</v>
      </c>
      <c r="AK30" s="247">
        <f>IF(H27=Таблица3[[#This Row],[ф3 *X^(-2)]],0,IF(ABS((H27-Таблица3[[#This Row],[ф3 *X^(-2)]])/(H27+Таблица3[[#This Row],[ф3 *X^(-2)]]))&lt;0.01,1,2))</f>
        <v>0</v>
      </c>
      <c r="AL30" s="247">
        <f>IF(I27=Таблица3[[#This Row],[ф4 *X^(-1)]],0,IF(ABS((I27-Таблица3[[#This Row],[ф4 *X^(-1)]])/(I27+Таблица3[[#This Row],[ф4 *X^(-1)]]))&lt;0.01,1,2))</f>
        <v>0</v>
      </c>
      <c r="AM30" s="247">
        <f>IF(J27=Таблица3[[#This Row],[ф5 *X]],0,IF(ABS((J27-Таблица3[[#This Row],[ф5 *X]])/(J27+Таблица3[[#This Row],[ф5 *X]]))&lt;0.01,1,2))</f>
        <v>0</v>
      </c>
      <c r="AN30" s="247">
        <f>IF(K27=Таблица3[[#This Row],[ф6 *X^2]],0,IF(ABS((K27-Таблица3[[#This Row],[ф6 *X^2]])/(K27+Таблица3[[#This Row],[ф6 *X^2]]))&lt;0.01,1,2))</f>
        <v>0</v>
      </c>
      <c r="AO30" s="247">
        <f>IF(L27=Таблица3[[#This Row],[ф7 *Х^3]],0,IF(ABS((L27-Таблица3[[#This Row],[ф7 *Х^3]])/(L27+Таблица3[[#This Row],[ф7 *Х^3]]))&lt;0.01,1,2))</f>
        <v>0</v>
      </c>
    </row>
    <row r="31" spans="1:41" x14ac:dyDescent="0.35">
      <c r="A31" s="144" t="s">
        <v>81</v>
      </c>
      <c r="B31" s="144" t="s">
        <v>61</v>
      </c>
      <c r="C31" s="242">
        <v>298.14999999999998</v>
      </c>
      <c r="D31" s="242">
        <v>2000</v>
      </c>
      <c r="E31" s="243">
        <v>1.2677</v>
      </c>
      <c r="F31" s="243">
        <v>11.071</v>
      </c>
      <c r="G31" s="243">
        <v>4.4489000000000001</v>
      </c>
      <c r="H31" s="243">
        <v>-1.0823999999999999E-4</v>
      </c>
      <c r="I31" s="243">
        <v>0.13999</v>
      </c>
      <c r="J31" s="243">
        <v>0.10223</v>
      </c>
      <c r="K31" s="243">
        <v>0</v>
      </c>
      <c r="L31" s="243">
        <v>0</v>
      </c>
      <c r="M31" s="261">
        <f t="shared" si="1"/>
        <v>1</v>
      </c>
      <c r="O31" s="144" t="s">
        <v>95</v>
      </c>
      <c r="P31" s="144" t="s">
        <v>61</v>
      </c>
      <c r="Q31" s="242">
        <v>1500</v>
      </c>
      <c r="R31" s="242">
        <v>6000</v>
      </c>
      <c r="S31" s="144">
        <v>5.674709</v>
      </c>
      <c r="T31" s="144">
        <v>40.162990000000001</v>
      </c>
      <c r="U31" s="144">
        <v>2.7510140000000001</v>
      </c>
      <c r="V31" s="144">
        <v>7.8054969999999998E-3</v>
      </c>
      <c r="W31" s="144">
        <v>-0.32734089999999999</v>
      </c>
      <c r="X31" s="144">
        <v>6.01546</v>
      </c>
      <c r="Y31" s="144">
        <v>-3.5431430000000002</v>
      </c>
      <c r="Z31" s="144">
        <v>0.75900279999999998</v>
      </c>
      <c r="AA31" s="242">
        <v>1</v>
      </c>
      <c r="AC31" s="145" t="str">
        <f t="shared" si="3"/>
        <v>Ge2</v>
      </c>
      <c r="AD31" s="247" t="str">
        <f>Таблица3[[#This Row],[Вещество]]</f>
        <v>Ge2</v>
      </c>
      <c r="AE31" s="247">
        <f>IF(B28=Таблица3[[#This Row],[Фаза]],0,2)</f>
        <v>0</v>
      </c>
      <c r="AF31" s="247">
        <f>IF(C28=Таблица3[[#This Row],[To]],0,IF(ABS((C28-Таблица3[[#This Row],[To]])/(C28+Таблица3[[#This Row],[To]]))&lt;0.01,1,2))</f>
        <v>0</v>
      </c>
      <c r="AG31" s="247">
        <f>IF(D28=Таблица3[[#This Row],[T]],0,IF(ABS((D28-Таблица3[[#This Row],[T]])/(D28+Таблица3[[#This Row],[T]]))&lt;0.01,1,2))</f>
        <v>0</v>
      </c>
      <c r="AH31" s="247">
        <f>IF(E28=Таблица3[[#This Row],[ho]],0,IF(ABS((E28-Таблица3[[#This Row],[ho]])/(E28+Таблица3[[#This Row],[ho]]))&lt;0.01,1,2))</f>
        <v>0</v>
      </c>
      <c r="AI31" s="247">
        <f>IF(F28=Таблица3[[#This Row],[ф1]],0,IF(ABS((F28-Таблица3[[#This Row],[ф1]])/(F28+Таблица3[[#This Row],[ф1]]))&lt;0.01,1,2))</f>
        <v>0</v>
      </c>
      <c r="AJ31" s="247">
        <f>IF(G28=Таблица3[[#This Row],[ф2 *lnX]],0,IF(ABS((G28-Таблица3[[#This Row],[ф2 *lnX]])/(G28+Таблица3[[#This Row],[ф2 *lnX]]))&lt;0.01,1,2))</f>
        <v>0</v>
      </c>
      <c r="AK31" s="247">
        <f>IF(H28=Таблица3[[#This Row],[ф3 *X^(-2)]],0,IF(ABS((H28-Таблица3[[#This Row],[ф3 *X^(-2)]])/(H28+Таблица3[[#This Row],[ф3 *X^(-2)]]))&lt;0.01,1,2))</f>
        <v>0</v>
      </c>
      <c r="AL31" s="247">
        <f>IF(I28=Таблица3[[#This Row],[ф4 *X^(-1)]],0,IF(ABS((I28-Таблица3[[#This Row],[ф4 *X^(-1)]])/(I28+Таблица3[[#This Row],[ф4 *X^(-1)]]))&lt;0.01,1,2))</f>
        <v>0</v>
      </c>
      <c r="AM31" s="247">
        <f>IF(J28=Таблица3[[#This Row],[ф5 *X]],0,IF(ABS((J28-Таблица3[[#This Row],[ф5 *X]])/(J28+Таблица3[[#This Row],[ф5 *X]]))&lt;0.01,1,2))</f>
        <v>0</v>
      </c>
      <c r="AN31" s="247">
        <f>IF(K28=Таблица3[[#This Row],[ф6 *X^2]],0,IF(ABS((K28-Таблица3[[#This Row],[ф6 *X^2]])/(K28+Таблица3[[#This Row],[ф6 *X^2]]))&lt;0.01,1,2))</f>
        <v>0</v>
      </c>
      <c r="AO31" s="247">
        <f>IF(L28=Таблица3[[#This Row],[ф7 *Х^3]],0,IF(ABS((L28-Таблица3[[#This Row],[ф7 *Х^3]])/(L28+Таблица3[[#This Row],[ф7 *Х^3]]))&lt;0.01,1,2))</f>
        <v>0</v>
      </c>
    </row>
    <row r="32" spans="1:41" x14ac:dyDescent="0.35">
      <c r="A32" s="144" t="s">
        <v>81</v>
      </c>
      <c r="B32" s="144" t="s">
        <v>63</v>
      </c>
      <c r="C32" s="242">
        <v>298.14999999999998</v>
      </c>
      <c r="D32" s="242">
        <v>947.99990000000003</v>
      </c>
      <c r="E32" s="243">
        <v>-0.82987549999999999</v>
      </c>
      <c r="F32" s="243">
        <v>22.446940000000001</v>
      </c>
      <c r="G32" s="243">
        <v>5.4242590000000002</v>
      </c>
      <c r="H32" s="243">
        <v>0</v>
      </c>
      <c r="I32" s="243">
        <v>0.17049120000000001</v>
      </c>
      <c r="J32" s="243">
        <v>9.8622890000000005</v>
      </c>
      <c r="K32" s="243">
        <v>0</v>
      </c>
      <c r="L32" s="243">
        <v>0</v>
      </c>
      <c r="M32" s="261">
        <f t="shared" si="1"/>
        <v>1</v>
      </c>
      <c r="O32" s="144" t="s">
        <v>121</v>
      </c>
      <c r="P32" s="144" t="s">
        <v>63</v>
      </c>
      <c r="Q32" s="242">
        <v>298.14999999999998</v>
      </c>
      <c r="R32" s="242">
        <v>500</v>
      </c>
      <c r="S32" s="144">
        <v>-2.9538579229057667</v>
      </c>
      <c r="T32" s="144">
        <v>113.71055690608316</v>
      </c>
      <c r="U32" s="144">
        <v>28.457033244452461</v>
      </c>
      <c r="V32" s="144">
        <v>-5.8145408623489088E-4</v>
      </c>
      <c r="W32" s="144">
        <v>0.75416836346922789</v>
      </c>
      <c r="X32" s="144">
        <v>-232.41265214011662</v>
      </c>
      <c r="Y32" s="144">
        <v>1383.1599414677171</v>
      </c>
      <c r="Z32" s="144">
        <v>0</v>
      </c>
      <c r="AA32" s="242">
        <v>1</v>
      </c>
      <c r="AC32" s="145" t="str">
        <f t="shared" si="3"/>
        <v>Ge3Se4</v>
      </c>
      <c r="AD32" s="247" t="str">
        <f>Таблица3[[#This Row],[Вещество]]</f>
        <v>Ge3Se4</v>
      </c>
      <c r="AE32" s="247">
        <f>IF(B29=Таблица3[[#This Row],[Фаза]],0,2)</f>
        <v>0</v>
      </c>
      <c r="AF32" s="247">
        <f>IF(C29=Таблица3[[#This Row],[To]],0,IF(ABS((C29-Таблица3[[#This Row],[To]])/(C29+Таблица3[[#This Row],[To]]))&lt;0.01,1,2))</f>
        <v>0</v>
      </c>
      <c r="AG32" s="247">
        <f>IF(D29=Таблица3[[#This Row],[T]],0,IF(ABS((D29-Таблица3[[#This Row],[T]])/(D29+Таблица3[[#This Row],[T]]))&lt;0.01,1,2))</f>
        <v>1</v>
      </c>
      <c r="AH32" s="247">
        <f>IF(E29=Таблица3[[#This Row],[ho]],0,IF(ABS((E29-Таблица3[[#This Row],[ho]])/(E29+Таблица3[[#This Row],[ho]]))&lt;0.01,1,2))</f>
        <v>1</v>
      </c>
      <c r="AI32" s="247">
        <f>IF(F29=Таблица3[[#This Row],[ф1]],0,IF(ABS((F29-Таблица3[[#This Row],[ф1]])/(F29+Таблица3[[#This Row],[ф1]]))&lt;0.01,1,2))</f>
        <v>1</v>
      </c>
      <c r="AJ32" s="247">
        <f>IF(G29=Таблица3[[#This Row],[ф2 *lnX]],0,IF(ABS((G29-Таблица3[[#This Row],[ф2 *lnX]])/(G29+Таблица3[[#This Row],[ф2 *lnX]]))&lt;0.01,1,2))</f>
        <v>1</v>
      </c>
      <c r="AK32" s="247">
        <f>IF(H29=Таблица3[[#This Row],[ф3 *X^(-2)]],0,IF(ABS((H29-Таблица3[[#This Row],[ф3 *X^(-2)]])/(H29+Таблица3[[#This Row],[ф3 *X^(-2)]]))&lt;0.01,1,2))</f>
        <v>1</v>
      </c>
      <c r="AL32" s="247">
        <f>IF(I29=Таблица3[[#This Row],[ф4 *X^(-1)]],0,IF(ABS((I29-Таблица3[[#This Row],[ф4 *X^(-1)]])/(I29+Таблица3[[#This Row],[ф4 *X^(-1)]]))&lt;0.01,1,2))</f>
        <v>1</v>
      </c>
      <c r="AM32" s="247">
        <f>IF(J29=Таблица3[[#This Row],[ф5 *X]],0,IF(ABS((J29-Таблица3[[#This Row],[ф5 *X]])/(J29+Таблица3[[#This Row],[ф5 *X]]))&lt;0.01,1,2))</f>
        <v>1</v>
      </c>
      <c r="AN32" s="247">
        <f>IF(K29=Таблица3[[#This Row],[ф6 *X^2]],0,IF(ABS((K29-Таблица3[[#This Row],[ф6 *X^2]])/(K29+Таблица3[[#This Row],[ф6 *X^2]]))&lt;0.01,1,2))</f>
        <v>1</v>
      </c>
      <c r="AO32" s="247">
        <f>IF(L29=Таблица3[[#This Row],[ф7 *Х^3]],0,IF(ABS((L29-Таблица3[[#This Row],[ф7 *Х^3]])/(L29+Таблица3[[#This Row],[ф7 *Х^3]]))&lt;0.01,1,2))</f>
        <v>0</v>
      </c>
    </row>
    <row r="33" spans="1:41" x14ac:dyDescent="0.35">
      <c r="A33" s="144" t="s">
        <v>82</v>
      </c>
      <c r="B33" s="144" t="s">
        <v>63</v>
      </c>
      <c r="C33" s="242">
        <v>298.14999999999998</v>
      </c>
      <c r="D33" s="242">
        <v>1013</v>
      </c>
      <c r="E33" s="243">
        <v>-1.3591</v>
      </c>
      <c r="F33" s="243">
        <v>31.553999999999998</v>
      </c>
      <c r="G33" s="243">
        <v>7.5639000000000003</v>
      </c>
      <c r="H33" s="243">
        <v>0</v>
      </c>
      <c r="I33" s="243">
        <v>0.24035000000000001</v>
      </c>
      <c r="J33" s="243">
        <v>16.681999999999999</v>
      </c>
      <c r="K33" s="243">
        <v>0</v>
      </c>
      <c r="L33" s="243">
        <v>0</v>
      </c>
      <c r="M33" s="261">
        <f t="shared" si="1"/>
        <v>1</v>
      </c>
      <c r="O33" s="144" t="s">
        <v>120</v>
      </c>
      <c r="P33" s="144" t="s">
        <v>63</v>
      </c>
      <c r="Q33" s="242">
        <v>298.14999999999998</v>
      </c>
      <c r="R33" s="242">
        <v>500</v>
      </c>
      <c r="S33" s="144">
        <v>-3.7810713933489688</v>
      </c>
      <c r="T33" s="144">
        <v>136.15749690608317</v>
      </c>
      <c r="U33" s="144">
        <v>33.881292244452467</v>
      </c>
      <c r="V33" s="144">
        <v>-5.8145408623489088E-4</v>
      </c>
      <c r="W33" s="144">
        <v>0.92465956346922784</v>
      </c>
      <c r="X33" s="144">
        <v>-222.55036314011662</v>
      </c>
      <c r="Y33" s="144">
        <v>1383.1599414677171</v>
      </c>
      <c r="Z33" s="144">
        <v>0</v>
      </c>
      <c r="AA33" s="242">
        <v>1</v>
      </c>
      <c r="AC33" s="145" t="str">
        <f t="shared" si="3"/>
        <v>Ge4Se5</v>
      </c>
      <c r="AD33" s="247" t="str">
        <f>Таблица3[[#This Row],[Вещество]]</f>
        <v>Ge4Se5</v>
      </c>
      <c r="AE33" s="247">
        <f>IF(B30=Таблица3[[#This Row],[Фаза]],0,2)</f>
        <v>0</v>
      </c>
      <c r="AF33" s="247">
        <f>IF(C30=Таблица3[[#This Row],[To]],0,IF(ABS((C30-Таблица3[[#This Row],[To]])/(C30+Таблица3[[#This Row],[To]]))&lt;0.01,1,2))</f>
        <v>0</v>
      </c>
      <c r="AG33" s="247">
        <f>IF(D30=Таблица3[[#This Row],[T]],0,IF(ABS((D30-Таблица3[[#This Row],[T]])/(D30+Таблица3[[#This Row],[T]]))&lt;0.01,1,2))</f>
        <v>1</v>
      </c>
      <c r="AH33" s="247">
        <f>IF(E30=Таблица3[[#This Row],[ho]],0,IF(ABS((E30-Таблица3[[#This Row],[ho]])/(E30+Таблица3[[#This Row],[ho]]))&lt;0.01,1,2))</f>
        <v>1</v>
      </c>
      <c r="AI33" s="247">
        <f>IF(F30=Таблица3[[#This Row],[ф1]],0,IF(ABS((F30-Таблица3[[#This Row],[ф1]])/(F30+Таблица3[[#This Row],[ф1]]))&lt;0.01,1,2))</f>
        <v>1</v>
      </c>
      <c r="AJ33" s="247">
        <f>IF(G30=Таблица3[[#This Row],[ф2 *lnX]],0,IF(ABS((G30-Таблица3[[#This Row],[ф2 *lnX]])/(G30+Таблица3[[#This Row],[ф2 *lnX]]))&lt;0.01,1,2))</f>
        <v>1</v>
      </c>
      <c r="AK33" s="247">
        <f>IF(H30=Таблица3[[#This Row],[ф3 *X^(-2)]],0,IF(ABS((H30-Таблица3[[#This Row],[ф3 *X^(-2)]])/(H30+Таблица3[[#This Row],[ф3 *X^(-2)]]))&lt;0.01,1,2))</f>
        <v>1</v>
      </c>
      <c r="AL33" s="247">
        <f>IF(I30=Таблица3[[#This Row],[ф4 *X^(-1)]],0,IF(ABS((I30-Таблица3[[#This Row],[ф4 *X^(-1)]])/(I30+Таблица3[[#This Row],[ф4 *X^(-1)]]))&lt;0.01,1,2))</f>
        <v>1</v>
      </c>
      <c r="AM33" s="247">
        <f>IF(J30=Таблица3[[#This Row],[ф5 *X]],0,IF(ABS((J30-Таблица3[[#This Row],[ф5 *X]])/(J30+Таблица3[[#This Row],[ф5 *X]]))&lt;0.01,1,2))</f>
        <v>1</v>
      </c>
      <c r="AN33" s="247">
        <f>IF(K30=Таблица3[[#This Row],[ф6 *X^2]],0,IF(ABS((K30-Таблица3[[#This Row],[ф6 *X^2]])/(K30+Таблица3[[#This Row],[ф6 *X^2]]))&lt;0.01,1,2))</f>
        <v>1</v>
      </c>
      <c r="AO33" s="247">
        <f>IF(L30=Таблица3[[#This Row],[ф7 *Х^3]],0,IF(ABS((L30-Таблица3[[#This Row],[ф7 *Х^3]])/(L30+Таблица3[[#This Row],[ф7 *Х^3]]))&lt;0.01,1,2))</f>
        <v>0</v>
      </c>
    </row>
    <row r="34" spans="1:41" x14ac:dyDescent="0.35">
      <c r="A34" s="144" t="s">
        <v>82</v>
      </c>
      <c r="B34" s="144" t="s">
        <v>63</v>
      </c>
      <c r="C34" s="242">
        <v>298.14999999999998</v>
      </c>
      <c r="D34" s="242">
        <v>350</v>
      </c>
      <c r="E34" s="243">
        <v>-1.3591</v>
      </c>
      <c r="F34" s="243">
        <v>68.819999999999993</v>
      </c>
      <c r="G34" s="243">
        <v>17.670000000000002</v>
      </c>
      <c r="H34" s="243">
        <v>-5.8149999999999999E-4</v>
      </c>
      <c r="I34" s="243">
        <v>0.41320000000000001</v>
      </c>
      <c r="J34" s="243">
        <v>-252.1001</v>
      </c>
      <c r="K34" s="243">
        <v>1383</v>
      </c>
      <c r="L34" s="243">
        <v>0</v>
      </c>
      <c r="M34" s="261">
        <f t="shared" si="1"/>
        <v>1</v>
      </c>
      <c r="O34" s="144" t="s">
        <v>81</v>
      </c>
      <c r="P34" s="144" t="s">
        <v>61</v>
      </c>
      <c r="Q34" s="242">
        <v>298.14999999999998</v>
      </c>
      <c r="R34" s="242">
        <v>2000</v>
      </c>
      <c r="S34" s="144">
        <v>1.2677</v>
      </c>
      <c r="T34" s="144">
        <v>11.071</v>
      </c>
      <c r="U34" s="144">
        <v>4.4489000000000001</v>
      </c>
      <c r="V34" s="144">
        <v>-1.0823999999999999E-4</v>
      </c>
      <c r="W34" s="144">
        <v>0.13999</v>
      </c>
      <c r="X34" s="144">
        <v>0.10223</v>
      </c>
      <c r="Y34" s="144">
        <v>0</v>
      </c>
      <c r="Z34" s="144">
        <v>0</v>
      </c>
      <c r="AA34" s="242">
        <v>1</v>
      </c>
      <c r="AC34" s="145" t="str">
        <f t="shared" si="3"/>
        <v>GeSe</v>
      </c>
      <c r="AD34" s="247" t="str">
        <f>Таблица3[[#This Row],[Вещество]]</f>
        <v>GeSe</v>
      </c>
      <c r="AE34" s="247">
        <f>IF(B31=Таблица3[[#This Row],[Фаза]],0,2)</f>
        <v>0</v>
      </c>
      <c r="AF34" s="247">
        <f>IF(C31=Таблица3[[#This Row],[To]],0,IF(ABS((C31-Таблица3[[#This Row],[To]])/(C31+Таблица3[[#This Row],[To]]))&lt;0.01,1,2))</f>
        <v>0</v>
      </c>
      <c r="AG34" s="247">
        <f>IF(D31=Таблица3[[#This Row],[T]],0,IF(ABS((D31-Таблица3[[#This Row],[T]])/(D31+Таблица3[[#This Row],[T]]))&lt;0.01,1,2))</f>
        <v>0</v>
      </c>
      <c r="AH34" s="247">
        <f>IF(E31=Таблица3[[#This Row],[ho]],0,IF(ABS((E31-Таблица3[[#This Row],[ho]])/(E31+Таблица3[[#This Row],[ho]]))&lt;0.01,1,2))</f>
        <v>0</v>
      </c>
      <c r="AI34" s="247">
        <f>IF(F31=Таблица3[[#This Row],[ф1]],0,IF(ABS((F31-Таблица3[[#This Row],[ф1]])/(F31+Таблица3[[#This Row],[ф1]]))&lt;0.01,1,2))</f>
        <v>0</v>
      </c>
      <c r="AJ34" s="247">
        <f>IF(G31=Таблица3[[#This Row],[ф2 *lnX]],0,IF(ABS((G31-Таблица3[[#This Row],[ф2 *lnX]])/(G31+Таблица3[[#This Row],[ф2 *lnX]]))&lt;0.01,1,2))</f>
        <v>0</v>
      </c>
      <c r="AK34" s="247">
        <f>IF(H31=Таблица3[[#This Row],[ф3 *X^(-2)]],0,IF(ABS((H31-Таблица3[[#This Row],[ф3 *X^(-2)]])/(H31+Таблица3[[#This Row],[ф3 *X^(-2)]]))&lt;0.01,1,2))</f>
        <v>0</v>
      </c>
      <c r="AL34" s="247">
        <f>IF(I31=Таблица3[[#This Row],[ф4 *X^(-1)]],0,IF(ABS((I31-Таблица3[[#This Row],[ф4 *X^(-1)]])/(I31+Таблица3[[#This Row],[ф4 *X^(-1)]]))&lt;0.01,1,2))</f>
        <v>0</v>
      </c>
      <c r="AM34" s="247">
        <f>IF(J31=Таблица3[[#This Row],[ф5 *X]],0,IF(ABS((J31-Таблица3[[#This Row],[ф5 *X]])/(J31+Таблица3[[#This Row],[ф5 *X]]))&lt;0.01,1,2))</f>
        <v>0</v>
      </c>
      <c r="AN34" s="247">
        <f>IF(K31=Таблица3[[#This Row],[ф6 *X^2]],0,IF(ABS((K31-Таблица3[[#This Row],[ф6 *X^2]])/(K31+Таблица3[[#This Row],[ф6 *X^2]]))&lt;0.01,1,2))</f>
        <v>0</v>
      </c>
      <c r="AO34" s="247">
        <f>IF(L31=Таблица3[[#This Row],[ф7 *Х^3]],0,IF(ABS((L31-Таблица3[[#This Row],[ф7 *Х^3]])/(L31+Таблица3[[#This Row],[ф7 *Х^3]]))&lt;0.01,1,2))</f>
        <v>0</v>
      </c>
    </row>
    <row r="35" spans="1:41" x14ac:dyDescent="0.35">
      <c r="A35" s="144" t="s">
        <v>82</v>
      </c>
      <c r="B35" s="144" t="s">
        <v>63</v>
      </c>
      <c r="C35" s="242">
        <v>350</v>
      </c>
      <c r="D35" s="242">
        <v>420</v>
      </c>
      <c r="E35" s="243">
        <v>-1.359</v>
      </c>
      <c r="F35" s="243">
        <v>12.05</v>
      </c>
      <c r="G35" s="243">
        <v>1.762</v>
      </c>
      <c r="H35" s="243">
        <v>0</v>
      </c>
      <c r="I35" s="243">
        <v>0.14510000000000001</v>
      </c>
      <c r="J35" s="243">
        <v>105.7</v>
      </c>
      <c r="K35" s="243">
        <v>0</v>
      </c>
      <c r="L35" s="243">
        <v>0</v>
      </c>
      <c r="M35" s="261">
        <f t="shared" si="1"/>
        <v>1</v>
      </c>
      <c r="O35" s="144" t="s">
        <v>81</v>
      </c>
      <c r="P35" s="144" t="s">
        <v>63</v>
      </c>
      <c r="Q35" s="242">
        <v>298.14999999999998</v>
      </c>
      <c r="R35" s="242">
        <v>947.99990000000003</v>
      </c>
      <c r="S35" s="144">
        <v>-0.82987549999999999</v>
      </c>
      <c r="T35" s="144">
        <v>22.446940000000001</v>
      </c>
      <c r="U35" s="144">
        <v>5.4242590000000002</v>
      </c>
      <c r="V35" s="144">
        <v>0</v>
      </c>
      <c r="W35" s="144">
        <v>0.17049120000000001</v>
      </c>
      <c r="X35" s="144">
        <v>9.8622890000000005</v>
      </c>
      <c r="Y35" s="144">
        <v>0</v>
      </c>
      <c r="Z35" s="144">
        <v>0</v>
      </c>
      <c r="AA35" s="242">
        <v>1</v>
      </c>
      <c r="AC35" s="145" t="str">
        <f t="shared" si="3"/>
        <v>GeSe</v>
      </c>
      <c r="AD35" s="247" t="str">
        <f>Таблица3[[#This Row],[Вещество]]</f>
        <v>GeSe</v>
      </c>
      <c r="AE35" s="247">
        <f>IF(B32=Таблица3[[#This Row],[Фаза]],0,2)</f>
        <v>0</v>
      </c>
      <c r="AF35" s="247">
        <f>IF(C32=Таблица3[[#This Row],[To]],0,IF(ABS((C32-Таблица3[[#This Row],[To]])/(C32+Таблица3[[#This Row],[To]]))&lt;0.01,1,2))</f>
        <v>0</v>
      </c>
      <c r="AG35" s="247">
        <f>IF(D32=Таблица3[[#This Row],[T]],0,IF(ABS((D32-Таблица3[[#This Row],[T]])/(D32+Таблица3[[#This Row],[T]]))&lt;0.01,1,2))</f>
        <v>0</v>
      </c>
      <c r="AH35" s="247">
        <f>IF(E32=Таблица3[[#This Row],[ho]],0,IF(ABS((E32-Таблица3[[#This Row],[ho]])/(E32+Таблица3[[#This Row],[ho]]))&lt;0.01,1,2))</f>
        <v>0</v>
      </c>
      <c r="AI35" s="247">
        <f>IF(F32=Таблица3[[#This Row],[ф1]],0,IF(ABS((F32-Таблица3[[#This Row],[ф1]])/(F32+Таблица3[[#This Row],[ф1]]))&lt;0.01,1,2))</f>
        <v>0</v>
      </c>
      <c r="AJ35" s="247">
        <f>IF(G32=Таблица3[[#This Row],[ф2 *lnX]],0,IF(ABS((G32-Таблица3[[#This Row],[ф2 *lnX]])/(G32+Таблица3[[#This Row],[ф2 *lnX]]))&lt;0.01,1,2))</f>
        <v>0</v>
      </c>
      <c r="AK35" s="247">
        <f>IF(H32=Таблица3[[#This Row],[ф3 *X^(-2)]],0,IF(ABS((H32-Таблица3[[#This Row],[ф3 *X^(-2)]])/(H32+Таблица3[[#This Row],[ф3 *X^(-2)]]))&lt;0.01,1,2))</f>
        <v>0</v>
      </c>
      <c r="AL35" s="247">
        <f>IF(I32=Таблица3[[#This Row],[ф4 *X^(-1)]],0,IF(ABS((I32-Таблица3[[#This Row],[ф4 *X^(-1)]])/(I32+Таблица3[[#This Row],[ф4 *X^(-1)]]))&lt;0.01,1,2))</f>
        <v>0</v>
      </c>
      <c r="AM35" s="247">
        <f>IF(J32=Таблица3[[#This Row],[ф5 *X]],0,IF(ABS((J32-Таблица3[[#This Row],[ф5 *X]])/(J32+Таблица3[[#This Row],[ф5 *X]]))&lt;0.01,1,2))</f>
        <v>0</v>
      </c>
      <c r="AN35" s="247">
        <f>IF(K32=Таблица3[[#This Row],[ф6 *X^2]],0,IF(ABS((K32-Таблица3[[#This Row],[ф6 *X^2]])/(K32+Таблица3[[#This Row],[ф6 *X^2]]))&lt;0.01,1,2))</f>
        <v>0</v>
      </c>
      <c r="AO35" s="247">
        <f>IF(L32=Таблица3[[#This Row],[ф7 *Х^3]],0,IF(ABS((L32-Таблица3[[#This Row],[ф7 *Х^3]])/(L32+Таблица3[[#This Row],[ф7 *Х^3]]))&lt;0.01,1,2))</f>
        <v>0</v>
      </c>
    </row>
    <row r="36" spans="1:41" x14ac:dyDescent="0.35">
      <c r="A36" s="144" t="s">
        <v>82</v>
      </c>
      <c r="B36" s="144" t="s">
        <v>63</v>
      </c>
      <c r="C36" s="242">
        <v>420</v>
      </c>
      <c r="D36" s="242">
        <v>450</v>
      </c>
      <c r="E36" s="243">
        <v>-1.359</v>
      </c>
      <c r="F36" s="243">
        <v>38.770000000000003</v>
      </c>
      <c r="G36" s="243">
        <v>9.9830000000000005</v>
      </c>
      <c r="H36" s="243">
        <v>0</v>
      </c>
      <c r="I36" s="243">
        <v>0.3039</v>
      </c>
      <c r="J36" s="243">
        <v>0</v>
      </c>
      <c r="K36" s="243">
        <v>0</v>
      </c>
      <c r="L36" s="243">
        <v>0</v>
      </c>
      <c r="M36" s="261">
        <f t="shared" si="1"/>
        <v>1</v>
      </c>
      <c r="O36" s="144" t="s">
        <v>82</v>
      </c>
      <c r="P36" s="144" t="s">
        <v>63</v>
      </c>
      <c r="Q36" s="242">
        <v>298.14999999999998</v>
      </c>
      <c r="R36" s="242">
        <v>1013</v>
      </c>
      <c r="S36" s="144">
        <v>-1.3591</v>
      </c>
      <c r="T36" s="144">
        <v>31.553999999999998</v>
      </c>
      <c r="U36" s="144">
        <v>7.5639000000000003</v>
      </c>
      <c r="V36" s="144">
        <v>0</v>
      </c>
      <c r="W36" s="144">
        <v>0.24035000000000001</v>
      </c>
      <c r="X36" s="144">
        <v>16.681999999999999</v>
      </c>
      <c r="Y36" s="144">
        <v>0</v>
      </c>
      <c r="Z36" s="144">
        <v>0</v>
      </c>
      <c r="AA36" s="242">
        <v>1</v>
      </c>
      <c r="AC36" s="145" t="str">
        <f t="shared" si="3"/>
        <v>GeSe2</v>
      </c>
      <c r="AD36" s="247" t="str">
        <f>Таблица3[[#This Row],[Вещество]]</f>
        <v>GeSe2</v>
      </c>
      <c r="AE36" s="247">
        <f>IF(B33=Таблица3[[#This Row],[Фаза]],0,2)</f>
        <v>0</v>
      </c>
      <c r="AF36" s="247">
        <f>IF(C33=Таблица3[[#This Row],[To]],0,IF(ABS((C33-Таблица3[[#This Row],[To]])/(C33+Таблица3[[#This Row],[To]]))&lt;0.01,1,2))</f>
        <v>0</v>
      </c>
      <c r="AG36" s="247">
        <f>IF(D33=Таблица3[[#This Row],[T]],0,IF(ABS((D33-Таблица3[[#This Row],[T]])/(D33+Таблица3[[#This Row],[T]]))&lt;0.01,1,2))</f>
        <v>0</v>
      </c>
      <c r="AH36" s="247">
        <f>IF(E33=Таблица3[[#This Row],[ho]],0,IF(ABS((E33-Таблица3[[#This Row],[ho]])/(E33+Таблица3[[#This Row],[ho]]))&lt;0.01,1,2))</f>
        <v>0</v>
      </c>
      <c r="AI36" s="247">
        <f>IF(F33=Таблица3[[#This Row],[ф1]],0,IF(ABS((F33-Таблица3[[#This Row],[ф1]])/(F33+Таблица3[[#This Row],[ф1]]))&lt;0.01,1,2))</f>
        <v>0</v>
      </c>
      <c r="AJ36" s="247">
        <f>IF(G33=Таблица3[[#This Row],[ф2 *lnX]],0,IF(ABS((G33-Таблица3[[#This Row],[ф2 *lnX]])/(G33+Таблица3[[#This Row],[ф2 *lnX]]))&lt;0.01,1,2))</f>
        <v>0</v>
      </c>
      <c r="AK36" s="247">
        <f>IF(H33=Таблица3[[#This Row],[ф3 *X^(-2)]],0,IF(ABS((H33-Таблица3[[#This Row],[ф3 *X^(-2)]])/(H33+Таблица3[[#This Row],[ф3 *X^(-2)]]))&lt;0.01,1,2))</f>
        <v>0</v>
      </c>
      <c r="AL36" s="247">
        <f>IF(I33=Таблица3[[#This Row],[ф4 *X^(-1)]],0,IF(ABS((I33-Таблица3[[#This Row],[ф4 *X^(-1)]])/(I33+Таблица3[[#This Row],[ф4 *X^(-1)]]))&lt;0.01,1,2))</f>
        <v>0</v>
      </c>
      <c r="AM36" s="247">
        <f>IF(J33=Таблица3[[#This Row],[ф5 *X]],0,IF(ABS((J33-Таблица3[[#This Row],[ф5 *X]])/(J33+Таблица3[[#This Row],[ф5 *X]]))&lt;0.01,1,2))</f>
        <v>0</v>
      </c>
      <c r="AN36" s="247">
        <f>IF(K33=Таблица3[[#This Row],[ф6 *X^2]],0,IF(ABS((K33-Таблица3[[#This Row],[ф6 *X^2]])/(K33+Таблица3[[#This Row],[ф6 *X^2]]))&lt;0.01,1,2))</f>
        <v>0</v>
      </c>
      <c r="AO36" s="247">
        <f>IF(L33=Таблица3[[#This Row],[ф7 *Х^3]],0,IF(ABS((L33-Таблица3[[#This Row],[ф7 *Х^3]])/(L33+Таблица3[[#This Row],[ф7 *Х^3]]))&lt;0.01,1,2))</f>
        <v>0</v>
      </c>
    </row>
    <row r="37" spans="1:41" x14ac:dyDescent="0.35">
      <c r="A37" s="144" t="s">
        <v>82</v>
      </c>
      <c r="B37" s="144" t="s">
        <v>63</v>
      </c>
      <c r="C37" s="242">
        <v>450</v>
      </c>
      <c r="D37" s="242">
        <v>899.99990000000003</v>
      </c>
      <c r="E37" s="243">
        <v>-1.359</v>
      </c>
      <c r="F37" s="243">
        <v>18.36</v>
      </c>
      <c r="G37" s="243">
        <v>2.0299999999999998</v>
      </c>
      <c r="H37" s="243">
        <v>2.7360000000000002E-3</v>
      </c>
      <c r="I37" s="243">
        <v>-6.5769999999999995E-2</v>
      </c>
      <c r="J37" s="243">
        <v>61.46</v>
      </c>
      <c r="K37" s="243">
        <v>-80.110010000000003</v>
      </c>
      <c r="L37" s="243">
        <v>0</v>
      </c>
      <c r="M37" s="261">
        <f t="shared" si="1"/>
        <v>1</v>
      </c>
      <c r="O37" s="144" t="s">
        <v>82</v>
      </c>
      <c r="P37" s="144" t="s">
        <v>63</v>
      </c>
      <c r="Q37" s="242">
        <v>298.14999999999998</v>
      </c>
      <c r="R37" s="242">
        <v>350</v>
      </c>
      <c r="S37" s="144">
        <v>-1.3586866317878405</v>
      </c>
      <c r="T37" s="144">
        <v>68.816676906083146</v>
      </c>
      <c r="U37" s="144">
        <v>17.608515244452462</v>
      </c>
      <c r="V37" s="144">
        <v>-5.8145408623489088E-4</v>
      </c>
      <c r="W37" s="144">
        <v>0.41318596346922787</v>
      </c>
      <c r="X37" s="144">
        <v>-252.13723014011663</v>
      </c>
      <c r="Y37" s="144">
        <v>1383.1599414677171</v>
      </c>
      <c r="Z37" s="144">
        <v>0</v>
      </c>
      <c r="AA37" s="242">
        <v>1</v>
      </c>
      <c r="AC37" s="145" t="str">
        <f t="shared" si="3"/>
        <v>GeSe2</v>
      </c>
      <c r="AD37" s="247" t="str">
        <f>Таблица3[[#This Row],[Вещество]]</f>
        <v>GeSe2</v>
      </c>
      <c r="AE37" s="247">
        <f>IF(B34=Таблица3[[#This Row],[Фаза]],0,2)</f>
        <v>0</v>
      </c>
      <c r="AF37" s="247">
        <f>IF(C34=Таблица3[[#This Row],[To]],0,IF(ABS((C34-Таблица3[[#This Row],[To]])/(C34+Таблица3[[#This Row],[To]]))&lt;0.01,1,2))</f>
        <v>0</v>
      </c>
      <c r="AG37" s="247">
        <f>IF(D34=Таблица3[[#This Row],[T]],0,IF(ABS((D34-Таблица3[[#This Row],[T]])/(D34+Таблица3[[#This Row],[T]]))&lt;0.01,1,2))</f>
        <v>0</v>
      </c>
      <c r="AH37" s="247">
        <f>IF(E34=Таблица3[[#This Row],[ho]],0,IF(ABS((E34-Таблица3[[#This Row],[ho]])/(E34+Таблица3[[#This Row],[ho]]))&lt;0.01,1,2))</f>
        <v>1</v>
      </c>
      <c r="AI37" s="247">
        <f>IF(F34=Таблица3[[#This Row],[ф1]],0,IF(ABS((F34-Таблица3[[#This Row],[ф1]])/(F34+Таблица3[[#This Row],[ф1]]))&lt;0.01,1,2))</f>
        <v>1</v>
      </c>
      <c r="AJ37" s="247">
        <f>IF(G34=Таблица3[[#This Row],[ф2 *lnX]],0,IF(ABS((G34-Таблица3[[#This Row],[ф2 *lnX]])/(G34+Таблица3[[#This Row],[ф2 *lnX]]))&lt;0.01,1,2))</f>
        <v>1</v>
      </c>
      <c r="AK37" s="247">
        <f>IF(H34=Таблица3[[#This Row],[ф3 *X^(-2)]],0,IF(ABS((H34-Таблица3[[#This Row],[ф3 *X^(-2)]])/(H34+Таблица3[[#This Row],[ф3 *X^(-2)]]))&lt;0.01,1,2))</f>
        <v>1</v>
      </c>
      <c r="AL37" s="247">
        <f>IF(I34=Таблица3[[#This Row],[ф4 *X^(-1)]],0,IF(ABS((I34-Таблица3[[#This Row],[ф4 *X^(-1)]])/(I34+Таблица3[[#This Row],[ф4 *X^(-1)]]))&lt;0.01,1,2))</f>
        <v>1</v>
      </c>
      <c r="AM37" s="247">
        <f>IF(J34=Таблица3[[#This Row],[ф5 *X]],0,IF(ABS((J34-Таблица3[[#This Row],[ф5 *X]])/(J34+Таблица3[[#This Row],[ф5 *X]]))&lt;0.01,1,2))</f>
        <v>1</v>
      </c>
      <c r="AN37" s="247">
        <f>IF(K34=Таблица3[[#This Row],[ф6 *X^2]],0,IF(ABS((K34-Таблица3[[#This Row],[ф6 *X^2]])/(K34+Таблица3[[#This Row],[ф6 *X^2]]))&lt;0.01,1,2))</f>
        <v>1</v>
      </c>
      <c r="AO37" s="247">
        <f>IF(L34=Таблица3[[#This Row],[ф7 *Х^3]],0,IF(ABS((L34-Таблица3[[#This Row],[ф7 *Х^3]])/(L34+Таблица3[[#This Row],[ф7 *Х^3]]))&lt;0.01,1,2))</f>
        <v>0</v>
      </c>
    </row>
    <row r="38" spans="1:41" x14ac:dyDescent="0.35">
      <c r="A38" s="144" t="s">
        <v>64</v>
      </c>
      <c r="B38" s="144" t="s">
        <v>61</v>
      </c>
      <c r="C38" s="242">
        <v>298.14999999999998</v>
      </c>
      <c r="D38" s="242">
        <v>1500</v>
      </c>
      <c r="E38" s="243">
        <v>2.783115</v>
      </c>
      <c r="F38" s="243">
        <v>25.378499999999999</v>
      </c>
      <c r="G38" s="243">
        <v>1.797085</v>
      </c>
      <c r="H38" s="243">
        <v>1.090393E-4</v>
      </c>
      <c r="I38" s="243">
        <v>-2.1003919999999999E-2</v>
      </c>
      <c r="J38" s="243">
        <v>9.1604179999999999</v>
      </c>
      <c r="K38" s="243">
        <v>-16.28604</v>
      </c>
      <c r="L38" s="243">
        <v>12.30222</v>
      </c>
      <c r="M38" s="261">
        <f t="shared" si="1"/>
        <v>1</v>
      </c>
      <c r="O38" s="144" t="s">
        <v>82</v>
      </c>
      <c r="P38" s="144" t="s">
        <v>63</v>
      </c>
      <c r="Q38" s="242">
        <v>350</v>
      </c>
      <c r="R38" s="242">
        <v>420</v>
      </c>
      <c r="S38" s="144">
        <v>-1.3586866317878405</v>
      </c>
      <c r="T38" s="144">
        <v>12.046908589131874</v>
      </c>
      <c r="U38" s="144">
        <v>1.7622226231282696</v>
      </c>
      <c r="V38" s="144">
        <v>0</v>
      </c>
      <c r="W38" s="144">
        <v>0.14511938535984314</v>
      </c>
      <c r="X38" s="144">
        <v>105.72854651512418</v>
      </c>
      <c r="Y38" s="144">
        <v>0</v>
      </c>
      <c r="Z38" s="144">
        <v>0</v>
      </c>
      <c r="AA38" s="242">
        <v>1</v>
      </c>
      <c r="AC38" s="145" t="str">
        <f t="shared" si="3"/>
        <v>GeSe2</v>
      </c>
      <c r="AD38" s="247" t="str">
        <f>Таблица3[[#This Row],[Вещество]]</f>
        <v>GeSe2</v>
      </c>
      <c r="AE38" s="247">
        <f>IF(B35=Таблица3[[#This Row],[Фаза]],0,2)</f>
        <v>0</v>
      </c>
      <c r="AF38" s="247">
        <f>IF(C35=Таблица3[[#This Row],[To]],0,IF(ABS((C35-Таблица3[[#This Row],[To]])/(C35+Таблица3[[#This Row],[To]]))&lt;0.01,1,2))</f>
        <v>0</v>
      </c>
      <c r="AG38" s="247">
        <f>IF(D35=Таблица3[[#This Row],[T]],0,IF(ABS((D35-Таблица3[[#This Row],[T]])/(D35+Таблица3[[#This Row],[T]]))&lt;0.01,1,2))</f>
        <v>0</v>
      </c>
      <c r="AH38" s="247">
        <f>IF(E35=Таблица3[[#This Row],[ho]],0,IF(ABS((E35-Таблица3[[#This Row],[ho]])/(E35+Таблица3[[#This Row],[ho]]))&lt;0.01,1,2))</f>
        <v>1</v>
      </c>
      <c r="AI38" s="247">
        <f>IF(F35=Таблица3[[#This Row],[ф1]],0,IF(ABS((F35-Таблица3[[#This Row],[ф1]])/(F35+Таблица3[[#This Row],[ф1]]))&lt;0.01,1,2))</f>
        <v>1</v>
      </c>
      <c r="AJ38" s="247">
        <f>IF(G35=Таблица3[[#This Row],[ф2 *lnX]],0,IF(ABS((G35-Таблица3[[#This Row],[ф2 *lnX]])/(G35+Таблица3[[#This Row],[ф2 *lnX]]))&lt;0.01,1,2))</f>
        <v>1</v>
      </c>
      <c r="AK38" s="247">
        <f>IF(H35=Таблица3[[#This Row],[ф3 *X^(-2)]],0,IF(ABS((H35-Таблица3[[#This Row],[ф3 *X^(-2)]])/(H35+Таблица3[[#This Row],[ф3 *X^(-2)]]))&lt;0.01,1,2))</f>
        <v>0</v>
      </c>
      <c r="AL38" s="247">
        <f>IF(I35=Таблица3[[#This Row],[ф4 *X^(-1)]],0,IF(ABS((I35-Таблица3[[#This Row],[ф4 *X^(-1)]])/(I35+Таблица3[[#This Row],[ф4 *X^(-1)]]))&lt;0.01,1,2))</f>
        <v>1</v>
      </c>
      <c r="AM38" s="247">
        <f>IF(J35=Таблица3[[#This Row],[ф5 *X]],0,IF(ABS((J35-Таблица3[[#This Row],[ф5 *X]])/(J35+Таблица3[[#This Row],[ф5 *X]]))&lt;0.01,1,2))</f>
        <v>1</v>
      </c>
      <c r="AN38" s="247">
        <f>IF(K35=Таблица3[[#This Row],[ф6 *X^2]],0,IF(ABS((K35-Таблица3[[#This Row],[ф6 *X^2]])/(K35+Таблица3[[#This Row],[ф6 *X^2]]))&lt;0.01,1,2))</f>
        <v>0</v>
      </c>
      <c r="AO38" s="247">
        <f>IF(L35=Таблица3[[#This Row],[ф7 *Х^3]],0,IF(ABS((L35-Таблица3[[#This Row],[ф7 *Х^3]])/(L35+Таблица3[[#This Row],[ф7 *Х^3]]))&lt;0.01,1,2))</f>
        <v>0</v>
      </c>
    </row>
    <row r="39" spans="1:41" ht="21.75" thickBot="1" x14ac:dyDescent="0.4">
      <c r="A39" s="144" t="s">
        <v>64</v>
      </c>
      <c r="B39" s="144" t="s">
        <v>61</v>
      </c>
      <c r="C39" s="242">
        <v>1500</v>
      </c>
      <c r="D39" s="242">
        <v>10000</v>
      </c>
      <c r="E39" s="243">
        <v>2.783115</v>
      </c>
      <c r="F39" s="243">
        <v>27.619869999999999</v>
      </c>
      <c r="G39" s="243">
        <v>2.4307400000000001</v>
      </c>
      <c r="H39" s="243">
        <v>2.4488410000000002E-3</v>
      </c>
      <c r="I39" s="243">
        <v>-5.4265309999999997E-2</v>
      </c>
      <c r="J39" s="243">
        <v>0.91438399999999997</v>
      </c>
      <c r="K39" s="243">
        <v>-0.4321508</v>
      </c>
      <c r="L39" s="243">
        <v>8.956944E-2</v>
      </c>
      <c r="M39" s="262">
        <f>AA42</f>
        <v>1</v>
      </c>
      <c r="O39" s="144" t="s">
        <v>82</v>
      </c>
      <c r="P39" s="144" t="s">
        <v>63</v>
      </c>
      <c r="Q39" s="242">
        <v>420</v>
      </c>
      <c r="R39" s="242">
        <v>450</v>
      </c>
      <c r="S39" s="144">
        <v>-1.3586866317878405</v>
      </c>
      <c r="T39" s="144">
        <v>38.768510038576053</v>
      </c>
      <c r="U39" s="144">
        <v>9.9832822178122544</v>
      </c>
      <c r="V39" s="144">
        <v>0</v>
      </c>
      <c r="W39" s="144">
        <v>0.30389873228389108</v>
      </c>
      <c r="X39" s="144">
        <v>0</v>
      </c>
      <c r="Y39" s="144">
        <v>0</v>
      </c>
      <c r="Z39" s="144">
        <v>0</v>
      </c>
      <c r="AA39" s="242">
        <v>1</v>
      </c>
      <c r="AC39" s="145" t="str">
        <f t="shared" si="3"/>
        <v>GeSe2</v>
      </c>
      <c r="AD39" s="247" t="str">
        <f>Таблица3[[#This Row],[Вещество]]</f>
        <v>GeSe2</v>
      </c>
      <c r="AE39" s="247">
        <f>IF(B36=Таблица3[[#This Row],[Фаза]],0,2)</f>
        <v>0</v>
      </c>
      <c r="AF39" s="247">
        <f>IF(C36=Таблица3[[#This Row],[To]],0,IF(ABS((C36-Таблица3[[#This Row],[To]])/(C36+Таблица3[[#This Row],[To]]))&lt;0.01,1,2))</f>
        <v>0</v>
      </c>
      <c r="AG39" s="247">
        <f>IF(D36=Таблица3[[#This Row],[T]],0,IF(ABS((D36-Таблица3[[#This Row],[T]])/(D36+Таблица3[[#This Row],[T]]))&lt;0.01,1,2))</f>
        <v>0</v>
      </c>
      <c r="AH39" s="247">
        <f>IF(E36=Таблица3[[#This Row],[ho]],0,IF(ABS((E36-Таблица3[[#This Row],[ho]])/(E36+Таблица3[[#This Row],[ho]]))&lt;0.01,1,2))</f>
        <v>1</v>
      </c>
      <c r="AI39" s="247">
        <f>IF(F36=Таблица3[[#This Row],[ф1]],0,IF(ABS((F36-Таблица3[[#This Row],[ф1]])/(F36+Таблица3[[#This Row],[ф1]]))&lt;0.01,1,2))</f>
        <v>1</v>
      </c>
      <c r="AJ39" s="247">
        <f>IF(G36=Таблица3[[#This Row],[ф2 *lnX]],0,IF(ABS((G36-Таблица3[[#This Row],[ф2 *lnX]])/(G36+Таблица3[[#This Row],[ф2 *lnX]]))&lt;0.01,1,2))</f>
        <v>1</v>
      </c>
      <c r="AK39" s="247">
        <f>IF(H36=Таблица3[[#This Row],[ф3 *X^(-2)]],0,IF(ABS((H36-Таблица3[[#This Row],[ф3 *X^(-2)]])/(H36+Таблица3[[#This Row],[ф3 *X^(-2)]]))&lt;0.01,1,2))</f>
        <v>0</v>
      </c>
      <c r="AL39" s="247">
        <f>IF(I36=Таблица3[[#This Row],[ф4 *X^(-1)]],0,IF(ABS((I36-Таблица3[[#This Row],[ф4 *X^(-1)]])/(I36+Таблица3[[#This Row],[ф4 *X^(-1)]]))&lt;0.01,1,2))</f>
        <v>1</v>
      </c>
      <c r="AM39" s="247">
        <f>IF(J36=Таблица3[[#This Row],[ф5 *X]],0,IF(ABS((J36-Таблица3[[#This Row],[ф5 *X]])/(J36+Таблица3[[#This Row],[ф5 *X]]))&lt;0.01,1,2))</f>
        <v>0</v>
      </c>
      <c r="AN39" s="247">
        <f>IF(K36=Таблица3[[#This Row],[ф6 *X^2]],0,IF(ABS((K36-Таблица3[[#This Row],[ф6 *X^2]])/(K36+Таблица3[[#This Row],[ф6 *X^2]]))&lt;0.01,1,2))</f>
        <v>0</v>
      </c>
      <c r="AO39" s="247">
        <f>IF(L36=Таблица3[[#This Row],[ф7 *Х^3]],0,IF(ABS((L36-Таблица3[[#This Row],[ф7 *Х^3]])/(L36+Таблица3[[#This Row],[ф7 *Х^3]]))&lt;0.01,1,2))</f>
        <v>0</v>
      </c>
    </row>
    <row r="40" spans="1:41" x14ac:dyDescent="0.35">
      <c r="A40" s="145" t="s">
        <v>64</v>
      </c>
      <c r="B40" s="145" t="s">
        <v>58</v>
      </c>
      <c r="C40" s="253">
        <v>494.00009999999997</v>
      </c>
      <c r="D40" s="253">
        <v>1000</v>
      </c>
      <c r="E40" s="254">
        <v>7.4080010000000002E-2</v>
      </c>
      <c r="F40" s="254">
        <v>23.32</v>
      </c>
      <c r="G40" s="254">
        <v>6.3019999999999996</v>
      </c>
      <c r="H40" s="254">
        <v>0</v>
      </c>
      <c r="I40" s="254">
        <v>0.19220000000000001</v>
      </c>
      <c r="J40" s="254">
        <v>-29.83</v>
      </c>
      <c r="K40" s="254">
        <v>64.95</v>
      </c>
      <c r="L40" s="254">
        <v>0</v>
      </c>
      <c r="M40" s="260">
        <f>AA44</f>
        <v>1</v>
      </c>
      <c r="O40" s="144" t="s">
        <v>82</v>
      </c>
      <c r="P40" s="144" t="s">
        <v>63</v>
      </c>
      <c r="Q40" s="242">
        <v>450</v>
      </c>
      <c r="R40" s="242">
        <v>900</v>
      </c>
      <c r="S40" s="144">
        <v>-1.3586866317878405</v>
      </c>
      <c r="T40" s="144">
        <v>18.364758562217371</v>
      </c>
      <c r="U40" s="144">
        <v>2.0299476817607793</v>
      </c>
      <c r="V40" s="144">
        <v>2.736243911239401E-3</v>
      </c>
      <c r="W40" s="144">
        <v>-6.5765806573927721E-2</v>
      </c>
      <c r="X40" s="144">
        <v>61.455288953033858</v>
      </c>
      <c r="Y40" s="144">
        <v>-80.11305550544229</v>
      </c>
      <c r="Z40" s="144">
        <v>0</v>
      </c>
      <c r="AA40" s="242">
        <v>1</v>
      </c>
      <c r="AC40" s="145" t="str">
        <f t="shared" si="3"/>
        <v>GeSe2</v>
      </c>
      <c r="AD40" s="247" t="str">
        <f>Таблица3[[#This Row],[Вещество]]</f>
        <v>GeSe2</v>
      </c>
      <c r="AE40" s="247">
        <f>IF(B37=Таблица3[[#This Row],[Фаза]],0,2)</f>
        <v>0</v>
      </c>
      <c r="AF40" s="247">
        <f>IF(C37=Таблица3[[#This Row],[To]],0,IF(ABS((C37-Таблица3[[#This Row],[To]])/(C37+Таблица3[[#This Row],[To]]))&lt;0.01,1,2))</f>
        <v>0</v>
      </c>
      <c r="AG40" s="247">
        <f>IF(D37=Таблица3[[#This Row],[T]],0,IF(ABS((D37-Таблица3[[#This Row],[T]])/(D37+Таблица3[[#This Row],[T]]))&lt;0.01,1,2))</f>
        <v>1</v>
      </c>
      <c r="AH40" s="247">
        <f>IF(E37=Таблица3[[#This Row],[ho]],0,IF(ABS((E37-Таблица3[[#This Row],[ho]])/(E37+Таблица3[[#This Row],[ho]]))&lt;0.01,1,2))</f>
        <v>1</v>
      </c>
      <c r="AI40" s="247">
        <f>IF(F37=Таблица3[[#This Row],[ф1]],0,IF(ABS((F37-Таблица3[[#This Row],[ф1]])/(F37+Таблица3[[#This Row],[ф1]]))&lt;0.01,1,2))</f>
        <v>1</v>
      </c>
      <c r="AJ40" s="247">
        <f>IF(G37=Таблица3[[#This Row],[ф2 *lnX]],0,IF(ABS((G37-Таблица3[[#This Row],[ф2 *lnX]])/(G37+Таблица3[[#This Row],[ф2 *lnX]]))&lt;0.01,1,2))</f>
        <v>1</v>
      </c>
      <c r="AK40" s="247">
        <f>IF(H37=Таблица3[[#This Row],[ф3 *X^(-2)]],0,IF(ABS((H37-Таблица3[[#This Row],[ф3 *X^(-2)]])/(H37+Таблица3[[#This Row],[ф3 *X^(-2)]]))&lt;0.01,1,2))</f>
        <v>1</v>
      </c>
      <c r="AL40" s="247">
        <f>IF(I37=Таблица3[[#This Row],[ф4 *X^(-1)]],0,IF(ABS((I37-Таблица3[[#This Row],[ф4 *X^(-1)]])/(I37+Таблица3[[#This Row],[ф4 *X^(-1)]]))&lt;0.01,1,2))</f>
        <v>1</v>
      </c>
      <c r="AM40" s="247">
        <f>IF(J37=Таблица3[[#This Row],[ф5 *X]],0,IF(ABS((J37-Таблица3[[#This Row],[ф5 *X]])/(J37+Таблица3[[#This Row],[ф5 *X]]))&lt;0.01,1,2))</f>
        <v>1</v>
      </c>
      <c r="AN40" s="247">
        <f>IF(K37=Таблица3[[#This Row],[ф6 *X^2]],0,IF(ABS((K37-Таблица3[[#This Row],[ф6 *X^2]])/(K37+Таблица3[[#This Row],[ф6 *X^2]]))&lt;0.01,1,2))</f>
        <v>1</v>
      </c>
      <c r="AO40" s="247">
        <f>IF(L37=Таблица3[[#This Row],[ф7 *Х^3]],0,IF(ABS((L37-Таблица3[[#This Row],[ф7 *Х^3]])/(L37+Таблица3[[#This Row],[ф7 *Х^3]]))&lt;0.01,1,2))</f>
        <v>0</v>
      </c>
    </row>
    <row r="41" spans="1:41" x14ac:dyDescent="0.35">
      <c r="A41" s="145" t="s">
        <v>64</v>
      </c>
      <c r="B41" s="145" t="s">
        <v>58</v>
      </c>
      <c r="C41" s="253">
        <v>1000</v>
      </c>
      <c r="D41" s="253">
        <v>1800</v>
      </c>
      <c r="E41" s="254">
        <v>7.4080010000000002E-2</v>
      </c>
      <c r="F41" s="254">
        <v>16.62</v>
      </c>
      <c r="G41" s="254">
        <v>4.2460000000000004</v>
      </c>
      <c r="H41" s="254">
        <v>0</v>
      </c>
      <c r="I41" s="254">
        <v>0.15490000000000001</v>
      </c>
      <c r="J41" s="254">
        <v>0</v>
      </c>
      <c r="K41" s="254">
        <v>0</v>
      </c>
      <c r="L41" s="254">
        <v>0</v>
      </c>
      <c r="M41" s="261">
        <f t="shared" ref="M41:M61" si="4">AA45</f>
        <v>1</v>
      </c>
      <c r="O41" s="144" t="s">
        <v>64</v>
      </c>
      <c r="P41" s="144" t="s">
        <v>61</v>
      </c>
      <c r="Q41" s="242">
        <v>298.14999999999998</v>
      </c>
      <c r="R41" s="242">
        <v>1500</v>
      </c>
      <c r="S41" s="144">
        <v>2.783115</v>
      </c>
      <c r="T41" s="144">
        <v>25.378499999999999</v>
      </c>
      <c r="U41" s="144">
        <v>1.797085</v>
      </c>
      <c r="V41" s="144">
        <v>1.090393E-4</v>
      </c>
      <c r="W41" s="144">
        <v>-2.1003919999999999E-2</v>
      </c>
      <c r="X41" s="144">
        <v>9.1604179999999999</v>
      </c>
      <c r="Y41" s="144">
        <v>-16.28604</v>
      </c>
      <c r="Z41" s="144">
        <v>12.30222</v>
      </c>
      <c r="AA41" s="242">
        <v>1</v>
      </c>
      <c r="AC41" s="145" t="str">
        <f t="shared" si="3"/>
        <v>Se</v>
      </c>
      <c r="AD41" s="247" t="str">
        <f>Таблица3[[#This Row],[Вещество]]</f>
        <v>Se</v>
      </c>
      <c r="AE41" s="247">
        <f>IF(B38=Таблица3[[#This Row],[Фаза]],0,2)</f>
        <v>0</v>
      </c>
      <c r="AF41" s="247">
        <f>IF(C38=Таблица3[[#This Row],[To]],0,IF(ABS((C38-Таблица3[[#This Row],[To]])/(C38+Таблица3[[#This Row],[To]]))&lt;0.01,1,2))</f>
        <v>0</v>
      </c>
      <c r="AG41" s="247">
        <f>IF(D38=Таблица3[[#This Row],[T]],0,IF(ABS((D38-Таблица3[[#This Row],[T]])/(D38+Таблица3[[#This Row],[T]]))&lt;0.01,1,2))</f>
        <v>0</v>
      </c>
      <c r="AH41" s="247">
        <f>IF(E38=Таблица3[[#This Row],[ho]],0,IF(ABS((E38-Таблица3[[#This Row],[ho]])/(E38+Таблица3[[#This Row],[ho]]))&lt;0.01,1,2))</f>
        <v>0</v>
      </c>
      <c r="AI41" s="247">
        <f>IF(F38=Таблица3[[#This Row],[ф1]],0,IF(ABS((F38-Таблица3[[#This Row],[ф1]])/(F38+Таблица3[[#This Row],[ф1]]))&lt;0.01,1,2))</f>
        <v>0</v>
      </c>
      <c r="AJ41" s="247">
        <f>IF(G38=Таблица3[[#This Row],[ф2 *lnX]],0,IF(ABS((G38-Таблица3[[#This Row],[ф2 *lnX]])/(G38+Таблица3[[#This Row],[ф2 *lnX]]))&lt;0.01,1,2))</f>
        <v>0</v>
      </c>
      <c r="AK41" s="247">
        <f>IF(H38=Таблица3[[#This Row],[ф3 *X^(-2)]],0,IF(ABS((H38-Таблица3[[#This Row],[ф3 *X^(-2)]])/(H38+Таблица3[[#This Row],[ф3 *X^(-2)]]))&lt;0.01,1,2))</f>
        <v>0</v>
      </c>
      <c r="AL41" s="247">
        <f>IF(I38=Таблица3[[#This Row],[ф4 *X^(-1)]],0,IF(ABS((I38-Таблица3[[#This Row],[ф4 *X^(-1)]])/(I38+Таблица3[[#This Row],[ф4 *X^(-1)]]))&lt;0.01,1,2))</f>
        <v>0</v>
      </c>
      <c r="AM41" s="247">
        <f>IF(J38=Таблица3[[#This Row],[ф5 *X]],0,IF(ABS((J38-Таблица3[[#This Row],[ф5 *X]])/(J38+Таблица3[[#This Row],[ф5 *X]]))&lt;0.01,1,2))</f>
        <v>0</v>
      </c>
      <c r="AN41" s="247">
        <f>IF(K38=Таблица3[[#This Row],[ф6 *X^2]],0,IF(ABS((K38-Таблица3[[#This Row],[ф6 *X^2]])/(K38+Таблица3[[#This Row],[ф6 *X^2]]))&lt;0.01,1,2))</f>
        <v>0</v>
      </c>
      <c r="AO41" s="247">
        <f>IF(L38=Таблица3[[#This Row],[ф7 *Х^3]],0,IF(ABS((L38-Таблица3[[#This Row],[ф7 *Х^3]])/(L38+Таблица3[[#This Row],[ф7 *Х^3]]))&lt;0.01,1,2))</f>
        <v>0</v>
      </c>
    </row>
    <row r="42" spans="1:41" x14ac:dyDescent="0.35">
      <c r="A42" s="145" t="s">
        <v>64</v>
      </c>
      <c r="B42" s="145" t="s">
        <v>63</v>
      </c>
      <c r="C42" s="253">
        <v>298.14999999999998</v>
      </c>
      <c r="D42" s="253">
        <v>494.3</v>
      </c>
      <c r="E42" s="254">
        <v>-6.6260929999999996E-2</v>
      </c>
      <c r="F42" s="254">
        <v>10.212899999999999</v>
      </c>
      <c r="G42" s="254">
        <v>2.3373539999999999</v>
      </c>
      <c r="H42" s="254">
        <v>0</v>
      </c>
      <c r="I42" s="254">
        <v>1.4182739999999999E-2</v>
      </c>
      <c r="J42" s="254">
        <v>13.63707</v>
      </c>
      <c r="K42" s="254">
        <v>-25.78952</v>
      </c>
      <c r="L42" s="254">
        <v>0</v>
      </c>
      <c r="M42" s="261">
        <f t="shared" si="4"/>
        <v>1</v>
      </c>
      <c r="O42" s="144" t="s">
        <v>64</v>
      </c>
      <c r="P42" s="144" t="s">
        <v>61</v>
      </c>
      <c r="Q42" s="242">
        <v>1500</v>
      </c>
      <c r="R42" s="242">
        <v>10000</v>
      </c>
      <c r="S42" s="144">
        <v>2.783115</v>
      </c>
      <c r="T42" s="144">
        <v>27.619869999999999</v>
      </c>
      <c r="U42" s="144">
        <v>2.4307400000000001</v>
      </c>
      <c r="V42" s="144">
        <v>2.4488410000000002E-3</v>
      </c>
      <c r="W42" s="144">
        <v>-5.4265309999999997E-2</v>
      </c>
      <c r="X42" s="144">
        <v>0.91438399999999997</v>
      </c>
      <c r="Y42" s="144">
        <v>-0.4321508</v>
      </c>
      <c r="Z42" s="144">
        <v>8.956944E-2</v>
      </c>
      <c r="AA42" s="242">
        <v>1</v>
      </c>
      <c r="AC42" s="145" t="str">
        <f>A39</f>
        <v>Se</v>
      </c>
      <c r="AD42" s="247" t="str">
        <f>Таблица3[[#This Row],[Вещество]]</f>
        <v>Se</v>
      </c>
      <c r="AE42" s="247">
        <f>IF(B39=Таблица3[[#This Row],[Фаза]],0,2)</f>
        <v>0</v>
      </c>
      <c r="AF42" s="247">
        <f>IF(C39=Таблица3[[#This Row],[To]],0,IF(ABS((C39-Таблица3[[#This Row],[To]])/(C39+Таблица3[[#This Row],[To]]))&lt;0.01,1,2))</f>
        <v>0</v>
      </c>
      <c r="AG42" s="247">
        <f>IF(D39=Таблица3[[#This Row],[T]],0,IF(ABS((D39-Таблица3[[#This Row],[T]])/(D39+Таблица3[[#This Row],[T]]))&lt;0.01,1,2))</f>
        <v>0</v>
      </c>
      <c r="AH42" s="247">
        <f>IF(E39=Таблица3[[#This Row],[ho]],0,IF(ABS((E39-Таблица3[[#This Row],[ho]])/(E39+Таблица3[[#This Row],[ho]]))&lt;0.01,1,2))</f>
        <v>0</v>
      </c>
      <c r="AI42" s="247">
        <f>IF(F39=Таблица3[[#This Row],[ф1]],0,IF(ABS((F39-Таблица3[[#This Row],[ф1]])/(F39+Таблица3[[#This Row],[ф1]]))&lt;0.01,1,2))</f>
        <v>0</v>
      </c>
      <c r="AJ42" s="247">
        <f>IF(G39=Таблица3[[#This Row],[ф2 *lnX]],0,IF(ABS((G39-Таблица3[[#This Row],[ф2 *lnX]])/(G39+Таблица3[[#This Row],[ф2 *lnX]]))&lt;0.01,1,2))</f>
        <v>0</v>
      </c>
      <c r="AK42" s="247">
        <f>IF(H39=Таблица3[[#This Row],[ф3 *X^(-2)]],0,IF(ABS((H39-Таблица3[[#This Row],[ф3 *X^(-2)]])/(H39+Таблица3[[#This Row],[ф3 *X^(-2)]]))&lt;0.01,1,2))</f>
        <v>0</v>
      </c>
      <c r="AL42" s="247">
        <f>IF(I39=Таблица3[[#This Row],[ф4 *X^(-1)]],0,IF(ABS((I39-Таблица3[[#This Row],[ф4 *X^(-1)]])/(I39+Таблица3[[#This Row],[ф4 *X^(-1)]]))&lt;0.01,1,2))</f>
        <v>0</v>
      </c>
      <c r="AM42" s="247">
        <f>IF(J39=Таблица3[[#This Row],[ф5 *X]],0,IF(ABS((J39-Таблица3[[#This Row],[ф5 *X]])/(J39+Таблица3[[#This Row],[ф5 *X]]))&lt;0.01,1,2))</f>
        <v>0</v>
      </c>
      <c r="AN42" s="247">
        <f>IF(K39=Таблица3[[#This Row],[ф6 *X^2]],0,IF(ABS((K39-Таблица3[[#This Row],[ф6 *X^2]])/(K39+Таблица3[[#This Row],[ф6 *X^2]]))&lt;0.01,1,2))</f>
        <v>0</v>
      </c>
      <c r="AO42" s="247">
        <f>IF(L39=Таблица3[[#This Row],[ф7 *Х^3]],0,IF(ABS((L39-Таблица3[[#This Row],[ф7 *Х^3]])/(L39+Таблица3[[#This Row],[ф7 *Х^3]]))&lt;0.01,1,2))</f>
        <v>0</v>
      </c>
    </row>
    <row r="43" spans="1:41" x14ac:dyDescent="0.35">
      <c r="A43" s="145" t="s">
        <v>64</v>
      </c>
      <c r="B43" s="145" t="s">
        <v>63</v>
      </c>
      <c r="C43" s="253">
        <v>494.3</v>
      </c>
      <c r="D43" s="253">
        <v>1000</v>
      </c>
      <c r="E43" s="254">
        <v>-6.6260929999999996E-2</v>
      </c>
      <c r="F43" s="254">
        <v>23.305810000000001</v>
      </c>
      <c r="G43" s="254">
        <v>6.3044700000000002</v>
      </c>
      <c r="H43" s="254">
        <v>0</v>
      </c>
      <c r="I43" s="254">
        <v>5.1929419999999997E-2</v>
      </c>
      <c r="J43" s="254">
        <v>-29.829440000000002</v>
      </c>
      <c r="K43" s="254">
        <v>65.022059999999996</v>
      </c>
      <c r="L43" s="254">
        <v>0</v>
      </c>
      <c r="M43" s="261">
        <f t="shared" si="4"/>
        <v>1</v>
      </c>
      <c r="O43" s="258" t="s">
        <v>64</v>
      </c>
      <c r="P43" s="258" t="s">
        <v>58</v>
      </c>
      <c r="Q43" s="259">
        <v>493.00009999999997</v>
      </c>
      <c r="R43" s="259">
        <v>957.00009999999997</v>
      </c>
      <c r="S43" s="258">
        <v>0</v>
      </c>
      <c r="T43" s="258">
        <v>16.690000000000001</v>
      </c>
      <c r="U43" s="258">
        <v>4.2279999999999998</v>
      </c>
      <c r="V43" s="258">
        <v>0</v>
      </c>
      <c r="W43" s="258">
        <v>7.2510000000000005E-2</v>
      </c>
      <c r="X43" s="258">
        <v>0</v>
      </c>
      <c r="Y43" s="258">
        <v>0</v>
      </c>
      <c r="Z43" s="258">
        <v>0</v>
      </c>
    </row>
    <row r="44" spans="1:41" x14ac:dyDescent="0.35">
      <c r="A44" s="145" t="s">
        <v>64</v>
      </c>
      <c r="B44" s="145" t="s">
        <v>63</v>
      </c>
      <c r="C44" s="253">
        <v>1000</v>
      </c>
      <c r="D44" s="253">
        <v>1800</v>
      </c>
      <c r="E44" s="254">
        <v>-6.6260929999999996E-2</v>
      </c>
      <c r="F44" s="254">
        <v>16.601150000000001</v>
      </c>
      <c r="G44" s="254">
        <v>4.2397850000000004</v>
      </c>
      <c r="H44" s="254">
        <v>0</v>
      </c>
      <c r="I44" s="254">
        <v>1.3699609999999999E-2</v>
      </c>
      <c r="J44" s="254">
        <v>0</v>
      </c>
      <c r="K44" s="254">
        <v>0</v>
      </c>
      <c r="L44" s="254">
        <v>0</v>
      </c>
      <c r="M44" s="261">
        <f t="shared" si="4"/>
        <v>1</v>
      </c>
      <c r="O44" s="145" t="s">
        <v>64</v>
      </c>
      <c r="P44" s="145" t="s">
        <v>58</v>
      </c>
      <c r="Q44" s="253">
        <v>494.00009999999997</v>
      </c>
      <c r="R44" s="253">
        <v>1000</v>
      </c>
      <c r="S44" s="145">
        <v>7.4080010000000002E-2</v>
      </c>
      <c r="T44" s="145">
        <v>23.32</v>
      </c>
      <c r="U44" s="145">
        <v>6.3019999999999996</v>
      </c>
      <c r="V44" s="145">
        <v>0</v>
      </c>
      <c r="W44" s="145">
        <v>0.19220000000000001</v>
      </c>
      <c r="X44" s="145">
        <v>-29.83</v>
      </c>
      <c r="Y44" s="145">
        <v>64.95</v>
      </c>
      <c r="Z44" s="145">
        <v>0</v>
      </c>
      <c r="AA44" s="242">
        <v>1</v>
      </c>
      <c r="AC44" s="145" t="str">
        <f t="shared" ref="AC44:AC64" si="5">A40</f>
        <v>Se</v>
      </c>
      <c r="AD44" s="247" t="str">
        <f>Таблица3[[#This Row],[Вещество]]</f>
        <v>Se</v>
      </c>
      <c r="AE44" s="247">
        <f>IF(B40=Таблица3[[#This Row],[Фаза]],0,2)</f>
        <v>0</v>
      </c>
      <c r="AF44" s="247">
        <f>IF(C40=Таблица3[[#This Row],[To]],0,IF(ABS((C40-Таблица3[[#This Row],[To]])/(C40+Таблица3[[#This Row],[To]]))&lt;0.01,1,2))</f>
        <v>0</v>
      </c>
      <c r="AG44" s="247">
        <f>IF(D40=Таблица3[[#This Row],[T]],0,IF(ABS((D40-Таблица3[[#This Row],[T]])/(D40+Таблица3[[#This Row],[T]]))&lt;0.01,1,2))</f>
        <v>0</v>
      </c>
      <c r="AH44" s="247">
        <f>IF(E40=Таблица3[[#This Row],[ho]],0,IF(ABS((E40-Таблица3[[#This Row],[ho]])/(E40+Таблица3[[#This Row],[ho]]))&lt;0.01,1,2))</f>
        <v>0</v>
      </c>
      <c r="AI44" s="247">
        <f>IF(F40=Таблица3[[#This Row],[ф1]],0,IF(ABS((F40-Таблица3[[#This Row],[ф1]])/(F40+Таблица3[[#This Row],[ф1]]))&lt;0.01,1,2))</f>
        <v>0</v>
      </c>
      <c r="AJ44" s="247">
        <f>IF(G40=Таблица3[[#This Row],[ф2 *lnX]],0,IF(ABS((G40-Таблица3[[#This Row],[ф2 *lnX]])/(G40+Таблица3[[#This Row],[ф2 *lnX]]))&lt;0.01,1,2))</f>
        <v>0</v>
      </c>
      <c r="AK44" s="247">
        <f>IF(H40=Таблица3[[#This Row],[ф3 *X^(-2)]],0,IF(ABS((H40-Таблица3[[#This Row],[ф3 *X^(-2)]])/(H40+Таблица3[[#This Row],[ф3 *X^(-2)]]))&lt;0.01,1,2))</f>
        <v>0</v>
      </c>
      <c r="AL44" s="247">
        <f>IF(I40=Таблица3[[#This Row],[ф4 *X^(-1)]],0,IF(ABS((I40-Таблица3[[#This Row],[ф4 *X^(-1)]])/(I40+Таблица3[[#This Row],[ф4 *X^(-1)]]))&lt;0.01,1,2))</f>
        <v>0</v>
      </c>
      <c r="AM44" s="247">
        <f>IF(J40=Таблица3[[#This Row],[ф5 *X]],0,IF(ABS((J40-Таблица3[[#This Row],[ф5 *X]])/(J40+Таблица3[[#This Row],[ф5 *X]]))&lt;0.01,1,2))</f>
        <v>0</v>
      </c>
      <c r="AN44" s="247">
        <f>IF(K40=Таблица3[[#This Row],[ф6 *X^2]],0,IF(ABS((K40-Таблица3[[#This Row],[ф6 *X^2]])/(K40+Таблица3[[#This Row],[ф6 *X^2]]))&lt;0.01,1,2))</f>
        <v>0</v>
      </c>
      <c r="AO44" s="247">
        <f>IF(L40=Таблица3[[#This Row],[ф7 *Х^3]],0,IF(ABS((L40-Таблица3[[#This Row],[ф7 *Х^3]])/(L40+Таблица3[[#This Row],[ф7 *Х^3]]))&lt;0.01,1,2))</f>
        <v>0</v>
      </c>
    </row>
    <row r="45" spans="1:41" x14ac:dyDescent="0.35">
      <c r="A45" s="255" t="s">
        <v>100</v>
      </c>
      <c r="B45" s="255" t="s">
        <v>126</v>
      </c>
      <c r="C45" s="256">
        <v>298.14999999999998</v>
      </c>
      <c r="D45" s="256">
        <v>398</v>
      </c>
      <c r="E45" s="257">
        <v>6.0389989999999998E-2</v>
      </c>
      <c r="F45" s="257">
        <v>14.03</v>
      </c>
      <c r="G45" s="257">
        <v>3.2650000000000001</v>
      </c>
      <c r="H45" s="257">
        <v>0</v>
      </c>
      <c r="I45" s="257">
        <v>9.7360000000000002E-2</v>
      </c>
      <c r="J45" s="257">
        <v>0</v>
      </c>
      <c r="K45" s="257">
        <v>0</v>
      </c>
      <c r="L45" s="257">
        <v>0</v>
      </c>
      <c r="M45" s="261">
        <f t="shared" si="4"/>
        <v>1</v>
      </c>
      <c r="O45" s="145" t="s">
        <v>64</v>
      </c>
      <c r="P45" s="145" t="s">
        <v>58</v>
      </c>
      <c r="Q45" s="253">
        <v>1000</v>
      </c>
      <c r="R45" s="253">
        <v>1800</v>
      </c>
      <c r="S45" s="145">
        <v>7.4080010000000002E-2</v>
      </c>
      <c r="T45" s="145">
        <v>16.62</v>
      </c>
      <c r="U45" s="145">
        <v>4.2460000000000004</v>
      </c>
      <c r="V45" s="145">
        <v>0</v>
      </c>
      <c r="W45" s="145">
        <v>0.15490000000000001</v>
      </c>
      <c r="X45" s="145">
        <v>0</v>
      </c>
      <c r="Y45" s="145">
        <v>0</v>
      </c>
      <c r="Z45" s="145">
        <v>0</v>
      </c>
      <c r="AA45" s="242">
        <v>1</v>
      </c>
      <c r="AC45" s="145" t="str">
        <f t="shared" si="5"/>
        <v>Se</v>
      </c>
      <c r="AD45" s="247" t="str">
        <f>Таблица3[[#This Row],[Вещество]]</f>
        <v>Se</v>
      </c>
      <c r="AE45" s="247">
        <f>IF(B41=Таблица3[[#This Row],[Фаза]],0,2)</f>
        <v>0</v>
      </c>
      <c r="AF45" s="247">
        <f>IF(C41=Таблица3[[#This Row],[To]],0,IF(ABS((C41-Таблица3[[#This Row],[To]])/(C41+Таблица3[[#This Row],[To]]))&lt;0.01,1,2))</f>
        <v>0</v>
      </c>
      <c r="AG45" s="247">
        <f>IF(D41=Таблица3[[#This Row],[T]],0,IF(ABS((D41-Таблица3[[#This Row],[T]])/(D41+Таблица3[[#This Row],[T]]))&lt;0.01,1,2))</f>
        <v>0</v>
      </c>
      <c r="AH45" s="247">
        <f>IF(E41=Таблица3[[#This Row],[ho]],0,IF(ABS((E41-Таблица3[[#This Row],[ho]])/(E41+Таблица3[[#This Row],[ho]]))&lt;0.01,1,2))</f>
        <v>0</v>
      </c>
      <c r="AI45" s="247">
        <f>IF(F41=Таблица3[[#This Row],[ф1]],0,IF(ABS((F41-Таблица3[[#This Row],[ф1]])/(F41+Таблица3[[#This Row],[ф1]]))&lt;0.01,1,2))</f>
        <v>0</v>
      </c>
      <c r="AJ45" s="247">
        <f>IF(G41=Таблица3[[#This Row],[ф2 *lnX]],0,IF(ABS((G41-Таблица3[[#This Row],[ф2 *lnX]])/(G41+Таблица3[[#This Row],[ф2 *lnX]]))&lt;0.01,1,2))</f>
        <v>0</v>
      </c>
      <c r="AK45" s="247">
        <f>IF(H41=Таблица3[[#This Row],[ф3 *X^(-2)]],0,IF(ABS((H41-Таблица3[[#This Row],[ф3 *X^(-2)]])/(H41+Таблица3[[#This Row],[ф3 *X^(-2)]]))&lt;0.01,1,2))</f>
        <v>0</v>
      </c>
      <c r="AL45" s="247">
        <f>IF(I41=Таблица3[[#This Row],[ф4 *X^(-1)]],0,IF(ABS((I41-Таблица3[[#This Row],[ф4 *X^(-1)]])/(I41+Таблица3[[#This Row],[ф4 *X^(-1)]]))&lt;0.01,1,2))</f>
        <v>0</v>
      </c>
      <c r="AM45" s="247">
        <f>IF(J41=Таблица3[[#This Row],[ф5 *X]],0,IF(ABS((J41-Таблица3[[#This Row],[ф5 *X]])/(J41+Таблица3[[#This Row],[ф5 *X]]))&lt;0.01,1,2))</f>
        <v>0</v>
      </c>
      <c r="AN45" s="247">
        <f>IF(K41=Таблица3[[#This Row],[ф6 *X^2]],0,IF(ABS((K41-Таблица3[[#This Row],[ф6 *X^2]])/(K41+Таблица3[[#This Row],[ф6 *X^2]]))&lt;0.01,1,2))</f>
        <v>0</v>
      </c>
      <c r="AO45" s="247">
        <f>IF(L41=Таблица3[[#This Row],[ф7 *Х^3]],0,IF(ABS((L41-Таблица3[[#This Row],[ф7 *Х^3]])/(L41+Таблица3[[#This Row],[ф7 *Х^3]]))&lt;0.01,1,2))</f>
        <v>0</v>
      </c>
    </row>
    <row r="46" spans="1:41" x14ac:dyDescent="0.35">
      <c r="A46" s="255" t="s">
        <v>101</v>
      </c>
      <c r="B46" s="255" t="s">
        <v>127</v>
      </c>
      <c r="C46" s="256">
        <v>298.14999999999998</v>
      </c>
      <c r="D46" s="256">
        <v>413.00009999999997</v>
      </c>
      <c r="E46" s="257">
        <v>0.1077</v>
      </c>
      <c r="F46" s="257">
        <v>54.85</v>
      </c>
      <c r="G46" s="257">
        <v>12.93</v>
      </c>
      <c r="H46" s="257">
        <v>-2.6350000000000001E-4</v>
      </c>
      <c r="I46" s="257">
        <v>0.40429999999999999</v>
      </c>
      <c r="J46" s="257">
        <v>-5.4480000000000004</v>
      </c>
      <c r="K46" s="257">
        <v>114.404554292702</v>
      </c>
      <c r="L46" s="257">
        <v>0</v>
      </c>
      <c r="M46" s="261">
        <f t="shared" si="4"/>
        <v>1</v>
      </c>
      <c r="O46" s="145" t="s">
        <v>64</v>
      </c>
      <c r="P46" s="145" t="s">
        <v>63</v>
      </c>
      <c r="Q46" s="253">
        <v>298.14999999999998</v>
      </c>
      <c r="R46" s="253">
        <v>494.3</v>
      </c>
      <c r="S46" s="145">
        <v>-6.6260929999999996E-2</v>
      </c>
      <c r="T46" s="145">
        <v>10.212899999999999</v>
      </c>
      <c r="U46" s="145">
        <v>2.3373539999999999</v>
      </c>
      <c r="V46" s="145">
        <v>0</v>
      </c>
      <c r="W46" s="145">
        <v>1.4182739999999999E-2</v>
      </c>
      <c r="X46" s="145">
        <v>13.63707</v>
      </c>
      <c r="Y46" s="145">
        <v>-25.78952</v>
      </c>
      <c r="Z46" s="145">
        <v>0</v>
      </c>
      <c r="AA46" s="242">
        <v>1</v>
      </c>
      <c r="AC46" s="145" t="str">
        <f t="shared" si="5"/>
        <v>Se</v>
      </c>
      <c r="AD46" s="247" t="str">
        <f>Таблица3[[#This Row],[Вещество]]</f>
        <v>Se</v>
      </c>
      <c r="AE46" s="247">
        <f>IF(B42=Таблица3[[#This Row],[Фаза]],0,2)</f>
        <v>0</v>
      </c>
      <c r="AF46" s="247">
        <f>IF(C42=Таблица3[[#This Row],[To]],0,IF(ABS((C42-Таблица3[[#This Row],[To]])/(C42+Таблица3[[#This Row],[To]]))&lt;0.01,1,2))</f>
        <v>0</v>
      </c>
      <c r="AG46" s="247">
        <f>IF(D42=Таблица3[[#This Row],[T]],0,IF(ABS((D42-Таблица3[[#This Row],[T]])/(D42+Таблица3[[#This Row],[T]]))&lt;0.01,1,2))</f>
        <v>0</v>
      </c>
      <c r="AH46" s="247">
        <f>IF(E42=Таблица3[[#This Row],[ho]],0,IF(ABS((E42-Таблица3[[#This Row],[ho]])/(E42+Таблица3[[#This Row],[ho]]))&lt;0.01,1,2))</f>
        <v>0</v>
      </c>
      <c r="AI46" s="247">
        <f>IF(F42=Таблица3[[#This Row],[ф1]],0,IF(ABS((F42-Таблица3[[#This Row],[ф1]])/(F42+Таблица3[[#This Row],[ф1]]))&lt;0.01,1,2))</f>
        <v>0</v>
      </c>
      <c r="AJ46" s="247">
        <f>IF(G42=Таблица3[[#This Row],[ф2 *lnX]],0,IF(ABS((G42-Таблица3[[#This Row],[ф2 *lnX]])/(G42+Таблица3[[#This Row],[ф2 *lnX]]))&lt;0.01,1,2))</f>
        <v>0</v>
      </c>
      <c r="AK46" s="247">
        <f>IF(H42=Таблица3[[#This Row],[ф3 *X^(-2)]],0,IF(ABS((H42-Таблица3[[#This Row],[ф3 *X^(-2)]])/(H42+Таблица3[[#This Row],[ф3 *X^(-2)]]))&lt;0.01,1,2))</f>
        <v>0</v>
      </c>
      <c r="AL46" s="247">
        <f>IF(I42=Таблица3[[#This Row],[ф4 *X^(-1)]],0,IF(ABS((I42-Таблица3[[#This Row],[ф4 *X^(-1)]])/(I42+Таблица3[[#This Row],[ф4 *X^(-1)]]))&lt;0.01,1,2))</f>
        <v>0</v>
      </c>
      <c r="AM46" s="247">
        <f>IF(J42=Таблица3[[#This Row],[ф5 *X]],0,IF(ABS((J42-Таблица3[[#This Row],[ф5 *X]])/(J42+Таблица3[[#This Row],[ф5 *X]]))&lt;0.01,1,2))</f>
        <v>0</v>
      </c>
      <c r="AN46" s="247">
        <f>IF(K42=Таблица3[[#This Row],[ф6 *X^2]],0,IF(ABS((K42-Таблица3[[#This Row],[ф6 *X^2]])/(K42+Таблица3[[#This Row],[ф6 *X^2]]))&lt;0.01,1,2))</f>
        <v>0</v>
      </c>
      <c r="AO46" s="247">
        <f>IF(L42=Таблица3[[#This Row],[ф7 *Х^3]],0,IF(ABS((L42-Таблица3[[#This Row],[ф7 *Х^3]])/(L42+Таблица3[[#This Row],[ф7 *Х^3]]))&lt;0.01,1,2))</f>
        <v>0</v>
      </c>
    </row>
    <row r="47" spans="1:41" x14ac:dyDescent="0.35">
      <c r="A47" s="255" t="s">
        <v>102</v>
      </c>
      <c r="B47" s="255" t="s">
        <v>128</v>
      </c>
      <c r="C47" s="256">
        <v>298.14999999999998</v>
      </c>
      <c r="D47" s="256">
        <v>398</v>
      </c>
      <c r="E47" s="257">
        <v>0.1963</v>
      </c>
      <c r="F47" s="257">
        <v>18.559999999999999</v>
      </c>
      <c r="G47" s="257">
        <v>4.8810000000000002</v>
      </c>
      <c r="H47" s="257">
        <v>0</v>
      </c>
      <c r="I47" s="257">
        <v>0.14549999999999999</v>
      </c>
      <c r="J47" s="257">
        <v>0</v>
      </c>
      <c r="K47" s="257">
        <v>0</v>
      </c>
      <c r="L47" s="257">
        <v>0</v>
      </c>
      <c r="M47" s="261">
        <f t="shared" si="4"/>
        <v>1</v>
      </c>
      <c r="O47" s="145" t="s">
        <v>64</v>
      </c>
      <c r="P47" s="145" t="s">
        <v>63</v>
      </c>
      <c r="Q47" s="253">
        <v>494.3</v>
      </c>
      <c r="R47" s="253">
        <v>1000</v>
      </c>
      <c r="S47" s="145">
        <v>-6.6260929999999996E-2</v>
      </c>
      <c r="T47" s="145">
        <v>23.305810000000001</v>
      </c>
      <c r="U47" s="145">
        <v>6.3044700000000002</v>
      </c>
      <c r="V47" s="145">
        <v>0</v>
      </c>
      <c r="W47" s="145">
        <v>5.1929419999999997E-2</v>
      </c>
      <c r="X47" s="145">
        <v>-29.829440000000002</v>
      </c>
      <c r="Y47" s="145">
        <v>65.022059999999996</v>
      </c>
      <c r="Z47" s="145">
        <v>0</v>
      </c>
      <c r="AA47" s="242">
        <v>1</v>
      </c>
      <c r="AC47" s="145" t="str">
        <f t="shared" si="5"/>
        <v>Se</v>
      </c>
      <c r="AD47" s="247" t="str">
        <f>Таблица3[[#This Row],[Вещество]]</f>
        <v>Se</v>
      </c>
      <c r="AE47" s="247">
        <f>IF(B43=Таблица3[[#This Row],[Фаза]],0,2)</f>
        <v>0</v>
      </c>
      <c r="AF47" s="247">
        <f>IF(C43=Таблица3[[#This Row],[To]],0,IF(ABS((C43-Таблица3[[#This Row],[To]])/(C43+Таблица3[[#This Row],[To]]))&lt;0.01,1,2))</f>
        <v>0</v>
      </c>
      <c r="AG47" s="247">
        <f>IF(D43=Таблица3[[#This Row],[T]],0,IF(ABS((D43-Таблица3[[#This Row],[T]])/(D43+Таблица3[[#This Row],[T]]))&lt;0.01,1,2))</f>
        <v>0</v>
      </c>
      <c r="AH47" s="247">
        <f>IF(E43=Таблица3[[#This Row],[ho]],0,IF(ABS((E43-Таблица3[[#This Row],[ho]])/(E43+Таблица3[[#This Row],[ho]]))&lt;0.01,1,2))</f>
        <v>0</v>
      </c>
      <c r="AI47" s="247">
        <f>IF(F43=Таблица3[[#This Row],[ф1]],0,IF(ABS((F43-Таблица3[[#This Row],[ф1]])/(F43+Таблица3[[#This Row],[ф1]]))&lt;0.01,1,2))</f>
        <v>0</v>
      </c>
      <c r="AJ47" s="247">
        <f>IF(G43=Таблица3[[#This Row],[ф2 *lnX]],0,IF(ABS((G43-Таблица3[[#This Row],[ф2 *lnX]])/(G43+Таблица3[[#This Row],[ф2 *lnX]]))&lt;0.01,1,2))</f>
        <v>0</v>
      </c>
      <c r="AK47" s="247">
        <f>IF(H43=Таблица3[[#This Row],[ф3 *X^(-2)]],0,IF(ABS((H43-Таблица3[[#This Row],[ф3 *X^(-2)]])/(H43+Таблица3[[#This Row],[ф3 *X^(-2)]]))&lt;0.01,1,2))</f>
        <v>0</v>
      </c>
      <c r="AL47" s="247">
        <f>IF(I43=Таблица3[[#This Row],[ф4 *X^(-1)]],0,IF(ABS((I43-Таблица3[[#This Row],[ф4 *X^(-1)]])/(I43+Таблица3[[#This Row],[ф4 *X^(-1)]]))&lt;0.01,1,2))</f>
        <v>0</v>
      </c>
      <c r="AM47" s="247">
        <f>IF(J43=Таблица3[[#This Row],[ф5 *X]],0,IF(ABS((J43-Таблица3[[#This Row],[ф5 *X]])/(J43+Таблица3[[#This Row],[ф5 *X]]))&lt;0.01,1,2))</f>
        <v>0</v>
      </c>
      <c r="AN47" s="247">
        <f>IF(K43=Таблица3[[#This Row],[ф6 *X^2]],0,IF(ABS((K43-Таблица3[[#This Row],[ф6 *X^2]])/(K43+Таблица3[[#This Row],[ф6 *X^2]]))&lt;0.01,1,2))</f>
        <v>0</v>
      </c>
      <c r="AO47" s="247">
        <f>IF(L43=Таблица3[[#This Row],[ф7 *Х^3]],0,IF(ABS((L43-Таблица3[[#This Row],[ф7 *Х^3]])/(L43+Таблица3[[#This Row],[ф7 *Х^3]]))&lt;0.01,1,2))</f>
        <v>0</v>
      </c>
    </row>
    <row r="48" spans="1:41" x14ac:dyDescent="0.35">
      <c r="A48" s="145" t="s">
        <v>88</v>
      </c>
      <c r="B48" s="145" t="s">
        <v>61</v>
      </c>
      <c r="C48" s="253">
        <v>298.14999999999998</v>
      </c>
      <c r="D48" s="253">
        <v>1500</v>
      </c>
      <c r="E48" s="254">
        <v>1.6083639999999999</v>
      </c>
      <c r="F48" s="254">
        <v>46.654719999999998</v>
      </c>
      <c r="G48" s="254">
        <v>6.370749</v>
      </c>
      <c r="H48" s="254">
        <v>-1.7220000000000001E-4</v>
      </c>
      <c r="I48" s="254">
        <v>6.049562E-2</v>
      </c>
      <c r="J48" s="254">
        <v>-20.810030000000001</v>
      </c>
      <c r="K48" s="254">
        <v>56.994140000000002</v>
      </c>
      <c r="L48" s="254">
        <v>-73.985680000000002</v>
      </c>
      <c r="M48" s="261">
        <f t="shared" si="4"/>
        <v>1</v>
      </c>
      <c r="O48" s="145" t="s">
        <v>64</v>
      </c>
      <c r="P48" s="145" t="s">
        <v>63</v>
      </c>
      <c r="Q48" s="253">
        <v>1000</v>
      </c>
      <c r="R48" s="253">
        <v>1800</v>
      </c>
      <c r="S48" s="145">
        <v>-6.6260929999999996E-2</v>
      </c>
      <c r="T48" s="145">
        <v>16.601150000000001</v>
      </c>
      <c r="U48" s="145">
        <v>4.2397850000000004</v>
      </c>
      <c r="V48" s="145">
        <v>0</v>
      </c>
      <c r="W48" s="145">
        <v>1.3699609999999999E-2</v>
      </c>
      <c r="X48" s="145">
        <v>0</v>
      </c>
      <c r="Y48" s="145">
        <v>0</v>
      </c>
      <c r="Z48" s="145">
        <v>0</v>
      </c>
      <c r="AA48" s="242">
        <v>1</v>
      </c>
      <c r="AC48" s="145" t="str">
        <f t="shared" si="5"/>
        <v>Se</v>
      </c>
      <c r="AD48" s="247" t="str">
        <f>Таблица3[[#This Row],[Вещество]]</f>
        <v>Se</v>
      </c>
      <c r="AE48" s="247">
        <f>IF(B44=Таблица3[[#This Row],[Фаза]],0,2)</f>
        <v>0</v>
      </c>
      <c r="AF48" s="247">
        <f>IF(C44=Таблица3[[#This Row],[To]],0,IF(ABS((C44-Таблица3[[#This Row],[To]])/(C44+Таблица3[[#This Row],[To]]))&lt;0.01,1,2))</f>
        <v>0</v>
      </c>
      <c r="AG48" s="247">
        <f>IF(D44=Таблица3[[#This Row],[T]],0,IF(ABS((D44-Таблица3[[#This Row],[T]])/(D44+Таблица3[[#This Row],[T]]))&lt;0.01,1,2))</f>
        <v>0</v>
      </c>
      <c r="AH48" s="247">
        <f>IF(E44=Таблица3[[#This Row],[ho]],0,IF(ABS((E44-Таблица3[[#This Row],[ho]])/(E44+Таблица3[[#This Row],[ho]]))&lt;0.01,1,2))</f>
        <v>0</v>
      </c>
      <c r="AI48" s="247">
        <f>IF(F44=Таблица3[[#This Row],[ф1]],0,IF(ABS((F44-Таблица3[[#This Row],[ф1]])/(F44+Таблица3[[#This Row],[ф1]]))&lt;0.01,1,2))</f>
        <v>0</v>
      </c>
      <c r="AJ48" s="247">
        <f>IF(G44=Таблица3[[#This Row],[ф2 *lnX]],0,IF(ABS((G44-Таблица3[[#This Row],[ф2 *lnX]])/(G44+Таблица3[[#This Row],[ф2 *lnX]]))&lt;0.01,1,2))</f>
        <v>0</v>
      </c>
      <c r="AK48" s="247">
        <f>IF(H44=Таблица3[[#This Row],[ф3 *X^(-2)]],0,IF(ABS((H44-Таблица3[[#This Row],[ф3 *X^(-2)]])/(H44+Таблица3[[#This Row],[ф3 *X^(-2)]]))&lt;0.01,1,2))</f>
        <v>0</v>
      </c>
      <c r="AL48" s="247">
        <f>IF(I44=Таблица3[[#This Row],[ф4 *X^(-1)]],0,IF(ABS((I44-Таблица3[[#This Row],[ф4 *X^(-1)]])/(I44+Таблица3[[#This Row],[ф4 *X^(-1)]]))&lt;0.01,1,2))</f>
        <v>0</v>
      </c>
      <c r="AM48" s="247">
        <f>IF(J44=Таблица3[[#This Row],[ф5 *X]],0,IF(ABS((J44-Таблица3[[#This Row],[ф5 *X]])/(J44+Таблица3[[#This Row],[ф5 *X]]))&lt;0.01,1,2))</f>
        <v>0</v>
      </c>
      <c r="AN48" s="247">
        <f>IF(K44=Таблица3[[#This Row],[ф6 *X^2]],0,IF(ABS((K44-Таблица3[[#This Row],[ф6 *X^2]])/(K44+Таблица3[[#This Row],[ф6 *X^2]]))&lt;0.01,1,2))</f>
        <v>0</v>
      </c>
      <c r="AO48" s="247">
        <f>IF(L44=Таблица3[[#This Row],[ф7 *Х^3]],0,IF(ABS((L44-Таблица3[[#This Row],[ф7 *Х^3]])/(L44+Таблица3[[#This Row],[ф7 *Х^3]]))&lt;0.01,1,2))</f>
        <v>0</v>
      </c>
    </row>
    <row r="49" spans="1:41" x14ac:dyDescent="0.35">
      <c r="A49" s="145" t="s">
        <v>88</v>
      </c>
      <c r="B49" s="145" t="s">
        <v>61</v>
      </c>
      <c r="C49" s="253">
        <v>1500</v>
      </c>
      <c r="D49" s="253">
        <v>6000</v>
      </c>
      <c r="E49" s="254">
        <v>1.6083639999999999</v>
      </c>
      <c r="F49" s="254">
        <v>41.393599999999999</v>
      </c>
      <c r="G49" s="254">
        <v>4.6638549999999999</v>
      </c>
      <c r="H49" s="254">
        <v>-1.334432E-3</v>
      </c>
      <c r="I49" s="254">
        <v>3.6780319999999998E-2</v>
      </c>
      <c r="J49" s="254">
        <v>0.98545360000000004</v>
      </c>
      <c r="K49" s="254">
        <v>-0.13838919999999999</v>
      </c>
      <c r="L49" s="254">
        <v>-0.2247374</v>
      </c>
      <c r="M49" s="261">
        <f t="shared" si="4"/>
        <v>1</v>
      </c>
      <c r="O49" s="255" t="s">
        <v>100</v>
      </c>
      <c r="P49" s="255" t="s">
        <v>63</v>
      </c>
      <c r="Q49" s="256">
        <v>298.14999999999998</v>
      </c>
      <c r="R49" s="256">
        <v>398</v>
      </c>
      <c r="S49" s="255">
        <v>6.0388477960190028E-2</v>
      </c>
      <c r="T49" s="255">
        <v>14.027300531776039</v>
      </c>
      <c r="U49" s="255">
        <v>3.265379758253653</v>
      </c>
      <c r="V49" s="255">
        <v>0</v>
      </c>
      <c r="W49" s="255">
        <v>9.7357297492332656E-2</v>
      </c>
      <c r="X49" s="255">
        <v>0</v>
      </c>
      <c r="Y49" s="255">
        <v>0</v>
      </c>
      <c r="Z49" s="255">
        <v>0</v>
      </c>
      <c r="AA49" s="242">
        <v>1</v>
      </c>
      <c r="AC49" s="145" t="str">
        <f t="shared" si="5"/>
        <v>Se[A]</v>
      </c>
      <c r="AD49" s="247" t="str">
        <f>Таблица3[[#This Row],[Вещество]]</f>
        <v>Se[A]</v>
      </c>
      <c r="AE49" s="247">
        <f>IF(B45=Таблица3[[#This Row],[Фаза]],0,2)</f>
        <v>2</v>
      </c>
      <c r="AF49" s="247">
        <f>IF(C45=Таблица3[[#This Row],[To]],0,IF(ABS((C45-Таблица3[[#This Row],[To]])/(C45+Таблица3[[#This Row],[To]]))&lt;0.01,1,2))</f>
        <v>0</v>
      </c>
      <c r="AG49" s="247">
        <f>IF(D45=Таблица3[[#This Row],[T]],0,IF(ABS((D45-Таблица3[[#This Row],[T]])/(D45+Таблица3[[#This Row],[T]]))&lt;0.01,1,2))</f>
        <v>0</v>
      </c>
      <c r="AH49" s="247">
        <f>IF(E45=Таблица3[[#This Row],[ho]],0,IF(ABS((E45-Таблица3[[#This Row],[ho]])/(E45+Таблица3[[#This Row],[ho]]))&lt;0.01,1,2))</f>
        <v>1</v>
      </c>
      <c r="AI49" s="247">
        <f>IF(F45=Таблица3[[#This Row],[ф1]],0,IF(ABS((F45-Таблица3[[#This Row],[ф1]])/(F45+Таблица3[[#This Row],[ф1]]))&lt;0.01,1,2))</f>
        <v>1</v>
      </c>
      <c r="AJ49" s="247">
        <f>IF(G45=Таблица3[[#This Row],[ф2 *lnX]],0,IF(ABS((G45-Таблица3[[#This Row],[ф2 *lnX]])/(G45+Таблица3[[#This Row],[ф2 *lnX]]))&lt;0.01,1,2))</f>
        <v>1</v>
      </c>
      <c r="AK49" s="247">
        <f>IF(H45=Таблица3[[#This Row],[ф3 *X^(-2)]],0,IF(ABS((H45-Таблица3[[#This Row],[ф3 *X^(-2)]])/(H45+Таблица3[[#This Row],[ф3 *X^(-2)]]))&lt;0.01,1,2))</f>
        <v>0</v>
      </c>
      <c r="AL49" s="247">
        <f>IF(I45=Таблица3[[#This Row],[ф4 *X^(-1)]],0,IF(ABS((I45-Таблица3[[#This Row],[ф4 *X^(-1)]])/(I45+Таблица3[[#This Row],[ф4 *X^(-1)]]))&lt;0.01,1,2))</f>
        <v>1</v>
      </c>
      <c r="AM49" s="247">
        <f>IF(J45=Таблица3[[#This Row],[ф5 *X]],0,IF(ABS((J45-Таблица3[[#This Row],[ф5 *X]])/(J45+Таблица3[[#This Row],[ф5 *X]]))&lt;0.01,1,2))</f>
        <v>0</v>
      </c>
      <c r="AN49" s="247">
        <f>IF(K45=Таблица3[[#This Row],[ф6 *X^2]],0,IF(ABS((K45-Таблица3[[#This Row],[ф6 *X^2]])/(K45+Таблица3[[#This Row],[ф6 *X^2]]))&lt;0.01,1,2))</f>
        <v>0</v>
      </c>
      <c r="AO49" s="247">
        <f>IF(L45=Таблица3[[#This Row],[ф7 *Х^3]],0,IF(ABS((L45-Таблица3[[#This Row],[ф7 *Х^3]])/(L45+Таблица3[[#This Row],[ф7 *Х^3]]))&lt;0.01,1,2))</f>
        <v>0</v>
      </c>
    </row>
    <row r="50" spans="1:41" x14ac:dyDescent="0.35">
      <c r="A50" s="145" t="s">
        <v>89</v>
      </c>
      <c r="B50" s="145" t="s">
        <v>61</v>
      </c>
      <c r="C50" s="253">
        <v>298.14999999999998</v>
      </c>
      <c r="D50" s="253">
        <v>1500</v>
      </c>
      <c r="E50" s="254">
        <v>1.9782420000000001</v>
      </c>
      <c r="F50" s="254">
        <v>54.51784</v>
      </c>
      <c r="G50" s="254">
        <v>6.89046</v>
      </c>
      <c r="H50" s="254">
        <v>-1.736525E-4</v>
      </c>
      <c r="I50" s="254">
        <v>5.6347979999999999E-2</v>
      </c>
      <c r="J50" s="254">
        <v>1.1843140000000001</v>
      </c>
      <c r="K50" s="254">
        <v>-3.094471</v>
      </c>
      <c r="L50" s="254">
        <v>4.1616710000000001</v>
      </c>
      <c r="M50" s="261">
        <f t="shared" si="4"/>
        <v>1</v>
      </c>
      <c r="O50" s="255" t="s">
        <v>101</v>
      </c>
      <c r="P50" s="255" t="s">
        <v>63</v>
      </c>
      <c r="Q50" s="256">
        <v>298.14999999999998</v>
      </c>
      <c r="R50" s="256">
        <v>413</v>
      </c>
      <c r="S50" s="255">
        <v>0.10769138252450537</v>
      </c>
      <c r="T50" s="255">
        <v>54.853251742343801</v>
      </c>
      <c r="U50" s="255">
        <v>12.931625473570268</v>
      </c>
      <c r="V50" s="255">
        <v>-2.6345540922484819E-4</v>
      </c>
      <c r="W50" s="255">
        <v>0.40426080105349993</v>
      </c>
      <c r="X50" s="255">
        <v>-5.4483131878044384</v>
      </c>
      <c r="Y50" s="255">
        <v>114.4045542927015</v>
      </c>
      <c r="Z50" s="255">
        <v>0</v>
      </c>
      <c r="AA50" s="242">
        <v>1</v>
      </c>
      <c r="AC50" s="145" t="str">
        <f t="shared" si="5"/>
        <v>Se[M]</v>
      </c>
      <c r="AD50" s="247" t="str">
        <f>Таблица3[[#This Row],[Вещество]]</f>
        <v>Se[M]</v>
      </c>
      <c r="AE50" s="247">
        <f>IF(B46=Таблица3[[#This Row],[Фаза]],0,2)</f>
        <v>2</v>
      </c>
      <c r="AF50" s="247">
        <f>IF(C46=Таблица3[[#This Row],[To]],0,IF(ABS((C46-Таблица3[[#This Row],[To]])/(C46+Таблица3[[#This Row],[To]]))&lt;0.01,1,2))</f>
        <v>0</v>
      </c>
      <c r="AG50" s="247">
        <f>IF(D46=Таблица3[[#This Row],[T]],0,IF(ABS((D46-Таблица3[[#This Row],[T]])/(D46+Таблица3[[#This Row],[T]]))&lt;0.01,1,2))</f>
        <v>1</v>
      </c>
      <c r="AH50" s="247">
        <f>IF(E46=Таблица3[[#This Row],[ho]],0,IF(ABS((E46-Таблица3[[#This Row],[ho]])/(E46+Таблица3[[#This Row],[ho]]))&lt;0.01,1,2))</f>
        <v>1</v>
      </c>
      <c r="AI50" s="247">
        <f>IF(F46=Таблица3[[#This Row],[ф1]],0,IF(ABS((F46-Таблица3[[#This Row],[ф1]])/(F46+Таблица3[[#This Row],[ф1]]))&lt;0.01,1,2))</f>
        <v>1</v>
      </c>
      <c r="AJ50" s="247">
        <f>IF(G46=Таблица3[[#This Row],[ф2 *lnX]],0,IF(ABS((G46-Таблица3[[#This Row],[ф2 *lnX]])/(G46+Таблица3[[#This Row],[ф2 *lnX]]))&lt;0.01,1,2))</f>
        <v>1</v>
      </c>
      <c r="AK50" s="247">
        <f>IF(H46=Таблица3[[#This Row],[ф3 *X^(-2)]],0,IF(ABS((H46-Таблица3[[#This Row],[ф3 *X^(-2)]])/(H46+Таблица3[[#This Row],[ф3 *X^(-2)]]))&lt;0.01,1,2))</f>
        <v>1</v>
      </c>
      <c r="AL50" s="247">
        <f>IF(I46=Таблица3[[#This Row],[ф4 *X^(-1)]],0,IF(ABS((I46-Таблица3[[#This Row],[ф4 *X^(-1)]])/(I46+Таблица3[[#This Row],[ф4 *X^(-1)]]))&lt;0.01,1,2))</f>
        <v>1</v>
      </c>
      <c r="AM50" s="247">
        <f>IF(J46=Таблица3[[#This Row],[ф5 *X]],0,IF(ABS((J46-Таблица3[[#This Row],[ф5 *X]])/(J46+Таблица3[[#This Row],[ф5 *X]]))&lt;0.01,1,2))</f>
        <v>1</v>
      </c>
      <c r="AN50" s="247">
        <f>IF(K46=Таблица3[[#This Row],[ф6 *X^2]],0,IF(ABS((K46-Таблица3[[#This Row],[ф6 *X^2]])/(K46+Таблица3[[#This Row],[ф6 *X^2]]))&lt;0.01,1,2))</f>
        <v>0</v>
      </c>
      <c r="AO50" s="247">
        <f>IF(L46=Таблица3[[#This Row],[ф7 *Х^3]],0,IF(ABS((L46-Таблица3[[#This Row],[ф7 *Х^3]])/(L46+Таблица3[[#This Row],[ф7 *Х^3]]))&lt;0.01,1,2))</f>
        <v>0</v>
      </c>
    </row>
    <row r="51" spans="1:41" x14ac:dyDescent="0.35">
      <c r="A51" s="145" t="s">
        <v>89</v>
      </c>
      <c r="B51" s="145" t="s">
        <v>61</v>
      </c>
      <c r="C51" s="253">
        <v>1500</v>
      </c>
      <c r="D51" s="253">
        <v>6000</v>
      </c>
      <c r="E51" s="254">
        <v>1.9782420000000001</v>
      </c>
      <c r="F51" s="254">
        <v>54.816650000000003</v>
      </c>
      <c r="G51" s="254">
        <v>7.0000840000000002</v>
      </c>
      <c r="H51" s="254">
        <v>-2.193664E-4</v>
      </c>
      <c r="I51" s="254">
        <v>6.1325909999999997E-2</v>
      </c>
      <c r="J51" s="254">
        <v>3.7539989999999998E-4</v>
      </c>
      <c r="K51" s="254">
        <v>-1.8322499999999999E-4</v>
      </c>
      <c r="L51" s="254">
        <v>4.3410669999999999E-5</v>
      </c>
      <c r="M51" s="261">
        <f t="shared" si="4"/>
        <v>1</v>
      </c>
      <c r="O51" s="255" t="s">
        <v>102</v>
      </c>
      <c r="P51" s="255" t="s">
        <v>63</v>
      </c>
      <c r="Q51" s="256">
        <v>298.14999999999998</v>
      </c>
      <c r="R51" s="256">
        <v>398</v>
      </c>
      <c r="S51" s="255">
        <v>0.1962595465752601</v>
      </c>
      <c r="T51" s="255">
        <v>18.555499584494658</v>
      </c>
      <c r="U51" s="255">
        <v>4.881231583378435</v>
      </c>
      <c r="V51" s="255">
        <v>0</v>
      </c>
      <c r="W51" s="255">
        <v>0.14553391965842802</v>
      </c>
      <c r="X51" s="255">
        <v>0</v>
      </c>
      <c r="Y51" s="255">
        <v>0</v>
      </c>
      <c r="Z51" s="255">
        <v>0</v>
      </c>
      <c r="AA51" s="242">
        <v>1</v>
      </c>
      <c r="AC51" s="145" t="str">
        <f t="shared" si="5"/>
        <v>Se[R]</v>
      </c>
      <c r="AD51" s="247" t="str">
        <f>Таблица3[[#This Row],[Вещество]]</f>
        <v>Se[R]</v>
      </c>
      <c r="AE51" s="247">
        <f>IF(B47=Таблица3[[#This Row],[Фаза]],0,2)</f>
        <v>2</v>
      </c>
      <c r="AF51" s="247">
        <f>IF(C47=Таблица3[[#This Row],[To]],0,IF(ABS((C47-Таблица3[[#This Row],[To]])/(C47+Таблица3[[#This Row],[To]]))&lt;0.01,1,2))</f>
        <v>0</v>
      </c>
      <c r="AG51" s="247">
        <f>IF(D47=Таблица3[[#This Row],[T]],0,IF(ABS((D47-Таблица3[[#This Row],[T]])/(D47+Таблица3[[#This Row],[T]]))&lt;0.01,1,2))</f>
        <v>0</v>
      </c>
      <c r="AH51" s="247">
        <f>IF(E47=Таблица3[[#This Row],[ho]],0,IF(ABS((E47-Таблица3[[#This Row],[ho]])/(E47+Таблица3[[#This Row],[ho]]))&lt;0.01,1,2))</f>
        <v>1</v>
      </c>
      <c r="AI51" s="247">
        <f>IF(F47=Таблица3[[#This Row],[ф1]],0,IF(ABS((F47-Таблица3[[#This Row],[ф1]])/(F47+Таблица3[[#This Row],[ф1]]))&lt;0.01,1,2))</f>
        <v>1</v>
      </c>
      <c r="AJ51" s="247">
        <f>IF(G47=Таблица3[[#This Row],[ф2 *lnX]],0,IF(ABS((G47-Таблица3[[#This Row],[ф2 *lnX]])/(G47+Таблица3[[#This Row],[ф2 *lnX]]))&lt;0.01,1,2))</f>
        <v>1</v>
      </c>
      <c r="AK51" s="247">
        <f>IF(H47=Таблица3[[#This Row],[ф3 *X^(-2)]],0,IF(ABS((H47-Таблица3[[#This Row],[ф3 *X^(-2)]])/(H47+Таблица3[[#This Row],[ф3 *X^(-2)]]))&lt;0.01,1,2))</f>
        <v>0</v>
      </c>
      <c r="AL51" s="247">
        <f>IF(I47=Таблица3[[#This Row],[ф4 *X^(-1)]],0,IF(ABS((I47-Таблица3[[#This Row],[ф4 *X^(-1)]])/(I47+Таблица3[[#This Row],[ф4 *X^(-1)]]))&lt;0.01,1,2))</f>
        <v>1</v>
      </c>
      <c r="AM51" s="247">
        <f>IF(J47=Таблица3[[#This Row],[ф5 *X]],0,IF(ABS((J47-Таблица3[[#This Row],[ф5 *X]])/(J47+Таблица3[[#This Row],[ф5 *X]]))&lt;0.01,1,2))</f>
        <v>0</v>
      </c>
      <c r="AN51" s="247">
        <f>IF(K47=Таблица3[[#This Row],[ф6 *X^2]],0,IF(ABS((K47-Таблица3[[#This Row],[ф6 *X^2]])/(K47+Таблица3[[#This Row],[ф6 *X^2]]))&lt;0.01,1,2))</f>
        <v>0</v>
      </c>
      <c r="AO51" s="247">
        <f>IF(L47=Таблица3[[#This Row],[ф7 *Х^3]],0,IF(ABS((L47-Таблица3[[#This Row],[ф7 *Х^3]])/(L47+Таблица3[[#This Row],[ф7 *Х^3]]))&lt;0.01,1,2))</f>
        <v>0</v>
      </c>
    </row>
    <row r="52" spans="1:41" x14ac:dyDescent="0.35">
      <c r="A52" s="145" t="s">
        <v>90</v>
      </c>
      <c r="B52" s="145" t="s">
        <v>61</v>
      </c>
      <c r="C52" s="253">
        <v>298.14999999999998</v>
      </c>
      <c r="D52" s="253">
        <v>1500</v>
      </c>
      <c r="E52" s="254">
        <v>1.7796749999999999</v>
      </c>
      <c r="F52" s="254">
        <v>65.627989999999997</v>
      </c>
      <c r="G52" s="254">
        <v>9.8077830000000006</v>
      </c>
      <c r="H52" s="254">
        <v>-2.9475889999999998E-4</v>
      </c>
      <c r="I52" s="254">
        <v>0.1005359</v>
      </c>
      <c r="J52" s="254">
        <v>2.0750869999999999</v>
      </c>
      <c r="K52" s="254">
        <v>-5.417872</v>
      </c>
      <c r="L52" s="254">
        <v>7.2822940000000003</v>
      </c>
      <c r="M52" s="261">
        <f t="shared" si="4"/>
        <v>1</v>
      </c>
      <c r="O52" s="145" t="s">
        <v>88</v>
      </c>
      <c r="P52" s="145" t="s">
        <v>61</v>
      </c>
      <c r="Q52" s="253">
        <v>298.14999999999998</v>
      </c>
      <c r="R52" s="253">
        <v>1500</v>
      </c>
      <c r="S52" s="145">
        <v>1.6083639999999999</v>
      </c>
      <c r="T52" s="145">
        <v>46.654719999999998</v>
      </c>
      <c r="U52" s="145">
        <v>6.370749</v>
      </c>
      <c r="V52" s="145">
        <v>-1.7220000000000001E-4</v>
      </c>
      <c r="W52" s="145">
        <v>6.049562E-2</v>
      </c>
      <c r="X52" s="145">
        <v>-20.810030000000001</v>
      </c>
      <c r="Y52" s="145">
        <v>56.994140000000002</v>
      </c>
      <c r="Z52" s="145">
        <v>-73.985680000000002</v>
      </c>
      <c r="AA52" s="242">
        <v>1</v>
      </c>
      <c r="AC52" s="145" t="str">
        <f t="shared" si="5"/>
        <v>Se2</v>
      </c>
      <c r="AD52" s="247" t="str">
        <f>Таблица3[[#This Row],[Вещество]]</f>
        <v>Se2</v>
      </c>
      <c r="AE52" s="247">
        <f>IF(B48=Таблица3[[#This Row],[Фаза]],0,2)</f>
        <v>0</v>
      </c>
      <c r="AF52" s="247">
        <f>IF(C48=Таблица3[[#This Row],[To]],0,IF(ABS((C48-Таблица3[[#This Row],[To]])/(C48+Таблица3[[#This Row],[To]]))&lt;0.01,1,2))</f>
        <v>0</v>
      </c>
      <c r="AG52" s="247">
        <f>IF(D48=Таблица3[[#This Row],[T]],0,IF(ABS((D48-Таблица3[[#This Row],[T]])/(D48+Таблица3[[#This Row],[T]]))&lt;0.01,1,2))</f>
        <v>0</v>
      </c>
      <c r="AH52" s="247">
        <f>IF(E48=Таблица3[[#This Row],[ho]],0,IF(ABS((E48-Таблица3[[#This Row],[ho]])/(E48+Таблица3[[#This Row],[ho]]))&lt;0.01,1,2))</f>
        <v>0</v>
      </c>
      <c r="AI52" s="247">
        <f>IF(F48=Таблица3[[#This Row],[ф1]],0,IF(ABS((F48-Таблица3[[#This Row],[ф1]])/(F48+Таблица3[[#This Row],[ф1]]))&lt;0.01,1,2))</f>
        <v>0</v>
      </c>
      <c r="AJ52" s="247">
        <f>IF(G48=Таблица3[[#This Row],[ф2 *lnX]],0,IF(ABS((G48-Таблица3[[#This Row],[ф2 *lnX]])/(G48+Таблица3[[#This Row],[ф2 *lnX]]))&lt;0.01,1,2))</f>
        <v>0</v>
      </c>
      <c r="AK52" s="247">
        <f>IF(H48=Таблица3[[#This Row],[ф3 *X^(-2)]],0,IF(ABS((H48-Таблица3[[#This Row],[ф3 *X^(-2)]])/(H48+Таблица3[[#This Row],[ф3 *X^(-2)]]))&lt;0.01,1,2))</f>
        <v>0</v>
      </c>
      <c r="AL52" s="247">
        <f>IF(I48=Таблица3[[#This Row],[ф4 *X^(-1)]],0,IF(ABS((I48-Таблица3[[#This Row],[ф4 *X^(-1)]])/(I48+Таблица3[[#This Row],[ф4 *X^(-1)]]))&lt;0.01,1,2))</f>
        <v>0</v>
      </c>
      <c r="AM52" s="247">
        <f>IF(J48=Таблица3[[#This Row],[ф5 *X]],0,IF(ABS((J48-Таблица3[[#This Row],[ф5 *X]])/(J48+Таблица3[[#This Row],[ф5 *X]]))&lt;0.01,1,2))</f>
        <v>0</v>
      </c>
      <c r="AN52" s="247">
        <f>IF(K48=Таблица3[[#This Row],[ф6 *X^2]],0,IF(ABS((K48-Таблица3[[#This Row],[ф6 *X^2]])/(K48+Таблица3[[#This Row],[ф6 *X^2]]))&lt;0.01,1,2))</f>
        <v>0</v>
      </c>
      <c r="AO52" s="247">
        <f>IF(L48=Таблица3[[#This Row],[ф7 *Х^3]],0,IF(ABS((L48-Таблица3[[#This Row],[ф7 *Х^3]])/(L48+Таблица3[[#This Row],[ф7 *Х^3]]))&lt;0.01,1,2))</f>
        <v>0</v>
      </c>
    </row>
    <row r="53" spans="1:41" x14ac:dyDescent="0.35">
      <c r="A53" s="145" t="s">
        <v>90</v>
      </c>
      <c r="B53" s="145" t="s">
        <v>61</v>
      </c>
      <c r="C53" s="253">
        <v>1500</v>
      </c>
      <c r="D53" s="253">
        <v>6000</v>
      </c>
      <c r="E53" s="254">
        <v>1.7796749999999999</v>
      </c>
      <c r="F53" s="254">
        <v>66.151300000000006</v>
      </c>
      <c r="G53" s="254">
        <v>9.9996779999999994</v>
      </c>
      <c r="H53" s="254">
        <v>-3.7359040000000001E-4</v>
      </c>
      <c r="I53" s="254">
        <v>0.1092219</v>
      </c>
      <c r="J53" s="254">
        <v>1.8328540000000001E-3</v>
      </c>
      <c r="K53" s="254">
        <v>-1.155547E-3</v>
      </c>
      <c r="L53" s="254">
        <v>3.7609010000000002E-4</v>
      </c>
      <c r="M53" s="261">
        <f t="shared" si="4"/>
        <v>1</v>
      </c>
      <c r="O53" s="145" t="s">
        <v>88</v>
      </c>
      <c r="P53" s="145" t="s">
        <v>61</v>
      </c>
      <c r="Q53" s="253">
        <v>1500</v>
      </c>
      <c r="R53" s="253">
        <v>6000</v>
      </c>
      <c r="S53" s="145">
        <v>1.6083639999999999</v>
      </c>
      <c r="T53" s="145">
        <v>41.393599999999999</v>
      </c>
      <c r="U53" s="145">
        <v>4.6638549999999999</v>
      </c>
      <c r="V53" s="145">
        <v>-1.334432E-3</v>
      </c>
      <c r="W53" s="145">
        <v>3.6780319999999998E-2</v>
      </c>
      <c r="X53" s="145">
        <v>0.98545360000000004</v>
      </c>
      <c r="Y53" s="145">
        <v>-0.13838919999999999</v>
      </c>
      <c r="Z53" s="145">
        <v>-0.2247374</v>
      </c>
      <c r="AA53" s="242">
        <v>1</v>
      </c>
      <c r="AC53" s="145" t="str">
        <f t="shared" si="5"/>
        <v>Se2</v>
      </c>
      <c r="AD53" s="247" t="str">
        <f>Таблица3[[#This Row],[Вещество]]</f>
        <v>Se2</v>
      </c>
      <c r="AE53" s="247">
        <f>IF(B49=Таблица3[[#This Row],[Фаза]],0,2)</f>
        <v>0</v>
      </c>
      <c r="AF53" s="247">
        <f>IF(C49=Таблица3[[#This Row],[To]],0,IF(ABS((C49-Таблица3[[#This Row],[To]])/(C49+Таблица3[[#This Row],[To]]))&lt;0.01,1,2))</f>
        <v>0</v>
      </c>
      <c r="AG53" s="247">
        <f>IF(D49=Таблица3[[#This Row],[T]],0,IF(ABS((D49-Таблица3[[#This Row],[T]])/(D49+Таблица3[[#This Row],[T]]))&lt;0.01,1,2))</f>
        <v>0</v>
      </c>
      <c r="AH53" s="247">
        <f>IF(E49=Таблица3[[#This Row],[ho]],0,IF(ABS((E49-Таблица3[[#This Row],[ho]])/(E49+Таблица3[[#This Row],[ho]]))&lt;0.01,1,2))</f>
        <v>0</v>
      </c>
      <c r="AI53" s="247">
        <f>IF(F49=Таблица3[[#This Row],[ф1]],0,IF(ABS((F49-Таблица3[[#This Row],[ф1]])/(F49+Таблица3[[#This Row],[ф1]]))&lt;0.01,1,2))</f>
        <v>0</v>
      </c>
      <c r="AJ53" s="247">
        <f>IF(G49=Таблица3[[#This Row],[ф2 *lnX]],0,IF(ABS((G49-Таблица3[[#This Row],[ф2 *lnX]])/(G49+Таблица3[[#This Row],[ф2 *lnX]]))&lt;0.01,1,2))</f>
        <v>0</v>
      </c>
      <c r="AK53" s="247">
        <f>IF(H49=Таблица3[[#This Row],[ф3 *X^(-2)]],0,IF(ABS((H49-Таблица3[[#This Row],[ф3 *X^(-2)]])/(H49+Таблица3[[#This Row],[ф3 *X^(-2)]]))&lt;0.01,1,2))</f>
        <v>0</v>
      </c>
      <c r="AL53" s="247">
        <f>IF(I49=Таблица3[[#This Row],[ф4 *X^(-1)]],0,IF(ABS((I49-Таблица3[[#This Row],[ф4 *X^(-1)]])/(I49+Таблица3[[#This Row],[ф4 *X^(-1)]]))&lt;0.01,1,2))</f>
        <v>0</v>
      </c>
      <c r="AM53" s="247">
        <f>IF(J49=Таблица3[[#This Row],[ф5 *X]],0,IF(ABS((J49-Таблица3[[#This Row],[ф5 *X]])/(J49+Таблица3[[#This Row],[ф5 *X]]))&lt;0.01,1,2))</f>
        <v>0</v>
      </c>
      <c r="AN53" s="247">
        <f>IF(K49=Таблица3[[#This Row],[ф6 *X^2]],0,IF(ABS((K49-Таблица3[[#This Row],[ф6 *X^2]])/(K49+Таблица3[[#This Row],[ф6 *X^2]]))&lt;0.01,1,2))</f>
        <v>0</v>
      </c>
      <c r="AO53" s="247">
        <f>IF(L49=Таблица3[[#This Row],[ф7 *Х^3]],0,IF(ABS((L49-Таблица3[[#This Row],[ф7 *Х^3]])/(L49+Таблица3[[#This Row],[ф7 *Х^3]]))&lt;0.01,1,2))</f>
        <v>0</v>
      </c>
    </row>
    <row r="54" spans="1:41" x14ac:dyDescent="0.35">
      <c r="A54" s="145" t="s">
        <v>91</v>
      </c>
      <c r="B54" s="145" t="s">
        <v>61</v>
      </c>
      <c r="C54" s="253">
        <v>298.14999999999998</v>
      </c>
      <c r="D54" s="253">
        <v>1500</v>
      </c>
      <c r="E54" s="254">
        <v>1.593137</v>
      </c>
      <c r="F54" s="254">
        <v>82.10181</v>
      </c>
      <c r="G54" s="254">
        <v>12.889200000000001</v>
      </c>
      <c r="H54" s="254">
        <v>-2.7534359999999998E-4</v>
      </c>
      <c r="I54" s="254">
        <v>0.11292489999999999</v>
      </c>
      <c r="J54" s="254">
        <v>1.2045049999999999</v>
      </c>
      <c r="K54" s="254">
        <v>-3.1549330000000002</v>
      </c>
      <c r="L54" s="254">
        <v>4.2508710000000001</v>
      </c>
      <c r="M54" s="261">
        <f t="shared" si="4"/>
        <v>1</v>
      </c>
      <c r="O54" s="145" t="s">
        <v>89</v>
      </c>
      <c r="P54" s="145" t="s">
        <v>61</v>
      </c>
      <c r="Q54" s="253">
        <v>298.14999999999998</v>
      </c>
      <c r="R54" s="253">
        <v>1500</v>
      </c>
      <c r="S54" s="145">
        <v>1.9782420000000001</v>
      </c>
      <c r="T54" s="145">
        <v>54.51784</v>
      </c>
      <c r="U54" s="145">
        <v>6.89046</v>
      </c>
      <c r="V54" s="145">
        <v>-1.736525E-4</v>
      </c>
      <c r="W54" s="145">
        <v>5.6347979999999999E-2</v>
      </c>
      <c r="X54" s="145">
        <v>1.1843140000000001</v>
      </c>
      <c r="Y54" s="145">
        <v>-3.094471</v>
      </c>
      <c r="Z54" s="145">
        <v>4.1616710000000001</v>
      </c>
      <c r="AA54" s="242">
        <v>1</v>
      </c>
      <c r="AC54" s="145" t="str">
        <f t="shared" si="5"/>
        <v>Se3</v>
      </c>
      <c r="AD54" s="247" t="str">
        <f>Таблица3[[#This Row],[Вещество]]</f>
        <v>Se3</v>
      </c>
      <c r="AE54" s="247">
        <f>IF(B50=Таблица3[[#This Row],[Фаза]],0,2)</f>
        <v>0</v>
      </c>
      <c r="AF54" s="247">
        <f>IF(C50=Таблица3[[#This Row],[To]],0,IF(ABS((C50-Таблица3[[#This Row],[To]])/(C50+Таблица3[[#This Row],[To]]))&lt;0.01,1,2))</f>
        <v>0</v>
      </c>
      <c r="AG54" s="247">
        <f>IF(D50=Таблица3[[#This Row],[T]],0,IF(ABS((D50-Таблица3[[#This Row],[T]])/(D50+Таблица3[[#This Row],[T]]))&lt;0.01,1,2))</f>
        <v>0</v>
      </c>
      <c r="AH54" s="247">
        <f>IF(E50=Таблица3[[#This Row],[ho]],0,IF(ABS((E50-Таблица3[[#This Row],[ho]])/(E50+Таблица3[[#This Row],[ho]]))&lt;0.01,1,2))</f>
        <v>0</v>
      </c>
      <c r="AI54" s="247">
        <f>IF(F50=Таблица3[[#This Row],[ф1]],0,IF(ABS((F50-Таблица3[[#This Row],[ф1]])/(F50+Таблица3[[#This Row],[ф1]]))&lt;0.01,1,2))</f>
        <v>0</v>
      </c>
      <c r="AJ54" s="247">
        <f>IF(G50=Таблица3[[#This Row],[ф2 *lnX]],0,IF(ABS((G50-Таблица3[[#This Row],[ф2 *lnX]])/(G50+Таблица3[[#This Row],[ф2 *lnX]]))&lt;0.01,1,2))</f>
        <v>0</v>
      </c>
      <c r="AK54" s="247">
        <f>IF(H50=Таблица3[[#This Row],[ф3 *X^(-2)]],0,IF(ABS((H50-Таблица3[[#This Row],[ф3 *X^(-2)]])/(H50+Таблица3[[#This Row],[ф3 *X^(-2)]]))&lt;0.01,1,2))</f>
        <v>0</v>
      </c>
      <c r="AL54" s="247">
        <f>IF(I50=Таблица3[[#This Row],[ф4 *X^(-1)]],0,IF(ABS((I50-Таблица3[[#This Row],[ф4 *X^(-1)]])/(I50+Таблица3[[#This Row],[ф4 *X^(-1)]]))&lt;0.01,1,2))</f>
        <v>0</v>
      </c>
      <c r="AM54" s="247">
        <f>IF(J50=Таблица3[[#This Row],[ф5 *X]],0,IF(ABS((J50-Таблица3[[#This Row],[ф5 *X]])/(J50+Таблица3[[#This Row],[ф5 *X]]))&lt;0.01,1,2))</f>
        <v>0</v>
      </c>
      <c r="AN54" s="247">
        <f>IF(K50=Таблица3[[#This Row],[ф6 *X^2]],0,IF(ABS((K50-Таблица3[[#This Row],[ф6 *X^2]])/(K50+Таблица3[[#This Row],[ф6 *X^2]]))&lt;0.01,1,2))</f>
        <v>0</v>
      </c>
      <c r="AO54" s="247">
        <f>IF(L50=Таблица3[[#This Row],[ф7 *Х^3]],0,IF(ABS((L50-Таблица3[[#This Row],[ф7 *Х^3]])/(L50+Таблица3[[#This Row],[ф7 *Х^3]]))&lt;0.01,1,2))</f>
        <v>0</v>
      </c>
    </row>
    <row r="55" spans="1:41" x14ac:dyDescent="0.35">
      <c r="A55" s="145" t="s">
        <v>91</v>
      </c>
      <c r="B55" s="145" t="s">
        <v>61</v>
      </c>
      <c r="C55" s="253">
        <v>1500</v>
      </c>
      <c r="D55" s="253">
        <v>6000</v>
      </c>
      <c r="E55" s="254">
        <v>1.593137</v>
      </c>
      <c r="F55" s="254">
        <v>82.404619999999994</v>
      </c>
      <c r="G55" s="254">
        <v>12.999980000000001</v>
      </c>
      <c r="H55" s="254">
        <v>-3.1975439999999998E-4</v>
      </c>
      <c r="I55" s="254">
        <v>0.117897</v>
      </c>
      <c r="J55" s="254">
        <v>1.496076E-3</v>
      </c>
      <c r="K55" s="254">
        <v>-1.046272E-3</v>
      </c>
      <c r="L55" s="254">
        <v>3.8618760000000001E-4</v>
      </c>
      <c r="M55" s="261">
        <f t="shared" si="4"/>
        <v>1</v>
      </c>
      <c r="O55" s="145" t="s">
        <v>89</v>
      </c>
      <c r="P55" s="145" t="s">
        <v>61</v>
      </c>
      <c r="Q55" s="253">
        <v>1500</v>
      </c>
      <c r="R55" s="253">
        <v>6000</v>
      </c>
      <c r="S55" s="145">
        <v>1.9782420000000001</v>
      </c>
      <c r="T55" s="145">
        <v>54.816650000000003</v>
      </c>
      <c r="U55" s="145">
        <v>7.0000840000000002</v>
      </c>
      <c r="V55" s="145">
        <v>-2.193664E-4</v>
      </c>
      <c r="W55" s="145">
        <v>6.1325909999999997E-2</v>
      </c>
      <c r="X55" s="145">
        <v>3.7539989999999998E-4</v>
      </c>
      <c r="Y55" s="145">
        <v>-1.8322499999999999E-4</v>
      </c>
      <c r="Z55" s="145">
        <v>4.3410669999999999E-5</v>
      </c>
      <c r="AA55" s="242">
        <v>1</v>
      </c>
      <c r="AC55" s="145" t="str">
        <f t="shared" si="5"/>
        <v>Se3</v>
      </c>
      <c r="AD55" s="247" t="str">
        <f>Таблица3[[#This Row],[Вещество]]</f>
        <v>Se3</v>
      </c>
      <c r="AE55" s="247">
        <f>IF(B51=Таблица3[[#This Row],[Фаза]],0,2)</f>
        <v>0</v>
      </c>
      <c r="AF55" s="247">
        <f>IF(C51=Таблица3[[#This Row],[To]],0,IF(ABS((C51-Таблица3[[#This Row],[To]])/(C51+Таблица3[[#This Row],[To]]))&lt;0.01,1,2))</f>
        <v>0</v>
      </c>
      <c r="AG55" s="247">
        <f>IF(D51=Таблица3[[#This Row],[T]],0,IF(ABS((D51-Таблица3[[#This Row],[T]])/(D51+Таблица3[[#This Row],[T]]))&lt;0.01,1,2))</f>
        <v>0</v>
      </c>
      <c r="AH55" s="247">
        <f>IF(E51=Таблица3[[#This Row],[ho]],0,IF(ABS((E51-Таблица3[[#This Row],[ho]])/(E51+Таблица3[[#This Row],[ho]]))&lt;0.01,1,2))</f>
        <v>0</v>
      </c>
      <c r="AI55" s="247">
        <f>IF(F51=Таблица3[[#This Row],[ф1]],0,IF(ABS((F51-Таблица3[[#This Row],[ф1]])/(F51+Таблица3[[#This Row],[ф1]]))&lt;0.01,1,2))</f>
        <v>0</v>
      </c>
      <c r="AJ55" s="247">
        <f>IF(G51=Таблица3[[#This Row],[ф2 *lnX]],0,IF(ABS((G51-Таблица3[[#This Row],[ф2 *lnX]])/(G51+Таблица3[[#This Row],[ф2 *lnX]]))&lt;0.01,1,2))</f>
        <v>0</v>
      </c>
      <c r="AK55" s="247">
        <f>IF(H51=Таблица3[[#This Row],[ф3 *X^(-2)]],0,IF(ABS((H51-Таблица3[[#This Row],[ф3 *X^(-2)]])/(H51+Таблица3[[#This Row],[ф3 *X^(-2)]]))&lt;0.01,1,2))</f>
        <v>0</v>
      </c>
      <c r="AL55" s="247">
        <f>IF(I51=Таблица3[[#This Row],[ф4 *X^(-1)]],0,IF(ABS((I51-Таблица3[[#This Row],[ф4 *X^(-1)]])/(I51+Таблица3[[#This Row],[ф4 *X^(-1)]]))&lt;0.01,1,2))</f>
        <v>0</v>
      </c>
      <c r="AM55" s="247">
        <f>IF(J51=Таблица3[[#This Row],[ф5 *X]],0,IF(ABS((J51-Таблица3[[#This Row],[ф5 *X]])/(J51+Таблица3[[#This Row],[ф5 *X]]))&lt;0.01,1,2))</f>
        <v>0</v>
      </c>
      <c r="AN55" s="247">
        <f>IF(K51=Таблица3[[#This Row],[ф6 *X^2]],0,IF(ABS((K51-Таблица3[[#This Row],[ф6 *X^2]])/(K51+Таблица3[[#This Row],[ф6 *X^2]]))&lt;0.01,1,2))</f>
        <v>0</v>
      </c>
      <c r="AO55" s="247">
        <f>IF(L51=Таблица3[[#This Row],[ф7 *Х^3]],0,IF(ABS((L51-Таблица3[[#This Row],[ф7 *Х^3]])/(L51+Таблица3[[#This Row],[ф7 *Х^3]]))&lt;0.01,1,2))</f>
        <v>0</v>
      </c>
    </row>
    <row r="56" spans="1:41" x14ac:dyDescent="0.35">
      <c r="A56" s="145" t="s">
        <v>92</v>
      </c>
      <c r="B56" s="145" t="s">
        <v>61</v>
      </c>
      <c r="C56" s="253">
        <v>298.14999999999998</v>
      </c>
      <c r="D56" s="253">
        <v>1500</v>
      </c>
      <c r="E56" s="254">
        <v>1.310376</v>
      </c>
      <c r="F56" s="254">
        <v>92.080410000000001</v>
      </c>
      <c r="G56" s="254">
        <v>15.90657</v>
      </c>
      <c r="H56" s="254">
        <v>-3.1941130000000002E-4</v>
      </c>
      <c r="I56" s="254">
        <v>0.14695030000000001</v>
      </c>
      <c r="J56" s="254">
        <v>1.017784</v>
      </c>
      <c r="K56" s="254">
        <v>-2.6653210000000001</v>
      </c>
      <c r="L56" s="254">
        <v>3.5898659999999998</v>
      </c>
      <c r="M56" s="261">
        <f t="shared" si="4"/>
        <v>1</v>
      </c>
      <c r="O56" s="145" t="s">
        <v>90</v>
      </c>
      <c r="P56" s="145" t="s">
        <v>61</v>
      </c>
      <c r="Q56" s="253">
        <v>298.14999999999998</v>
      </c>
      <c r="R56" s="253">
        <v>1500</v>
      </c>
      <c r="S56" s="145">
        <v>1.7796749999999999</v>
      </c>
      <c r="T56" s="145">
        <v>65.627989999999997</v>
      </c>
      <c r="U56" s="145">
        <v>9.8077830000000006</v>
      </c>
      <c r="V56" s="145">
        <v>-2.9475889999999998E-4</v>
      </c>
      <c r="W56" s="145">
        <v>0.1005359</v>
      </c>
      <c r="X56" s="145">
        <v>2.0750869999999999</v>
      </c>
      <c r="Y56" s="145">
        <v>-5.417872</v>
      </c>
      <c r="Z56" s="145">
        <v>7.2822940000000003</v>
      </c>
      <c r="AA56" s="242">
        <v>1</v>
      </c>
      <c r="AC56" s="145" t="str">
        <f t="shared" si="5"/>
        <v>Se4</v>
      </c>
      <c r="AD56" s="247" t="str">
        <f>Таблица3[[#This Row],[Вещество]]</f>
        <v>Se4</v>
      </c>
      <c r="AE56" s="247">
        <f>IF(B52=Таблица3[[#This Row],[Фаза]],0,2)</f>
        <v>0</v>
      </c>
      <c r="AF56" s="247">
        <f>IF(C52=Таблица3[[#This Row],[To]],0,IF(ABS((C52-Таблица3[[#This Row],[To]])/(C52+Таблица3[[#This Row],[To]]))&lt;0.01,1,2))</f>
        <v>0</v>
      </c>
      <c r="AG56" s="247">
        <f>IF(D52=Таблица3[[#This Row],[T]],0,IF(ABS((D52-Таблица3[[#This Row],[T]])/(D52+Таблица3[[#This Row],[T]]))&lt;0.01,1,2))</f>
        <v>0</v>
      </c>
      <c r="AH56" s="247">
        <f>IF(E52=Таблица3[[#This Row],[ho]],0,IF(ABS((E52-Таблица3[[#This Row],[ho]])/(E52+Таблица3[[#This Row],[ho]]))&lt;0.01,1,2))</f>
        <v>0</v>
      </c>
      <c r="AI56" s="247">
        <f>IF(F52=Таблица3[[#This Row],[ф1]],0,IF(ABS((F52-Таблица3[[#This Row],[ф1]])/(F52+Таблица3[[#This Row],[ф1]]))&lt;0.01,1,2))</f>
        <v>0</v>
      </c>
      <c r="AJ56" s="247">
        <f>IF(G52=Таблица3[[#This Row],[ф2 *lnX]],0,IF(ABS((G52-Таблица3[[#This Row],[ф2 *lnX]])/(G52+Таблица3[[#This Row],[ф2 *lnX]]))&lt;0.01,1,2))</f>
        <v>0</v>
      </c>
      <c r="AK56" s="247">
        <f>IF(H52=Таблица3[[#This Row],[ф3 *X^(-2)]],0,IF(ABS((H52-Таблица3[[#This Row],[ф3 *X^(-2)]])/(H52+Таблица3[[#This Row],[ф3 *X^(-2)]]))&lt;0.01,1,2))</f>
        <v>0</v>
      </c>
      <c r="AL56" s="247">
        <f>IF(I52=Таблица3[[#This Row],[ф4 *X^(-1)]],0,IF(ABS((I52-Таблица3[[#This Row],[ф4 *X^(-1)]])/(I52+Таблица3[[#This Row],[ф4 *X^(-1)]]))&lt;0.01,1,2))</f>
        <v>0</v>
      </c>
      <c r="AM56" s="247">
        <f>IF(J52=Таблица3[[#This Row],[ф5 *X]],0,IF(ABS((J52-Таблица3[[#This Row],[ф5 *X]])/(J52+Таблица3[[#This Row],[ф5 *X]]))&lt;0.01,1,2))</f>
        <v>0</v>
      </c>
      <c r="AN56" s="247">
        <f>IF(K52=Таблица3[[#This Row],[ф6 *X^2]],0,IF(ABS((K52-Таблица3[[#This Row],[ф6 *X^2]])/(K52+Таблица3[[#This Row],[ф6 *X^2]]))&lt;0.01,1,2))</f>
        <v>0</v>
      </c>
      <c r="AO56" s="247">
        <f>IF(L52=Таблица3[[#This Row],[ф7 *Х^3]],0,IF(ABS((L52-Таблица3[[#This Row],[ф7 *Х^3]])/(L52+Таблица3[[#This Row],[ф7 *Х^3]]))&lt;0.01,1,2))</f>
        <v>0</v>
      </c>
    </row>
    <row r="57" spans="1:41" x14ac:dyDescent="0.35">
      <c r="A57" s="145" t="s">
        <v>92</v>
      </c>
      <c r="B57" s="145" t="s">
        <v>61</v>
      </c>
      <c r="C57" s="253">
        <v>1500</v>
      </c>
      <c r="D57" s="253">
        <v>6000</v>
      </c>
      <c r="E57" s="254">
        <v>1.310376</v>
      </c>
      <c r="F57" s="254">
        <v>92.335269999999994</v>
      </c>
      <c r="G57" s="254">
        <v>15.99952</v>
      </c>
      <c r="H57" s="254">
        <v>-3.5474159999999999E-4</v>
      </c>
      <c r="I57" s="254">
        <v>0.151062</v>
      </c>
      <c r="J57" s="254">
        <v>3.4559289999999999E-3</v>
      </c>
      <c r="K57" s="254">
        <v>-2.5853989999999999E-3</v>
      </c>
      <c r="L57" s="254">
        <v>9.828650999999999E-4</v>
      </c>
      <c r="M57" s="261">
        <f t="shared" si="4"/>
        <v>1</v>
      </c>
      <c r="O57" s="145" t="s">
        <v>90</v>
      </c>
      <c r="P57" s="145" t="s">
        <v>61</v>
      </c>
      <c r="Q57" s="253">
        <v>1500</v>
      </c>
      <c r="R57" s="253">
        <v>6000</v>
      </c>
      <c r="S57" s="145">
        <v>1.7796749999999999</v>
      </c>
      <c r="T57" s="145">
        <v>66.151300000000006</v>
      </c>
      <c r="U57" s="145">
        <v>9.9996779999999994</v>
      </c>
      <c r="V57" s="145">
        <v>-3.7359040000000001E-4</v>
      </c>
      <c r="W57" s="145">
        <v>0.1092219</v>
      </c>
      <c r="X57" s="145">
        <v>1.8328540000000001E-3</v>
      </c>
      <c r="Y57" s="145">
        <v>-1.155547E-3</v>
      </c>
      <c r="Z57" s="145">
        <v>3.7609010000000002E-4</v>
      </c>
      <c r="AA57" s="242">
        <v>1</v>
      </c>
      <c r="AC57" s="145" t="str">
        <f t="shared" si="5"/>
        <v>Se4</v>
      </c>
      <c r="AD57" s="247" t="str">
        <f>Таблица3[[#This Row],[Вещество]]</f>
        <v>Se4</v>
      </c>
      <c r="AE57" s="247">
        <f>IF(B53=Таблица3[[#This Row],[Фаза]],0,2)</f>
        <v>0</v>
      </c>
      <c r="AF57" s="247">
        <f>IF(C53=Таблица3[[#This Row],[To]],0,IF(ABS((C53-Таблица3[[#This Row],[To]])/(C53+Таблица3[[#This Row],[To]]))&lt;0.01,1,2))</f>
        <v>0</v>
      </c>
      <c r="AG57" s="247">
        <f>IF(D53=Таблица3[[#This Row],[T]],0,IF(ABS((D53-Таблица3[[#This Row],[T]])/(D53+Таблица3[[#This Row],[T]]))&lt;0.01,1,2))</f>
        <v>0</v>
      </c>
      <c r="AH57" s="247">
        <f>IF(E53=Таблица3[[#This Row],[ho]],0,IF(ABS((E53-Таблица3[[#This Row],[ho]])/(E53+Таблица3[[#This Row],[ho]]))&lt;0.01,1,2))</f>
        <v>0</v>
      </c>
      <c r="AI57" s="247">
        <f>IF(F53=Таблица3[[#This Row],[ф1]],0,IF(ABS((F53-Таблица3[[#This Row],[ф1]])/(F53+Таблица3[[#This Row],[ф1]]))&lt;0.01,1,2))</f>
        <v>0</v>
      </c>
      <c r="AJ57" s="247">
        <f>IF(G53=Таблица3[[#This Row],[ф2 *lnX]],0,IF(ABS((G53-Таблица3[[#This Row],[ф2 *lnX]])/(G53+Таблица3[[#This Row],[ф2 *lnX]]))&lt;0.01,1,2))</f>
        <v>0</v>
      </c>
      <c r="AK57" s="247">
        <f>IF(H53=Таблица3[[#This Row],[ф3 *X^(-2)]],0,IF(ABS((H53-Таблица3[[#This Row],[ф3 *X^(-2)]])/(H53+Таблица3[[#This Row],[ф3 *X^(-2)]]))&lt;0.01,1,2))</f>
        <v>0</v>
      </c>
      <c r="AL57" s="247">
        <f>IF(I53=Таблица3[[#This Row],[ф4 *X^(-1)]],0,IF(ABS((I53-Таблица3[[#This Row],[ф4 *X^(-1)]])/(I53+Таблица3[[#This Row],[ф4 *X^(-1)]]))&lt;0.01,1,2))</f>
        <v>0</v>
      </c>
      <c r="AM57" s="247">
        <f>IF(J53=Таблица3[[#This Row],[ф5 *X]],0,IF(ABS((J53-Таблица3[[#This Row],[ф5 *X]])/(J53+Таблица3[[#This Row],[ф5 *X]]))&lt;0.01,1,2))</f>
        <v>0</v>
      </c>
      <c r="AN57" s="247">
        <f>IF(K53=Таблица3[[#This Row],[ф6 *X^2]],0,IF(ABS((K53-Таблица3[[#This Row],[ф6 *X^2]])/(K53+Таблица3[[#This Row],[ф6 *X^2]]))&lt;0.01,1,2))</f>
        <v>0</v>
      </c>
      <c r="AO57" s="247">
        <f>IF(L53=Таблица3[[#This Row],[ф7 *Х^3]],0,IF(ABS((L53-Таблица3[[#This Row],[ф7 *Х^3]])/(L53+Таблица3[[#This Row],[ф7 *Х^3]]))&lt;0.01,1,2))</f>
        <v>0</v>
      </c>
    </row>
    <row r="58" spans="1:41" x14ac:dyDescent="0.35">
      <c r="A58" s="145" t="s">
        <v>93</v>
      </c>
      <c r="B58" s="145" t="s">
        <v>61</v>
      </c>
      <c r="C58" s="253">
        <v>298.14999999999998</v>
      </c>
      <c r="D58" s="253">
        <v>1500</v>
      </c>
      <c r="E58" s="254">
        <v>1.3764209999999999</v>
      </c>
      <c r="F58" s="254">
        <v>106.2873</v>
      </c>
      <c r="G58" s="254">
        <v>18.87481</v>
      </c>
      <c r="H58" s="254">
        <v>-3.9471889999999999E-4</v>
      </c>
      <c r="I58" s="254">
        <v>0.18061250000000001</v>
      </c>
      <c r="J58" s="254">
        <v>1.363551</v>
      </c>
      <c r="K58" s="254">
        <v>-3.5720109999999998</v>
      </c>
      <c r="L58" s="254">
        <v>4.8116719999999997</v>
      </c>
      <c r="M58" s="261">
        <f t="shared" si="4"/>
        <v>1</v>
      </c>
      <c r="O58" s="145" t="s">
        <v>91</v>
      </c>
      <c r="P58" s="145" t="s">
        <v>61</v>
      </c>
      <c r="Q58" s="253">
        <v>298.14999999999998</v>
      </c>
      <c r="R58" s="253">
        <v>1500</v>
      </c>
      <c r="S58" s="145">
        <v>1.593137</v>
      </c>
      <c r="T58" s="145">
        <v>82.10181</v>
      </c>
      <c r="U58" s="145">
        <v>12.889200000000001</v>
      </c>
      <c r="V58" s="145">
        <v>-2.7534359999999998E-4</v>
      </c>
      <c r="W58" s="145">
        <v>0.11292489999999999</v>
      </c>
      <c r="X58" s="145">
        <v>1.2045049999999999</v>
      </c>
      <c r="Y58" s="145">
        <v>-3.1549330000000002</v>
      </c>
      <c r="Z58" s="145">
        <v>4.2508710000000001</v>
      </c>
      <c r="AA58" s="242">
        <v>1</v>
      </c>
      <c r="AC58" s="145" t="str">
        <f t="shared" si="5"/>
        <v>Se5</v>
      </c>
      <c r="AD58" s="247" t="str">
        <f>Таблица3[[#This Row],[Вещество]]</f>
        <v>Se5</v>
      </c>
      <c r="AE58" s="247">
        <f>IF(B54=Таблица3[[#This Row],[Фаза]],0,2)</f>
        <v>0</v>
      </c>
      <c r="AF58" s="247">
        <f>IF(C54=Таблица3[[#This Row],[To]],0,IF(ABS((C54-Таблица3[[#This Row],[To]])/(C54+Таблица3[[#This Row],[To]]))&lt;0.01,1,2))</f>
        <v>0</v>
      </c>
      <c r="AG58" s="247">
        <f>IF(D54=Таблица3[[#This Row],[T]],0,IF(ABS((D54-Таблица3[[#This Row],[T]])/(D54+Таблица3[[#This Row],[T]]))&lt;0.01,1,2))</f>
        <v>0</v>
      </c>
      <c r="AH58" s="247">
        <f>IF(E54=Таблица3[[#This Row],[ho]],0,IF(ABS((E54-Таблица3[[#This Row],[ho]])/(E54+Таблица3[[#This Row],[ho]]))&lt;0.01,1,2))</f>
        <v>0</v>
      </c>
      <c r="AI58" s="247">
        <f>IF(F54=Таблица3[[#This Row],[ф1]],0,IF(ABS((F54-Таблица3[[#This Row],[ф1]])/(F54+Таблица3[[#This Row],[ф1]]))&lt;0.01,1,2))</f>
        <v>0</v>
      </c>
      <c r="AJ58" s="247">
        <f>IF(G54=Таблица3[[#This Row],[ф2 *lnX]],0,IF(ABS((G54-Таблица3[[#This Row],[ф2 *lnX]])/(G54+Таблица3[[#This Row],[ф2 *lnX]]))&lt;0.01,1,2))</f>
        <v>0</v>
      </c>
      <c r="AK58" s="247">
        <f>IF(H54=Таблица3[[#This Row],[ф3 *X^(-2)]],0,IF(ABS((H54-Таблица3[[#This Row],[ф3 *X^(-2)]])/(H54+Таблица3[[#This Row],[ф3 *X^(-2)]]))&lt;0.01,1,2))</f>
        <v>0</v>
      </c>
      <c r="AL58" s="247">
        <f>IF(I54=Таблица3[[#This Row],[ф4 *X^(-1)]],0,IF(ABS((I54-Таблица3[[#This Row],[ф4 *X^(-1)]])/(I54+Таблица3[[#This Row],[ф4 *X^(-1)]]))&lt;0.01,1,2))</f>
        <v>0</v>
      </c>
      <c r="AM58" s="247">
        <f>IF(J54=Таблица3[[#This Row],[ф5 *X]],0,IF(ABS((J54-Таблица3[[#This Row],[ф5 *X]])/(J54+Таблица3[[#This Row],[ф5 *X]]))&lt;0.01,1,2))</f>
        <v>0</v>
      </c>
      <c r="AN58" s="247">
        <f>IF(K54=Таблица3[[#This Row],[ф6 *X^2]],0,IF(ABS((K54-Таблица3[[#This Row],[ф6 *X^2]])/(K54+Таблица3[[#This Row],[ф6 *X^2]]))&lt;0.01,1,2))</f>
        <v>0</v>
      </c>
      <c r="AO58" s="247">
        <f>IF(L54=Таблица3[[#This Row],[ф7 *Х^3]],0,IF(ABS((L54-Таблица3[[#This Row],[ф7 *Х^3]])/(L54+Таблица3[[#This Row],[ф7 *Х^3]]))&lt;0.01,1,2))</f>
        <v>0</v>
      </c>
    </row>
    <row r="59" spans="1:41" x14ac:dyDescent="0.35">
      <c r="A59" s="145" t="s">
        <v>93</v>
      </c>
      <c r="B59" s="145" t="s">
        <v>61</v>
      </c>
      <c r="C59" s="253">
        <v>1500</v>
      </c>
      <c r="D59" s="253">
        <v>6000</v>
      </c>
      <c r="E59" s="254">
        <v>1.3764209999999999</v>
      </c>
      <c r="F59" s="254">
        <v>106.6301</v>
      </c>
      <c r="G59" s="254">
        <v>19.000219999999999</v>
      </c>
      <c r="H59" s="254">
        <v>-4.455711E-4</v>
      </c>
      <c r="I59" s="254">
        <v>0.18625030000000001</v>
      </c>
      <c r="J59" s="254">
        <v>1.466539E-3</v>
      </c>
      <c r="K59" s="254">
        <v>-9.910276E-4</v>
      </c>
      <c r="L59" s="254">
        <v>3.4599259999999998E-4</v>
      </c>
      <c r="M59" s="261">
        <f t="shared" si="4"/>
        <v>1</v>
      </c>
      <c r="O59" s="145" t="s">
        <v>91</v>
      </c>
      <c r="P59" s="145" t="s">
        <v>61</v>
      </c>
      <c r="Q59" s="253">
        <v>1500</v>
      </c>
      <c r="R59" s="253">
        <v>6000</v>
      </c>
      <c r="S59" s="145">
        <v>1.593137</v>
      </c>
      <c r="T59" s="145">
        <v>82.404619999999994</v>
      </c>
      <c r="U59" s="145">
        <v>12.999980000000001</v>
      </c>
      <c r="V59" s="145">
        <v>-3.1975439999999998E-4</v>
      </c>
      <c r="W59" s="145">
        <v>0.117897</v>
      </c>
      <c r="X59" s="145">
        <v>1.496076E-3</v>
      </c>
      <c r="Y59" s="145">
        <v>-1.046272E-3</v>
      </c>
      <c r="Z59" s="145">
        <v>3.8618760000000001E-4</v>
      </c>
      <c r="AA59" s="242">
        <v>1</v>
      </c>
      <c r="AC59" s="145" t="str">
        <f t="shared" si="5"/>
        <v>Se5</v>
      </c>
      <c r="AD59" s="247" t="str">
        <f>Таблица3[[#This Row],[Вещество]]</f>
        <v>Se5</v>
      </c>
      <c r="AE59" s="247">
        <f>IF(B55=Таблица3[[#This Row],[Фаза]],0,2)</f>
        <v>0</v>
      </c>
      <c r="AF59" s="247">
        <f>IF(C55=Таблица3[[#This Row],[To]],0,IF(ABS((C55-Таблица3[[#This Row],[To]])/(C55+Таблица3[[#This Row],[To]]))&lt;0.01,1,2))</f>
        <v>0</v>
      </c>
      <c r="AG59" s="247">
        <f>IF(D55=Таблица3[[#This Row],[T]],0,IF(ABS((D55-Таблица3[[#This Row],[T]])/(D55+Таблица3[[#This Row],[T]]))&lt;0.01,1,2))</f>
        <v>0</v>
      </c>
      <c r="AH59" s="247">
        <f>IF(E55=Таблица3[[#This Row],[ho]],0,IF(ABS((E55-Таблица3[[#This Row],[ho]])/(E55+Таблица3[[#This Row],[ho]]))&lt;0.01,1,2))</f>
        <v>0</v>
      </c>
      <c r="AI59" s="247">
        <f>IF(F55=Таблица3[[#This Row],[ф1]],0,IF(ABS((F55-Таблица3[[#This Row],[ф1]])/(F55+Таблица3[[#This Row],[ф1]]))&lt;0.01,1,2))</f>
        <v>0</v>
      </c>
      <c r="AJ59" s="247">
        <f>IF(G55=Таблица3[[#This Row],[ф2 *lnX]],0,IF(ABS((G55-Таблица3[[#This Row],[ф2 *lnX]])/(G55+Таблица3[[#This Row],[ф2 *lnX]]))&lt;0.01,1,2))</f>
        <v>0</v>
      </c>
      <c r="AK59" s="247">
        <f>IF(H55=Таблица3[[#This Row],[ф3 *X^(-2)]],0,IF(ABS((H55-Таблица3[[#This Row],[ф3 *X^(-2)]])/(H55+Таблица3[[#This Row],[ф3 *X^(-2)]]))&lt;0.01,1,2))</f>
        <v>0</v>
      </c>
      <c r="AL59" s="247">
        <f>IF(I55=Таблица3[[#This Row],[ф4 *X^(-1)]],0,IF(ABS((I55-Таблица3[[#This Row],[ф4 *X^(-1)]])/(I55+Таблица3[[#This Row],[ф4 *X^(-1)]]))&lt;0.01,1,2))</f>
        <v>0</v>
      </c>
      <c r="AM59" s="247">
        <f>IF(J55=Таблица3[[#This Row],[ф5 *X]],0,IF(ABS((J55-Таблица3[[#This Row],[ф5 *X]])/(J55+Таблица3[[#This Row],[ф5 *X]]))&lt;0.01,1,2))</f>
        <v>0</v>
      </c>
      <c r="AN59" s="247">
        <f>IF(K55=Таблица3[[#This Row],[ф6 *X^2]],0,IF(ABS((K55-Таблица3[[#This Row],[ф6 *X^2]])/(K55+Таблица3[[#This Row],[ф6 *X^2]]))&lt;0.01,1,2))</f>
        <v>0</v>
      </c>
      <c r="AO59" s="247">
        <f>IF(L55=Таблица3[[#This Row],[ф7 *Х^3]],0,IF(ABS((L55-Таблица3[[#This Row],[ф7 *Х^3]])/(L55+Таблица3[[#This Row],[ф7 *Х^3]]))&lt;0.01,1,2))</f>
        <v>0</v>
      </c>
    </row>
    <row r="60" spans="1:41" x14ac:dyDescent="0.35">
      <c r="A60" s="145" t="s">
        <v>94</v>
      </c>
      <c r="B60" s="145" t="s">
        <v>61</v>
      </c>
      <c r="C60" s="253">
        <v>298.14999999999998</v>
      </c>
      <c r="D60" s="253">
        <v>1500</v>
      </c>
      <c r="E60" s="254">
        <v>1.4184099999999999</v>
      </c>
      <c r="F60" s="254">
        <v>118.3836</v>
      </c>
      <c r="G60" s="254">
        <v>21.846499999999999</v>
      </c>
      <c r="H60" s="254">
        <v>-4.55196E-4</v>
      </c>
      <c r="I60" s="254">
        <v>0.2049985</v>
      </c>
      <c r="J60" s="254">
        <v>1.669807</v>
      </c>
      <c r="K60" s="254">
        <v>-4.3705270000000001</v>
      </c>
      <c r="L60" s="254">
        <v>5.8827660000000002</v>
      </c>
      <c r="M60" s="261">
        <f t="shared" si="4"/>
        <v>1</v>
      </c>
      <c r="O60" s="145" t="s">
        <v>92</v>
      </c>
      <c r="P60" s="145" t="s">
        <v>61</v>
      </c>
      <c r="Q60" s="253">
        <v>298.14999999999998</v>
      </c>
      <c r="R60" s="253">
        <v>1500</v>
      </c>
      <c r="S60" s="145">
        <v>1.310376</v>
      </c>
      <c r="T60" s="145">
        <v>92.080410000000001</v>
      </c>
      <c r="U60" s="145">
        <v>15.90657</v>
      </c>
      <c r="V60" s="145">
        <v>-3.1941130000000002E-4</v>
      </c>
      <c r="W60" s="145">
        <v>0.14695030000000001</v>
      </c>
      <c r="X60" s="145">
        <v>1.017784</v>
      </c>
      <c r="Y60" s="145">
        <v>-2.6653210000000001</v>
      </c>
      <c r="Z60" s="145">
        <v>3.5898659999999998</v>
      </c>
      <c r="AA60" s="242">
        <v>1</v>
      </c>
      <c r="AC60" s="145" t="str">
        <f t="shared" si="5"/>
        <v>Se6</v>
      </c>
      <c r="AD60" s="247" t="str">
        <f>Таблица3[[#This Row],[Вещество]]</f>
        <v>Se6</v>
      </c>
      <c r="AE60" s="247">
        <f>IF(B56=Таблица3[[#This Row],[Фаза]],0,2)</f>
        <v>0</v>
      </c>
      <c r="AF60" s="247">
        <f>IF(C56=Таблица3[[#This Row],[To]],0,IF(ABS((C56-Таблица3[[#This Row],[To]])/(C56+Таблица3[[#This Row],[To]]))&lt;0.01,1,2))</f>
        <v>0</v>
      </c>
      <c r="AG60" s="247">
        <f>IF(D56=Таблица3[[#This Row],[T]],0,IF(ABS((D56-Таблица3[[#This Row],[T]])/(D56+Таблица3[[#This Row],[T]]))&lt;0.01,1,2))</f>
        <v>0</v>
      </c>
      <c r="AH60" s="247">
        <f>IF(E56=Таблица3[[#This Row],[ho]],0,IF(ABS((E56-Таблица3[[#This Row],[ho]])/(E56+Таблица3[[#This Row],[ho]]))&lt;0.01,1,2))</f>
        <v>0</v>
      </c>
      <c r="AI60" s="247">
        <f>IF(F56=Таблица3[[#This Row],[ф1]],0,IF(ABS((F56-Таблица3[[#This Row],[ф1]])/(F56+Таблица3[[#This Row],[ф1]]))&lt;0.01,1,2))</f>
        <v>0</v>
      </c>
      <c r="AJ60" s="247">
        <f>IF(G56=Таблица3[[#This Row],[ф2 *lnX]],0,IF(ABS((G56-Таблица3[[#This Row],[ф2 *lnX]])/(G56+Таблица3[[#This Row],[ф2 *lnX]]))&lt;0.01,1,2))</f>
        <v>0</v>
      </c>
      <c r="AK60" s="247">
        <f>IF(H56=Таблица3[[#This Row],[ф3 *X^(-2)]],0,IF(ABS((H56-Таблица3[[#This Row],[ф3 *X^(-2)]])/(H56+Таблица3[[#This Row],[ф3 *X^(-2)]]))&lt;0.01,1,2))</f>
        <v>0</v>
      </c>
      <c r="AL60" s="247">
        <f>IF(I56=Таблица3[[#This Row],[ф4 *X^(-1)]],0,IF(ABS((I56-Таблица3[[#This Row],[ф4 *X^(-1)]])/(I56+Таблица3[[#This Row],[ф4 *X^(-1)]]))&lt;0.01,1,2))</f>
        <v>0</v>
      </c>
      <c r="AM60" s="247">
        <f>IF(J56=Таблица3[[#This Row],[ф5 *X]],0,IF(ABS((J56-Таблица3[[#This Row],[ф5 *X]])/(J56+Таблица3[[#This Row],[ф5 *X]]))&lt;0.01,1,2))</f>
        <v>0</v>
      </c>
      <c r="AN60" s="247">
        <f>IF(K56=Таблица3[[#This Row],[ф6 *X^2]],0,IF(ABS((K56-Таблица3[[#This Row],[ф6 *X^2]])/(K56+Таблица3[[#This Row],[ф6 *X^2]]))&lt;0.01,1,2))</f>
        <v>0</v>
      </c>
      <c r="AO60" s="247">
        <f>IF(L56=Таблица3[[#This Row],[ф7 *Х^3]],0,IF(ABS((L56-Таблица3[[#This Row],[ф7 *Х^3]])/(L56+Таблица3[[#This Row],[ф7 *Х^3]]))&lt;0.01,1,2))</f>
        <v>0</v>
      </c>
    </row>
    <row r="61" spans="1:41" ht="21.75" thickBot="1" x14ac:dyDescent="0.4">
      <c r="A61" s="145" t="s">
        <v>94</v>
      </c>
      <c r="B61" s="145" t="s">
        <v>61</v>
      </c>
      <c r="C61" s="253">
        <v>1500</v>
      </c>
      <c r="D61" s="253">
        <v>6000</v>
      </c>
      <c r="E61" s="254">
        <v>1.4184099999999999</v>
      </c>
      <c r="F61" s="254">
        <v>118.80549999999999</v>
      </c>
      <c r="G61" s="254">
        <v>22.001380000000001</v>
      </c>
      <c r="H61" s="254">
        <v>-5.2171050000000005E-4</v>
      </c>
      <c r="I61" s="254">
        <v>0.21207509999999999</v>
      </c>
      <c r="J61" s="254">
        <v>-2.09779E-3</v>
      </c>
      <c r="K61" s="254">
        <v>1.840469E-3</v>
      </c>
      <c r="L61" s="254">
        <v>-7.697003E-4</v>
      </c>
      <c r="M61" s="262">
        <f t="shared" si="4"/>
        <v>1</v>
      </c>
      <c r="O61" s="145" t="s">
        <v>92</v>
      </c>
      <c r="P61" s="145" t="s">
        <v>61</v>
      </c>
      <c r="Q61" s="253">
        <v>1500</v>
      </c>
      <c r="R61" s="253">
        <v>6000</v>
      </c>
      <c r="S61" s="145">
        <v>1.310376</v>
      </c>
      <c r="T61" s="145">
        <v>92.335269999999994</v>
      </c>
      <c r="U61" s="145">
        <v>15.99952</v>
      </c>
      <c r="V61" s="145">
        <v>-3.5474159999999999E-4</v>
      </c>
      <c r="W61" s="145">
        <v>0.151062</v>
      </c>
      <c r="X61" s="145">
        <v>3.4559289999999999E-3</v>
      </c>
      <c r="Y61" s="145">
        <v>-2.5853989999999999E-3</v>
      </c>
      <c r="Z61" s="145">
        <v>9.828650999999999E-4</v>
      </c>
      <c r="AA61" s="242">
        <v>1</v>
      </c>
      <c r="AC61" s="145" t="str">
        <f t="shared" si="5"/>
        <v>Se6</v>
      </c>
      <c r="AD61" s="247" t="str">
        <f>Таблица3[[#This Row],[Вещество]]</f>
        <v>Se6</v>
      </c>
      <c r="AE61" s="247">
        <f>IF(B57=Таблица3[[#This Row],[Фаза]],0,2)</f>
        <v>0</v>
      </c>
      <c r="AF61" s="247">
        <f>IF(C57=Таблица3[[#This Row],[To]],0,IF(ABS((C57-Таблица3[[#This Row],[To]])/(C57+Таблица3[[#This Row],[To]]))&lt;0.01,1,2))</f>
        <v>0</v>
      </c>
      <c r="AG61" s="247">
        <f>IF(D57=Таблица3[[#This Row],[T]],0,IF(ABS((D57-Таблица3[[#This Row],[T]])/(D57+Таблица3[[#This Row],[T]]))&lt;0.01,1,2))</f>
        <v>0</v>
      </c>
      <c r="AH61" s="247">
        <f>IF(E57=Таблица3[[#This Row],[ho]],0,IF(ABS((E57-Таблица3[[#This Row],[ho]])/(E57+Таблица3[[#This Row],[ho]]))&lt;0.01,1,2))</f>
        <v>0</v>
      </c>
      <c r="AI61" s="247">
        <f>IF(F57=Таблица3[[#This Row],[ф1]],0,IF(ABS((F57-Таблица3[[#This Row],[ф1]])/(F57+Таблица3[[#This Row],[ф1]]))&lt;0.01,1,2))</f>
        <v>0</v>
      </c>
      <c r="AJ61" s="247">
        <f>IF(G57=Таблица3[[#This Row],[ф2 *lnX]],0,IF(ABS((G57-Таблица3[[#This Row],[ф2 *lnX]])/(G57+Таблица3[[#This Row],[ф2 *lnX]]))&lt;0.01,1,2))</f>
        <v>0</v>
      </c>
      <c r="AK61" s="247">
        <f>IF(H57=Таблица3[[#This Row],[ф3 *X^(-2)]],0,IF(ABS((H57-Таблица3[[#This Row],[ф3 *X^(-2)]])/(H57+Таблица3[[#This Row],[ф3 *X^(-2)]]))&lt;0.01,1,2))</f>
        <v>0</v>
      </c>
      <c r="AL61" s="247">
        <f>IF(I57=Таблица3[[#This Row],[ф4 *X^(-1)]],0,IF(ABS((I57-Таблица3[[#This Row],[ф4 *X^(-1)]])/(I57+Таблица3[[#This Row],[ф4 *X^(-1)]]))&lt;0.01,1,2))</f>
        <v>0</v>
      </c>
      <c r="AM61" s="247">
        <f>IF(J57=Таблица3[[#This Row],[ф5 *X]],0,IF(ABS((J57-Таблица3[[#This Row],[ф5 *X]])/(J57+Таблица3[[#This Row],[ф5 *X]]))&lt;0.01,1,2))</f>
        <v>0</v>
      </c>
      <c r="AN61" s="247">
        <f>IF(K57=Таблица3[[#This Row],[ф6 *X^2]],0,IF(ABS((K57-Таблица3[[#This Row],[ф6 *X^2]])/(K57+Таблица3[[#This Row],[ф6 *X^2]]))&lt;0.01,1,2))</f>
        <v>0</v>
      </c>
      <c r="AO61" s="247">
        <f>IF(L57=Таблица3[[#This Row],[ф7 *Х^3]],0,IF(ABS((L57-Таблица3[[#This Row],[ф7 *Х^3]])/(L57+Таблица3[[#This Row],[ф7 *Х^3]]))&lt;0.01,1,2))</f>
        <v>0</v>
      </c>
    </row>
    <row r="62" spans="1:41" x14ac:dyDescent="0.35">
      <c r="O62" s="145" t="s">
        <v>93</v>
      </c>
      <c r="P62" s="145" t="s">
        <v>61</v>
      </c>
      <c r="Q62" s="253">
        <v>298.14999999999998</v>
      </c>
      <c r="R62" s="253">
        <v>1500</v>
      </c>
      <c r="S62" s="145">
        <v>1.3764209999999999</v>
      </c>
      <c r="T62" s="145">
        <v>106.2873</v>
      </c>
      <c r="U62" s="145">
        <v>18.87481</v>
      </c>
      <c r="V62" s="145">
        <v>-3.9471889999999999E-4</v>
      </c>
      <c r="W62" s="145">
        <v>0.18061250000000001</v>
      </c>
      <c r="X62" s="145">
        <v>1.363551</v>
      </c>
      <c r="Y62" s="145">
        <v>-3.5720109999999998</v>
      </c>
      <c r="Z62" s="145">
        <v>4.8116719999999997</v>
      </c>
      <c r="AA62" s="242">
        <v>1</v>
      </c>
      <c r="AC62" s="145" t="str">
        <f t="shared" si="5"/>
        <v>Se7</v>
      </c>
      <c r="AD62" s="247" t="str">
        <f>Таблица3[[#This Row],[Вещество]]</f>
        <v>Se7</v>
      </c>
      <c r="AE62" s="247">
        <f>IF(B58=Таблица3[[#This Row],[Фаза]],0,2)</f>
        <v>0</v>
      </c>
      <c r="AF62" s="247">
        <f>IF(C58=Таблица3[[#This Row],[To]],0,IF(ABS((C58-Таблица3[[#This Row],[To]])/(C58+Таблица3[[#This Row],[To]]))&lt;0.01,1,2))</f>
        <v>0</v>
      </c>
      <c r="AG62" s="247">
        <f>IF(D58=Таблица3[[#This Row],[T]],0,IF(ABS((D58-Таблица3[[#This Row],[T]])/(D58+Таблица3[[#This Row],[T]]))&lt;0.01,1,2))</f>
        <v>0</v>
      </c>
      <c r="AH62" s="247">
        <f>IF(E58=Таблица3[[#This Row],[ho]],0,IF(ABS((E58-Таблица3[[#This Row],[ho]])/(E58+Таблица3[[#This Row],[ho]]))&lt;0.01,1,2))</f>
        <v>0</v>
      </c>
      <c r="AI62" s="247">
        <f>IF(F58=Таблица3[[#This Row],[ф1]],0,IF(ABS((F58-Таблица3[[#This Row],[ф1]])/(F58+Таблица3[[#This Row],[ф1]]))&lt;0.01,1,2))</f>
        <v>0</v>
      </c>
      <c r="AJ62" s="247">
        <f>IF(G58=Таблица3[[#This Row],[ф2 *lnX]],0,IF(ABS((G58-Таблица3[[#This Row],[ф2 *lnX]])/(G58+Таблица3[[#This Row],[ф2 *lnX]]))&lt;0.01,1,2))</f>
        <v>0</v>
      </c>
      <c r="AK62" s="247">
        <f>IF(H58=Таблица3[[#This Row],[ф3 *X^(-2)]],0,IF(ABS((H58-Таблица3[[#This Row],[ф3 *X^(-2)]])/(H58+Таблица3[[#This Row],[ф3 *X^(-2)]]))&lt;0.01,1,2))</f>
        <v>0</v>
      </c>
      <c r="AL62" s="247">
        <f>IF(I58=Таблица3[[#This Row],[ф4 *X^(-1)]],0,IF(ABS((I58-Таблица3[[#This Row],[ф4 *X^(-1)]])/(I58+Таблица3[[#This Row],[ф4 *X^(-1)]]))&lt;0.01,1,2))</f>
        <v>0</v>
      </c>
      <c r="AM62" s="247">
        <f>IF(J58=Таблица3[[#This Row],[ф5 *X]],0,IF(ABS((J58-Таблица3[[#This Row],[ф5 *X]])/(J58+Таблица3[[#This Row],[ф5 *X]]))&lt;0.01,1,2))</f>
        <v>0</v>
      </c>
      <c r="AN62" s="247">
        <f>IF(K58=Таблица3[[#This Row],[ф6 *X^2]],0,IF(ABS((K58-Таблица3[[#This Row],[ф6 *X^2]])/(K58+Таблица3[[#This Row],[ф6 *X^2]]))&lt;0.01,1,2))</f>
        <v>0</v>
      </c>
      <c r="AO62" s="247">
        <f>IF(L58=Таблица3[[#This Row],[ф7 *Х^3]],0,IF(ABS((L58-Таблица3[[#This Row],[ф7 *Х^3]])/(L58+Таблица3[[#This Row],[ф7 *Х^3]]))&lt;0.01,1,2))</f>
        <v>0</v>
      </c>
    </row>
    <row r="63" spans="1:41" x14ac:dyDescent="0.35">
      <c r="O63" s="145" t="s">
        <v>93</v>
      </c>
      <c r="P63" s="145" t="s">
        <v>61</v>
      </c>
      <c r="Q63" s="253">
        <v>1500</v>
      </c>
      <c r="R63" s="253">
        <v>6000</v>
      </c>
      <c r="S63" s="145">
        <v>1.3764209999999999</v>
      </c>
      <c r="T63" s="145">
        <v>106.6301</v>
      </c>
      <c r="U63" s="145">
        <v>19.000219999999999</v>
      </c>
      <c r="V63" s="145">
        <v>-4.455711E-4</v>
      </c>
      <c r="W63" s="145">
        <v>0.18625030000000001</v>
      </c>
      <c r="X63" s="145">
        <v>1.466539E-3</v>
      </c>
      <c r="Y63" s="145">
        <v>-9.910276E-4</v>
      </c>
      <c r="Z63" s="145">
        <v>3.4599259999999998E-4</v>
      </c>
      <c r="AA63" s="242">
        <v>1</v>
      </c>
      <c r="AC63" s="145" t="str">
        <f t="shared" si="5"/>
        <v>Se7</v>
      </c>
      <c r="AD63" s="247" t="str">
        <f>Таблица3[[#This Row],[Вещество]]</f>
        <v>Se7</v>
      </c>
      <c r="AE63" s="247">
        <f>IF(B59=Таблица3[[#This Row],[Фаза]],0,2)</f>
        <v>0</v>
      </c>
      <c r="AF63" s="247">
        <f>IF(C59=Таблица3[[#This Row],[To]],0,IF(ABS((C59-Таблица3[[#This Row],[To]])/(C59+Таблица3[[#This Row],[To]]))&lt;0.01,1,2))</f>
        <v>0</v>
      </c>
      <c r="AG63" s="247">
        <f>IF(D59=Таблица3[[#This Row],[T]],0,IF(ABS((D59-Таблица3[[#This Row],[T]])/(D59+Таблица3[[#This Row],[T]]))&lt;0.01,1,2))</f>
        <v>0</v>
      </c>
      <c r="AH63" s="247">
        <f>IF(E59=Таблица3[[#This Row],[ho]],0,IF(ABS((E59-Таблица3[[#This Row],[ho]])/(E59+Таблица3[[#This Row],[ho]]))&lt;0.01,1,2))</f>
        <v>0</v>
      </c>
      <c r="AI63" s="247">
        <f>IF(F59=Таблица3[[#This Row],[ф1]],0,IF(ABS((F59-Таблица3[[#This Row],[ф1]])/(F59+Таблица3[[#This Row],[ф1]]))&lt;0.01,1,2))</f>
        <v>0</v>
      </c>
      <c r="AJ63" s="247">
        <f>IF(G59=Таблица3[[#This Row],[ф2 *lnX]],0,IF(ABS((G59-Таблица3[[#This Row],[ф2 *lnX]])/(G59+Таблица3[[#This Row],[ф2 *lnX]]))&lt;0.01,1,2))</f>
        <v>0</v>
      </c>
      <c r="AK63" s="247">
        <f>IF(H59=Таблица3[[#This Row],[ф3 *X^(-2)]],0,IF(ABS((H59-Таблица3[[#This Row],[ф3 *X^(-2)]])/(H59+Таблица3[[#This Row],[ф3 *X^(-2)]]))&lt;0.01,1,2))</f>
        <v>0</v>
      </c>
      <c r="AL63" s="247">
        <f>IF(I59=Таблица3[[#This Row],[ф4 *X^(-1)]],0,IF(ABS((I59-Таблица3[[#This Row],[ф4 *X^(-1)]])/(I59+Таблица3[[#This Row],[ф4 *X^(-1)]]))&lt;0.01,1,2))</f>
        <v>0</v>
      </c>
      <c r="AM63" s="247">
        <f>IF(J59=Таблица3[[#This Row],[ф5 *X]],0,IF(ABS((J59-Таблица3[[#This Row],[ф5 *X]])/(J59+Таблица3[[#This Row],[ф5 *X]]))&lt;0.01,1,2))</f>
        <v>0</v>
      </c>
      <c r="AN63" s="247">
        <f>IF(K59=Таблица3[[#This Row],[ф6 *X^2]],0,IF(ABS((K59-Таблица3[[#This Row],[ф6 *X^2]])/(K59+Таблица3[[#This Row],[ф6 *X^2]]))&lt;0.01,1,2))</f>
        <v>0</v>
      </c>
      <c r="AO63" s="247">
        <f>IF(L59=Таблица3[[#This Row],[ф7 *Х^3]],0,IF(ABS((L59-Таблица3[[#This Row],[ф7 *Х^3]])/(L59+Таблица3[[#This Row],[ф7 *Х^3]]))&lt;0.01,1,2))</f>
        <v>0</v>
      </c>
    </row>
    <row r="64" spans="1:41" x14ac:dyDescent="0.35">
      <c r="O64" s="145" t="s">
        <v>94</v>
      </c>
      <c r="P64" s="145" t="s">
        <v>61</v>
      </c>
      <c r="Q64" s="253">
        <v>298.14999999999998</v>
      </c>
      <c r="R64" s="253">
        <v>1500</v>
      </c>
      <c r="S64" s="145">
        <v>1.4184099999999999</v>
      </c>
      <c r="T64" s="145">
        <v>118.3836</v>
      </c>
      <c r="U64" s="145">
        <v>21.846499999999999</v>
      </c>
      <c r="V64" s="145">
        <v>-4.55196E-4</v>
      </c>
      <c r="W64" s="145">
        <v>0.2049985</v>
      </c>
      <c r="X64" s="145">
        <v>1.669807</v>
      </c>
      <c r="Y64" s="145">
        <v>-4.3705270000000001</v>
      </c>
      <c r="Z64" s="145">
        <v>5.8827660000000002</v>
      </c>
      <c r="AA64" s="242">
        <v>1</v>
      </c>
      <c r="AC64" s="145" t="str">
        <f t="shared" si="5"/>
        <v>Se8</v>
      </c>
      <c r="AD64" s="247" t="str">
        <f>Таблица3[[#This Row],[Вещество]]</f>
        <v>Se8</v>
      </c>
      <c r="AE64" s="247">
        <f>IF(B60=Таблица3[[#This Row],[Фаза]],0,2)</f>
        <v>0</v>
      </c>
      <c r="AF64" s="247">
        <f>IF(C60=Таблица3[[#This Row],[To]],0,IF(ABS((C60-Таблица3[[#This Row],[To]])/(C60+Таблица3[[#This Row],[To]]))&lt;0.01,1,2))</f>
        <v>0</v>
      </c>
      <c r="AG64" s="247">
        <f>IF(D60=Таблица3[[#This Row],[T]],0,IF(ABS((D60-Таблица3[[#This Row],[T]])/(D60+Таблица3[[#This Row],[T]]))&lt;0.01,1,2))</f>
        <v>0</v>
      </c>
      <c r="AH64" s="247">
        <f>IF(E60=Таблица3[[#This Row],[ho]],0,IF(ABS((E60-Таблица3[[#This Row],[ho]])/(E60+Таблица3[[#This Row],[ho]]))&lt;0.01,1,2))</f>
        <v>0</v>
      </c>
      <c r="AI64" s="247">
        <f>IF(F60=Таблица3[[#This Row],[ф1]],0,IF(ABS((F60-Таблица3[[#This Row],[ф1]])/(F60+Таблица3[[#This Row],[ф1]]))&lt;0.01,1,2))</f>
        <v>0</v>
      </c>
      <c r="AJ64" s="247">
        <f>IF(G60=Таблица3[[#This Row],[ф2 *lnX]],0,IF(ABS((G60-Таблица3[[#This Row],[ф2 *lnX]])/(G60+Таблица3[[#This Row],[ф2 *lnX]]))&lt;0.01,1,2))</f>
        <v>0</v>
      </c>
      <c r="AK64" s="247">
        <f>IF(H60=Таблица3[[#This Row],[ф3 *X^(-2)]],0,IF(ABS((H60-Таблица3[[#This Row],[ф3 *X^(-2)]])/(H60+Таблица3[[#This Row],[ф3 *X^(-2)]]))&lt;0.01,1,2))</f>
        <v>0</v>
      </c>
      <c r="AL64" s="247">
        <f>IF(I60=Таблица3[[#This Row],[ф4 *X^(-1)]],0,IF(ABS((I60-Таблица3[[#This Row],[ф4 *X^(-1)]])/(I60+Таблица3[[#This Row],[ф4 *X^(-1)]]))&lt;0.01,1,2))</f>
        <v>0</v>
      </c>
      <c r="AM64" s="247">
        <f>IF(J60=Таблица3[[#This Row],[ф5 *X]],0,IF(ABS((J60-Таблица3[[#This Row],[ф5 *X]])/(J60+Таблица3[[#This Row],[ф5 *X]]))&lt;0.01,1,2))</f>
        <v>0</v>
      </c>
      <c r="AN64" s="247">
        <f>IF(K60=Таблица3[[#This Row],[ф6 *X^2]],0,IF(ABS((K60-Таблица3[[#This Row],[ф6 *X^2]])/(K60+Таблица3[[#This Row],[ф6 *X^2]]))&lt;0.01,1,2))</f>
        <v>0</v>
      </c>
      <c r="AO64" s="247">
        <f>IF(L60=Таблица3[[#This Row],[ф7 *Х^3]],0,IF(ABS((L60-Таблица3[[#This Row],[ф7 *Х^3]])/(L60+Таблица3[[#This Row],[ф7 *Х^3]]))&lt;0.01,1,2))</f>
        <v>0</v>
      </c>
    </row>
    <row r="65" spans="4:41" x14ac:dyDescent="0.35">
      <c r="O65" s="145" t="s">
        <v>94</v>
      </c>
      <c r="P65" s="145" t="s">
        <v>61</v>
      </c>
      <c r="Q65" s="253">
        <v>1500</v>
      </c>
      <c r="R65" s="253">
        <v>6000</v>
      </c>
      <c r="S65" s="145">
        <v>1.4184099999999999</v>
      </c>
      <c r="T65" s="145">
        <v>118.80549999999999</v>
      </c>
      <c r="U65" s="145">
        <v>22.001380000000001</v>
      </c>
      <c r="V65" s="145">
        <v>-5.2171050000000005E-4</v>
      </c>
      <c r="W65" s="145">
        <v>0.21207509999999999</v>
      </c>
      <c r="X65" s="145">
        <v>-2.09779E-3</v>
      </c>
      <c r="Y65" s="145">
        <v>1.840469E-3</v>
      </c>
      <c r="Z65" s="145">
        <v>-7.697003E-4</v>
      </c>
      <c r="AA65" s="242">
        <v>1</v>
      </c>
      <c r="AC65" s="145" t="str">
        <f>A61</f>
        <v>Se8</v>
      </c>
      <c r="AD65" s="247" t="str">
        <f>Таблица3[[#This Row],[Вещество]]</f>
        <v>Se8</v>
      </c>
      <c r="AE65" s="247">
        <f>IF(B61=Таблица3[[#This Row],[Фаза]],0,2)</f>
        <v>0</v>
      </c>
      <c r="AF65" s="247">
        <f>IF(C61=Таблица3[[#This Row],[To]],0,IF(ABS((C61-Таблица3[[#This Row],[To]])/(C61+Таблица3[[#This Row],[To]]))&lt;0.01,1,2))</f>
        <v>0</v>
      </c>
      <c r="AG65" s="247">
        <f>IF(D61=Таблица3[[#This Row],[T]],0,IF(ABS((D61-Таблица3[[#This Row],[T]])/(D61+Таблица3[[#This Row],[T]]))&lt;0.01,1,2))</f>
        <v>0</v>
      </c>
      <c r="AH65" s="247">
        <f>IF(E61=Таблица3[[#This Row],[ho]],0,IF(ABS((E61-Таблица3[[#This Row],[ho]])/(E61+Таблица3[[#This Row],[ho]]))&lt;0.01,1,2))</f>
        <v>0</v>
      </c>
      <c r="AI65" s="247">
        <f>IF(F61=Таблица3[[#This Row],[ф1]],0,IF(ABS((F61-Таблица3[[#This Row],[ф1]])/(F61+Таблица3[[#This Row],[ф1]]))&lt;0.01,1,2))</f>
        <v>0</v>
      </c>
      <c r="AJ65" s="247">
        <f>IF(G61=Таблица3[[#This Row],[ф2 *lnX]],0,IF(ABS((G61-Таблица3[[#This Row],[ф2 *lnX]])/(G61+Таблица3[[#This Row],[ф2 *lnX]]))&lt;0.01,1,2))</f>
        <v>0</v>
      </c>
      <c r="AK65" s="247">
        <f>IF(H61=Таблица3[[#This Row],[ф3 *X^(-2)]],0,IF(ABS((H61-Таблица3[[#This Row],[ф3 *X^(-2)]])/(H61+Таблица3[[#This Row],[ф3 *X^(-2)]]))&lt;0.01,1,2))</f>
        <v>0</v>
      </c>
      <c r="AL65" s="247">
        <f>IF(I61=Таблица3[[#This Row],[ф4 *X^(-1)]],0,IF(ABS((I61-Таблица3[[#This Row],[ф4 *X^(-1)]])/(I61+Таблица3[[#This Row],[ф4 *X^(-1)]]))&lt;0.01,1,2))</f>
        <v>0</v>
      </c>
      <c r="AM65" s="247">
        <f>IF(J61=Таблица3[[#This Row],[ф5 *X]],0,IF(ABS((J61-Таблица3[[#This Row],[ф5 *X]])/(J61+Таблица3[[#This Row],[ф5 *X]]))&lt;0.01,1,2))</f>
        <v>0</v>
      </c>
      <c r="AN65" s="247">
        <f>IF(K61=Таблица3[[#This Row],[ф6 *X^2]],0,IF(ABS((K61-Таблица3[[#This Row],[ф6 *X^2]])/(K61+Таблица3[[#This Row],[ф6 *X^2]]))&lt;0.01,1,2))</f>
        <v>0</v>
      </c>
      <c r="AO65" s="247">
        <f>IF(L61=Таблица3[[#This Row],[ф7 *Х^3]],0,IF(ABS((L61-Таблица3[[#This Row],[ф7 *Х^3]])/(L61+Таблица3[[#This Row],[ф7 *Х^3]]))&lt;0.01,1,2))</f>
        <v>0</v>
      </c>
    </row>
    <row r="66" spans="4:41" x14ac:dyDescent="0.35">
      <c r="D66" s="252"/>
    </row>
  </sheetData>
  <mergeCells count="2">
    <mergeCell ref="A1:L1"/>
    <mergeCell ref="O1:Z1"/>
  </mergeCells>
  <phoneticPr fontId="17" type="noConversion"/>
  <conditionalFormatting sqref="AD44:AO1048576 AD43 AD12:AO42 AD3:AO3 AE10:AO10 AE8:AO8 AD4:AD11 AE3:AO6">
    <cfRule type="expression" dxfId="12" priority="4">
      <formula>AD3=2</formula>
    </cfRule>
    <cfRule type="expression" dxfId="11" priority="5">
      <formula>AD3=1</formula>
    </cfRule>
  </conditionalFormatting>
  <conditionalFormatting sqref="AA1:AA71">
    <cfRule type="expression" dxfId="10" priority="3">
      <formula>AA1=1</formula>
    </cfRule>
  </conditionalFormatting>
  <conditionalFormatting sqref="M1:M1048576">
    <cfRule type="expression" dxfId="9" priority="1">
      <formula>M1=1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>
    <tabColor rgb="FF7030A0"/>
  </sheetPr>
  <dimension ref="A1:R27"/>
  <sheetViews>
    <sheetView zoomScale="130" zoomScaleNormal="130" workbookViewId="0">
      <pane ySplit="1" topLeftCell="A2" activePane="bottomLeft" state="frozen"/>
      <selection pane="bottomLeft" activeCell="K12" sqref="K12"/>
    </sheetView>
  </sheetViews>
  <sheetFormatPr defaultRowHeight="21" outlineLevelCol="1" x14ac:dyDescent="0.35"/>
  <cols>
    <col min="1" max="1" width="11.7265625" style="66" bestFit="1" customWidth="1"/>
    <col min="2" max="2" width="3.7265625" style="3" customWidth="1"/>
    <col min="3" max="3" width="6.90625" customWidth="1"/>
    <col min="4" max="4" width="9.6328125" hidden="1" customWidth="1"/>
    <col min="5" max="6" width="9.6328125" hidden="1" customWidth="1" outlineLevel="1"/>
    <col min="7" max="7" width="9.6328125" style="3" hidden="1" customWidth="1" outlineLevel="1"/>
    <col min="8" max="10" width="9.6328125" hidden="1" customWidth="1" outlineLevel="1"/>
    <col min="11" max="11" width="10.6328125" style="74" customWidth="1" collapsed="1"/>
    <col min="12" max="18" width="10.6328125" style="74" customWidth="1"/>
  </cols>
  <sheetData>
    <row r="1" spans="1:18" ht="22.5" thickTop="1" thickBot="1" x14ac:dyDescent="0.4">
      <c r="A1" s="81" t="s">
        <v>39</v>
      </c>
      <c r="B1" s="7" t="s">
        <v>57</v>
      </c>
      <c r="C1" s="4" t="s">
        <v>55</v>
      </c>
      <c r="D1" s="8" t="s">
        <v>54</v>
      </c>
      <c r="E1" s="6" t="s">
        <v>51</v>
      </c>
      <c r="F1" s="6" t="s">
        <v>49</v>
      </c>
      <c r="G1" s="5" t="s">
        <v>49</v>
      </c>
      <c r="H1" s="9" t="s">
        <v>52</v>
      </c>
      <c r="I1" s="4" t="s">
        <v>50</v>
      </c>
      <c r="J1" s="10" t="s">
        <v>53</v>
      </c>
      <c r="K1" s="68" t="s">
        <v>41</v>
      </c>
      <c r="L1" s="69" t="s">
        <v>42</v>
      </c>
      <c r="M1" s="69" t="s">
        <v>43</v>
      </c>
      <c r="N1" s="69" t="s">
        <v>44</v>
      </c>
      <c r="O1" s="69" t="s">
        <v>45</v>
      </c>
      <c r="P1" s="69" t="s">
        <v>46</v>
      </c>
      <c r="Q1" s="69" t="s">
        <v>47</v>
      </c>
      <c r="R1" s="70" t="s">
        <v>48</v>
      </c>
    </row>
    <row r="2" spans="1:18" ht="21.75" thickTop="1" x14ac:dyDescent="0.35">
      <c r="A2" s="64" t="s">
        <v>83</v>
      </c>
      <c r="B2" s="11" t="s">
        <v>58</v>
      </c>
      <c r="C2" s="12">
        <v>298</v>
      </c>
      <c r="D2" s="75"/>
      <c r="E2" s="75"/>
      <c r="F2" s="75"/>
      <c r="G2" s="75"/>
      <c r="H2" s="75"/>
      <c r="I2" s="75"/>
      <c r="J2" s="75"/>
      <c r="K2" s="86">
        <v>0</v>
      </c>
      <c r="L2" s="87">
        <v>16.688339185211987</v>
      </c>
      <c r="M2" s="86">
        <v>4.0663634694008044</v>
      </c>
      <c r="N2" s="87">
        <v>4.642498306573977E-4</v>
      </c>
      <c r="O2" s="86">
        <v>4.2232998956463159E-2</v>
      </c>
      <c r="P2" s="87">
        <v>-1.6915439636555956</v>
      </c>
      <c r="Q2" s="86">
        <v>0.85639996181066103</v>
      </c>
      <c r="R2" s="88">
        <v>0.24006447835859676</v>
      </c>
    </row>
    <row r="3" spans="1:18" x14ac:dyDescent="0.35">
      <c r="A3" s="65" t="s">
        <v>83</v>
      </c>
      <c r="B3" s="13" t="s">
        <v>58</v>
      </c>
      <c r="C3" s="14">
        <v>918</v>
      </c>
      <c r="D3" s="75"/>
      <c r="E3" s="75"/>
      <c r="F3" s="75"/>
      <c r="G3" s="75"/>
      <c r="H3" s="75"/>
      <c r="I3" s="75"/>
      <c r="J3" s="75"/>
      <c r="K3" s="86">
        <v>0</v>
      </c>
      <c r="L3" s="87">
        <v>9.9938218886512296</v>
      </c>
      <c r="M3" s="86">
        <v>0.74501916153508874</v>
      </c>
      <c r="N3" s="87">
        <v>4.668042074609329E-3</v>
      </c>
      <c r="O3" s="86">
        <v>-0.23606481387265052</v>
      </c>
      <c r="P3" s="87">
        <v>12.387179989402989</v>
      </c>
      <c r="Q3" s="86">
        <v>1.2813942865428745</v>
      </c>
      <c r="R3" s="88">
        <v>0.24421805054616613</v>
      </c>
    </row>
    <row r="4" spans="1:18" x14ac:dyDescent="0.35">
      <c r="A4" s="65" t="s">
        <v>83</v>
      </c>
      <c r="B4" s="13" t="s">
        <v>58</v>
      </c>
      <c r="C4" s="14">
        <v>1150</v>
      </c>
      <c r="D4" s="75"/>
      <c r="E4" s="75"/>
      <c r="F4" s="75"/>
      <c r="G4" s="75"/>
      <c r="H4" s="75"/>
      <c r="I4" s="75"/>
      <c r="J4" s="75"/>
      <c r="K4" s="86">
        <v>0</v>
      </c>
      <c r="L4" s="87">
        <v>10.122681102948389</v>
      </c>
      <c r="M4" s="86">
        <v>-4.8178888409121274</v>
      </c>
      <c r="N4" s="87">
        <v>6.8059950240120043E-2</v>
      </c>
      <c r="O4" s="86">
        <v>-2.0756430304980711</v>
      </c>
      <c r="P4" s="87">
        <v>4.1019530036291609</v>
      </c>
      <c r="Q4" s="86">
        <v>1.091340211889114</v>
      </c>
      <c r="R4" s="89">
        <v>0.24152838776726546</v>
      </c>
    </row>
    <row r="5" spans="1:18" s="75" customFormat="1" ht="21.75" thickBot="1" x14ac:dyDescent="0.4">
      <c r="A5" s="76" t="s">
        <v>83</v>
      </c>
      <c r="B5" s="77" t="s">
        <v>59</v>
      </c>
      <c r="C5" s="78">
        <v>1500</v>
      </c>
      <c r="D5" s="15" t="s">
        <v>60</v>
      </c>
      <c r="E5" s="15" t="s">
        <v>60</v>
      </c>
      <c r="F5" s="15" t="s">
        <v>60</v>
      </c>
      <c r="G5" s="15" t="s">
        <v>60</v>
      </c>
      <c r="H5" s="15" t="s">
        <v>60</v>
      </c>
      <c r="I5" s="15" t="s">
        <v>60</v>
      </c>
      <c r="J5" s="15" t="s">
        <v>60</v>
      </c>
      <c r="K5" s="72" t="s">
        <v>60</v>
      </c>
      <c r="L5" s="71" t="s">
        <v>60</v>
      </c>
      <c r="M5" s="72" t="s">
        <v>60</v>
      </c>
      <c r="N5" s="71" t="s">
        <v>60</v>
      </c>
      <c r="O5" s="72" t="s">
        <v>60</v>
      </c>
      <c r="P5" s="71" t="s">
        <v>60</v>
      </c>
      <c r="Q5" s="72" t="s">
        <v>60</v>
      </c>
      <c r="R5" s="73" t="s">
        <v>60</v>
      </c>
    </row>
    <row r="6" spans="1:18" s="75" customFormat="1" ht="21.75" thickTop="1" x14ac:dyDescent="0.35">
      <c r="A6" s="64" t="s">
        <v>84</v>
      </c>
      <c r="B6" s="11" t="s">
        <v>58</v>
      </c>
      <c r="C6" s="12">
        <v>10</v>
      </c>
      <c r="K6" s="86">
        <v>-1.8995850622406638</v>
      </c>
      <c r="L6" s="87">
        <v>15.107005749341235</v>
      </c>
      <c r="M6" s="86">
        <v>3.3622423438912659</v>
      </c>
      <c r="N6" s="87">
        <v>-9.3563022346504094E-6</v>
      </c>
      <c r="O6" s="86">
        <v>0.13727423007721665</v>
      </c>
      <c r="P6" s="87">
        <v>-1.681873653426641</v>
      </c>
      <c r="Q6" s="86">
        <v>0.85649906668444342</v>
      </c>
      <c r="R6" s="88">
        <v>0.24006464929484223</v>
      </c>
    </row>
    <row r="7" spans="1:18" s="75" customFormat="1" x14ac:dyDescent="0.35">
      <c r="A7" s="65" t="s">
        <v>84</v>
      </c>
      <c r="B7" s="13" t="s">
        <v>58</v>
      </c>
      <c r="C7" s="14">
        <v>150</v>
      </c>
      <c r="K7" s="86">
        <v>-1.8995850622406638</v>
      </c>
      <c r="L7" s="87">
        <v>22.242322509853619</v>
      </c>
      <c r="M7" s="86">
        <v>5.6787057694693681</v>
      </c>
      <c r="N7" s="87">
        <v>-1.1458432876224959E-4</v>
      </c>
      <c r="O7" s="86">
        <v>0.1820527344978235</v>
      </c>
      <c r="P7" s="87">
        <v>5.5729206655170804</v>
      </c>
      <c r="Q7" s="86">
        <v>1.6897883404301262</v>
      </c>
      <c r="R7" s="88">
        <v>0.25488896669120797</v>
      </c>
    </row>
    <row r="8" spans="1:18" s="75" customFormat="1" ht="21.75" thickBot="1" x14ac:dyDescent="0.4">
      <c r="A8" s="76" t="s">
        <v>84</v>
      </c>
      <c r="B8" s="77" t="s">
        <v>59</v>
      </c>
      <c r="C8" s="78">
        <v>1210</v>
      </c>
      <c r="D8" s="15" t="s">
        <v>60</v>
      </c>
      <c r="E8" s="15" t="s">
        <v>60</v>
      </c>
      <c r="F8" s="15" t="s">
        <v>60</v>
      </c>
      <c r="G8" s="15" t="s">
        <v>60</v>
      </c>
      <c r="H8" s="15" t="s">
        <v>60</v>
      </c>
      <c r="I8" s="15" t="s">
        <v>60</v>
      </c>
      <c r="J8" s="15" t="s">
        <v>60</v>
      </c>
      <c r="K8" s="72" t="s">
        <v>60</v>
      </c>
      <c r="L8" s="71" t="s">
        <v>60</v>
      </c>
      <c r="M8" s="72" t="s">
        <v>60</v>
      </c>
      <c r="N8" s="71" t="s">
        <v>60</v>
      </c>
      <c r="O8" s="72" t="s">
        <v>60</v>
      </c>
      <c r="P8" s="71" t="s">
        <v>60</v>
      </c>
      <c r="Q8" s="72" t="s">
        <v>60</v>
      </c>
      <c r="R8" s="73" t="s">
        <v>60</v>
      </c>
    </row>
    <row r="9" spans="1:18" s="75" customFormat="1" x14ac:dyDescent="0.35">
      <c r="A9" s="66" t="s">
        <v>85</v>
      </c>
      <c r="B9" s="80" t="s">
        <v>58</v>
      </c>
      <c r="C9" s="79">
        <v>200</v>
      </c>
      <c r="K9" s="86">
        <v>0</v>
      </c>
      <c r="L9" s="87">
        <v>14.827333362245735</v>
      </c>
      <c r="M9" s="86">
        <v>3.2556671517090314</v>
      </c>
      <c r="N9" s="87">
        <v>-1.283549158027796E-4</v>
      </c>
      <c r="O9" s="86">
        <v>4.3437413921368906E-2</v>
      </c>
      <c r="P9" s="87">
        <v>5.294052820655879</v>
      </c>
      <c r="Q9" s="86">
        <v>1.6877776091157222</v>
      </c>
      <c r="R9" s="88">
        <v>0.25488660825082821</v>
      </c>
    </row>
    <row r="10" spans="1:18" s="75" customFormat="1" ht="21.75" thickBot="1" x14ac:dyDescent="0.4">
      <c r="A10" s="76" t="s">
        <v>85</v>
      </c>
      <c r="B10" s="77" t="s">
        <v>59</v>
      </c>
      <c r="C10" s="82">
        <v>303</v>
      </c>
      <c r="D10" s="15" t="s">
        <v>60</v>
      </c>
      <c r="E10" s="15" t="s">
        <v>60</v>
      </c>
      <c r="F10" s="15" t="s">
        <v>60</v>
      </c>
      <c r="G10" s="15" t="s">
        <v>60</v>
      </c>
      <c r="H10" s="15" t="s">
        <v>60</v>
      </c>
      <c r="I10" s="15" t="s">
        <v>60</v>
      </c>
      <c r="J10" s="15" t="s">
        <v>60</v>
      </c>
      <c r="K10" s="72" t="s">
        <v>60</v>
      </c>
      <c r="L10" s="71" t="s">
        <v>60</v>
      </c>
      <c r="M10" s="72" t="s">
        <v>60</v>
      </c>
      <c r="N10" s="71" t="s">
        <v>60</v>
      </c>
      <c r="O10" s="72" t="s">
        <v>60</v>
      </c>
      <c r="P10" s="71" t="s">
        <v>60</v>
      </c>
      <c r="Q10" s="72" t="s">
        <v>60</v>
      </c>
      <c r="R10" s="73" t="s">
        <v>60</v>
      </c>
    </row>
    <row r="11" spans="1:18" s="75" customFormat="1" x14ac:dyDescent="0.35">
      <c r="A11" s="66" t="s">
        <v>86</v>
      </c>
      <c r="B11" s="80" t="s">
        <v>63</v>
      </c>
      <c r="C11" s="79">
        <v>10</v>
      </c>
      <c r="K11" s="86">
        <v>-4.7952131817908468</v>
      </c>
      <c r="L11" s="87">
        <v>-85.928718576888272</v>
      </c>
      <c r="M11" s="86">
        <v>-17.748061244149952</v>
      </c>
      <c r="N11" s="87">
        <v>4.5887255627349451E-5</v>
      </c>
      <c r="O11" s="86">
        <v>0.22005289809440109</v>
      </c>
      <c r="P11" s="87">
        <v>14.92500749614886</v>
      </c>
      <c r="Q11" s="86">
        <v>1.7247006916965459</v>
      </c>
      <c r="R11" s="88">
        <v>0.25490480922524045</v>
      </c>
    </row>
    <row r="12" spans="1:18" s="75" customFormat="1" x14ac:dyDescent="0.35">
      <c r="A12" s="66" t="s">
        <v>86</v>
      </c>
      <c r="B12" s="80" t="s">
        <v>63</v>
      </c>
      <c r="C12" s="79">
        <v>150</v>
      </c>
      <c r="K12" s="86">
        <v>-4.7952131817908468</v>
      </c>
      <c r="L12" s="87">
        <v>52.324146168069298</v>
      </c>
      <c r="M12" s="86">
        <v>12.650756190383355</v>
      </c>
      <c r="N12" s="87">
        <v>4.6824320928384207E-5</v>
      </c>
      <c r="O12" s="86">
        <v>0.39195953082034007</v>
      </c>
      <c r="P12" s="87">
        <v>21.270645885092854</v>
      </c>
      <c r="Q12" s="86">
        <v>1.743241008305551</v>
      </c>
      <c r="R12" s="88">
        <v>0.25496773287686142</v>
      </c>
    </row>
    <row r="13" spans="1:18" s="75" customFormat="1" ht="21.75" thickBot="1" x14ac:dyDescent="0.4">
      <c r="A13" s="83" t="s">
        <v>86</v>
      </c>
      <c r="B13" s="84" t="s">
        <v>59</v>
      </c>
      <c r="C13" s="85">
        <v>1283</v>
      </c>
      <c r="D13" s="15" t="s">
        <v>60</v>
      </c>
      <c r="E13" s="15" t="s">
        <v>60</v>
      </c>
      <c r="F13" s="15" t="s">
        <v>60</v>
      </c>
      <c r="G13" s="15" t="s">
        <v>60</v>
      </c>
      <c r="H13" s="15" t="s">
        <v>60</v>
      </c>
      <c r="I13" s="15" t="s">
        <v>60</v>
      </c>
      <c r="J13" s="15" t="s">
        <v>60</v>
      </c>
      <c r="K13" s="72" t="s">
        <v>60</v>
      </c>
      <c r="L13" s="71" t="s">
        <v>60</v>
      </c>
      <c r="M13" s="72" t="s">
        <v>60</v>
      </c>
      <c r="N13" s="71" t="s">
        <v>60</v>
      </c>
      <c r="O13" s="72" t="s">
        <v>60</v>
      </c>
      <c r="P13" s="71" t="s">
        <v>60</v>
      </c>
      <c r="Q13" s="72" t="s">
        <v>60</v>
      </c>
      <c r="R13" s="73" t="s">
        <v>60</v>
      </c>
    </row>
    <row r="14" spans="1:18" s="75" customFormat="1" x14ac:dyDescent="0.35">
      <c r="A14" s="66"/>
    </row>
    <row r="15" spans="1:18" s="75" customFormat="1" x14ac:dyDescent="0.35">
      <c r="A15" s="66"/>
    </row>
    <row r="16" spans="1:18" s="75" customFormat="1" x14ac:dyDescent="0.35">
      <c r="A16" s="66"/>
    </row>
    <row r="17" spans="1:1" s="75" customFormat="1" x14ac:dyDescent="0.35">
      <c r="A17" s="66"/>
    </row>
    <row r="18" spans="1:1" s="75" customFormat="1" x14ac:dyDescent="0.35">
      <c r="A18" s="66"/>
    </row>
    <row r="19" spans="1:1" s="75" customFormat="1" x14ac:dyDescent="0.35">
      <c r="A19" s="66"/>
    </row>
    <row r="20" spans="1:1" s="75" customFormat="1" x14ac:dyDescent="0.35">
      <c r="A20" s="66"/>
    </row>
    <row r="21" spans="1:1" s="75" customFormat="1" x14ac:dyDescent="0.35">
      <c r="A21" s="66"/>
    </row>
    <row r="22" spans="1:1" s="75" customFormat="1" x14ac:dyDescent="0.35">
      <c r="A22" s="66"/>
    </row>
    <row r="23" spans="1:1" s="75" customFormat="1" x14ac:dyDescent="0.35">
      <c r="A23" s="66"/>
    </row>
    <row r="24" spans="1:1" s="75" customFormat="1" x14ac:dyDescent="0.35">
      <c r="A24" s="66"/>
    </row>
    <row r="25" spans="1:1" s="75" customFormat="1" x14ac:dyDescent="0.35">
      <c r="A25" s="66"/>
    </row>
    <row r="26" spans="1:1" s="75" customFormat="1" x14ac:dyDescent="0.35">
      <c r="A26" s="66"/>
    </row>
    <row r="27" spans="1:1" s="75" customFormat="1" x14ac:dyDescent="0.35">
      <c r="A27" s="66"/>
    </row>
  </sheetData>
  <autoFilter ref="A1:C26" xr:uid="{00000000-0009-0000-0000-000005000000}"/>
  <customSheetViews>
    <customSheetView guid="{5CD7248E-C04A-445B-8512-C9303DEF235B}" showAutoFilter="1" hiddenRows="1" hiddenColumns="1" topLeftCell="A2">
      <pane ySplit="1" topLeftCell="A12" activePane="bottomLeft" state="frozen"/>
      <selection pane="bottomLeft" activeCell="D24" sqref="D24"/>
      <pageMargins left="0.7" right="0.7" top="0.75" bottom="0.75" header="0.3" footer="0.3"/>
      <autoFilter ref="A2:D28" xr:uid="{00000000-0000-0000-0000-000000000000}"/>
    </customSheetView>
  </customSheetView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2A748-DEDF-4CF7-AA41-69617F525750}">
  <sheetPr codeName="Лист12">
    <tabColor rgb="FFFF0000"/>
  </sheetPr>
  <dimension ref="A1:S275"/>
  <sheetViews>
    <sheetView zoomScaleNormal="100" workbookViewId="0">
      <pane xSplit="3" ySplit="1" topLeftCell="D50" activePane="bottomRight" state="frozen"/>
      <selection pane="topRight" activeCell="D1" sqref="D1"/>
      <selection pane="bottomLeft" activeCell="A2" sqref="A2"/>
      <selection pane="bottomRight" activeCell="G69" sqref="G69"/>
    </sheetView>
  </sheetViews>
  <sheetFormatPr defaultRowHeight="23.25" outlineLevelCol="1" x14ac:dyDescent="0.35"/>
  <cols>
    <col min="1" max="1" width="10.26953125" style="103" bestFit="1" customWidth="1"/>
    <col min="2" max="2" width="1.6328125" style="103" customWidth="1"/>
    <col min="3" max="3" width="11.7265625" style="75" customWidth="1"/>
    <col min="4" max="4" width="3.1796875" style="75" customWidth="1"/>
    <col min="5" max="6" width="8.81640625" style="75" customWidth="1"/>
    <col min="7" max="9" width="11.81640625" style="75" customWidth="1" outlineLevel="1"/>
    <col min="10" max="10" width="11.36328125" style="75" customWidth="1" outlineLevel="1"/>
    <col min="11" max="14" width="11.81640625" style="75" customWidth="1" outlineLevel="1"/>
    <col min="15" max="15" width="4" style="112" customWidth="1"/>
    <col min="16" max="16" width="42.90625" style="75" customWidth="1"/>
    <col min="17" max="17" width="10.1796875" style="75" bestFit="1" customWidth="1"/>
    <col min="18" max="19" width="10.54296875" style="75" bestFit="1" customWidth="1"/>
    <col min="20" max="21" width="11.1796875" style="75" bestFit="1" customWidth="1"/>
    <col min="22" max="22" width="10.54296875" style="75" bestFit="1" customWidth="1"/>
    <col min="23" max="23" width="11.1796875" style="75" bestFit="1" customWidth="1"/>
    <col min="24" max="26" width="13.1796875" style="75" customWidth="1"/>
    <col min="27" max="27" width="13.453125" style="75" customWidth="1"/>
    <col min="28" max="28" width="12.7265625" style="75" customWidth="1"/>
    <col min="29" max="29" width="13.90625" style="75" customWidth="1"/>
    <col min="30" max="30" width="13.1796875" style="75" customWidth="1"/>
    <col min="31" max="31" width="13.90625" style="75" customWidth="1"/>
    <col min="32" max="16384" width="8.7265625" style="75"/>
  </cols>
  <sheetData>
    <row r="1" spans="1:16" ht="21.75" thickBot="1" x14ac:dyDescent="0.4">
      <c r="A1"/>
      <c r="B1" s="102"/>
      <c r="C1" s="264" t="s">
        <v>103</v>
      </c>
      <c r="D1" s="264" t="s">
        <v>96</v>
      </c>
      <c r="E1" s="264" t="s">
        <v>78</v>
      </c>
      <c r="F1" s="264" t="s">
        <v>80</v>
      </c>
      <c r="G1" s="265" t="s">
        <v>41</v>
      </c>
      <c r="H1" s="265" t="s">
        <v>42</v>
      </c>
      <c r="I1" s="265" t="s">
        <v>43</v>
      </c>
      <c r="J1" s="265" t="s">
        <v>44</v>
      </c>
      <c r="K1" s="265" t="s">
        <v>45</v>
      </c>
      <c r="L1" s="265" t="s">
        <v>46</v>
      </c>
      <c r="M1" s="265" t="s">
        <v>47</v>
      </c>
      <c r="N1" s="265" t="s">
        <v>48</v>
      </c>
      <c r="O1" s="266" t="s">
        <v>139</v>
      </c>
      <c r="P1" s="267" t="s">
        <v>104</v>
      </c>
    </row>
    <row r="2" spans="1:16" ht="24" thickTop="1" x14ac:dyDescent="0.35">
      <c r="A2"/>
      <c r="B2" s="102"/>
      <c r="C2" s="188" t="s">
        <v>69</v>
      </c>
      <c r="D2" s="147" t="s">
        <v>61</v>
      </c>
      <c r="E2" s="148">
        <v>298.14999999999998</v>
      </c>
      <c r="F2" s="149">
        <v>1500</v>
      </c>
      <c r="G2" s="150">
        <v>3.192504</v>
      </c>
      <c r="H2" s="150">
        <v>33.995229999999999</v>
      </c>
      <c r="I2" s="150">
        <v>5.1932309999999999</v>
      </c>
      <c r="J2" s="150">
        <v>-4.8091060000000002E-4</v>
      </c>
      <c r="K2" s="150">
        <v>9.1439489999999998E-2</v>
      </c>
      <c r="L2" s="150">
        <v>-21.466670000000001</v>
      </c>
      <c r="M2" s="150">
        <v>42.981879999999997</v>
      </c>
      <c r="N2" s="150">
        <v>-45.813839999999999</v>
      </c>
      <c r="O2" s="229">
        <v>1</v>
      </c>
      <c r="P2" s="227"/>
    </row>
    <row r="3" spans="1:16" x14ac:dyDescent="0.35">
      <c r="A3"/>
      <c r="B3" s="102"/>
      <c r="C3" s="151" t="s">
        <v>69</v>
      </c>
      <c r="D3" s="133" t="s">
        <v>61</v>
      </c>
      <c r="E3" s="108">
        <v>1500</v>
      </c>
      <c r="F3" s="109">
        <v>6000</v>
      </c>
      <c r="G3" s="134">
        <v>3.192504</v>
      </c>
      <c r="H3" s="134">
        <v>27.29757</v>
      </c>
      <c r="I3" s="134">
        <v>2.370241</v>
      </c>
      <c r="J3" s="134">
        <v>2.138671E-3</v>
      </c>
      <c r="K3" s="134">
        <v>-9.5885429999999994E-2</v>
      </c>
      <c r="L3" s="134">
        <v>0.51440149999999996</v>
      </c>
      <c r="M3" s="134">
        <v>-0.49555690000000002</v>
      </c>
      <c r="N3" s="134">
        <v>0.24712329999999999</v>
      </c>
      <c r="O3" s="297">
        <v>1</v>
      </c>
      <c r="P3" s="107"/>
    </row>
    <row r="4" spans="1:16" ht="24" thickBot="1" x14ac:dyDescent="0.4">
      <c r="A4"/>
      <c r="B4" s="102"/>
      <c r="C4" s="168" t="s">
        <v>69</v>
      </c>
      <c r="D4" s="133" t="s">
        <v>61</v>
      </c>
      <c r="E4" s="108">
        <v>6000</v>
      </c>
      <c r="F4" s="109">
        <v>10000</v>
      </c>
      <c r="G4" s="134">
        <v>3.192504</v>
      </c>
      <c r="H4" s="134">
        <v>31.29327</v>
      </c>
      <c r="I4" s="134">
        <v>7.3013729999999999</v>
      </c>
      <c r="J4" s="134">
        <v>-9.3193609999999996E-2</v>
      </c>
      <c r="K4" s="134">
        <v>1.4353830000000001</v>
      </c>
      <c r="L4" s="134">
        <v>-7.4299809999999997</v>
      </c>
      <c r="M4" s="134">
        <v>2.6981959999999998</v>
      </c>
      <c r="N4" s="134">
        <v>-0.43421900000000002</v>
      </c>
      <c r="O4" s="231">
        <v>1</v>
      </c>
      <c r="P4" s="227"/>
    </row>
    <row r="5" spans="1:16" x14ac:dyDescent="0.35">
      <c r="A5"/>
      <c r="B5" s="102"/>
      <c r="C5" s="272" t="s">
        <v>69</v>
      </c>
      <c r="D5" s="146" t="s">
        <v>58</v>
      </c>
      <c r="E5" s="148">
        <v>303</v>
      </c>
      <c r="F5" s="149">
        <v>699.99990000000003</v>
      </c>
      <c r="G5" s="150">
        <v>6.7230010000000007E-2</v>
      </c>
      <c r="H5" s="150">
        <v>15.16</v>
      </c>
      <c r="I5" s="150">
        <v>3.1360000000000001</v>
      </c>
      <c r="J5" s="150">
        <v>1.4229999999999999E-4</v>
      </c>
      <c r="K5" s="150">
        <v>8.3939990000000006E-2</v>
      </c>
      <c r="L5" s="150">
        <v>-0.18459999999999999</v>
      </c>
      <c r="M5" s="150">
        <v>0.49309999999999998</v>
      </c>
      <c r="N5" s="292">
        <v>0</v>
      </c>
      <c r="O5" s="236">
        <v>1</v>
      </c>
      <c r="P5" s="244"/>
    </row>
    <row r="6" spans="1:16" ht="24" thickBot="1" x14ac:dyDescent="0.4">
      <c r="A6"/>
      <c r="B6" s="102"/>
      <c r="C6" s="271" t="s">
        <v>69</v>
      </c>
      <c r="D6" s="151" t="s">
        <v>58</v>
      </c>
      <c r="E6" s="108">
        <v>699.99990000000003</v>
      </c>
      <c r="F6" s="109">
        <v>4000.0010000000002</v>
      </c>
      <c r="G6" s="152">
        <v>6.7230010000000007E-2</v>
      </c>
      <c r="H6" s="152">
        <v>15.16</v>
      </c>
      <c r="I6" s="152" t="s">
        <v>124</v>
      </c>
      <c r="J6" s="152" t="s">
        <v>125</v>
      </c>
      <c r="K6" s="152">
        <v>8.3929989999999996E-2</v>
      </c>
      <c r="L6" s="152">
        <v>-0.18099999999999999</v>
      </c>
      <c r="M6" s="152">
        <v>0.48309999999999997</v>
      </c>
      <c r="N6" s="291">
        <v>0</v>
      </c>
      <c r="O6" s="234">
        <v>1</v>
      </c>
      <c r="P6" s="244"/>
    </row>
    <row r="7" spans="1:16" ht="24" thickBot="1" x14ac:dyDescent="0.4">
      <c r="A7"/>
      <c r="B7" s="102"/>
      <c r="C7" s="195" t="s">
        <v>69</v>
      </c>
      <c r="D7" s="197" t="s">
        <v>63</v>
      </c>
      <c r="E7" s="164">
        <v>298.14999999999998</v>
      </c>
      <c r="F7" s="165">
        <v>303</v>
      </c>
      <c r="G7" s="166">
        <v>0</v>
      </c>
      <c r="H7" s="166">
        <v>-158.4</v>
      </c>
      <c r="I7" s="166">
        <v>-46.31</v>
      </c>
      <c r="J7" s="166">
        <v>3.9409989999999997E-3</v>
      </c>
      <c r="K7" s="166">
        <v>-0.93300000000000005</v>
      </c>
      <c r="L7" s="166">
        <v>1420</v>
      </c>
      <c r="M7" s="166">
        <v>-4041.9989999999998</v>
      </c>
      <c r="N7" s="192">
        <v>0</v>
      </c>
      <c r="O7" s="211">
        <v>1</v>
      </c>
      <c r="P7" s="106"/>
    </row>
    <row r="8" spans="1:16" ht="24" thickBot="1" x14ac:dyDescent="0.4">
      <c r="A8"/>
      <c r="B8" s="102"/>
      <c r="C8" s="301" t="s">
        <v>132</v>
      </c>
      <c r="D8" s="277" t="s">
        <v>63</v>
      </c>
      <c r="E8" s="214">
        <v>298.14999999999998</v>
      </c>
      <c r="F8" s="218">
        <v>500.00009999999997</v>
      </c>
      <c r="G8" s="215">
        <v>-39.299999999999997</v>
      </c>
      <c r="H8" s="215">
        <v>1631</v>
      </c>
      <c r="I8" s="215">
        <v>409.1</v>
      </c>
      <c r="J8" s="215">
        <v>-8.7220010000000001E-3</v>
      </c>
      <c r="K8" s="215">
        <v>10.75</v>
      </c>
      <c r="L8" s="215">
        <v>-3528</v>
      </c>
      <c r="M8" s="215">
        <v>20750</v>
      </c>
      <c r="N8" s="215">
        <v>0</v>
      </c>
      <c r="O8" s="216">
        <v>1</v>
      </c>
      <c r="P8" s="244"/>
    </row>
    <row r="9" spans="1:16" x14ac:dyDescent="0.35">
      <c r="A9"/>
      <c r="B9" s="102"/>
      <c r="C9" s="302" t="s">
        <v>119</v>
      </c>
      <c r="D9" s="278" t="s">
        <v>63</v>
      </c>
      <c r="E9" s="282">
        <v>298.14999999999998</v>
      </c>
      <c r="F9" s="287">
        <v>500.00009999999997</v>
      </c>
      <c r="G9" s="126">
        <v>-4.8600000000000003</v>
      </c>
      <c r="H9" s="126">
        <v>212.3999</v>
      </c>
      <c r="I9" s="126">
        <v>53.359990000000003</v>
      </c>
      <c r="J9" s="126">
        <v>-1.163E-3</v>
      </c>
      <c r="K9" s="126">
        <v>1.395</v>
      </c>
      <c r="L9" s="126">
        <v>-473.2</v>
      </c>
      <c r="M9" s="126">
        <v>2766</v>
      </c>
      <c r="N9" s="126">
        <v>0</v>
      </c>
      <c r="O9" s="296">
        <v>1</v>
      </c>
      <c r="P9" s="244"/>
    </row>
    <row r="10" spans="1:16" ht="24" thickBot="1" x14ac:dyDescent="0.4">
      <c r="A10"/>
      <c r="B10" s="102"/>
      <c r="C10" s="301" t="s">
        <v>118</v>
      </c>
      <c r="D10" s="277" t="s">
        <v>63</v>
      </c>
      <c r="E10" s="214">
        <v>298.14999999999998</v>
      </c>
      <c r="F10" s="218">
        <v>500.00009999999997</v>
      </c>
      <c r="G10" s="215">
        <v>-5.34</v>
      </c>
      <c r="H10" s="215">
        <v>188.5</v>
      </c>
      <c r="I10" s="215">
        <v>46.599989999999998</v>
      </c>
      <c r="J10" s="215">
        <v>-5.8149999999999999E-4</v>
      </c>
      <c r="K10" s="215">
        <v>1.323</v>
      </c>
      <c r="L10" s="215">
        <v>-201.3</v>
      </c>
      <c r="M10" s="215">
        <v>1383</v>
      </c>
      <c r="N10" s="215">
        <v>0</v>
      </c>
      <c r="O10" s="216">
        <v>1</v>
      </c>
      <c r="P10" s="244"/>
    </row>
    <row r="11" spans="1:16" x14ac:dyDescent="0.35">
      <c r="A11"/>
      <c r="B11" s="102"/>
      <c r="C11" s="302" t="s">
        <v>129</v>
      </c>
      <c r="D11" s="278" t="s">
        <v>63</v>
      </c>
      <c r="E11" s="282">
        <v>298</v>
      </c>
      <c r="F11" s="287">
        <v>500.00009999999997</v>
      </c>
      <c r="G11" s="126">
        <v>-2.39</v>
      </c>
      <c r="H11" s="126">
        <v>74.769990000000007</v>
      </c>
      <c r="I11" s="126">
        <v>18.14</v>
      </c>
      <c r="J11" s="126">
        <v>0</v>
      </c>
      <c r="K11" s="126">
        <v>0.56850000000000001</v>
      </c>
      <c r="L11" s="126">
        <v>31.1</v>
      </c>
      <c r="M11" s="126">
        <v>0</v>
      </c>
      <c r="N11" s="126">
        <v>0</v>
      </c>
      <c r="O11" s="296">
        <v>1</v>
      </c>
      <c r="P11" s="107"/>
    </row>
    <row r="12" spans="1:16" ht="24" thickBot="1" x14ac:dyDescent="0.4">
      <c r="A12"/>
      <c r="B12" s="101"/>
      <c r="C12" s="303" t="s">
        <v>70</v>
      </c>
      <c r="D12" s="136" t="s">
        <v>63</v>
      </c>
      <c r="E12" s="110">
        <v>298.14999999999998</v>
      </c>
      <c r="F12" s="111">
        <v>2000</v>
      </c>
      <c r="G12" s="179">
        <v>1.157</v>
      </c>
      <c r="H12" s="179">
        <v>55.30301</v>
      </c>
      <c r="I12" s="179">
        <v>6.9866000000000001</v>
      </c>
      <c r="J12" s="179">
        <v>-1.7438999999999999E-4</v>
      </c>
      <c r="K12" s="179">
        <v>0.22003</v>
      </c>
      <c r="L12" s="179">
        <v>3.0068000000000001E-2</v>
      </c>
      <c r="M12" s="179">
        <v>0</v>
      </c>
      <c r="N12" s="179">
        <v>0</v>
      </c>
      <c r="O12" s="234">
        <v>1</v>
      </c>
      <c r="P12" s="227"/>
    </row>
    <row r="13" spans="1:16" ht="24" thickBot="1" x14ac:dyDescent="0.4">
      <c r="A13"/>
      <c r="B13" s="101"/>
      <c r="C13" s="304" t="s">
        <v>70</v>
      </c>
      <c r="D13" s="174" t="s">
        <v>63</v>
      </c>
      <c r="E13" s="175">
        <v>298.14999999999998</v>
      </c>
      <c r="F13" s="176">
        <v>398</v>
      </c>
      <c r="G13" s="177">
        <v>-2.2040000000000002</v>
      </c>
      <c r="H13" s="177">
        <v>13.59</v>
      </c>
      <c r="I13" s="177">
        <v>0</v>
      </c>
      <c r="J13" s="177">
        <v>0</v>
      </c>
      <c r="K13" s="177">
        <v>0</v>
      </c>
      <c r="L13" s="177">
        <v>0</v>
      </c>
      <c r="M13" s="177">
        <v>0</v>
      </c>
      <c r="N13" s="177">
        <v>0</v>
      </c>
      <c r="O13" s="235">
        <v>1</v>
      </c>
      <c r="P13" s="244"/>
    </row>
    <row r="14" spans="1:16" ht="24" thickBot="1" x14ac:dyDescent="0.4">
      <c r="A14"/>
      <c r="B14" s="101"/>
      <c r="C14" s="305" t="s">
        <v>71</v>
      </c>
      <c r="D14" s="174" t="s">
        <v>63</v>
      </c>
      <c r="E14" s="175">
        <v>298.14999999999998</v>
      </c>
      <c r="F14" s="176">
        <v>1278</v>
      </c>
      <c r="G14" s="177">
        <v>-4.9166999999999996</v>
      </c>
      <c r="H14" s="177">
        <v>52.323990000000002</v>
      </c>
      <c r="I14" s="177">
        <v>12.715999999999999</v>
      </c>
      <c r="J14" s="177">
        <v>0</v>
      </c>
      <c r="K14" s="177">
        <v>0.39800999999999997</v>
      </c>
      <c r="L14" s="177">
        <v>21.234000000000002</v>
      </c>
      <c r="M14" s="177">
        <v>0</v>
      </c>
      <c r="N14" s="177">
        <v>0</v>
      </c>
      <c r="O14" s="235">
        <v>1</v>
      </c>
      <c r="P14" s="244"/>
    </row>
    <row r="15" spans="1:16" ht="24" thickBot="1" x14ac:dyDescent="0.4">
      <c r="A15"/>
      <c r="B15" s="101"/>
      <c r="C15" s="306" t="s">
        <v>117</v>
      </c>
      <c r="D15" s="280" t="s">
        <v>63</v>
      </c>
      <c r="E15" s="285">
        <v>298.14999999999998</v>
      </c>
      <c r="F15" s="289">
        <v>500.00009999999997</v>
      </c>
      <c r="G15" s="290">
        <v>-4.78</v>
      </c>
      <c r="H15" s="290">
        <v>149.5</v>
      </c>
      <c r="I15" s="290">
        <v>36.279989999999998</v>
      </c>
      <c r="J15" s="290">
        <v>0</v>
      </c>
      <c r="K15" s="290">
        <v>1.137</v>
      </c>
      <c r="L15" s="290">
        <v>62.190010000000001</v>
      </c>
      <c r="M15" s="290">
        <v>0</v>
      </c>
      <c r="N15" s="290">
        <v>0</v>
      </c>
      <c r="O15" s="237">
        <v>1</v>
      </c>
      <c r="P15" s="244"/>
    </row>
    <row r="16" spans="1:16" x14ac:dyDescent="0.35">
      <c r="A16"/>
      <c r="B16" s="101"/>
      <c r="C16" s="302" t="s">
        <v>130</v>
      </c>
      <c r="D16" s="278" t="s">
        <v>63</v>
      </c>
      <c r="E16" s="282">
        <v>298</v>
      </c>
      <c r="F16" s="287">
        <v>500.00009999999997</v>
      </c>
      <c r="G16" s="126">
        <v>-4.22</v>
      </c>
      <c r="H16" s="126">
        <v>173.5</v>
      </c>
      <c r="I16" s="126">
        <v>43.04</v>
      </c>
      <c r="J16" s="126">
        <v>-5.8149999999999999E-4</v>
      </c>
      <c r="K16" s="126">
        <v>1.2090000000000001</v>
      </c>
      <c r="L16" s="126">
        <v>-209.7</v>
      </c>
      <c r="M16" s="126">
        <v>1383</v>
      </c>
      <c r="N16" s="126">
        <v>0</v>
      </c>
      <c r="O16" s="296">
        <v>1</v>
      </c>
      <c r="P16" s="107"/>
    </row>
    <row r="17" spans="1:19" ht="24" thickBot="1" x14ac:dyDescent="0.4">
      <c r="A17"/>
      <c r="B17" s="101"/>
      <c r="C17" s="307" t="s">
        <v>131</v>
      </c>
      <c r="D17" s="94" t="s">
        <v>63</v>
      </c>
      <c r="E17" s="212">
        <v>298</v>
      </c>
      <c r="F17" s="217">
        <v>500.00009999999997</v>
      </c>
      <c r="G17" s="128">
        <v>-1.81</v>
      </c>
      <c r="H17" s="128">
        <v>71.790000000000006</v>
      </c>
      <c r="I17" s="128">
        <v>17.87</v>
      </c>
      <c r="J17" s="128">
        <v>-2.9069989999999998E-4</v>
      </c>
      <c r="K17" s="128">
        <v>0.49080000000000001</v>
      </c>
      <c r="L17" s="128">
        <v>-110.5</v>
      </c>
      <c r="M17" s="128">
        <v>691.6</v>
      </c>
      <c r="N17" s="128">
        <v>0</v>
      </c>
      <c r="O17" s="213">
        <v>1</v>
      </c>
      <c r="P17" s="107"/>
      <c r="R17" s="228"/>
    </row>
    <row r="18" spans="1:19" ht="24" thickBot="1" x14ac:dyDescent="0.4">
      <c r="A18"/>
      <c r="B18" s="101"/>
      <c r="C18" s="180" t="s">
        <v>62</v>
      </c>
      <c r="D18" s="174" t="s">
        <v>61</v>
      </c>
      <c r="E18" s="175">
        <v>298.14999999999998</v>
      </c>
      <c r="F18" s="176">
        <v>1500</v>
      </c>
      <c r="G18" s="177">
        <v>4.3829390000000004</v>
      </c>
      <c r="H18" s="177">
        <v>34.862279999999998</v>
      </c>
      <c r="I18" s="177">
        <v>5.530119</v>
      </c>
      <c r="J18" s="177">
        <v>-3.3787839999999998E-4</v>
      </c>
      <c r="K18" s="177">
        <v>8.1663529999999998E-2</v>
      </c>
      <c r="L18" s="177">
        <v>-21.130780000000001</v>
      </c>
      <c r="M18" s="177">
        <v>36.52984</v>
      </c>
      <c r="N18" s="177">
        <v>-31.421589999999998</v>
      </c>
      <c r="O18" s="235">
        <v>1</v>
      </c>
      <c r="P18" s="244"/>
    </row>
    <row r="19" spans="1:19" ht="24" thickBot="1" x14ac:dyDescent="0.4">
      <c r="A19"/>
      <c r="B19" s="101"/>
      <c r="C19" s="180" t="s">
        <v>62</v>
      </c>
      <c r="D19" s="174" t="s">
        <v>61</v>
      </c>
      <c r="E19" s="175">
        <v>1500</v>
      </c>
      <c r="F19" s="176">
        <v>6000</v>
      </c>
      <c r="G19" s="186">
        <v>4.3829390000000004</v>
      </c>
      <c r="H19" s="186">
        <v>26.704419999999999</v>
      </c>
      <c r="I19" s="186">
        <v>1.8358589999999999</v>
      </c>
      <c r="J19" s="186">
        <v>3.9919220000000002E-3</v>
      </c>
      <c r="K19" s="186">
        <v>-0.2011674</v>
      </c>
      <c r="L19" s="186">
        <v>2.865237</v>
      </c>
      <c r="M19" s="186">
        <v>-1.920703</v>
      </c>
      <c r="N19" s="186">
        <v>0.6292025</v>
      </c>
      <c r="O19" s="235">
        <v>1</v>
      </c>
      <c r="P19" s="227"/>
    </row>
    <row r="20" spans="1:19" x14ac:dyDescent="0.35">
      <c r="A20"/>
      <c r="B20" s="101"/>
      <c r="C20" s="146" t="s">
        <v>62</v>
      </c>
      <c r="D20" s="147" t="s">
        <v>61</v>
      </c>
      <c r="E20" s="148">
        <v>6000</v>
      </c>
      <c r="F20" s="149">
        <v>10000</v>
      </c>
      <c r="G20" s="163">
        <v>4.3829390000000004</v>
      </c>
      <c r="H20" s="163">
        <v>30.185140000000001</v>
      </c>
      <c r="I20" s="163">
        <v>6.3430540000000004</v>
      </c>
      <c r="J20" s="163">
        <v>-9.5135109999999995E-2</v>
      </c>
      <c r="K20" s="163">
        <v>1.2754369999999999</v>
      </c>
      <c r="L20" s="163">
        <v>-4.2694150000000004</v>
      </c>
      <c r="M20" s="163">
        <v>1.041687</v>
      </c>
      <c r="N20" s="163">
        <v>-6.3588229999999996E-2</v>
      </c>
      <c r="O20" s="298">
        <v>1</v>
      </c>
      <c r="P20" s="131"/>
    </row>
    <row r="21" spans="1:19" ht="24" thickBot="1" x14ac:dyDescent="0.4">
      <c r="A21"/>
      <c r="B21" s="101"/>
      <c r="C21" s="155" t="s">
        <v>62</v>
      </c>
      <c r="D21" s="136" t="s">
        <v>58</v>
      </c>
      <c r="E21" s="110">
        <v>1211.4000000000001</v>
      </c>
      <c r="F21" s="111">
        <v>4900</v>
      </c>
      <c r="G21" s="179">
        <v>-5.5760690000000002E-2</v>
      </c>
      <c r="H21" s="179">
        <v>15.395060000000001</v>
      </c>
      <c r="I21" s="179">
        <v>3.319661</v>
      </c>
      <c r="J21" s="179">
        <v>0</v>
      </c>
      <c r="K21" s="179">
        <v>-0.38367639999999997</v>
      </c>
      <c r="L21" s="179">
        <v>0</v>
      </c>
      <c r="M21" s="179">
        <v>0</v>
      </c>
      <c r="N21" s="179">
        <v>0</v>
      </c>
      <c r="O21" s="231">
        <v>1</v>
      </c>
      <c r="P21" s="227"/>
    </row>
    <row r="22" spans="1:19" ht="24" thickBot="1" x14ac:dyDescent="0.4">
      <c r="A22"/>
      <c r="B22" s="101"/>
      <c r="C22" s="180" t="s">
        <v>62</v>
      </c>
      <c r="D22" s="174" t="s">
        <v>63</v>
      </c>
      <c r="E22" s="175">
        <v>298.14999999999998</v>
      </c>
      <c r="F22" s="176">
        <v>1211.4000000000001</v>
      </c>
      <c r="G22" s="177">
        <v>-5.5760690000000002E-2</v>
      </c>
      <c r="H22" s="177">
        <v>10.808619999999999</v>
      </c>
      <c r="I22" s="177">
        <v>2.898209</v>
      </c>
      <c r="J22" s="177">
        <v>-9.4357770000000004E-5</v>
      </c>
      <c r="K22" s="177">
        <v>3.8575789999999999E-2</v>
      </c>
      <c r="L22" s="177">
        <v>1.796346</v>
      </c>
      <c r="M22" s="177">
        <v>0</v>
      </c>
      <c r="N22" s="177">
        <v>0</v>
      </c>
      <c r="O22" s="235">
        <v>1</v>
      </c>
      <c r="P22" s="227"/>
    </row>
    <row r="23" spans="1:19" ht="24" thickBot="1" x14ac:dyDescent="0.4">
      <c r="A23"/>
      <c r="B23" s="101"/>
      <c r="C23" s="178" t="s">
        <v>62</v>
      </c>
      <c r="D23" s="136" t="s">
        <v>122</v>
      </c>
      <c r="E23" s="110">
        <v>298.14999999999998</v>
      </c>
      <c r="F23" s="111">
        <v>1211.4000000000001</v>
      </c>
      <c r="G23" s="137">
        <v>-5.5760690000000002E-2</v>
      </c>
      <c r="H23" s="137">
        <v>10.808619999999999</v>
      </c>
      <c r="I23" s="137">
        <v>2.898209</v>
      </c>
      <c r="J23" s="137">
        <v>-9.4357770000000004E-5</v>
      </c>
      <c r="K23" s="137">
        <v>3.8575789999999999E-2</v>
      </c>
      <c r="L23" s="137">
        <v>1.796346</v>
      </c>
      <c r="M23" s="137">
        <v>0</v>
      </c>
      <c r="N23" s="137">
        <v>0</v>
      </c>
      <c r="O23" s="234">
        <v>1</v>
      </c>
      <c r="P23" s="227"/>
    </row>
    <row r="24" spans="1:19" ht="24" thickBot="1" x14ac:dyDescent="0.4">
      <c r="A24"/>
      <c r="B24" s="101"/>
      <c r="C24" s="188" t="s">
        <v>95</v>
      </c>
      <c r="D24" s="147" t="s">
        <v>61</v>
      </c>
      <c r="E24" s="148">
        <v>298.14999999999998</v>
      </c>
      <c r="F24" s="149">
        <v>1100</v>
      </c>
      <c r="G24" s="163">
        <v>5.2149859999999997</v>
      </c>
      <c r="H24" s="163">
        <v>41.701000000000001</v>
      </c>
      <c r="I24" s="163">
        <v>4.0561670000000003</v>
      </c>
      <c r="J24" s="163">
        <v>2.357301E-5</v>
      </c>
      <c r="K24" s="163">
        <v>0.12889</v>
      </c>
      <c r="L24" s="163">
        <v>11.272</v>
      </c>
      <c r="M24" s="163">
        <v>-9.1847989999999999</v>
      </c>
      <c r="N24" s="163">
        <v>0</v>
      </c>
      <c r="O24" s="233">
        <v>1</v>
      </c>
      <c r="P24" s="244"/>
    </row>
    <row r="25" spans="1:19" x14ac:dyDescent="0.35">
      <c r="A25"/>
      <c r="B25" s="101"/>
      <c r="C25" s="201" t="s">
        <v>95</v>
      </c>
      <c r="D25" s="196" t="s">
        <v>61</v>
      </c>
      <c r="E25" s="204">
        <v>1100</v>
      </c>
      <c r="F25" s="205">
        <v>2500</v>
      </c>
      <c r="G25" s="159">
        <v>5.2149859999999997</v>
      </c>
      <c r="H25" s="159">
        <v>43.677999999999997</v>
      </c>
      <c r="I25" s="159">
        <v>4.8509000000000002</v>
      </c>
      <c r="J25" s="159">
        <v>-3.7446989999999998E-4</v>
      </c>
      <c r="K25" s="159">
        <v>0.1716596</v>
      </c>
      <c r="L25" s="159">
        <v>5.0346000000000002</v>
      </c>
      <c r="M25" s="159">
        <v>-0.32273000000000002</v>
      </c>
      <c r="N25" s="159">
        <v>0</v>
      </c>
      <c r="O25" s="210">
        <v>1</v>
      </c>
      <c r="P25" s="244"/>
    </row>
    <row r="26" spans="1:19" x14ac:dyDescent="0.35">
      <c r="A26"/>
      <c r="B26" s="101"/>
      <c r="C26" s="202" t="s">
        <v>95</v>
      </c>
      <c r="D26" s="203" t="s">
        <v>61</v>
      </c>
      <c r="E26" s="173">
        <v>1500</v>
      </c>
      <c r="F26" s="200">
        <v>6000</v>
      </c>
      <c r="G26" s="154">
        <v>5.674709</v>
      </c>
      <c r="H26" s="154">
        <v>40.162990000000001</v>
      </c>
      <c r="I26" s="154">
        <v>2.7510140000000001</v>
      </c>
      <c r="J26" s="154">
        <v>7.8054969999999998E-3</v>
      </c>
      <c r="K26" s="154">
        <v>-0.32734089999999999</v>
      </c>
      <c r="L26" s="154">
        <v>6.01546</v>
      </c>
      <c r="M26" s="154">
        <v>-3.5431430000000002</v>
      </c>
      <c r="N26" s="154">
        <v>0.75900279999999998</v>
      </c>
      <c r="O26" s="239">
        <v>1</v>
      </c>
      <c r="P26" s="106"/>
    </row>
    <row r="27" spans="1:19" x14ac:dyDescent="0.35">
      <c r="A27"/>
      <c r="B27" s="101"/>
      <c r="C27" s="308" t="s">
        <v>121</v>
      </c>
      <c r="D27" s="219" t="s">
        <v>63</v>
      </c>
      <c r="E27" s="212">
        <v>298.14999999999998</v>
      </c>
      <c r="F27" s="217">
        <v>500.00009999999997</v>
      </c>
      <c r="G27" s="128">
        <v>-2.95</v>
      </c>
      <c r="H27" s="128">
        <v>113.7</v>
      </c>
      <c r="I27" s="128">
        <v>28.46</v>
      </c>
      <c r="J27" s="128">
        <v>-5.8149999999999999E-4</v>
      </c>
      <c r="K27" s="128">
        <v>0.75419999999999998</v>
      </c>
      <c r="L27" s="128">
        <v>-232.4</v>
      </c>
      <c r="M27" s="128">
        <v>1383</v>
      </c>
      <c r="N27" s="128">
        <v>0</v>
      </c>
      <c r="O27" s="297">
        <v>1</v>
      </c>
      <c r="P27" s="244"/>
      <c r="Q27" s="74"/>
      <c r="R27" s="74"/>
      <c r="S27" s="74"/>
    </row>
    <row r="28" spans="1:19" ht="24" thickBot="1" x14ac:dyDescent="0.4">
      <c r="A28"/>
      <c r="B28" s="101"/>
      <c r="C28" s="309" t="s">
        <v>120</v>
      </c>
      <c r="D28" s="220" t="s">
        <v>63</v>
      </c>
      <c r="E28" s="214">
        <v>298.14999999999998</v>
      </c>
      <c r="F28" s="218">
        <v>500.00009999999997</v>
      </c>
      <c r="G28" s="215">
        <v>-3.78</v>
      </c>
      <c r="H28" s="215">
        <v>136.19999999999999</v>
      </c>
      <c r="I28" s="215">
        <v>33.880000000000003</v>
      </c>
      <c r="J28" s="215">
        <v>-5.8149999999999999E-4</v>
      </c>
      <c r="K28" s="215">
        <v>0.92469999999999997</v>
      </c>
      <c r="L28" s="215">
        <v>-222.6</v>
      </c>
      <c r="M28" s="215">
        <v>1383</v>
      </c>
      <c r="N28" s="215">
        <v>0</v>
      </c>
      <c r="O28" s="295">
        <v>1</v>
      </c>
      <c r="P28" s="244"/>
    </row>
    <row r="29" spans="1:19" x14ac:dyDescent="0.35">
      <c r="A29"/>
      <c r="B29" s="101"/>
      <c r="C29" s="160" t="s">
        <v>123</v>
      </c>
      <c r="D29" s="156" t="s">
        <v>61</v>
      </c>
      <c r="E29" s="204">
        <v>298.14999999999998</v>
      </c>
      <c r="F29" s="205">
        <v>1500</v>
      </c>
      <c r="G29" s="159">
        <v>5.674709</v>
      </c>
      <c r="H29" s="159">
        <v>49.524940000000001</v>
      </c>
      <c r="I29" s="159">
        <v>7.0513279999999998</v>
      </c>
      <c r="J29" s="159">
        <v>-1.341195E-5</v>
      </c>
      <c r="K29" s="159">
        <v>5.245814E-2</v>
      </c>
      <c r="L29" s="159">
        <v>-24.580100000000002</v>
      </c>
      <c r="M29" s="159">
        <v>62.099780000000003</v>
      </c>
      <c r="N29" s="159">
        <v>-81.046109999999999</v>
      </c>
      <c r="O29" s="210">
        <v>1</v>
      </c>
      <c r="P29" s="106"/>
    </row>
    <row r="30" spans="1:19" ht="24" thickBot="1" x14ac:dyDescent="0.4">
      <c r="A30"/>
      <c r="C30" s="268" t="s">
        <v>81</v>
      </c>
      <c r="D30" s="275" t="s">
        <v>61</v>
      </c>
      <c r="E30" s="164">
        <v>298.14999999999998</v>
      </c>
      <c r="F30" s="165">
        <v>2000</v>
      </c>
      <c r="G30" s="166">
        <v>1.2677</v>
      </c>
      <c r="H30" s="166">
        <v>11.071</v>
      </c>
      <c r="I30" s="166">
        <v>4.4489000000000001</v>
      </c>
      <c r="J30" s="166">
        <v>-1.0823999999999999E-4</v>
      </c>
      <c r="K30" s="166">
        <v>0.13999</v>
      </c>
      <c r="L30" s="166">
        <v>0.10223</v>
      </c>
      <c r="M30" s="166">
        <v>0</v>
      </c>
      <c r="N30" s="166">
        <v>0</v>
      </c>
      <c r="O30" s="293">
        <v>1</v>
      </c>
      <c r="P30" s="106"/>
    </row>
    <row r="31" spans="1:19" ht="24" thickBot="1" x14ac:dyDescent="0.4">
      <c r="C31" s="269" t="s">
        <v>81</v>
      </c>
      <c r="D31" s="279" t="s">
        <v>63</v>
      </c>
      <c r="E31" s="283">
        <v>298.14999999999998</v>
      </c>
      <c r="F31" s="288">
        <v>947.99990000000003</v>
      </c>
      <c r="G31" s="166">
        <v>-0.82987549999999999</v>
      </c>
      <c r="H31" s="166">
        <v>22.446940000000001</v>
      </c>
      <c r="I31" s="166">
        <v>5.4242590000000002</v>
      </c>
      <c r="J31" s="166">
        <v>0</v>
      </c>
      <c r="K31" s="166">
        <v>0.17049120000000001</v>
      </c>
      <c r="L31" s="166">
        <v>9.8622890000000005</v>
      </c>
      <c r="M31" s="166">
        <v>0</v>
      </c>
      <c r="N31" s="166">
        <v>0</v>
      </c>
      <c r="O31" s="293">
        <v>1</v>
      </c>
      <c r="P31" s="106"/>
    </row>
    <row r="32" spans="1:19" x14ac:dyDescent="0.35">
      <c r="C32" s="161" t="s">
        <v>82</v>
      </c>
      <c r="D32" s="153" t="s">
        <v>63</v>
      </c>
      <c r="E32" s="173">
        <v>298.14999999999998</v>
      </c>
      <c r="F32" s="162">
        <v>1013</v>
      </c>
      <c r="G32" s="154">
        <v>-1.3591</v>
      </c>
      <c r="H32" s="154">
        <v>31.553999999999998</v>
      </c>
      <c r="I32" s="154">
        <v>7.5639000000000003</v>
      </c>
      <c r="J32" s="154">
        <v>0</v>
      </c>
      <c r="K32" s="154">
        <v>0.24035000000000001</v>
      </c>
      <c r="L32" s="154">
        <v>16.681999999999999</v>
      </c>
      <c r="M32" s="154">
        <v>0</v>
      </c>
      <c r="N32" s="154">
        <v>0</v>
      </c>
      <c r="O32" s="241">
        <v>1</v>
      </c>
      <c r="P32" s="106"/>
    </row>
    <row r="33" spans="1:16" x14ac:dyDescent="0.35">
      <c r="C33" s="151" t="s">
        <v>82</v>
      </c>
      <c r="D33" s="133" t="s">
        <v>63</v>
      </c>
      <c r="E33" s="108">
        <v>298.14999999999998</v>
      </c>
      <c r="F33" s="109">
        <v>350</v>
      </c>
      <c r="G33" s="152"/>
      <c r="H33" s="152">
        <v>68.819999999999993</v>
      </c>
      <c r="I33" s="152">
        <v>17.670000000000002</v>
      </c>
      <c r="J33" s="152">
        <v>-5.8149999999999999E-4</v>
      </c>
      <c r="K33" s="152">
        <v>0.41320000000000001</v>
      </c>
      <c r="L33" s="152">
        <v>-252.1001</v>
      </c>
      <c r="M33" s="152">
        <v>1383</v>
      </c>
      <c r="N33" s="152"/>
      <c r="O33" s="240">
        <v>1</v>
      </c>
      <c r="P33" s="227"/>
    </row>
    <row r="34" spans="1:16" ht="24" thickBot="1" x14ac:dyDescent="0.4">
      <c r="C34" s="151" t="s">
        <v>82</v>
      </c>
      <c r="D34" s="133" t="s">
        <v>63</v>
      </c>
      <c r="E34" s="108">
        <v>350</v>
      </c>
      <c r="F34" s="109">
        <v>420</v>
      </c>
      <c r="G34" s="152">
        <v>-1.359</v>
      </c>
      <c r="H34" s="152">
        <v>12.05</v>
      </c>
      <c r="I34" s="152">
        <v>1.762</v>
      </c>
      <c r="J34" s="152">
        <v>0</v>
      </c>
      <c r="K34" s="152">
        <v>0.14510000000000001</v>
      </c>
      <c r="L34" s="152">
        <v>105.7</v>
      </c>
      <c r="M34" s="152">
        <v>0</v>
      </c>
      <c r="N34" s="152">
        <v>0</v>
      </c>
      <c r="O34" s="240">
        <v>1</v>
      </c>
      <c r="P34" s="227"/>
    </row>
    <row r="35" spans="1:16" ht="24" thickBot="1" x14ac:dyDescent="0.4">
      <c r="C35" s="180" t="s">
        <v>82</v>
      </c>
      <c r="D35" s="174" t="s">
        <v>63</v>
      </c>
      <c r="E35" s="175">
        <v>420</v>
      </c>
      <c r="F35" s="176">
        <v>450</v>
      </c>
      <c r="G35" s="177">
        <v>-1.359</v>
      </c>
      <c r="H35" s="177">
        <v>38.770000000000003</v>
      </c>
      <c r="I35" s="177">
        <v>9.9830000000000005</v>
      </c>
      <c r="J35" s="177">
        <v>0</v>
      </c>
      <c r="K35" s="177">
        <v>0.3039</v>
      </c>
      <c r="L35" s="177">
        <v>0</v>
      </c>
      <c r="M35" s="177">
        <v>0</v>
      </c>
      <c r="N35" s="177">
        <v>0</v>
      </c>
      <c r="O35" s="235">
        <v>1</v>
      </c>
      <c r="P35" s="227"/>
    </row>
    <row r="36" spans="1:16" s="93" customFormat="1" ht="24" thickBot="1" x14ac:dyDescent="0.4">
      <c r="A36" s="104"/>
      <c r="B36" s="104"/>
      <c r="C36" s="180" t="s">
        <v>82</v>
      </c>
      <c r="D36" s="174" t="s">
        <v>63</v>
      </c>
      <c r="E36" s="175">
        <v>450</v>
      </c>
      <c r="F36" s="176">
        <v>899.99990000000003</v>
      </c>
      <c r="G36" s="177">
        <v>-1.359</v>
      </c>
      <c r="H36" s="177">
        <v>18.36</v>
      </c>
      <c r="I36" s="177">
        <v>2.0299999999999998</v>
      </c>
      <c r="J36" s="177">
        <v>2.7360000000000002E-3</v>
      </c>
      <c r="K36" s="177">
        <v>-6.5769999999999995E-2</v>
      </c>
      <c r="L36" s="177">
        <v>61.46</v>
      </c>
      <c r="M36" s="177">
        <v>-80.110010000000003</v>
      </c>
      <c r="N36" s="177">
        <v>0</v>
      </c>
      <c r="O36" s="294">
        <v>1</v>
      </c>
      <c r="P36" s="244"/>
    </row>
    <row r="37" spans="1:16" s="93" customFormat="1" ht="24" thickBot="1" x14ac:dyDescent="0.4">
      <c r="A37" s="104"/>
      <c r="B37" s="104"/>
      <c r="C37" s="168" t="s">
        <v>64</v>
      </c>
      <c r="D37" s="133" t="s">
        <v>126</v>
      </c>
      <c r="E37" s="108">
        <v>298.14999999999998</v>
      </c>
      <c r="F37" s="109">
        <v>398</v>
      </c>
      <c r="G37" s="152">
        <v>6.0389989999999998E-2</v>
      </c>
      <c r="H37" s="152">
        <v>14.03</v>
      </c>
      <c r="I37" s="152">
        <v>3.2650000000000001</v>
      </c>
      <c r="J37" s="152">
        <v>0</v>
      </c>
      <c r="K37" s="152">
        <v>9.7360000000000002E-2</v>
      </c>
      <c r="L37" s="152">
        <v>0</v>
      </c>
      <c r="M37" s="152">
        <v>0</v>
      </c>
      <c r="N37" s="152">
        <v>0</v>
      </c>
      <c r="O37" s="240">
        <v>1</v>
      </c>
      <c r="P37" s="244"/>
    </row>
    <row r="38" spans="1:16" s="93" customFormat="1" x14ac:dyDescent="0.35">
      <c r="A38" s="104"/>
      <c r="B38" s="104"/>
      <c r="C38" s="273" t="s">
        <v>64</v>
      </c>
      <c r="D38" s="196" t="s">
        <v>61</v>
      </c>
      <c r="E38" s="157">
        <v>298.14999999999998</v>
      </c>
      <c r="F38" s="158">
        <v>1500</v>
      </c>
      <c r="G38" s="159">
        <v>2.783115</v>
      </c>
      <c r="H38" s="159">
        <v>25.378499999999999</v>
      </c>
      <c r="I38" s="159">
        <v>1.797085</v>
      </c>
      <c r="J38" s="159">
        <v>1.090393E-4</v>
      </c>
      <c r="K38" s="159">
        <v>-2.1003919999999999E-2</v>
      </c>
      <c r="L38" s="159">
        <v>9.1604179999999999</v>
      </c>
      <c r="M38" s="159">
        <v>-16.28604</v>
      </c>
      <c r="N38" s="159">
        <v>12.30222</v>
      </c>
      <c r="O38" s="300">
        <v>1</v>
      </c>
      <c r="P38" s="207"/>
    </row>
    <row r="39" spans="1:16" s="93" customFormat="1" ht="24" thickBot="1" x14ac:dyDescent="0.4">
      <c r="A39" s="104"/>
      <c r="B39" s="104"/>
      <c r="C39" s="151" t="s">
        <v>64</v>
      </c>
      <c r="D39" s="151" t="s">
        <v>61</v>
      </c>
      <c r="E39" s="108">
        <v>1500</v>
      </c>
      <c r="F39" s="109">
        <v>10000</v>
      </c>
      <c r="G39" s="134">
        <v>2.783115</v>
      </c>
      <c r="H39" s="134">
        <v>27.619869999999999</v>
      </c>
      <c r="I39" s="134">
        <v>2.4307400000000001</v>
      </c>
      <c r="J39" s="134">
        <v>2.4488410000000002E-3</v>
      </c>
      <c r="K39" s="134">
        <v>-5.4265309999999997E-2</v>
      </c>
      <c r="L39" s="134">
        <v>0.91438399999999997</v>
      </c>
      <c r="M39" s="134">
        <v>-0.4321508</v>
      </c>
      <c r="N39" s="134">
        <v>8.956944E-2</v>
      </c>
      <c r="O39" s="299">
        <v>1</v>
      </c>
      <c r="P39" s="107"/>
    </row>
    <row r="40" spans="1:16" x14ac:dyDescent="0.35">
      <c r="C40" s="225" t="s">
        <v>64</v>
      </c>
      <c r="D40" s="146" t="s">
        <v>58</v>
      </c>
      <c r="E40" s="148">
        <v>494.00009999999997</v>
      </c>
      <c r="F40" s="149">
        <v>1000</v>
      </c>
      <c r="G40" s="150">
        <v>7.4080010000000002E-2</v>
      </c>
      <c r="H40" s="150">
        <v>23.32</v>
      </c>
      <c r="I40" s="150">
        <v>6.3019999999999996</v>
      </c>
      <c r="J40" s="150">
        <v>0</v>
      </c>
      <c r="K40" s="150">
        <v>0.19220000000000001</v>
      </c>
      <c r="L40" s="150">
        <v>-29.83</v>
      </c>
      <c r="M40" s="150">
        <v>64.95</v>
      </c>
      <c r="N40" s="150">
        <v>0</v>
      </c>
      <c r="O40" s="233">
        <v>1</v>
      </c>
      <c r="P40" s="227"/>
    </row>
    <row r="41" spans="1:16" ht="24" thickBot="1" x14ac:dyDescent="0.4">
      <c r="C41" s="108" t="s">
        <v>64</v>
      </c>
      <c r="D41" s="151" t="s">
        <v>58</v>
      </c>
      <c r="E41" s="108">
        <v>1000</v>
      </c>
      <c r="F41" s="109">
        <v>1800</v>
      </c>
      <c r="G41" s="152">
        <v>7.4080010000000002E-2</v>
      </c>
      <c r="H41" s="152">
        <v>16.62</v>
      </c>
      <c r="I41" s="152">
        <v>4.2460000000000004</v>
      </c>
      <c r="J41" s="152">
        <v>0</v>
      </c>
      <c r="K41" s="152">
        <v>0.15490000000000001</v>
      </c>
      <c r="L41" s="152">
        <v>0</v>
      </c>
      <c r="M41" s="152">
        <v>0</v>
      </c>
      <c r="N41" s="152">
        <v>0</v>
      </c>
      <c r="O41" s="236">
        <v>1</v>
      </c>
      <c r="P41" s="227"/>
    </row>
    <row r="42" spans="1:16" x14ac:dyDescent="0.35">
      <c r="C42" s="148" t="s">
        <v>64</v>
      </c>
      <c r="D42" s="146" t="s">
        <v>127</v>
      </c>
      <c r="E42" s="148">
        <v>298.14999999999998</v>
      </c>
      <c r="F42" s="149">
        <v>413.00009999999997</v>
      </c>
      <c r="G42" s="150">
        <v>0.1077</v>
      </c>
      <c r="H42" s="150">
        <v>54.85</v>
      </c>
      <c r="I42" s="150">
        <v>12.93</v>
      </c>
      <c r="J42" s="150">
        <v>-2.6350000000000001E-4</v>
      </c>
      <c r="K42" s="150">
        <v>0.40429999999999999</v>
      </c>
      <c r="L42" s="150">
        <v>-5.4480000000000004</v>
      </c>
      <c r="M42" s="150">
        <v>144</v>
      </c>
      <c r="N42" s="150">
        <v>0</v>
      </c>
      <c r="O42" s="233">
        <v>1</v>
      </c>
      <c r="P42" s="227"/>
    </row>
    <row r="43" spans="1:16" ht="24" thickBot="1" x14ac:dyDescent="0.4">
      <c r="C43" s="110" t="s">
        <v>64</v>
      </c>
      <c r="D43" s="155" t="s">
        <v>128</v>
      </c>
      <c r="E43" s="110">
        <v>298.14999999999998</v>
      </c>
      <c r="F43" s="111">
        <v>398</v>
      </c>
      <c r="G43" s="179">
        <v>0.1963</v>
      </c>
      <c r="H43" s="179">
        <v>18.559999999999999</v>
      </c>
      <c r="I43" s="179">
        <v>4.8810000000000002</v>
      </c>
      <c r="J43" s="179">
        <v>0</v>
      </c>
      <c r="K43" s="179">
        <v>0.14549999999999999</v>
      </c>
      <c r="L43" s="179">
        <v>0</v>
      </c>
      <c r="M43" s="179">
        <v>0</v>
      </c>
      <c r="N43" s="179">
        <v>0</v>
      </c>
      <c r="O43" s="234">
        <v>1</v>
      </c>
      <c r="P43" s="227"/>
    </row>
    <row r="44" spans="1:16" x14ac:dyDescent="0.35">
      <c r="C44" s="151" t="s">
        <v>64</v>
      </c>
      <c r="D44" s="133" t="s">
        <v>63</v>
      </c>
      <c r="E44" s="108">
        <v>298.14999999999998</v>
      </c>
      <c r="F44" s="109">
        <v>494.3</v>
      </c>
      <c r="G44" s="152">
        <v>-6.6260929999999996E-2</v>
      </c>
      <c r="H44" s="152">
        <v>10.212899999999999</v>
      </c>
      <c r="I44" s="152">
        <v>2.3373539999999999</v>
      </c>
      <c r="J44" s="152">
        <v>0</v>
      </c>
      <c r="K44" s="152">
        <v>1.4182739999999999E-2</v>
      </c>
      <c r="L44" s="152">
        <v>13.63707</v>
      </c>
      <c r="M44" s="152">
        <v>-25.78952</v>
      </c>
      <c r="N44" s="152">
        <v>0</v>
      </c>
      <c r="O44" s="230">
        <v>1</v>
      </c>
      <c r="P44" s="227"/>
    </row>
    <row r="45" spans="1:16" ht="24" thickBot="1" x14ac:dyDescent="0.4">
      <c r="C45" s="151" t="s">
        <v>64</v>
      </c>
      <c r="D45" s="133" t="s">
        <v>63</v>
      </c>
      <c r="E45" s="108">
        <v>494.3</v>
      </c>
      <c r="F45" s="109">
        <v>1000</v>
      </c>
      <c r="G45" s="152">
        <v>-6.6260929999999996E-2</v>
      </c>
      <c r="H45" s="152">
        <v>23.305810000000001</v>
      </c>
      <c r="I45" s="152">
        <v>6.3044700000000002</v>
      </c>
      <c r="J45" s="152">
        <v>0</v>
      </c>
      <c r="K45" s="152">
        <v>5.1929419999999997E-2</v>
      </c>
      <c r="L45" s="152">
        <v>-29.829440000000002</v>
      </c>
      <c r="M45" s="152">
        <v>65.022059999999996</v>
      </c>
      <c r="N45" s="152">
        <v>0</v>
      </c>
      <c r="O45" s="230">
        <v>1</v>
      </c>
      <c r="P45" s="227"/>
    </row>
    <row r="46" spans="1:16" x14ac:dyDescent="0.35">
      <c r="C46" s="148" t="s">
        <v>64</v>
      </c>
      <c r="D46" s="146" t="s">
        <v>63</v>
      </c>
      <c r="E46" s="148">
        <v>1000</v>
      </c>
      <c r="F46" s="149">
        <v>1800</v>
      </c>
      <c r="G46" s="150">
        <v>-6.6260929999999996E-2</v>
      </c>
      <c r="H46" s="150">
        <v>16.601150000000001</v>
      </c>
      <c r="I46" s="150">
        <v>4.2397850000000004</v>
      </c>
      <c r="J46" s="150">
        <v>0</v>
      </c>
      <c r="K46" s="150">
        <v>1.3699609999999999E-2</v>
      </c>
      <c r="L46" s="150">
        <v>0</v>
      </c>
      <c r="M46" s="150">
        <v>0</v>
      </c>
      <c r="N46" s="150">
        <v>0</v>
      </c>
      <c r="O46" s="233">
        <v>1</v>
      </c>
      <c r="P46" s="227"/>
    </row>
    <row r="47" spans="1:16" ht="24" thickBot="1" x14ac:dyDescent="0.4">
      <c r="C47" s="202" t="s">
        <v>88</v>
      </c>
      <c r="D47" s="276" t="s">
        <v>61</v>
      </c>
      <c r="E47" s="281">
        <v>298.14999999999998</v>
      </c>
      <c r="F47" s="286">
        <v>1500</v>
      </c>
      <c r="G47" s="154">
        <v>1.6083639999999999</v>
      </c>
      <c r="H47" s="154">
        <v>46.654719999999998</v>
      </c>
      <c r="I47" s="154">
        <v>6.370749</v>
      </c>
      <c r="J47" s="154">
        <v>-1.7220000000000001E-4</v>
      </c>
      <c r="K47" s="154">
        <v>6.049562E-2</v>
      </c>
      <c r="L47" s="154">
        <v>-20.810030000000001</v>
      </c>
      <c r="M47" s="154">
        <v>56.994140000000002</v>
      </c>
      <c r="N47" s="154">
        <v>-73.985680000000002</v>
      </c>
      <c r="O47" s="232">
        <v>1</v>
      </c>
      <c r="P47" s="207"/>
    </row>
    <row r="48" spans="1:16" x14ac:dyDescent="0.35">
      <c r="C48" s="148" t="s">
        <v>88</v>
      </c>
      <c r="D48" s="146" t="s">
        <v>61</v>
      </c>
      <c r="E48" s="148">
        <v>1500</v>
      </c>
      <c r="F48" s="149">
        <v>6000</v>
      </c>
      <c r="G48" s="163">
        <v>1.6083639999999999</v>
      </c>
      <c r="H48" s="163">
        <v>41.393599999999999</v>
      </c>
      <c r="I48" s="163">
        <v>4.6638549999999999</v>
      </c>
      <c r="J48" s="163">
        <v>-1.334432E-3</v>
      </c>
      <c r="K48" s="163">
        <v>3.6780319999999998E-2</v>
      </c>
      <c r="L48" s="163">
        <v>0.98545360000000004</v>
      </c>
      <c r="M48" s="163">
        <v>-0.13838919999999999</v>
      </c>
      <c r="N48" s="163">
        <v>-0.2247374</v>
      </c>
      <c r="O48" s="238">
        <v>1</v>
      </c>
      <c r="P48" s="131"/>
    </row>
    <row r="49" spans="3:16" ht="24" thickBot="1" x14ac:dyDescent="0.4">
      <c r="C49" s="270" t="s">
        <v>89</v>
      </c>
      <c r="D49" s="276" t="s">
        <v>61</v>
      </c>
      <c r="E49" s="281">
        <v>298.14999999999998</v>
      </c>
      <c r="F49" s="286">
        <v>1500</v>
      </c>
      <c r="G49" s="154">
        <v>1.9782420000000001</v>
      </c>
      <c r="H49" s="154">
        <v>54.51784</v>
      </c>
      <c r="I49" s="154">
        <v>6.89046</v>
      </c>
      <c r="J49" s="154">
        <v>-1.736525E-4</v>
      </c>
      <c r="K49" s="154">
        <v>5.6347979999999999E-2</v>
      </c>
      <c r="L49" s="154">
        <v>1.1843140000000001</v>
      </c>
      <c r="M49" s="154">
        <v>-3.094471</v>
      </c>
      <c r="N49" s="154">
        <v>4.1616710000000001</v>
      </c>
      <c r="O49" s="239">
        <v>1</v>
      </c>
      <c r="P49" s="106"/>
    </row>
    <row r="50" spans="3:16" x14ac:dyDescent="0.35">
      <c r="C50" s="148" t="s">
        <v>89</v>
      </c>
      <c r="D50" s="147" t="s">
        <v>61</v>
      </c>
      <c r="E50" s="148">
        <v>1500</v>
      </c>
      <c r="F50" s="149">
        <v>6000</v>
      </c>
      <c r="G50" s="163">
        <v>1.9782420000000001</v>
      </c>
      <c r="H50" s="163">
        <v>54.816650000000003</v>
      </c>
      <c r="I50" s="163">
        <v>7.0000840000000002</v>
      </c>
      <c r="J50" s="163">
        <v>-2.193664E-4</v>
      </c>
      <c r="K50" s="163">
        <v>6.1325909999999997E-2</v>
      </c>
      <c r="L50" s="163">
        <v>3.7539989999999998E-4</v>
      </c>
      <c r="M50" s="163">
        <v>-1.8322499999999999E-4</v>
      </c>
      <c r="N50" s="163">
        <v>4.3410669999999999E-5</v>
      </c>
      <c r="O50" s="238">
        <v>1</v>
      </c>
      <c r="P50" s="131"/>
    </row>
    <row r="51" spans="3:16" ht="24" thickBot="1" x14ac:dyDescent="0.4">
      <c r="C51" s="110" t="s">
        <v>90</v>
      </c>
      <c r="D51" s="136" t="s">
        <v>61</v>
      </c>
      <c r="E51" s="110">
        <v>298.14999999999998</v>
      </c>
      <c r="F51" s="111">
        <v>1500</v>
      </c>
      <c r="G51" s="179">
        <v>1.7796749999999999</v>
      </c>
      <c r="H51" s="179">
        <v>65.627989999999997</v>
      </c>
      <c r="I51" s="179">
        <v>9.8077830000000006</v>
      </c>
      <c r="J51" s="179">
        <v>-2.9475889999999998E-4</v>
      </c>
      <c r="K51" s="179">
        <v>0.1005359</v>
      </c>
      <c r="L51" s="179">
        <v>2.0750869999999999</v>
      </c>
      <c r="M51" s="179">
        <v>-5.417872</v>
      </c>
      <c r="N51" s="179">
        <v>7.2822940000000003</v>
      </c>
      <c r="O51" s="234">
        <v>1</v>
      </c>
      <c r="P51" s="227"/>
    </row>
    <row r="52" spans="3:16" x14ac:dyDescent="0.35">
      <c r="C52" s="108" t="s">
        <v>90</v>
      </c>
      <c r="D52" s="151" t="s">
        <v>61</v>
      </c>
      <c r="E52" s="108">
        <v>1500</v>
      </c>
      <c r="F52" s="109">
        <v>6000</v>
      </c>
      <c r="G52" s="152">
        <v>1.7796749999999999</v>
      </c>
      <c r="H52" s="152">
        <v>66.151300000000006</v>
      </c>
      <c r="I52" s="152">
        <v>9.9996779999999994</v>
      </c>
      <c r="J52" s="152">
        <v>-3.7359040000000001E-4</v>
      </c>
      <c r="K52" s="152">
        <v>0.1092219</v>
      </c>
      <c r="L52" s="152">
        <v>1.8328540000000001E-3</v>
      </c>
      <c r="M52" s="152">
        <v>-1.155547E-3</v>
      </c>
      <c r="N52" s="152">
        <v>3.7609010000000002E-4</v>
      </c>
      <c r="O52" s="236">
        <v>1</v>
      </c>
      <c r="P52" s="244"/>
    </row>
    <row r="53" spans="3:16" x14ac:dyDescent="0.35">
      <c r="C53" s="108" t="s">
        <v>91</v>
      </c>
      <c r="D53" s="151" t="s">
        <v>61</v>
      </c>
      <c r="E53" s="108">
        <v>298.14999999999998</v>
      </c>
      <c r="F53" s="109">
        <v>1500</v>
      </c>
      <c r="G53" s="152">
        <v>1.593137</v>
      </c>
      <c r="H53" s="152">
        <v>82.10181</v>
      </c>
      <c r="I53" s="152">
        <v>12.889200000000001</v>
      </c>
      <c r="J53" s="152">
        <v>-2.7534359999999998E-4</v>
      </c>
      <c r="K53" s="152">
        <v>0.11292489999999999</v>
      </c>
      <c r="L53" s="152">
        <v>1.2045049999999999</v>
      </c>
      <c r="M53" s="152">
        <v>-3.1549330000000002</v>
      </c>
      <c r="N53" s="152">
        <v>4.2508710000000001</v>
      </c>
      <c r="O53" s="236">
        <v>1</v>
      </c>
      <c r="P53" s="107"/>
    </row>
    <row r="54" spans="3:16" x14ac:dyDescent="0.35">
      <c r="C54" s="270" t="s">
        <v>91</v>
      </c>
      <c r="D54" s="276" t="s">
        <v>61</v>
      </c>
      <c r="E54" s="284">
        <v>1500</v>
      </c>
      <c r="F54" s="162">
        <v>6000</v>
      </c>
      <c r="G54" s="154">
        <v>1.593137</v>
      </c>
      <c r="H54" s="154">
        <v>82.404619999999994</v>
      </c>
      <c r="I54" s="154">
        <v>12.999980000000001</v>
      </c>
      <c r="J54" s="154">
        <v>-3.1975439999999998E-4</v>
      </c>
      <c r="K54" s="154">
        <v>0.117897</v>
      </c>
      <c r="L54" s="154">
        <v>1.496076E-3</v>
      </c>
      <c r="M54" s="154">
        <v>-1.046272E-3</v>
      </c>
      <c r="N54" s="154">
        <v>3.8618760000000001E-4</v>
      </c>
      <c r="O54" s="239">
        <v>1</v>
      </c>
      <c r="P54" s="106"/>
    </row>
    <row r="55" spans="3:16" x14ac:dyDescent="0.35">
      <c r="C55" s="274" t="s">
        <v>92</v>
      </c>
      <c r="D55" s="151" t="s">
        <v>61</v>
      </c>
      <c r="E55" s="108">
        <v>298.14999999999998</v>
      </c>
      <c r="F55" s="109">
        <v>1500</v>
      </c>
      <c r="G55" s="134">
        <v>1.310376</v>
      </c>
      <c r="H55" s="134">
        <v>92.080410000000001</v>
      </c>
      <c r="I55" s="134">
        <v>15.90657</v>
      </c>
      <c r="J55" s="134">
        <v>-3.1941130000000002E-4</v>
      </c>
      <c r="K55" s="134">
        <v>0.14695030000000001</v>
      </c>
      <c r="L55" s="134">
        <v>1.017784</v>
      </c>
      <c r="M55" s="134">
        <v>-2.6653210000000001</v>
      </c>
      <c r="N55" s="134">
        <v>3.5898659999999998</v>
      </c>
      <c r="O55" s="299">
        <v>1</v>
      </c>
      <c r="P55" s="107"/>
    </row>
    <row r="56" spans="3:16" x14ac:dyDescent="0.35">
      <c r="C56" s="108" t="s">
        <v>92</v>
      </c>
      <c r="D56" s="151" t="s">
        <v>61</v>
      </c>
      <c r="E56" s="108">
        <v>1500</v>
      </c>
      <c r="F56" s="109">
        <v>6000</v>
      </c>
      <c r="G56" s="152">
        <v>1.310376</v>
      </c>
      <c r="H56" s="152">
        <v>92.335269999999994</v>
      </c>
      <c r="I56" s="152">
        <v>15.99952</v>
      </c>
      <c r="J56" s="152">
        <v>-3.5474159999999999E-4</v>
      </c>
      <c r="K56" s="152">
        <v>0.151062</v>
      </c>
      <c r="L56" s="152">
        <v>3.4559289999999999E-3</v>
      </c>
      <c r="M56" s="152">
        <v>-2.5853989999999999E-3</v>
      </c>
      <c r="N56" s="152">
        <v>9.828650999999999E-4</v>
      </c>
      <c r="O56" s="236">
        <v>1</v>
      </c>
      <c r="P56" s="227"/>
    </row>
    <row r="57" spans="3:16" x14ac:dyDescent="0.35">
      <c r="C57" s="108" t="s">
        <v>93</v>
      </c>
      <c r="D57" s="151" t="s">
        <v>61</v>
      </c>
      <c r="E57" s="108">
        <v>298.14999999999998</v>
      </c>
      <c r="F57" s="109">
        <v>1500</v>
      </c>
      <c r="G57" s="152">
        <v>1.3764209999999999</v>
      </c>
      <c r="H57" s="152">
        <v>106.2873</v>
      </c>
      <c r="I57" s="152">
        <v>18.87481</v>
      </c>
      <c r="J57" s="152">
        <v>-3.9471889999999999E-4</v>
      </c>
      <c r="K57" s="152">
        <v>0.18061250000000001</v>
      </c>
      <c r="L57" s="152">
        <v>1.363551</v>
      </c>
      <c r="M57" s="152">
        <v>-3.5720109999999998</v>
      </c>
      <c r="N57" s="152">
        <v>4.8116719999999997</v>
      </c>
      <c r="O57" s="236">
        <v>1</v>
      </c>
      <c r="P57" s="227"/>
    </row>
    <row r="58" spans="3:16" x14ac:dyDescent="0.35">
      <c r="C58" s="108" t="s">
        <v>93</v>
      </c>
      <c r="D58" s="151" t="s">
        <v>61</v>
      </c>
      <c r="E58" s="108">
        <v>1500</v>
      </c>
      <c r="F58" s="109">
        <v>6000</v>
      </c>
      <c r="G58" s="134">
        <v>1.3764209999999999</v>
      </c>
      <c r="H58" s="134">
        <v>106.6301</v>
      </c>
      <c r="I58" s="134">
        <v>19.000219999999999</v>
      </c>
      <c r="J58" s="134">
        <v>-4.455711E-4</v>
      </c>
      <c r="K58" s="134">
        <v>0.18625030000000001</v>
      </c>
      <c r="L58" s="134">
        <v>1.466539E-3</v>
      </c>
      <c r="M58" s="134">
        <v>-9.910276E-4</v>
      </c>
      <c r="N58" s="134">
        <v>3.4599259999999998E-4</v>
      </c>
      <c r="O58" s="213">
        <v>1</v>
      </c>
      <c r="P58" s="107"/>
    </row>
    <row r="59" spans="3:16" x14ac:dyDescent="0.35">
      <c r="C59" s="108" t="s">
        <v>94</v>
      </c>
      <c r="D59" s="151" t="s">
        <v>61</v>
      </c>
      <c r="E59" s="108">
        <v>298.14999999999998</v>
      </c>
      <c r="F59" s="109">
        <v>1500</v>
      </c>
      <c r="G59" s="134">
        <v>1.4184099999999999</v>
      </c>
      <c r="H59" s="134">
        <v>118.3836</v>
      </c>
      <c r="I59" s="134">
        <v>21.846499999999999</v>
      </c>
      <c r="J59" s="134">
        <v>-4.55196E-4</v>
      </c>
      <c r="K59" s="134">
        <v>0.2049985</v>
      </c>
      <c r="L59" s="134">
        <v>1.669807</v>
      </c>
      <c r="M59" s="134">
        <v>-4.3705270000000001</v>
      </c>
      <c r="N59" s="134">
        <v>5.8827660000000002</v>
      </c>
      <c r="O59" s="236">
        <v>1</v>
      </c>
      <c r="P59" s="227"/>
    </row>
    <row r="60" spans="3:16" ht="24" thickBot="1" x14ac:dyDescent="0.4">
      <c r="C60" s="110" t="s">
        <v>94</v>
      </c>
      <c r="D60" s="155" t="s">
        <v>61</v>
      </c>
      <c r="E60" s="110">
        <v>1500</v>
      </c>
      <c r="F60" s="111">
        <v>6000</v>
      </c>
      <c r="G60" s="179">
        <v>1.4184099999999999</v>
      </c>
      <c r="H60" s="179">
        <v>118.80549999999999</v>
      </c>
      <c r="I60" s="179">
        <v>22.001380000000001</v>
      </c>
      <c r="J60" s="179">
        <v>-5.2171050000000005E-4</v>
      </c>
      <c r="K60" s="179">
        <v>0.21207509999999999</v>
      </c>
      <c r="L60" s="179">
        <v>-2.09779E-3</v>
      </c>
      <c r="M60" s="179">
        <v>1.840469E-3</v>
      </c>
      <c r="N60" s="179">
        <v>-7.697003E-4</v>
      </c>
      <c r="O60" s="234">
        <v>1</v>
      </c>
      <c r="P60" s="227"/>
    </row>
    <row r="61" spans="3:16" x14ac:dyDescent="0.35">
      <c r="C61" s="90"/>
      <c r="D61" s="90"/>
      <c r="E61" s="90"/>
      <c r="F61" s="90"/>
      <c r="G61" s="129"/>
      <c r="H61" s="129"/>
      <c r="I61" s="129"/>
      <c r="J61" s="129"/>
      <c r="K61" s="129"/>
      <c r="L61" s="129"/>
      <c r="M61" s="129"/>
      <c r="N61" s="129"/>
      <c r="P61" s="227"/>
    </row>
    <row r="62" spans="3:16" x14ac:dyDescent="0.35">
      <c r="C62" s="90"/>
      <c r="D62" s="90"/>
      <c r="E62" s="90"/>
      <c r="F62" s="90"/>
      <c r="G62" s="129"/>
      <c r="H62" s="129"/>
      <c r="I62" s="129"/>
      <c r="J62" s="129"/>
      <c r="K62" s="129"/>
      <c r="L62" s="129"/>
      <c r="M62" s="129"/>
      <c r="N62" s="129"/>
      <c r="P62" s="227"/>
    </row>
    <row r="63" spans="3:16" x14ac:dyDescent="0.35">
      <c r="C63" s="90"/>
      <c r="D63" s="90"/>
      <c r="E63" s="90"/>
      <c r="F63" s="90"/>
      <c r="G63" s="129"/>
      <c r="H63" s="129"/>
      <c r="I63" s="129"/>
      <c r="J63" s="129"/>
      <c r="K63" s="129"/>
      <c r="L63" s="129"/>
      <c r="M63" s="129"/>
      <c r="N63" s="129"/>
      <c r="P63" s="227"/>
    </row>
    <row r="64" spans="3:16" x14ac:dyDescent="0.35">
      <c r="C64" s="90"/>
      <c r="D64" s="90"/>
      <c r="E64" s="90"/>
      <c r="F64" s="90"/>
      <c r="G64" s="129"/>
      <c r="H64" s="129"/>
      <c r="I64" s="129"/>
      <c r="J64" s="129"/>
      <c r="K64" s="129"/>
      <c r="L64" s="129"/>
      <c r="M64" s="129"/>
      <c r="N64" s="129"/>
      <c r="P64" s="227"/>
    </row>
    <row r="65" spans="3:16" x14ac:dyDescent="0.35">
      <c r="C65" s="90"/>
      <c r="D65" s="90"/>
      <c r="E65" s="90"/>
      <c r="F65" s="90"/>
      <c r="G65" s="129"/>
      <c r="H65" s="129"/>
      <c r="I65" s="129"/>
      <c r="J65" s="129"/>
      <c r="K65" s="129"/>
      <c r="L65" s="129"/>
      <c r="M65" s="129"/>
      <c r="N65" s="129"/>
      <c r="P65" s="227"/>
    </row>
    <row r="66" spans="3:16" x14ac:dyDescent="0.35">
      <c r="C66" s="90"/>
      <c r="D66" s="90"/>
      <c r="E66" s="90"/>
      <c r="F66" s="90"/>
      <c r="G66" s="129"/>
      <c r="H66" s="129"/>
      <c r="I66" s="129"/>
      <c r="J66" s="129"/>
      <c r="K66" s="129"/>
      <c r="L66" s="129"/>
      <c r="M66" s="129"/>
      <c r="N66" s="129"/>
      <c r="P66" s="227"/>
    </row>
    <row r="67" spans="3:16" x14ac:dyDescent="0.35">
      <c r="C67" s="90"/>
      <c r="D67" s="90"/>
      <c r="E67" s="90"/>
      <c r="F67" s="90"/>
      <c r="G67" s="129"/>
      <c r="H67" s="129"/>
      <c r="I67" s="129"/>
      <c r="J67" s="129"/>
      <c r="K67" s="129"/>
      <c r="L67" s="129"/>
      <c r="M67" s="129"/>
      <c r="N67" s="129"/>
      <c r="P67" s="227"/>
    </row>
    <row r="68" spans="3:16" x14ac:dyDescent="0.35">
      <c r="C68" s="90"/>
      <c r="D68" s="90"/>
      <c r="E68" s="90"/>
      <c r="F68" s="90"/>
      <c r="G68" s="129"/>
      <c r="H68" s="129"/>
      <c r="I68" s="129"/>
      <c r="J68" s="129"/>
      <c r="K68" s="129"/>
      <c r="L68" s="129"/>
      <c r="M68" s="129"/>
      <c r="N68" s="129"/>
      <c r="P68" s="227"/>
    </row>
    <row r="69" spans="3:16" x14ac:dyDescent="0.35">
      <c r="C69" s="90"/>
      <c r="D69" s="90"/>
      <c r="E69" s="90"/>
      <c r="F69" s="90"/>
      <c r="G69" s="129"/>
      <c r="H69" s="129"/>
      <c r="I69" s="129"/>
      <c r="J69" s="129"/>
      <c r="K69" s="129"/>
      <c r="L69" s="129"/>
      <c r="M69" s="129"/>
      <c r="N69" s="129"/>
      <c r="P69" s="227"/>
    </row>
    <row r="70" spans="3:16" x14ac:dyDescent="0.35">
      <c r="C70" s="90"/>
      <c r="D70" s="90"/>
      <c r="E70" s="90"/>
      <c r="F70" s="90"/>
      <c r="G70" s="129"/>
      <c r="H70" s="129"/>
      <c r="I70" s="129"/>
      <c r="J70" s="129"/>
      <c r="K70" s="129"/>
      <c r="L70" s="129"/>
      <c r="M70" s="129"/>
      <c r="N70" s="129"/>
      <c r="P70" s="227"/>
    </row>
    <row r="71" spans="3:16" x14ac:dyDescent="0.35">
      <c r="C71" s="90"/>
      <c r="D71" s="90"/>
      <c r="E71" s="90"/>
      <c r="F71" s="90"/>
      <c r="G71" s="129"/>
      <c r="H71" s="129"/>
      <c r="I71" s="129"/>
      <c r="J71" s="129"/>
      <c r="K71" s="129"/>
      <c r="L71" s="129"/>
      <c r="M71" s="129"/>
      <c r="N71" s="129"/>
      <c r="P71" s="227"/>
    </row>
    <row r="72" spans="3:16" x14ac:dyDescent="0.35">
      <c r="C72" s="90"/>
      <c r="D72" s="90"/>
      <c r="E72" s="90"/>
      <c r="F72" s="90"/>
      <c r="G72" s="129"/>
      <c r="H72" s="129"/>
      <c r="I72" s="129"/>
      <c r="J72" s="129"/>
      <c r="K72" s="129"/>
      <c r="L72" s="129"/>
      <c r="M72" s="129"/>
      <c r="N72" s="129"/>
      <c r="P72" s="227"/>
    </row>
    <row r="73" spans="3:16" x14ac:dyDescent="0.35">
      <c r="C73" s="90"/>
      <c r="D73" s="90"/>
      <c r="E73" s="90"/>
      <c r="F73" s="90"/>
      <c r="G73" s="129"/>
      <c r="H73" s="129"/>
      <c r="I73" s="129"/>
      <c r="J73" s="129"/>
      <c r="K73" s="129"/>
      <c r="L73" s="129"/>
      <c r="M73" s="129"/>
      <c r="N73" s="129"/>
      <c r="P73" s="227"/>
    </row>
    <row r="74" spans="3:16" x14ac:dyDescent="0.35">
      <c r="C74" s="90"/>
      <c r="D74" s="90"/>
      <c r="E74" s="90"/>
      <c r="F74" s="90"/>
      <c r="G74" s="129"/>
      <c r="H74" s="129"/>
      <c r="I74" s="129"/>
      <c r="J74" s="129"/>
      <c r="K74" s="129"/>
      <c r="L74" s="129"/>
      <c r="M74" s="129"/>
      <c r="N74" s="129"/>
      <c r="P74" s="227"/>
    </row>
    <row r="75" spans="3:16" x14ac:dyDescent="0.35">
      <c r="C75" s="90"/>
      <c r="D75" s="90"/>
      <c r="E75" s="90"/>
      <c r="F75" s="90"/>
      <c r="G75" s="129"/>
      <c r="H75" s="129"/>
      <c r="I75" s="129"/>
      <c r="J75" s="129"/>
      <c r="K75" s="129"/>
      <c r="L75" s="129"/>
      <c r="M75" s="129"/>
      <c r="N75" s="129"/>
      <c r="P75" s="227"/>
    </row>
    <row r="76" spans="3:16" x14ac:dyDescent="0.35">
      <c r="C76" s="90"/>
      <c r="D76" s="90"/>
      <c r="E76" s="90"/>
      <c r="F76" s="90"/>
      <c r="G76" s="129"/>
      <c r="H76" s="129"/>
      <c r="I76" s="129"/>
      <c r="J76" s="129"/>
      <c r="K76" s="129"/>
      <c r="L76" s="129"/>
      <c r="M76" s="129"/>
      <c r="N76" s="129"/>
      <c r="P76" s="227"/>
    </row>
    <row r="77" spans="3:16" x14ac:dyDescent="0.35">
      <c r="C77" s="90"/>
      <c r="D77" s="90"/>
      <c r="E77" s="90"/>
      <c r="F77" s="90"/>
      <c r="G77" s="129"/>
      <c r="H77" s="129"/>
      <c r="I77" s="129"/>
      <c r="J77" s="129"/>
      <c r="K77" s="129"/>
      <c r="L77" s="129"/>
      <c r="M77" s="129"/>
      <c r="N77" s="129"/>
      <c r="P77" s="227"/>
    </row>
    <row r="78" spans="3:16" x14ac:dyDescent="0.35">
      <c r="C78" s="90"/>
      <c r="D78" s="90"/>
      <c r="E78" s="90"/>
      <c r="F78" s="90"/>
      <c r="G78" s="129"/>
      <c r="H78" s="129"/>
      <c r="I78" s="129"/>
      <c r="J78" s="129"/>
      <c r="K78" s="129"/>
      <c r="L78" s="129"/>
      <c r="M78" s="129"/>
      <c r="N78" s="129"/>
      <c r="P78" s="227"/>
    </row>
    <row r="79" spans="3:16" x14ac:dyDescent="0.35">
      <c r="C79" s="90"/>
      <c r="D79" s="90"/>
      <c r="E79" s="90"/>
      <c r="F79" s="90"/>
      <c r="G79" s="129"/>
      <c r="H79" s="129"/>
      <c r="I79" s="129"/>
      <c r="J79" s="129"/>
      <c r="K79" s="129"/>
      <c r="L79" s="129"/>
      <c r="M79" s="129"/>
      <c r="N79" s="129"/>
      <c r="P79" s="227"/>
    </row>
    <row r="80" spans="3:16" x14ac:dyDescent="0.35">
      <c r="C80" s="90"/>
      <c r="D80" s="90"/>
      <c r="E80" s="90"/>
      <c r="F80" s="90"/>
      <c r="G80" s="129"/>
      <c r="H80" s="129"/>
      <c r="I80" s="129"/>
      <c r="J80" s="129"/>
      <c r="K80" s="129"/>
      <c r="L80" s="129"/>
      <c r="M80" s="129"/>
      <c r="N80" s="129"/>
      <c r="P80" s="227"/>
    </row>
    <row r="81" spans="3:16" x14ac:dyDescent="0.35">
      <c r="C81" s="90"/>
      <c r="D81" s="90"/>
      <c r="E81" s="90"/>
      <c r="F81" s="90"/>
      <c r="G81" s="129"/>
      <c r="H81" s="129"/>
      <c r="I81" s="129"/>
      <c r="J81" s="129"/>
      <c r="K81" s="129"/>
      <c r="L81" s="129"/>
      <c r="M81" s="129"/>
      <c r="N81" s="129"/>
      <c r="P81" s="227"/>
    </row>
    <row r="82" spans="3:16" x14ac:dyDescent="0.35">
      <c r="C82" s="90"/>
      <c r="D82" s="90"/>
      <c r="E82" s="90"/>
      <c r="F82" s="90"/>
      <c r="G82" s="129"/>
      <c r="H82" s="129"/>
      <c r="I82" s="129"/>
      <c r="J82" s="129"/>
      <c r="K82" s="129"/>
      <c r="L82" s="129"/>
      <c r="M82" s="129"/>
      <c r="N82" s="129"/>
      <c r="P82" s="227"/>
    </row>
    <row r="83" spans="3:16" x14ac:dyDescent="0.35">
      <c r="C83" s="90"/>
      <c r="D83" s="90"/>
      <c r="E83" s="90"/>
      <c r="F83" s="90"/>
      <c r="G83" s="129"/>
      <c r="H83" s="129"/>
      <c r="I83" s="129"/>
      <c r="J83" s="129"/>
      <c r="K83" s="129"/>
      <c r="L83" s="129"/>
      <c r="M83" s="129"/>
      <c r="N83" s="129"/>
      <c r="P83" s="227"/>
    </row>
    <row r="84" spans="3:16" x14ac:dyDescent="0.35">
      <c r="C84" s="90"/>
      <c r="D84" s="90"/>
      <c r="E84" s="90"/>
      <c r="F84" s="90"/>
      <c r="G84" s="129"/>
      <c r="H84" s="129"/>
      <c r="I84" s="129"/>
      <c r="J84" s="129"/>
      <c r="K84" s="129"/>
      <c r="L84" s="129"/>
      <c r="M84" s="129"/>
      <c r="N84" s="129"/>
      <c r="P84" s="227"/>
    </row>
    <row r="85" spans="3:16" x14ac:dyDescent="0.35">
      <c r="C85" s="90"/>
      <c r="D85" s="90"/>
      <c r="E85" s="90"/>
      <c r="F85" s="90"/>
      <c r="G85" s="129"/>
      <c r="H85" s="129"/>
      <c r="I85" s="129"/>
      <c r="J85" s="129"/>
      <c r="K85" s="129"/>
      <c r="L85" s="129"/>
      <c r="M85" s="129"/>
      <c r="N85" s="129"/>
      <c r="P85" s="227"/>
    </row>
    <row r="86" spans="3:16" x14ac:dyDescent="0.35">
      <c r="C86" s="90"/>
      <c r="D86" s="90"/>
      <c r="E86" s="90"/>
      <c r="F86" s="90"/>
      <c r="G86" s="129"/>
      <c r="H86" s="129"/>
      <c r="I86" s="129"/>
      <c r="J86" s="129"/>
      <c r="K86" s="129"/>
      <c r="L86" s="129"/>
      <c r="M86" s="129"/>
      <c r="N86" s="129"/>
      <c r="P86" s="227"/>
    </row>
    <row r="87" spans="3:16" x14ac:dyDescent="0.35">
      <c r="C87" s="90"/>
      <c r="D87" s="90"/>
      <c r="E87" s="90"/>
      <c r="F87" s="90"/>
      <c r="G87" s="129"/>
      <c r="H87" s="129"/>
      <c r="I87" s="129"/>
      <c r="J87" s="129"/>
      <c r="K87" s="129"/>
      <c r="L87" s="129"/>
      <c r="M87" s="129"/>
      <c r="N87" s="129"/>
      <c r="P87" s="227"/>
    </row>
    <row r="88" spans="3:16" x14ac:dyDescent="0.35">
      <c r="C88" s="90"/>
      <c r="D88" s="90"/>
      <c r="E88" s="90"/>
      <c r="F88" s="90"/>
      <c r="G88" s="129"/>
      <c r="H88" s="129"/>
      <c r="I88" s="129"/>
      <c r="J88" s="129"/>
      <c r="K88" s="129"/>
      <c r="L88" s="129"/>
      <c r="M88" s="129"/>
      <c r="N88" s="129"/>
      <c r="P88" s="227"/>
    </row>
    <row r="89" spans="3:16" x14ac:dyDescent="0.35">
      <c r="C89" s="90"/>
      <c r="D89" s="90"/>
      <c r="E89" s="90"/>
      <c r="F89" s="90"/>
      <c r="G89" s="129"/>
      <c r="H89" s="129"/>
      <c r="I89" s="129"/>
      <c r="J89" s="129"/>
      <c r="K89" s="129"/>
      <c r="L89" s="129"/>
      <c r="M89" s="129"/>
      <c r="N89" s="129"/>
      <c r="P89" s="227"/>
    </row>
    <row r="90" spans="3:16" x14ac:dyDescent="0.35">
      <c r="C90" s="90"/>
      <c r="D90" s="90"/>
      <c r="E90" s="90"/>
      <c r="F90" s="90"/>
      <c r="G90" s="129"/>
      <c r="H90" s="129"/>
      <c r="I90" s="129"/>
      <c r="J90" s="129"/>
      <c r="K90" s="129"/>
      <c r="L90" s="129"/>
      <c r="M90" s="129"/>
      <c r="N90" s="129"/>
      <c r="P90" s="227"/>
    </row>
    <row r="91" spans="3:16" x14ac:dyDescent="0.35">
      <c r="C91" s="90"/>
      <c r="D91" s="90"/>
      <c r="E91" s="90"/>
      <c r="F91" s="90"/>
      <c r="G91" s="129"/>
      <c r="H91" s="129"/>
      <c r="I91" s="129"/>
      <c r="J91" s="129"/>
      <c r="K91" s="129"/>
      <c r="L91" s="129"/>
      <c r="M91" s="129"/>
      <c r="N91" s="129"/>
      <c r="P91" s="227"/>
    </row>
    <row r="92" spans="3:16" x14ac:dyDescent="0.35">
      <c r="C92" s="90"/>
      <c r="D92" s="90"/>
      <c r="E92" s="90"/>
      <c r="F92" s="90"/>
      <c r="G92" s="129"/>
      <c r="H92" s="129"/>
      <c r="I92" s="129"/>
      <c r="J92" s="129"/>
      <c r="K92" s="129"/>
      <c r="L92" s="129"/>
      <c r="M92" s="129"/>
      <c r="N92" s="129"/>
      <c r="P92" s="227"/>
    </row>
    <row r="93" spans="3:16" x14ac:dyDescent="0.35">
      <c r="C93" s="90"/>
      <c r="D93" s="90"/>
      <c r="E93" s="90"/>
      <c r="F93" s="90"/>
      <c r="G93" s="129"/>
      <c r="H93" s="129"/>
      <c r="I93" s="129"/>
      <c r="J93" s="129"/>
      <c r="K93" s="129"/>
      <c r="L93" s="129"/>
      <c r="M93" s="129"/>
      <c r="N93" s="129"/>
      <c r="P93" s="227"/>
    </row>
    <row r="94" spans="3:16" x14ac:dyDescent="0.35">
      <c r="C94" s="90"/>
      <c r="D94" s="90"/>
      <c r="E94" s="90"/>
      <c r="F94" s="90"/>
      <c r="G94" s="129"/>
      <c r="H94" s="129"/>
      <c r="I94" s="129"/>
      <c r="J94" s="129"/>
      <c r="K94" s="129"/>
      <c r="L94" s="129"/>
      <c r="M94" s="129"/>
      <c r="N94" s="129"/>
      <c r="P94" s="227"/>
    </row>
    <row r="95" spans="3:16" x14ac:dyDescent="0.35">
      <c r="C95" s="90"/>
      <c r="D95" s="90"/>
      <c r="E95" s="90"/>
      <c r="F95" s="90"/>
      <c r="G95" s="129"/>
      <c r="H95" s="129"/>
      <c r="I95" s="129"/>
      <c r="J95" s="129"/>
      <c r="K95" s="129"/>
      <c r="L95" s="129"/>
      <c r="M95" s="129"/>
      <c r="N95" s="129"/>
      <c r="P95" s="227"/>
    </row>
    <row r="96" spans="3:16" x14ac:dyDescent="0.35">
      <c r="C96" s="90"/>
      <c r="D96" s="90"/>
      <c r="E96" s="90"/>
      <c r="F96" s="90"/>
      <c r="G96" s="129"/>
      <c r="H96" s="129"/>
      <c r="I96" s="129"/>
      <c r="J96" s="129"/>
      <c r="K96" s="129"/>
      <c r="L96" s="129"/>
      <c r="M96" s="129"/>
      <c r="N96" s="129"/>
      <c r="P96" s="227"/>
    </row>
    <row r="97" spans="3:16" x14ac:dyDescent="0.35">
      <c r="C97" s="90"/>
      <c r="D97" s="90"/>
      <c r="E97" s="90"/>
      <c r="F97" s="90"/>
      <c r="G97" s="129"/>
      <c r="H97" s="129"/>
      <c r="I97" s="129"/>
      <c r="J97" s="129"/>
      <c r="K97" s="129"/>
      <c r="L97" s="129"/>
      <c r="M97" s="129"/>
      <c r="N97" s="129"/>
      <c r="P97" s="227"/>
    </row>
    <row r="98" spans="3:16" x14ac:dyDescent="0.35">
      <c r="C98" s="90"/>
      <c r="D98" s="90"/>
      <c r="E98" s="90"/>
      <c r="F98" s="90"/>
      <c r="G98" s="129"/>
      <c r="H98" s="129"/>
      <c r="I98" s="129"/>
      <c r="J98" s="129"/>
      <c r="K98" s="129"/>
      <c r="L98" s="129"/>
      <c r="M98" s="129"/>
      <c r="N98" s="129"/>
      <c r="P98" s="227"/>
    </row>
    <row r="99" spans="3:16" x14ac:dyDescent="0.35">
      <c r="C99" s="90"/>
      <c r="D99" s="90"/>
      <c r="E99" s="90"/>
      <c r="F99" s="90"/>
      <c r="G99" s="129"/>
      <c r="H99" s="129"/>
      <c r="I99" s="129"/>
      <c r="J99" s="129"/>
      <c r="K99" s="129"/>
      <c r="L99" s="129"/>
      <c r="M99" s="129"/>
      <c r="N99" s="129"/>
    </row>
    <row r="100" spans="3:16" x14ac:dyDescent="0.35">
      <c r="C100" s="90"/>
      <c r="D100" s="90"/>
      <c r="E100" s="90"/>
      <c r="F100" s="90"/>
      <c r="G100" s="129"/>
      <c r="H100" s="129"/>
      <c r="I100" s="129"/>
      <c r="J100" s="129"/>
      <c r="K100" s="129"/>
      <c r="L100" s="129"/>
      <c r="M100" s="129"/>
      <c r="N100" s="129"/>
    </row>
    <row r="101" spans="3:16" x14ac:dyDescent="0.35">
      <c r="C101" s="90"/>
      <c r="D101" s="90"/>
      <c r="E101" s="90"/>
      <c r="F101" s="90"/>
      <c r="G101" s="129"/>
      <c r="H101" s="129"/>
      <c r="I101" s="129"/>
      <c r="J101" s="129"/>
      <c r="K101" s="129"/>
      <c r="L101" s="129"/>
      <c r="M101" s="129"/>
      <c r="N101" s="129"/>
    </row>
    <row r="102" spans="3:16" x14ac:dyDescent="0.35">
      <c r="C102" s="90"/>
      <c r="D102" s="90"/>
      <c r="E102" s="90"/>
      <c r="F102" s="90"/>
      <c r="G102" s="129"/>
      <c r="H102" s="129"/>
      <c r="I102" s="129"/>
      <c r="J102" s="129"/>
      <c r="K102" s="129"/>
      <c r="L102" s="129"/>
      <c r="M102" s="129"/>
      <c r="N102" s="129"/>
    </row>
    <row r="103" spans="3:16" x14ac:dyDescent="0.35">
      <c r="C103" s="90"/>
      <c r="D103" s="90"/>
      <c r="E103" s="90"/>
      <c r="F103" s="90"/>
      <c r="G103" s="129"/>
      <c r="H103" s="129"/>
      <c r="I103" s="129"/>
      <c r="J103" s="129"/>
      <c r="K103" s="129"/>
      <c r="L103" s="129"/>
      <c r="M103" s="129"/>
      <c r="N103" s="129"/>
    </row>
    <row r="104" spans="3:16" x14ac:dyDescent="0.35">
      <c r="C104" s="90"/>
      <c r="D104" s="90"/>
      <c r="E104" s="90"/>
      <c r="F104" s="90"/>
      <c r="G104" s="129"/>
      <c r="H104" s="129"/>
      <c r="I104" s="129"/>
      <c r="J104" s="129"/>
      <c r="K104" s="129"/>
      <c r="L104" s="129"/>
      <c r="M104" s="129"/>
      <c r="N104" s="129"/>
    </row>
    <row r="105" spans="3:16" x14ac:dyDescent="0.35">
      <c r="C105" s="90"/>
      <c r="D105" s="90"/>
      <c r="E105" s="90"/>
      <c r="F105" s="90"/>
      <c r="G105" s="129"/>
      <c r="H105" s="129"/>
      <c r="I105" s="129"/>
      <c r="J105" s="129"/>
      <c r="K105" s="129"/>
      <c r="L105" s="129"/>
      <c r="M105" s="129"/>
      <c r="N105" s="129"/>
    </row>
    <row r="106" spans="3:16" x14ac:dyDescent="0.35">
      <c r="C106" s="90"/>
      <c r="D106" s="90"/>
      <c r="E106" s="90"/>
      <c r="F106" s="90"/>
      <c r="G106" s="129"/>
      <c r="H106" s="129"/>
      <c r="I106" s="129"/>
      <c r="J106" s="129"/>
      <c r="K106" s="129"/>
      <c r="L106" s="129"/>
      <c r="M106" s="129"/>
      <c r="N106" s="129"/>
    </row>
    <row r="107" spans="3:16" x14ac:dyDescent="0.35">
      <c r="C107" s="90"/>
      <c r="D107" s="90"/>
      <c r="E107" s="90"/>
      <c r="F107" s="90"/>
      <c r="G107" s="129"/>
      <c r="H107" s="129"/>
      <c r="I107" s="129"/>
      <c r="J107" s="129"/>
      <c r="K107" s="129"/>
      <c r="L107" s="129"/>
      <c r="M107" s="129"/>
      <c r="N107" s="129"/>
    </row>
    <row r="108" spans="3:16" x14ac:dyDescent="0.35">
      <c r="C108" s="90"/>
      <c r="D108" s="90"/>
      <c r="E108" s="90"/>
      <c r="F108" s="90"/>
      <c r="G108" s="129"/>
      <c r="H108" s="129"/>
      <c r="I108" s="129"/>
      <c r="J108" s="129"/>
      <c r="K108" s="129"/>
      <c r="L108" s="129"/>
      <c r="M108" s="129"/>
      <c r="N108" s="129"/>
    </row>
    <row r="109" spans="3:16" x14ac:dyDescent="0.35">
      <c r="C109" s="90"/>
      <c r="D109" s="90"/>
      <c r="E109" s="90"/>
      <c r="F109" s="90"/>
      <c r="G109" s="129"/>
      <c r="H109" s="129"/>
      <c r="I109" s="129"/>
      <c r="J109" s="129"/>
      <c r="K109" s="129"/>
      <c r="L109" s="129"/>
      <c r="M109" s="129"/>
      <c r="N109" s="129"/>
    </row>
    <row r="110" spans="3:16" x14ac:dyDescent="0.35">
      <c r="C110" s="90"/>
      <c r="D110" s="90"/>
      <c r="E110" s="90"/>
      <c r="F110" s="90"/>
      <c r="G110" s="129"/>
      <c r="H110" s="129"/>
      <c r="I110" s="129"/>
      <c r="J110" s="129"/>
      <c r="K110" s="129"/>
      <c r="L110" s="129"/>
      <c r="M110" s="129"/>
      <c r="N110" s="129"/>
    </row>
    <row r="111" spans="3:16" x14ac:dyDescent="0.35">
      <c r="C111" s="90"/>
      <c r="D111" s="90"/>
      <c r="E111" s="90"/>
      <c r="F111" s="90"/>
      <c r="G111" s="129"/>
      <c r="H111" s="129"/>
      <c r="I111" s="129"/>
      <c r="J111" s="129"/>
      <c r="K111" s="129"/>
      <c r="L111" s="129"/>
      <c r="M111" s="129"/>
      <c r="N111" s="129"/>
    </row>
    <row r="112" spans="3:16" x14ac:dyDescent="0.35">
      <c r="C112" s="90"/>
      <c r="D112" s="90"/>
      <c r="E112" s="90"/>
      <c r="F112" s="90"/>
      <c r="G112" s="129"/>
      <c r="H112" s="129"/>
      <c r="I112" s="129"/>
      <c r="J112" s="129"/>
      <c r="K112" s="129"/>
      <c r="L112" s="129"/>
      <c r="M112" s="129"/>
      <c r="N112" s="129"/>
    </row>
    <row r="113" spans="3:14" x14ac:dyDescent="0.35">
      <c r="C113" s="90"/>
      <c r="D113" s="90"/>
      <c r="E113" s="90"/>
      <c r="F113" s="90"/>
      <c r="G113" s="129"/>
      <c r="H113" s="129"/>
      <c r="I113" s="129"/>
      <c r="J113" s="129"/>
      <c r="K113" s="129"/>
      <c r="L113" s="129"/>
      <c r="M113" s="129"/>
      <c r="N113" s="129"/>
    </row>
    <row r="114" spans="3:14" x14ac:dyDescent="0.35">
      <c r="C114" s="90"/>
      <c r="D114" s="90"/>
      <c r="E114" s="90"/>
      <c r="F114" s="90"/>
      <c r="G114" s="129"/>
      <c r="H114" s="129"/>
      <c r="I114" s="129"/>
      <c r="J114" s="129"/>
      <c r="K114" s="129"/>
      <c r="L114" s="129"/>
      <c r="M114" s="129"/>
      <c r="N114" s="129"/>
    </row>
    <row r="115" spans="3:14" x14ac:dyDescent="0.35">
      <c r="C115" s="90"/>
      <c r="D115" s="90"/>
      <c r="E115" s="90"/>
      <c r="F115" s="90"/>
      <c r="G115" s="129"/>
      <c r="H115" s="129"/>
      <c r="I115" s="129"/>
      <c r="J115" s="129"/>
      <c r="K115" s="129"/>
      <c r="L115" s="129"/>
      <c r="M115" s="129"/>
      <c r="N115" s="129"/>
    </row>
    <row r="116" spans="3:14" x14ac:dyDescent="0.35">
      <c r="C116" s="90"/>
      <c r="D116" s="90"/>
      <c r="E116" s="90"/>
      <c r="F116" s="90"/>
      <c r="G116" s="129"/>
      <c r="H116" s="129"/>
      <c r="I116" s="129"/>
      <c r="J116" s="129"/>
      <c r="K116" s="129"/>
      <c r="L116" s="129"/>
      <c r="M116" s="129"/>
      <c r="N116" s="129"/>
    </row>
    <row r="117" spans="3:14" x14ac:dyDescent="0.35">
      <c r="C117" s="90"/>
      <c r="D117" s="90"/>
      <c r="E117" s="90"/>
      <c r="F117" s="90"/>
      <c r="G117" s="129"/>
      <c r="H117" s="129"/>
      <c r="I117" s="129"/>
      <c r="J117" s="129"/>
      <c r="K117" s="129"/>
      <c r="L117" s="129"/>
      <c r="M117" s="129"/>
      <c r="N117" s="129"/>
    </row>
    <row r="118" spans="3:14" x14ac:dyDescent="0.35">
      <c r="C118" s="90"/>
      <c r="D118" s="90"/>
      <c r="E118" s="90"/>
      <c r="F118" s="90"/>
      <c r="G118" s="129"/>
      <c r="H118" s="129"/>
      <c r="I118" s="129"/>
      <c r="J118" s="129"/>
      <c r="K118" s="129"/>
      <c r="L118" s="129"/>
      <c r="M118" s="129"/>
      <c r="N118" s="129"/>
    </row>
    <row r="119" spans="3:14" x14ac:dyDescent="0.35">
      <c r="C119" s="90"/>
      <c r="D119" s="90"/>
      <c r="E119" s="90"/>
      <c r="F119" s="90"/>
      <c r="G119" s="129"/>
      <c r="H119" s="129"/>
      <c r="I119" s="129"/>
      <c r="J119" s="129"/>
      <c r="K119" s="129"/>
      <c r="L119" s="129"/>
      <c r="M119" s="129"/>
      <c r="N119" s="129"/>
    </row>
    <row r="120" spans="3:14" x14ac:dyDescent="0.35">
      <c r="C120" s="90"/>
      <c r="D120" s="90"/>
      <c r="E120" s="90"/>
      <c r="F120" s="90"/>
      <c r="G120" s="129"/>
      <c r="H120" s="129"/>
      <c r="I120" s="129"/>
      <c r="J120" s="129"/>
      <c r="K120" s="129"/>
      <c r="L120" s="129"/>
      <c r="M120" s="129"/>
      <c r="N120" s="129"/>
    </row>
    <row r="121" spans="3:14" x14ac:dyDescent="0.35">
      <c r="C121" s="90"/>
      <c r="D121" s="90"/>
      <c r="E121" s="90"/>
      <c r="F121" s="90"/>
      <c r="G121" s="129"/>
      <c r="H121" s="129"/>
      <c r="I121" s="129"/>
      <c r="J121" s="129"/>
      <c r="K121" s="129"/>
      <c r="L121" s="129"/>
      <c r="M121" s="129"/>
      <c r="N121" s="129"/>
    </row>
    <row r="122" spans="3:14" x14ac:dyDescent="0.35">
      <c r="C122" s="90"/>
      <c r="D122" s="90"/>
      <c r="E122" s="90"/>
      <c r="F122" s="90"/>
      <c r="G122" s="129"/>
      <c r="H122" s="129"/>
      <c r="I122" s="129"/>
      <c r="J122" s="129"/>
      <c r="K122" s="129"/>
      <c r="L122" s="129"/>
      <c r="M122" s="129"/>
      <c r="N122" s="129"/>
    </row>
    <row r="123" spans="3:14" x14ac:dyDescent="0.35">
      <c r="C123" s="90"/>
      <c r="D123" s="90"/>
      <c r="E123" s="90"/>
      <c r="F123" s="90"/>
      <c r="G123" s="129"/>
      <c r="H123" s="129"/>
      <c r="I123" s="129"/>
      <c r="J123" s="129"/>
      <c r="K123" s="129"/>
      <c r="L123" s="129"/>
      <c r="M123" s="129"/>
      <c r="N123" s="129"/>
    </row>
    <row r="124" spans="3:14" x14ac:dyDescent="0.35">
      <c r="C124" s="90"/>
      <c r="D124" s="90"/>
      <c r="E124" s="90"/>
      <c r="F124" s="90"/>
      <c r="G124" s="129"/>
      <c r="H124" s="129"/>
      <c r="I124" s="129"/>
      <c r="J124" s="129"/>
      <c r="K124" s="129"/>
      <c r="L124" s="129"/>
      <c r="M124" s="129"/>
      <c r="N124" s="129"/>
    </row>
    <row r="125" spans="3:14" x14ac:dyDescent="0.35">
      <c r="C125" s="90"/>
      <c r="D125" s="90"/>
      <c r="E125" s="90"/>
      <c r="F125" s="90"/>
      <c r="G125" s="129"/>
      <c r="H125" s="129"/>
      <c r="I125" s="129"/>
      <c r="J125" s="129"/>
      <c r="K125" s="129"/>
      <c r="L125" s="129"/>
      <c r="M125" s="129"/>
      <c r="N125" s="129"/>
    </row>
    <row r="126" spans="3:14" x14ac:dyDescent="0.35">
      <c r="C126" s="90"/>
      <c r="D126" s="90"/>
      <c r="E126" s="90"/>
      <c r="F126" s="90"/>
      <c r="G126" s="129"/>
      <c r="H126" s="129"/>
      <c r="I126" s="129"/>
      <c r="J126" s="129"/>
      <c r="K126" s="129"/>
      <c r="L126" s="129"/>
      <c r="M126" s="129"/>
      <c r="N126" s="129"/>
    </row>
    <row r="127" spans="3:14" x14ac:dyDescent="0.35">
      <c r="C127" s="90"/>
      <c r="D127" s="90"/>
      <c r="E127" s="90"/>
      <c r="F127" s="90"/>
      <c r="G127" s="129"/>
      <c r="H127" s="129"/>
      <c r="I127" s="129"/>
      <c r="J127" s="129"/>
      <c r="K127" s="129"/>
      <c r="L127" s="129"/>
      <c r="M127" s="129"/>
      <c r="N127" s="129"/>
    </row>
    <row r="128" spans="3:14" x14ac:dyDescent="0.35">
      <c r="C128" s="90"/>
      <c r="D128" s="90"/>
      <c r="E128" s="90"/>
      <c r="F128" s="90"/>
      <c r="G128" s="129"/>
      <c r="H128" s="129"/>
      <c r="I128" s="129"/>
      <c r="J128" s="129"/>
      <c r="K128" s="129"/>
      <c r="L128" s="129"/>
      <c r="M128" s="129"/>
      <c r="N128" s="129"/>
    </row>
    <row r="129" spans="3:14" x14ac:dyDescent="0.35">
      <c r="C129" s="90"/>
      <c r="D129" s="90"/>
      <c r="E129" s="90"/>
      <c r="F129" s="90"/>
      <c r="G129" s="129"/>
      <c r="H129" s="129"/>
      <c r="I129" s="129"/>
      <c r="J129" s="129"/>
      <c r="K129" s="129"/>
      <c r="L129" s="129"/>
      <c r="M129" s="129"/>
      <c r="N129" s="129"/>
    </row>
    <row r="130" spans="3:14" x14ac:dyDescent="0.35">
      <c r="C130" s="90"/>
      <c r="D130" s="90"/>
      <c r="E130" s="90"/>
      <c r="F130" s="90"/>
      <c r="G130" s="129"/>
      <c r="H130" s="129"/>
      <c r="I130" s="129"/>
      <c r="J130" s="129"/>
      <c r="K130" s="129"/>
      <c r="L130" s="129"/>
      <c r="M130" s="129"/>
      <c r="N130" s="129"/>
    </row>
    <row r="131" spans="3:14" x14ac:dyDescent="0.35">
      <c r="C131" s="90"/>
      <c r="D131" s="90"/>
      <c r="E131" s="90"/>
      <c r="F131" s="90"/>
      <c r="G131" s="129"/>
      <c r="H131" s="129"/>
      <c r="I131" s="129"/>
      <c r="J131" s="129"/>
      <c r="K131" s="129"/>
      <c r="L131" s="129"/>
      <c r="M131" s="129"/>
      <c r="N131" s="129"/>
    </row>
    <row r="132" spans="3:14" x14ac:dyDescent="0.35">
      <c r="C132" s="90"/>
      <c r="D132" s="90"/>
      <c r="E132" s="90"/>
      <c r="F132" s="90"/>
      <c r="G132" s="129"/>
      <c r="H132" s="129"/>
      <c r="I132" s="129"/>
      <c r="J132" s="129"/>
      <c r="K132" s="129"/>
      <c r="L132" s="129"/>
      <c r="M132" s="129"/>
      <c r="N132" s="129"/>
    </row>
    <row r="133" spans="3:14" x14ac:dyDescent="0.35">
      <c r="C133" s="90"/>
      <c r="D133" s="90"/>
      <c r="E133" s="90"/>
      <c r="F133" s="90"/>
      <c r="G133" s="129"/>
      <c r="H133" s="129"/>
      <c r="I133" s="129"/>
      <c r="J133" s="129"/>
      <c r="K133" s="129"/>
      <c r="L133" s="129"/>
      <c r="M133" s="129"/>
      <c r="N133" s="129"/>
    </row>
    <row r="134" spans="3:14" x14ac:dyDescent="0.35">
      <c r="C134" s="90"/>
      <c r="D134" s="90"/>
      <c r="E134" s="90"/>
      <c r="F134" s="90"/>
      <c r="G134" s="129"/>
      <c r="H134" s="129"/>
      <c r="I134" s="129"/>
      <c r="J134" s="129"/>
      <c r="K134" s="129"/>
      <c r="L134" s="129"/>
      <c r="M134" s="129"/>
      <c r="N134" s="129"/>
    </row>
    <row r="135" spans="3:14" x14ac:dyDescent="0.35">
      <c r="C135" s="90"/>
      <c r="D135" s="90"/>
      <c r="E135" s="90"/>
      <c r="F135" s="90"/>
      <c r="G135" s="129"/>
      <c r="H135" s="129"/>
      <c r="I135" s="129"/>
      <c r="J135" s="129"/>
      <c r="K135" s="129"/>
      <c r="L135" s="129"/>
      <c r="M135" s="129"/>
      <c r="N135" s="129"/>
    </row>
    <row r="136" spans="3:14" x14ac:dyDescent="0.35">
      <c r="C136" s="90"/>
      <c r="D136" s="90"/>
      <c r="E136" s="90"/>
      <c r="F136" s="90"/>
      <c r="G136" s="129"/>
      <c r="H136" s="129"/>
      <c r="I136" s="129"/>
      <c r="J136" s="129"/>
      <c r="K136" s="129"/>
      <c r="L136" s="129"/>
      <c r="M136" s="129"/>
      <c r="N136" s="129"/>
    </row>
    <row r="137" spans="3:14" x14ac:dyDescent="0.35">
      <c r="C137" s="90"/>
      <c r="D137" s="90"/>
      <c r="E137" s="90"/>
      <c r="F137" s="90"/>
      <c r="G137" s="129"/>
      <c r="H137" s="129"/>
      <c r="I137" s="129"/>
      <c r="J137" s="129"/>
      <c r="K137" s="129"/>
      <c r="L137" s="129"/>
      <c r="M137" s="129"/>
      <c r="N137" s="129"/>
    </row>
    <row r="138" spans="3:14" x14ac:dyDescent="0.35">
      <c r="C138" s="90"/>
      <c r="D138" s="90"/>
      <c r="E138" s="90"/>
      <c r="F138" s="90"/>
      <c r="G138" s="129"/>
      <c r="H138" s="129"/>
      <c r="I138" s="129"/>
      <c r="J138" s="129"/>
      <c r="K138" s="129"/>
      <c r="L138" s="129"/>
      <c r="M138" s="129"/>
      <c r="N138" s="129"/>
    </row>
    <row r="139" spans="3:14" x14ac:dyDescent="0.35">
      <c r="C139" s="90"/>
      <c r="D139" s="90"/>
      <c r="E139" s="90"/>
      <c r="F139" s="90"/>
      <c r="G139" s="129"/>
      <c r="H139" s="129"/>
      <c r="I139" s="129"/>
      <c r="J139" s="129"/>
      <c r="K139" s="129"/>
      <c r="L139" s="129"/>
      <c r="M139" s="129"/>
      <c r="N139" s="129"/>
    </row>
    <row r="140" spans="3:14" x14ac:dyDescent="0.35">
      <c r="C140" s="90"/>
      <c r="D140" s="90"/>
      <c r="E140" s="90"/>
      <c r="F140" s="90"/>
      <c r="G140" s="129"/>
      <c r="H140" s="129"/>
      <c r="I140" s="129"/>
      <c r="J140" s="129"/>
      <c r="K140" s="129"/>
      <c r="L140" s="129"/>
      <c r="M140" s="129"/>
      <c r="N140" s="129"/>
    </row>
    <row r="141" spans="3:14" x14ac:dyDescent="0.35">
      <c r="C141" s="90"/>
      <c r="D141" s="90"/>
      <c r="E141" s="90"/>
      <c r="F141" s="90"/>
      <c r="G141" s="129"/>
      <c r="H141" s="129"/>
      <c r="I141" s="129"/>
      <c r="J141" s="129"/>
      <c r="K141" s="129"/>
      <c r="L141" s="129"/>
      <c r="M141" s="129"/>
      <c r="N141" s="129"/>
    </row>
    <row r="142" spans="3:14" x14ac:dyDescent="0.35">
      <c r="C142" s="90"/>
      <c r="D142" s="90"/>
      <c r="E142" s="90"/>
      <c r="F142" s="90"/>
      <c r="G142" s="129"/>
      <c r="H142" s="129"/>
      <c r="I142" s="129"/>
      <c r="J142" s="129"/>
      <c r="K142" s="129"/>
      <c r="L142" s="129"/>
      <c r="M142" s="129"/>
      <c r="N142" s="129"/>
    </row>
    <row r="143" spans="3:14" x14ac:dyDescent="0.35">
      <c r="C143" s="90"/>
      <c r="D143" s="90"/>
      <c r="E143" s="90"/>
      <c r="F143" s="90"/>
      <c r="G143" s="129"/>
      <c r="H143" s="129"/>
      <c r="I143" s="129"/>
      <c r="J143" s="129"/>
      <c r="K143" s="129"/>
      <c r="L143" s="129"/>
      <c r="M143" s="129"/>
      <c r="N143" s="129"/>
    </row>
    <row r="144" spans="3:14" x14ac:dyDescent="0.35">
      <c r="C144" s="90"/>
      <c r="D144" s="90"/>
      <c r="E144" s="90"/>
      <c r="F144" s="90"/>
      <c r="G144" s="129"/>
      <c r="H144" s="129"/>
      <c r="I144" s="129"/>
      <c r="J144" s="129"/>
      <c r="K144" s="129"/>
      <c r="L144" s="129"/>
      <c r="M144" s="129"/>
      <c r="N144" s="129"/>
    </row>
    <row r="145" spans="3:14" x14ac:dyDescent="0.35">
      <c r="C145" s="90"/>
      <c r="D145" s="90"/>
      <c r="E145" s="90"/>
      <c r="F145" s="90"/>
      <c r="G145" s="129"/>
      <c r="H145" s="129"/>
      <c r="I145" s="129"/>
      <c r="J145" s="129"/>
      <c r="K145" s="129"/>
      <c r="L145" s="129"/>
      <c r="M145" s="129"/>
      <c r="N145" s="129"/>
    </row>
    <row r="146" spans="3:14" x14ac:dyDescent="0.35">
      <c r="C146" s="90"/>
      <c r="D146" s="90"/>
      <c r="E146" s="90"/>
      <c r="F146" s="90"/>
      <c r="G146" s="129"/>
      <c r="H146" s="129"/>
      <c r="I146" s="129"/>
      <c r="J146" s="129"/>
      <c r="K146" s="129"/>
      <c r="L146" s="129"/>
      <c r="M146" s="129"/>
      <c r="N146" s="129"/>
    </row>
    <row r="147" spans="3:14" x14ac:dyDescent="0.35">
      <c r="C147" s="90"/>
      <c r="D147" s="90"/>
      <c r="E147" s="90"/>
      <c r="F147" s="90"/>
      <c r="G147" s="129"/>
      <c r="H147" s="129"/>
      <c r="I147" s="129"/>
      <c r="J147" s="129"/>
      <c r="K147" s="129"/>
      <c r="L147" s="129"/>
      <c r="M147" s="129"/>
      <c r="N147" s="129"/>
    </row>
    <row r="148" spans="3:14" x14ac:dyDescent="0.35">
      <c r="C148" s="90"/>
      <c r="D148" s="90"/>
      <c r="E148" s="90"/>
      <c r="F148" s="90"/>
      <c r="G148" s="129"/>
      <c r="H148" s="129"/>
      <c r="I148" s="129"/>
      <c r="J148" s="129"/>
      <c r="K148" s="129"/>
      <c r="L148" s="129"/>
      <c r="M148" s="129"/>
      <c r="N148" s="129"/>
    </row>
    <row r="149" spans="3:14" x14ac:dyDescent="0.35">
      <c r="C149" s="90"/>
      <c r="D149" s="90"/>
      <c r="E149" s="90"/>
      <c r="F149" s="90"/>
      <c r="G149" s="129"/>
      <c r="H149" s="129"/>
      <c r="I149" s="129"/>
      <c r="J149" s="129"/>
      <c r="K149" s="129"/>
      <c r="L149" s="129"/>
      <c r="M149" s="129"/>
      <c r="N149" s="129"/>
    </row>
    <row r="150" spans="3:14" x14ac:dyDescent="0.35">
      <c r="C150" s="90"/>
      <c r="D150" s="90"/>
      <c r="E150" s="90"/>
      <c r="F150" s="90"/>
      <c r="G150" s="129"/>
      <c r="H150" s="129"/>
      <c r="I150" s="129"/>
      <c r="J150" s="129"/>
      <c r="K150" s="129"/>
      <c r="L150" s="129"/>
      <c r="M150" s="129"/>
      <c r="N150" s="129"/>
    </row>
    <row r="151" spans="3:14" x14ac:dyDescent="0.35">
      <c r="C151" s="90"/>
      <c r="D151" s="90"/>
      <c r="E151" s="90"/>
      <c r="F151" s="90"/>
      <c r="G151" s="129"/>
      <c r="H151" s="129"/>
      <c r="I151" s="129"/>
      <c r="J151" s="129"/>
      <c r="K151" s="129"/>
      <c r="L151" s="129"/>
      <c r="M151" s="129"/>
      <c r="N151" s="129"/>
    </row>
    <row r="152" spans="3:14" x14ac:dyDescent="0.35">
      <c r="C152" s="90"/>
      <c r="D152" s="90"/>
      <c r="E152" s="90"/>
      <c r="F152" s="90"/>
      <c r="G152" s="129"/>
      <c r="H152" s="129"/>
      <c r="I152" s="129"/>
      <c r="J152" s="129"/>
      <c r="K152" s="129"/>
      <c r="L152" s="129"/>
      <c r="M152" s="129"/>
      <c r="N152" s="129"/>
    </row>
    <row r="153" spans="3:14" x14ac:dyDescent="0.35">
      <c r="C153" s="90"/>
      <c r="D153" s="90"/>
      <c r="E153" s="90"/>
      <c r="F153" s="90"/>
      <c r="G153" s="129"/>
      <c r="H153" s="129"/>
      <c r="I153" s="129"/>
      <c r="J153" s="129"/>
      <c r="K153" s="129"/>
      <c r="L153" s="129"/>
      <c r="M153" s="129"/>
      <c r="N153" s="129"/>
    </row>
    <row r="154" spans="3:14" x14ac:dyDescent="0.35">
      <c r="C154" s="90"/>
      <c r="D154" s="90"/>
      <c r="E154" s="90"/>
      <c r="F154" s="90"/>
      <c r="G154" s="129"/>
      <c r="H154" s="129"/>
      <c r="I154" s="129"/>
      <c r="J154" s="129"/>
      <c r="K154" s="129"/>
      <c r="L154" s="129"/>
      <c r="M154" s="129"/>
      <c r="N154" s="129"/>
    </row>
    <row r="155" spans="3:14" x14ac:dyDescent="0.35">
      <c r="C155" s="90"/>
      <c r="D155" s="90"/>
      <c r="E155" s="90"/>
      <c r="F155" s="90"/>
      <c r="G155" s="129"/>
      <c r="H155" s="129"/>
      <c r="I155" s="129"/>
      <c r="J155" s="129"/>
      <c r="K155" s="129"/>
      <c r="L155" s="129"/>
      <c r="M155" s="129"/>
      <c r="N155" s="129"/>
    </row>
    <row r="156" spans="3:14" x14ac:dyDescent="0.35">
      <c r="C156" s="90"/>
      <c r="D156" s="90"/>
      <c r="E156" s="90"/>
      <c r="F156" s="90"/>
      <c r="G156" s="129"/>
      <c r="H156" s="129"/>
      <c r="I156" s="129"/>
      <c r="J156" s="129"/>
      <c r="K156" s="129"/>
      <c r="L156" s="129"/>
      <c r="M156" s="129"/>
      <c r="N156" s="129"/>
    </row>
    <row r="157" spans="3:14" x14ac:dyDescent="0.35">
      <c r="C157" s="90"/>
      <c r="D157" s="90"/>
      <c r="E157" s="90"/>
      <c r="F157" s="90"/>
      <c r="G157" s="129"/>
      <c r="H157" s="129"/>
      <c r="I157" s="129"/>
      <c r="J157" s="129"/>
      <c r="K157" s="129"/>
      <c r="L157" s="129"/>
      <c r="M157" s="129"/>
      <c r="N157" s="129"/>
    </row>
    <row r="158" spans="3:14" x14ac:dyDescent="0.35">
      <c r="C158" s="90"/>
      <c r="D158" s="90"/>
      <c r="E158" s="90"/>
      <c r="F158" s="90"/>
      <c r="G158" s="129"/>
      <c r="H158" s="129"/>
      <c r="I158" s="129"/>
      <c r="J158" s="129"/>
      <c r="K158" s="129"/>
      <c r="L158" s="129"/>
      <c r="M158" s="129"/>
      <c r="N158" s="129"/>
    </row>
    <row r="159" spans="3:14" x14ac:dyDescent="0.35">
      <c r="C159" s="90"/>
      <c r="D159" s="90"/>
      <c r="E159" s="90"/>
      <c r="F159" s="90"/>
      <c r="G159" s="129"/>
      <c r="H159" s="129"/>
      <c r="I159" s="129"/>
      <c r="J159" s="129"/>
      <c r="K159" s="129"/>
      <c r="L159" s="129"/>
      <c r="M159" s="129"/>
      <c r="N159" s="129"/>
    </row>
    <row r="160" spans="3:14" x14ac:dyDescent="0.35">
      <c r="C160" s="90"/>
      <c r="D160" s="90"/>
      <c r="E160" s="90"/>
      <c r="F160" s="90"/>
      <c r="G160" s="129"/>
      <c r="H160" s="129"/>
      <c r="I160" s="129"/>
      <c r="J160" s="129"/>
      <c r="K160" s="129"/>
      <c r="L160" s="129"/>
      <c r="M160" s="129"/>
      <c r="N160" s="129"/>
    </row>
    <row r="161" spans="3:14" x14ac:dyDescent="0.35">
      <c r="C161" s="90"/>
      <c r="D161" s="90"/>
      <c r="E161" s="90"/>
      <c r="F161" s="90"/>
      <c r="G161" s="129"/>
      <c r="H161" s="129"/>
      <c r="I161" s="129"/>
      <c r="J161" s="129"/>
      <c r="K161" s="129"/>
      <c r="L161" s="129"/>
      <c r="M161" s="129"/>
      <c r="N161" s="129"/>
    </row>
    <row r="162" spans="3:14" x14ac:dyDescent="0.35">
      <c r="C162" s="90"/>
      <c r="D162" s="90"/>
      <c r="E162" s="90"/>
      <c r="F162" s="90"/>
      <c r="G162" s="129"/>
      <c r="H162" s="129"/>
      <c r="I162" s="129"/>
      <c r="J162" s="129"/>
      <c r="K162" s="129"/>
      <c r="L162" s="129"/>
      <c r="M162" s="129"/>
      <c r="N162" s="129"/>
    </row>
    <row r="163" spans="3:14" x14ac:dyDescent="0.35">
      <c r="C163" s="90"/>
      <c r="D163" s="90"/>
      <c r="E163" s="90"/>
      <c r="F163" s="90"/>
      <c r="G163" s="129"/>
      <c r="H163" s="129"/>
      <c r="I163" s="129"/>
      <c r="J163" s="129"/>
      <c r="K163" s="129"/>
      <c r="L163" s="129"/>
      <c r="M163" s="129"/>
      <c r="N163" s="129"/>
    </row>
    <row r="164" spans="3:14" x14ac:dyDescent="0.35">
      <c r="C164" s="90"/>
      <c r="D164" s="90"/>
      <c r="E164" s="90"/>
      <c r="F164" s="90"/>
      <c r="G164" s="129"/>
      <c r="H164" s="129"/>
      <c r="I164" s="129"/>
      <c r="J164" s="129"/>
      <c r="K164" s="129"/>
      <c r="L164" s="129"/>
      <c r="M164" s="129"/>
      <c r="N164" s="129"/>
    </row>
    <row r="165" spans="3:14" x14ac:dyDescent="0.35">
      <c r="C165" s="90"/>
      <c r="D165" s="90"/>
      <c r="E165" s="90"/>
      <c r="F165" s="90"/>
      <c r="G165" s="129"/>
      <c r="H165" s="129"/>
      <c r="I165" s="129"/>
      <c r="J165" s="129"/>
      <c r="K165" s="129"/>
      <c r="L165" s="129"/>
      <c r="M165" s="129"/>
      <c r="N165" s="129"/>
    </row>
    <row r="166" spans="3:14" x14ac:dyDescent="0.35">
      <c r="C166" s="90"/>
      <c r="D166" s="90"/>
      <c r="E166" s="90"/>
      <c r="F166" s="90"/>
      <c r="G166" s="129"/>
      <c r="H166" s="129"/>
      <c r="I166" s="129"/>
      <c r="J166" s="129"/>
      <c r="K166" s="129"/>
      <c r="L166" s="129"/>
      <c r="M166" s="129"/>
      <c r="N166" s="129"/>
    </row>
    <row r="167" spans="3:14" x14ac:dyDescent="0.35">
      <c r="C167" s="90"/>
      <c r="D167" s="90"/>
      <c r="E167" s="90"/>
      <c r="F167" s="90"/>
      <c r="G167" s="129"/>
      <c r="H167" s="129"/>
      <c r="I167" s="129"/>
      <c r="J167" s="129"/>
      <c r="K167" s="129"/>
      <c r="L167" s="129"/>
      <c r="M167" s="129"/>
      <c r="N167" s="129"/>
    </row>
    <row r="168" spans="3:14" x14ac:dyDescent="0.35">
      <c r="C168" s="90"/>
      <c r="D168" s="90"/>
      <c r="E168" s="90"/>
      <c r="F168" s="90"/>
      <c r="G168" s="129"/>
      <c r="H168" s="129"/>
      <c r="I168" s="129"/>
      <c r="J168" s="129"/>
      <c r="K168" s="129"/>
      <c r="L168" s="129"/>
      <c r="M168" s="129"/>
      <c r="N168" s="129"/>
    </row>
    <row r="169" spans="3:14" x14ac:dyDescent="0.35">
      <c r="C169" s="90"/>
      <c r="D169" s="90"/>
      <c r="E169" s="90"/>
      <c r="F169" s="90"/>
      <c r="G169" s="129"/>
      <c r="H169" s="129"/>
      <c r="I169" s="129"/>
      <c r="J169" s="129"/>
      <c r="K169" s="129"/>
      <c r="L169" s="129"/>
      <c r="M169" s="129"/>
      <c r="N169" s="129"/>
    </row>
    <row r="170" spans="3:14" x14ac:dyDescent="0.35">
      <c r="C170" s="90"/>
      <c r="D170" s="90"/>
      <c r="E170" s="90"/>
      <c r="F170" s="90"/>
      <c r="G170" s="129"/>
      <c r="H170" s="129"/>
      <c r="I170" s="129"/>
      <c r="J170" s="129"/>
      <c r="K170" s="129"/>
      <c r="L170" s="129"/>
      <c r="M170" s="129"/>
      <c r="N170" s="129"/>
    </row>
    <row r="171" spans="3:14" x14ac:dyDescent="0.35">
      <c r="C171" s="90"/>
      <c r="D171" s="90"/>
      <c r="E171" s="90"/>
      <c r="F171" s="90"/>
      <c r="G171" s="129"/>
      <c r="H171" s="129"/>
      <c r="I171" s="129"/>
      <c r="J171" s="129"/>
      <c r="K171" s="129"/>
      <c r="L171" s="129"/>
      <c r="M171" s="129"/>
      <c r="N171" s="129"/>
    </row>
    <row r="172" spans="3:14" x14ac:dyDescent="0.35">
      <c r="C172" s="90"/>
      <c r="D172" s="90"/>
      <c r="E172" s="90"/>
      <c r="F172" s="90"/>
      <c r="G172" s="129"/>
      <c r="H172" s="129"/>
      <c r="I172" s="129"/>
      <c r="J172" s="129"/>
      <c r="K172" s="129"/>
      <c r="L172" s="129"/>
      <c r="M172" s="129"/>
      <c r="N172" s="129"/>
    </row>
    <row r="173" spans="3:14" x14ac:dyDescent="0.35">
      <c r="C173" s="90"/>
      <c r="D173" s="90"/>
      <c r="E173" s="90"/>
      <c r="F173" s="90"/>
      <c r="G173" s="129"/>
      <c r="H173" s="129"/>
      <c r="I173" s="129"/>
      <c r="J173" s="129"/>
      <c r="K173" s="129"/>
      <c r="L173" s="129"/>
      <c r="M173" s="129"/>
      <c r="N173" s="129"/>
    </row>
    <row r="174" spans="3:14" x14ac:dyDescent="0.35">
      <c r="C174" s="90"/>
      <c r="D174" s="90"/>
      <c r="E174" s="90"/>
      <c r="F174" s="90"/>
      <c r="G174" s="129"/>
      <c r="H174" s="129"/>
      <c r="I174" s="129"/>
      <c r="J174" s="129"/>
      <c r="K174" s="129"/>
      <c r="L174" s="129"/>
      <c r="M174" s="129"/>
      <c r="N174" s="129"/>
    </row>
    <row r="175" spans="3:14" x14ac:dyDescent="0.35">
      <c r="C175" s="90"/>
      <c r="D175" s="90"/>
      <c r="E175" s="90"/>
      <c r="F175" s="90"/>
      <c r="G175" s="129"/>
      <c r="H175" s="129"/>
      <c r="I175" s="129"/>
      <c r="J175" s="129"/>
      <c r="K175" s="129"/>
      <c r="L175" s="129"/>
      <c r="M175" s="129"/>
      <c r="N175" s="129"/>
    </row>
    <row r="176" spans="3:14" x14ac:dyDescent="0.35">
      <c r="C176" s="90"/>
      <c r="D176" s="90"/>
      <c r="E176" s="90"/>
      <c r="F176" s="90"/>
      <c r="G176" s="129"/>
      <c r="H176" s="129"/>
      <c r="I176" s="129"/>
      <c r="J176" s="129"/>
      <c r="K176" s="129"/>
      <c r="L176" s="129"/>
      <c r="M176" s="129"/>
      <c r="N176" s="129"/>
    </row>
    <row r="177" spans="3:14" x14ac:dyDescent="0.35">
      <c r="C177" s="90"/>
      <c r="D177" s="90"/>
      <c r="E177" s="90"/>
      <c r="F177" s="90"/>
      <c r="G177" s="129"/>
      <c r="H177" s="129"/>
      <c r="I177" s="129"/>
      <c r="J177" s="129"/>
      <c r="K177" s="129"/>
      <c r="L177" s="129"/>
      <c r="M177" s="129"/>
      <c r="N177" s="129"/>
    </row>
    <row r="178" spans="3:14" x14ac:dyDescent="0.35">
      <c r="C178" s="90"/>
      <c r="D178" s="90"/>
      <c r="E178" s="90"/>
      <c r="F178" s="90"/>
      <c r="G178" s="129"/>
      <c r="H178" s="129"/>
      <c r="I178" s="129"/>
      <c r="J178" s="129"/>
      <c r="K178" s="129"/>
      <c r="L178" s="129"/>
      <c r="M178" s="129"/>
      <c r="N178" s="129"/>
    </row>
    <row r="179" spans="3:14" x14ac:dyDescent="0.35">
      <c r="C179" s="90"/>
      <c r="D179" s="90"/>
      <c r="E179" s="90"/>
      <c r="F179" s="90"/>
      <c r="G179" s="129"/>
      <c r="H179" s="129"/>
      <c r="I179" s="129"/>
      <c r="J179" s="129"/>
      <c r="K179" s="129"/>
      <c r="L179" s="129"/>
      <c r="M179" s="129"/>
      <c r="N179" s="129"/>
    </row>
    <row r="180" spans="3:14" x14ac:dyDescent="0.35">
      <c r="C180" s="90"/>
      <c r="D180" s="90"/>
      <c r="E180" s="90"/>
      <c r="F180" s="90"/>
      <c r="G180" s="129"/>
      <c r="H180" s="129"/>
      <c r="I180" s="129"/>
      <c r="J180" s="129"/>
      <c r="K180" s="129"/>
      <c r="L180" s="129"/>
      <c r="M180" s="129"/>
      <c r="N180" s="129"/>
    </row>
    <row r="181" spans="3:14" x14ac:dyDescent="0.35">
      <c r="C181" s="90"/>
      <c r="D181" s="90"/>
      <c r="E181" s="90"/>
      <c r="F181" s="90"/>
      <c r="G181" s="129"/>
      <c r="H181" s="129"/>
      <c r="I181" s="129"/>
      <c r="J181" s="129"/>
      <c r="K181" s="129"/>
      <c r="L181" s="129"/>
      <c r="M181" s="129"/>
      <c r="N181" s="129"/>
    </row>
    <row r="182" spans="3:14" x14ac:dyDescent="0.35">
      <c r="C182" s="90"/>
      <c r="D182" s="90"/>
      <c r="E182" s="90"/>
      <c r="F182" s="90"/>
      <c r="G182" s="129"/>
      <c r="H182" s="129"/>
      <c r="I182" s="129"/>
      <c r="J182" s="129"/>
      <c r="K182" s="129"/>
      <c r="L182" s="129"/>
      <c r="M182" s="129"/>
      <c r="N182" s="129"/>
    </row>
    <row r="183" spans="3:14" x14ac:dyDescent="0.35">
      <c r="C183" s="90"/>
      <c r="D183" s="90"/>
      <c r="E183" s="90"/>
      <c r="F183" s="90"/>
      <c r="G183" s="129"/>
      <c r="H183" s="129"/>
      <c r="I183" s="129"/>
      <c r="J183" s="129"/>
      <c r="K183" s="129"/>
      <c r="L183" s="129"/>
      <c r="M183" s="129"/>
      <c r="N183" s="129"/>
    </row>
    <row r="184" spans="3:14" x14ac:dyDescent="0.35">
      <c r="C184" s="90"/>
      <c r="D184" s="90"/>
      <c r="E184" s="90"/>
      <c r="F184" s="90"/>
      <c r="G184" s="129"/>
      <c r="H184" s="129"/>
      <c r="I184" s="129"/>
      <c r="J184" s="129"/>
      <c r="K184" s="129"/>
      <c r="L184" s="129"/>
      <c r="M184" s="129"/>
      <c r="N184" s="129"/>
    </row>
    <row r="185" spans="3:14" x14ac:dyDescent="0.35">
      <c r="C185" s="90"/>
      <c r="D185" s="90"/>
      <c r="E185" s="90"/>
      <c r="F185" s="90"/>
      <c r="G185" s="129"/>
      <c r="H185" s="129"/>
      <c r="I185" s="129"/>
      <c r="J185" s="129"/>
      <c r="K185" s="129"/>
      <c r="L185" s="129"/>
      <c r="M185" s="129"/>
      <c r="N185" s="129"/>
    </row>
    <row r="186" spans="3:14" x14ac:dyDescent="0.35">
      <c r="C186" s="90"/>
      <c r="D186" s="90"/>
      <c r="E186" s="90"/>
      <c r="F186" s="90"/>
      <c r="G186" s="129"/>
      <c r="H186" s="129"/>
      <c r="I186" s="129"/>
      <c r="J186" s="129"/>
      <c r="K186" s="129"/>
      <c r="L186" s="129"/>
      <c r="M186" s="129"/>
      <c r="N186" s="129"/>
    </row>
    <row r="187" spans="3:14" x14ac:dyDescent="0.35">
      <c r="C187" s="90"/>
      <c r="D187" s="90"/>
      <c r="E187" s="90"/>
      <c r="F187" s="90"/>
      <c r="G187" s="129"/>
      <c r="H187" s="129"/>
      <c r="I187" s="129"/>
      <c r="J187" s="129"/>
      <c r="K187" s="129"/>
      <c r="L187" s="129"/>
      <c r="M187" s="129"/>
      <c r="N187" s="129"/>
    </row>
    <row r="188" spans="3:14" x14ac:dyDescent="0.35">
      <c r="C188" s="90"/>
      <c r="D188" s="90"/>
      <c r="E188" s="90"/>
      <c r="F188" s="90"/>
      <c r="G188" s="129"/>
      <c r="H188" s="129"/>
      <c r="I188" s="129"/>
      <c r="J188" s="129"/>
      <c r="K188" s="129"/>
      <c r="L188" s="129"/>
      <c r="M188" s="129"/>
      <c r="N188" s="129"/>
    </row>
    <row r="189" spans="3:14" x14ac:dyDescent="0.35">
      <c r="C189" s="90"/>
      <c r="D189" s="90"/>
      <c r="E189" s="90"/>
      <c r="F189" s="90"/>
      <c r="G189" s="129"/>
      <c r="H189" s="129"/>
      <c r="I189" s="129"/>
      <c r="J189" s="129"/>
      <c r="K189" s="129"/>
      <c r="L189" s="129"/>
      <c r="M189" s="129"/>
      <c r="N189" s="129"/>
    </row>
    <row r="190" spans="3:14" x14ac:dyDescent="0.35">
      <c r="C190" s="90"/>
      <c r="D190" s="90"/>
      <c r="E190" s="90"/>
      <c r="F190" s="90"/>
      <c r="G190" s="129"/>
      <c r="H190" s="129"/>
      <c r="I190" s="129"/>
      <c r="J190" s="129"/>
      <c r="K190" s="129"/>
      <c r="L190" s="129"/>
      <c r="M190" s="129"/>
      <c r="N190" s="129"/>
    </row>
    <row r="191" spans="3:14" x14ac:dyDescent="0.35">
      <c r="C191" s="90"/>
      <c r="D191" s="90"/>
      <c r="E191" s="90"/>
      <c r="F191" s="90"/>
      <c r="G191" s="129"/>
      <c r="H191" s="129"/>
      <c r="I191" s="129"/>
      <c r="J191" s="129"/>
      <c r="K191" s="129"/>
      <c r="L191" s="129"/>
      <c r="M191" s="129"/>
      <c r="N191" s="129"/>
    </row>
    <row r="192" spans="3:14" x14ac:dyDescent="0.35">
      <c r="C192" s="90"/>
      <c r="D192" s="90"/>
      <c r="E192" s="90"/>
      <c r="F192" s="90"/>
      <c r="G192" s="129"/>
      <c r="H192" s="129"/>
      <c r="I192" s="129"/>
      <c r="J192" s="129"/>
      <c r="K192" s="129"/>
      <c r="L192" s="129"/>
      <c r="M192" s="129"/>
      <c r="N192" s="129"/>
    </row>
    <row r="193" spans="3:14" x14ac:dyDescent="0.35">
      <c r="C193" s="90"/>
      <c r="D193" s="90"/>
      <c r="E193" s="90"/>
      <c r="F193" s="90"/>
      <c r="G193" s="129"/>
      <c r="H193" s="129"/>
      <c r="I193" s="129"/>
      <c r="J193" s="129"/>
      <c r="K193" s="129"/>
      <c r="L193" s="129"/>
      <c r="M193" s="129"/>
      <c r="N193" s="129"/>
    </row>
    <row r="194" spans="3:14" x14ac:dyDescent="0.35">
      <c r="C194" s="90"/>
      <c r="D194" s="90"/>
      <c r="E194" s="90"/>
      <c r="F194" s="90"/>
      <c r="G194" s="129"/>
      <c r="H194" s="129"/>
      <c r="I194" s="129"/>
      <c r="J194" s="129"/>
      <c r="K194" s="129"/>
      <c r="L194" s="129"/>
      <c r="M194" s="129"/>
      <c r="N194" s="129"/>
    </row>
    <row r="195" spans="3:14" x14ac:dyDescent="0.35">
      <c r="C195" s="90"/>
      <c r="D195" s="90"/>
      <c r="E195" s="90"/>
      <c r="F195" s="90"/>
      <c r="G195" s="129"/>
      <c r="H195" s="129"/>
      <c r="I195" s="129"/>
      <c r="J195" s="129"/>
      <c r="K195" s="129"/>
      <c r="L195" s="129"/>
      <c r="M195" s="129"/>
      <c r="N195" s="129"/>
    </row>
    <row r="196" spans="3:14" x14ac:dyDescent="0.35">
      <c r="C196" s="90"/>
      <c r="D196" s="90"/>
      <c r="E196" s="90"/>
      <c r="F196" s="90"/>
      <c r="G196" s="129"/>
      <c r="H196" s="129"/>
      <c r="I196" s="129"/>
      <c r="J196" s="129"/>
      <c r="K196" s="129"/>
      <c r="L196" s="129"/>
      <c r="M196" s="129"/>
      <c r="N196" s="129"/>
    </row>
    <row r="197" spans="3:14" x14ac:dyDescent="0.35">
      <c r="C197" s="90"/>
      <c r="D197" s="90"/>
      <c r="E197" s="90"/>
      <c r="F197" s="90"/>
      <c r="G197" s="129"/>
      <c r="H197" s="129"/>
      <c r="I197" s="129"/>
      <c r="J197" s="129"/>
      <c r="K197" s="129"/>
      <c r="L197" s="129"/>
      <c r="M197" s="129"/>
      <c r="N197" s="129"/>
    </row>
    <row r="198" spans="3:14" x14ac:dyDescent="0.35">
      <c r="C198" s="90"/>
      <c r="D198" s="90"/>
      <c r="E198" s="90"/>
      <c r="F198" s="90"/>
      <c r="G198" s="90"/>
      <c r="H198" s="90"/>
      <c r="I198" s="90"/>
      <c r="J198" s="90"/>
      <c r="K198" s="90"/>
      <c r="L198" s="90"/>
      <c r="M198" s="90"/>
      <c r="N198" s="90"/>
    </row>
    <row r="199" spans="3:14" x14ac:dyDescent="0.35">
      <c r="C199" s="90"/>
      <c r="D199" s="90"/>
      <c r="E199" s="90"/>
      <c r="F199" s="90"/>
      <c r="G199" s="90"/>
      <c r="H199" s="90"/>
      <c r="I199" s="90"/>
      <c r="J199" s="90"/>
      <c r="K199" s="90"/>
      <c r="L199" s="90"/>
      <c r="M199" s="90"/>
      <c r="N199" s="90"/>
    </row>
    <row r="200" spans="3:14" x14ac:dyDescent="0.35">
      <c r="C200" s="90"/>
      <c r="D200" s="90"/>
      <c r="E200" s="90"/>
      <c r="F200" s="90"/>
      <c r="G200" s="90"/>
      <c r="H200" s="90"/>
      <c r="I200" s="90"/>
      <c r="J200" s="90"/>
      <c r="K200" s="90"/>
      <c r="L200" s="90"/>
      <c r="M200" s="90"/>
      <c r="N200" s="90"/>
    </row>
    <row r="201" spans="3:14" x14ac:dyDescent="0.35">
      <c r="C201" s="90"/>
      <c r="D201" s="90"/>
      <c r="E201" s="90"/>
      <c r="F201" s="90"/>
      <c r="G201" s="90"/>
      <c r="H201" s="90"/>
      <c r="I201" s="90"/>
      <c r="J201" s="90"/>
      <c r="K201" s="90"/>
      <c r="L201" s="90"/>
      <c r="M201" s="90"/>
      <c r="N201" s="90"/>
    </row>
    <row r="202" spans="3:14" x14ac:dyDescent="0.35">
      <c r="C202" s="90"/>
      <c r="D202" s="90"/>
      <c r="E202" s="90"/>
      <c r="F202" s="90"/>
      <c r="G202" s="90"/>
      <c r="H202" s="90"/>
      <c r="I202" s="90"/>
      <c r="J202" s="90"/>
      <c r="K202" s="90"/>
      <c r="L202" s="90"/>
      <c r="M202" s="90"/>
      <c r="N202" s="90"/>
    </row>
    <row r="203" spans="3:14" x14ac:dyDescent="0.35">
      <c r="C203" s="90"/>
      <c r="D203" s="90"/>
      <c r="E203" s="90"/>
      <c r="F203" s="90"/>
      <c r="G203" s="90"/>
      <c r="H203" s="90"/>
      <c r="I203" s="90"/>
      <c r="J203" s="90"/>
      <c r="K203" s="90"/>
      <c r="L203" s="90"/>
      <c r="M203" s="90"/>
      <c r="N203" s="90"/>
    </row>
    <row r="204" spans="3:14" x14ac:dyDescent="0.35">
      <c r="C204" s="90"/>
      <c r="D204" s="90"/>
      <c r="E204" s="90"/>
      <c r="F204" s="90"/>
      <c r="G204" s="90"/>
      <c r="H204" s="90"/>
      <c r="I204" s="90"/>
      <c r="J204" s="90"/>
      <c r="K204" s="90"/>
      <c r="L204" s="90"/>
      <c r="M204" s="90"/>
      <c r="N204" s="90"/>
    </row>
    <row r="205" spans="3:14" x14ac:dyDescent="0.35">
      <c r="C205" s="90"/>
      <c r="D205" s="90"/>
      <c r="E205" s="90"/>
      <c r="F205" s="90"/>
      <c r="G205" s="90"/>
      <c r="H205" s="90"/>
      <c r="I205" s="90"/>
      <c r="J205" s="90"/>
      <c r="K205" s="90"/>
      <c r="L205" s="90"/>
      <c r="M205" s="90"/>
      <c r="N205" s="90"/>
    </row>
    <row r="206" spans="3:14" x14ac:dyDescent="0.35">
      <c r="C206" s="90"/>
      <c r="D206" s="90"/>
      <c r="E206" s="90"/>
      <c r="F206" s="90"/>
      <c r="G206" s="90"/>
      <c r="H206" s="90"/>
      <c r="I206" s="90"/>
      <c r="J206" s="90"/>
      <c r="K206" s="90"/>
      <c r="L206" s="90"/>
      <c r="M206" s="90"/>
      <c r="N206" s="90"/>
    </row>
    <row r="207" spans="3:14" x14ac:dyDescent="0.35">
      <c r="C207" s="90"/>
      <c r="D207" s="90"/>
      <c r="E207" s="90"/>
      <c r="F207" s="90"/>
      <c r="G207" s="90"/>
      <c r="H207" s="90"/>
      <c r="I207" s="90"/>
      <c r="J207" s="90"/>
      <c r="K207" s="90"/>
      <c r="L207" s="90"/>
      <c r="M207" s="90"/>
      <c r="N207" s="90"/>
    </row>
    <row r="208" spans="3:14" x14ac:dyDescent="0.35">
      <c r="C208" s="90"/>
      <c r="D208" s="90"/>
      <c r="E208" s="90"/>
      <c r="F208" s="90"/>
      <c r="G208" s="90"/>
      <c r="H208" s="90"/>
      <c r="I208" s="90"/>
      <c r="J208" s="90"/>
      <c r="K208" s="90"/>
      <c r="L208" s="90"/>
      <c r="M208" s="90"/>
      <c r="N208" s="90"/>
    </row>
    <row r="209" spans="3:14" x14ac:dyDescent="0.35">
      <c r="C209" s="90"/>
      <c r="D209" s="90"/>
      <c r="E209" s="90"/>
      <c r="F209" s="90"/>
      <c r="G209" s="90"/>
      <c r="H209" s="90"/>
      <c r="I209" s="90"/>
      <c r="J209" s="90"/>
      <c r="K209" s="90"/>
      <c r="L209" s="90"/>
      <c r="M209" s="90"/>
      <c r="N209" s="90"/>
    </row>
    <row r="210" spans="3:14" x14ac:dyDescent="0.35">
      <c r="C210" s="90"/>
      <c r="D210" s="90"/>
      <c r="E210" s="90"/>
      <c r="F210" s="90"/>
      <c r="G210" s="90"/>
      <c r="H210" s="90"/>
      <c r="I210" s="90"/>
      <c r="J210" s="90"/>
      <c r="K210" s="90"/>
      <c r="L210" s="90"/>
      <c r="M210" s="90"/>
      <c r="N210" s="90"/>
    </row>
    <row r="211" spans="3:14" x14ac:dyDescent="0.35">
      <c r="C211" s="90"/>
      <c r="D211" s="90"/>
      <c r="E211" s="90"/>
      <c r="F211" s="90"/>
      <c r="G211" s="90"/>
      <c r="H211" s="90"/>
      <c r="I211" s="90"/>
      <c r="J211" s="90"/>
      <c r="K211" s="90"/>
      <c r="L211" s="90"/>
      <c r="M211" s="90"/>
      <c r="N211" s="90"/>
    </row>
    <row r="212" spans="3:14" x14ac:dyDescent="0.35">
      <c r="C212" s="90"/>
      <c r="D212" s="90"/>
      <c r="E212" s="90"/>
      <c r="F212" s="90"/>
      <c r="G212" s="90"/>
      <c r="H212" s="90"/>
      <c r="I212" s="90"/>
      <c r="J212" s="90"/>
      <c r="K212" s="90"/>
      <c r="L212" s="90"/>
      <c r="M212" s="90"/>
      <c r="N212" s="90"/>
    </row>
    <row r="213" spans="3:14" x14ac:dyDescent="0.35">
      <c r="C213" s="90"/>
      <c r="D213" s="90"/>
      <c r="E213" s="90"/>
      <c r="F213" s="90"/>
      <c r="G213" s="90"/>
      <c r="H213" s="90"/>
      <c r="I213" s="90"/>
      <c r="J213" s="90"/>
      <c r="K213" s="90"/>
      <c r="L213" s="90"/>
      <c r="M213" s="90"/>
      <c r="N213" s="90"/>
    </row>
    <row r="214" spans="3:14" x14ac:dyDescent="0.35">
      <c r="C214" s="90"/>
      <c r="D214" s="90"/>
      <c r="E214" s="90"/>
      <c r="F214" s="90"/>
      <c r="G214" s="90"/>
      <c r="H214" s="90"/>
      <c r="I214" s="90"/>
      <c r="J214" s="90"/>
      <c r="K214" s="90"/>
      <c r="L214" s="90"/>
      <c r="M214" s="90"/>
      <c r="N214" s="90"/>
    </row>
    <row r="215" spans="3:14" x14ac:dyDescent="0.35">
      <c r="C215" s="90"/>
      <c r="D215" s="90"/>
      <c r="E215" s="90"/>
      <c r="F215" s="90"/>
      <c r="G215" s="90"/>
      <c r="H215" s="90"/>
      <c r="I215" s="90"/>
      <c r="J215" s="90"/>
      <c r="K215" s="90"/>
      <c r="L215" s="90"/>
      <c r="M215" s="90"/>
      <c r="N215" s="90"/>
    </row>
    <row r="216" spans="3:14" x14ac:dyDescent="0.35">
      <c r="C216" s="90"/>
      <c r="D216" s="90"/>
      <c r="E216" s="90"/>
      <c r="F216" s="90"/>
      <c r="G216" s="90"/>
      <c r="H216" s="90"/>
      <c r="I216" s="90"/>
      <c r="J216" s="90"/>
      <c r="K216" s="90"/>
      <c r="L216" s="90"/>
      <c r="M216" s="90"/>
      <c r="N216" s="90"/>
    </row>
    <row r="217" spans="3:14" x14ac:dyDescent="0.35">
      <c r="C217" s="90"/>
      <c r="D217" s="90"/>
      <c r="E217" s="90"/>
      <c r="F217" s="90"/>
      <c r="G217" s="90"/>
      <c r="H217" s="90"/>
      <c r="I217" s="90"/>
      <c r="J217" s="90"/>
      <c r="K217" s="90"/>
      <c r="L217" s="90"/>
      <c r="M217" s="90"/>
      <c r="N217" s="90"/>
    </row>
    <row r="218" spans="3:14" x14ac:dyDescent="0.35">
      <c r="C218" s="90"/>
      <c r="D218" s="90"/>
      <c r="E218" s="90"/>
      <c r="F218" s="90"/>
      <c r="G218" s="90"/>
      <c r="H218" s="90"/>
      <c r="I218" s="90"/>
      <c r="J218" s="90"/>
      <c r="K218" s="90"/>
      <c r="L218" s="90"/>
      <c r="M218" s="90"/>
      <c r="N218" s="90"/>
    </row>
    <row r="219" spans="3:14" x14ac:dyDescent="0.35">
      <c r="C219" s="90"/>
      <c r="D219" s="90"/>
      <c r="E219" s="90"/>
      <c r="F219" s="90"/>
      <c r="G219" s="90"/>
      <c r="H219" s="90"/>
      <c r="I219" s="90"/>
      <c r="J219" s="90"/>
      <c r="K219" s="90"/>
      <c r="L219" s="90"/>
      <c r="M219" s="90"/>
      <c r="N219" s="90"/>
    </row>
    <row r="220" spans="3:14" x14ac:dyDescent="0.35">
      <c r="C220" s="90"/>
      <c r="D220" s="90"/>
      <c r="E220" s="90"/>
      <c r="F220" s="90"/>
      <c r="G220" s="90"/>
      <c r="H220" s="90"/>
      <c r="I220" s="90"/>
      <c r="J220" s="90"/>
      <c r="K220" s="90"/>
      <c r="L220" s="90"/>
      <c r="M220" s="90"/>
      <c r="N220" s="90"/>
    </row>
    <row r="221" spans="3:14" x14ac:dyDescent="0.35">
      <c r="C221" s="90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</row>
    <row r="222" spans="3:14" x14ac:dyDescent="0.35">
      <c r="C222" s="90"/>
      <c r="D222" s="90"/>
      <c r="E222" s="90"/>
      <c r="F222" s="90"/>
      <c r="G222" s="90"/>
      <c r="H222" s="90"/>
      <c r="I222" s="90"/>
      <c r="J222" s="90"/>
      <c r="K222" s="90"/>
      <c r="L222" s="90"/>
      <c r="M222" s="90"/>
      <c r="N222" s="90"/>
    </row>
    <row r="223" spans="3:14" x14ac:dyDescent="0.35">
      <c r="C223" s="90"/>
      <c r="D223" s="90"/>
      <c r="E223" s="90"/>
      <c r="F223" s="90"/>
      <c r="G223" s="90"/>
      <c r="H223" s="90"/>
      <c r="I223" s="90"/>
      <c r="J223" s="90"/>
      <c r="K223" s="90"/>
      <c r="L223" s="90"/>
      <c r="M223" s="90"/>
      <c r="N223" s="90"/>
    </row>
    <row r="224" spans="3:14" x14ac:dyDescent="0.35">
      <c r="C224" s="90"/>
      <c r="D224" s="90"/>
      <c r="E224" s="90"/>
      <c r="F224" s="90"/>
      <c r="G224" s="90"/>
      <c r="H224" s="90"/>
      <c r="I224" s="90"/>
      <c r="J224" s="90"/>
      <c r="K224" s="90"/>
      <c r="L224" s="90"/>
      <c r="M224" s="90"/>
      <c r="N224" s="90"/>
    </row>
    <row r="225" spans="3:14" x14ac:dyDescent="0.35">
      <c r="C225" s="90"/>
      <c r="D225" s="90"/>
      <c r="E225" s="90"/>
      <c r="F225" s="90"/>
      <c r="G225" s="90"/>
      <c r="H225" s="90"/>
      <c r="I225" s="90"/>
      <c r="J225" s="90"/>
      <c r="K225" s="90"/>
      <c r="L225" s="90"/>
      <c r="M225" s="90"/>
      <c r="N225" s="90"/>
    </row>
    <row r="226" spans="3:14" x14ac:dyDescent="0.35">
      <c r="C226" s="90"/>
      <c r="D226" s="90"/>
      <c r="E226" s="90"/>
      <c r="F226" s="90"/>
      <c r="G226" s="90"/>
      <c r="H226" s="90"/>
      <c r="I226" s="90"/>
      <c r="J226" s="90"/>
      <c r="K226" s="90"/>
      <c r="L226" s="90"/>
      <c r="M226" s="90"/>
      <c r="N226" s="90"/>
    </row>
    <row r="227" spans="3:14" x14ac:dyDescent="0.35">
      <c r="C227" s="90"/>
      <c r="D227" s="90"/>
      <c r="E227" s="90"/>
      <c r="F227" s="90"/>
      <c r="G227" s="90"/>
      <c r="H227" s="90"/>
      <c r="I227" s="90"/>
      <c r="J227" s="90"/>
      <c r="K227" s="90"/>
      <c r="L227" s="90"/>
      <c r="M227" s="90"/>
      <c r="N227" s="90"/>
    </row>
    <row r="228" spans="3:14" x14ac:dyDescent="0.35">
      <c r="C228" s="90"/>
      <c r="D228" s="90"/>
      <c r="E228" s="90"/>
      <c r="F228" s="90"/>
      <c r="G228" s="90"/>
      <c r="H228" s="90"/>
      <c r="I228" s="90"/>
      <c r="J228" s="90"/>
      <c r="K228" s="90"/>
      <c r="L228" s="90"/>
      <c r="M228" s="90"/>
      <c r="N228" s="90"/>
    </row>
    <row r="229" spans="3:14" x14ac:dyDescent="0.35">
      <c r="C229" s="90"/>
      <c r="D229" s="90"/>
      <c r="E229" s="90"/>
      <c r="F229" s="90"/>
      <c r="G229" s="90"/>
      <c r="H229" s="90"/>
      <c r="I229" s="90"/>
      <c r="J229" s="90"/>
      <c r="K229" s="90"/>
      <c r="L229" s="90"/>
      <c r="M229" s="90"/>
      <c r="N229" s="90"/>
    </row>
    <row r="230" spans="3:14" x14ac:dyDescent="0.35">
      <c r="C230" s="90"/>
      <c r="D230" s="90"/>
      <c r="E230" s="90"/>
      <c r="F230" s="90"/>
      <c r="G230" s="90"/>
      <c r="H230" s="90"/>
      <c r="I230" s="90"/>
      <c r="J230" s="90"/>
      <c r="K230" s="90"/>
      <c r="L230" s="90"/>
      <c r="M230" s="90"/>
      <c r="N230" s="90"/>
    </row>
    <row r="231" spans="3:14" x14ac:dyDescent="0.35">
      <c r="C231" s="90"/>
      <c r="D231" s="90"/>
      <c r="E231" s="90"/>
      <c r="F231" s="90"/>
      <c r="G231" s="90"/>
      <c r="H231" s="90"/>
      <c r="I231" s="90"/>
      <c r="J231" s="90"/>
      <c r="K231" s="90"/>
      <c r="L231" s="90"/>
      <c r="M231" s="90"/>
      <c r="N231" s="90"/>
    </row>
    <row r="232" spans="3:14" x14ac:dyDescent="0.35">
      <c r="C232" s="90"/>
      <c r="D232" s="90"/>
      <c r="E232" s="90"/>
      <c r="F232" s="90"/>
      <c r="G232" s="90"/>
      <c r="H232" s="90"/>
      <c r="I232" s="90"/>
      <c r="J232" s="90"/>
      <c r="K232" s="90"/>
      <c r="L232" s="90"/>
      <c r="M232" s="90"/>
      <c r="N232" s="90"/>
    </row>
    <row r="233" spans="3:14" x14ac:dyDescent="0.35">
      <c r="C233" s="90"/>
      <c r="D233" s="90"/>
      <c r="E233" s="90"/>
      <c r="F233" s="90"/>
      <c r="G233" s="90"/>
      <c r="H233" s="90"/>
      <c r="I233" s="90"/>
      <c r="J233" s="90"/>
      <c r="K233" s="90"/>
      <c r="L233" s="90"/>
      <c r="M233" s="90"/>
      <c r="N233" s="90"/>
    </row>
    <row r="234" spans="3:14" x14ac:dyDescent="0.35">
      <c r="C234" s="90"/>
      <c r="D234" s="90"/>
      <c r="E234" s="90"/>
      <c r="F234" s="90"/>
      <c r="G234" s="90"/>
      <c r="H234" s="90"/>
      <c r="I234" s="90"/>
      <c r="J234" s="90"/>
      <c r="K234" s="90"/>
      <c r="L234" s="90"/>
      <c r="M234" s="90"/>
      <c r="N234" s="90"/>
    </row>
    <row r="235" spans="3:14" x14ac:dyDescent="0.35">
      <c r="C235" s="90"/>
      <c r="D235" s="90"/>
      <c r="E235" s="90"/>
      <c r="F235" s="90"/>
      <c r="G235" s="90"/>
      <c r="H235" s="90"/>
      <c r="I235" s="90"/>
      <c r="J235" s="90"/>
      <c r="K235" s="90"/>
      <c r="L235" s="90"/>
      <c r="M235" s="90"/>
      <c r="N235" s="90"/>
    </row>
    <row r="236" spans="3:14" x14ac:dyDescent="0.35">
      <c r="C236" s="90"/>
      <c r="D236" s="90"/>
      <c r="E236" s="90"/>
      <c r="F236" s="90"/>
      <c r="G236" s="90"/>
      <c r="H236" s="90"/>
      <c r="I236" s="90"/>
      <c r="J236" s="90"/>
      <c r="K236" s="90"/>
      <c r="L236" s="90"/>
      <c r="M236" s="90"/>
      <c r="N236" s="90"/>
    </row>
    <row r="237" spans="3:14" x14ac:dyDescent="0.35">
      <c r="C237" s="90"/>
      <c r="D237" s="90"/>
      <c r="E237" s="90"/>
      <c r="F237" s="90"/>
      <c r="G237" s="90"/>
      <c r="H237" s="90"/>
      <c r="I237" s="90"/>
      <c r="J237" s="90"/>
      <c r="K237" s="90"/>
      <c r="L237" s="90"/>
      <c r="M237" s="90"/>
      <c r="N237" s="90"/>
    </row>
    <row r="238" spans="3:14" x14ac:dyDescent="0.35">
      <c r="C238" s="90"/>
      <c r="D238" s="90"/>
      <c r="E238" s="90"/>
      <c r="F238" s="90"/>
      <c r="G238" s="90"/>
      <c r="H238" s="90"/>
      <c r="I238" s="90"/>
      <c r="J238" s="90"/>
      <c r="K238" s="90"/>
      <c r="L238" s="90"/>
      <c r="M238" s="90"/>
      <c r="N238" s="90"/>
    </row>
    <row r="239" spans="3:14" x14ac:dyDescent="0.35">
      <c r="C239" s="90"/>
      <c r="D239" s="90"/>
      <c r="E239" s="90"/>
      <c r="F239" s="90"/>
      <c r="G239" s="90"/>
      <c r="H239" s="90"/>
      <c r="I239" s="90"/>
      <c r="J239" s="90"/>
      <c r="K239" s="90"/>
      <c r="L239" s="90"/>
      <c r="M239" s="90"/>
      <c r="N239" s="90"/>
    </row>
    <row r="240" spans="3:14" x14ac:dyDescent="0.35">
      <c r="C240" s="90"/>
      <c r="D240" s="90"/>
      <c r="E240" s="90"/>
      <c r="F240" s="90"/>
      <c r="G240" s="90"/>
      <c r="H240" s="90"/>
      <c r="I240" s="90"/>
      <c r="J240" s="90"/>
      <c r="K240" s="90"/>
      <c r="L240" s="90"/>
      <c r="M240" s="90"/>
      <c r="N240" s="90"/>
    </row>
    <row r="241" spans="3:14" x14ac:dyDescent="0.35">
      <c r="C241" s="90"/>
      <c r="D241" s="90"/>
      <c r="E241" s="90"/>
      <c r="F241" s="90"/>
      <c r="G241" s="90"/>
      <c r="H241" s="90"/>
      <c r="I241" s="90"/>
      <c r="J241" s="90"/>
      <c r="K241" s="90"/>
      <c r="L241" s="90"/>
      <c r="M241" s="90"/>
      <c r="N241" s="90"/>
    </row>
    <row r="242" spans="3:14" x14ac:dyDescent="0.35">
      <c r="C242" s="90"/>
      <c r="D242" s="90"/>
      <c r="E242" s="90"/>
      <c r="F242" s="90"/>
      <c r="G242" s="90"/>
      <c r="H242" s="90"/>
      <c r="I242" s="90"/>
      <c r="J242" s="90"/>
      <c r="K242" s="90"/>
      <c r="L242" s="90"/>
      <c r="M242" s="90"/>
      <c r="N242" s="90"/>
    </row>
    <row r="243" spans="3:14" x14ac:dyDescent="0.35">
      <c r="C243" s="90"/>
      <c r="D243" s="90"/>
      <c r="E243" s="90"/>
      <c r="F243" s="90"/>
      <c r="G243" s="90"/>
      <c r="H243" s="90"/>
      <c r="I243" s="90"/>
      <c r="J243" s="90"/>
      <c r="K243" s="90"/>
      <c r="L243" s="90"/>
      <c r="M243" s="90"/>
      <c r="N243" s="90"/>
    </row>
    <row r="244" spans="3:14" x14ac:dyDescent="0.35">
      <c r="C244" s="90"/>
      <c r="D244" s="90"/>
      <c r="E244" s="90"/>
      <c r="F244" s="90"/>
      <c r="G244" s="90"/>
      <c r="H244" s="90"/>
      <c r="I244" s="90"/>
      <c r="J244" s="90"/>
      <c r="K244" s="90"/>
      <c r="L244" s="90"/>
      <c r="M244" s="90"/>
      <c r="N244" s="90"/>
    </row>
    <row r="245" spans="3:14" x14ac:dyDescent="0.35">
      <c r="C245" s="90"/>
      <c r="D245" s="90"/>
      <c r="E245" s="90"/>
      <c r="F245" s="90"/>
      <c r="G245" s="90"/>
      <c r="H245" s="90"/>
      <c r="I245" s="90"/>
      <c r="J245" s="90"/>
      <c r="K245" s="90"/>
      <c r="L245" s="90"/>
      <c r="M245" s="90"/>
      <c r="N245" s="90"/>
    </row>
    <row r="246" spans="3:14" x14ac:dyDescent="0.35">
      <c r="C246" s="90"/>
      <c r="D246" s="90"/>
      <c r="E246" s="90"/>
      <c r="F246" s="90"/>
      <c r="G246" s="90"/>
      <c r="H246" s="90"/>
      <c r="I246" s="90"/>
      <c r="J246" s="90"/>
      <c r="K246" s="90"/>
      <c r="L246" s="90"/>
      <c r="M246" s="90"/>
      <c r="N246" s="90"/>
    </row>
    <row r="247" spans="3:14" x14ac:dyDescent="0.35">
      <c r="C247" s="90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</row>
    <row r="248" spans="3:14" x14ac:dyDescent="0.35">
      <c r="C248" s="90"/>
      <c r="D248" s="90"/>
      <c r="E248" s="90"/>
      <c r="F248" s="90"/>
      <c r="G248" s="90"/>
      <c r="H248" s="90"/>
      <c r="I248" s="90"/>
      <c r="J248" s="90"/>
      <c r="K248" s="90"/>
      <c r="L248" s="90"/>
      <c r="M248" s="90"/>
      <c r="N248" s="90"/>
    </row>
    <row r="249" spans="3:14" x14ac:dyDescent="0.35">
      <c r="C249" s="90"/>
      <c r="D249" s="90"/>
      <c r="E249" s="90"/>
      <c r="F249" s="90"/>
      <c r="G249" s="90"/>
      <c r="H249" s="90"/>
      <c r="I249" s="90"/>
      <c r="J249" s="90"/>
      <c r="K249" s="90"/>
      <c r="L249" s="90"/>
      <c r="M249" s="90"/>
      <c r="N249" s="90"/>
    </row>
    <row r="250" spans="3:14" x14ac:dyDescent="0.35">
      <c r="C250" s="90"/>
      <c r="D250" s="90"/>
      <c r="E250" s="90"/>
      <c r="F250" s="90"/>
      <c r="G250" s="90"/>
      <c r="H250" s="90"/>
      <c r="I250" s="90"/>
      <c r="J250" s="90"/>
      <c r="K250" s="90"/>
      <c r="L250" s="90"/>
      <c r="M250" s="90"/>
      <c r="N250" s="90"/>
    </row>
    <row r="251" spans="3:14" x14ac:dyDescent="0.35">
      <c r="C251" s="90"/>
      <c r="D251" s="90"/>
      <c r="E251" s="90"/>
      <c r="F251" s="90"/>
      <c r="G251" s="90"/>
      <c r="H251" s="90"/>
      <c r="I251" s="90"/>
      <c r="J251" s="90"/>
      <c r="K251" s="90"/>
      <c r="L251" s="90"/>
      <c r="M251" s="90"/>
      <c r="N251" s="90"/>
    </row>
    <row r="252" spans="3:14" x14ac:dyDescent="0.35">
      <c r="C252" s="90"/>
      <c r="D252" s="90"/>
      <c r="E252" s="90"/>
      <c r="F252" s="90"/>
      <c r="G252" s="90"/>
      <c r="H252" s="90"/>
      <c r="I252" s="90"/>
      <c r="J252" s="90"/>
      <c r="K252" s="90"/>
      <c r="L252" s="90"/>
      <c r="M252" s="90"/>
      <c r="N252" s="90"/>
    </row>
    <row r="253" spans="3:14" x14ac:dyDescent="0.35">
      <c r="C253" s="90"/>
      <c r="D253" s="90"/>
      <c r="E253" s="90"/>
      <c r="F253" s="90"/>
      <c r="G253" s="90"/>
      <c r="H253" s="90"/>
      <c r="I253" s="90"/>
      <c r="J253" s="90"/>
      <c r="K253" s="90"/>
      <c r="L253" s="90"/>
      <c r="M253" s="90"/>
      <c r="N253" s="90"/>
    </row>
    <row r="254" spans="3:14" x14ac:dyDescent="0.35">
      <c r="C254" s="90"/>
      <c r="D254" s="90"/>
      <c r="E254" s="90"/>
      <c r="F254" s="90"/>
      <c r="G254" s="90"/>
      <c r="H254" s="90"/>
      <c r="I254" s="90"/>
      <c r="J254" s="90"/>
      <c r="K254" s="90"/>
      <c r="L254" s="90"/>
      <c r="M254" s="90"/>
      <c r="N254" s="90"/>
    </row>
    <row r="255" spans="3:14" x14ac:dyDescent="0.35">
      <c r="C255" s="90"/>
      <c r="D255" s="90"/>
      <c r="E255" s="90"/>
      <c r="F255" s="90"/>
      <c r="G255" s="90"/>
      <c r="H255" s="90"/>
      <c r="I255" s="90"/>
      <c r="J255" s="90"/>
      <c r="K255" s="90"/>
      <c r="L255" s="90"/>
      <c r="M255" s="90"/>
      <c r="N255" s="90"/>
    </row>
    <row r="256" spans="3:14" x14ac:dyDescent="0.35">
      <c r="C256" s="90"/>
      <c r="D256" s="90"/>
      <c r="E256" s="90"/>
      <c r="F256" s="90"/>
      <c r="G256" s="90"/>
      <c r="H256" s="90"/>
      <c r="I256" s="90"/>
      <c r="J256" s="90"/>
      <c r="K256" s="90"/>
      <c r="L256" s="90"/>
      <c r="M256" s="90"/>
      <c r="N256" s="90"/>
    </row>
    <row r="257" spans="3:14" x14ac:dyDescent="0.35">
      <c r="C257" s="90"/>
      <c r="D257" s="90"/>
      <c r="E257" s="90"/>
      <c r="F257" s="90"/>
      <c r="G257" s="90"/>
      <c r="H257" s="90"/>
      <c r="I257" s="90"/>
      <c r="J257" s="90"/>
      <c r="K257" s="90"/>
      <c r="L257" s="90"/>
      <c r="M257" s="90"/>
      <c r="N257" s="90"/>
    </row>
    <row r="258" spans="3:14" x14ac:dyDescent="0.35">
      <c r="C258" s="90"/>
      <c r="D258" s="90"/>
      <c r="E258" s="90"/>
      <c r="F258" s="90"/>
      <c r="G258" s="90"/>
      <c r="H258" s="90"/>
      <c r="I258" s="90"/>
      <c r="J258" s="90"/>
      <c r="K258" s="90"/>
      <c r="L258" s="90"/>
      <c r="M258" s="90"/>
      <c r="N258" s="90"/>
    </row>
    <row r="259" spans="3:14" x14ac:dyDescent="0.35">
      <c r="C259" s="90"/>
      <c r="D259" s="90"/>
      <c r="E259" s="90"/>
      <c r="F259" s="90"/>
      <c r="G259" s="90"/>
      <c r="H259" s="90"/>
      <c r="I259" s="90"/>
      <c r="J259" s="90"/>
      <c r="K259" s="90"/>
      <c r="L259" s="90"/>
      <c r="M259" s="90"/>
      <c r="N259" s="90"/>
    </row>
    <row r="260" spans="3:14" x14ac:dyDescent="0.35">
      <c r="C260" s="90"/>
      <c r="D260" s="90"/>
      <c r="E260" s="90"/>
      <c r="F260" s="90"/>
      <c r="G260" s="90"/>
      <c r="H260" s="90"/>
      <c r="I260" s="90"/>
      <c r="J260" s="90"/>
      <c r="K260" s="90"/>
      <c r="L260" s="90"/>
      <c r="M260" s="90"/>
      <c r="N260" s="90"/>
    </row>
    <row r="261" spans="3:14" x14ac:dyDescent="0.35">
      <c r="C261" s="90"/>
      <c r="D261" s="90"/>
      <c r="E261" s="90"/>
      <c r="F261" s="90"/>
      <c r="G261" s="90"/>
      <c r="H261" s="90"/>
      <c r="I261" s="90"/>
      <c r="J261" s="90"/>
      <c r="K261" s="90"/>
      <c r="L261" s="90"/>
      <c r="M261" s="90"/>
      <c r="N261" s="90"/>
    </row>
    <row r="262" spans="3:14" x14ac:dyDescent="0.35">
      <c r="C262" s="90"/>
      <c r="D262" s="90"/>
      <c r="E262" s="90"/>
      <c r="F262" s="90"/>
      <c r="G262" s="90"/>
      <c r="H262" s="90"/>
      <c r="I262" s="90"/>
      <c r="J262" s="90"/>
      <c r="K262" s="90"/>
      <c r="L262" s="90"/>
      <c r="M262" s="90"/>
      <c r="N262" s="90"/>
    </row>
    <row r="263" spans="3:14" x14ac:dyDescent="0.35">
      <c r="C263" s="90"/>
      <c r="D263" s="90"/>
      <c r="E263" s="90"/>
      <c r="F263" s="90"/>
      <c r="G263" s="90"/>
      <c r="H263" s="90"/>
      <c r="I263" s="90"/>
      <c r="J263" s="90"/>
      <c r="K263" s="90"/>
      <c r="L263" s="90"/>
      <c r="M263" s="90"/>
      <c r="N263" s="90"/>
    </row>
    <row r="264" spans="3:14" x14ac:dyDescent="0.35">
      <c r="C264" s="90"/>
      <c r="D264" s="90"/>
      <c r="E264" s="90"/>
      <c r="F264" s="90"/>
      <c r="G264" s="90"/>
      <c r="H264" s="90"/>
      <c r="I264" s="90"/>
      <c r="J264" s="90"/>
      <c r="K264" s="90"/>
      <c r="L264" s="90"/>
      <c r="M264" s="90"/>
      <c r="N264" s="90"/>
    </row>
    <row r="265" spans="3:14" x14ac:dyDescent="0.35">
      <c r="C265" s="90"/>
      <c r="D265" s="90"/>
      <c r="E265" s="90"/>
      <c r="F265" s="90"/>
      <c r="G265" s="90"/>
      <c r="H265" s="90"/>
      <c r="I265" s="90"/>
      <c r="J265" s="90"/>
      <c r="K265" s="90"/>
      <c r="L265" s="90"/>
      <c r="M265" s="90"/>
      <c r="N265" s="90"/>
    </row>
    <row r="266" spans="3:14" x14ac:dyDescent="0.35">
      <c r="C266" s="90"/>
      <c r="D266" s="90"/>
      <c r="E266" s="90"/>
      <c r="F266" s="90"/>
      <c r="G266" s="90"/>
      <c r="H266" s="90"/>
      <c r="I266" s="90"/>
      <c r="J266" s="90"/>
      <c r="K266" s="90"/>
      <c r="L266" s="90"/>
      <c r="M266" s="90"/>
      <c r="N266" s="90"/>
    </row>
    <row r="267" spans="3:14" x14ac:dyDescent="0.35">
      <c r="C267" s="90"/>
      <c r="D267" s="90"/>
      <c r="E267" s="90"/>
      <c r="F267" s="90"/>
      <c r="G267" s="90"/>
      <c r="H267" s="90"/>
      <c r="I267" s="90"/>
      <c r="J267" s="90"/>
      <c r="K267" s="90"/>
      <c r="L267" s="90"/>
      <c r="M267" s="90"/>
      <c r="N267" s="90"/>
    </row>
    <row r="268" spans="3:14" x14ac:dyDescent="0.35">
      <c r="C268" s="90"/>
      <c r="D268" s="90"/>
      <c r="E268" s="90"/>
      <c r="F268" s="90"/>
      <c r="G268" s="90"/>
      <c r="H268" s="90"/>
      <c r="I268" s="90"/>
      <c r="J268" s="90"/>
      <c r="K268" s="90"/>
      <c r="L268" s="90"/>
      <c r="M268" s="90"/>
      <c r="N268" s="90"/>
    </row>
    <row r="269" spans="3:14" x14ac:dyDescent="0.35">
      <c r="C269" s="90"/>
      <c r="D269" s="90"/>
      <c r="E269" s="90"/>
      <c r="F269" s="90"/>
      <c r="G269" s="90"/>
      <c r="H269" s="90"/>
      <c r="I269" s="90"/>
      <c r="J269" s="90"/>
      <c r="K269" s="90"/>
      <c r="L269" s="90"/>
      <c r="M269" s="90"/>
      <c r="N269" s="90"/>
    </row>
    <row r="270" spans="3:14" x14ac:dyDescent="0.35">
      <c r="C270" s="90"/>
      <c r="D270" s="90"/>
      <c r="E270" s="90"/>
      <c r="F270" s="90"/>
      <c r="G270" s="90"/>
      <c r="H270" s="90"/>
      <c r="I270" s="90"/>
      <c r="J270" s="90"/>
      <c r="K270" s="90"/>
      <c r="L270" s="90"/>
      <c r="M270" s="90"/>
      <c r="N270" s="90"/>
    </row>
    <row r="271" spans="3:14" x14ac:dyDescent="0.35">
      <c r="C271" s="90"/>
      <c r="D271" s="90"/>
      <c r="E271" s="90"/>
      <c r="F271" s="90"/>
      <c r="G271" s="90"/>
      <c r="H271" s="90"/>
      <c r="I271" s="90"/>
      <c r="J271" s="90"/>
      <c r="K271" s="90"/>
      <c r="L271" s="90"/>
      <c r="M271" s="90"/>
      <c r="N271" s="90"/>
    </row>
    <row r="272" spans="3:14" x14ac:dyDescent="0.35">
      <c r="C272" s="90"/>
      <c r="D272" s="90"/>
      <c r="E272" s="90"/>
      <c r="F272" s="90"/>
      <c r="G272" s="90"/>
      <c r="H272" s="90"/>
      <c r="I272" s="90"/>
      <c r="J272" s="90"/>
      <c r="K272" s="90"/>
      <c r="L272" s="90"/>
      <c r="M272" s="90"/>
      <c r="N272" s="90"/>
    </row>
    <row r="273" spans="3:14" x14ac:dyDescent="0.35">
      <c r="C273" s="90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</row>
    <row r="274" spans="3:14" x14ac:dyDescent="0.35">
      <c r="C274" s="90"/>
      <c r="D274" s="90"/>
      <c r="E274" s="90"/>
      <c r="F274" s="90"/>
      <c r="G274" s="90"/>
      <c r="H274" s="90"/>
      <c r="I274" s="90"/>
      <c r="J274" s="90"/>
      <c r="K274" s="90"/>
      <c r="L274" s="90"/>
      <c r="M274" s="90"/>
      <c r="N274" s="90"/>
    </row>
    <row r="275" spans="3:14" x14ac:dyDescent="0.35">
      <c r="C275" s="90"/>
      <c r="D275" s="90"/>
      <c r="E275" s="90"/>
      <c r="F275" s="90"/>
      <c r="G275" s="90"/>
      <c r="H275" s="90"/>
      <c r="I275" s="90"/>
      <c r="J275" s="90"/>
      <c r="K275" s="90"/>
      <c r="L275" s="90"/>
      <c r="M275" s="90"/>
      <c r="N275" s="90"/>
    </row>
  </sheetData>
  <phoneticPr fontId="17" type="noConversion"/>
  <conditionalFormatting sqref="O1:O1048576">
    <cfRule type="cellIs" dxfId="8" priority="5" operator="equal">
      <formula>3</formula>
    </cfRule>
    <cfRule type="cellIs" dxfId="7" priority="6" operator="equal">
      <formula>2</formula>
    </cfRule>
    <cfRule type="cellIs" dxfId="6" priority="7" operator="equal">
      <formula>4</formula>
    </cfRule>
    <cfRule type="cellIs" dxfId="5" priority="8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Sorting">
                <anchor moveWithCells="1" sizeWithCells="1">
                  <from>
                    <xdr:col>16</xdr:col>
                    <xdr:colOff>190500</xdr:colOff>
                    <xdr:row>0</xdr:row>
                    <xdr:rowOff>66675</xdr:rowOff>
                  </from>
                  <to>
                    <xdr:col>17</xdr:col>
                    <xdr:colOff>885825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TERRA</vt:lpstr>
      <vt:lpstr>Из Autotech </vt:lpstr>
      <vt:lpstr>MILKE</vt:lpstr>
      <vt:lpstr>CTC</vt:lpstr>
      <vt:lpstr>CTC2</vt:lpstr>
      <vt:lpstr>Сравние CTC</vt:lpstr>
      <vt:lpstr>Банк Других</vt:lpstr>
      <vt:lpstr>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IlIa</cp:lastModifiedBy>
  <dcterms:created xsi:type="dcterms:W3CDTF">2020-09-24T08:00:28Z</dcterms:created>
  <dcterms:modified xsi:type="dcterms:W3CDTF">2021-04-09T11:46:56Z</dcterms:modified>
</cp:coreProperties>
</file>