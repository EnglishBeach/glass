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"/>
    </mc:Choice>
  </mc:AlternateContent>
  <xr:revisionPtr revIDLastSave="0" documentId="13_ncr:1_{5200E293-5EC6-44D5-8102-6918C7A8A81B}" xr6:coauthVersionLast="46" xr6:coauthVersionMax="46" xr10:uidLastSave="{00000000-0000-0000-0000-000000000000}"/>
  <bookViews>
    <workbookView xWindow="-120" yWindow="-120" windowWidth="29040" windowHeight="15990" tabRatio="827" activeTab="2" xr2:uid="{00000000-000D-0000-FFFF-FFFF00000000}"/>
  </bookViews>
  <sheets>
    <sheet name="Из TERRA" sheetId="1" r:id="rId1"/>
    <sheet name="Из Milke(Сломано)" sheetId="3" r:id="rId2"/>
    <sheet name="Из Autotech " sheetId="21" r:id="rId3"/>
    <sheet name="CTC" sheetId="23" r:id="rId4"/>
    <sheet name="Сравние CTC" sheetId="24" r:id="rId5"/>
    <sheet name="CTC2" sheetId="12" r:id="rId6"/>
    <sheet name="Сравнение" sheetId="22" r:id="rId7"/>
    <sheet name="Банк Других" sheetId="4" r:id="rId8"/>
  </sheets>
  <definedNames>
    <definedName name="_xlnm._FilterDatabase" localSheetId="3" hidden="1">CTC!$C$1:$P$60</definedName>
    <definedName name="_xlnm._FilterDatabase" localSheetId="5" hidden="1">'CTC2'!$C$1:$P$64</definedName>
    <definedName name="_xlnm._FilterDatabase" localSheetId="7" hidden="1">'Банк Других'!$A$1:$C$26</definedName>
    <definedName name="_xlnm._FilterDatabase" localSheetId="2" hidden="1">'Из Autotech '!$A$32:$AB$53</definedName>
    <definedName name="_xlnm._FilterDatabase" localSheetId="1" hidden="1">'Из Milke(Сломано)'!$A$27:$AC$27</definedName>
    <definedName name="_xlnm._FilterDatabase" localSheetId="0" hidden="1">'Из TERRA'!$A$29:$C$29</definedName>
    <definedName name="solver_adj" localSheetId="6" hidden="1">Сравнение!$F$7:$K$7</definedName>
    <definedName name="solver_cvg" localSheetId="6" hidden="1">0.0001</definedName>
    <definedName name="solver_drv" localSheetId="6" hidden="1">2</definedName>
    <definedName name="solver_eng" localSheetId="6" hidden="1">1</definedName>
    <definedName name="solver_est" localSheetId="6" hidden="1">1</definedName>
    <definedName name="solver_itr" localSheetId="6" hidden="1">2147483647</definedName>
    <definedName name="solver_mip" localSheetId="6" hidden="1">2147483647</definedName>
    <definedName name="solver_mni" localSheetId="6" hidden="1">30</definedName>
    <definedName name="solver_mrt" localSheetId="6" hidden="1">0.075</definedName>
    <definedName name="solver_msl" localSheetId="6" hidden="1">1</definedName>
    <definedName name="solver_neg" localSheetId="6" hidden="1">2</definedName>
    <definedName name="solver_nod" localSheetId="6" hidden="1">2147483647</definedName>
    <definedName name="solver_num" localSheetId="6" hidden="1">0</definedName>
    <definedName name="solver_nwt" localSheetId="6" hidden="1">1</definedName>
    <definedName name="solver_opt" localSheetId="6" hidden="1">Сравнение!$C$7</definedName>
    <definedName name="solver_pre" localSheetId="6" hidden="1">0.000001</definedName>
    <definedName name="solver_rbv" localSheetId="6" hidden="1">2</definedName>
    <definedName name="solver_rlx" localSheetId="6" hidden="1">2</definedName>
    <definedName name="solver_rsd" localSheetId="6" hidden="1">1</definedName>
    <definedName name="solver_scl" localSheetId="6" hidden="1">1</definedName>
    <definedName name="solver_sho" localSheetId="6" hidden="1">2</definedName>
    <definedName name="solver_ssz" localSheetId="6" hidden="1">100</definedName>
    <definedName name="solver_tim" localSheetId="6" hidden="1">2147483647</definedName>
    <definedName name="solver_tol" localSheetId="6" hidden="1">0.01</definedName>
    <definedName name="solver_typ" localSheetId="6" hidden="1">2</definedName>
    <definedName name="solver_val" localSheetId="6" hidden="1">0</definedName>
    <definedName name="solver_ver" localSheetId="6" hidden="1">3</definedName>
    <definedName name="Z_5CD7248E_C04A_445B_8512_C9303DEF235B_.wvu.Cols" localSheetId="7" hidden="1">'Банк Других'!$D:$J</definedName>
    <definedName name="Z_5CD7248E_C04A_445B_8512_C9303DEF235B_.wvu.Cols" localSheetId="1" hidden="1">'Из Milke(Сломано)'!$N:$N</definedName>
    <definedName name="Z_5CD7248E_C04A_445B_8512_C9303DEF235B_.wvu.Cols" localSheetId="0" hidden="1">'Из TERRA'!$L:$R</definedName>
    <definedName name="Z_5CD7248E_C04A_445B_8512_C9303DEF235B_.wvu.FilterData" localSheetId="7" hidden="1">'Банк Других'!$A$1:$C$23</definedName>
    <definedName name="Z_5CD7248E_C04A_445B_8512_C9303DEF235B_.wvu.Rows" localSheetId="7" hidden="1">'Банк Других'!#REF!</definedName>
  </definedNames>
  <calcPr calcId="181029"/>
  <customWorkbookViews>
    <customWorkbookView name="IlIa - Личное представление" guid="{5CD7248E-C04A-445B-8512-C9303DEF235B}" mergeInterval="0" personalView="1" maximized="1" xWindow="-8" yWindow="-8" windowWidth="1936" windowHeight="1066" activeSheetId="3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50" i="22" l="1"/>
  <c r="AR51" i="22"/>
  <c r="AR52" i="22"/>
  <c r="AR53" i="22"/>
  <c r="AR54" i="22"/>
  <c r="AR55" i="22"/>
  <c r="AR56" i="22"/>
  <c r="AR57" i="22"/>
  <c r="AR58" i="22"/>
  <c r="AR59" i="22"/>
  <c r="AR60" i="22"/>
  <c r="AR61" i="22"/>
  <c r="AR62" i="22"/>
  <c r="AR63" i="22"/>
  <c r="AR64" i="22"/>
  <c r="AR65" i="22"/>
  <c r="AR66" i="22"/>
  <c r="AR67" i="22"/>
  <c r="AR68" i="22"/>
  <c r="AR69" i="22"/>
  <c r="AR70" i="22"/>
  <c r="AR71" i="22"/>
  <c r="AR72" i="22"/>
  <c r="AR73" i="22"/>
  <c r="AR74" i="22"/>
  <c r="AR75" i="22"/>
  <c r="AR76" i="22"/>
  <c r="AR77" i="22"/>
  <c r="AR78" i="22"/>
  <c r="AR79" i="22"/>
  <c r="AR80" i="22"/>
  <c r="AR81" i="22"/>
  <c r="AR82" i="22"/>
  <c r="AR83" i="22"/>
  <c r="AR84" i="22"/>
  <c r="AR85" i="22"/>
  <c r="AR86" i="22"/>
  <c r="AR87" i="22"/>
  <c r="AR88" i="22"/>
  <c r="AR89" i="22"/>
  <c r="AR90" i="22"/>
  <c r="AR91" i="22"/>
  <c r="AR92" i="22"/>
  <c r="AR93" i="22"/>
  <c r="AR94" i="22"/>
  <c r="AR95" i="22"/>
  <c r="AR96" i="22"/>
  <c r="AR97" i="22"/>
  <c r="AR98" i="22"/>
  <c r="AR99" i="22"/>
  <c r="AR100" i="22"/>
  <c r="AR101" i="22"/>
  <c r="AR102" i="22"/>
  <c r="AR103" i="22"/>
  <c r="AR104" i="22"/>
  <c r="AR105" i="22"/>
  <c r="AR106" i="22"/>
  <c r="AR107" i="22"/>
  <c r="AR108" i="22"/>
  <c r="AR109" i="22"/>
  <c r="AR110" i="22"/>
  <c r="AR111" i="22"/>
  <c r="AR112" i="22"/>
  <c r="AR113" i="22"/>
  <c r="AR114" i="22"/>
  <c r="AR115" i="22"/>
  <c r="AR116" i="22"/>
  <c r="AR117" i="22"/>
  <c r="AR118" i="22"/>
  <c r="AR119" i="22"/>
  <c r="AR120" i="22"/>
  <c r="AR121" i="22"/>
  <c r="AR122" i="22"/>
  <c r="AR123" i="22"/>
  <c r="AR49" i="22"/>
  <c r="AP50" i="22"/>
  <c r="AP51" i="22"/>
  <c r="AP52" i="22"/>
  <c r="AP53" i="22"/>
  <c r="AP54" i="22"/>
  <c r="AP55" i="22"/>
  <c r="AP56" i="22"/>
  <c r="AP57" i="22"/>
  <c r="AP58" i="22"/>
  <c r="AP59" i="22"/>
  <c r="AP60" i="22"/>
  <c r="AP61" i="22"/>
  <c r="AP62" i="22"/>
  <c r="AP63" i="22"/>
  <c r="AP64" i="22"/>
  <c r="AP65" i="22"/>
  <c r="AP66" i="22"/>
  <c r="AP67" i="22"/>
  <c r="AP68" i="22"/>
  <c r="AP69" i="22"/>
  <c r="AP70" i="22"/>
  <c r="AP71" i="22"/>
  <c r="AP72" i="22"/>
  <c r="AP73" i="22"/>
  <c r="AP74" i="22"/>
  <c r="AP75" i="22"/>
  <c r="AP76" i="22"/>
  <c r="AP77" i="22"/>
  <c r="AP78" i="22"/>
  <c r="AP79" i="22"/>
  <c r="AP80" i="22"/>
  <c r="AP81" i="22"/>
  <c r="AP82" i="22"/>
  <c r="AP83" i="22"/>
  <c r="AP84" i="22"/>
  <c r="AP85" i="22"/>
  <c r="AP86" i="22"/>
  <c r="AP87" i="22"/>
  <c r="AP88" i="22"/>
  <c r="AP89" i="22"/>
  <c r="AP90" i="22"/>
  <c r="AP91" i="22"/>
  <c r="AP92" i="22"/>
  <c r="AP93" i="22"/>
  <c r="AP94" i="22"/>
  <c r="AP95" i="22"/>
  <c r="AP96" i="22"/>
  <c r="AP97" i="22"/>
  <c r="AP98" i="22"/>
  <c r="AP99" i="22"/>
  <c r="AP100" i="22"/>
  <c r="AP101" i="22"/>
  <c r="AP102" i="22"/>
  <c r="AP103" i="22"/>
  <c r="AP104" i="22"/>
  <c r="AP105" i="22"/>
  <c r="AP106" i="22"/>
  <c r="AP107" i="22"/>
  <c r="AP108" i="22"/>
  <c r="AP109" i="22"/>
  <c r="AP110" i="22"/>
  <c r="AP111" i="22"/>
  <c r="AP112" i="22"/>
  <c r="AP113" i="22"/>
  <c r="AP114" i="22"/>
  <c r="AP115" i="22"/>
  <c r="AP116" i="22"/>
  <c r="AP117" i="22"/>
  <c r="AP118" i="22"/>
  <c r="AP119" i="22"/>
  <c r="AP120" i="22"/>
  <c r="AP121" i="22"/>
  <c r="AP122" i="22"/>
  <c r="AP123" i="22"/>
  <c r="AP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49" i="22"/>
  <c r="H50" i="22"/>
  <c r="H51" i="22"/>
  <c r="H52" i="22"/>
  <c r="H53" i="22"/>
  <c r="H54" i="22"/>
  <c r="H55" i="22"/>
  <c r="H56" i="22"/>
  <c r="H57" i="22"/>
  <c r="H58" i="22"/>
  <c r="H59" i="22"/>
  <c r="H60" i="22"/>
  <c r="H61" i="22"/>
  <c r="H62" i="22"/>
  <c r="H63" i="22"/>
  <c r="H64" i="22"/>
  <c r="H65" i="22"/>
  <c r="H66" i="22"/>
  <c r="H67" i="22"/>
  <c r="H68" i="22"/>
  <c r="H69" i="22"/>
  <c r="H70" i="22"/>
  <c r="H71" i="22"/>
  <c r="H72" i="22"/>
  <c r="H73" i="22"/>
  <c r="H74" i="22"/>
  <c r="H75" i="22"/>
  <c r="H76" i="22"/>
  <c r="H77" i="22"/>
  <c r="H78" i="22"/>
  <c r="H79" i="22"/>
  <c r="H80" i="22"/>
  <c r="H81" i="22"/>
  <c r="H82" i="22"/>
  <c r="H83" i="22"/>
  <c r="H84" i="22"/>
  <c r="H85" i="22"/>
  <c r="H86" i="22"/>
  <c r="H87" i="22"/>
  <c r="H88" i="22"/>
  <c r="H89" i="22"/>
  <c r="H90" i="22"/>
  <c r="H91" i="22"/>
  <c r="H92" i="22"/>
  <c r="H93" i="22"/>
  <c r="H94" i="22"/>
  <c r="H95" i="22"/>
  <c r="H96" i="22"/>
  <c r="H97" i="22"/>
  <c r="H98" i="22"/>
  <c r="H99" i="22"/>
  <c r="H100" i="22"/>
  <c r="H101" i="22"/>
  <c r="H102" i="22"/>
  <c r="H103" i="22"/>
  <c r="H104" i="22"/>
  <c r="H105" i="22"/>
  <c r="H106" i="22"/>
  <c r="H107" i="22"/>
  <c r="H108" i="22"/>
  <c r="H109" i="22"/>
  <c r="H110" i="22"/>
  <c r="H111" i="22"/>
  <c r="H112" i="22"/>
  <c r="H113" i="22"/>
  <c r="H114" i="22"/>
  <c r="H115" i="22"/>
  <c r="H116" i="22"/>
  <c r="H117" i="22"/>
  <c r="H118" i="22"/>
  <c r="H119" i="22"/>
  <c r="H120" i="22"/>
  <c r="H121" i="22"/>
  <c r="H122" i="22"/>
  <c r="H123" i="22"/>
  <c r="H49" i="22"/>
  <c r="F50" i="22"/>
  <c r="F51" i="22"/>
  <c r="F52" i="22"/>
  <c r="F53" i="22"/>
  <c r="F54" i="22"/>
  <c r="F55" i="22"/>
  <c r="F56" i="22"/>
  <c r="F57" i="22"/>
  <c r="F58" i="22"/>
  <c r="F59" i="22"/>
  <c r="F60" i="22"/>
  <c r="F61" i="22"/>
  <c r="F62" i="22"/>
  <c r="F63" i="22"/>
  <c r="F64" i="22"/>
  <c r="F65" i="22"/>
  <c r="F66" i="22"/>
  <c r="F67" i="22"/>
  <c r="F68" i="22"/>
  <c r="F69" i="22"/>
  <c r="F70" i="22"/>
  <c r="F71" i="22"/>
  <c r="F72" i="22"/>
  <c r="F73" i="22"/>
  <c r="F74" i="22"/>
  <c r="F75" i="22"/>
  <c r="F76" i="22"/>
  <c r="F77" i="22"/>
  <c r="F78" i="22"/>
  <c r="F79" i="22"/>
  <c r="F80" i="22"/>
  <c r="F81" i="22"/>
  <c r="F82" i="22"/>
  <c r="F83" i="22"/>
  <c r="F84" i="22"/>
  <c r="F85" i="22"/>
  <c r="F86" i="22"/>
  <c r="F87" i="22"/>
  <c r="F88" i="22"/>
  <c r="F89" i="22"/>
  <c r="F90" i="22"/>
  <c r="F91" i="22"/>
  <c r="F92" i="22"/>
  <c r="F93" i="22"/>
  <c r="F94" i="22"/>
  <c r="F95" i="22"/>
  <c r="F96" i="22"/>
  <c r="F97" i="22"/>
  <c r="F98" i="22"/>
  <c r="F99" i="22"/>
  <c r="F100" i="22"/>
  <c r="F101" i="22"/>
  <c r="F102" i="22"/>
  <c r="F103" i="22"/>
  <c r="F104" i="22"/>
  <c r="F105" i="22"/>
  <c r="F106" i="22"/>
  <c r="F107" i="22"/>
  <c r="F108" i="22"/>
  <c r="F109" i="22"/>
  <c r="F110" i="22"/>
  <c r="F111" i="22"/>
  <c r="F112" i="22"/>
  <c r="F113" i="22"/>
  <c r="F114" i="22"/>
  <c r="F115" i="22"/>
  <c r="F116" i="22"/>
  <c r="F117" i="22"/>
  <c r="F118" i="22"/>
  <c r="F119" i="22"/>
  <c r="F120" i="22"/>
  <c r="F121" i="22"/>
  <c r="F122" i="22"/>
  <c r="F123" i="22"/>
  <c r="F49" i="22"/>
  <c r="D49" i="22"/>
  <c r="Z58" i="21"/>
  <c r="Y58" i="21"/>
  <c r="X58" i="21"/>
  <c r="V58" i="21"/>
  <c r="U58" i="21"/>
  <c r="S58" i="21"/>
  <c r="N58" i="21"/>
  <c r="M58" i="21"/>
  <c r="Z57" i="21"/>
  <c r="Y57" i="21"/>
  <c r="X57" i="21"/>
  <c r="V57" i="21"/>
  <c r="U57" i="21"/>
  <c r="S57" i="21"/>
  <c r="N57" i="21"/>
  <c r="M57" i="21"/>
  <c r="Z56" i="21"/>
  <c r="Y56" i="21"/>
  <c r="X56" i="21"/>
  <c r="V56" i="21"/>
  <c r="U56" i="21"/>
  <c r="S56" i="21"/>
  <c r="N56" i="21"/>
  <c r="M56" i="21"/>
  <c r="Z55" i="21"/>
  <c r="Y55" i="21"/>
  <c r="X55" i="21"/>
  <c r="V55" i="21"/>
  <c r="U55" i="21"/>
  <c r="S55" i="21"/>
  <c r="N55" i="21"/>
  <c r="M55" i="21"/>
  <c r="Z54" i="21"/>
  <c r="Y54" i="21"/>
  <c r="X54" i="21"/>
  <c r="V54" i="21"/>
  <c r="U54" i="21"/>
  <c r="T54" i="21"/>
  <c r="R54" i="21" s="1"/>
  <c r="Q55" i="21" s="1"/>
  <c r="T55" i="21" s="1"/>
  <c r="R55" i="21" s="1"/>
  <c r="Q56" i="21" s="1"/>
  <c r="T56" i="21" s="1"/>
  <c r="R56" i="21" s="1"/>
  <c r="Q57" i="21" s="1"/>
  <c r="T57" i="21" s="1"/>
  <c r="R57" i="21" s="1"/>
  <c r="Q58" i="21" s="1"/>
  <c r="T58" i="21" s="1"/>
  <c r="R58" i="21" s="1"/>
  <c r="S54" i="21"/>
  <c r="Q54" i="21"/>
  <c r="O54" i="21"/>
  <c r="N54" i="21"/>
  <c r="M54" i="21"/>
  <c r="M7" i="21"/>
  <c r="N7" i="21"/>
  <c r="O7" i="21"/>
  <c r="Q7" i="21"/>
  <c r="S7" i="21"/>
  <c r="U7" i="21"/>
  <c r="V7" i="21"/>
  <c r="X7" i="21"/>
  <c r="Y7" i="21"/>
  <c r="T7" i="21" s="1"/>
  <c r="R7" i="21" s="1"/>
  <c r="Z7" i="21"/>
  <c r="Z53" i="21"/>
  <c r="Y53" i="21"/>
  <c r="X53" i="21"/>
  <c r="V53" i="21"/>
  <c r="U53" i="21"/>
  <c r="S53" i="21"/>
  <c r="N53" i="21"/>
  <c r="M53" i="21"/>
  <c r="Z52" i="21"/>
  <c r="Y52" i="21"/>
  <c r="X52" i="21"/>
  <c r="V52" i="21"/>
  <c r="U52" i="21"/>
  <c r="S52" i="21"/>
  <c r="Q52" i="21"/>
  <c r="O52" i="21"/>
  <c r="N52" i="21"/>
  <c r="M52" i="21"/>
  <c r="S3" i="21"/>
  <c r="M3" i="24"/>
  <c r="M4" i="24"/>
  <c r="M5" i="24"/>
  <c r="AE3" i="24"/>
  <c r="AF3" i="24"/>
  <c r="AG3" i="24"/>
  <c r="AH3" i="24"/>
  <c r="AI3" i="24"/>
  <c r="AJ3" i="24"/>
  <c r="AK3" i="24"/>
  <c r="AL3" i="24"/>
  <c r="AM3" i="24"/>
  <c r="AN3" i="24"/>
  <c r="AO3" i="24"/>
  <c r="AE4" i="24"/>
  <c r="AF4" i="24"/>
  <c r="AG4" i="24"/>
  <c r="AH4" i="24"/>
  <c r="AI4" i="24"/>
  <c r="AJ4" i="24"/>
  <c r="AK4" i="24"/>
  <c r="AL4" i="24"/>
  <c r="AM4" i="24"/>
  <c r="AN4" i="24"/>
  <c r="AO4" i="24"/>
  <c r="AE5" i="24"/>
  <c r="AF5" i="24"/>
  <c r="AG5" i="24"/>
  <c r="AH5" i="24"/>
  <c r="AI5" i="24"/>
  <c r="AJ5" i="24"/>
  <c r="AK5" i="24"/>
  <c r="AL5" i="24"/>
  <c r="AM5" i="24"/>
  <c r="AN5" i="24"/>
  <c r="AO5" i="24"/>
  <c r="M6" i="24"/>
  <c r="M7" i="24"/>
  <c r="AE6" i="24"/>
  <c r="AE8" i="24"/>
  <c r="AF6" i="24"/>
  <c r="AG6" i="24"/>
  <c r="AH6" i="24"/>
  <c r="AI6" i="24"/>
  <c r="AJ6" i="24"/>
  <c r="AK6" i="24"/>
  <c r="AL6" i="24"/>
  <c r="AM6" i="24"/>
  <c r="AN6" i="24"/>
  <c r="AO6" i="24"/>
  <c r="AF8" i="24"/>
  <c r="AG8" i="24"/>
  <c r="AH8" i="24"/>
  <c r="AI8" i="24"/>
  <c r="AJ8" i="24"/>
  <c r="AK8" i="24"/>
  <c r="AL8" i="24"/>
  <c r="AM8" i="24"/>
  <c r="AN8" i="24"/>
  <c r="AO8" i="24"/>
  <c r="AM10" i="24"/>
  <c r="AE10" i="24"/>
  <c r="AF10" i="24"/>
  <c r="AG10" i="24"/>
  <c r="AH10" i="24"/>
  <c r="AI10" i="24"/>
  <c r="AJ10" i="24"/>
  <c r="AK10" i="24"/>
  <c r="AL10" i="24"/>
  <c r="AN10" i="24"/>
  <c r="AO10" i="24"/>
  <c r="M8" i="24"/>
  <c r="M41" i="24"/>
  <c r="M42" i="24"/>
  <c r="M43" i="24"/>
  <c r="M44" i="24"/>
  <c r="M45" i="24"/>
  <c r="M46" i="24"/>
  <c r="M47" i="24"/>
  <c r="M48" i="24"/>
  <c r="M49" i="24"/>
  <c r="M50" i="24"/>
  <c r="M51" i="24"/>
  <c r="M52" i="24"/>
  <c r="M53" i="24"/>
  <c r="M54" i="24"/>
  <c r="M55" i="24"/>
  <c r="M56" i="24"/>
  <c r="M57" i="24"/>
  <c r="M58" i="24"/>
  <c r="M59" i="24"/>
  <c r="M60" i="24"/>
  <c r="M61" i="24"/>
  <c r="M40" i="24"/>
  <c r="M9" i="24"/>
  <c r="M10" i="24"/>
  <c r="M11" i="24"/>
  <c r="M12" i="24"/>
  <c r="M13" i="24"/>
  <c r="M14" i="24"/>
  <c r="M15" i="24"/>
  <c r="M16" i="24"/>
  <c r="M17" i="24"/>
  <c r="M18" i="24"/>
  <c r="M19" i="24"/>
  <c r="M20" i="24"/>
  <c r="M21" i="24"/>
  <c r="M22" i="24"/>
  <c r="M23" i="24"/>
  <c r="M24" i="24"/>
  <c r="M25" i="24"/>
  <c r="M26" i="24"/>
  <c r="M27" i="24"/>
  <c r="M28" i="24"/>
  <c r="M29" i="24"/>
  <c r="M30" i="24"/>
  <c r="M31" i="24"/>
  <c r="M32" i="24"/>
  <c r="M33" i="24"/>
  <c r="M34" i="24"/>
  <c r="M35" i="24"/>
  <c r="M36" i="24"/>
  <c r="M37" i="24"/>
  <c r="M38" i="24"/>
  <c r="M39" i="24"/>
  <c r="AC4" i="24"/>
  <c r="AC5" i="24"/>
  <c r="AC6" i="24"/>
  <c r="AC7" i="24"/>
  <c r="AC8" i="24"/>
  <c r="AC9" i="24"/>
  <c r="AC10" i="24"/>
  <c r="AC11" i="24"/>
  <c r="AC12" i="24"/>
  <c r="AC13" i="24"/>
  <c r="AC14" i="24"/>
  <c r="AC15" i="24"/>
  <c r="AC16" i="24"/>
  <c r="AC17" i="24"/>
  <c r="AC18" i="24"/>
  <c r="AC19" i="24"/>
  <c r="AC20" i="24"/>
  <c r="AE12" i="24"/>
  <c r="AE13" i="24"/>
  <c r="AE14" i="24"/>
  <c r="AE15" i="24"/>
  <c r="AE16" i="24"/>
  <c r="AE17" i="24"/>
  <c r="AE18" i="24"/>
  <c r="AE19" i="24"/>
  <c r="AE20" i="24"/>
  <c r="AE21" i="24"/>
  <c r="AE22" i="24"/>
  <c r="AE23" i="24"/>
  <c r="AE24" i="24"/>
  <c r="AE25" i="24"/>
  <c r="AE26" i="24"/>
  <c r="AE27" i="24"/>
  <c r="AE28" i="24"/>
  <c r="AE29" i="24"/>
  <c r="AE30" i="24"/>
  <c r="AE31" i="24"/>
  <c r="AE32" i="24"/>
  <c r="AE33" i="24"/>
  <c r="AE34" i="24"/>
  <c r="AE35" i="24"/>
  <c r="AE36" i="24"/>
  <c r="AE37" i="24"/>
  <c r="AE38" i="24"/>
  <c r="AE39" i="24"/>
  <c r="AE40" i="24"/>
  <c r="AE41" i="24"/>
  <c r="AE42" i="24"/>
  <c r="AE44" i="24"/>
  <c r="AE45" i="24"/>
  <c r="AE46" i="24"/>
  <c r="AE47" i="24"/>
  <c r="AE48" i="24"/>
  <c r="AE49" i="24"/>
  <c r="AE50" i="24"/>
  <c r="AE51" i="24"/>
  <c r="AE52" i="24"/>
  <c r="AE53" i="24"/>
  <c r="AE54" i="24"/>
  <c r="AE55" i="24"/>
  <c r="AE56" i="24"/>
  <c r="AE57" i="24"/>
  <c r="AE58" i="24"/>
  <c r="AE59" i="24"/>
  <c r="AE60" i="24"/>
  <c r="AE61" i="24"/>
  <c r="AE62" i="24"/>
  <c r="AE63" i="24"/>
  <c r="AE64" i="24"/>
  <c r="AE65" i="24"/>
  <c r="AF12" i="24"/>
  <c r="AG12" i="24"/>
  <c r="AH12" i="24"/>
  <c r="AI12" i="24"/>
  <c r="AJ12" i="24"/>
  <c r="AK12" i="24"/>
  <c r="AL12" i="24"/>
  <c r="AM12" i="24"/>
  <c r="AN12" i="24"/>
  <c r="AO12" i="24"/>
  <c r="AF13" i="24"/>
  <c r="AG13" i="24"/>
  <c r="AH13" i="24"/>
  <c r="AI13" i="24"/>
  <c r="AJ13" i="24"/>
  <c r="AK13" i="24"/>
  <c r="AL13" i="24"/>
  <c r="AM13" i="24"/>
  <c r="AN13" i="24"/>
  <c r="AO13" i="24"/>
  <c r="AF14" i="24"/>
  <c r="AG14" i="24"/>
  <c r="AH14" i="24"/>
  <c r="AI14" i="24"/>
  <c r="AJ14" i="24"/>
  <c r="AK14" i="24"/>
  <c r="AL14" i="24"/>
  <c r="AM14" i="24"/>
  <c r="AN14" i="24"/>
  <c r="AO14" i="24"/>
  <c r="AF15" i="24"/>
  <c r="AG15" i="24"/>
  <c r="AH15" i="24"/>
  <c r="AI15" i="24"/>
  <c r="AJ15" i="24"/>
  <c r="AK15" i="24"/>
  <c r="AL15" i="24"/>
  <c r="AM15" i="24"/>
  <c r="AN15" i="24"/>
  <c r="AO15" i="24"/>
  <c r="AF16" i="24"/>
  <c r="AG16" i="24"/>
  <c r="AH16" i="24"/>
  <c r="AI16" i="24"/>
  <c r="AJ16" i="24"/>
  <c r="AK16" i="24"/>
  <c r="AL16" i="24"/>
  <c r="AM16" i="24"/>
  <c r="AN16" i="24"/>
  <c r="AO16" i="24"/>
  <c r="AF17" i="24"/>
  <c r="AG17" i="24"/>
  <c r="AH17" i="24"/>
  <c r="AI17" i="24"/>
  <c r="AJ17" i="24"/>
  <c r="AK17" i="24"/>
  <c r="AL17" i="24"/>
  <c r="AM17" i="24"/>
  <c r="AN17" i="24"/>
  <c r="AO17" i="24"/>
  <c r="AF18" i="24"/>
  <c r="AG18" i="24"/>
  <c r="AH18" i="24"/>
  <c r="AI18" i="24"/>
  <c r="AJ18" i="24"/>
  <c r="AK18" i="24"/>
  <c r="AL18" i="24"/>
  <c r="AM18" i="24"/>
  <c r="AN18" i="24"/>
  <c r="AO18" i="24"/>
  <c r="AF19" i="24"/>
  <c r="AG19" i="24"/>
  <c r="AH19" i="24"/>
  <c r="AI19" i="24"/>
  <c r="AJ19" i="24"/>
  <c r="AK19" i="24"/>
  <c r="AL19" i="24"/>
  <c r="AM19" i="24"/>
  <c r="AN19" i="24"/>
  <c r="AO19" i="24"/>
  <c r="AF20" i="24"/>
  <c r="AG20" i="24"/>
  <c r="AH20" i="24"/>
  <c r="AI20" i="24"/>
  <c r="AJ20" i="24"/>
  <c r="AK20" i="24"/>
  <c r="AL20" i="24"/>
  <c r="AM20" i="24"/>
  <c r="AN20" i="24"/>
  <c r="AO20" i="24"/>
  <c r="AF21" i="24"/>
  <c r="AG21" i="24"/>
  <c r="AH21" i="24"/>
  <c r="AI21" i="24"/>
  <c r="AJ21" i="24"/>
  <c r="AK21" i="24"/>
  <c r="AL21" i="24"/>
  <c r="AM21" i="24"/>
  <c r="AN21" i="24"/>
  <c r="AO21" i="24"/>
  <c r="AC21" i="24"/>
  <c r="AC22" i="24"/>
  <c r="AC23" i="24"/>
  <c r="AC24" i="24"/>
  <c r="AC25" i="24"/>
  <c r="AC26" i="24"/>
  <c r="AC27" i="24"/>
  <c r="AC28" i="24"/>
  <c r="AC29" i="24"/>
  <c r="AC30" i="24"/>
  <c r="AC31" i="24"/>
  <c r="AC32" i="24"/>
  <c r="AC33" i="24"/>
  <c r="AC34" i="24"/>
  <c r="AC35" i="24"/>
  <c r="AC36" i="24"/>
  <c r="AC37" i="24"/>
  <c r="AC38" i="24"/>
  <c r="AC39" i="24"/>
  <c r="AC40" i="24"/>
  <c r="AC41" i="24"/>
  <c r="AC42" i="24"/>
  <c r="AC44" i="24"/>
  <c r="AC45" i="24"/>
  <c r="AC46" i="24"/>
  <c r="AC47" i="24"/>
  <c r="AC48" i="24"/>
  <c r="AC49" i="24"/>
  <c r="AC50" i="24"/>
  <c r="AC51" i="24"/>
  <c r="AC52" i="24"/>
  <c r="AC53" i="24"/>
  <c r="AC54" i="24"/>
  <c r="AC55" i="24"/>
  <c r="AC56" i="24"/>
  <c r="AC57" i="24"/>
  <c r="AC58" i="24"/>
  <c r="AC59" i="24"/>
  <c r="AC60" i="24"/>
  <c r="AC61" i="24"/>
  <c r="AC62" i="24"/>
  <c r="AC63" i="24"/>
  <c r="AC64" i="24"/>
  <c r="AC65" i="24"/>
  <c r="AF22" i="24"/>
  <c r="AG22" i="24"/>
  <c r="AH22" i="24"/>
  <c r="AI22" i="24"/>
  <c r="AJ22" i="24"/>
  <c r="AK22" i="24"/>
  <c r="AL22" i="24"/>
  <c r="AM22" i="24"/>
  <c r="AN22" i="24"/>
  <c r="AO22" i="24"/>
  <c r="AF23" i="24"/>
  <c r="AG23" i="24"/>
  <c r="AH23" i="24"/>
  <c r="AI23" i="24"/>
  <c r="AJ23" i="24"/>
  <c r="AK23" i="24"/>
  <c r="AL23" i="24"/>
  <c r="AM23" i="24"/>
  <c r="AN23" i="24"/>
  <c r="AO23" i="24"/>
  <c r="AF24" i="24"/>
  <c r="AG24" i="24"/>
  <c r="AH24" i="24"/>
  <c r="AI24" i="24"/>
  <c r="AJ24" i="24"/>
  <c r="AK24" i="24"/>
  <c r="AL24" i="24"/>
  <c r="AM24" i="24"/>
  <c r="AN24" i="24"/>
  <c r="AO24" i="24"/>
  <c r="AF25" i="24"/>
  <c r="AG25" i="24"/>
  <c r="AH25" i="24"/>
  <c r="AI25" i="24"/>
  <c r="AJ25" i="24"/>
  <c r="AK25" i="24"/>
  <c r="AL25" i="24"/>
  <c r="AM25" i="24"/>
  <c r="AN25" i="24"/>
  <c r="AO25" i="24"/>
  <c r="AF26" i="24"/>
  <c r="AG26" i="24"/>
  <c r="AH26" i="24"/>
  <c r="AI26" i="24"/>
  <c r="AJ26" i="24"/>
  <c r="AK26" i="24"/>
  <c r="AL26" i="24"/>
  <c r="AM26" i="24"/>
  <c r="AN26" i="24"/>
  <c r="AO26" i="24"/>
  <c r="AF27" i="24"/>
  <c r="AG27" i="24"/>
  <c r="AH27" i="24"/>
  <c r="AI27" i="24"/>
  <c r="AJ27" i="24"/>
  <c r="AK27" i="24"/>
  <c r="AL27" i="24"/>
  <c r="AM27" i="24"/>
  <c r="AN27" i="24"/>
  <c r="AO27" i="24"/>
  <c r="AF28" i="24"/>
  <c r="AG28" i="24"/>
  <c r="AH28" i="24"/>
  <c r="AI28" i="24"/>
  <c r="AJ28" i="24"/>
  <c r="AK28" i="24"/>
  <c r="AL28" i="24"/>
  <c r="AM28" i="24"/>
  <c r="AN28" i="24"/>
  <c r="AO28" i="24"/>
  <c r="AF29" i="24"/>
  <c r="AG29" i="24"/>
  <c r="AH29" i="24"/>
  <c r="AI29" i="24"/>
  <c r="AJ29" i="24"/>
  <c r="AK29" i="24"/>
  <c r="AL29" i="24"/>
  <c r="AM29" i="24"/>
  <c r="AN29" i="24"/>
  <c r="AO29" i="24"/>
  <c r="AF30" i="24"/>
  <c r="AG30" i="24"/>
  <c r="AH30" i="24"/>
  <c r="AI30" i="24"/>
  <c r="AJ30" i="24"/>
  <c r="AK30" i="24"/>
  <c r="AL30" i="24"/>
  <c r="AM30" i="24"/>
  <c r="AN30" i="24"/>
  <c r="AO30" i="24"/>
  <c r="AF31" i="24"/>
  <c r="AG31" i="24"/>
  <c r="AH31" i="24"/>
  <c r="AI31" i="24"/>
  <c r="AJ31" i="24"/>
  <c r="AK31" i="24"/>
  <c r="AL31" i="24"/>
  <c r="AM31" i="24"/>
  <c r="AN31" i="24"/>
  <c r="AO31" i="24"/>
  <c r="AF32" i="24"/>
  <c r="AG32" i="24"/>
  <c r="AH32" i="24"/>
  <c r="AI32" i="24"/>
  <c r="AJ32" i="24"/>
  <c r="AK32" i="24"/>
  <c r="AL32" i="24"/>
  <c r="AM32" i="24"/>
  <c r="AN32" i="24"/>
  <c r="AO32" i="24"/>
  <c r="AF33" i="24"/>
  <c r="AG33" i="24"/>
  <c r="AH33" i="24"/>
  <c r="AI33" i="24"/>
  <c r="AJ33" i="24"/>
  <c r="AK33" i="24"/>
  <c r="AL33" i="24"/>
  <c r="AM33" i="24"/>
  <c r="AN33" i="24"/>
  <c r="AO33" i="24"/>
  <c r="AF34" i="24"/>
  <c r="AG34" i="24"/>
  <c r="AH34" i="24"/>
  <c r="AI34" i="24"/>
  <c r="AJ34" i="24"/>
  <c r="AK34" i="24"/>
  <c r="AL34" i="24"/>
  <c r="AM34" i="24"/>
  <c r="AN34" i="24"/>
  <c r="AO34" i="24"/>
  <c r="AF35" i="24"/>
  <c r="AG35" i="24"/>
  <c r="AH35" i="24"/>
  <c r="AI35" i="24"/>
  <c r="AJ35" i="24"/>
  <c r="AK35" i="24"/>
  <c r="AL35" i="24"/>
  <c r="AM35" i="24"/>
  <c r="AN35" i="24"/>
  <c r="AO35" i="24"/>
  <c r="AF36" i="24"/>
  <c r="AG36" i="24"/>
  <c r="AH36" i="24"/>
  <c r="AI36" i="24"/>
  <c r="AJ36" i="24"/>
  <c r="AK36" i="24"/>
  <c r="AL36" i="24"/>
  <c r="AM36" i="24"/>
  <c r="AN36" i="24"/>
  <c r="AO36" i="24"/>
  <c r="AF37" i="24"/>
  <c r="AG37" i="24"/>
  <c r="AH37" i="24"/>
  <c r="AI37" i="24"/>
  <c r="AJ37" i="24"/>
  <c r="AK37" i="24"/>
  <c r="AL37" i="24"/>
  <c r="AM37" i="24"/>
  <c r="AN37" i="24"/>
  <c r="AO37" i="24"/>
  <c r="AF38" i="24"/>
  <c r="AG38" i="24"/>
  <c r="AH38" i="24"/>
  <c r="AI38" i="24"/>
  <c r="AJ38" i="24"/>
  <c r="AK38" i="24"/>
  <c r="AL38" i="24"/>
  <c r="AM38" i="24"/>
  <c r="AN38" i="24"/>
  <c r="AO38" i="24"/>
  <c r="AF39" i="24"/>
  <c r="AG39" i="24"/>
  <c r="AH39" i="24"/>
  <c r="AI39" i="24"/>
  <c r="AJ39" i="24"/>
  <c r="AK39" i="24"/>
  <c r="AL39" i="24"/>
  <c r="AM39" i="24"/>
  <c r="AN39" i="24"/>
  <c r="AO39" i="24"/>
  <c r="AF40" i="24"/>
  <c r="AG40" i="24"/>
  <c r="AH40" i="24"/>
  <c r="AI40" i="24"/>
  <c r="AJ40" i="24"/>
  <c r="AK40" i="24"/>
  <c r="AL40" i="24"/>
  <c r="AM40" i="24"/>
  <c r="AN40" i="24"/>
  <c r="AO40" i="24"/>
  <c r="AF41" i="24"/>
  <c r="AG41" i="24"/>
  <c r="AH41" i="24"/>
  <c r="AI41" i="24"/>
  <c r="AJ41" i="24"/>
  <c r="AK41" i="24"/>
  <c r="AL41" i="24"/>
  <c r="AM41" i="24"/>
  <c r="AN41" i="24"/>
  <c r="AO41" i="24"/>
  <c r="AF42" i="24"/>
  <c r="AG42" i="24"/>
  <c r="AH42" i="24"/>
  <c r="AI42" i="24"/>
  <c r="AJ42" i="24"/>
  <c r="AK42" i="24"/>
  <c r="AL42" i="24"/>
  <c r="AM42" i="24"/>
  <c r="AN42" i="24"/>
  <c r="AO42" i="24"/>
  <c r="AF44" i="24"/>
  <c r="AG44" i="24"/>
  <c r="AH44" i="24"/>
  <c r="AI44" i="24"/>
  <c r="AJ44" i="24"/>
  <c r="AK44" i="24"/>
  <c r="AL44" i="24"/>
  <c r="AM44" i="24"/>
  <c r="AN44" i="24"/>
  <c r="AO44" i="24"/>
  <c r="AF45" i="24"/>
  <c r="AG45" i="24"/>
  <c r="AH45" i="24"/>
  <c r="AI45" i="24"/>
  <c r="AJ45" i="24"/>
  <c r="AK45" i="24"/>
  <c r="AL45" i="24"/>
  <c r="AM45" i="24"/>
  <c r="AN45" i="24"/>
  <c r="AO45" i="24"/>
  <c r="AF46" i="24"/>
  <c r="AG46" i="24"/>
  <c r="AH46" i="24"/>
  <c r="AI46" i="24"/>
  <c r="AJ46" i="24"/>
  <c r="AK46" i="24"/>
  <c r="AL46" i="24"/>
  <c r="AM46" i="24"/>
  <c r="AN46" i="24"/>
  <c r="AO46" i="24"/>
  <c r="AF47" i="24"/>
  <c r="AG47" i="24"/>
  <c r="AH47" i="24"/>
  <c r="AI47" i="24"/>
  <c r="AJ47" i="24"/>
  <c r="AK47" i="24"/>
  <c r="AL47" i="24"/>
  <c r="AM47" i="24"/>
  <c r="AN47" i="24"/>
  <c r="AO47" i="24"/>
  <c r="AF48" i="24"/>
  <c r="AG48" i="24"/>
  <c r="AH48" i="24"/>
  <c r="AI48" i="24"/>
  <c r="AJ48" i="24"/>
  <c r="AK48" i="24"/>
  <c r="AL48" i="24"/>
  <c r="AM48" i="24"/>
  <c r="AN48" i="24"/>
  <c r="AO48" i="24"/>
  <c r="AF49" i="24"/>
  <c r="AG49" i="24"/>
  <c r="AH49" i="24"/>
  <c r="AI49" i="24"/>
  <c r="AJ49" i="24"/>
  <c r="AK49" i="24"/>
  <c r="AL49" i="24"/>
  <c r="AM49" i="24"/>
  <c r="AN49" i="24"/>
  <c r="AO49" i="24"/>
  <c r="AF50" i="24"/>
  <c r="AG50" i="24"/>
  <c r="AH50" i="24"/>
  <c r="AI50" i="24"/>
  <c r="AJ50" i="24"/>
  <c r="AK50" i="24"/>
  <c r="AL50" i="24"/>
  <c r="AM50" i="24"/>
  <c r="AN50" i="24"/>
  <c r="AO50" i="24"/>
  <c r="AF51" i="24"/>
  <c r="AG51" i="24"/>
  <c r="AH51" i="24"/>
  <c r="AI51" i="24"/>
  <c r="AJ51" i="24"/>
  <c r="AK51" i="24"/>
  <c r="AL51" i="24"/>
  <c r="AM51" i="24"/>
  <c r="AN51" i="24"/>
  <c r="AO51" i="24"/>
  <c r="AF52" i="24"/>
  <c r="AG52" i="24"/>
  <c r="AH52" i="24"/>
  <c r="AI52" i="24"/>
  <c r="AJ52" i="24"/>
  <c r="AK52" i="24"/>
  <c r="AL52" i="24"/>
  <c r="AM52" i="24"/>
  <c r="AN52" i="24"/>
  <c r="AO52" i="24"/>
  <c r="AF53" i="24"/>
  <c r="AG53" i="24"/>
  <c r="AH53" i="24"/>
  <c r="AI53" i="24"/>
  <c r="AJ53" i="24"/>
  <c r="AK53" i="24"/>
  <c r="AL53" i="24"/>
  <c r="AM53" i="24"/>
  <c r="AN53" i="24"/>
  <c r="AO53" i="24"/>
  <c r="AF54" i="24"/>
  <c r="AG54" i="24"/>
  <c r="AH54" i="24"/>
  <c r="AI54" i="24"/>
  <c r="AJ54" i="24"/>
  <c r="AK54" i="24"/>
  <c r="AL54" i="24"/>
  <c r="AM54" i="24"/>
  <c r="AN54" i="24"/>
  <c r="AO54" i="24"/>
  <c r="AF55" i="24"/>
  <c r="AG55" i="24"/>
  <c r="AH55" i="24"/>
  <c r="AI55" i="24"/>
  <c r="AJ55" i="24"/>
  <c r="AK55" i="24"/>
  <c r="AL55" i="24"/>
  <c r="AM55" i="24"/>
  <c r="AN55" i="24"/>
  <c r="AO55" i="24"/>
  <c r="AF56" i="24"/>
  <c r="AG56" i="24"/>
  <c r="AH56" i="24"/>
  <c r="AI56" i="24"/>
  <c r="AJ56" i="24"/>
  <c r="AK56" i="24"/>
  <c r="AL56" i="24"/>
  <c r="AM56" i="24"/>
  <c r="AN56" i="24"/>
  <c r="AO56" i="24"/>
  <c r="AF57" i="24"/>
  <c r="AG57" i="24"/>
  <c r="AH57" i="24"/>
  <c r="AI57" i="24"/>
  <c r="AJ57" i="24"/>
  <c r="AK57" i="24"/>
  <c r="AL57" i="24"/>
  <c r="AM57" i="24"/>
  <c r="AN57" i="24"/>
  <c r="AO57" i="24"/>
  <c r="AF58" i="24"/>
  <c r="AG58" i="24"/>
  <c r="AH58" i="24"/>
  <c r="AI58" i="24"/>
  <c r="AJ58" i="24"/>
  <c r="AK58" i="24"/>
  <c r="AL58" i="24"/>
  <c r="AM58" i="24"/>
  <c r="AN58" i="24"/>
  <c r="AO58" i="24"/>
  <c r="AF59" i="24"/>
  <c r="AG59" i="24"/>
  <c r="AH59" i="24"/>
  <c r="AI59" i="24"/>
  <c r="AJ59" i="24"/>
  <c r="AK59" i="24"/>
  <c r="AL59" i="24"/>
  <c r="AM59" i="24"/>
  <c r="AN59" i="24"/>
  <c r="AO59" i="24"/>
  <c r="AF60" i="24"/>
  <c r="AG60" i="24"/>
  <c r="AH60" i="24"/>
  <c r="AI60" i="24"/>
  <c r="AJ60" i="24"/>
  <c r="AK60" i="24"/>
  <c r="AL60" i="24"/>
  <c r="AM60" i="24"/>
  <c r="AN60" i="24"/>
  <c r="AO60" i="24"/>
  <c r="AF61" i="24"/>
  <c r="AG61" i="24"/>
  <c r="AH61" i="24"/>
  <c r="AI61" i="24"/>
  <c r="AJ61" i="24"/>
  <c r="AK61" i="24"/>
  <c r="AL61" i="24"/>
  <c r="AM61" i="24"/>
  <c r="AN61" i="24"/>
  <c r="AO61" i="24"/>
  <c r="AF62" i="24"/>
  <c r="AG62" i="24"/>
  <c r="AH62" i="24"/>
  <c r="AI62" i="24"/>
  <c r="AJ62" i="24"/>
  <c r="AK62" i="24"/>
  <c r="AL62" i="24"/>
  <c r="AM62" i="24"/>
  <c r="AN62" i="24"/>
  <c r="AO62" i="24"/>
  <c r="AF63" i="24"/>
  <c r="AG63" i="24"/>
  <c r="AH63" i="24"/>
  <c r="AI63" i="24"/>
  <c r="AJ63" i="24"/>
  <c r="AK63" i="24"/>
  <c r="AL63" i="24"/>
  <c r="AM63" i="24"/>
  <c r="AN63" i="24"/>
  <c r="AO63" i="24"/>
  <c r="AF64" i="24"/>
  <c r="AG64" i="24"/>
  <c r="AH64" i="24"/>
  <c r="AI64" i="24"/>
  <c r="AJ64" i="24"/>
  <c r="AK64" i="24"/>
  <c r="AL64" i="24"/>
  <c r="AM64" i="24"/>
  <c r="AN64" i="24"/>
  <c r="AO64" i="24"/>
  <c r="AO65" i="24"/>
  <c r="AD32" i="24"/>
  <c r="AD33" i="24"/>
  <c r="AD34" i="24"/>
  <c r="AD35" i="24"/>
  <c r="AD36" i="24"/>
  <c r="AD37" i="24"/>
  <c r="AD38" i="24"/>
  <c r="AD39" i="24"/>
  <c r="AD40" i="24"/>
  <c r="AD41" i="24"/>
  <c r="AD42" i="24"/>
  <c r="AD44" i="24"/>
  <c r="AD45" i="24"/>
  <c r="AD46" i="24"/>
  <c r="AD47" i="24"/>
  <c r="AD48" i="24"/>
  <c r="AD49" i="24"/>
  <c r="AD50" i="24"/>
  <c r="AD51" i="24"/>
  <c r="AD52" i="24"/>
  <c r="AD53" i="24"/>
  <c r="AD54" i="24"/>
  <c r="AD55" i="24"/>
  <c r="AD56" i="24"/>
  <c r="AD57" i="24"/>
  <c r="AD58" i="24"/>
  <c r="AD59" i="24"/>
  <c r="AD60" i="24"/>
  <c r="AD61" i="24"/>
  <c r="AD62" i="24"/>
  <c r="AD63" i="24"/>
  <c r="AD64" i="24"/>
  <c r="AF65" i="24"/>
  <c r="AG65" i="24"/>
  <c r="AH65" i="24"/>
  <c r="AI65" i="24"/>
  <c r="AJ65" i="24"/>
  <c r="AK65" i="24"/>
  <c r="AL65" i="24"/>
  <c r="AM65" i="24"/>
  <c r="AN65" i="24"/>
  <c r="AD5" i="24"/>
  <c r="AD6" i="24"/>
  <c r="AD7" i="24"/>
  <c r="AD8" i="24"/>
  <c r="AD9" i="24"/>
  <c r="AD10" i="24"/>
  <c r="AD11" i="24"/>
  <c r="AD12" i="24"/>
  <c r="AD13" i="24"/>
  <c r="AD14" i="24"/>
  <c r="AD15" i="24"/>
  <c r="AD16" i="24"/>
  <c r="AD17" i="24"/>
  <c r="AD18" i="24"/>
  <c r="AD19" i="24"/>
  <c r="AD20" i="24"/>
  <c r="AD21" i="24"/>
  <c r="AD22" i="24"/>
  <c r="AD23" i="24"/>
  <c r="AD24" i="24"/>
  <c r="AD25" i="24"/>
  <c r="AD26" i="24"/>
  <c r="AD27" i="24"/>
  <c r="AD28" i="24"/>
  <c r="AD29" i="24"/>
  <c r="AD30" i="24"/>
  <c r="AD31" i="24"/>
  <c r="AD4" i="24"/>
  <c r="AD65" i="24"/>
  <c r="F12" i="22"/>
  <c r="W54" i="21" l="1"/>
  <c r="P54" i="21" s="1"/>
  <c r="O55" i="21" s="1"/>
  <c r="W55" i="21" s="1"/>
  <c r="P55" i="21" s="1"/>
  <c r="O56" i="21" s="1"/>
  <c r="W56" i="21" s="1"/>
  <c r="P56" i="21" s="1"/>
  <c r="O57" i="21" s="1"/>
  <c r="W57" i="21" s="1"/>
  <c r="P57" i="21" s="1"/>
  <c r="O58" i="21" s="1"/>
  <c r="W58" i="21" s="1"/>
  <c r="P58" i="21" s="1"/>
  <c r="W7" i="21"/>
  <c r="P7" i="21" s="1"/>
  <c r="T52" i="21"/>
  <c r="R52" i="21" s="1"/>
  <c r="Q53" i="21" s="1"/>
  <c r="T53" i="21" s="1"/>
  <c r="R53" i="21" s="1"/>
  <c r="W52" i="21"/>
  <c r="P52" i="21" s="1"/>
  <c r="O53" i="21" s="1"/>
  <c r="W53" i="21" s="1"/>
  <c r="P53" i="21" s="1"/>
  <c r="AW47" i="22"/>
  <c r="R48" i="22" l="1"/>
  <c r="S48" i="22"/>
  <c r="T48" i="22"/>
  <c r="U48" i="22"/>
  <c r="V48" i="22"/>
  <c r="W48" i="22"/>
  <c r="X48" i="22"/>
  <c r="Q48" i="22"/>
  <c r="AA48" i="22" l="1"/>
  <c r="AB48" i="22"/>
  <c r="AC48" i="22"/>
  <c r="AD48" i="22"/>
  <c r="AE48" i="22"/>
  <c r="AF48" i="22"/>
  <c r="AG48" i="22"/>
  <c r="Z48" i="22"/>
  <c r="C48" i="22"/>
  <c r="B49" i="22"/>
  <c r="M6" i="21"/>
  <c r="N6" i="21"/>
  <c r="S6" i="21"/>
  <c r="U6" i="21"/>
  <c r="V6" i="21"/>
  <c r="X6" i="21"/>
  <c r="Y6" i="21"/>
  <c r="Z6" i="21"/>
  <c r="S4" i="21"/>
  <c r="U4" i="21"/>
  <c r="V4" i="21"/>
  <c r="X4" i="21"/>
  <c r="Y4" i="21"/>
  <c r="Z4" i="21"/>
  <c r="S5" i="21"/>
  <c r="U5" i="21"/>
  <c r="V5" i="21"/>
  <c r="X5" i="21"/>
  <c r="Y5" i="21"/>
  <c r="Z5" i="21"/>
  <c r="Z3" i="21"/>
  <c r="Y3" i="21"/>
  <c r="X3" i="21"/>
  <c r="V3" i="21"/>
  <c r="U3" i="21"/>
  <c r="L32" i="21"/>
  <c r="K32" i="21"/>
  <c r="L1" i="21"/>
  <c r="K1" i="21"/>
  <c r="N5" i="21"/>
  <c r="M5" i="21"/>
  <c r="N4" i="21"/>
  <c r="M4" i="21"/>
  <c r="Q3" i="21"/>
  <c r="O3" i="21"/>
  <c r="N3" i="21"/>
  <c r="M3" i="21"/>
  <c r="C49" i="22" l="1"/>
  <c r="U49" i="22"/>
  <c r="AD49" i="22"/>
  <c r="V49" i="22"/>
  <c r="AE49" i="22"/>
  <c r="W49" i="22"/>
  <c r="AF49" i="22"/>
  <c r="Q49" i="22"/>
  <c r="AC49" i="22"/>
  <c r="X49" i="22"/>
  <c r="AG49" i="22"/>
  <c r="R49" i="22"/>
  <c r="T49" i="22"/>
  <c r="Z49" i="22"/>
  <c r="AA49" i="22"/>
  <c r="S49" i="22"/>
  <c r="AB49" i="22"/>
  <c r="T3" i="21"/>
  <c r="W3" i="21"/>
  <c r="O1" i="12"/>
  <c r="E49" i="22" l="1"/>
  <c r="M49" i="22"/>
  <c r="K49" i="22"/>
  <c r="G49" i="22"/>
  <c r="I49" i="22"/>
  <c r="N49" i="22"/>
  <c r="P3" i="21"/>
  <c r="O4" i="21" s="1"/>
  <c r="W4" i="21" s="1"/>
  <c r="R3" i="21"/>
  <c r="Q4" i="21" s="1"/>
  <c r="T4" i="21" s="1"/>
  <c r="AQ49" i="22" l="1"/>
  <c r="AU49" i="22"/>
  <c r="AS49" i="22"/>
  <c r="AV49" i="22"/>
  <c r="L49" i="22"/>
  <c r="AT49" i="22" s="1"/>
  <c r="R4" i="21"/>
  <c r="Q5" i="21" s="1"/>
  <c r="P4" i="21"/>
  <c r="O5" i="21" s="1"/>
  <c r="S93" i="1"/>
  <c r="R93" i="1"/>
  <c r="Q93" i="1"/>
  <c r="P93" i="1"/>
  <c r="O93" i="1"/>
  <c r="N93" i="1"/>
  <c r="M93" i="1"/>
  <c r="S92" i="1"/>
  <c r="R92" i="1"/>
  <c r="Q92" i="1"/>
  <c r="P92" i="1"/>
  <c r="O92" i="1"/>
  <c r="N92" i="1"/>
  <c r="M92" i="1"/>
  <c r="S91" i="1"/>
  <c r="R91" i="1"/>
  <c r="Q91" i="1"/>
  <c r="P91" i="1"/>
  <c r="O91" i="1"/>
  <c r="N91" i="1"/>
  <c r="M91" i="1"/>
  <c r="S90" i="1"/>
  <c r="R90" i="1"/>
  <c r="Q90" i="1"/>
  <c r="P90" i="1"/>
  <c r="O90" i="1"/>
  <c r="N90" i="1"/>
  <c r="M90" i="1"/>
  <c r="S89" i="1"/>
  <c r="R89" i="1"/>
  <c r="Q89" i="1"/>
  <c r="P89" i="1"/>
  <c r="O89" i="1"/>
  <c r="N89" i="1"/>
  <c r="M89" i="1"/>
  <c r="S88" i="1"/>
  <c r="R88" i="1"/>
  <c r="Q88" i="1"/>
  <c r="P88" i="1"/>
  <c r="O88" i="1"/>
  <c r="N88" i="1"/>
  <c r="M88" i="1"/>
  <c r="L88" i="1"/>
  <c r="D46" i="3"/>
  <c r="A46" i="3"/>
  <c r="D51" i="3"/>
  <c r="W5" i="21" l="1"/>
  <c r="P5" i="21" s="1"/>
  <c r="O6" i="21" s="1"/>
  <c r="W6" i="21" s="1"/>
  <c r="P6" i="21" s="1"/>
  <c r="T5" i="21"/>
  <c r="R5" i="21" s="1"/>
  <c r="Q6" i="21" s="1"/>
  <c r="T6" i="21" s="1"/>
  <c r="R6" i="21" s="1"/>
  <c r="A4" i="3" l="1"/>
  <c r="A5" i="3" s="1"/>
  <c r="D4" i="3" l="1"/>
  <c r="D5" i="3"/>
  <c r="D3" i="3"/>
  <c r="L2" i="1" l="1"/>
  <c r="L4" i="3" l="1"/>
  <c r="M4" i="3"/>
  <c r="N4" i="3"/>
  <c r="O4" i="3"/>
  <c r="W4" i="3"/>
  <c r="X4" i="3"/>
  <c r="Z4" i="3"/>
  <c r="AA4" i="3"/>
  <c r="AB4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X3" i="3"/>
  <c r="T4" i="3" l="1"/>
  <c r="AB3" i="3" l="1"/>
  <c r="AA3" i="3"/>
  <c r="Z3" i="3"/>
  <c r="W3" i="3"/>
  <c r="R3" i="3"/>
  <c r="O3" i="3"/>
  <c r="U3" i="3" s="1"/>
  <c r="U4" i="3" l="1"/>
  <c r="Y4" i="3"/>
  <c r="P4" i="3" s="1"/>
  <c r="Q4" i="3" s="1"/>
  <c r="T3" i="3"/>
  <c r="F5" i="3"/>
  <c r="N3" i="3" l="1"/>
  <c r="Y3" i="3" l="1"/>
  <c r="V3" i="3"/>
  <c r="S3" i="3" s="1"/>
  <c r="S2" i="1" l="1"/>
  <c r="R2" i="1"/>
  <c r="Q2" i="1"/>
  <c r="P2" i="1"/>
  <c r="O2" i="1"/>
  <c r="N2" i="1"/>
  <c r="M2" i="1"/>
  <c r="P3" i="3"/>
  <c r="Q3" i="3" s="1"/>
  <c r="L3" i="3" s="1"/>
  <c r="M3" i="3" s="1"/>
  <c r="F4" i="3" l="1"/>
  <c r="R4" i="3" s="1"/>
  <c r="V4" i="3" s="1"/>
  <c r="S4" i="3" s="1"/>
  <c r="B50" i="22" l="1"/>
  <c r="T50" i="22" l="1"/>
  <c r="AC50" i="22"/>
  <c r="U50" i="22"/>
  <c r="AD50" i="22"/>
  <c r="V50" i="22"/>
  <c r="AE50" i="22"/>
  <c r="Z50" i="22"/>
  <c r="S50" i="22"/>
  <c r="W50" i="22"/>
  <c r="AF50" i="22"/>
  <c r="Q50" i="22"/>
  <c r="AB50" i="22"/>
  <c r="X50" i="22"/>
  <c r="AG50" i="22"/>
  <c r="R50" i="22"/>
  <c r="AA50" i="22"/>
  <c r="C50" i="22"/>
  <c r="D50" i="22" s="1"/>
  <c r="B51" i="22"/>
  <c r="M50" i="22" l="1"/>
  <c r="T51" i="22"/>
  <c r="AC51" i="22"/>
  <c r="AD51" i="22"/>
  <c r="U51" i="22"/>
  <c r="V51" i="22"/>
  <c r="AE51" i="22"/>
  <c r="Q51" i="22"/>
  <c r="W51" i="22"/>
  <c r="AF51" i="22"/>
  <c r="AG51" i="22"/>
  <c r="X51" i="22"/>
  <c r="Z51" i="22"/>
  <c r="S51" i="22"/>
  <c r="R51" i="22"/>
  <c r="AA51" i="22"/>
  <c r="AB51" i="22"/>
  <c r="I50" i="22"/>
  <c r="K50" i="22"/>
  <c r="E50" i="22"/>
  <c r="C51" i="22"/>
  <c r="D51" i="22" s="1"/>
  <c r="G50" i="22"/>
  <c r="N50" i="22"/>
  <c r="B52" i="22"/>
  <c r="B53" i="22" s="1"/>
  <c r="T53" i="22" l="1"/>
  <c r="AC53" i="22"/>
  <c r="C53" i="22"/>
  <c r="D53" i="22" s="1"/>
  <c r="U53" i="22"/>
  <c r="AD53" i="22"/>
  <c r="V53" i="22"/>
  <c r="AE53" i="22"/>
  <c r="W53" i="22"/>
  <c r="AF53" i="22"/>
  <c r="X53" i="22"/>
  <c r="AG53" i="22"/>
  <c r="B54" i="22"/>
  <c r="Q53" i="22"/>
  <c r="Z53" i="22"/>
  <c r="R53" i="22"/>
  <c r="AA53" i="22"/>
  <c r="S53" i="22"/>
  <c r="AB53" i="22"/>
  <c r="L50" i="22"/>
  <c r="AT50" i="22" s="1"/>
  <c r="AU50" i="22"/>
  <c r="M51" i="22"/>
  <c r="T52" i="22"/>
  <c r="AC52" i="22"/>
  <c r="U52" i="22"/>
  <c r="V52" i="22"/>
  <c r="AE52" i="22"/>
  <c r="AG52" i="22"/>
  <c r="W52" i="22"/>
  <c r="AF52" i="22"/>
  <c r="X52" i="22"/>
  <c r="Z52" i="22"/>
  <c r="Q52" i="22"/>
  <c r="AD52" i="22"/>
  <c r="AB52" i="22"/>
  <c r="R52" i="22"/>
  <c r="AA52" i="22"/>
  <c r="S52" i="22"/>
  <c r="G51" i="22"/>
  <c r="I51" i="22"/>
  <c r="E51" i="22"/>
  <c r="AV50" i="22"/>
  <c r="K51" i="22"/>
  <c r="AS50" i="22"/>
  <c r="AQ50" i="22"/>
  <c r="C52" i="22"/>
  <c r="N51" i="22"/>
  <c r="D52" i="22" l="1"/>
  <c r="N53" i="22"/>
  <c r="M53" i="22"/>
  <c r="X54" i="22"/>
  <c r="AG54" i="22"/>
  <c r="B55" i="22"/>
  <c r="Q54" i="22"/>
  <c r="Z54" i="22"/>
  <c r="R54" i="22"/>
  <c r="AA54" i="22"/>
  <c r="S54" i="22"/>
  <c r="AB54" i="22"/>
  <c r="T54" i="22"/>
  <c r="AC54" i="22"/>
  <c r="C54" i="22"/>
  <c r="D54" i="22" s="1"/>
  <c r="U54" i="22"/>
  <c r="AD54" i="22"/>
  <c r="V54" i="22"/>
  <c r="AE54" i="22"/>
  <c r="W54" i="22"/>
  <c r="AF54" i="22"/>
  <c r="K53" i="22"/>
  <c r="E53" i="22"/>
  <c r="G53" i="22"/>
  <c r="I53" i="22"/>
  <c r="AU51" i="22"/>
  <c r="L51" i="22"/>
  <c r="AT51" i="22" s="1"/>
  <c r="M52" i="22"/>
  <c r="AQ51" i="22"/>
  <c r="AV51" i="22"/>
  <c r="AS51" i="22"/>
  <c r="K52" i="22"/>
  <c r="E52" i="22"/>
  <c r="G52" i="22"/>
  <c r="I52" i="22"/>
  <c r="N52" i="22"/>
  <c r="AS53" i="22" l="1"/>
  <c r="L53" i="22"/>
  <c r="AT53" i="22" s="1"/>
  <c r="N54" i="22"/>
  <c r="G54" i="22"/>
  <c r="I54" i="22"/>
  <c r="K54" i="22"/>
  <c r="E54" i="22"/>
  <c r="M54" i="22"/>
  <c r="AV53" i="22"/>
  <c r="T55" i="22"/>
  <c r="AC55" i="22"/>
  <c r="C55" i="22"/>
  <c r="D55" i="22" s="1"/>
  <c r="U55" i="22"/>
  <c r="AD55" i="22"/>
  <c r="V55" i="22"/>
  <c r="AE55" i="22"/>
  <c r="W55" i="22"/>
  <c r="AF55" i="22"/>
  <c r="X55" i="22"/>
  <c r="AG55" i="22"/>
  <c r="B56" i="22"/>
  <c r="Q55" i="22"/>
  <c r="Z55" i="22"/>
  <c r="R55" i="22"/>
  <c r="AA55" i="22"/>
  <c r="S55" i="22"/>
  <c r="AB55" i="22"/>
  <c r="AU53" i="22"/>
  <c r="AQ53" i="22"/>
  <c r="AU52" i="22"/>
  <c r="L52" i="22"/>
  <c r="AT52" i="22" s="1"/>
  <c r="AQ52" i="22"/>
  <c r="AS52" i="22"/>
  <c r="AV52" i="22"/>
  <c r="L54" i="22" l="1"/>
  <c r="M55" i="22"/>
  <c r="AS54" i="22"/>
  <c r="K55" i="22"/>
  <c r="E55" i="22"/>
  <c r="G55" i="22"/>
  <c r="I55" i="22"/>
  <c r="AV54" i="22"/>
  <c r="AQ54" i="22"/>
  <c r="AU54" i="22"/>
  <c r="AT54" i="22"/>
  <c r="X56" i="22"/>
  <c r="AG56" i="22"/>
  <c r="B57" i="22"/>
  <c r="Q56" i="22"/>
  <c r="Z56" i="22"/>
  <c r="R56" i="22"/>
  <c r="AA56" i="22"/>
  <c r="S56" i="22"/>
  <c r="AB56" i="22"/>
  <c r="T56" i="22"/>
  <c r="AC56" i="22"/>
  <c r="C56" i="22"/>
  <c r="D56" i="22" s="1"/>
  <c r="U56" i="22"/>
  <c r="AD56" i="22"/>
  <c r="V56" i="22"/>
  <c r="AE56" i="22"/>
  <c r="AF56" i="22"/>
  <c r="W56" i="22"/>
  <c r="N55" i="22"/>
  <c r="L55" i="22" l="1"/>
  <c r="AT55" i="22" s="1"/>
  <c r="N56" i="22"/>
  <c r="G56" i="22"/>
  <c r="I56" i="22"/>
  <c r="K56" i="22"/>
  <c r="E56" i="22"/>
  <c r="M56" i="22"/>
  <c r="T57" i="22"/>
  <c r="AC57" i="22"/>
  <c r="C57" i="22"/>
  <c r="D57" i="22" s="1"/>
  <c r="U57" i="22"/>
  <c r="AD57" i="22"/>
  <c r="V57" i="22"/>
  <c r="AE57" i="22"/>
  <c r="W57" i="22"/>
  <c r="AF57" i="22"/>
  <c r="X57" i="22"/>
  <c r="AG57" i="22"/>
  <c r="B58" i="22"/>
  <c r="Q57" i="22"/>
  <c r="Z57" i="22"/>
  <c r="R57" i="22"/>
  <c r="AA57" i="22"/>
  <c r="S57" i="22"/>
  <c r="AB57" i="22"/>
  <c r="AS55" i="22"/>
  <c r="AV55" i="22"/>
  <c r="AU55" i="22"/>
  <c r="AQ55" i="22"/>
  <c r="M57" i="22" l="1"/>
  <c r="AS56" i="22"/>
  <c r="AV56" i="22"/>
  <c r="K57" i="22"/>
  <c r="E57" i="22"/>
  <c r="G57" i="22"/>
  <c r="I57" i="22"/>
  <c r="AQ56" i="22"/>
  <c r="AU56" i="22"/>
  <c r="X58" i="22"/>
  <c r="AG58" i="22"/>
  <c r="B59" i="22"/>
  <c r="Q58" i="22"/>
  <c r="Z58" i="22"/>
  <c r="R58" i="22"/>
  <c r="AA58" i="22"/>
  <c r="S58" i="22"/>
  <c r="AB58" i="22"/>
  <c r="T58" i="22"/>
  <c r="AC58" i="22"/>
  <c r="C58" i="22"/>
  <c r="D58" i="22" s="1"/>
  <c r="U58" i="22"/>
  <c r="AD58" i="22"/>
  <c r="V58" i="22"/>
  <c r="AE58" i="22"/>
  <c r="W58" i="22"/>
  <c r="AF58" i="22"/>
  <c r="L56" i="22"/>
  <c r="AT56" i="22" s="1"/>
  <c r="N57" i="22"/>
  <c r="L57" i="22" l="1"/>
  <c r="AT57" i="22" s="1"/>
  <c r="N58" i="22"/>
  <c r="M58" i="22"/>
  <c r="AS57" i="22"/>
  <c r="G58" i="22"/>
  <c r="I58" i="22"/>
  <c r="K58" i="22"/>
  <c r="E58" i="22"/>
  <c r="AV57" i="22"/>
  <c r="AU57" i="22"/>
  <c r="AQ57" i="22"/>
  <c r="T59" i="22"/>
  <c r="AC59" i="22"/>
  <c r="C59" i="22"/>
  <c r="D59" i="22" s="1"/>
  <c r="U59" i="22"/>
  <c r="AD59" i="22"/>
  <c r="V59" i="22"/>
  <c r="AE59" i="22"/>
  <c r="W59" i="22"/>
  <c r="AF59" i="22"/>
  <c r="X59" i="22"/>
  <c r="AG59" i="22"/>
  <c r="B60" i="22"/>
  <c r="Q59" i="22"/>
  <c r="Z59" i="22"/>
  <c r="R59" i="22"/>
  <c r="AA59" i="22"/>
  <c r="S59" i="22"/>
  <c r="AB59" i="22"/>
  <c r="AV58" i="22" l="1"/>
  <c r="N59" i="22"/>
  <c r="AQ58" i="22"/>
  <c r="AU58" i="22"/>
  <c r="X60" i="22"/>
  <c r="AG60" i="22"/>
  <c r="B61" i="22"/>
  <c r="Q60" i="22"/>
  <c r="Z60" i="22"/>
  <c r="R60" i="22"/>
  <c r="AA60" i="22"/>
  <c r="S60" i="22"/>
  <c r="AB60" i="22"/>
  <c r="T60" i="22"/>
  <c r="AC60" i="22"/>
  <c r="C60" i="22"/>
  <c r="D60" i="22" s="1"/>
  <c r="U60" i="22"/>
  <c r="AD60" i="22"/>
  <c r="V60" i="22"/>
  <c r="AE60" i="22"/>
  <c r="W60" i="22"/>
  <c r="AF60" i="22"/>
  <c r="K59" i="22"/>
  <c r="E59" i="22"/>
  <c r="G59" i="22"/>
  <c r="I59" i="22"/>
  <c r="M59" i="22"/>
  <c r="AS58" i="22"/>
  <c r="L58" i="22"/>
  <c r="AT58" i="22" s="1"/>
  <c r="AS59" i="22" l="1"/>
  <c r="AV59" i="22"/>
  <c r="N60" i="22"/>
  <c r="G60" i="22"/>
  <c r="I60" i="22"/>
  <c r="K60" i="22"/>
  <c r="E60" i="22"/>
  <c r="M60" i="22"/>
  <c r="AU59" i="22"/>
  <c r="AQ59" i="22"/>
  <c r="T61" i="22"/>
  <c r="AC61" i="22"/>
  <c r="C61" i="22"/>
  <c r="D61" i="22" s="1"/>
  <c r="U61" i="22"/>
  <c r="AD61" i="22"/>
  <c r="V61" i="22"/>
  <c r="AE61" i="22"/>
  <c r="W61" i="22"/>
  <c r="AF61" i="22"/>
  <c r="X61" i="22"/>
  <c r="AG61" i="22"/>
  <c r="B62" i="22"/>
  <c r="Q61" i="22"/>
  <c r="Z61" i="22"/>
  <c r="R61" i="22"/>
  <c r="AA61" i="22"/>
  <c r="S61" i="22"/>
  <c r="AB61" i="22"/>
  <c r="L59" i="22"/>
  <c r="AT59" i="22" s="1"/>
  <c r="AQ60" i="22" l="1"/>
  <c r="AU60" i="22"/>
  <c r="M61" i="22"/>
  <c r="N61" i="22"/>
  <c r="X62" i="22"/>
  <c r="AG62" i="22"/>
  <c r="B63" i="22"/>
  <c r="Q62" i="22"/>
  <c r="Z62" i="22"/>
  <c r="R62" i="22"/>
  <c r="AA62" i="22"/>
  <c r="T62" i="22"/>
  <c r="AC62" i="22"/>
  <c r="C62" i="22"/>
  <c r="D62" i="22" s="1"/>
  <c r="U62" i="22"/>
  <c r="AD62" i="22"/>
  <c r="V62" i="22"/>
  <c r="AE62" i="22"/>
  <c r="S62" i="22"/>
  <c r="W62" i="22"/>
  <c r="AB62" i="22"/>
  <c r="AF62" i="22"/>
  <c r="K61" i="22"/>
  <c r="E61" i="22"/>
  <c r="G61" i="22"/>
  <c r="I61" i="22"/>
  <c r="L60" i="22"/>
  <c r="AT60" i="22" s="1"/>
  <c r="AV60" i="22"/>
  <c r="AS60" i="22"/>
  <c r="G62" i="22" l="1"/>
  <c r="I62" i="22"/>
  <c r="K62" i="22"/>
  <c r="E62" i="22"/>
  <c r="L61" i="22"/>
  <c r="AT61" i="22" s="1"/>
  <c r="AU61" i="22"/>
  <c r="AQ61" i="22"/>
  <c r="AS61" i="22"/>
  <c r="N62" i="22"/>
  <c r="AV61" i="22"/>
  <c r="M62" i="22"/>
  <c r="T63" i="22"/>
  <c r="AC63" i="22"/>
  <c r="C63" i="22"/>
  <c r="D63" i="22" s="1"/>
  <c r="U63" i="22"/>
  <c r="AD63" i="22"/>
  <c r="V63" i="22"/>
  <c r="AE63" i="22"/>
  <c r="X63" i="22"/>
  <c r="AG63" i="22"/>
  <c r="B64" i="22"/>
  <c r="Q63" i="22"/>
  <c r="Z63" i="22"/>
  <c r="R63" i="22"/>
  <c r="AA63" i="22"/>
  <c r="S63" i="22"/>
  <c r="W63" i="22"/>
  <c r="AB63" i="22"/>
  <c r="AF63" i="22"/>
  <c r="AS62" i="22" l="1"/>
  <c r="L62" i="22"/>
  <c r="AT62" i="22" s="1"/>
  <c r="AV62" i="22"/>
  <c r="N63" i="22"/>
  <c r="AQ62" i="22"/>
  <c r="AU62" i="22"/>
  <c r="K63" i="22"/>
  <c r="G63" i="22"/>
  <c r="E63" i="22"/>
  <c r="I63" i="22"/>
  <c r="M63" i="22"/>
  <c r="X64" i="22"/>
  <c r="AG64" i="22"/>
  <c r="B65" i="22"/>
  <c r="Q64" i="22"/>
  <c r="Z64" i="22"/>
  <c r="R64" i="22"/>
  <c r="AA64" i="22"/>
  <c r="T64" i="22"/>
  <c r="AC64" i="22"/>
  <c r="C64" i="22"/>
  <c r="D64" i="22" s="1"/>
  <c r="U64" i="22"/>
  <c r="AD64" i="22"/>
  <c r="V64" i="22"/>
  <c r="AE64" i="22"/>
  <c r="S64" i="22"/>
  <c r="W64" i="22"/>
  <c r="AB64" i="22"/>
  <c r="AF64" i="22"/>
  <c r="AS63" i="22" l="1"/>
  <c r="G64" i="22"/>
  <c r="K64" i="22"/>
  <c r="E64" i="22"/>
  <c r="I64" i="22"/>
  <c r="AV63" i="22"/>
  <c r="T65" i="22"/>
  <c r="AC65" i="22"/>
  <c r="C65" i="22"/>
  <c r="D65" i="22" s="1"/>
  <c r="U65" i="22"/>
  <c r="AD65" i="22"/>
  <c r="V65" i="22"/>
  <c r="AE65" i="22"/>
  <c r="X65" i="22"/>
  <c r="AG65" i="22"/>
  <c r="B66" i="22"/>
  <c r="Q65" i="22"/>
  <c r="Z65" i="22"/>
  <c r="R65" i="22"/>
  <c r="AA65" i="22"/>
  <c r="AF65" i="22"/>
  <c r="S65" i="22"/>
  <c r="W65" i="22"/>
  <c r="AB65" i="22"/>
  <c r="AU63" i="22"/>
  <c r="AQ63" i="22"/>
  <c r="N64" i="22"/>
  <c r="L63" i="22"/>
  <c r="AT63" i="22" s="1"/>
  <c r="M64" i="22"/>
  <c r="L64" i="22" l="1"/>
  <c r="AT64" i="22" s="1"/>
  <c r="AS64" i="22"/>
  <c r="M65" i="22"/>
  <c r="AQ64" i="22"/>
  <c r="AU64" i="22"/>
  <c r="N65" i="22"/>
  <c r="K65" i="22"/>
  <c r="G65" i="22"/>
  <c r="E65" i="22"/>
  <c r="I65" i="22"/>
  <c r="X66" i="22"/>
  <c r="AG66" i="22"/>
  <c r="Q66" i="22"/>
  <c r="R66" i="22"/>
  <c r="AA66" i="22"/>
  <c r="T66" i="22"/>
  <c r="AC66" i="22"/>
  <c r="C66" i="22"/>
  <c r="D66" i="22" s="1"/>
  <c r="U66" i="22"/>
  <c r="AD66" i="22"/>
  <c r="V66" i="22"/>
  <c r="AE66" i="22"/>
  <c r="Z66" i="22"/>
  <c r="AB66" i="22"/>
  <c r="AF66" i="22"/>
  <c r="S66" i="22"/>
  <c r="W66" i="22"/>
  <c r="B67" i="22"/>
  <c r="AV64" i="22"/>
  <c r="AS65" i="22" l="1"/>
  <c r="L65" i="22"/>
  <c r="AT65" i="22" s="1"/>
  <c r="N66" i="22"/>
  <c r="M66" i="22"/>
  <c r="V67" i="22"/>
  <c r="AE67" i="22"/>
  <c r="X67" i="22"/>
  <c r="AG67" i="22"/>
  <c r="B68" i="22"/>
  <c r="R67" i="22"/>
  <c r="AA67" i="22"/>
  <c r="C67" i="22"/>
  <c r="D67" i="22" s="1"/>
  <c r="S67" i="22"/>
  <c r="AF67" i="22"/>
  <c r="T67" i="22"/>
  <c r="U67" i="22"/>
  <c r="W67" i="22"/>
  <c r="Z67" i="22"/>
  <c r="AB67" i="22"/>
  <c r="AC67" i="22"/>
  <c r="Q67" i="22"/>
  <c r="AD67" i="22"/>
  <c r="AV65" i="22"/>
  <c r="G66" i="22"/>
  <c r="K66" i="22"/>
  <c r="E66" i="22"/>
  <c r="I66" i="22"/>
  <c r="AU65" i="22"/>
  <c r="AQ65" i="22"/>
  <c r="L66" i="22" l="1"/>
  <c r="AT66" i="22" s="1"/>
  <c r="N67" i="22"/>
  <c r="R68" i="22"/>
  <c r="AA68" i="22"/>
  <c r="T68" i="22"/>
  <c r="AC68" i="22"/>
  <c r="V68" i="22"/>
  <c r="AE68" i="22"/>
  <c r="U68" i="22"/>
  <c r="W68" i="22"/>
  <c r="X68" i="22"/>
  <c r="Z68" i="22"/>
  <c r="AB68" i="22"/>
  <c r="B69" i="22"/>
  <c r="AD68" i="22"/>
  <c r="C68" i="22"/>
  <c r="D68" i="22" s="1"/>
  <c r="Q68" i="22"/>
  <c r="AF68" i="22"/>
  <c r="S68" i="22"/>
  <c r="AG68" i="22"/>
  <c r="AQ66" i="22"/>
  <c r="AU66" i="22"/>
  <c r="M67" i="22"/>
  <c r="AS66" i="22"/>
  <c r="AV66" i="22"/>
  <c r="E67" i="22"/>
  <c r="G67" i="22"/>
  <c r="I67" i="22"/>
  <c r="K67" i="22"/>
  <c r="L67" i="22" l="1"/>
  <c r="AT67" i="22" s="1"/>
  <c r="AU67" i="22"/>
  <c r="AQ67" i="22"/>
  <c r="M68" i="22"/>
  <c r="G68" i="22"/>
  <c r="I68" i="22"/>
  <c r="K68" i="22"/>
  <c r="E68" i="22"/>
  <c r="V69" i="22"/>
  <c r="AE69" i="22"/>
  <c r="R69" i="22"/>
  <c r="AA69" i="22"/>
  <c r="U69" i="22"/>
  <c r="AG69" i="22"/>
  <c r="W69" i="22"/>
  <c r="X69" i="22"/>
  <c r="Z69" i="22"/>
  <c r="AB69" i="22"/>
  <c r="C69" i="22"/>
  <c r="D69" i="22" s="1"/>
  <c r="Q69" i="22"/>
  <c r="AC69" i="22"/>
  <c r="S69" i="22"/>
  <c r="AD69" i="22"/>
  <c r="B70" i="22"/>
  <c r="T69" i="22"/>
  <c r="AF69" i="22"/>
  <c r="AS67" i="22"/>
  <c r="N68" i="22"/>
  <c r="AV67" i="22"/>
  <c r="L68" i="22" l="1"/>
  <c r="M69" i="22"/>
  <c r="I69" i="22"/>
  <c r="K69" i="22"/>
  <c r="E69" i="22"/>
  <c r="G69" i="22"/>
  <c r="N69" i="22"/>
  <c r="AV68" i="22"/>
  <c r="R70" i="22"/>
  <c r="AA70" i="22"/>
  <c r="V70" i="22"/>
  <c r="AE70" i="22"/>
  <c r="Q70" i="22"/>
  <c r="AC70" i="22"/>
  <c r="S70" i="22"/>
  <c r="AD70" i="22"/>
  <c r="B71" i="22"/>
  <c r="T70" i="22"/>
  <c r="AF70" i="22"/>
  <c r="U70" i="22"/>
  <c r="AG70" i="22"/>
  <c r="W70" i="22"/>
  <c r="X70" i="22"/>
  <c r="Z70" i="22"/>
  <c r="C70" i="22"/>
  <c r="D70" i="22" s="1"/>
  <c r="AB70" i="22"/>
  <c r="AT68" i="22"/>
  <c r="AS68" i="22"/>
  <c r="AQ68" i="22"/>
  <c r="AU68" i="22"/>
  <c r="L69" i="22" l="1"/>
  <c r="AT69" i="22" s="1"/>
  <c r="M70" i="22"/>
  <c r="AS69" i="22"/>
  <c r="AV69" i="22"/>
  <c r="E70" i="22"/>
  <c r="G70" i="22"/>
  <c r="I70" i="22"/>
  <c r="K70" i="22"/>
  <c r="V71" i="22"/>
  <c r="R71" i="22"/>
  <c r="AA71" i="22"/>
  <c r="X71" i="22"/>
  <c r="Z71" i="22"/>
  <c r="C71" i="22"/>
  <c r="D71" i="22" s="1"/>
  <c r="AB71" i="22"/>
  <c r="Q71" i="22"/>
  <c r="AC71" i="22"/>
  <c r="S71" i="22"/>
  <c r="AD71" i="22"/>
  <c r="T71" i="22"/>
  <c r="AE71" i="22"/>
  <c r="U71" i="22"/>
  <c r="AF71" i="22"/>
  <c r="B72" i="22"/>
  <c r="W71" i="22"/>
  <c r="AG71" i="22"/>
  <c r="AU69" i="22"/>
  <c r="AQ69" i="22"/>
  <c r="N70" i="22"/>
  <c r="L70" i="22" s="1"/>
  <c r="N71" i="22" l="1"/>
  <c r="AT70" i="22"/>
  <c r="M71" i="22"/>
  <c r="AV70" i="22"/>
  <c r="V72" i="22"/>
  <c r="AE72" i="22"/>
  <c r="W72" i="22"/>
  <c r="AF72" i="22"/>
  <c r="X72" i="22"/>
  <c r="AG72" i="22"/>
  <c r="B73" i="22"/>
  <c r="Q72" i="22"/>
  <c r="Z72" i="22"/>
  <c r="R72" i="22"/>
  <c r="AA72" i="22"/>
  <c r="S72" i="22"/>
  <c r="AB72" i="22"/>
  <c r="T72" i="22"/>
  <c r="AC72" i="22"/>
  <c r="C72" i="22"/>
  <c r="D72" i="22" s="1"/>
  <c r="U72" i="22"/>
  <c r="AD72" i="22"/>
  <c r="AS70" i="22"/>
  <c r="K71" i="22"/>
  <c r="E71" i="22"/>
  <c r="G71" i="22"/>
  <c r="I71" i="22"/>
  <c r="AQ70" i="22"/>
  <c r="AU70" i="22"/>
  <c r="L71" i="22" l="1"/>
  <c r="AT71" i="22" s="1"/>
  <c r="AS71" i="22"/>
  <c r="AQ71" i="22"/>
  <c r="AU71" i="22"/>
  <c r="N72" i="22"/>
  <c r="E72" i="22"/>
  <c r="G72" i="22"/>
  <c r="I72" i="22"/>
  <c r="K72" i="22"/>
  <c r="M72" i="22"/>
  <c r="R73" i="22"/>
  <c r="AA73" i="22"/>
  <c r="S73" i="22"/>
  <c r="AB73" i="22"/>
  <c r="T73" i="22"/>
  <c r="AC73" i="22"/>
  <c r="C73" i="22"/>
  <c r="D73" i="22" s="1"/>
  <c r="U73" i="22"/>
  <c r="AD73" i="22"/>
  <c r="V73" i="22"/>
  <c r="AE73" i="22"/>
  <c r="W73" i="22"/>
  <c r="AF73" i="22"/>
  <c r="X73" i="22"/>
  <c r="AG73" i="22"/>
  <c r="B74" i="22"/>
  <c r="Q73" i="22"/>
  <c r="Z73" i="22"/>
  <c r="AV71" i="22"/>
  <c r="M73" i="22" l="1"/>
  <c r="V74" i="22"/>
  <c r="AE74" i="22"/>
  <c r="W74" i="22"/>
  <c r="AF74" i="22"/>
  <c r="X74" i="22"/>
  <c r="AG74" i="22"/>
  <c r="B75" i="22"/>
  <c r="Q74" i="22"/>
  <c r="Z74" i="22"/>
  <c r="R74" i="22"/>
  <c r="AA74" i="22"/>
  <c r="S74" i="22"/>
  <c r="AB74" i="22"/>
  <c r="T74" i="22"/>
  <c r="AC74" i="22"/>
  <c r="C74" i="22"/>
  <c r="D74" i="22" s="1"/>
  <c r="U74" i="22"/>
  <c r="AD74" i="22"/>
  <c r="I73" i="22"/>
  <c r="K73" i="22"/>
  <c r="E73" i="22"/>
  <c r="G73" i="22"/>
  <c r="AS72" i="22"/>
  <c r="L72" i="22"/>
  <c r="AT72" i="22" s="1"/>
  <c r="N73" i="22"/>
  <c r="AV72" i="22"/>
  <c r="AU72" i="22"/>
  <c r="AQ72" i="22"/>
  <c r="L73" i="22" l="1"/>
  <c r="AT73" i="22" s="1"/>
  <c r="AS73" i="22"/>
  <c r="AV73" i="22"/>
  <c r="AQ73" i="22"/>
  <c r="AU73" i="22"/>
  <c r="E74" i="22"/>
  <c r="G74" i="22"/>
  <c r="I74" i="22"/>
  <c r="K74" i="22"/>
  <c r="M74" i="22"/>
  <c r="N74" i="22"/>
  <c r="R75" i="22"/>
  <c r="AA75" i="22"/>
  <c r="T75" i="22"/>
  <c r="C75" i="22"/>
  <c r="D75" i="22" s="1"/>
  <c r="U75" i="22"/>
  <c r="AD75" i="22"/>
  <c r="V75" i="22"/>
  <c r="AE75" i="22"/>
  <c r="W75" i="22"/>
  <c r="AF75" i="22"/>
  <c r="X75" i="22"/>
  <c r="AG75" i="22"/>
  <c r="B76" i="22"/>
  <c r="Q75" i="22"/>
  <c r="S75" i="22"/>
  <c r="Z75" i="22"/>
  <c r="AB75" i="22"/>
  <c r="AC75" i="22"/>
  <c r="AS74" i="22" l="1"/>
  <c r="L74" i="22"/>
  <c r="AT74" i="22" s="1"/>
  <c r="N75" i="22"/>
  <c r="M75" i="22"/>
  <c r="AV74" i="22"/>
  <c r="AU74" i="22"/>
  <c r="AQ74" i="22"/>
  <c r="V76" i="22"/>
  <c r="AE76" i="22"/>
  <c r="Q76" i="22"/>
  <c r="Z76" i="22"/>
  <c r="R76" i="22"/>
  <c r="AA76" i="22"/>
  <c r="T76" i="22"/>
  <c r="AC76" i="22"/>
  <c r="AD76" i="22"/>
  <c r="AF76" i="22"/>
  <c r="AG76" i="22"/>
  <c r="S76" i="22"/>
  <c r="C76" i="22"/>
  <c r="D76" i="22" s="1"/>
  <c r="U76" i="22"/>
  <c r="W76" i="22"/>
  <c r="X76" i="22"/>
  <c r="B77" i="22"/>
  <c r="AB76" i="22"/>
  <c r="K75" i="22"/>
  <c r="E75" i="22"/>
  <c r="G75" i="22"/>
  <c r="I75" i="22"/>
  <c r="L75" i="22" l="1"/>
  <c r="AT75" i="22" s="1"/>
  <c r="M76" i="22"/>
  <c r="R77" i="22"/>
  <c r="AA77" i="22"/>
  <c r="C77" i="22"/>
  <c r="D77" i="22" s="1"/>
  <c r="U77" i="22"/>
  <c r="AD77" i="22"/>
  <c r="V77" i="22"/>
  <c r="AE77" i="22"/>
  <c r="X77" i="22"/>
  <c r="AG77" i="22"/>
  <c r="B78" i="22"/>
  <c r="Z77" i="22"/>
  <c r="AB77" i="22"/>
  <c r="AC77" i="22"/>
  <c r="AF77" i="22"/>
  <c r="Q77" i="22"/>
  <c r="S77" i="22"/>
  <c r="T77" i="22"/>
  <c r="W77" i="22"/>
  <c r="AQ75" i="22"/>
  <c r="AU75" i="22"/>
  <c r="AS75" i="22"/>
  <c r="G76" i="22"/>
  <c r="K76" i="22"/>
  <c r="E76" i="22"/>
  <c r="I76" i="22"/>
  <c r="AV75" i="22"/>
  <c r="N76" i="22"/>
  <c r="L76" i="22" l="1"/>
  <c r="M77" i="22"/>
  <c r="AT76" i="22"/>
  <c r="AU76" i="22"/>
  <c r="AQ76" i="22"/>
  <c r="AV76" i="22"/>
  <c r="N77" i="22"/>
  <c r="K77" i="22"/>
  <c r="G77" i="22"/>
  <c r="I77" i="22"/>
  <c r="E77" i="22"/>
  <c r="AS76" i="22"/>
  <c r="V78" i="22"/>
  <c r="AE78" i="22"/>
  <c r="Q78" i="22"/>
  <c r="Z78" i="22"/>
  <c r="R78" i="22"/>
  <c r="AA78" i="22"/>
  <c r="T78" i="22"/>
  <c r="AC78" i="22"/>
  <c r="C78" i="22"/>
  <c r="D78" i="22" s="1"/>
  <c r="U78" i="22"/>
  <c r="W78" i="22"/>
  <c r="X78" i="22"/>
  <c r="B79" i="22"/>
  <c r="AB78" i="22"/>
  <c r="AD78" i="22"/>
  <c r="AF78" i="22"/>
  <c r="AG78" i="22"/>
  <c r="S78" i="22"/>
  <c r="L77" i="22" l="1"/>
  <c r="AT77" i="22" s="1"/>
  <c r="AV77" i="22"/>
  <c r="R79" i="22"/>
  <c r="AA79" i="22"/>
  <c r="C79" i="22"/>
  <c r="D79" i="22" s="1"/>
  <c r="U79" i="22"/>
  <c r="AD79" i="22"/>
  <c r="V79" i="22"/>
  <c r="AE79" i="22"/>
  <c r="X79" i="22"/>
  <c r="AG79" i="22"/>
  <c r="B80" i="22"/>
  <c r="Q79" i="22"/>
  <c r="S79" i="22"/>
  <c r="T79" i="22"/>
  <c r="W79" i="22"/>
  <c r="Z79" i="22"/>
  <c r="AB79" i="22"/>
  <c r="AC79" i="22"/>
  <c r="AF79" i="22"/>
  <c r="AQ77" i="22"/>
  <c r="AU77" i="22"/>
  <c r="N78" i="22"/>
  <c r="M78" i="22"/>
  <c r="G78" i="22"/>
  <c r="E78" i="22"/>
  <c r="I78" i="22"/>
  <c r="K78" i="22"/>
  <c r="AS77" i="22"/>
  <c r="AS78" i="22" l="1"/>
  <c r="AU78" i="22"/>
  <c r="AQ78" i="22"/>
  <c r="L78" i="22"/>
  <c r="AT78" i="22" s="1"/>
  <c r="M79" i="22"/>
  <c r="K79" i="22"/>
  <c r="E79" i="22"/>
  <c r="G79" i="22"/>
  <c r="I79" i="22"/>
  <c r="AV78" i="22"/>
  <c r="Q80" i="22"/>
  <c r="Z80" i="22"/>
  <c r="R80" i="22"/>
  <c r="AA80" i="22"/>
  <c r="T80" i="22"/>
  <c r="AC80" i="22"/>
  <c r="V80" i="22"/>
  <c r="W80" i="22"/>
  <c r="X80" i="22"/>
  <c r="AB80" i="22"/>
  <c r="AD80" i="22"/>
  <c r="B81" i="22"/>
  <c r="C80" i="22"/>
  <c r="D80" i="22" s="1"/>
  <c r="AE80" i="22"/>
  <c r="S80" i="22"/>
  <c r="AF80" i="22"/>
  <c r="U80" i="22"/>
  <c r="AG80" i="22"/>
  <c r="N79" i="22"/>
  <c r="L79" i="22" l="1"/>
  <c r="AT79" i="22" s="1"/>
  <c r="AS79" i="22"/>
  <c r="M80" i="22"/>
  <c r="AV79" i="22"/>
  <c r="AU79" i="22"/>
  <c r="AQ79" i="22"/>
  <c r="N80" i="22"/>
  <c r="G80" i="22"/>
  <c r="I80" i="22"/>
  <c r="K80" i="22"/>
  <c r="E80" i="22"/>
  <c r="C81" i="22"/>
  <c r="D81" i="22" s="1"/>
  <c r="U81" i="22"/>
  <c r="AD81" i="22"/>
  <c r="V81" i="22"/>
  <c r="X81" i="22"/>
  <c r="AG81" i="22"/>
  <c r="B82" i="22"/>
  <c r="Z81" i="22"/>
  <c r="AA81" i="22"/>
  <c r="AB81" i="22"/>
  <c r="Q81" i="22"/>
  <c r="AC81" i="22"/>
  <c r="R81" i="22"/>
  <c r="AE81" i="22"/>
  <c r="S81" i="22"/>
  <c r="AF81" i="22"/>
  <c r="T81" i="22"/>
  <c r="W81" i="22"/>
  <c r="L80" i="22" l="1"/>
  <c r="AT80" i="22" s="1"/>
  <c r="AS80" i="22"/>
  <c r="N81" i="22"/>
  <c r="Q82" i="22"/>
  <c r="Z82" i="22"/>
  <c r="T82" i="22"/>
  <c r="AC82" i="22"/>
  <c r="U82" i="22"/>
  <c r="AF82" i="22"/>
  <c r="V82" i="22"/>
  <c r="AG82" i="22"/>
  <c r="W82" i="22"/>
  <c r="X82" i="22"/>
  <c r="C82" i="22"/>
  <c r="D82" i="22" s="1"/>
  <c r="AA82" i="22"/>
  <c r="AB82" i="22"/>
  <c r="R82" i="22"/>
  <c r="AD82" i="22"/>
  <c r="B83" i="22"/>
  <c r="S82" i="22"/>
  <c r="AE82" i="22"/>
  <c r="AQ80" i="22"/>
  <c r="AU80" i="22"/>
  <c r="M81" i="22"/>
  <c r="AV80" i="22"/>
  <c r="K81" i="22"/>
  <c r="I81" i="22"/>
  <c r="E81" i="22"/>
  <c r="G81" i="22"/>
  <c r="AS81" i="22" l="1"/>
  <c r="AV81" i="22"/>
  <c r="G82" i="22"/>
  <c r="I82" i="22"/>
  <c r="K82" i="22"/>
  <c r="E82" i="22"/>
  <c r="N82" i="22"/>
  <c r="M82" i="22"/>
  <c r="AU81" i="22"/>
  <c r="AQ81" i="22"/>
  <c r="C83" i="22"/>
  <c r="D83" i="22" s="1"/>
  <c r="U83" i="22"/>
  <c r="AD83" i="22"/>
  <c r="X83" i="22"/>
  <c r="Q83" i="22"/>
  <c r="AB83" i="22"/>
  <c r="R83" i="22"/>
  <c r="AC83" i="22"/>
  <c r="S83" i="22"/>
  <c r="AE83" i="22"/>
  <c r="T83" i="22"/>
  <c r="AF83" i="22"/>
  <c r="B84" i="22"/>
  <c r="V83" i="22"/>
  <c r="AG83" i="22"/>
  <c r="W83" i="22"/>
  <c r="Z83" i="22"/>
  <c r="AA83" i="22"/>
  <c r="L81" i="22"/>
  <c r="AT81" i="22" s="1"/>
  <c r="AS82" i="22" l="1"/>
  <c r="AV82" i="22"/>
  <c r="M83" i="22"/>
  <c r="L82" i="22"/>
  <c r="AT82" i="22" s="1"/>
  <c r="AQ82" i="22"/>
  <c r="AU82" i="22"/>
  <c r="Q84" i="22"/>
  <c r="Z84" i="22"/>
  <c r="S84" i="22"/>
  <c r="AC84" i="22"/>
  <c r="T84" i="22"/>
  <c r="AD84" i="22"/>
  <c r="U84" i="22"/>
  <c r="AE84" i="22"/>
  <c r="V84" i="22"/>
  <c r="AF84" i="22"/>
  <c r="B85" i="22"/>
  <c r="C84" i="22"/>
  <c r="D84" i="22" s="1"/>
  <c r="W84" i="22"/>
  <c r="AG84" i="22"/>
  <c r="X84" i="22"/>
  <c r="AA84" i="22"/>
  <c r="R84" i="22"/>
  <c r="AB84" i="22"/>
  <c r="N83" i="22"/>
  <c r="K83" i="22"/>
  <c r="E83" i="22"/>
  <c r="G83" i="22"/>
  <c r="I83" i="22"/>
  <c r="L83" i="22" l="1"/>
  <c r="AT83" i="22" s="1"/>
  <c r="AS83" i="22"/>
  <c r="G84" i="22"/>
  <c r="I84" i="22"/>
  <c r="K84" i="22"/>
  <c r="E84" i="22"/>
  <c r="AV83" i="22"/>
  <c r="Q85" i="22"/>
  <c r="Z85" i="22"/>
  <c r="R85" i="22"/>
  <c r="AA85" i="22"/>
  <c r="S85" i="22"/>
  <c r="AB85" i="22"/>
  <c r="T85" i="22"/>
  <c r="AC85" i="22"/>
  <c r="C85" i="22"/>
  <c r="D85" i="22" s="1"/>
  <c r="U85" i="22"/>
  <c r="AD85" i="22"/>
  <c r="V85" i="22"/>
  <c r="AE85" i="22"/>
  <c r="W85" i="22"/>
  <c r="AF85" i="22"/>
  <c r="X85" i="22"/>
  <c r="AG85" i="22"/>
  <c r="B86" i="22"/>
  <c r="AU83" i="22"/>
  <c r="AQ83" i="22"/>
  <c r="N84" i="22"/>
  <c r="M84" i="22"/>
  <c r="AS84" i="22" l="1"/>
  <c r="AV84" i="22"/>
  <c r="N85" i="22"/>
  <c r="G85" i="22"/>
  <c r="I85" i="22"/>
  <c r="K85" i="22"/>
  <c r="E85" i="22"/>
  <c r="M85" i="22"/>
  <c r="AU84" i="22"/>
  <c r="AQ84" i="22"/>
  <c r="C86" i="22"/>
  <c r="D86" i="22" s="1"/>
  <c r="U86" i="22"/>
  <c r="AD86" i="22"/>
  <c r="V86" i="22"/>
  <c r="AE86" i="22"/>
  <c r="W86" i="22"/>
  <c r="AF86" i="22"/>
  <c r="X86" i="22"/>
  <c r="AG86" i="22"/>
  <c r="B87" i="22"/>
  <c r="Q86" i="22"/>
  <c r="Z86" i="22"/>
  <c r="R86" i="22"/>
  <c r="AA86" i="22"/>
  <c r="S86" i="22"/>
  <c r="AB86" i="22"/>
  <c r="T86" i="22"/>
  <c r="AC86" i="22"/>
  <c r="L84" i="22"/>
  <c r="AT84" i="22" s="1"/>
  <c r="AS85" i="22" l="1"/>
  <c r="AV85" i="22"/>
  <c r="AQ85" i="22"/>
  <c r="AU85" i="22"/>
  <c r="M86" i="22"/>
  <c r="L85" i="22"/>
  <c r="AT85" i="22" s="1"/>
  <c r="N86" i="22"/>
  <c r="Q87" i="22"/>
  <c r="Z87" i="22"/>
  <c r="R87" i="22"/>
  <c r="AA87" i="22"/>
  <c r="S87" i="22"/>
  <c r="AB87" i="22"/>
  <c r="T87" i="22"/>
  <c r="AC87" i="22"/>
  <c r="C87" i="22"/>
  <c r="D87" i="22" s="1"/>
  <c r="U87" i="22"/>
  <c r="AD87" i="22"/>
  <c r="V87" i="22"/>
  <c r="AE87" i="22"/>
  <c r="W87" i="22"/>
  <c r="AF87" i="22"/>
  <c r="X87" i="22"/>
  <c r="AG87" i="22"/>
  <c r="B88" i="22"/>
  <c r="K86" i="22"/>
  <c r="E86" i="22"/>
  <c r="G86" i="22"/>
  <c r="I86" i="22"/>
  <c r="L86" i="22" l="1"/>
  <c r="AT86" i="22" s="1"/>
  <c r="C88" i="22"/>
  <c r="D88" i="22" s="1"/>
  <c r="U88" i="22"/>
  <c r="AD88" i="22"/>
  <c r="V88" i="22"/>
  <c r="AE88" i="22"/>
  <c r="W88" i="22"/>
  <c r="AF88" i="22"/>
  <c r="X88" i="22"/>
  <c r="AG88" i="22"/>
  <c r="B89" i="22"/>
  <c r="Q88" i="22"/>
  <c r="Z88" i="22"/>
  <c r="R88" i="22"/>
  <c r="AA88" i="22"/>
  <c r="S88" i="22"/>
  <c r="AB88" i="22"/>
  <c r="AC88" i="22"/>
  <c r="T88" i="22"/>
  <c r="N87" i="22"/>
  <c r="AS86" i="22"/>
  <c r="AV86" i="22"/>
  <c r="AU86" i="22"/>
  <c r="AQ86" i="22"/>
  <c r="G87" i="22"/>
  <c r="I87" i="22"/>
  <c r="K87" i="22"/>
  <c r="E87" i="22"/>
  <c r="M87" i="22"/>
  <c r="L87" i="22" l="1"/>
  <c r="AT87" i="22" s="1"/>
  <c r="AS87" i="22"/>
  <c r="AV87" i="22"/>
  <c r="N88" i="22"/>
  <c r="M88" i="22"/>
  <c r="Q89" i="22"/>
  <c r="R89" i="22"/>
  <c r="AA89" i="22"/>
  <c r="S89" i="22"/>
  <c r="AB89" i="22"/>
  <c r="T89" i="22"/>
  <c r="AC89" i="22"/>
  <c r="C89" i="22"/>
  <c r="D89" i="22" s="1"/>
  <c r="U89" i="22"/>
  <c r="AD89" i="22"/>
  <c r="W89" i="22"/>
  <c r="AF89" i="22"/>
  <c r="X89" i="22"/>
  <c r="B90" i="22"/>
  <c r="Z89" i="22"/>
  <c r="AE89" i="22"/>
  <c r="AG89" i="22"/>
  <c r="V89" i="22"/>
  <c r="K88" i="22"/>
  <c r="E88" i="22"/>
  <c r="G88" i="22"/>
  <c r="I88" i="22"/>
  <c r="AQ87" i="22"/>
  <c r="AU87" i="22"/>
  <c r="AS88" i="22" l="1"/>
  <c r="AV88" i="22"/>
  <c r="M89" i="22"/>
  <c r="AU88" i="22"/>
  <c r="AQ88" i="22"/>
  <c r="G89" i="22"/>
  <c r="I89" i="22"/>
  <c r="K89" i="22"/>
  <c r="E89" i="22"/>
  <c r="N89" i="22"/>
  <c r="L88" i="22"/>
  <c r="AT88" i="22" s="1"/>
  <c r="W90" i="22"/>
  <c r="AF90" i="22"/>
  <c r="Q90" i="22"/>
  <c r="Z90" i="22"/>
  <c r="S90" i="22"/>
  <c r="AB90" i="22"/>
  <c r="AD90" i="22"/>
  <c r="C90" i="22"/>
  <c r="D90" i="22" s="1"/>
  <c r="R90" i="22"/>
  <c r="AE90" i="22"/>
  <c r="T90" i="22"/>
  <c r="AG90" i="22"/>
  <c r="U90" i="22"/>
  <c r="V90" i="22"/>
  <c r="X90" i="22"/>
  <c r="AA90" i="22"/>
  <c r="AC90" i="22"/>
  <c r="B91" i="22"/>
  <c r="L89" i="22" l="1"/>
  <c r="AT89" i="22" s="1"/>
  <c r="N90" i="22"/>
  <c r="M90" i="22"/>
  <c r="AS89" i="22"/>
  <c r="S91" i="22"/>
  <c r="AB91" i="22"/>
  <c r="C91" i="22"/>
  <c r="D91" i="22" s="1"/>
  <c r="U91" i="22"/>
  <c r="AD91" i="22"/>
  <c r="W91" i="22"/>
  <c r="AF91" i="22"/>
  <c r="R91" i="22"/>
  <c r="AG91" i="22"/>
  <c r="T91" i="22"/>
  <c r="V91" i="22"/>
  <c r="X91" i="22"/>
  <c r="Z91" i="22"/>
  <c r="AA91" i="22"/>
  <c r="B92" i="22"/>
  <c r="AC91" i="22"/>
  <c r="Q91" i="22"/>
  <c r="AE91" i="22"/>
  <c r="AV89" i="22"/>
  <c r="AQ89" i="22"/>
  <c r="AU89" i="22"/>
  <c r="E90" i="22"/>
  <c r="G90" i="22"/>
  <c r="I90" i="22"/>
  <c r="K90" i="22"/>
  <c r="AS90" i="22" l="1"/>
  <c r="L90" i="22"/>
  <c r="AT90" i="22" s="1"/>
  <c r="AV90" i="22"/>
  <c r="N91" i="22"/>
  <c r="I91" i="22"/>
  <c r="K91" i="22"/>
  <c r="E91" i="22"/>
  <c r="G91" i="22"/>
  <c r="M91" i="22"/>
  <c r="AQ90" i="22"/>
  <c r="AU90" i="22"/>
  <c r="W92" i="22"/>
  <c r="AF92" i="22"/>
  <c r="Q92" i="22"/>
  <c r="Z92" i="22"/>
  <c r="S92" i="22"/>
  <c r="AB92" i="22"/>
  <c r="U92" i="22"/>
  <c r="V92" i="22"/>
  <c r="X92" i="22"/>
  <c r="AA92" i="22"/>
  <c r="AC92" i="22"/>
  <c r="B93" i="22"/>
  <c r="AD92" i="22"/>
  <c r="C92" i="22"/>
  <c r="D92" i="22" s="1"/>
  <c r="R92" i="22"/>
  <c r="AE92" i="22"/>
  <c r="T92" i="22"/>
  <c r="AG92" i="22"/>
  <c r="AS91" i="22" l="1"/>
  <c r="AQ91" i="22"/>
  <c r="AU91" i="22"/>
  <c r="AV91" i="22"/>
  <c r="N92" i="22"/>
  <c r="M92" i="22"/>
  <c r="L91" i="22"/>
  <c r="AT91" i="22" s="1"/>
  <c r="E92" i="22"/>
  <c r="G92" i="22"/>
  <c r="I92" i="22"/>
  <c r="K92" i="22"/>
  <c r="S93" i="22"/>
  <c r="AB93" i="22"/>
  <c r="C93" i="22"/>
  <c r="D93" i="22" s="1"/>
  <c r="U93" i="22"/>
  <c r="AD93" i="22"/>
  <c r="W93" i="22"/>
  <c r="AF93" i="22"/>
  <c r="X93" i="22"/>
  <c r="Z93" i="22"/>
  <c r="AA93" i="22"/>
  <c r="B94" i="22"/>
  <c r="AC93" i="22"/>
  <c r="Q93" i="22"/>
  <c r="AE93" i="22"/>
  <c r="R93" i="22"/>
  <c r="AG93" i="22"/>
  <c r="T93" i="22"/>
  <c r="V93" i="22"/>
  <c r="AS92" i="22" l="1"/>
  <c r="L92" i="22"/>
  <c r="AT92" i="22" s="1"/>
  <c r="AV92" i="22"/>
  <c r="M93" i="22"/>
  <c r="W94" i="22"/>
  <c r="Q94" i="22"/>
  <c r="Z94" i="22"/>
  <c r="V94" i="22"/>
  <c r="AG94" i="22"/>
  <c r="X94" i="22"/>
  <c r="AA94" i="22"/>
  <c r="C94" i="22"/>
  <c r="D94" i="22" s="1"/>
  <c r="AB94" i="22"/>
  <c r="R94" i="22"/>
  <c r="AC94" i="22"/>
  <c r="S94" i="22"/>
  <c r="AD94" i="22"/>
  <c r="T94" i="22"/>
  <c r="AE94" i="22"/>
  <c r="U94" i="22"/>
  <c r="AF94" i="22"/>
  <c r="B95" i="22"/>
  <c r="I93" i="22"/>
  <c r="K93" i="22"/>
  <c r="E93" i="22"/>
  <c r="G93" i="22"/>
  <c r="AQ92" i="22"/>
  <c r="AU92" i="22"/>
  <c r="N93" i="22"/>
  <c r="L93" i="22" l="1"/>
  <c r="AT93" i="22" s="1"/>
  <c r="AS93" i="22"/>
  <c r="AU93" i="22"/>
  <c r="AQ93" i="22"/>
  <c r="N94" i="22"/>
  <c r="C95" i="22"/>
  <c r="D95" i="22" s="1"/>
  <c r="U95" i="22"/>
  <c r="AD95" i="22"/>
  <c r="X95" i="22"/>
  <c r="Z95" i="22"/>
  <c r="Q95" i="22"/>
  <c r="AA95" i="22"/>
  <c r="R95" i="22"/>
  <c r="AB95" i="22"/>
  <c r="S95" i="22"/>
  <c r="AC95" i="22"/>
  <c r="T95" i="22"/>
  <c r="AE95" i="22"/>
  <c r="V95" i="22"/>
  <c r="AF95" i="22"/>
  <c r="B96" i="22"/>
  <c r="W95" i="22"/>
  <c r="AG95" i="22"/>
  <c r="M94" i="22"/>
  <c r="AV93" i="22"/>
  <c r="E94" i="22"/>
  <c r="G94" i="22"/>
  <c r="K94" i="22"/>
  <c r="I94" i="22"/>
  <c r="AS94" i="22" l="1"/>
  <c r="AQ94" i="22"/>
  <c r="AU94" i="22"/>
  <c r="N95" i="22"/>
  <c r="K95" i="22"/>
  <c r="E95" i="22"/>
  <c r="G95" i="22"/>
  <c r="I95" i="22"/>
  <c r="AV94" i="22"/>
  <c r="Q96" i="22"/>
  <c r="Z96" i="22"/>
  <c r="X96" i="22"/>
  <c r="AA96" i="22"/>
  <c r="R96" i="22"/>
  <c r="AB96" i="22"/>
  <c r="S96" i="22"/>
  <c r="T96" i="22"/>
  <c r="AD96" i="22"/>
  <c r="U96" i="22"/>
  <c r="AE96" i="22"/>
  <c r="V96" i="22"/>
  <c r="AF96" i="22"/>
  <c r="B97" i="22"/>
  <c r="C96" i="22"/>
  <c r="D96" i="22" s="1"/>
  <c r="W96" i="22"/>
  <c r="AC96" i="22"/>
  <c r="AG96" i="22"/>
  <c r="L94" i="22"/>
  <c r="AT94" i="22" s="1"/>
  <c r="M95" i="22"/>
  <c r="AS95" i="22" l="1"/>
  <c r="M96" i="22"/>
  <c r="AV95" i="22"/>
  <c r="AQ95" i="22"/>
  <c r="AU95" i="22"/>
  <c r="G96" i="22"/>
  <c r="E96" i="22"/>
  <c r="I96" i="22"/>
  <c r="K96" i="22"/>
  <c r="C97" i="22"/>
  <c r="D97" i="22" s="1"/>
  <c r="U97" i="22"/>
  <c r="AD97" i="22"/>
  <c r="V97" i="22"/>
  <c r="AE97" i="22"/>
  <c r="W97" i="22"/>
  <c r="AF97" i="22"/>
  <c r="Q97" i="22"/>
  <c r="Z97" i="22"/>
  <c r="R97" i="22"/>
  <c r="AA97" i="22"/>
  <c r="S97" i="22"/>
  <c r="AB97" i="22"/>
  <c r="B98" i="22"/>
  <c r="T97" i="22"/>
  <c r="X97" i="22"/>
  <c r="AC97" i="22"/>
  <c r="AG97" i="22"/>
  <c r="L95" i="22"/>
  <c r="AT95" i="22" s="1"/>
  <c r="N96" i="22"/>
  <c r="AS96" i="22" l="1"/>
  <c r="N97" i="22"/>
  <c r="K97" i="22"/>
  <c r="E97" i="22"/>
  <c r="G97" i="22"/>
  <c r="I97" i="22"/>
  <c r="M97" i="22"/>
  <c r="AV96" i="22"/>
  <c r="L96" i="22"/>
  <c r="AT96" i="22" s="1"/>
  <c r="Q98" i="22"/>
  <c r="Z98" i="22"/>
  <c r="R98" i="22"/>
  <c r="S98" i="22"/>
  <c r="AB98" i="22"/>
  <c r="C98" i="22"/>
  <c r="D98" i="22" s="1"/>
  <c r="U98" i="22"/>
  <c r="AD98" i="22"/>
  <c r="V98" i="22"/>
  <c r="AE98" i="22"/>
  <c r="W98" i="22"/>
  <c r="AF98" i="22"/>
  <c r="AC98" i="22"/>
  <c r="AG98" i="22"/>
  <c r="B99" i="22"/>
  <c r="T98" i="22"/>
  <c r="X98" i="22"/>
  <c r="AA98" i="22"/>
  <c r="AQ96" i="22"/>
  <c r="AU96" i="22"/>
  <c r="L97" i="22" l="1"/>
  <c r="AT97" i="22" s="1"/>
  <c r="N98" i="22"/>
  <c r="AU97" i="22"/>
  <c r="AQ97" i="22"/>
  <c r="M98" i="22"/>
  <c r="C99" i="22"/>
  <c r="D99" i="22" s="1"/>
  <c r="U99" i="22"/>
  <c r="AD99" i="22"/>
  <c r="W99" i="22"/>
  <c r="AF99" i="22"/>
  <c r="Q99" i="22"/>
  <c r="Z99" i="22"/>
  <c r="R99" i="22"/>
  <c r="AA99" i="22"/>
  <c r="S99" i="22"/>
  <c r="AB99" i="22"/>
  <c r="T99" i="22"/>
  <c r="B100" i="22"/>
  <c r="V99" i="22"/>
  <c r="X99" i="22"/>
  <c r="AC99" i="22"/>
  <c r="AE99" i="22"/>
  <c r="AG99" i="22"/>
  <c r="G98" i="22"/>
  <c r="I98" i="22"/>
  <c r="K98" i="22"/>
  <c r="E98" i="22"/>
  <c r="AS97" i="22"/>
  <c r="AV97" i="22"/>
  <c r="L98" i="22" l="1"/>
  <c r="AT98" i="22" s="1"/>
  <c r="K99" i="22"/>
  <c r="E99" i="22"/>
  <c r="G99" i="22"/>
  <c r="I99" i="22"/>
  <c r="AV98" i="22"/>
  <c r="AS98" i="22"/>
  <c r="M99" i="22"/>
  <c r="AU98" i="22"/>
  <c r="AQ98" i="22"/>
  <c r="Q100" i="22"/>
  <c r="Z100" i="22"/>
  <c r="C100" i="22"/>
  <c r="D100" i="22" s="1"/>
  <c r="U100" i="22"/>
  <c r="AD100" i="22"/>
  <c r="V100" i="22"/>
  <c r="AE100" i="22"/>
  <c r="W100" i="22"/>
  <c r="AF100" i="22"/>
  <c r="S100" i="22"/>
  <c r="T100" i="22"/>
  <c r="X100" i="22"/>
  <c r="B101" i="22"/>
  <c r="AA100" i="22"/>
  <c r="AB100" i="22"/>
  <c r="AC100" i="22"/>
  <c r="AG100" i="22"/>
  <c r="R100" i="22"/>
  <c r="N99" i="22"/>
  <c r="AS99" i="22" l="1"/>
  <c r="L99" i="22"/>
  <c r="AT99" i="22" s="1"/>
  <c r="N100" i="22"/>
  <c r="AV99" i="22"/>
  <c r="M100" i="22"/>
  <c r="AQ99" i="22"/>
  <c r="AU99" i="22"/>
  <c r="C101" i="22"/>
  <c r="D101" i="22" s="1"/>
  <c r="U101" i="22"/>
  <c r="AD101" i="22"/>
  <c r="Q101" i="22"/>
  <c r="Z101" i="22"/>
  <c r="R101" i="22"/>
  <c r="AA101" i="22"/>
  <c r="S101" i="22"/>
  <c r="AB101" i="22"/>
  <c r="AF101" i="22"/>
  <c r="AG101" i="22"/>
  <c r="T101" i="22"/>
  <c r="V101" i="22"/>
  <c r="W101" i="22"/>
  <c r="X101" i="22"/>
  <c r="AC101" i="22"/>
  <c r="B102" i="22"/>
  <c r="AE101" i="22"/>
  <c r="G100" i="22"/>
  <c r="I100" i="22"/>
  <c r="K100" i="22"/>
  <c r="E100" i="22"/>
  <c r="AS100" i="22" l="1"/>
  <c r="L100" i="22"/>
  <c r="C102" i="22"/>
  <c r="D102" i="22" s="1"/>
  <c r="U102" i="22"/>
  <c r="AD102" i="22"/>
  <c r="V102" i="22"/>
  <c r="AE102" i="22"/>
  <c r="W102" i="22"/>
  <c r="AF102" i="22"/>
  <c r="T102" i="22"/>
  <c r="X102" i="22"/>
  <c r="Z102" i="22"/>
  <c r="AA102" i="22"/>
  <c r="B103" i="22"/>
  <c r="AB102" i="22"/>
  <c r="Q102" i="22"/>
  <c r="AC102" i="22"/>
  <c r="R102" i="22"/>
  <c r="AG102" i="22"/>
  <c r="S102" i="22"/>
  <c r="N101" i="22"/>
  <c r="AT100" i="22"/>
  <c r="AU100" i="22"/>
  <c r="AQ100" i="22"/>
  <c r="M101" i="22"/>
  <c r="AV100" i="22"/>
  <c r="K101" i="22"/>
  <c r="G101" i="22"/>
  <c r="I101" i="22"/>
  <c r="E101" i="22"/>
  <c r="M102" i="22" l="1"/>
  <c r="AQ101" i="22"/>
  <c r="AU101" i="22"/>
  <c r="Q103" i="22"/>
  <c r="Z103" i="22"/>
  <c r="R103" i="22"/>
  <c r="AA103" i="22"/>
  <c r="S103" i="22"/>
  <c r="AB103" i="22"/>
  <c r="W103" i="22"/>
  <c r="X103" i="22"/>
  <c r="AC103" i="22"/>
  <c r="AD103" i="22"/>
  <c r="B104" i="22"/>
  <c r="C103" i="22"/>
  <c r="D103" i="22" s="1"/>
  <c r="AE103" i="22"/>
  <c r="T103" i="22"/>
  <c r="AF103" i="22"/>
  <c r="U103" i="22"/>
  <c r="AG103" i="22"/>
  <c r="V103" i="22"/>
  <c r="AS101" i="22"/>
  <c r="L101" i="22"/>
  <c r="AT101" i="22" s="1"/>
  <c r="AV101" i="22"/>
  <c r="N102" i="22"/>
  <c r="K102" i="22"/>
  <c r="E102" i="22"/>
  <c r="G102" i="22"/>
  <c r="I102" i="22"/>
  <c r="L102" i="22" l="1"/>
  <c r="AT102" i="22" s="1"/>
  <c r="AS102" i="22"/>
  <c r="C104" i="22"/>
  <c r="D104" i="22" s="1"/>
  <c r="U104" i="22"/>
  <c r="AD104" i="22"/>
  <c r="V104" i="22"/>
  <c r="AE104" i="22"/>
  <c r="W104" i="22"/>
  <c r="AF104" i="22"/>
  <c r="AA104" i="22"/>
  <c r="B105" i="22"/>
  <c r="AB104" i="22"/>
  <c r="Q104" i="22"/>
  <c r="AC104" i="22"/>
  <c r="R104" i="22"/>
  <c r="AG104" i="22"/>
  <c r="S104" i="22"/>
  <c r="T104" i="22"/>
  <c r="X104" i="22"/>
  <c r="Z104" i="22"/>
  <c r="N103" i="22"/>
  <c r="M103" i="22"/>
  <c r="AV102" i="22"/>
  <c r="AU102" i="22"/>
  <c r="AQ102" i="22"/>
  <c r="G103" i="22"/>
  <c r="I103" i="22"/>
  <c r="K103" i="22"/>
  <c r="E103" i="22"/>
  <c r="AS103" i="22" l="1"/>
  <c r="L103" i="22"/>
  <c r="AT103" i="22" s="1"/>
  <c r="AV103" i="22"/>
  <c r="M104" i="22"/>
  <c r="N104" i="22"/>
  <c r="Q105" i="22"/>
  <c r="Z105" i="22"/>
  <c r="R105" i="22"/>
  <c r="AA105" i="22"/>
  <c r="S105" i="22"/>
  <c r="AB105" i="22"/>
  <c r="AD105" i="22"/>
  <c r="B106" i="22"/>
  <c r="C105" i="22"/>
  <c r="D105" i="22" s="1"/>
  <c r="AE105" i="22"/>
  <c r="T105" i="22"/>
  <c r="AF105" i="22"/>
  <c r="U105" i="22"/>
  <c r="AG105" i="22"/>
  <c r="V105" i="22"/>
  <c r="W105" i="22"/>
  <c r="X105" i="22"/>
  <c r="AC105" i="22"/>
  <c r="K104" i="22"/>
  <c r="E104" i="22"/>
  <c r="G104" i="22"/>
  <c r="I104" i="22"/>
  <c r="AQ103" i="22"/>
  <c r="AU103" i="22"/>
  <c r="AS104" i="22" l="1"/>
  <c r="L104" i="22"/>
  <c r="AT104" i="22" s="1"/>
  <c r="AU104" i="22"/>
  <c r="AQ104" i="22"/>
  <c r="N105" i="22"/>
  <c r="M105" i="22"/>
  <c r="C106" i="22"/>
  <c r="D106" i="22" s="1"/>
  <c r="U106" i="22"/>
  <c r="AD106" i="22"/>
  <c r="V106" i="22"/>
  <c r="AE106" i="22"/>
  <c r="R106" i="22"/>
  <c r="AC106" i="22"/>
  <c r="B107" i="22"/>
  <c r="S106" i="22"/>
  <c r="AF106" i="22"/>
  <c r="T106" i="22"/>
  <c r="AG106" i="22"/>
  <c r="W106" i="22"/>
  <c r="X106" i="22"/>
  <c r="Z106" i="22"/>
  <c r="AA106" i="22"/>
  <c r="Q106" i="22"/>
  <c r="AB106" i="22"/>
  <c r="G105" i="22"/>
  <c r="I105" i="22"/>
  <c r="E105" i="22"/>
  <c r="K105" i="22"/>
  <c r="AV104" i="22"/>
  <c r="M106" i="22" l="1"/>
  <c r="AS105" i="22"/>
  <c r="K106" i="22"/>
  <c r="E106" i="22"/>
  <c r="G106" i="22"/>
  <c r="I106" i="22"/>
  <c r="Q107" i="22"/>
  <c r="Z107" i="22"/>
  <c r="R107" i="22"/>
  <c r="AA107" i="22"/>
  <c r="X107" i="22"/>
  <c r="C107" i="22"/>
  <c r="D107" i="22" s="1"/>
  <c r="AB107" i="22"/>
  <c r="AC107" i="22"/>
  <c r="S107" i="22"/>
  <c r="AD107" i="22"/>
  <c r="T107" i="22"/>
  <c r="AE107" i="22"/>
  <c r="B108" i="22"/>
  <c r="U107" i="22"/>
  <c r="AF107" i="22"/>
  <c r="V107" i="22"/>
  <c r="AG107" i="22"/>
  <c r="W107" i="22"/>
  <c r="N106" i="22"/>
  <c r="L106" i="22" s="1"/>
  <c r="AQ105" i="22"/>
  <c r="AU105" i="22"/>
  <c r="L105" i="22"/>
  <c r="AT105" i="22" s="1"/>
  <c r="AV105" i="22"/>
  <c r="AS106" i="22" l="1"/>
  <c r="AV106" i="22"/>
  <c r="AU106" i="22"/>
  <c r="AQ106" i="22"/>
  <c r="G107" i="22"/>
  <c r="E107" i="22"/>
  <c r="I107" i="22"/>
  <c r="K107" i="22"/>
  <c r="AT106" i="22"/>
  <c r="M107" i="22"/>
  <c r="C108" i="22"/>
  <c r="D108" i="22" s="1"/>
  <c r="U108" i="22"/>
  <c r="AD108" i="22"/>
  <c r="V108" i="22"/>
  <c r="AE108" i="22"/>
  <c r="T108" i="22"/>
  <c r="AG108" i="22"/>
  <c r="W108" i="22"/>
  <c r="X108" i="22"/>
  <c r="Z108" i="22"/>
  <c r="AA108" i="22"/>
  <c r="Q108" i="22"/>
  <c r="AB108" i="22"/>
  <c r="R108" i="22"/>
  <c r="AC108" i="22"/>
  <c r="B109" i="22"/>
  <c r="AF108" i="22"/>
  <c r="S108" i="22"/>
  <c r="N107" i="22"/>
  <c r="N108" i="22" l="1"/>
  <c r="K108" i="22"/>
  <c r="I108" i="22"/>
  <c r="E108" i="22"/>
  <c r="G108" i="22"/>
  <c r="AS107" i="22"/>
  <c r="Q109" i="22"/>
  <c r="Z109" i="22"/>
  <c r="X109" i="22"/>
  <c r="AA109" i="22"/>
  <c r="R109" i="22"/>
  <c r="AB109" i="22"/>
  <c r="S109" i="22"/>
  <c r="AC109" i="22"/>
  <c r="T109" i="22"/>
  <c r="AD109" i="22"/>
  <c r="U109" i="22"/>
  <c r="V109" i="22"/>
  <c r="AF109" i="22"/>
  <c r="B110" i="22"/>
  <c r="C109" i="22"/>
  <c r="D109" i="22" s="1"/>
  <c r="W109" i="22"/>
  <c r="AE109" i="22"/>
  <c r="AG109" i="22"/>
  <c r="M108" i="22"/>
  <c r="AV107" i="22"/>
  <c r="L107" i="22"/>
  <c r="AT107" i="22" s="1"/>
  <c r="AQ107" i="22"/>
  <c r="AU107" i="22"/>
  <c r="L108" i="22" l="1"/>
  <c r="AS108" i="22"/>
  <c r="N109" i="22"/>
  <c r="AV108" i="22"/>
  <c r="AU108" i="22"/>
  <c r="AQ108" i="22"/>
  <c r="M109" i="22"/>
  <c r="G109" i="22"/>
  <c r="E109" i="22"/>
  <c r="I109" i="22"/>
  <c r="K109" i="22"/>
  <c r="AT108" i="22"/>
  <c r="V110" i="22"/>
  <c r="AE110" i="22"/>
  <c r="X110" i="22"/>
  <c r="AG110" i="22"/>
  <c r="B111" i="22"/>
  <c r="Q110" i="22"/>
  <c r="Z110" i="22"/>
  <c r="R110" i="22"/>
  <c r="AA110" i="22"/>
  <c r="T110" i="22"/>
  <c r="AC110" i="22"/>
  <c r="S110" i="22"/>
  <c r="U110" i="22"/>
  <c r="W110" i="22"/>
  <c r="AB110" i="22"/>
  <c r="AD110" i="22"/>
  <c r="C110" i="22"/>
  <c r="D110" i="22" s="1"/>
  <c r="AF110" i="22"/>
  <c r="AS109" i="22" l="1"/>
  <c r="L109" i="22"/>
  <c r="AT109" i="22" s="1"/>
  <c r="N110" i="22"/>
  <c r="M110" i="22"/>
  <c r="AV109" i="22"/>
  <c r="T111" i="22"/>
  <c r="AC111" i="22"/>
  <c r="V111" i="22"/>
  <c r="AE111" i="22"/>
  <c r="X111" i="22"/>
  <c r="AG111" i="22"/>
  <c r="B112" i="22"/>
  <c r="W111" i="22"/>
  <c r="Z111" i="22"/>
  <c r="AA111" i="22"/>
  <c r="AB111" i="22"/>
  <c r="Q111" i="22"/>
  <c r="AD111" i="22"/>
  <c r="C111" i="22"/>
  <c r="D111" i="22" s="1"/>
  <c r="R111" i="22"/>
  <c r="AF111" i="22"/>
  <c r="S111" i="22"/>
  <c r="U111" i="22"/>
  <c r="AQ109" i="22"/>
  <c r="AU109" i="22"/>
  <c r="E110" i="22"/>
  <c r="G110" i="22"/>
  <c r="I110" i="22"/>
  <c r="K110" i="22"/>
  <c r="L110" i="22" l="1"/>
  <c r="AT110" i="22" s="1"/>
  <c r="AV110" i="22"/>
  <c r="M111" i="22"/>
  <c r="X112" i="22"/>
  <c r="AG112" i="22"/>
  <c r="B113" i="22"/>
  <c r="R112" i="22"/>
  <c r="AA112" i="22"/>
  <c r="T112" i="22"/>
  <c r="AC112" i="22"/>
  <c r="Z112" i="22"/>
  <c r="AB112" i="22"/>
  <c r="AD112" i="22"/>
  <c r="C112" i="22"/>
  <c r="D112" i="22" s="1"/>
  <c r="Q112" i="22"/>
  <c r="AE112" i="22"/>
  <c r="S112" i="22"/>
  <c r="AF112" i="22"/>
  <c r="W112" i="22"/>
  <c r="U112" i="22"/>
  <c r="V112" i="22"/>
  <c r="AQ110" i="22"/>
  <c r="AU110" i="22"/>
  <c r="N111" i="22"/>
  <c r="AS110" i="22"/>
  <c r="I111" i="22"/>
  <c r="K111" i="22"/>
  <c r="E111" i="22"/>
  <c r="G111" i="22"/>
  <c r="AS111" i="22" l="1"/>
  <c r="N112" i="22"/>
  <c r="L111" i="22"/>
  <c r="M112" i="22"/>
  <c r="AU111" i="22"/>
  <c r="AQ111" i="22"/>
  <c r="K112" i="22"/>
  <c r="E112" i="22"/>
  <c r="G112" i="22"/>
  <c r="I112" i="22"/>
  <c r="T113" i="22"/>
  <c r="AC113" i="22"/>
  <c r="V113" i="22"/>
  <c r="AE113" i="22"/>
  <c r="X113" i="22"/>
  <c r="AG113" i="22"/>
  <c r="B114" i="22"/>
  <c r="AB113" i="22"/>
  <c r="Q113" i="22"/>
  <c r="AD113" i="22"/>
  <c r="C113" i="22"/>
  <c r="D113" i="22" s="1"/>
  <c r="R113" i="22"/>
  <c r="AF113" i="22"/>
  <c r="S113" i="22"/>
  <c r="U113" i="22"/>
  <c r="W113" i="22"/>
  <c r="Z113" i="22"/>
  <c r="AA113" i="22"/>
  <c r="AV111" i="22"/>
  <c r="AT111" i="22"/>
  <c r="AS112" i="22" l="1"/>
  <c r="L112" i="22"/>
  <c r="AT112" i="22" s="1"/>
  <c r="AV112" i="22"/>
  <c r="N113" i="22"/>
  <c r="M113" i="22"/>
  <c r="AQ112" i="22"/>
  <c r="AU112" i="22"/>
  <c r="E113" i="22"/>
  <c r="G113" i="22"/>
  <c r="K113" i="22"/>
  <c r="I113" i="22"/>
  <c r="X114" i="22"/>
  <c r="AG114" i="22"/>
  <c r="B115" i="22"/>
  <c r="R114" i="22"/>
  <c r="AA114" i="22"/>
  <c r="T114" i="22"/>
  <c r="AC114" i="22"/>
  <c r="C114" i="22"/>
  <c r="D114" i="22" s="1"/>
  <c r="Q114" i="22"/>
  <c r="AE114" i="22"/>
  <c r="S114" i="22"/>
  <c r="AF114" i="22"/>
  <c r="U114" i="22"/>
  <c r="V114" i="22"/>
  <c r="W114" i="22"/>
  <c r="Z114" i="22"/>
  <c r="AD114" i="22"/>
  <c r="AB114" i="22"/>
  <c r="L113" i="22" l="1"/>
  <c r="AT113" i="22" s="1"/>
  <c r="M114" i="22"/>
  <c r="N114" i="22"/>
  <c r="E114" i="22"/>
  <c r="G114" i="22"/>
  <c r="I114" i="22"/>
  <c r="K114" i="22"/>
  <c r="AU113" i="22"/>
  <c r="AQ113" i="22"/>
  <c r="AS113" i="22"/>
  <c r="T115" i="22"/>
  <c r="AC115" i="22"/>
  <c r="V115" i="22"/>
  <c r="AE115" i="22"/>
  <c r="X115" i="22"/>
  <c r="AG115" i="22"/>
  <c r="B116" i="22"/>
  <c r="S115" i="22"/>
  <c r="U115" i="22"/>
  <c r="W115" i="22"/>
  <c r="Z115" i="22"/>
  <c r="C115" i="22"/>
  <c r="D115" i="22" s="1"/>
  <c r="AF115" i="22"/>
  <c r="AA115" i="22"/>
  <c r="AB115" i="22"/>
  <c r="Q115" i="22"/>
  <c r="AD115" i="22"/>
  <c r="R115" i="22"/>
  <c r="AV113" i="22"/>
  <c r="AS114" i="22" l="1"/>
  <c r="N115" i="22"/>
  <c r="L114" i="22"/>
  <c r="AT114" i="22" s="1"/>
  <c r="AQ114" i="22"/>
  <c r="AU114" i="22"/>
  <c r="AV114" i="22"/>
  <c r="M115" i="22"/>
  <c r="X116" i="22"/>
  <c r="AG116" i="22"/>
  <c r="B117" i="22"/>
  <c r="R116" i="22"/>
  <c r="AA116" i="22"/>
  <c r="T116" i="22"/>
  <c r="AC116" i="22"/>
  <c r="V116" i="22"/>
  <c r="W116" i="22"/>
  <c r="Z116" i="22"/>
  <c r="AB116" i="22"/>
  <c r="AD116" i="22"/>
  <c r="C116" i="22"/>
  <c r="D116" i="22" s="1"/>
  <c r="Q116" i="22"/>
  <c r="AE116" i="22"/>
  <c r="U116" i="22"/>
  <c r="S116" i="22"/>
  <c r="AF116" i="22"/>
  <c r="E115" i="22"/>
  <c r="G115" i="22"/>
  <c r="I115" i="22"/>
  <c r="K115" i="22"/>
  <c r="L115" i="22" l="1"/>
  <c r="AT115" i="22" s="1"/>
  <c r="M116" i="22"/>
  <c r="G116" i="22"/>
  <c r="I116" i="22"/>
  <c r="K116" i="22"/>
  <c r="E116" i="22"/>
  <c r="AV115" i="22"/>
  <c r="T117" i="22"/>
  <c r="AC117" i="22"/>
  <c r="X117" i="22"/>
  <c r="AG117" i="22"/>
  <c r="B118" i="22"/>
  <c r="U117" i="22"/>
  <c r="AF117" i="22"/>
  <c r="V117" i="22"/>
  <c r="W117" i="22"/>
  <c r="Z117" i="22"/>
  <c r="C117" i="22"/>
  <c r="D117" i="22" s="1"/>
  <c r="AA117" i="22"/>
  <c r="Q117" i="22"/>
  <c r="AE117" i="22"/>
  <c r="AB117" i="22"/>
  <c r="R117" i="22"/>
  <c r="AD117" i="22"/>
  <c r="S117" i="22"/>
  <c r="AU115" i="22"/>
  <c r="AQ115" i="22"/>
  <c r="AS115" i="22"/>
  <c r="N116" i="22"/>
  <c r="L116" i="22" s="1"/>
  <c r="AS116" i="22" l="1"/>
  <c r="I117" i="22"/>
  <c r="K117" i="22"/>
  <c r="G117" i="22"/>
  <c r="E117" i="22"/>
  <c r="AQ116" i="22"/>
  <c r="AU116" i="22"/>
  <c r="N117" i="22"/>
  <c r="AV116" i="22"/>
  <c r="AT116" i="22"/>
  <c r="M117" i="22"/>
  <c r="X118" i="22"/>
  <c r="AG118" i="22"/>
  <c r="B119" i="22"/>
  <c r="T118" i="22"/>
  <c r="AC118" i="22"/>
  <c r="Q118" i="22"/>
  <c r="AB118" i="22"/>
  <c r="R118" i="22"/>
  <c r="AD118" i="22"/>
  <c r="S118" i="22"/>
  <c r="AE118" i="22"/>
  <c r="U118" i="22"/>
  <c r="AF118" i="22"/>
  <c r="C118" i="22"/>
  <c r="D118" i="22" s="1"/>
  <c r="V118" i="22"/>
  <c r="W118" i="22"/>
  <c r="AA118" i="22"/>
  <c r="Z118" i="22"/>
  <c r="AS117" i="22" l="1"/>
  <c r="M118" i="22"/>
  <c r="E118" i="22"/>
  <c r="G118" i="22"/>
  <c r="I118" i="22"/>
  <c r="K118" i="22"/>
  <c r="AQ117" i="22"/>
  <c r="AU117" i="22"/>
  <c r="T119" i="22"/>
  <c r="AC119" i="22"/>
  <c r="X119" i="22"/>
  <c r="AG119" i="22"/>
  <c r="W119" i="22"/>
  <c r="Z119" i="22"/>
  <c r="C119" i="22"/>
  <c r="D119" i="22" s="1"/>
  <c r="AA119" i="22"/>
  <c r="Q119" i="22"/>
  <c r="AB119" i="22"/>
  <c r="R119" i="22"/>
  <c r="AD119" i="22"/>
  <c r="AE119" i="22"/>
  <c r="B120" i="22"/>
  <c r="V119" i="22"/>
  <c r="S119" i="22"/>
  <c r="U119" i="22"/>
  <c r="AF119" i="22"/>
  <c r="L117" i="22"/>
  <c r="AT117" i="22" s="1"/>
  <c r="N118" i="22"/>
  <c r="AV117" i="22"/>
  <c r="L118" i="22" l="1"/>
  <c r="AS118" i="22"/>
  <c r="Q120" i="22"/>
  <c r="Z120" i="22"/>
  <c r="R120" i="22"/>
  <c r="AA120" i="22"/>
  <c r="S120" i="22"/>
  <c r="AB120" i="22"/>
  <c r="T120" i="22"/>
  <c r="AC120" i="22"/>
  <c r="AE120" i="22"/>
  <c r="X120" i="22"/>
  <c r="U120" i="22"/>
  <c r="AD120" i="22"/>
  <c r="V120" i="22"/>
  <c r="B121" i="22"/>
  <c r="AG120" i="22"/>
  <c r="C120" i="22"/>
  <c r="D120" i="22" s="1"/>
  <c r="W120" i="22"/>
  <c r="AF120" i="22"/>
  <c r="AU118" i="22"/>
  <c r="AQ118" i="22"/>
  <c r="AT118" i="22"/>
  <c r="M119" i="22"/>
  <c r="AV118" i="22"/>
  <c r="K119" i="22"/>
  <c r="I119" i="22"/>
  <c r="E119" i="22"/>
  <c r="G119" i="22"/>
  <c r="N119" i="22"/>
  <c r="M120" i="22" l="1"/>
  <c r="E120" i="22"/>
  <c r="G120" i="22"/>
  <c r="I120" i="22"/>
  <c r="K120" i="22"/>
  <c r="AQ119" i="22"/>
  <c r="AU119" i="22"/>
  <c r="C121" i="22"/>
  <c r="D121" i="22" s="1"/>
  <c r="U121" i="22"/>
  <c r="AD121" i="22"/>
  <c r="V121" i="22"/>
  <c r="AE121" i="22"/>
  <c r="W121" i="22"/>
  <c r="AF121" i="22"/>
  <c r="X121" i="22"/>
  <c r="AG121" i="22"/>
  <c r="B122" i="22"/>
  <c r="AC121" i="22"/>
  <c r="Q121" i="22"/>
  <c r="Z121" i="22"/>
  <c r="AA121" i="22"/>
  <c r="T121" i="22"/>
  <c r="R121" i="22"/>
  <c r="S121" i="22"/>
  <c r="AB121" i="22"/>
  <c r="AS119" i="22"/>
  <c r="L119" i="22"/>
  <c r="AT119" i="22" s="1"/>
  <c r="AV119" i="22"/>
  <c r="N120" i="22"/>
  <c r="L120" i="22" l="1"/>
  <c r="AT120" i="22" s="1"/>
  <c r="M121" i="22"/>
  <c r="AS120" i="22"/>
  <c r="N121" i="22"/>
  <c r="AV120" i="22"/>
  <c r="Q122" i="22"/>
  <c r="Z122" i="22"/>
  <c r="AA122" i="22"/>
  <c r="T122" i="22"/>
  <c r="AC122" i="22"/>
  <c r="AE122" i="22"/>
  <c r="B123" i="22"/>
  <c r="C122" i="22"/>
  <c r="D122" i="22" s="1"/>
  <c r="U122" i="22"/>
  <c r="AD122" i="22"/>
  <c r="AB122" i="22"/>
  <c r="V122" i="22"/>
  <c r="X122" i="22"/>
  <c r="W122" i="22"/>
  <c r="AF122" i="22"/>
  <c r="AG122" i="22"/>
  <c r="R122" i="22"/>
  <c r="S122" i="22"/>
  <c r="K121" i="22"/>
  <c r="E121" i="22"/>
  <c r="G121" i="22"/>
  <c r="I121" i="22"/>
  <c r="AQ120" i="22"/>
  <c r="AU120" i="22"/>
  <c r="L121" i="22" l="1"/>
  <c r="N122" i="22"/>
  <c r="AV121" i="22"/>
  <c r="M122" i="22"/>
  <c r="AS121" i="22"/>
  <c r="AU121" i="22"/>
  <c r="AQ121" i="22"/>
  <c r="AT121" i="22"/>
  <c r="G122" i="22"/>
  <c r="I122" i="22"/>
  <c r="K122" i="22"/>
  <c r="E122" i="22"/>
  <c r="C123" i="22"/>
  <c r="D123" i="22" s="1"/>
  <c r="U123" i="22"/>
  <c r="AD123" i="22"/>
  <c r="AE123" i="22"/>
  <c r="AF123" i="22"/>
  <c r="X123" i="22"/>
  <c r="AG123" i="22"/>
  <c r="AA123" i="22"/>
  <c r="T123" i="22"/>
  <c r="W123" i="22"/>
  <c r="Q123" i="22"/>
  <c r="Z123" i="22"/>
  <c r="R123" i="22"/>
  <c r="AC123" i="22"/>
  <c r="V123" i="22"/>
  <c r="S123" i="22"/>
  <c r="AB123" i="22"/>
  <c r="AS122" i="22" l="1"/>
  <c r="L122" i="22"/>
  <c r="AT122" i="22" s="1"/>
  <c r="AU122" i="22"/>
  <c r="AQ122" i="22"/>
  <c r="N123" i="22"/>
  <c r="AV122" i="22"/>
  <c r="M123" i="22"/>
  <c r="K123" i="22"/>
  <c r="G123" i="22"/>
  <c r="E123" i="22"/>
  <c r="I123" i="22"/>
  <c r="AS123" i="22" l="1"/>
  <c r="AS47" i="22" s="1"/>
  <c r="AU123" i="22"/>
  <c r="AU47" i="22" s="1"/>
  <c r="AQ123" i="22"/>
  <c r="AQ47" i="22" s="1"/>
  <c r="AV123" i="22"/>
  <c r="AV47" i="22" s="1"/>
  <c r="AR47" i="22"/>
  <c r="L123" i="22"/>
  <c r="AT123" i="22" s="1"/>
  <c r="AT47" i="22" s="1"/>
  <c r="AP47" i="22"/>
  <c r="B7" i="22" l="1"/>
  <c r="C7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Home</author>
  </authors>
  <commentList>
    <comment ref="H1" authorId="0" shapeId="0" xr:uid="{00000000-0006-0000-0100-000001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*10^(-3)
</t>
        </r>
      </text>
    </comment>
    <comment ref="I1" authorId="0" shapeId="0" xr:uid="{00000000-0006-0000-0100-000002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*10^6
</t>
        </r>
      </text>
    </comment>
    <comment ref="J1" authorId="0" shapeId="0" xr:uid="{00000000-0006-0000-0100-000003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" authorId="0" shapeId="0" xr:uid="{00000000-0006-0000-0100-000004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  <comment ref="H27" authorId="0" shapeId="0" xr:uid="{00000000-0006-0000-0100-000005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*10^(-3)
</t>
        </r>
      </text>
    </comment>
    <comment ref="I27" authorId="0" shapeId="0" xr:uid="{00000000-0006-0000-0100-000006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*10^6
</t>
        </r>
      </text>
    </comment>
    <comment ref="J27" authorId="0" shapeId="0" xr:uid="{00000000-0006-0000-0100-000007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27" authorId="0" shapeId="0" xr:uid="{00000000-0006-0000-0100-000008000000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1" authorId="0" shapeId="0" xr:uid="{9D0DE95D-BD29-4484-88C5-A52AB9C13399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O1" authorId="0" shapeId="0" xr:uid="{00000000-0006-0000-0300-000001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Метка
1 - был в CTC
2 - из Milke
4 - из AutoTech
3 - свое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</authors>
  <commentList>
    <comment ref="D10" authorId="0" shapeId="0" xr:uid="{00000000-0006-0000-0400-000001000000}">
      <text>
        <r>
          <rPr>
            <b/>
            <sz val="11"/>
            <color indexed="81"/>
            <rFont val="Tahoma"/>
            <family val="2"/>
            <charset val="204"/>
          </rPr>
          <t>IlIa:</t>
        </r>
        <r>
          <rPr>
            <sz val="11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<sst xmlns="http://schemas.openxmlformats.org/spreadsheetml/2006/main" count="1355" uniqueCount="185">
  <si>
    <t>f1</t>
  </si>
  <si>
    <t xml:space="preserve"> +f2 lnx</t>
  </si>
  <si>
    <t xml:space="preserve"> +f3 /x^2</t>
  </si>
  <si>
    <t xml:space="preserve"> +f4 /x</t>
  </si>
  <si>
    <t xml:space="preserve">  +f5 x</t>
  </si>
  <si>
    <t xml:space="preserve"> +f6 x^2</t>
  </si>
  <si>
    <t xml:space="preserve"> +f7 x^3</t>
  </si>
  <si>
    <t>h0</t>
  </si>
  <si>
    <t>φ1</t>
  </si>
  <si>
    <r>
      <t>φ2</t>
    </r>
    <r>
      <rPr>
        <sz val="16"/>
        <color theme="1"/>
        <rFont val="Calibri"/>
        <family val="2"/>
        <charset val="204"/>
        <scheme val="minor"/>
      </rPr>
      <t/>
    </r>
  </si>
  <si>
    <r>
      <t>φ3</t>
    </r>
    <r>
      <rPr>
        <sz val="16"/>
        <color theme="1"/>
        <rFont val="Calibri"/>
        <family val="2"/>
        <charset val="204"/>
        <scheme val="minor"/>
      </rPr>
      <t/>
    </r>
  </si>
  <si>
    <r>
      <t>φ4</t>
    </r>
    <r>
      <rPr>
        <sz val="16"/>
        <color theme="1"/>
        <rFont val="Calibri"/>
        <family val="2"/>
        <charset val="204"/>
        <scheme val="minor"/>
      </rPr>
      <t/>
    </r>
  </si>
  <si>
    <r>
      <t>φ5</t>
    </r>
    <r>
      <rPr>
        <sz val="16"/>
        <color theme="1"/>
        <rFont val="Calibri"/>
        <family val="2"/>
        <charset val="204"/>
        <scheme val="minor"/>
      </rPr>
      <t/>
    </r>
  </si>
  <si>
    <r>
      <t>φ6</t>
    </r>
    <r>
      <rPr>
        <sz val="16"/>
        <color theme="1"/>
        <rFont val="Calibri"/>
        <family val="2"/>
        <charset val="204"/>
        <scheme val="minor"/>
      </rPr>
      <t/>
    </r>
  </si>
  <si>
    <r>
      <t>φ7</t>
    </r>
    <r>
      <rPr>
        <sz val="16"/>
        <color theme="1"/>
        <rFont val="Calibri"/>
        <family val="2"/>
        <charset val="204"/>
        <scheme val="minor"/>
      </rPr>
      <t/>
    </r>
  </si>
  <si>
    <t>*Yb</t>
  </si>
  <si>
    <t>Yb</t>
  </si>
  <si>
    <t>YbO</t>
  </si>
  <si>
    <t>*Yb2O3</t>
  </si>
  <si>
    <t>*Er</t>
  </si>
  <si>
    <t>Er</t>
  </si>
  <si>
    <t>ErO</t>
  </si>
  <si>
    <t>*Er2O3</t>
  </si>
  <si>
    <t>*Tm</t>
  </si>
  <si>
    <t>Tm</t>
  </si>
  <si>
    <t>TmO</t>
  </si>
  <si>
    <t>*Tm2O3</t>
  </si>
  <si>
    <t>SiO2</t>
  </si>
  <si>
    <t xml:space="preserve">Al2O3 </t>
  </si>
  <si>
    <t xml:space="preserve">Al6Si2O13 </t>
  </si>
  <si>
    <t>*Ho</t>
  </si>
  <si>
    <t>Ho</t>
  </si>
  <si>
    <t>HoO</t>
  </si>
  <si>
    <t>*Ho2O3</t>
  </si>
  <si>
    <t>*Nd2O3</t>
  </si>
  <si>
    <t>NdO</t>
  </si>
  <si>
    <t>Nd</t>
  </si>
  <si>
    <t>*Nd</t>
  </si>
  <si>
    <t>Вещество:</t>
  </si>
  <si>
    <t>Название</t>
  </si>
  <si>
    <t xml:space="preserve">а </t>
  </si>
  <si>
    <t>ho</t>
  </si>
  <si>
    <t>ф1</t>
  </si>
  <si>
    <t>ф2 *lnX</t>
  </si>
  <si>
    <t>ф3 *X^(-2)</t>
  </si>
  <si>
    <t>ф4 *X^(-1)</t>
  </si>
  <si>
    <t>ф5 *X</t>
  </si>
  <si>
    <t>ф6 *X^2</t>
  </si>
  <si>
    <t>ф7 *Х^3</t>
  </si>
  <si>
    <t>Н tr Дж</t>
  </si>
  <si>
    <t>S tr Дж</t>
  </si>
  <si>
    <t>H(T) Дж</t>
  </si>
  <si>
    <t>S(T) Дж</t>
  </si>
  <si>
    <t>H(To) Дж</t>
  </si>
  <si>
    <t>S(To) Дж</t>
  </si>
  <si>
    <t>ΔfН(To) Дж</t>
  </si>
  <si>
    <t>Cp (T) Дж</t>
  </si>
  <si>
    <t>X  К/10000</t>
  </si>
  <si>
    <t>Тo К</t>
  </si>
  <si>
    <t>T K</t>
  </si>
  <si>
    <t>Состояние</t>
  </si>
  <si>
    <t>l</t>
  </si>
  <si>
    <t>end</t>
  </si>
  <si>
    <t>N/D</t>
  </si>
  <si>
    <t>ΔfН(To) кДж</t>
  </si>
  <si>
    <t>g</t>
  </si>
  <si>
    <t>dH(T) Дж</t>
  </si>
  <si>
    <t>Н tr кДж</t>
  </si>
  <si>
    <t>Ge</t>
  </si>
  <si>
    <t>s</t>
  </si>
  <si>
    <t>Se</t>
  </si>
  <si>
    <t>b*T</t>
  </si>
  <si>
    <t>c *T^(-2)</t>
  </si>
  <si>
    <t>e *T^3</t>
  </si>
  <si>
    <t>d *T^(2)</t>
  </si>
  <si>
    <t>Ga</t>
  </si>
  <si>
    <t>Ga2Se</t>
  </si>
  <si>
    <t>Ga2Se3</t>
  </si>
  <si>
    <t>φ2</t>
  </si>
  <si>
    <t>φ3</t>
  </si>
  <si>
    <t>φ4</t>
  </si>
  <si>
    <t>φ5</t>
  </si>
  <si>
    <t>φ6</t>
  </si>
  <si>
    <t>φ7</t>
  </si>
  <si>
    <t>To</t>
  </si>
  <si>
    <t>ΔfH298 кДж</t>
  </si>
  <si>
    <t>T</t>
  </si>
  <si>
    <t>GeSe</t>
  </si>
  <si>
    <t>GeSe2</t>
  </si>
  <si>
    <t>п</t>
  </si>
  <si>
    <t>Коэфф</t>
  </si>
  <si>
    <t>Т (К)</t>
  </si>
  <si>
    <t xml:space="preserve">Начало </t>
  </si>
  <si>
    <t xml:space="preserve">Конец </t>
  </si>
  <si>
    <t>Степень T             [П-&gt; T*Ln(T); l -&gt; ln(T)]</t>
  </si>
  <si>
    <t>Se (F. Zheng)</t>
  </si>
  <si>
    <t>GaSe (F. Zheng)</t>
  </si>
  <si>
    <t>*Ga[l] (F. Zheng)</t>
  </si>
  <si>
    <t>*(b)Ga2Se3 (F. Zheng)</t>
  </si>
  <si>
    <t>Фаза</t>
  </si>
  <si>
    <t>Se2</t>
  </si>
  <si>
    <t>Se3</t>
  </si>
  <si>
    <t>Se4</t>
  </si>
  <si>
    <t>Se5</t>
  </si>
  <si>
    <t>Se6</t>
  </si>
  <si>
    <t>Se7</t>
  </si>
  <si>
    <t>Se8</t>
  </si>
  <si>
    <t>Ge2</t>
  </si>
  <si>
    <t>Фаза             if "?" =&gt; not "g"</t>
  </si>
  <si>
    <t>Ga2</t>
  </si>
  <si>
    <t>Тип</t>
  </si>
  <si>
    <t>Н(To) кДж</t>
  </si>
  <si>
    <t>Банк</t>
  </si>
  <si>
    <t>Se[A]</t>
  </si>
  <si>
    <t>Se[M]</t>
  </si>
  <si>
    <t>Se[R]</t>
  </si>
  <si>
    <t>e</t>
  </si>
  <si>
    <t>Названиe</t>
  </si>
  <si>
    <t>Мeтка            1 - добавить, 0 - удалить, * - удалено</t>
  </si>
  <si>
    <t>*</t>
  </si>
  <si>
    <t>4</t>
  </si>
  <si>
    <t>Степень:</t>
  </si>
  <si>
    <t>степень</t>
  </si>
  <si>
    <t>Ф       Фаза</t>
  </si>
  <si>
    <t>S(To)  Дж</t>
  </si>
  <si>
    <t>Xo                    К/10000</t>
  </si>
  <si>
    <t>X                       К/10000</t>
  </si>
  <si>
    <t xml:space="preserve"> Т         Тип</t>
  </si>
  <si>
    <t>а</t>
  </si>
  <si>
    <t>1 сравнения</t>
  </si>
  <si>
    <t>0 эталон</t>
  </si>
  <si>
    <t>ΔH (1-0) kJ</t>
  </si>
  <si>
    <t>ΔG (1-0) kJ</t>
  </si>
  <si>
    <t>ΔS (1-0) J</t>
  </si>
  <si>
    <t>ΔCp (1-0) J</t>
  </si>
  <si>
    <t>2: H(T) Дж</t>
  </si>
  <si>
    <t>2: S(T) Дж</t>
  </si>
  <si>
    <t>2: G(T) Дж</t>
  </si>
  <si>
    <t>2: Cp(T) Дж</t>
  </si>
  <si>
    <t>2: Gi</t>
  </si>
  <si>
    <t>2: Si</t>
  </si>
  <si>
    <t>ΔS (1-2) J</t>
  </si>
  <si>
    <t>ΔH (1-2) kJ</t>
  </si>
  <si>
    <t>ΔG (1-2) kJ</t>
  </si>
  <si>
    <t>ΔCp (1-2) J</t>
  </si>
  <si>
    <t>1</t>
  </si>
  <si>
    <t>Пересчет</t>
  </si>
  <si>
    <t>1-0</t>
  </si>
  <si>
    <t>1-2</t>
  </si>
  <si>
    <t>Ga2Ge1Se4</t>
  </si>
  <si>
    <t>Ga4Ge1Se8</t>
  </si>
  <si>
    <t>Ga1Ge1Se3</t>
  </si>
  <si>
    <t>Ga10Ge30Se60</t>
  </si>
  <si>
    <t>Ga4Ge2Se8</t>
  </si>
  <si>
    <t>Ga2Ge4Se8</t>
  </si>
  <si>
    <t>Ga2Ge3Se8</t>
  </si>
  <si>
    <t>Ge4Se5</t>
  </si>
  <si>
    <t>Ge3Se4</t>
  </si>
  <si>
    <t>с</t>
  </si>
  <si>
    <t>Geg</t>
  </si>
  <si>
    <t>2 135</t>
  </si>
  <si>
    <t>0^0001425</t>
  </si>
  <si>
    <t>a</t>
  </si>
  <si>
    <t>m</t>
  </si>
  <si>
    <t>r</t>
  </si>
  <si>
    <t>Ga2GeSe4</t>
  </si>
  <si>
    <t>Ga4GeSe8</t>
  </si>
  <si>
    <t>GaGeSe3</t>
  </si>
  <si>
    <t>Ga10Ge30S</t>
  </si>
  <si>
    <t>Вещество</t>
  </si>
  <si>
    <t xml:space="preserve">Фаза        </t>
  </si>
  <si>
    <t>&lt;-новое</t>
  </si>
  <si>
    <t>новое</t>
  </si>
  <si>
    <t>старое</t>
  </si>
  <si>
    <t>Вещество2</t>
  </si>
  <si>
    <t>59</t>
  </si>
  <si>
    <t>Ga(l)2</t>
  </si>
  <si>
    <t>0: G(T) KJ</t>
  </si>
  <si>
    <t>1: H(T) KJ</t>
  </si>
  <si>
    <t>1: G(T) KJ</t>
  </si>
  <si>
    <t>0: H(T) KJ</t>
  </si>
  <si>
    <t>0: S(T) J</t>
  </si>
  <si>
    <t>0: Cp(T) J</t>
  </si>
  <si>
    <t>1: Cp(T) J</t>
  </si>
  <si>
    <t>1: S(T) 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</si>
</sst>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-* #,##0.00\ _₽_-;\-* #,##0.00\ _₽_-;_-* &quot;-&quot;??\ _₽_-;_-@_-"/>
    <numFmt numFmtId="165" formatCode="0.000"/>
    <numFmt numFmtId="166" formatCode="0.000E+00"/>
    <numFmt numFmtId="167" formatCode="0.0"/>
    <numFmt numFmtId="168" formatCode="0.0000"/>
    <numFmt numFmtId="169" formatCode="0.0000E+00"/>
    <numFmt numFmtId="170" formatCode="#,##0.000"/>
    <numFmt numFmtId="171" formatCode="0.0E+00"/>
  </numFmts>
  <fonts count="26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b/>
      <sz val="11"/>
      <color indexed="81"/>
      <name val="Tahoma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3"/>
      <name val="Times New Roman"/>
      <family val="1"/>
      <charset val="204"/>
    </font>
    <font>
      <sz val="9"/>
      <name val="Arial"/>
      <family val="2"/>
      <charset val="204"/>
    </font>
    <font>
      <b/>
      <sz val="18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sz val="16"/>
      <color theme="1" tint="4.9989318521683403E-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8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8"/>
      <color theme="1"/>
      <name val="Arial"/>
      <family val="2"/>
      <charset val="204"/>
    </font>
    <font>
      <b/>
      <sz val="16"/>
      <color theme="7" tint="-0.499984740745262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sz val="16"/>
      <color rgb="FF000000"/>
      <name val="Calibri"/>
      <family val="2"/>
      <charset val="204"/>
    </font>
    <font>
      <sz val="14"/>
      <name val="Calibri"/>
      <family val="2"/>
      <charset val="204"/>
      <scheme val="minor"/>
    </font>
    <font>
      <sz val="8"/>
      <name val="Calibri"/>
      <family val="2"/>
      <charset val="204"/>
      <scheme val="minor"/>
    </font>
  </fonts>
  <fills count="3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</fills>
  <borders count="6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theme="1"/>
      </left>
      <right/>
      <top/>
      <bottom style="thick">
        <color indexed="64"/>
      </bottom>
      <diagonal/>
    </border>
    <border>
      <left style="thick">
        <color theme="1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/>
      </left>
      <right/>
      <top style="thick">
        <color indexed="64"/>
      </top>
      <bottom/>
      <diagonal/>
    </border>
    <border>
      <left/>
      <right style="thin">
        <color theme="4"/>
      </right>
      <top style="thick">
        <color indexed="64"/>
      </top>
      <bottom/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1" fillId="2" borderId="8" applyNumberFormat="0" applyFon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9" fontId="2" fillId="5" borderId="13" applyNumberFormat="0">
      <alignment horizontal="left" vertical="center"/>
    </xf>
    <xf numFmtId="169" fontId="1" fillId="0" borderId="0">
      <alignment vertical="center"/>
    </xf>
    <xf numFmtId="11" fontId="24" fillId="27" borderId="0">
      <alignment vertical="top"/>
    </xf>
  </cellStyleXfs>
  <cellXfs count="59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/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0" fillId="7" borderId="19" xfId="0" applyFill="1" applyBorder="1" applyAlignment="1">
      <alignment vertical="center"/>
    </xf>
    <xf numFmtId="0" fontId="0" fillId="0" borderId="20" xfId="0" applyBorder="1" applyAlignment="1">
      <alignment vertical="center"/>
    </xf>
    <xf numFmtId="0" fontId="0" fillId="7" borderId="20" xfId="0" applyFill="1" applyBorder="1" applyAlignment="1">
      <alignment vertical="center"/>
    </xf>
    <xf numFmtId="165" fontId="0" fillId="7" borderId="21" xfId="0" applyNumberFormat="1" applyFill="1" applyBorder="1" applyAlignment="1">
      <alignment vertical="center"/>
    </xf>
    <xf numFmtId="165" fontId="1" fillId="7" borderId="4" xfId="4" applyNumberFormat="1" applyFill="1" applyBorder="1" applyAlignment="1">
      <alignment horizontal="right" vertical="center"/>
    </xf>
    <xf numFmtId="165" fontId="1" fillId="7" borderId="5" xfId="4" applyNumberFormat="1" applyFill="1" applyBorder="1" applyAlignment="1">
      <alignment horizontal="right" vertical="center"/>
    </xf>
    <xf numFmtId="165" fontId="1" fillId="7" borderId="6" xfId="4" applyNumberFormat="1" applyFill="1" applyBorder="1" applyAlignment="1">
      <alignment horizontal="right" vertical="center"/>
    </xf>
    <xf numFmtId="0" fontId="1" fillId="14" borderId="4" xfId="3" applyFill="1" applyBorder="1" applyAlignment="1">
      <alignment horizontal="right" vertical="center"/>
    </xf>
    <xf numFmtId="2" fontId="1" fillId="14" borderId="5" xfId="1" applyNumberFormat="1" applyFill="1" applyBorder="1" applyAlignment="1">
      <alignment horizontal="right" vertical="center"/>
    </xf>
    <xf numFmtId="2" fontId="1" fillId="14" borderId="6" xfId="1" applyNumberFormat="1" applyFill="1" applyBorder="1" applyAlignment="1">
      <alignment horizontal="right" vertical="center"/>
    </xf>
    <xf numFmtId="0" fontId="0" fillId="0" borderId="29" xfId="2" applyFont="1" applyFill="1" applyBorder="1" applyAlignment="1"/>
    <xf numFmtId="0" fontId="0" fillId="12" borderId="30" xfId="2" applyFont="1" applyFill="1" applyBorder="1" applyAlignment="1"/>
    <xf numFmtId="0" fontId="0" fillId="13" borderId="30" xfId="2" applyFont="1" applyFill="1" applyBorder="1" applyAlignment="1"/>
    <xf numFmtId="0" fontId="6" fillId="5" borderId="13" xfId="0" applyFont="1" applyFill="1" applyBorder="1"/>
    <xf numFmtId="0" fontId="6" fillId="15" borderId="13" xfId="0" applyFont="1" applyFill="1" applyBorder="1" applyAlignment="1">
      <alignment horizontal="right"/>
    </xf>
    <xf numFmtId="0" fontId="6" fillId="15" borderId="13" xfId="0" applyFont="1" applyFill="1" applyBorder="1"/>
    <xf numFmtId="165" fontId="0" fillId="0" borderId="2" xfId="0" applyNumberFormat="1" applyBorder="1"/>
    <xf numFmtId="165" fontId="0" fillId="0" borderId="3" xfId="0" applyNumberFormat="1" applyBorder="1"/>
    <xf numFmtId="0" fontId="0" fillId="0" borderId="33" xfId="0" applyBorder="1"/>
    <xf numFmtId="0" fontId="0" fillId="0" borderId="0" xfId="0" applyBorder="1"/>
    <xf numFmtId="165" fontId="0" fillId="0" borderId="0" xfId="0" applyNumberFormat="1" applyBorder="1"/>
    <xf numFmtId="165" fontId="0" fillId="0" borderId="7" xfId="0" applyNumberFormat="1" applyBorder="1"/>
    <xf numFmtId="0" fontId="0" fillId="0" borderId="4" xfId="0" applyBorder="1"/>
    <xf numFmtId="0" fontId="0" fillId="0" borderId="5" xfId="0" applyBorder="1"/>
    <xf numFmtId="165" fontId="0" fillId="0" borderId="5" xfId="0" applyNumberFormat="1" applyBorder="1"/>
    <xf numFmtId="165" fontId="0" fillId="0" borderId="6" xfId="0" applyNumberFormat="1" applyBorder="1"/>
    <xf numFmtId="0" fontId="7" fillId="5" borderId="13" xfId="0" applyFont="1" applyFill="1" applyBorder="1" applyAlignment="1">
      <alignment horizontal="center" vertical="center"/>
    </xf>
    <xf numFmtId="0" fontId="7" fillId="15" borderId="13" xfId="0" applyFont="1" applyFill="1" applyBorder="1" applyAlignment="1">
      <alignment horizontal="center" vertical="center"/>
    </xf>
    <xf numFmtId="0" fontId="0" fillId="0" borderId="28" xfId="0" applyBorder="1"/>
    <xf numFmtId="0" fontId="0" fillId="0" borderId="31" xfId="0" applyBorder="1"/>
    <xf numFmtId="165" fontId="0" fillId="0" borderId="31" xfId="0" applyNumberFormat="1" applyBorder="1"/>
    <xf numFmtId="165" fontId="0" fillId="0" borderId="32" xfId="0" applyNumberFormat="1" applyBorder="1"/>
    <xf numFmtId="0" fontId="0" fillId="12" borderId="2" xfId="0" applyFill="1" applyBorder="1"/>
    <xf numFmtId="0" fontId="0" fillId="12" borderId="0" xfId="0" applyFill="1" applyBorder="1"/>
    <xf numFmtId="0" fontId="0" fillId="12" borderId="5" xfId="0" applyFill="1" applyBorder="1"/>
    <xf numFmtId="0" fontId="0" fillId="12" borderId="31" xfId="0" applyFill="1" applyBorder="1"/>
    <xf numFmtId="0" fontId="0" fillId="13" borderId="2" xfId="0" applyFill="1" applyBorder="1"/>
    <xf numFmtId="0" fontId="0" fillId="13" borderId="0" xfId="0" applyFill="1" applyBorder="1"/>
    <xf numFmtId="0" fontId="0" fillId="13" borderId="5" xfId="0" applyFill="1" applyBorder="1"/>
    <xf numFmtId="0" fontId="0" fillId="13" borderId="31" xfId="0" applyFill="1" applyBorder="1"/>
    <xf numFmtId="165" fontId="0" fillId="16" borderId="2" xfId="0" applyNumberFormat="1" applyFill="1" applyBorder="1"/>
    <xf numFmtId="165" fontId="0" fillId="16" borderId="0" xfId="0" applyNumberFormat="1" applyFill="1" applyBorder="1"/>
    <xf numFmtId="165" fontId="0" fillId="16" borderId="5" xfId="0" applyNumberFormat="1" applyFill="1" applyBorder="1"/>
    <xf numFmtId="165" fontId="0" fillId="16" borderId="31" xfId="0" applyNumberFormat="1" applyFill="1" applyBorder="1"/>
    <xf numFmtId="0" fontId="0" fillId="17" borderId="2" xfId="0" applyFont="1" applyFill="1" applyBorder="1"/>
    <xf numFmtId="0" fontId="0" fillId="17" borderId="0" xfId="0" applyFont="1" applyFill="1" applyBorder="1"/>
    <xf numFmtId="0" fontId="0" fillId="17" borderId="5" xfId="0" applyFont="1" applyFill="1" applyBorder="1"/>
    <xf numFmtId="0" fontId="0" fillId="17" borderId="31" xfId="0" applyFont="1" applyFill="1" applyBorder="1"/>
    <xf numFmtId="0" fontId="0" fillId="17" borderId="2" xfId="0" applyFill="1" applyBorder="1"/>
    <xf numFmtId="0" fontId="0" fillId="17" borderId="0" xfId="0" applyFill="1" applyBorder="1"/>
    <xf numFmtId="0" fontId="0" fillId="17" borderId="5" xfId="0" applyFill="1" applyBorder="1"/>
    <xf numFmtId="0" fontId="0" fillId="17" borderId="31" xfId="0" applyFill="1" applyBorder="1"/>
    <xf numFmtId="167" fontId="0" fillId="0" borderId="0" xfId="0" applyNumberFormat="1"/>
    <xf numFmtId="0" fontId="0" fillId="7" borderId="4" xfId="0" applyFill="1" applyBorder="1"/>
    <xf numFmtId="0" fontId="0" fillId="7" borderId="29" xfId="0" applyFill="1" applyBorder="1"/>
    <xf numFmtId="10" fontId="0" fillId="0" borderId="0" xfId="0" applyNumberFormat="1"/>
    <xf numFmtId="0" fontId="8" fillId="0" borderId="19" xfId="0" applyFont="1" applyBorder="1" applyAlignment="1">
      <alignment vertical="center"/>
    </xf>
    <xf numFmtId="0" fontId="8" fillId="0" borderId="20" xfId="0" applyFont="1" applyBorder="1" applyAlignment="1">
      <alignment vertical="center"/>
    </xf>
    <xf numFmtId="0" fontId="8" fillId="0" borderId="0" xfId="0" applyFont="1"/>
    <xf numFmtId="0" fontId="0" fillId="0" borderId="0" xfId="0" applyProtection="1">
      <protection locked="0"/>
    </xf>
    <xf numFmtId="0" fontId="0" fillId="0" borderId="19" xfId="0" applyBorder="1" applyAlignment="1" applyProtection="1">
      <alignment vertical="center"/>
      <protection locked="0"/>
    </xf>
    <xf numFmtId="0" fontId="0" fillId="0" borderId="19" xfId="0" applyFill="1" applyBorder="1" applyAlignment="1" applyProtection="1">
      <alignment vertical="center"/>
      <protection locked="0"/>
    </xf>
    <xf numFmtId="167" fontId="0" fillId="0" borderId="19" xfId="0" applyNumberFormat="1" applyFill="1" applyBorder="1" applyProtection="1">
      <protection locked="0"/>
    </xf>
    <xf numFmtId="167" fontId="0" fillId="0" borderId="19" xfId="0" applyNumberFormat="1" applyFill="1" applyBorder="1" applyAlignment="1" applyProtection="1">
      <alignment vertical="center"/>
      <protection locked="0"/>
    </xf>
    <xf numFmtId="165" fontId="0" fillId="0" borderId="19" xfId="0" applyNumberFormat="1" applyFill="1" applyBorder="1" applyAlignment="1" applyProtection="1">
      <alignment vertical="center"/>
      <protection locked="0"/>
    </xf>
    <xf numFmtId="0" fontId="0" fillId="0" borderId="20" xfId="0" applyFill="1" applyBorder="1" applyAlignment="1" applyProtection="1">
      <alignment vertical="center"/>
      <protection locked="0"/>
    </xf>
    <xf numFmtId="167" fontId="0" fillId="0" borderId="20" xfId="0" applyNumberFormat="1" applyFill="1" applyBorder="1" applyProtection="1">
      <protection locked="0"/>
    </xf>
    <xf numFmtId="165" fontId="0" fillId="0" borderId="20" xfId="0" applyNumberFormat="1" applyFill="1" applyBorder="1" applyProtection="1">
      <protection locked="0"/>
    </xf>
    <xf numFmtId="0" fontId="0" fillId="0" borderId="21" xfId="0" applyBorder="1" applyAlignment="1" applyProtection="1">
      <alignment vertical="center"/>
      <protection locked="0"/>
    </xf>
    <xf numFmtId="0" fontId="0" fillId="0" borderId="21" xfId="0" applyFill="1" applyBorder="1" applyAlignment="1" applyProtection="1">
      <alignment vertical="center"/>
      <protection locked="0"/>
    </xf>
    <xf numFmtId="167" fontId="0" fillId="0" borderId="21" xfId="0" applyNumberFormat="1" applyFill="1" applyBorder="1" applyProtection="1">
      <protection locked="0"/>
    </xf>
    <xf numFmtId="0" fontId="0" fillId="7" borderId="19" xfId="0" applyFill="1" applyBorder="1" applyAlignment="1" applyProtection="1">
      <alignment vertical="center"/>
    </xf>
    <xf numFmtId="0" fontId="0" fillId="7" borderId="20" xfId="0" applyFill="1" applyBorder="1" applyAlignment="1" applyProtection="1">
      <alignment vertical="center"/>
    </xf>
    <xf numFmtId="0" fontId="0" fillId="7" borderId="21" xfId="0" applyFill="1" applyBorder="1" applyAlignment="1" applyProtection="1">
      <alignment vertical="center"/>
    </xf>
    <xf numFmtId="165" fontId="0" fillId="7" borderId="20" xfId="0" applyNumberFormat="1" applyFill="1" applyBorder="1" applyAlignment="1" applyProtection="1">
      <alignment vertical="center"/>
    </xf>
    <xf numFmtId="165" fontId="0" fillId="7" borderId="21" xfId="0" applyNumberFormat="1" applyFill="1" applyBorder="1" applyAlignment="1" applyProtection="1">
      <alignment vertical="center"/>
    </xf>
    <xf numFmtId="165" fontId="0" fillId="7" borderId="19" xfId="0" applyNumberFormat="1" applyFill="1" applyBorder="1" applyAlignment="1" applyProtection="1">
      <alignment vertical="center"/>
    </xf>
    <xf numFmtId="166" fontId="0" fillId="11" borderId="19" xfId="0" applyNumberFormat="1" applyFill="1" applyBorder="1" applyAlignment="1" applyProtection="1">
      <alignment vertical="center"/>
    </xf>
    <xf numFmtId="166" fontId="0" fillId="8" borderId="19" xfId="0" applyNumberFormat="1" applyFill="1" applyBorder="1" applyAlignment="1" applyProtection="1">
      <alignment vertical="center"/>
    </xf>
    <xf numFmtId="166" fontId="0" fillId="10" borderId="19" xfId="0" applyNumberFormat="1" applyFill="1" applyBorder="1" applyAlignment="1" applyProtection="1">
      <alignment vertical="center"/>
    </xf>
    <xf numFmtId="166" fontId="0" fillId="9" borderId="19" xfId="0" applyNumberFormat="1" applyFill="1" applyBorder="1" applyAlignment="1" applyProtection="1">
      <alignment vertical="center"/>
    </xf>
    <xf numFmtId="166" fontId="0" fillId="0" borderId="19" xfId="0" applyNumberFormat="1" applyBorder="1" applyAlignment="1" applyProtection="1">
      <alignment vertical="center"/>
    </xf>
    <xf numFmtId="166" fontId="0" fillId="16" borderId="19" xfId="0" applyNumberFormat="1" applyFill="1" applyBorder="1" applyAlignment="1" applyProtection="1">
      <alignment vertical="center"/>
    </xf>
    <xf numFmtId="166" fontId="0" fillId="0" borderId="26" xfId="0" applyNumberFormat="1" applyBorder="1" applyAlignment="1" applyProtection="1">
      <alignment vertical="center"/>
    </xf>
    <xf numFmtId="166" fontId="0" fillId="11" borderId="20" xfId="0" applyNumberFormat="1" applyFill="1" applyBorder="1" applyAlignment="1" applyProtection="1">
      <alignment vertical="center"/>
    </xf>
    <xf numFmtId="166" fontId="0" fillId="8" borderId="20" xfId="0" applyNumberFormat="1" applyFill="1" applyBorder="1" applyAlignment="1" applyProtection="1">
      <alignment vertical="center"/>
    </xf>
    <xf numFmtId="166" fontId="0" fillId="10" borderId="20" xfId="0" applyNumberFormat="1" applyFill="1" applyBorder="1" applyAlignment="1" applyProtection="1">
      <alignment vertical="center"/>
    </xf>
    <xf numFmtId="166" fontId="0" fillId="9" borderId="20" xfId="0" applyNumberFormat="1" applyFill="1" applyBorder="1" applyAlignment="1" applyProtection="1">
      <alignment vertical="center"/>
    </xf>
    <xf numFmtId="166" fontId="0" fillId="0" borderId="20" xfId="0" applyNumberFormat="1" applyBorder="1" applyAlignment="1" applyProtection="1">
      <alignment vertical="center"/>
    </xf>
    <xf numFmtId="166" fontId="0" fillId="16" borderId="20" xfId="0" applyNumberFormat="1" applyFill="1" applyBorder="1" applyAlignment="1" applyProtection="1">
      <alignment vertical="center"/>
    </xf>
    <xf numFmtId="166" fontId="0" fillId="0" borderId="23" xfId="0" applyNumberFormat="1" applyBorder="1" applyAlignment="1" applyProtection="1">
      <alignment vertical="center"/>
    </xf>
    <xf numFmtId="166" fontId="0" fillId="11" borderId="21" xfId="0" applyNumberFormat="1" applyFill="1" applyBorder="1" applyAlignment="1" applyProtection="1">
      <alignment vertical="center"/>
    </xf>
    <xf numFmtId="166" fontId="0" fillId="8" borderId="21" xfId="0" applyNumberFormat="1" applyFill="1" applyBorder="1" applyAlignment="1" applyProtection="1">
      <alignment vertical="center"/>
    </xf>
    <xf numFmtId="166" fontId="0" fillId="10" borderId="21" xfId="0" applyNumberFormat="1" applyFill="1" applyBorder="1" applyAlignment="1" applyProtection="1">
      <alignment vertical="center"/>
    </xf>
    <xf numFmtId="166" fontId="0" fillId="9" borderId="21" xfId="0" applyNumberFormat="1" applyFill="1" applyBorder="1" applyAlignment="1" applyProtection="1">
      <alignment vertical="center"/>
    </xf>
    <xf numFmtId="166" fontId="0" fillId="0" borderId="21" xfId="0" applyNumberFormat="1" applyBorder="1" applyAlignment="1" applyProtection="1">
      <alignment vertical="center"/>
    </xf>
    <xf numFmtId="166" fontId="0" fillId="16" borderId="21" xfId="0" applyNumberFormat="1" applyFill="1" applyBorder="1" applyAlignment="1" applyProtection="1">
      <alignment vertical="center"/>
    </xf>
    <xf numFmtId="11" fontId="0" fillId="0" borderId="21" xfId="0" applyNumberFormat="1" applyBorder="1" applyAlignment="1" applyProtection="1">
      <alignment vertical="center"/>
    </xf>
    <xf numFmtId="166" fontId="0" fillId="0" borderId="27" xfId="0" applyNumberFormat="1" applyBorder="1" applyAlignment="1" applyProtection="1">
      <alignment vertical="center"/>
    </xf>
    <xf numFmtId="0" fontId="0" fillId="0" borderId="35" xfId="0" applyBorder="1" applyAlignment="1" applyProtection="1">
      <alignment vertical="center"/>
      <protection locked="0"/>
    </xf>
    <xf numFmtId="0" fontId="8" fillId="0" borderId="36" xfId="0" applyFont="1" applyBorder="1" applyAlignment="1" applyProtection="1">
      <alignment vertical="center"/>
      <protection locked="0"/>
    </xf>
    <xf numFmtId="0" fontId="8" fillId="0" borderId="22" xfId="0" applyFont="1" applyBorder="1" applyAlignment="1" applyProtection="1">
      <alignment vertical="center"/>
    </xf>
    <xf numFmtId="0" fontId="0" fillId="0" borderId="37" xfId="0" applyBorder="1" applyAlignment="1" applyProtection="1">
      <alignment vertical="center"/>
    </xf>
    <xf numFmtId="168" fontId="0" fillId="0" borderId="0" xfId="0" applyNumberFormat="1"/>
    <xf numFmtId="169" fontId="2" fillId="5" borderId="9" xfId="0" applyNumberFormat="1" applyFont="1" applyFill="1" applyBorder="1" applyAlignment="1">
      <alignment horizontal="center" vertical="center"/>
    </xf>
    <xf numFmtId="169" fontId="2" fillId="5" borderId="10" xfId="0" applyNumberFormat="1" applyFont="1" applyFill="1" applyBorder="1" applyAlignment="1">
      <alignment horizontal="center" vertical="center"/>
    </xf>
    <xf numFmtId="169" fontId="2" fillId="5" borderId="11" xfId="0" applyNumberFormat="1" applyFont="1" applyFill="1" applyBorder="1" applyAlignment="1">
      <alignment horizontal="center" vertical="center"/>
    </xf>
    <xf numFmtId="169" fontId="0" fillId="0" borderId="21" xfId="0" applyNumberFormat="1" applyBorder="1" applyAlignment="1">
      <alignment vertical="center"/>
    </xf>
    <xf numFmtId="169" fontId="0" fillId="16" borderId="21" xfId="0" applyNumberFormat="1" applyFill="1" applyBorder="1" applyAlignment="1">
      <alignment vertical="center"/>
    </xf>
    <xf numFmtId="169" fontId="0" fillId="0" borderId="27" xfId="0" applyNumberFormat="1" applyBorder="1" applyAlignment="1">
      <alignment vertical="center"/>
    </xf>
    <xf numFmtId="169" fontId="0" fillId="0" borderId="0" xfId="0" applyNumberFormat="1"/>
    <xf numFmtId="0" fontId="10" fillId="0" borderId="0" xfId="0" applyNumberFormat="1" applyFont="1" applyFill="1" applyBorder="1" applyAlignment="1" applyProtection="1">
      <alignment vertical="top"/>
    </xf>
    <xf numFmtId="4" fontId="0" fillId="0" borderId="0" xfId="0" applyNumberFormat="1" applyAlignment="1">
      <alignment horizontal="center" vertical="center"/>
    </xf>
    <xf numFmtId="4" fontId="0" fillId="0" borderId="0" xfId="0" applyNumberFormat="1"/>
    <xf numFmtId="4" fontId="0" fillId="0" borderId="0" xfId="0" applyNumberFormat="1" applyFill="1" applyBorder="1"/>
    <xf numFmtId="3" fontId="0" fillId="0" borderId="0" xfId="0" applyNumberFormat="1"/>
    <xf numFmtId="2" fontId="0" fillId="0" borderId="39" xfId="0" applyNumberFormat="1" applyBorder="1"/>
    <xf numFmtId="49" fontId="9" fillId="0" borderId="0" xfId="0" applyNumberFormat="1" applyFont="1" applyFill="1" applyBorder="1" applyAlignment="1" applyProtection="1">
      <alignment vertical="top"/>
    </xf>
    <xf numFmtId="0" fontId="0" fillId="0" borderId="0" xfId="0"/>
    <xf numFmtId="0" fontId="2" fillId="5" borderId="24" xfId="0" applyFont="1" applyFill="1" applyBorder="1" applyAlignment="1">
      <alignment horizontal="center" vertical="center"/>
    </xf>
    <xf numFmtId="0" fontId="2" fillId="5" borderId="40" xfId="0" applyFont="1" applyFill="1" applyBorder="1" applyAlignment="1">
      <alignment horizontal="center" vertical="center"/>
    </xf>
    <xf numFmtId="0" fontId="2" fillId="5" borderId="41" xfId="0" applyFont="1" applyFill="1" applyBorder="1" applyAlignment="1">
      <alignment horizontal="center" vertical="center"/>
    </xf>
    <xf numFmtId="0" fontId="0" fillId="7" borderId="28" xfId="0" applyFill="1" applyBorder="1"/>
    <xf numFmtId="0" fontId="0" fillId="7" borderId="38" xfId="0" applyFill="1" applyBorder="1"/>
    <xf numFmtId="0" fontId="7" fillId="5" borderId="42" xfId="0" applyFont="1" applyFill="1" applyBorder="1" applyAlignment="1">
      <alignment horizontal="center" vertical="center"/>
    </xf>
    <xf numFmtId="4" fontId="14" fillId="0" borderId="0" xfId="0" applyNumberFormat="1" applyFont="1" applyFill="1"/>
    <xf numFmtId="1" fontId="15" fillId="0" borderId="0" xfId="0" applyNumberFormat="1" applyFont="1" applyAlignment="1">
      <alignment horizontal="left"/>
    </xf>
    <xf numFmtId="0" fontId="15" fillId="0" borderId="0" xfId="0" applyFont="1" applyAlignment="1">
      <alignment horizontal="left"/>
    </xf>
    <xf numFmtId="11" fontId="0" fillId="0" borderId="0" xfId="0" applyNumberFormat="1"/>
    <xf numFmtId="0" fontId="8" fillId="0" borderId="43" xfId="0" applyFont="1" applyBorder="1" applyAlignment="1">
      <alignment vertical="center"/>
    </xf>
    <xf numFmtId="0" fontId="0" fillId="0" borderId="43" xfId="0" applyBorder="1" applyAlignment="1">
      <alignment vertical="center"/>
    </xf>
    <xf numFmtId="0" fontId="0" fillId="7" borderId="43" xfId="0" applyFill="1" applyBorder="1" applyAlignment="1">
      <alignment vertical="center"/>
    </xf>
    <xf numFmtId="0" fontId="0" fillId="7" borderId="45" xfId="0" applyFill="1" applyBorder="1" applyAlignment="1">
      <alignment vertical="center"/>
    </xf>
    <xf numFmtId="0" fontId="0" fillId="0" borderId="45" xfId="0" applyFill="1" applyBorder="1" applyAlignment="1">
      <alignment vertical="center"/>
    </xf>
    <xf numFmtId="0" fontId="3" fillId="5" borderId="14" xfId="0" applyFont="1" applyFill="1" applyBorder="1" applyAlignment="1">
      <alignment horizontal="center" vertical="center"/>
    </xf>
    <xf numFmtId="0" fontId="0" fillId="7" borderId="46" xfId="0" applyFill="1" applyBorder="1" applyAlignment="1">
      <alignment vertical="center"/>
    </xf>
    <xf numFmtId="166" fontId="0" fillId="21" borderId="19" xfId="0" applyNumberFormat="1" applyFill="1" applyBorder="1" applyAlignment="1" applyProtection="1">
      <alignment vertical="center"/>
    </xf>
    <xf numFmtId="166" fontId="0" fillId="21" borderId="20" xfId="0" applyNumberFormat="1" applyFill="1" applyBorder="1" applyAlignment="1" applyProtection="1">
      <alignment vertical="center"/>
    </xf>
    <xf numFmtId="166" fontId="0" fillId="21" borderId="21" xfId="0" applyNumberFormat="1" applyFill="1" applyBorder="1" applyAlignment="1" applyProtection="1">
      <alignment vertical="center"/>
    </xf>
    <xf numFmtId="0" fontId="8" fillId="0" borderId="5" xfId="0" applyFont="1" applyBorder="1"/>
    <xf numFmtId="0" fontId="0" fillId="0" borderId="47" xfId="0" applyFill="1" applyBorder="1" applyAlignment="1">
      <alignment vertical="center"/>
    </xf>
    <xf numFmtId="0" fontId="0" fillId="7" borderId="48" xfId="0" applyFill="1" applyBorder="1" applyAlignment="1">
      <alignment vertical="center"/>
    </xf>
    <xf numFmtId="169" fontId="0" fillId="16" borderId="20" xfId="0" applyNumberFormat="1" applyFill="1" applyBorder="1" applyAlignment="1" applyProtection="1">
      <alignment vertical="center"/>
    </xf>
    <xf numFmtId="169" fontId="0" fillId="0" borderId="20" xfId="0" applyNumberFormat="1" applyBorder="1" applyAlignment="1" applyProtection="1">
      <alignment vertical="center"/>
    </xf>
    <xf numFmtId="169" fontId="0" fillId="0" borderId="23" xfId="0" applyNumberFormat="1" applyBorder="1" applyAlignment="1" applyProtection="1">
      <alignment vertical="center"/>
    </xf>
    <xf numFmtId="169" fontId="0" fillId="0" borderId="44" xfId="0" applyNumberFormat="1" applyBorder="1" applyAlignment="1" applyProtection="1">
      <alignment vertical="center"/>
    </xf>
    <xf numFmtId="0" fontId="18" fillId="0" borderId="0" xfId="0" applyFont="1"/>
    <xf numFmtId="0" fontId="0" fillId="0" borderId="0" xfId="0" applyNumberFormat="1"/>
    <xf numFmtId="0" fontId="17" fillId="5" borderId="13" xfId="0" applyFont="1" applyFill="1" applyBorder="1" applyAlignment="1" applyProtection="1">
      <alignment horizontal="center" vertical="center"/>
      <protection locked="0"/>
    </xf>
    <xf numFmtId="0" fontId="0" fillId="0" borderId="0" xfId="0" applyFill="1"/>
    <xf numFmtId="0" fontId="0" fillId="0" borderId="19" xfId="0" applyBorder="1" applyAlignment="1" applyProtection="1">
      <alignment vertical="center"/>
    </xf>
    <xf numFmtId="0" fontId="0" fillId="0" borderId="20" xfId="0" applyBorder="1" applyAlignment="1" applyProtection="1">
      <alignment vertical="center"/>
    </xf>
    <xf numFmtId="0" fontId="0" fillId="0" borderId="21" xfId="0" applyBorder="1" applyAlignment="1" applyProtection="1">
      <alignment vertical="center"/>
    </xf>
    <xf numFmtId="0" fontId="18" fillId="0" borderId="0" xfId="0" applyFont="1" applyBorder="1"/>
    <xf numFmtId="0" fontId="0" fillId="0" borderId="0" xfId="0" applyAlignment="1">
      <alignment horizontal="center" vertical="center"/>
    </xf>
    <xf numFmtId="0" fontId="0" fillId="0" borderId="0" xfId="0" applyBorder="1" applyAlignment="1" applyProtection="1">
      <alignment vertical="center"/>
    </xf>
    <xf numFmtId="166" fontId="0" fillId="11" borderId="0" xfId="0" applyNumberFormat="1" applyFill="1" applyBorder="1" applyAlignment="1" applyProtection="1">
      <alignment vertical="center"/>
    </xf>
    <xf numFmtId="166" fontId="0" fillId="21" borderId="0" xfId="0" applyNumberFormat="1" applyFill="1" applyBorder="1" applyAlignment="1" applyProtection="1">
      <alignment vertical="center"/>
    </xf>
    <xf numFmtId="166" fontId="0" fillId="8" borderId="0" xfId="0" applyNumberFormat="1" applyFill="1" applyBorder="1" applyAlignment="1" applyProtection="1">
      <alignment vertical="center"/>
    </xf>
    <xf numFmtId="166" fontId="0" fillId="10" borderId="0" xfId="0" applyNumberFormat="1" applyFill="1" applyBorder="1" applyAlignment="1" applyProtection="1">
      <alignment vertical="center"/>
    </xf>
    <xf numFmtId="166" fontId="0" fillId="9" borderId="0" xfId="0" applyNumberFormat="1" applyFill="1" applyBorder="1" applyAlignment="1" applyProtection="1">
      <alignment vertical="center"/>
    </xf>
    <xf numFmtId="166" fontId="0" fillId="0" borderId="0" xfId="0" applyNumberFormat="1" applyBorder="1" applyAlignment="1" applyProtection="1">
      <alignment vertical="center"/>
    </xf>
    <xf numFmtId="166" fontId="0" fillId="16" borderId="0" xfId="0" applyNumberFormat="1" applyFill="1" applyBorder="1" applyAlignment="1" applyProtection="1">
      <alignment vertical="center"/>
    </xf>
    <xf numFmtId="0" fontId="0" fillId="0" borderId="0" xfId="0" applyBorder="1" applyProtection="1">
      <protection locked="0"/>
    </xf>
    <xf numFmtId="0" fontId="8" fillId="0" borderId="0" xfId="0" applyFont="1" applyBorder="1" applyAlignment="1" applyProtection="1">
      <alignment vertical="center"/>
    </xf>
    <xf numFmtId="170" fontId="0" fillId="11" borderId="0" xfId="0" applyNumberFormat="1" applyFill="1" applyBorder="1" applyAlignment="1" applyProtection="1">
      <alignment vertical="center"/>
    </xf>
    <xf numFmtId="170" fontId="0" fillId="8" borderId="0" xfId="0" applyNumberFormat="1" applyFill="1" applyBorder="1" applyAlignment="1" applyProtection="1">
      <alignment vertical="center"/>
    </xf>
    <xf numFmtId="170" fontId="0" fillId="10" borderId="0" xfId="0" applyNumberFormat="1" applyFill="1" applyBorder="1" applyAlignment="1" applyProtection="1">
      <alignment vertical="center"/>
    </xf>
    <xf numFmtId="170" fontId="0" fillId="9" borderId="0" xfId="0" applyNumberFormat="1" applyFill="1" applyBorder="1" applyAlignment="1" applyProtection="1">
      <alignment vertical="center"/>
    </xf>
    <xf numFmtId="49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7" borderId="0" xfId="0" applyFill="1" applyBorder="1" applyAlignment="1" applyProtection="1">
      <alignment vertical="center"/>
    </xf>
    <xf numFmtId="167" fontId="0" fillId="0" borderId="0" xfId="0" applyNumberFormat="1" applyFill="1" applyBorder="1" applyProtection="1">
      <protection locked="0"/>
    </xf>
    <xf numFmtId="165" fontId="0" fillId="7" borderId="0" xfId="0" applyNumberFormat="1" applyFill="1" applyBorder="1" applyAlignment="1" applyProtection="1">
      <alignment vertical="center"/>
    </xf>
    <xf numFmtId="49" fontId="0" fillId="0" borderId="0" xfId="0" applyNumberFormat="1" applyProtection="1"/>
    <xf numFmtId="49" fontId="6" fillId="5" borderId="49" xfId="0" applyNumberFormat="1" applyFont="1" applyFill="1" applyBorder="1"/>
    <xf numFmtId="49" fontId="7" fillId="5" borderId="49" xfId="0" applyNumberFormat="1" applyFont="1" applyFill="1" applyBorder="1" applyAlignment="1">
      <alignment horizontal="center" vertical="center"/>
    </xf>
    <xf numFmtId="0" fontId="13" fillId="7" borderId="0" xfId="0" applyFont="1" applyFill="1"/>
    <xf numFmtId="0" fontId="20" fillId="7" borderId="0" xfId="0" applyNumberFormat="1" applyFont="1" applyFill="1" applyBorder="1" applyAlignment="1" applyProtection="1">
      <alignment vertical="top"/>
    </xf>
    <xf numFmtId="0" fontId="13" fillId="0" borderId="0" xfId="0" applyFont="1"/>
    <xf numFmtId="0" fontId="13" fillId="0" borderId="0" xfId="0" applyFont="1" applyFill="1"/>
    <xf numFmtId="0" fontId="17" fillId="5" borderId="3" xfId="0" applyFont="1" applyFill="1" applyBorder="1"/>
    <xf numFmtId="0" fontId="0" fillId="0" borderId="0" xfId="0" applyNumberFormat="1" applyBorder="1" applyProtection="1">
      <protection locked="0"/>
    </xf>
    <xf numFmtId="0" fontId="0" fillId="0" borderId="0" xfId="0" applyNumberFormat="1" applyProtection="1">
      <protection locked="0"/>
    </xf>
    <xf numFmtId="1" fontId="0" fillId="0" borderId="0" xfId="0" applyNumberFormat="1" applyBorder="1" applyProtection="1">
      <protection locked="0"/>
    </xf>
    <xf numFmtId="2" fontId="0" fillId="0" borderId="0" xfId="0" applyNumberFormat="1" applyBorder="1" applyProtection="1">
      <protection locked="0"/>
    </xf>
    <xf numFmtId="0" fontId="0" fillId="0" borderId="31" xfId="0" applyBorder="1" applyProtection="1">
      <protection locked="0"/>
    </xf>
    <xf numFmtId="0" fontId="0" fillId="0" borderId="31" xfId="0" applyBorder="1" applyAlignment="1" applyProtection="1">
      <alignment vertical="center"/>
    </xf>
    <xf numFmtId="170" fontId="0" fillId="11" borderId="31" xfId="0" applyNumberFormat="1" applyFill="1" applyBorder="1" applyAlignment="1" applyProtection="1">
      <alignment vertical="center"/>
    </xf>
    <xf numFmtId="170" fontId="0" fillId="8" borderId="31" xfId="0" applyNumberFormat="1" applyFill="1" applyBorder="1" applyAlignment="1" applyProtection="1">
      <alignment vertical="center"/>
    </xf>
    <xf numFmtId="170" fontId="0" fillId="10" borderId="31" xfId="0" applyNumberFormat="1" applyFill="1" applyBorder="1" applyAlignment="1" applyProtection="1">
      <alignment vertical="center"/>
    </xf>
    <xf numFmtId="170" fontId="0" fillId="9" borderId="31" xfId="0" applyNumberFormat="1" applyFill="1" applyBorder="1" applyAlignment="1" applyProtection="1">
      <alignment vertical="center"/>
    </xf>
    <xf numFmtId="166" fontId="0" fillId="16" borderId="31" xfId="0" applyNumberFormat="1" applyFill="1" applyBorder="1" applyAlignment="1" applyProtection="1">
      <alignment vertical="center"/>
    </xf>
    <xf numFmtId="166" fontId="0" fillId="0" borderId="31" xfId="0" applyNumberFormat="1" applyBorder="1" applyAlignment="1" applyProtection="1">
      <alignment vertical="center"/>
    </xf>
    <xf numFmtId="49" fontId="0" fillId="0" borderId="32" xfId="0" applyNumberFormat="1" applyBorder="1" applyProtection="1">
      <protection locked="0"/>
    </xf>
    <xf numFmtId="0" fontId="0" fillId="0" borderId="31" xfId="0" applyNumberForma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2" xfId="0" applyBorder="1" applyAlignment="1" applyProtection="1">
      <alignment vertical="center"/>
    </xf>
    <xf numFmtId="170" fontId="0" fillId="11" borderId="2" xfId="0" applyNumberFormat="1" applyFill="1" applyBorder="1" applyAlignment="1" applyProtection="1">
      <alignment vertical="center"/>
    </xf>
    <xf numFmtId="170" fontId="0" fillId="8" borderId="2" xfId="0" applyNumberFormat="1" applyFill="1" applyBorder="1" applyAlignment="1" applyProtection="1">
      <alignment vertical="center"/>
    </xf>
    <xf numFmtId="170" fontId="0" fillId="10" borderId="2" xfId="0" applyNumberFormat="1" applyFill="1" applyBorder="1" applyAlignment="1" applyProtection="1">
      <alignment vertical="center"/>
    </xf>
    <xf numFmtId="170" fontId="0" fillId="9" borderId="2" xfId="0" applyNumberFormat="1" applyFill="1" applyBorder="1" applyAlignment="1" applyProtection="1">
      <alignment vertical="center"/>
    </xf>
    <xf numFmtId="166" fontId="0" fillId="16" borderId="2" xfId="0" applyNumberFormat="1" applyFill="1" applyBorder="1" applyAlignment="1" applyProtection="1">
      <alignment vertical="center"/>
    </xf>
    <xf numFmtId="166" fontId="0" fillId="0" borderId="2" xfId="0" applyNumberFormat="1" applyBorder="1" applyAlignment="1" applyProtection="1">
      <alignment vertical="center"/>
    </xf>
    <xf numFmtId="49" fontId="0" fillId="0" borderId="3" xfId="0" applyNumberFormat="1" applyBorder="1" applyProtection="1">
      <protection locked="0"/>
    </xf>
    <xf numFmtId="49" fontId="0" fillId="0" borderId="7" xfId="0" applyNumberFormat="1" applyBorder="1" applyProtection="1">
      <protection locked="0"/>
    </xf>
    <xf numFmtId="0" fontId="0" fillId="0" borderId="5" xfId="0" applyBorder="1" applyProtection="1">
      <protection locked="0"/>
    </xf>
    <xf numFmtId="0" fontId="0" fillId="0" borderId="5" xfId="0" applyBorder="1" applyAlignment="1" applyProtection="1">
      <alignment vertical="center"/>
    </xf>
    <xf numFmtId="170" fontId="0" fillId="11" borderId="5" xfId="0" applyNumberFormat="1" applyFill="1" applyBorder="1" applyAlignment="1" applyProtection="1">
      <alignment vertical="center"/>
    </xf>
    <xf numFmtId="170" fontId="0" fillId="8" borderId="5" xfId="0" applyNumberFormat="1" applyFill="1" applyBorder="1" applyAlignment="1" applyProtection="1">
      <alignment vertical="center"/>
    </xf>
    <xf numFmtId="170" fontId="0" fillId="10" borderId="5" xfId="0" applyNumberFormat="1" applyFill="1" applyBorder="1" applyAlignment="1" applyProtection="1">
      <alignment vertical="center"/>
    </xf>
    <xf numFmtId="170" fontId="0" fillId="9" borderId="5" xfId="0" applyNumberFormat="1" applyFill="1" applyBorder="1" applyAlignment="1" applyProtection="1">
      <alignment vertical="center"/>
    </xf>
    <xf numFmtId="166" fontId="0" fillId="16" borderId="5" xfId="0" applyNumberFormat="1" applyFill="1" applyBorder="1" applyAlignment="1" applyProtection="1">
      <alignment vertical="center"/>
    </xf>
    <xf numFmtId="166" fontId="0" fillId="0" borderId="5" xfId="0" applyNumberFormat="1" applyBorder="1" applyAlignment="1" applyProtection="1">
      <alignment vertical="center"/>
    </xf>
    <xf numFmtId="49" fontId="0" fillId="0" borderId="6" xfId="0" applyNumberFormat="1" applyBorder="1" applyProtection="1">
      <protection locked="0"/>
    </xf>
    <xf numFmtId="1" fontId="0" fillId="0" borderId="2" xfId="0" applyNumberFormat="1" applyBorder="1" applyProtection="1">
      <protection locked="0"/>
    </xf>
    <xf numFmtId="1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166" fontId="0" fillId="16" borderId="1" xfId="0" applyNumberFormat="1" applyFill="1" applyBorder="1" applyAlignment="1" applyProtection="1">
      <alignment vertical="center"/>
    </xf>
    <xf numFmtId="166" fontId="0" fillId="16" borderId="4" xfId="0" applyNumberFormat="1" applyFill="1" applyBorder="1" applyAlignment="1" applyProtection="1">
      <alignment vertical="center"/>
    </xf>
    <xf numFmtId="49" fontId="0" fillId="9" borderId="38" xfId="0" applyNumberFormat="1" applyFill="1" applyBorder="1" applyAlignment="1" applyProtection="1">
      <alignment vertical="center"/>
      <protection locked="0"/>
    </xf>
    <xf numFmtId="49" fontId="0" fillId="19" borderId="38" xfId="0" applyNumberFormat="1" applyFill="1" applyBorder="1" applyAlignment="1" applyProtection="1">
      <alignment vertical="center"/>
      <protection locked="0"/>
    </xf>
    <xf numFmtId="49" fontId="12" fillId="19" borderId="38" xfId="0" applyNumberFormat="1" applyFont="1" applyFill="1" applyBorder="1" applyAlignment="1" applyProtection="1">
      <alignment vertical="center"/>
      <protection locked="0"/>
    </xf>
    <xf numFmtId="49" fontId="0" fillId="9" borderId="34" xfId="0" applyNumberFormat="1" applyFill="1" applyBorder="1" applyAlignment="1" applyProtection="1">
      <alignment vertical="center"/>
      <protection locked="0"/>
    </xf>
    <xf numFmtId="49" fontId="0" fillId="9" borderId="51" xfId="0" applyNumberFormat="1" applyFill="1" applyBorder="1" applyProtection="1">
      <protection locked="0"/>
    </xf>
    <xf numFmtId="49" fontId="0" fillId="9" borderId="29" xfId="0" applyNumberFormat="1" applyFill="1" applyBorder="1" applyProtection="1">
      <protection locked="0"/>
    </xf>
    <xf numFmtId="49" fontId="0" fillId="19" borderId="34" xfId="0" applyNumberFormat="1" applyFill="1" applyBorder="1" applyAlignment="1" applyProtection="1">
      <alignment vertical="center"/>
      <protection locked="0"/>
    </xf>
    <xf numFmtId="49" fontId="0" fillId="19" borderId="51" xfId="0" applyNumberFormat="1" applyFill="1" applyBorder="1" applyProtection="1">
      <protection locked="0"/>
    </xf>
    <xf numFmtId="49" fontId="0" fillId="19" borderId="29" xfId="0" applyNumberFormat="1" applyFill="1" applyBorder="1" applyProtection="1">
      <protection locked="0"/>
    </xf>
    <xf numFmtId="0" fontId="0" fillId="0" borderId="28" xfId="0" applyBorder="1" applyProtection="1">
      <protection locked="0"/>
    </xf>
    <xf numFmtId="0" fontId="0" fillId="0" borderId="32" xfId="0" applyBorder="1" applyProtection="1">
      <protection locked="0"/>
    </xf>
    <xf numFmtId="0" fontId="0" fillId="0" borderId="28" xfId="0" applyNumberFormat="1" applyBorder="1" applyProtection="1">
      <protection locked="0"/>
    </xf>
    <xf numFmtId="0" fontId="0" fillId="0" borderId="32" xfId="0" applyNumberForma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33" xfId="0" applyNumberFormat="1" applyBorder="1" applyProtection="1">
      <protection locked="0"/>
    </xf>
    <xf numFmtId="0" fontId="0" fillId="0" borderId="7" xfId="0" applyNumberFormat="1" applyBorder="1" applyProtection="1">
      <protection locked="0"/>
    </xf>
    <xf numFmtId="0" fontId="0" fillId="0" borderId="4" xfId="0" applyBorder="1" applyProtection="1">
      <protection locked="0"/>
    </xf>
    <xf numFmtId="1" fontId="0" fillId="0" borderId="1" xfId="0" applyNumberFormat="1" applyBorder="1" applyProtection="1">
      <protection locked="0"/>
    </xf>
    <xf numFmtId="1" fontId="0" fillId="0" borderId="3" xfId="0" applyNumberFormat="1" applyBorder="1" applyProtection="1">
      <protection locked="0"/>
    </xf>
    <xf numFmtId="1" fontId="0" fillId="0" borderId="33" xfId="0" applyNumberFormat="1" applyBorder="1" applyProtection="1">
      <protection locked="0"/>
    </xf>
    <xf numFmtId="1" fontId="0" fillId="0" borderId="7" xfId="0" applyNumberFormat="1" applyBorder="1" applyProtection="1">
      <protection locked="0"/>
    </xf>
    <xf numFmtId="1" fontId="0" fillId="0" borderId="4" xfId="0" applyNumberFormat="1" applyBorder="1" applyProtection="1">
      <protection locked="0"/>
    </xf>
    <xf numFmtId="1" fontId="0" fillId="0" borderId="6" xfId="0" applyNumberFormat="1" applyBorder="1" applyProtection="1">
      <protection locked="0"/>
    </xf>
    <xf numFmtId="0" fontId="0" fillId="0" borderId="33" xfId="0" applyBorder="1" applyProtection="1">
      <protection locked="0"/>
    </xf>
    <xf numFmtId="0" fontId="0" fillId="0" borderId="7" xfId="0" applyBorder="1" applyProtection="1">
      <protection locked="0"/>
    </xf>
    <xf numFmtId="2" fontId="0" fillId="0" borderId="28" xfId="0" applyNumberFormat="1" applyBorder="1" applyProtection="1">
      <protection locked="0"/>
    </xf>
    <xf numFmtId="2" fontId="0" fillId="0" borderId="31" xfId="0" applyNumberFormat="1" applyBorder="1" applyProtection="1">
      <protection locked="0"/>
    </xf>
    <xf numFmtId="2" fontId="0" fillId="0" borderId="1" xfId="0" applyNumberFormat="1" applyBorder="1" applyProtection="1">
      <protection locked="0"/>
    </xf>
    <xf numFmtId="2" fontId="0" fillId="0" borderId="2" xfId="0" applyNumberFormat="1" applyBorder="1" applyProtection="1">
      <protection locked="0"/>
    </xf>
    <xf numFmtId="2" fontId="0" fillId="0" borderId="33" xfId="0" applyNumberFormat="1" applyBorder="1" applyProtection="1">
      <protection locked="0"/>
    </xf>
    <xf numFmtId="2" fontId="0" fillId="0" borderId="4" xfId="0" applyNumberFormat="1" applyBorder="1" applyProtection="1">
      <protection locked="0"/>
    </xf>
    <xf numFmtId="2" fontId="0" fillId="0" borderId="5" xfId="0" applyNumberFormat="1" applyBorder="1" applyProtection="1">
      <protection locked="0"/>
    </xf>
    <xf numFmtId="1" fontId="0" fillId="0" borderId="31" xfId="0" applyNumberFormat="1" applyBorder="1" applyProtection="1">
      <protection locked="0"/>
    </xf>
    <xf numFmtId="1" fontId="0" fillId="0" borderId="32" xfId="0" applyNumberFormat="1" applyBorder="1" applyProtection="1">
      <protection locked="0"/>
    </xf>
    <xf numFmtId="0" fontId="0" fillId="0" borderId="0" xfId="0" applyFont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</xf>
    <xf numFmtId="167" fontId="0" fillId="0" borderId="0" xfId="0" applyNumberFormat="1" applyFill="1" applyBorder="1" applyProtection="1"/>
    <xf numFmtId="167" fontId="0" fillId="0" borderId="0" xfId="0" applyNumberFormat="1" applyFill="1" applyBorder="1" applyAlignment="1" applyProtection="1">
      <alignment vertical="center"/>
    </xf>
    <xf numFmtId="165" fontId="0" fillId="0" borderId="0" xfId="0" applyNumberFormat="1" applyFill="1" applyBorder="1" applyAlignment="1" applyProtection="1">
      <alignment vertical="center"/>
    </xf>
    <xf numFmtId="49" fontId="0" fillId="0" borderId="0" xfId="0" applyNumberFormat="1" applyBorder="1" applyProtection="1"/>
    <xf numFmtId="165" fontId="0" fillId="0" borderId="0" xfId="0" applyNumberFormat="1" applyFill="1" applyBorder="1" applyProtection="1"/>
    <xf numFmtId="0" fontId="0" fillId="0" borderId="52" xfId="0" applyBorder="1" applyAlignment="1" applyProtection="1">
      <alignment vertical="center"/>
    </xf>
    <xf numFmtId="0" fontId="0" fillId="0" borderId="52" xfId="0" applyFill="1" applyBorder="1" applyAlignment="1" applyProtection="1">
      <alignment vertical="center"/>
    </xf>
    <xf numFmtId="0" fontId="0" fillId="7" borderId="52" xfId="0" applyFill="1" applyBorder="1" applyAlignment="1" applyProtection="1">
      <alignment vertical="center"/>
    </xf>
    <xf numFmtId="167" fontId="0" fillId="0" borderId="52" xfId="0" applyNumberFormat="1" applyFill="1" applyBorder="1" applyProtection="1"/>
    <xf numFmtId="165" fontId="0" fillId="7" borderId="52" xfId="0" applyNumberFormat="1" applyFill="1" applyBorder="1" applyAlignment="1" applyProtection="1">
      <alignment vertical="center"/>
    </xf>
    <xf numFmtId="166" fontId="0" fillId="11" borderId="52" xfId="0" applyNumberFormat="1" applyFill="1" applyBorder="1" applyAlignment="1" applyProtection="1">
      <alignment vertical="center"/>
    </xf>
    <xf numFmtId="166" fontId="0" fillId="8" borderId="52" xfId="0" applyNumberFormat="1" applyFill="1" applyBorder="1" applyAlignment="1" applyProtection="1">
      <alignment vertical="center"/>
    </xf>
    <xf numFmtId="166" fontId="0" fillId="10" borderId="52" xfId="0" applyNumberFormat="1" applyFill="1" applyBorder="1" applyAlignment="1" applyProtection="1">
      <alignment vertical="center"/>
    </xf>
    <xf numFmtId="166" fontId="0" fillId="9" borderId="52" xfId="0" applyNumberFormat="1" applyFill="1" applyBorder="1" applyAlignment="1" applyProtection="1">
      <alignment vertical="center"/>
    </xf>
    <xf numFmtId="166" fontId="0" fillId="0" borderId="52" xfId="0" applyNumberFormat="1" applyBorder="1" applyAlignment="1" applyProtection="1">
      <alignment vertical="center"/>
    </xf>
    <xf numFmtId="0" fontId="0" fillId="0" borderId="24" xfId="0" applyFont="1" applyBorder="1" applyAlignment="1" applyProtection="1">
      <alignment vertical="center"/>
    </xf>
    <xf numFmtId="0" fontId="0" fillId="0" borderId="12" xfId="0" applyBorder="1" applyAlignment="1" applyProtection="1">
      <alignment vertical="center"/>
    </xf>
    <xf numFmtId="0" fontId="0" fillId="0" borderId="12" xfId="0" applyFill="1" applyBorder="1" applyAlignment="1" applyProtection="1">
      <alignment vertical="center"/>
    </xf>
    <xf numFmtId="0" fontId="0" fillId="7" borderId="12" xfId="0" applyFill="1" applyBorder="1" applyAlignment="1" applyProtection="1">
      <alignment vertical="center"/>
    </xf>
    <xf numFmtId="167" fontId="0" fillId="0" borderId="12" xfId="0" applyNumberFormat="1" applyFill="1" applyBorder="1" applyProtection="1"/>
    <xf numFmtId="165" fontId="0" fillId="7" borderId="12" xfId="0" applyNumberFormat="1" applyFill="1" applyBorder="1" applyAlignment="1" applyProtection="1">
      <alignment vertical="center"/>
    </xf>
    <xf numFmtId="166" fontId="0" fillId="11" borderId="12" xfId="0" applyNumberFormat="1" applyFill="1" applyBorder="1" applyAlignment="1" applyProtection="1">
      <alignment vertical="center"/>
    </xf>
    <xf numFmtId="166" fontId="0" fillId="8" borderId="12" xfId="0" applyNumberFormat="1" applyFill="1" applyBorder="1" applyAlignment="1" applyProtection="1">
      <alignment vertical="center"/>
    </xf>
    <xf numFmtId="166" fontId="0" fillId="10" borderId="12" xfId="0" applyNumberFormat="1" applyFill="1" applyBorder="1" applyAlignment="1" applyProtection="1">
      <alignment vertical="center"/>
    </xf>
    <xf numFmtId="166" fontId="0" fillId="9" borderId="12" xfId="0" applyNumberFormat="1" applyFill="1" applyBorder="1" applyAlignment="1" applyProtection="1">
      <alignment vertical="center"/>
    </xf>
    <xf numFmtId="166" fontId="0" fillId="0" borderId="12" xfId="0" applyNumberFormat="1" applyBorder="1" applyAlignment="1" applyProtection="1">
      <alignment vertical="center"/>
    </xf>
    <xf numFmtId="0" fontId="0" fillId="0" borderId="0" xfId="0" applyFont="1" applyFill="1" applyBorder="1" applyAlignment="1" applyProtection="1">
      <alignment vertical="center"/>
    </xf>
    <xf numFmtId="167" fontId="0" fillId="0" borderId="52" xfId="0" applyNumberFormat="1" applyFill="1" applyBorder="1" applyAlignment="1" applyProtection="1">
      <alignment vertical="center"/>
    </xf>
    <xf numFmtId="165" fontId="0" fillId="0" borderId="52" xfId="0" applyNumberFormat="1" applyFill="1" applyBorder="1" applyAlignment="1" applyProtection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8" fillId="0" borderId="33" xfId="0" applyFont="1" applyFill="1" applyBorder="1"/>
    <xf numFmtId="0" fontId="18" fillId="0" borderId="7" xfId="0" applyFont="1" applyFill="1" applyBorder="1"/>
    <xf numFmtId="0" fontId="18" fillId="0" borderId="4" xfId="0" applyFont="1" applyFill="1" applyBorder="1"/>
    <xf numFmtId="0" fontId="18" fillId="0" borderId="6" xfId="0" applyFont="1" applyFill="1" applyBorder="1"/>
    <xf numFmtId="0" fontId="0" fillId="0" borderId="0" xfId="0" applyAlignment="1">
      <alignment horizontal="center" vertical="center"/>
    </xf>
    <xf numFmtId="49" fontId="18" fillId="0" borderId="0" xfId="0" applyNumberFormat="1" applyFont="1" applyFill="1" applyAlignment="1">
      <alignment horizontal="left"/>
    </xf>
    <xf numFmtId="49" fontId="18" fillId="6" borderId="34" xfId="0" applyNumberFormat="1" applyFont="1" applyFill="1" applyBorder="1" applyAlignment="1">
      <alignment horizontal="left"/>
    </xf>
    <xf numFmtId="49" fontId="18" fillId="6" borderId="51" xfId="0" applyNumberFormat="1" applyFont="1" applyFill="1" applyBorder="1" applyAlignment="1">
      <alignment horizontal="left"/>
    </xf>
    <xf numFmtId="49" fontId="18" fillId="6" borderId="29" xfId="0" applyNumberFormat="1" applyFont="1" applyFill="1" applyBorder="1" applyAlignment="1">
      <alignment horizontal="left"/>
    </xf>
    <xf numFmtId="49" fontId="18" fillId="6" borderId="7" xfId="0" applyNumberFormat="1" applyFont="1" applyFill="1" applyBorder="1" applyAlignment="1">
      <alignment horizontal="left"/>
    </xf>
    <xf numFmtId="49" fontId="18" fillId="6" borderId="6" xfId="0" applyNumberFormat="1" applyFont="1" applyFill="1" applyBorder="1" applyAlignment="1">
      <alignment horizontal="left"/>
    </xf>
    <xf numFmtId="49" fontId="18" fillId="23" borderId="38" xfId="0" applyNumberFormat="1" applyFont="1" applyFill="1" applyBorder="1" applyAlignment="1" applyProtection="1">
      <alignment horizontal="left"/>
      <protection locked="0"/>
    </xf>
    <xf numFmtId="49" fontId="18" fillId="23" borderId="29" xfId="0" applyNumberFormat="1" applyFont="1" applyFill="1" applyBorder="1" applyAlignment="1" applyProtection="1">
      <alignment horizontal="left"/>
      <protection locked="0"/>
    </xf>
    <xf numFmtId="0" fontId="2" fillId="5" borderId="52" xfId="0" applyFont="1" applyFill="1" applyBorder="1" applyAlignment="1" applyProtection="1">
      <alignment horizontal="center" vertical="center"/>
      <protection locked="0"/>
    </xf>
    <xf numFmtId="0" fontId="2" fillId="5" borderId="52" xfId="0" applyFont="1" applyFill="1" applyBorder="1" applyAlignment="1" applyProtection="1">
      <alignment horizontal="center" vertical="center"/>
    </xf>
    <xf numFmtId="0" fontId="6" fillId="0" borderId="50" xfId="0" applyFont="1" applyFill="1" applyBorder="1" applyProtection="1">
      <protection locked="0"/>
    </xf>
    <xf numFmtId="0" fontId="3" fillId="0" borderId="52" xfId="0" applyFont="1" applyFill="1" applyBorder="1" applyAlignment="1" applyProtection="1">
      <alignment horizontal="center" vertical="center"/>
      <protection locked="0"/>
    </xf>
    <xf numFmtId="0" fontId="2" fillId="0" borderId="52" xfId="0" applyFont="1" applyFill="1" applyBorder="1" applyAlignment="1" applyProtection="1">
      <alignment horizontal="center" vertical="center"/>
      <protection locked="0"/>
    </xf>
    <xf numFmtId="0" fontId="2" fillId="0" borderId="52" xfId="0" applyFont="1" applyFill="1" applyBorder="1" applyAlignment="1" applyProtection="1">
      <alignment horizontal="center" vertical="center"/>
    </xf>
    <xf numFmtId="0" fontId="17" fillId="0" borderId="53" xfId="0" applyFont="1" applyFill="1" applyBorder="1" applyAlignment="1" applyProtection="1">
      <alignment horizontal="center" vertical="center"/>
    </xf>
    <xf numFmtId="49" fontId="17" fillId="0" borderId="0" xfId="0" applyNumberFormat="1" applyFont="1" applyFill="1" applyProtection="1"/>
    <xf numFmtId="0" fontId="3" fillId="5" borderId="13" xfId="0" applyFont="1" applyFill="1" applyBorder="1" applyAlignment="1" applyProtection="1">
      <alignment horizontal="left" vertical="center"/>
      <protection locked="0"/>
    </xf>
    <xf numFmtId="0" fontId="2" fillId="5" borderId="13" xfId="0" applyFont="1" applyFill="1" applyBorder="1" applyAlignment="1" applyProtection="1">
      <alignment horizontal="left" vertical="center"/>
      <protection locked="0"/>
    </xf>
    <xf numFmtId="2" fontId="17" fillId="5" borderId="13" xfId="0" applyNumberFormat="1" applyFont="1" applyFill="1" applyBorder="1" applyAlignment="1" applyProtection="1">
      <alignment horizontal="left" vertical="center"/>
      <protection locked="0"/>
    </xf>
    <xf numFmtId="0" fontId="17" fillId="5" borderId="13" xfId="0" applyFont="1" applyFill="1" applyBorder="1" applyAlignment="1" applyProtection="1">
      <alignment horizontal="left" vertical="center"/>
      <protection locked="0"/>
    </xf>
    <xf numFmtId="49" fontId="17" fillId="5" borderId="13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Font="1"/>
    <xf numFmtId="170" fontId="0" fillId="11" borderId="0" xfId="0" applyNumberFormat="1" applyFont="1" applyFill="1" applyBorder="1" applyAlignment="1" applyProtection="1">
      <alignment vertical="center"/>
    </xf>
    <xf numFmtId="170" fontId="0" fillId="8" borderId="0" xfId="0" applyNumberFormat="1" applyFont="1" applyFill="1" applyBorder="1" applyAlignment="1" applyProtection="1">
      <alignment vertical="center"/>
    </xf>
    <xf numFmtId="170" fontId="0" fillId="10" borderId="0" xfId="0" applyNumberFormat="1" applyFont="1" applyFill="1" applyBorder="1" applyAlignment="1" applyProtection="1">
      <alignment vertical="center"/>
    </xf>
    <xf numFmtId="170" fontId="0" fillId="9" borderId="0" xfId="0" applyNumberFormat="1" applyFont="1" applyFill="1" applyBorder="1" applyAlignment="1" applyProtection="1">
      <alignment vertical="center"/>
    </xf>
    <xf numFmtId="166" fontId="0" fillId="16" borderId="0" xfId="0" applyNumberFormat="1" applyFont="1" applyFill="1" applyBorder="1" applyAlignment="1" applyProtection="1">
      <alignment vertical="center"/>
    </xf>
    <xf numFmtId="166" fontId="0" fillId="0" borderId="0" xfId="0" applyNumberFormat="1" applyFont="1" applyBorder="1" applyAlignment="1" applyProtection="1">
      <alignment vertical="center"/>
    </xf>
    <xf numFmtId="49" fontId="0" fillId="0" borderId="0" xfId="0" applyNumberFormat="1" applyFont="1" applyBorder="1" applyProtection="1">
      <protection locked="0"/>
    </xf>
    <xf numFmtId="0" fontId="0" fillId="0" borderId="0" xfId="0" applyFont="1" applyBorder="1"/>
    <xf numFmtId="0" fontId="6" fillId="0" borderId="0" xfId="0" applyFont="1" applyAlignment="1">
      <alignment horizontal="left" vertical="center"/>
    </xf>
    <xf numFmtId="0" fontId="6" fillId="0" borderId="0" xfId="0" applyFont="1"/>
    <xf numFmtId="3" fontId="14" fillId="0" borderId="0" xfId="0" applyNumberFormat="1" applyFont="1" applyFill="1" applyBorder="1"/>
    <xf numFmtId="49" fontId="7" fillId="5" borderId="28" xfId="0" applyNumberFormat="1" applyFont="1" applyFill="1" applyBorder="1" applyAlignment="1">
      <alignment horizontal="left" vertical="center"/>
    </xf>
    <xf numFmtId="0" fontId="7" fillId="5" borderId="13" xfId="0" applyFont="1" applyFill="1" applyBorder="1" applyAlignment="1">
      <alignment horizontal="left" vertical="center"/>
    </xf>
    <xf numFmtId="0" fontId="21" fillId="7" borderId="0" xfId="0" applyFont="1" applyFill="1" applyAlignment="1">
      <alignment horizontal="center" vertical="center"/>
    </xf>
    <xf numFmtId="166" fontId="18" fillId="16" borderId="2" xfId="0" applyNumberFormat="1" applyFont="1" applyFill="1" applyBorder="1"/>
    <xf numFmtId="166" fontId="18" fillId="0" borderId="2" xfId="0" applyNumberFormat="1" applyFont="1" applyBorder="1"/>
    <xf numFmtId="166" fontId="18" fillId="16" borderId="0" xfId="0" applyNumberFormat="1" applyFont="1" applyFill="1" applyBorder="1"/>
    <xf numFmtId="166" fontId="18" fillId="0" borderId="0" xfId="0" applyNumberFormat="1" applyFont="1" applyBorder="1"/>
    <xf numFmtId="166" fontId="18" fillId="0" borderId="0" xfId="0" applyNumberFormat="1" applyFont="1"/>
    <xf numFmtId="0" fontId="7" fillId="24" borderId="13" xfId="0" applyFont="1" applyFill="1" applyBorder="1" applyAlignment="1">
      <alignment horizontal="left" vertical="center"/>
    </xf>
    <xf numFmtId="0" fontId="7" fillId="25" borderId="13" xfId="0" applyFont="1" applyFill="1" applyBorder="1" applyAlignment="1">
      <alignment horizontal="left" vertical="center"/>
    </xf>
    <xf numFmtId="0" fontId="0" fillId="12" borderId="0" xfId="0" applyFill="1"/>
    <xf numFmtId="0" fontId="0" fillId="0" borderId="12" xfId="0" applyBorder="1" applyAlignment="1"/>
    <xf numFmtId="16" fontId="0" fillId="0" borderId="0" xfId="0" applyNumberFormat="1"/>
    <xf numFmtId="0" fontId="0" fillId="0" borderId="0" xfId="0" applyAlignment="1"/>
    <xf numFmtId="49" fontId="22" fillId="0" borderId="0" xfId="0" applyNumberFormat="1" applyFont="1" applyFill="1" applyBorder="1" applyAlignment="1">
      <alignment horizontal="center" vertical="center"/>
    </xf>
    <xf numFmtId="49" fontId="22" fillId="0" borderId="0" xfId="0" applyNumberFormat="1" applyFont="1" applyAlignment="1">
      <alignment horizontal="center" vertical="center"/>
    </xf>
    <xf numFmtId="11" fontId="13" fillId="0" borderId="0" xfId="0" applyNumberFormat="1" applyFont="1" applyAlignment="1">
      <alignment vertical="center"/>
    </xf>
    <xf numFmtId="11" fontId="13" fillId="0" borderId="0" xfId="0" applyNumberFormat="1" applyFont="1" applyAlignment="1">
      <alignment horizontal="center" vertical="center"/>
    </xf>
    <xf numFmtId="0" fontId="7" fillId="24" borderId="13" xfId="0" applyFont="1" applyFill="1" applyBorder="1"/>
    <xf numFmtId="0" fontId="0" fillId="0" borderId="0" xfId="0" applyAlignment="1">
      <alignment horizontal="center" vertical="center"/>
    </xf>
    <xf numFmtId="0" fontId="0" fillId="26" borderId="0" xfId="0" applyFill="1" applyAlignment="1">
      <alignment horizontal="center" vertical="center"/>
    </xf>
    <xf numFmtId="49" fontId="18" fillId="6" borderId="32" xfId="0" applyNumberFormat="1" applyFont="1" applyFill="1" applyBorder="1" applyAlignment="1">
      <alignment horizontal="left"/>
    </xf>
    <xf numFmtId="0" fontId="18" fillId="0" borderId="0" xfId="0" applyFont="1" applyFill="1" applyBorder="1"/>
    <xf numFmtId="166" fontId="18" fillId="0" borderId="0" xfId="0" applyNumberFormat="1" applyFont="1" applyFill="1" applyBorder="1"/>
    <xf numFmtId="49" fontId="18" fillId="23" borderId="0" xfId="0" applyNumberFormat="1" applyFont="1" applyFill="1" applyBorder="1" applyAlignment="1" applyProtection="1">
      <alignment horizontal="left"/>
      <protection locked="0"/>
    </xf>
    <xf numFmtId="49" fontId="18" fillId="6" borderId="0" xfId="0" applyNumberFormat="1" applyFont="1" applyFill="1" applyBorder="1" applyAlignment="1">
      <alignment horizontal="left"/>
    </xf>
    <xf numFmtId="49" fontId="18" fillId="23" borderId="3" xfId="0" applyNumberFormat="1" applyFont="1" applyFill="1" applyBorder="1" applyAlignment="1" applyProtection="1">
      <alignment horizontal="left"/>
      <protection locked="0"/>
    </xf>
    <xf numFmtId="49" fontId="18" fillId="23" borderId="7" xfId="0" applyNumberFormat="1" applyFont="1" applyFill="1" applyBorder="1" applyAlignment="1" applyProtection="1">
      <alignment horizontal="left"/>
      <protection locked="0"/>
    </xf>
    <xf numFmtId="0" fontId="18" fillId="0" borderId="5" xfId="0" applyFont="1" applyFill="1" applyBorder="1"/>
    <xf numFmtId="166" fontId="18" fillId="0" borderId="5" xfId="0" applyNumberFormat="1" applyFont="1" applyFill="1" applyBorder="1"/>
    <xf numFmtId="49" fontId="18" fillId="26" borderId="3" xfId="0" applyNumberFormat="1" applyFont="1" applyFill="1" applyBorder="1" applyAlignment="1">
      <alignment horizontal="left"/>
    </xf>
    <xf numFmtId="49" fontId="18" fillId="22" borderId="6" xfId="0" applyNumberFormat="1" applyFont="1" applyFill="1" applyBorder="1" applyAlignment="1">
      <alignment horizontal="left"/>
    </xf>
    <xf numFmtId="49" fontId="18" fillId="26" borderId="6" xfId="0" applyNumberFormat="1" applyFont="1" applyFill="1" applyBorder="1" applyAlignment="1">
      <alignment horizontal="left"/>
    </xf>
    <xf numFmtId="0" fontId="0" fillId="0" borderId="50" xfId="0" applyFont="1" applyBorder="1" applyAlignment="1" applyProtection="1">
      <alignment vertical="center"/>
    </xf>
    <xf numFmtId="165" fontId="0" fillId="0" borderId="52" xfId="0" applyNumberFormat="1" applyFill="1" applyBorder="1" applyProtection="1"/>
    <xf numFmtId="165" fontId="0" fillId="0" borderId="12" xfId="0" applyNumberFormat="1" applyFill="1" applyBorder="1" applyProtection="1"/>
    <xf numFmtId="166" fontId="0" fillId="21" borderId="52" xfId="0" applyNumberFormat="1" applyFill="1" applyBorder="1" applyAlignment="1" applyProtection="1">
      <alignment vertical="center"/>
    </xf>
    <xf numFmtId="0" fontId="8" fillId="0" borderId="50" xfId="0" applyFont="1" applyFill="1" applyBorder="1" applyAlignment="1" applyProtection="1">
      <alignment vertical="center"/>
    </xf>
    <xf numFmtId="0" fontId="8" fillId="0" borderId="54" xfId="0" applyFont="1" applyBorder="1" applyAlignment="1" applyProtection="1">
      <alignment vertical="center"/>
    </xf>
    <xf numFmtId="169" fontId="2" fillId="5" borderId="13" xfId="5" applyNumberFormat="1">
      <alignment horizontal="left" vertical="center"/>
    </xf>
    <xf numFmtId="0" fontId="2" fillId="5" borderId="13" xfId="5" applyNumberFormat="1">
      <alignment horizontal="left" vertical="center"/>
    </xf>
    <xf numFmtId="49" fontId="2" fillId="5" borderId="13" xfId="5" applyNumberFormat="1">
      <alignment horizontal="left" vertical="center"/>
    </xf>
    <xf numFmtId="169" fontId="2" fillId="5" borderId="13" xfId="5" applyNumberFormat="1" applyAlignment="1">
      <alignment horizontal="left" vertical="center"/>
    </xf>
    <xf numFmtId="2" fontId="2" fillId="5" borderId="13" xfId="5" applyNumberFormat="1">
      <alignment horizontal="left" vertical="center"/>
    </xf>
    <xf numFmtId="0" fontId="2" fillId="5" borderId="13" xfId="5" applyNumberFormat="1" applyAlignment="1">
      <alignment horizontal="left" vertical="center"/>
    </xf>
    <xf numFmtId="49" fontId="2" fillId="5" borderId="13" xfId="5" applyNumberFormat="1" applyAlignment="1">
      <alignment horizontal="left" vertical="center"/>
    </xf>
    <xf numFmtId="169" fontId="1" fillId="0" borderId="0" xfId="6">
      <alignment vertical="center"/>
    </xf>
    <xf numFmtId="169" fontId="1" fillId="16" borderId="0" xfId="6" applyFill="1">
      <alignment vertical="center"/>
    </xf>
    <xf numFmtId="49" fontId="0" fillId="10" borderId="53" xfId="0" applyNumberFormat="1" applyFill="1" applyBorder="1" applyProtection="1"/>
    <xf numFmtId="49" fontId="0" fillId="10" borderId="55" xfId="0" applyNumberFormat="1" applyFill="1" applyBorder="1" applyProtection="1"/>
    <xf numFmtId="49" fontId="0" fillId="10" borderId="25" xfId="0" applyNumberFormat="1" applyFill="1" applyBorder="1" applyProtection="1"/>
    <xf numFmtId="49" fontId="0" fillId="10" borderId="0" xfId="0" applyNumberFormat="1" applyFill="1" applyBorder="1" applyProtection="1"/>
    <xf numFmtId="0" fontId="18" fillId="0" borderId="34" xfId="0" applyFont="1" applyFill="1" applyBorder="1"/>
    <xf numFmtId="0" fontId="18" fillId="0" borderId="2" xfId="0" applyFont="1" applyFill="1" applyBorder="1"/>
    <xf numFmtId="0" fontId="18" fillId="0" borderId="1" xfId="0" applyFont="1" applyFill="1" applyBorder="1"/>
    <xf numFmtId="0" fontId="18" fillId="0" borderId="3" xfId="0" applyFont="1" applyFill="1" applyBorder="1"/>
    <xf numFmtId="169" fontId="18" fillId="0" borderId="2" xfId="0" applyNumberFormat="1" applyFont="1" applyFill="1" applyBorder="1"/>
    <xf numFmtId="0" fontId="18" fillId="0" borderId="51" xfId="0" applyFont="1" applyFill="1" applyBorder="1"/>
    <xf numFmtId="169" fontId="18" fillId="0" borderId="0" xfId="0" applyNumberFormat="1" applyFont="1" applyFill="1" applyBorder="1"/>
    <xf numFmtId="0" fontId="18" fillId="0" borderId="0" xfId="0" applyFont="1" applyFill="1" applyBorder="1" applyProtection="1">
      <protection locked="0"/>
    </xf>
    <xf numFmtId="166" fontId="18" fillId="0" borderId="0" xfId="0" applyNumberFormat="1" applyFont="1" applyFill="1" applyBorder="1" applyAlignment="1" applyProtection="1">
      <alignment vertical="center"/>
    </xf>
    <xf numFmtId="0" fontId="18" fillId="0" borderId="29" xfId="0" applyFont="1" applyFill="1" applyBorder="1"/>
    <xf numFmtId="0" fontId="18" fillId="0" borderId="2" xfId="0" applyFont="1" applyFill="1" applyBorder="1" applyProtection="1">
      <protection locked="0"/>
    </xf>
    <xf numFmtId="1" fontId="18" fillId="0" borderId="1" xfId="0" applyNumberFormat="1" applyFont="1" applyFill="1" applyBorder="1" applyProtection="1">
      <protection locked="0"/>
    </xf>
    <xf numFmtId="1" fontId="18" fillId="0" borderId="3" xfId="0" applyNumberFormat="1" applyFont="1" applyFill="1" applyBorder="1" applyProtection="1">
      <protection locked="0"/>
    </xf>
    <xf numFmtId="166" fontId="18" fillId="0" borderId="2" xfId="0" applyNumberFormat="1" applyFont="1" applyFill="1" applyBorder="1" applyAlignment="1" applyProtection="1">
      <alignment vertical="center"/>
    </xf>
    <xf numFmtId="49" fontId="18" fillId="0" borderId="34" xfId="0" applyNumberFormat="1" applyFont="1" applyFill="1" applyBorder="1" applyAlignment="1" applyProtection="1">
      <alignment vertical="center"/>
      <protection locked="0"/>
    </xf>
    <xf numFmtId="49" fontId="18" fillId="0" borderId="51" xfId="0" applyNumberFormat="1" applyFont="1" applyFill="1" applyBorder="1" applyAlignment="1" applyProtection="1">
      <alignment vertical="center"/>
      <protection locked="0"/>
    </xf>
    <xf numFmtId="0" fontId="18" fillId="0" borderId="7" xfId="0" applyFont="1" applyFill="1" applyBorder="1" applyProtection="1">
      <protection locked="0"/>
    </xf>
    <xf numFmtId="166" fontId="18" fillId="0" borderId="2" xfId="0" applyNumberFormat="1" applyFont="1" applyFill="1" applyBorder="1"/>
    <xf numFmtId="0" fontId="18" fillId="0" borderId="4" xfId="0" applyFont="1" applyFill="1" applyBorder="1" applyProtection="1">
      <protection locked="0"/>
    </xf>
    <xf numFmtId="0" fontId="18" fillId="0" borderId="6" xfId="0" applyFont="1" applyFill="1" applyBorder="1" applyProtection="1">
      <protection locked="0"/>
    </xf>
    <xf numFmtId="166" fontId="18" fillId="0" borderId="5" xfId="0" applyNumberFormat="1" applyFont="1" applyFill="1" applyBorder="1" applyAlignment="1" applyProtection="1">
      <alignment vertical="center"/>
    </xf>
    <xf numFmtId="166" fontId="18" fillId="0" borderId="31" xfId="0" applyNumberFormat="1" applyFont="1" applyFill="1" applyBorder="1" applyAlignment="1" applyProtection="1">
      <alignment vertical="center"/>
    </xf>
    <xf numFmtId="0" fontId="16" fillId="0" borderId="51" xfId="0" applyNumberFormat="1" applyFont="1" applyFill="1" applyBorder="1" applyAlignment="1" applyProtection="1">
      <alignment vertical="top"/>
    </xf>
    <xf numFmtId="49" fontId="18" fillId="0" borderId="38" xfId="0" applyNumberFormat="1" applyFont="1" applyFill="1" applyBorder="1" applyAlignment="1" applyProtection="1">
      <alignment vertical="center"/>
      <protection locked="0"/>
    </xf>
    <xf numFmtId="0" fontId="18" fillId="0" borderId="31" xfId="0" applyFont="1" applyFill="1" applyBorder="1" applyProtection="1">
      <protection locked="0"/>
    </xf>
    <xf numFmtId="0" fontId="18" fillId="0" borderId="28" xfId="0" applyFont="1" applyFill="1" applyBorder="1" applyProtection="1">
      <protection locked="0"/>
    </xf>
    <xf numFmtId="0" fontId="18" fillId="0" borderId="32" xfId="0" applyFont="1" applyFill="1" applyBorder="1" applyProtection="1">
      <protection locked="0"/>
    </xf>
    <xf numFmtId="0" fontId="18" fillId="0" borderId="33" xfId="0" applyNumberFormat="1" applyFont="1" applyFill="1" applyBorder="1" applyProtection="1">
      <protection locked="0"/>
    </xf>
    <xf numFmtId="0" fontId="18" fillId="0" borderId="31" xfId="0" applyFont="1" applyFill="1" applyBorder="1"/>
    <xf numFmtId="0" fontId="18" fillId="0" borderId="28" xfId="0" applyFont="1" applyFill="1" applyBorder="1"/>
    <xf numFmtId="0" fontId="18" fillId="0" borderId="32" xfId="0" applyFont="1" applyFill="1" applyBorder="1"/>
    <xf numFmtId="169" fontId="18" fillId="0" borderId="31" xfId="0" applyNumberFormat="1" applyFont="1" applyFill="1" applyBorder="1"/>
    <xf numFmtId="0" fontId="16" fillId="0" borderId="29" xfId="0" applyNumberFormat="1" applyFont="1" applyFill="1" applyBorder="1" applyAlignment="1" applyProtection="1">
      <alignment vertical="top"/>
    </xf>
    <xf numFmtId="169" fontId="18" fillId="0" borderId="5" xfId="0" applyNumberFormat="1" applyFont="1" applyFill="1" applyBorder="1"/>
    <xf numFmtId="0" fontId="18" fillId="0" borderId="38" xfId="0" applyFont="1" applyFill="1" applyBorder="1"/>
    <xf numFmtId="0" fontId="2" fillId="5" borderId="57" xfId="5" applyNumberFormat="1" applyBorder="1">
      <alignment horizontal="left" vertical="center"/>
    </xf>
    <xf numFmtId="169" fontId="2" fillId="5" borderId="57" xfId="5" applyNumberFormat="1" applyBorder="1">
      <alignment horizontal="left" vertical="center"/>
    </xf>
    <xf numFmtId="49" fontId="2" fillId="5" borderId="57" xfId="5" applyNumberFormat="1" applyBorder="1">
      <alignment horizontal="left" vertical="center"/>
    </xf>
    <xf numFmtId="49" fontId="18" fillId="23" borderId="32" xfId="0" applyNumberFormat="1" applyFont="1" applyFill="1" applyBorder="1" applyAlignment="1" applyProtection="1">
      <alignment horizontal="left"/>
      <protection locked="0"/>
    </xf>
    <xf numFmtId="49" fontId="18" fillId="6" borderId="3" xfId="0" applyNumberFormat="1" applyFont="1" applyFill="1" applyBorder="1" applyAlignment="1">
      <alignment horizontal="left"/>
    </xf>
    <xf numFmtId="0" fontId="16" fillId="0" borderId="38" xfId="0" applyFont="1" applyFill="1" applyBorder="1"/>
    <xf numFmtId="166" fontId="18" fillId="0" borderId="31" xfId="0" applyNumberFormat="1" applyFont="1" applyFill="1" applyBorder="1"/>
    <xf numFmtId="49" fontId="18" fillId="22" borderId="32" xfId="0" applyNumberFormat="1" applyFont="1" applyFill="1" applyBorder="1" applyAlignment="1">
      <alignment horizontal="left"/>
    </xf>
    <xf numFmtId="0" fontId="16" fillId="0" borderId="34" xfId="0" applyNumberFormat="1" applyFont="1" applyFill="1" applyBorder="1" applyAlignment="1" applyProtection="1">
      <alignment vertical="top"/>
    </xf>
    <xf numFmtId="166" fontId="18" fillId="0" borderId="3" xfId="0" applyNumberFormat="1" applyFont="1" applyFill="1" applyBorder="1" applyAlignment="1" applyProtection="1">
      <alignment vertical="center"/>
    </xf>
    <xf numFmtId="166" fontId="18" fillId="0" borderId="7" xfId="0" applyNumberFormat="1" applyFont="1" applyFill="1" applyBorder="1"/>
    <xf numFmtId="49" fontId="18" fillId="0" borderId="4" xfId="0" applyNumberFormat="1" applyFont="1" applyFill="1" applyBorder="1" applyProtection="1">
      <protection locked="0"/>
    </xf>
    <xf numFmtId="166" fontId="18" fillId="0" borderId="6" xfId="0" applyNumberFormat="1" applyFont="1" applyFill="1" applyBorder="1" applyAlignment="1" applyProtection="1">
      <alignment vertical="center"/>
    </xf>
    <xf numFmtId="49" fontId="18" fillId="0" borderId="58" xfId="0" applyNumberFormat="1" applyFont="1" applyFill="1" applyBorder="1" applyProtection="1">
      <protection locked="0"/>
    </xf>
    <xf numFmtId="0" fontId="18" fillId="0" borderId="59" xfId="0" applyFont="1" applyFill="1" applyBorder="1"/>
    <xf numFmtId="49" fontId="18" fillId="0" borderId="60" xfId="0" applyNumberFormat="1" applyFont="1" applyFill="1" applyBorder="1" applyProtection="1">
      <protection locked="0"/>
    </xf>
    <xf numFmtId="0" fontId="18" fillId="0" borderId="34" xfId="0" applyFont="1" applyFill="1" applyBorder="1" applyProtection="1">
      <protection locked="0"/>
    </xf>
    <xf numFmtId="0" fontId="18" fillId="0" borderId="29" xfId="0" applyFont="1" applyFill="1" applyBorder="1" applyProtection="1">
      <protection locked="0"/>
    </xf>
    <xf numFmtId="1" fontId="18" fillId="0" borderId="4" xfId="0" applyNumberFormat="1" applyFont="1" applyFill="1" applyBorder="1" applyProtection="1">
      <protection locked="0"/>
    </xf>
    <xf numFmtId="1" fontId="18" fillId="0" borderId="6" xfId="0" applyNumberFormat="1" applyFont="1" applyFill="1" applyBorder="1" applyProtection="1">
      <protection locked="0"/>
    </xf>
    <xf numFmtId="0" fontId="18" fillId="0" borderId="7" xfId="0" applyNumberFormat="1" applyFont="1" applyFill="1" applyBorder="1" applyProtection="1">
      <protection locked="0"/>
    </xf>
    <xf numFmtId="49" fontId="18" fillId="23" borderId="51" xfId="0" applyNumberFormat="1" applyFont="1" applyFill="1" applyBorder="1" applyAlignment="1" applyProtection="1">
      <alignment horizontal="left"/>
      <protection locked="0"/>
    </xf>
    <xf numFmtId="49" fontId="18" fillId="0" borderId="1" xfId="0" applyNumberFormat="1" applyFont="1" applyFill="1" applyBorder="1" applyAlignment="1" applyProtection="1">
      <alignment vertical="center"/>
      <protection locked="0"/>
    </xf>
    <xf numFmtId="49" fontId="18" fillId="0" borderId="33" xfId="0" applyNumberFormat="1" applyFont="1" applyFill="1" applyBorder="1" applyProtection="1">
      <protection locked="0"/>
    </xf>
    <xf numFmtId="0" fontId="18" fillId="0" borderId="51" xfId="0" applyNumberFormat="1" applyFont="1" applyFill="1" applyBorder="1" applyProtection="1">
      <protection locked="0"/>
    </xf>
    <xf numFmtId="0" fontId="18" fillId="0" borderId="1" xfId="0" applyFont="1" applyFill="1" applyBorder="1" applyProtection="1">
      <protection locked="0"/>
    </xf>
    <xf numFmtId="0" fontId="18" fillId="0" borderId="3" xfId="0" applyFont="1" applyFill="1" applyBorder="1" applyProtection="1">
      <protection locked="0"/>
    </xf>
    <xf numFmtId="49" fontId="18" fillId="0" borderId="7" xfId="0" applyNumberFormat="1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 vertical="center"/>
    </xf>
    <xf numFmtId="49" fontId="18" fillId="0" borderId="32" xfId="0" applyNumberFormat="1" applyFont="1" applyFill="1" applyBorder="1" applyAlignment="1" applyProtection="1">
      <alignment horizontal="left"/>
      <protection locked="0"/>
    </xf>
    <xf numFmtId="49" fontId="18" fillId="0" borderId="32" xfId="0" applyNumberFormat="1" applyFont="1" applyFill="1" applyBorder="1" applyAlignment="1">
      <alignment horizontal="left"/>
    </xf>
    <xf numFmtId="49" fontId="18" fillId="0" borderId="6" xfId="0" applyNumberFormat="1" applyFont="1" applyFill="1" applyBorder="1" applyAlignment="1">
      <alignment horizontal="left"/>
    </xf>
    <xf numFmtId="0" fontId="18" fillId="23" borderId="3" xfId="0" applyNumberFormat="1" applyFont="1" applyFill="1" applyBorder="1" applyAlignment="1" applyProtection="1">
      <alignment horizontal="left"/>
      <protection locked="0"/>
    </xf>
    <xf numFmtId="0" fontId="18" fillId="23" borderId="32" xfId="0" applyNumberFormat="1" applyFont="1" applyFill="1" applyBorder="1" applyAlignment="1" applyProtection="1">
      <alignment horizontal="left"/>
      <protection locked="0"/>
    </xf>
    <xf numFmtId="0" fontId="18" fillId="0" borderId="33" xfId="0" applyFont="1" applyBorder="1"/>
    <xf numFmtId="0" fontId="18" fillId="0" borderId="7" xfId="0" applyNumberFormat="1" applyFont="1" applyFill="1" applyBorder="1" applyAlignment="1">
      <alignment horizontal="left"/>
    </xf>
    <xf numFmtId="0" fontId="18" fillId="0" borderId="4" xfId="0" applyFont="1" applyBorder="1"/>
    <xf numFmtId="166" fontId="18" fillId="0" borderId="5" xfId="0" applyNumberFormat="1" applyFont="1" applyBorder="1"/>
    <xf numFmtId="0" fontId="18" fillId="0" borderId="6" xfId="0" applyNumberFormat="1" applyFont="1" applyFill="1" applyBorder="1" applyAlignment="1">
      <alignment horizontal="left"/>
    </xf>
    <xf numFmtId="0" fontId="18" fillId="0" borderId="7" xfId="0" applyFont="1" applyBorder="1"/>
    <xf numFmtId="0" fontId="18" fillId="0" borderId="6" xfId="0" applyFont="1" applyBorder="1"/>
    <xf numFmtId="0" fontId="18" fillId="0" borderId="51" xfId="0" applyFont="1" applyBorder="1"/>
    <xf numFmtId="0" fontId="18" fillId="0" borderId="29" xfId="0" applyFont="1" applyBorder="1"/>
    <xf numFmtId="0" fontId="8" fillId="0" borderId="33" xfId="0" applyFont="1" applyBorder="1"/>
    <xf numFmtId="0" fontId="0" fillId="0" borderId="38" xfId="0" applyBorder="1"/>
    <xf numFmtId="0" fontId="0" fillId="0" borderId="32" xfId="0" applyBorder="1"/>
    <xf numFmtId="49" fontId="18" fillId="0" borderId="3" xfId="0" applyNumberFormat="1" applyFont="1" applyFill="1" applyBorder="1" applyAlignment="1">
      <alignment horizontal="left"/>
    </xf>
    <xf numFmtId="0" fontId="0" fillId="0" borderId="34" xfId="0" applyBorder="1"/>
    <xf numFmtId="0" fontId="0" fillId="0" borderId="29" xfId="0" applyBorder="1"/>
    <xf numFmtId="0" fontId="0" fillId="0" borderId="3" xfId="0" applyBorder="1"/>
    <xf numFmtId="0" fontId="0" fillId="0" borderId="6" xfId="0" applyBorder="1"/>
    <xf numFmtId="169" fontId="18" fillId="0" borderId="28" xfId="6" applyFont="1" applyBorder="1">
      <alignment vertical="center"/>
    </xf>
    <xf numFmtId="169" fontId="18" fillId="0" borderId="31" xfId="6" applyFont="1" applyBorder="1">
      <alignment vertical="center"/>
    </xf>
    <xf numFmtId="169" fontId="18" fillId="0" borderId="1" xfId="6" applyFont="1" applyBorder="1">
      <alignment vertical="center"/>
    </xf>
    <xf numFmtId="169" fontId="18" fillId="0" borderId="2" xfId="6" applyFont="1" applyBorder="1">
      <alignment vertical="center"/>
    </xf>
    <xf numFmtId="169" fontId="18" fillId="0" borderId="4" xfId="6" applyFont="1" applyBorder="1">
      <alignment vertical="center"/>
    </xf>
    <xf numFmtId="169" fontId="18" fillId="0" borderId="5" xfId="6" applyFont="1" applyBorder="1">
      <alignment vertical="center"/>
    </xf>
    <xf numFmtId="0" fontId="16" fillId="0" borderId="1" xfId="0" applyNumberFormat="1" applyFont="1" applyFill="1" applyBorder="1" applyAlignment="1" applyProtection="1">
      <alignment vertical="top"/>
    </xf>
    <xf numFmtId="0" fontId="16" fillId="0" borderId="33" xfId="0" applyNumberFormat="1" applyFont="1" applyFill="1" applyBorder="1" applyAlignment="1" applyProtection="1">
      <alignment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18" fillId="6" borderId="34" xfId="0" applyNumberFormat="1" applyFont="1" applyFill="1" applyBorder="1" applyAlignment="1">
      <alignment horizontal="left"/>
    </xf>
    <xf numFmtId="0" fontId="18" fillId="6" borderId="51" xfId="0" applyNumberFormat="1" applyFont="1" applyFill="1" applyBorder="1" applyAlignment="1">
      <alignment horizontal="left"/>
    </xf>
    <xf numFmtId="0" fontId="18" fillId="6" borderId="29" xfId="0" applyNumberFormat="1" applyFont="1" applyFill="1" applyBorder="1" applyAlignment="1">
      <alignment horizontal="left"/>
    </xf>
    <xf numFmtId="0" fontId="18" fillId="0" borderId="7" xfId="0" applyNumberFormat="1" applyFont="1" applyFill="1" applyBorder="1" applyAlignment="1" applyProtection="1">
      <alignment horizontal="left"/>
      <protection locked="0"/>
    </xf>
    <xf numFmtId="0" fontId="18" fillId="6" borderId="3" xfId="0" applyNumberFormat="1" applyFont="1" applyFill="1" applyBorder="1" applyAlignment="1">
      <alignment horizontal="left"/>
    </xf>
    <xf numFmtId="0" fontId="18" fillId="6" borderId="6" xfId="0" applyNumberFormat="1" applyFont="1" applyFill="1" applyBorder="1" applyAlignment="1">
      <alignment horizontal="left"/>
    </xf>
    <xf numFmtId="0" fontId="18" fillId="6" borderId="32" xfId="0" applyNumberFormat="1" applyFont="1" applyFill="1" applyBorder="1" applyAlignment="1">
      <alignment horizontal="left"/>
    </xf>
    <xf numFmtId="0" fontId="18" fillId="6" borderId="7" xfId="0" applyNumberFormat="1" applyFont="1" applyFill="1" applyBorder="1" applyAlignment="1">
      <alignment horizontal="left"/>
    </xf>
    <xf numFmtId="0" fontId="18" fillId="0" borderId="32" xfId="0" applyNumberFormat="1" applyFont="1" applyFill="1" applyBorder="1" applyAlignment="1">
      <alignment horizontal="left"/>
    </xf>
    <xf numFmtId="0" fontId="18" fillId="26" borderId="3" xfId="0" applyNumberFormat="1" applyFont="1" applyFill="1" applyBorder="1" applyAlignment="1">
      <alignment horizontal="left"/>
    </xf>
    <xf numFmtId="0" fontId="18" fillId="23" borderId="7" xfId="0" applyNumberFormat="1" applyFont="1" applyFill="1" applyBorder="1" applyAlignment="1" applyProtection="1">
      <alignment horizontal="left"/>
      <protection locked="0"/>
    </xf>
    <xf numFmtId="0" fontId="18" fillId="6" borderId="0" xfId="0" applyNumberFormat="1" applyFont="1" applyFill="1" applyBorder="1" applyAlignment="1">
      <alignment horizontal="left"/>
    </xf>
    <xf numFmtId="0" fontId="18" fillId="23" borderId="0" xfId="0" applyNumberFormat="1" applyFont="1" applyFill="1" applyBorder="1" applyAlignment="1" applyProtection="1">
      <alignment horizontal="left"/>
      <protection locked="0"/>
    </xf>
    <xf numFmtId="1" fontId="1" fillId="0" borderId="0" xfId="6" applyNumberFormat="1">
      <alignment vertical="center"/>
    </xf>
    <xf numFmtId="171" fontId="1" fillId="0" borderId="0" xfId="6" applyNumberFormat="1">
      <alignment vertical="center"/>
    </xf>
    <xf numFmtId="0" fontId="0" fillId="0" borderId="0" xfId="0" applyAlignment="1">
      <alignment horizontal="center" vertical="center"/>
    </xf>
    <xf numFmtId="169" fontId="1" fillId="0" borderId="0" xfId="6" applyFill="1">
      <alignment vertical="center"/>
    </xf>
    <xf numFmtId="171" fontId="1" fillId="0" borderId="0" xfId="6" applyNumberFormat="1" applyFill="1">
      <alignment vertical="center"/>
    </xf>
    <xf numFmtId="1" fontId="1" fillId="0" borderId="0" xfId="6" applyNumberFormat="1" applyFont="1">
      <alignment vertical="center"/>
    </xf>
    <xf numFmtId="169" fontId="13" fillId="28" borderId="61" xfId="6" applyNumberFormat="1" applyFont="1" applyFill="1" applyBorder="1" applyAlignment="1">
      <alignment vertical="center"/>
    </xf>
    <xf numFmtId="169" fontId="13" fillId="28" borderId="52" xfId="6" applyNumberFormat="1" applyFont="1" applyFill="1" applyBorder="1" applyAlignment="1">
      <alignment vertical="center"/>
    </xf>
    <xf numFmtId="1" fontId="13" fillId="28" borderId="52" xfId="6" applyNumberFormat="1" applyFont="1" applyFill="1" applyBorder="1" applyAlignment="1">
      <alignment vertical="center"/>
    </xf>
    <xf numFmtId="169" fontId="13" fillId="28" borderId="62" xfId="6" applyNumberFormat="1" applyFont="1" applyFill="1" applyBorder="1" applyAlignment="1">
      <alignment vertical="center"/>
    </xf>
    <xf numFmtId="11" fontId="1" fillId="0" borderId="0" xfId="6" applyNumberFormat="1">
      <alignment vertical="center"/>
    </xf>
    <xf numFmtId="1" fontId="1" fillId="16" borderId="0" xfId="6" applyNumberFormat="1" applyFill="1">
      <alignment vertical="center"/>
    </xf>
    <xf numFmtId="171" fontId="1" fillId="16" borderId="0" xfId="6" applyNumberFormat="1" applyFill="1">
      <alignment vertical="center"/>
    </xf>
    <xf numFmtId="169" fontId="1" fillId="29" borderId="0" xfId="6" applyFill="1">
      <alignment vertical="center"/>
    </xf>
    <xf numFmtId="1" fontId="1" fillId="29" borderId="0" xfId="6" applyNumberFormat="1" applyFill="1">
      <alignment vertical="center"/>
    </xf>
    <xf numFmtId="171" fontId="1" fillId="29" borderId="0" xfId="6" applyNumberFormat="1" applyFill="1">
      <alignment vertical="center"/>
    </xf>
    <xf numFmtId="169" fontId="1" fillId="6" borderId="0" xfId="6" applyFill="1">
      <alignment vertical="center"/>
    </xf>
    <xf numFmtId="1" fontId="1" fillId="6" borderId="0" xfId="6" applyNumberFormat="1" applyFill="1">
      <alignment vertical="center"/>
    </xf>
    <xf numFmtId="1" fontId="1" fillId="0" borderId="34" xfId="6" applyNumberFormat="1" applyBorder="1">
      <alignment vertical="center"/>
    </xf>
    <xf numFmtId="1" fontId="1" fillId="0" borderId="51" xfId="6" applyNumberFormat="1" applyBorder="1">
      <alignment vertical="center"/>
    </xf>
    <xf numFmtId="1" fontId="1" fillId="0" borderId="29" xfId="6" applyNumberFormat="1" applyBorder="1">
      <alignment vertical="center"/>
    </xf>
    <xf numFmtId="1" fontId="1" fillId="0" borderId="38" xfId="6" applyNumberFormat="1" applyBorder="1">
      <alignment vertical="center"/>
    </xf>
    <xf numFmtId="0" fontId="2" fillId="5" borderId="49" xfId="5" applyNumberFormat="1" applyBorder="1">
      <alignment horizontal="left" vertical="center"/>
    </xf>
    <xf numFmtId="169" fontId="2" fillId="5" borderId="49" xfId="5" applyNumberFormat="1" applyBorder="1">
      <alignment horizontal="left" vertical="center"/>
    </xf>
    <xf numFmtId="49" fontId="2" fillId="5" borderId="49" xfId="5" applyNumberFormat="1" applyBorder="1">
      <alignment horizontal="left" vertical="center"/>
    </xf>
    <xf numFmtId="169" fontId="2" fillId="5" borderId="42" xfId="5" applyNumberFormat="1" applyBorder="1" applyAlignment="1">
      <alignment horizontal="left" vertical="center"/>
    </xf>
    <xf numFmtId="49" fontId="18" fillId="0" borderId="29" xfId="0" applyNumberFormat="1" applyFont="1" applyFill="1" applyBorder="1" applyAlignment="1" applyProtection="1">
      <alignment vertical="center"/>
      <protection locked="0"/>
    </xf>
    <xf numFmtId="49" fontId="18" fillId="0" borderId="29" xfId="0" applyNumberFormat="1" applyFont="1" applyFill="1" applyBorder="1" applyProtection="1">
      <protection locked="0"/>
    </xf>
    <xf numFmtId="49" fontId="18" fillId="0" borderId="33" xfId="0" applyNumberFormat="1" applyFont="1" applyFill="1" applyBorder="1" applyAlignment="1" applyProtection="1">
      <alignment vertical="center"/>
      <protection locked="0"/>
    </xf>
    <xf numFmtId="0" fontId="16" fillId="0" borderId="59" xfId="0" applyNumberFormat="1" applyFont="1" applyFill="1" applyBorder="1" applyAlignment="1" applyProtection="1">
      <alignment vertical="top"/>
    </xf>
    <xf numFmtId="0" fontId="16" fillId="0" borderId="58" xfId="0" applyNumberFormat="1" applyFont="1" applyFill="1" applyBorder="1" applyAlignment="1" applyProtection="1">
      <alignment vertical="top"/>
    </xf>
    <xf numFmtId="49" fontId="18" fillId="0" borderId="34" xfId="0" applyNumberFormat="1" applyFont="1" applyFill="1" applyBorder="1" applyProtection="1">
      <protection locked="0"/>
    </xf>
    <xf numFmtId="0" fontId="16" fillId="0" borderId="33" xfId="0" applyFont="1" applyFill="1" applyBorder="1"/>
    <xf numFmtId="0" fontId="18" fillId="0" borderId="5" xfId="0" applyFont="1" applyFill="1" applyBorder="1" applyProtection="1">
      <protection locked="0"/>
    </xf>
    <xf numFmtId="0" fontId="18" fillId="0" borderId="51" xfId="0" applyFont="1" applyFill="1" applyBorder="1" applyProtection="1">
      <protection locked="0"/>
    </xf>
    <xf numFmtId="0" fontId="18" fillId="0" borderId="5" xfId="0" applyFont="1" applyBorder="1"/>
    <xf numFmtId="0" fontId="18" fillId="0" borderId="2" xfId="0" applyFont="1" applyBorder="1"/>
    <xf numFmtId="0" fontId="18" fillId="0" borderId="5" xfId="0" applyNumberFormat="1" applyFont="1" applyFill="1" applyBorder="1" applyProtection="1">
      <protection locked="0"/>
    </xf>
    <xf numFmtId="0" fontId="18" fillId="0" borderId="31" xfId="0" applyFont="1" applyBorder="1"/>
    <xf numFmtId="1" fontId="18" fillId="0" borderId="33" xfId="0" applyNumberFormat="1" applyFont="1" applyFill="1" applyBorder="1" applyProtection="1">
      <protection locked="0"/>
    </xf>
    <xf numFmtId="0" fontId="18" fillId="0" borderId="1" xfId="0" applyFont="1" applyBorder="1"/>
    <xf numFmtId="0" fontId="18" fillId="0" borderId="4" xfId="0" applyNumberFormat="1" applyFont="1" applyFill="1" applyBorder="1" applyProtection="1">
      <protection locked="0"/>
    </xf>
    <xf numFmtId="0" fontId="18" fillId="0" borderId="33" xfId="0" applyFont="1" applyFill="1" applyBorder="1" applyProtection="1">
      <protection locked="0"/>
    </xf>
    <xf numFmtId="0" fontId="18" fillId="0" borderId="28" xfId="0" applyFont="1" applyBorder="1"/>
    <xf numFmtId="1" fontId="18" fillId="0" borderId="7" xfId="0" applyNumberFormat="1" applyFont="1" applyFill="1" applyBorder="1" applyProtection="1">
      <protection locked="0"/>
    </xf>
    <xf numFmtId="0" fontId="18" fillId="0" borderId="3" xfId="0" applyFont="1" applyBorder="1"/>
    <xf numFmtId="0" fontId="18" fillId="0" borderId="6" xfId="0" applyNumberFormat="1" applyFont="1" applyFill="1" applyBorder="1" applyProtection="1">
      <protection locked="0"/>
    </xf>
    <xf numFmtId="0" fontId="18" fillId="0" borderId="32" xfId="0" applyFont="1" applyBorder="1"/>
    <xf numFmtId="166" fontId="18" fillId="0" borderId="31" xfId="0" applyNumberFormat="1" applyFont="1" applyBorder="1"/>
    <xf numFmtId="169" fontId="18" fillId="0" borderId="7" xfId="0" applyNumberFormat="1" applyFont="1" applyFill="1" applyBorder="1"/>
    <xf numFmtId="169" fontId="18" fillId="0" borderId="3" xfId="0" applyNumberFormat="1" applyFont="1" applyFill="1" applyBorder="1"/>
    <xf numFmtId="0" fontId="18" fillId="23" borderId="6" xfId="0" applyNumberFormat="1" applyFont="1" applyFill="1" applyBorder="1" applyAlignment="1" applyProtection="1">
      <alignment horizontal="left"/>
      <protection locked="0"/>
    </xf>
    <xf numFmtId="0" fontId="18" fillId="6" borderId="38" xfId="0" applyNumberFormat="1" applyFont="1" applyFill="1" applyBorder="1" applyAlignment="1">
      <alignment horizontal="left"/>
    </xf>
    <xf numFmtId="0" fontId="18" fillId="0" borderId="29" xfId="0" applyNumberFormat="1" applyFont="1" applyFill="1" applyBorder="1" applyAlignment="1">
      <alignment horizontal="left"/>
    </xf>
    <xf numFmtId="0" fontId="18" fillId="0" borderId="3" xfId="0" applyNumberFormat="1" applyFont="1" applyFill="1" applyBorder="1" applyAlignment="1">
      <alignment horizontal="left"/>
    </xf>
    <xf numFmtId="0" fontId="18" fillId="0" borderId="51" xfId="0" applyNumberFormat="1" applyFont="1" applyFill="1" applyBorder="1" applyAlignment="1">
      <alignment horizontal="left"/>
    </xf>
    <xf numFmtId="0" fontId="18" fillId="26" borderId="34" xfId="0" applyNumberFormat="1" applyFont="1" applyFill="1" applyBorder="1" applyAlignment="1">
      <alignment horizontal="left"/>
    </xf>
    <xf numFmtId="0" fontId="18" fillId="22" borderId="7" xfId="0" applyNumberFormat="1" applyFont="1" applyFill="1" applyBorder="1" applyAlignment="1">
      <alignment horizontal="left"/>
    </xf>
    <xf numFmtId="0" fontId="18" fillId="0" borderId="3" xfId="0" applyNumberFormat="1" applyFont="1" applyFill="1" applyBorder="1" applyAlignment="1" applyProtection="1">
      <alignment horizontal="left"/>
      <protection locked="0"/>
    </xf>
    <xf numFmtId="0" fontId="18" fillId="30" borderId="29" xfId="0" applyFont="1" applyFill="1" applyBorder="1"/>
    <xf numFmtId="0" fontId="18" fillId="30" borderId="34" xfId="0" applyFont="1" applyFill="1" applyBorder="1"/>
    <xf numFmtId="0" fontId="16" fillId="30" borderId="29" xfId="0" applyNumberFormat="1" applyFont="1" applyFill="1" applyBorder="1" applyAlignment="1" applyProtection="1">
      <alignment vertical="top"/>
    </xf>
    <xf numFmtId="0" fontId="18" fillId="30" borderId="38" xfId="0" applyFont="1" applyFill="1" applyBorder="1"/>
    <xf numFmtId="0" fontId="16" fillId="30" borderId="38" xfId="0" applyNumberFormat="1" applyFont="1" applyFill="1" applyBorder="1" applyAlignment="1" applyProtection="1">
      <alignment vertical="top"/>
    </xf>
    <xf numFmtId="0" fontId="8" fillId="30" borderId="38" xfId="0" applyFont="1" applyFill="1" applyBorder="1"/>
    <xf numFmtId="0" fontId="18" fillId="30" borderId="51" xfId="0" applyFont="1" applyFill="1" applyBorder="1"/>
    <xf numFmtId="0" fontId="18" fillId="30" borderId="33" xfId="0" applyFont="1" applyFill="1" applyBorder="1"/>
    <xf numFmtId="0" fontId="18" fillId="30" borderId="4" xfId="0" applyFont="1" applyFill="1" applyBorder="1"/>
    <xf numFmtId="0" fontId="19" fillId="18" borderId="0" xfId="0" applyFont="1" applyFill="1" applyAlignment="1">
      <alignment horizontal="center"/>
    </xf>
    <xf numFmtId="0" fontId="19" fillId="18" borderId="28" xfId="0" applyFont="1" applyFill="1" applyBorder="1" applyAlignment="1" applyProtection="1">
      <alignment horizontal="center"/>
      <protection locked="0"/>
    </xf>
    <xf numFmtId="0" fontId="19" fillId="18" borderId="31" xfId="0" applyFont="1" applyFill="1" applyBorder="1" applyAlignment="1" applyProtection="1">
      <alignment horizontal="center"/>
      <protection locked="0"/>
    </xf>
    <xf numFmtId="0" fontId="19" fillId="18" borderId="32" xfId="0" applyFont="1" applyFill="1" applyBorder="1" applyAlignment="1" applyProtection="1">
      <alignment horizontal="center"/>
      <protection locked="0"/>
    </xf>
    <xf numFmtId="2" fontId="17" fillId="0" borderId="13" xfId="0" applyNumberFormat="1" applyFont="1" applyFill="1" applyBorder="1" applyAlignment="1" applyProtection="1">
      <alignment horizontal="center"/>
      <protection locked="0"/>
    </xf>
    <xf numFmtId="0" fontId="17" fillId="0" borderId="9" xfId="0" applyFont="1" applyFill="1" applyBorder="1" applyAlignment="1" applyProtection="1">
      <alignment horizontal="center" vertical="center"/>
      <protection locked="0"/>
    </xf>
    <xf numFmtId="0" fontId="17" fillId="0" borderId="17" xfId="0" applyFont="1" applyFill="1" applyBorder="1" applyAlignment="1" applyProtection="1">
      <alignment horizontal="center" vertical="center"/>
      <protection locked="0"/>
    </xf>
    <xf numFmtId="0" fontId="17" fillId="0" borderId="56" xfId="0" applyFont="1" applyFill="1" applyBorder="1" applyAlignment="1" applyProtection="1">
      <alignment horizontal="center" vertical="center"/>
      <protection locked="0"/>
    </xf>
    <xf numFmtId="169" fontId="1" fillId="0" borderId="0" xfId="6" applyAlignment="1">
      <alignment horizontal="center" vertical="center"/>
    </xf>
    <xf numFmtId="0" fontId="0" fillId="0" borderId="0" xfId="0" applyAlignment="1">
      <alignment horizontal="center"/>
    </xf>
    <xf numFmtId="1" fontId="19" fillId="5" borderId="0" xfId="0" applyNumberFormat="1" applyFont="1" applyFill="1" applyAlignment="1">
      <alignment horizontal="center"/>
    </xf>
    <xf numFmtId="0" fontId="7" fillId="18" borderId="0" xfId="0" applyFont="1" applyFill="1" applyAlignment="1">
      <alignment horizontal="center" vertical="center"/>
    </xf>
    <xf numFmtId="49" fontId="11" fillId="20" borderId="28" xfId="0" applyNumberFormat="1" applyFont="1" applyFill="1" applyBorder="1" applyAlignment="1">
      <alignment horizontal="center"/>
    </xf>
    <xf numFmtId="49" fontId="11" fillId="20" borderId="31" xfId="0" applyNumberFormat="1" applyFont="1" applyFill="1" applyBorder="1" applyAlignment="1">
      <alignment horizontal="center"/>
    </xf>
    <xf numFmtId="49" fontId="11" fillId="20" borderId="32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11" fillId="12" borderId="28" xfId="0" applyFont="1" applyFill="1" applyBorder="1" applyAlignment="1">
      <alignment horizontal="center"/>
    </xf>
    <xf numFmtId="0" fontId="11" fillId="12" borderId="31" xfId="0" applyFont="1" applyFill="1" applyBorder="1" applyAlignment="1">
      <alignment horizontal="center"/>
    </xf>
    <xf numFmtId="0" fontId="11" fillId="12" borderId="32" xfId="0" applyFont="1" applyFill="1" applyBorder="1" applyAlignment="1">
      <alignment horizontal="center"/>
    </xf>
    <xf numFmtId="0" fontId="11" fillId="19" borderId="28" xfId="0" applyFont="1" applyFill="1" applyBorder="1" applyAlignment="1">
      <alignment horizontal="center"/>
    </xf>
    <xf numFmtId="0" fontId="11" fillId="19" borderId="31" xfId="0" applyFont="1" applyFill="1" applyBorder="1" applyAlignment="1">
      <alignment horizontal="center"/>
    </xf>
    <xf numFmtId="0" fontId="11" fillId="19" borderId="32" xfId="0" applyFont="1" applyFill="1" applyBorder="1" applyAlignment="1">
      <alignment horizontal="center"/>
    </xf>
  </cellXfs>
  <cellStyles count="8">
    <cellStyle name="40% — акцент2" xfId="3" builtinId="35"/>
    <cellStyle name="40% — акцент5" xfId="4" builtinId="47"/>
    <cellStyle name="Данные" xfId="6" xr:uid="{00000000-0005-0000-0000-000002000000}"/>
    <cellStyle name="Заголовок" xfId="5" xr:uid="{00000000-0005-0000-0000-000003000000}"/>
    <cellStyle name="Обычный" xfId="0" builtinId="0"/>
    <cellStyle name="Примечание" xfId="2" builtinId="10"/>
    <cellStyle name="Финансовый" xfId="1" builtinId="3"/>
    <cellStyle name="Форм" xfId="7" xr:uid="{C513593A-0608-4709-8881-DD8FFE279C8E}"/>
  </cellStyles>
  <dxfs count="28"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C000"/>
      </font>
      <fill>
        <patternFill>
          <bgColor rgb="FFFFC000"/>
        </patternFill>
      </fill>
    </dxf>
    <dxf>
      <font>
        <color rgb="FFFF000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numFmt numFmtId="1" formatCode="0"/>
    </dxf>
    <dxf>
      <numFmt numFmtId="1" formatCode="0"/>
    </dxf>
    <dxf>
      <border outline="0">
        <top style="thick">
          <color indexed="64"/>
        </top>
        <bottom style="medium">
          <color indexed="64"/>
        </bottom>
      </border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71" formatCode="0.0E+00"/>
    </dxf>
    <dxf>
      <numFmt numFmtId="1" formatCode="0"/>
    </dxf>
    <dxf>
      <numFmt numFmtId="1" formatCode="0"/>
    </dxf>
    <dxf>
      <alignment horizontal="center" vertical="center" textRotation="0" wrapText="0" indent="0" justifyLastLine="0" shrinkToFit="0" readingOrder="0"/>
    </dxf>
    <dxf>
      <border outline="0">
        <top style="thick">
          <color indexed="64"/>
        </top>
      </border>
    </dxf>
    <dxf>
      <numFmt numFmtId="169" formatCode="0.0000E+0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2" defaultPivotStyle="PivotStyleLight16"/>
  <colors>
    <mruColors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954058204396609E-2"/>
          <c:y val="2.1972418109257621E-2"/>
          <c:w val="0.9003975451279409"/>
          <c:h val="0.90038423826711711"/>
        </c:manualLayout>
      </c:layout>
      <c:scatterChart>
        <c:scatterStyle val="lineMarker"/>
        <c:varyColors val="0"/>
        <c:ser>
          <c:idx val="10"/>
          <c:order val="10"/>
          <c:tx>
            <c:strRef>
              <c:f>Сравнение!$D$48</c:f>
              <c:strCache>
                <c:ptCount val="1"/>
                <c:pt idx="0">
                  <c:v>0: H(T) KJ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305.40540540540542</c:v>
                </c:pt>
                <c:pt idx="2">
                  <c:v>310.81081081081084</c:v>
                </c:pt>
                <c:pt idx="3">
                  <c:v>316.21621621621625</c:v>
                </c:pt>
                <c:pt idx="4">
                  <c:v>321.62162162162167</c:v>
                </c:pt>
                <c:pt idx="5">
                  <c:v>327.02702702702709</c:v>
                </c:pt>
                <c:pt idx="6">
                  <c:v>332.43243243243251</c:v>
                </c:pt>
                <c:pt idx="7">
                  <c:v>337.83783783783792</c:v>
                </c:pt>
                <c:pt idx="8">
                  <c:v>343.24324324324334</c:v>
                </c:pt>
                <c:pt idx="9">
                  <c:v>348.64864864864876</c:v>
                </c:pt>
                <c:pt idx="10">
                  <c:v>354.05405405405418</c:v>
                </c:pt>
                <c:pt idx="11">
                  <c:v>359.45945945945959</c:v>
                </c:pt>
                <c:pt idx="12">
                  <c:v>364.86486486486501</c:v>
                </c:pt>
                <c:pt idx="13">
                  <c:v>370.27027027027043</c:v>
                </c:pt>
                <c:pt idx="14">
                  <c:v>375.67567567567585</c:v>
                </c:pt>
                <c:pt idx="15">
                  <c:v>381.08108108108127</c:v>
                </c:pt>
                <c:pt idx="16">
                  <c:v>386.48648648648668</c:v>
                </c:pt>
                <c:pt idx="17">
                  <c:v>391.8918918918921</c:v>
                </c:pt>
                <c:pt idx="18">
                  <c:v>397.29729729729752</c:v>
                </c:pt>
                <c:pt idx="19">
                  <c:v>402.70270270270294</c:v>
                </c:pt>
                <c:pt idx="20">
                  <c:v>408.10810810810835</c:v>
                </c:pt>
                <c:pt idx="21">
                  <c:v>413.51351351351377</c:v>
                </c:pt>
                <c:pt idx="22">
                  <c:v>418.91891891891919</c:v>
                </c:pt>
                <c:pt idx="23">
                  <c:v>424.32432432432461</c:v>
                </c:pt>
                <c:pt idx="24">
                  <c:v>429.72972972973002</c:v>
                </c:pt>
                <c:pt idx="25">
                  <c:v>435.13513513513544</c:v>
                </c:pt>
                <c:pt idx="26">
                  <c:v>440.54054054054086</c:v>
                </c:pt>
                <c:pt idx="27">
                  <c:v>445.94594594594628</c:v>
                </c:pt>
                <c:pt idx="28">
                  <c:v>451.3513513513517</c:v>
                </c:pt>
                <c:pt idx="29">
                  <c:v>456.75675675675711</c:v>
                </c:pt>
                <c:pt idx="30">
                  <c:v>462.16216216216253</c:v>
                </c:pt>
                <c:pt idx="31">
                  <c:v>467.56756756756795</c:v>
                </c:pt>
                <c:pt idx="32">
                  <c:v>472.97297297297337</c:v>
                </c:pt>
                <c:pt idx="33">
                  <c:v>478.37837837837878</c:v>
                </c:pt>
                <c:pt idx="34">
                  <c:v>483.7837837837842</c:v>
                </c:pt>
                <c:pt idx="35">
                  <c:v>489.18918918918962</c:v>
                </c:pt>
                <c:pt idx="36">
                  <c:v>494.59459459459504</c:v>
                </c:pt>
                <c:pt idx="37">
                  <c:v>500.00000000000045</c:v>
                </c:pt>
                <c:pt idx="38">
                  <c:v>505.40540540540587</c:v>
                </c:pt>
                <c:pt idx="39">
                  <c:v>510.81081081081129</c:v>
                </c:pt>
                <c:pt idx="40">
                  <c:v>516.21621621621671</c:v>
                </c:pt>
                <c:pt idx="41">
                  <c:v>521.62162162162213</c:v>
                </c:pt>
                <c:pt idx="42">
                  <c:v>527.02702702702754</c:v>
                </c:pt>
                <c:pt idx="43">
                  <c:v>532.43243243243296</c:v>
                </c:pt>
                <c:pt idx="44">
                  <c:v>537.83783783783838</c:v>
                </c:pt>
                <c:pt idx="45">
                  <c:v>543.2432432432438</c:v>
                </c:pt>
                <c:pt idx="46">
                  <c:v>548.64864864864921</c:v>
                </c:pt>
                <c:pt idx="47">
                  <c:v>554.05405405405463</c:v>
                </c:pt>
                <c:pt idx="48">
                  <c:v>559.45945945946005</c:v>
                </c:pt>
                <c:pt idx="49">
                  <c:v>564.86486486486547</c:v>
                </c:pt>
                <c:pt idx="50">
                  <c:v>570.27027027027088</c:v>
                </c:pt>
                <c:pt idx="51">
                  <c:v>575.6756756756763</c:v>
                </c:pt>
                <c:pt idx="52">
                  <c:v>581.08108108108172</c:v>
                </c:pt>
                <c:pt idx="53">
                  <c:v>586.48648648648714</c:v>
                </c:pt>
                <c:pt idx="54">
                  <c:v>591.89189189189256</c:v>
                </c:pt>
                <c:pt idx="55">
                  <c:v>597.29729729729797</c:v>
                </c:pt>
                <c:pt idx="56">
                  <c:v>602.70270270270339</c:v>
                </c:pt>
                <c:pt idx="57">
                  <c:v>608.10810810810881</c:v>
                </c:pt>
                <c:pt idx="58">
                  <c:v>613.51351351351423</c:v>
                </c:pt>
                <c:pt idx="59">
                  <c:v>618.91891891891964</c:v>
                </c:pt>
                <c:pt idx="60">
                  <c:v>624.32432432432506</c:v>
                </c:pt>
                <c:pt idx="61">
                  <c:v>629.72972972973048</c:v>
                </c:pt>
                <c:pt idx="62">
                  <c:v>635.1351351351359</c:v>
                </c:pt>
                <c:pt idx="63">
                  <c:v>640.54054054054131</c:v>
                </c:pt>
                <c:pt idx="64">
                  <c:v>645.94594594594673</c:v>
                </c:pt>
                <c:pt idx="65">
                  <c:v>651.35135135135215</c:v>
                </c:pt>
                <c:pt idx="66">
                  <c:v>656.75675675675757</c:v>
                </c:pt>
                <c:pt idx="67">
                  <c:v>662.16216216216299</c:v>
                </c:pt>
                <c:pt idx="68">
                  <c:v>667.5675675675684</c:v>
                </c:pt>
                <c:pt idx="69">
                  <c:v>672.97297297297382</c:v>
                </c:pt>
                <c:pt idx="70">
                  <c:v>678.37837837837924</c:v>
                </c:pt>
                <c:pt idx="71">
                  <c:v>683.78378378378466</c:v>
                </c:pt>
                <c:pt idx="72">
                  <c:v>689.18918918919007</c:v>
                </c:pt>
                <c:pt idx="73">
                  <c:v>694.59459459459549</c:v>
                </c:pt>
                <c:pt idx="74">
                  <c:v>700.00000000000091</c:v>
                </c:pt>
              </c:numCache>
            </c:numRef>
          </c:xVal>
          <c:yVal>
            <c:numRef>
              <c:f>Сравнение!$D$49:$D$123</c:f>
              <c:numCache>
                <c:formatCode>#,##0</c:formatCode>
                <c:ptCount val="75"/>
                <c:pt idx="0">
                  <c:v>276.51223269388424</c:v>
                </c:pt>
                <c:pt idx="1">
                  <c:v>276.64999451092353</c:v>
                </c:pt>
                <c:pt idx="2">
                  <c:v>276.78863207809803</c:v>
                </c:pt>
                <c:pt idx="3">
                  <c:v>276.92807674418191</c:v>
                </c:pt>
                <c:pt idx="4">
                  <c:v>277.06826456820681</c:v>
                </c:pt>
                <c:pt idx="5">
                  <c:v>277.20913593018457</c:v>
                </c:pt>
                <c:pt idx="6">
                  <c:v>277.35063517980768</c:v>
                </c:pt>
                <c:pt idx="7">
                  <c:v>277.4927103188752</c:v>
                </c:pt>
                <c:pt idx="8">
                  <c:v>277.63531271372506</c:v>
                </c:pt>
                <c:pt idx="9">
                  <c:v>277.77839683441726</c:v>
                </c:pt>
                <c:pt idx="10">
                  <c:v>277.9219200178083</c:v>
                </c:pt>
                <c:pt idx="11">
                  <c:v>278.06584225200299</c:v>
                </c:pt>
                <c:pt idx="12">
                  <c:v>278.21012597996508</c:v>
                </c:pt>
                <c:pt idx="13">
                  <c:v>278.35473592033094</c:v>
                </c:pt>
                <c:pt idx="14">
                  <c:v>278.49963890369213</c:v>
                </c:pt>
                <c:pt idx="15">
                  <c:v>278.64480372281093</c:v>
                </c:pt>
                <c:pt idx="16">
                  <c:v>278.79020099540617</c:v>
                </c:pt>
                <c:pt idx="17">
                  <c:v>278.93580303829339</c:v>
                </c:pt>
                <c:pt idx="18">
                  <c:v>279.08158375180091</c:v>
                </c:pt>
                <c:pt idx="19">
                  <c:v>279.22751851349324</c:v>
                </c:pt>
                <c:pt idx="20">
                  <c:v>279.37358408034089</c:v>
                </c:pt>
                <c:pt idx="21">
                  <c:v>279.51975849856348</c:v>
                </c:pt>
                <c:pt idx="22">
                  <c:v>279.66602102045192</c:v>
                </c:pt>
                <c:pt idx="23">
                  <c:v>279.81235202754897</c:v>
                </c:pt>
                <c:pt idx="24">
                  <c:v>279.95873295962673</c:v>
                </c:pt>
                <c:pt idx="25">
                  <c:v>280.10514624895848</c:v>
                </c:pt>
                <c:pt idx="26">
                  <c:v>280.25157525942888</c:v>
                </c:pt>
                <c:pt idx="27">
                  <c:v>280.39800423007256</c:v>
                </c:pt>
                <c:pt idx="28">
                  <c:v>280.54441822267006</c:v>
                </c:pt>
                <c:pt idx="29">
                  <c:v>280.69080307306479</c:v>
                </c:pt>
                <c:pt idx="30">
                  <c:v>280.83714534589575</c:v>
                </c:pt>
                <c:pt idx="31">
                  <c:v>280.98343229247109</c:v>
                </c:pt>
                <c:pt idx="32">
                  <c:v>281.1296518115297</c:v>
                </c:pt>
                <c:pt idx="33">
                  <c:v>281.27579241266295</c:v>
                </c:pt>
                <c:pt idx="34">
                  <c:v>281.42184318218938</c:v>
                </c:pt>
                <c:pt idx="35">
                  <c:v>281.56779375129071</c:v>
                </c:pt>
                <c:pt idx="36">
                  <c:v>281.7136342662385</c:v>
                </c:pt>
                <c:pt idx="37">
                  <c:v>281.85935536055092</c:v>
                </c:pt>
                <c:pt idx="38">
                  <c:v>282.00494812893714</c:v>
                </c:pt>
                <c:pt idx="39">
                  <c:v>282.15040410289566</c:v>
                </c:pt>
                <c:pt idx="40">
                  <c:v>282.29571522784551</c:v>
                </c:pt>
                <c:pt idx="41">
                  <c:v>282.44087384167977</c:v>
                </c:pt>
                <c:pt idx="42">
                  <c:v>282.58587265463888</c:v>
                </c:pt>
                <c:pt idx="43">
                  <c:v>282.73070473040917</c:v>
                </c:pt>
                <c:pt idx="44">
                  <c:v>282.87536346836259</c:v>
                </c:pt>
                <c:pt idx="45">
                  <c:v>283.01984258685519</c:v>
                </c:pt>
                <c:pt idx="46">
                  <c:v>283.16413610751397</c:v>
                </c:pt>
                <c:pt idx="47">
                  <c:v>283.30823834044327</c:v>
                </c:pt>
                <c:pt idx="48">
                  <c:v>283.4521438702883</c:v>
                </c:pt>
                <c:pt idx="49">
                  <c:v>283.59584754309964</c:v>
                </c:pt>
                <c:pt idx="50">
                  <c:v>283.739344453944</c:v>
                </c:pt>
                <c:pt idx="51">
                  <c:v>283.88262993521352</c:v>
                </c:pt>
                <c:pt idx="52">
                  <c:v>284.02569954558737</c:v>
                </c:pt>
                <c:pt idx="53">
                  <c:v>284.16854905960366</c:v>
                </c:pt>
                <c:pt idx="54">
                  <c:v>284.31117445780308</c:v>
                </c:pt>
                <c:pt idx="55">
                  <c:v>284.45357191740726</c:v>
                </c:pt>
                <c:pt idx="56">
                  <c:v>284.59573780349911</c:v>
                </c:pt>
                <c:pt idx="57">
                  <c:v>284.73766866067353</c:v>
                </c:pt>
                <c:pt idx="58">
                  <c:v>284.87936120512927</c:v>
                </c:pt>
                <c:pt idx="59">
                  <c:v>285.02081231717528</c:v>
                </c:pt>
                <c:pt idx="60">
                  <c:v>285.16201903412662</c:v>
                </c:pt>
                <c:pt idx="61">
                  <c:v>285.30297854356547</c:v>
                </c:pt>
                <c:pt idx="62">
                  <c:v>285.44368817694749</c:v>
                </c:pt>
                <c:pt idx="63">
                  <c:v>285.58414540353073</c:v>
                </c:pt>
                <c:pt idx="64">
                  <c:v>285.72434782460982</c:v>
                </c:pt>
                <c:pt idx="65">
                  <c:v>285.86429316803759</c:v>
                </c:pt>
                <c:pt idx="66">
                  <c:v>286.00397928301669</c:v>
                </c:pt>
                <c:pt idx="67">
                  <c:v>286.14340413514651</c:v>
                </c:pt>
                <c:pt idx="68">
                  <c:v>286.28256580171097</c:v>
                </c:pt>
                <c:pt idx="69">
                  <c:v>286.42146246719295</c:v>
                </c:pt>
                <c:pt idx="70">
                  <c:v>286.56009241900352</c:v>
                </c:pt>
                <c:pt idx="71">
                  <c:v>286.69845404341379</c:v>
                </c:pt>
                <c:pt idx="72">
                  <c:v>286.83654582167765</c:v>
                </c:pt>
                <c:pt idx="73">
                  <c:v>286.97436632633639</c:v>
                </c:pt>
                <c:pt idx="74">
                  <c:v>287.11191421769377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628-422E-8E49-78E3FDB88388}"/>
            </c:ext>
          </c:extLst>
        </c:ser>
        <c:ser>
          <c:idx val="11"/>
          <c:order val="11"/>
          <c:tx>
            <c:strRef>
              <c:f>Сравнение!$H$48</c:f>
              <c:strCache>
                <c:ptCount val="1"/>
                <c:pt idx="0">
                  <c:v>1: H(T) KJ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Сравнение!$B$49:$B$123</c:f>
              <c:numCache>
                <c:formatCode>0.0</c:formatCode>
                <c:ptCount val="75"/>
                <c:pt idx="0">
                  <c:v>300</c:v>
                </c:pt>
                <c:pt idx="1">
                  <c:v>305.40540540540542</c:v>
                </c:pt>
                <c:pt idx="2">
                  <c:v>310.81081081081084</c:v>
                </c:pt>
                <c:pt idx="3">
                  <c:v>316.21621621621625</c:v>
                </c:pt>
                <c:pt idx="4">
                  <c:v>321.62162162162167</c:v>
                </c:pt>
                <c:pt idx="5">
                  <c:v>327.02702702702709</c:v>
                </c:pt>
                <c:pt idx="6">
                  <c:v>332.43243243243251</c:v>
                </c:pt>
                <c:pt idx="7">
                  <c:v>337.83783783783792</c:v>
                </c:pt>
                <c:pt idx="8">
                  <c:v>343.24324324324334</c:v>
                </c:pt>
                <c:pt idx="9">
                  <c:v>348.64864864864876</c:v>
                </c:pt>
                <c:pt idx="10">
                  <c:v>354.05405405405418</c:v>
                </c:pt>
                <c:pt idx="11">
                  <c:v>359.45945945945959</c:v>
                </c:pt>
                <c:pt idx="12">
                  <c:v>364.86486486486501</c:v>
                </c:pt>
                <c:pt idx="13">
                  <c:v>370.27027027027043</c:v>
                </c:pt>
                <c:pt idx="14">
                  <c:v>375.67567567567585</c:v>
                </c:pt>
                <c:pt idx="15">
                  <c:v>381.08108108108127</c:v>
                </c:pt>
                <c:pt idx="16">
                  <c:v>386.48648648648668</c:v>
                </c:pt>
                <c:pt idx="17">
                  <c:v>391.8918918918921</c:v>
                </c:pt>
                <c:pt idx="18">
                  <c:v>397.29729729729752</c:v>
                </c:pt>
                <c:pt idx="19">
                  <c:v>402.70270270270294</c:v>
                </c:pt>
                <c:pt idx="20">
                  <c:v>408.10810810810835</c:v>
                </c:pt>
                <c:pt idx="21">
                  <c:v>413.51351351351377</c:v>
                </c:pt>
                <c:pt idx="22">
                  <c:v>418.91891891891919</c:v>
                </c:pt>
                <c:pt idx="23">
                  <c:v>424.32432432432461</c:v>
                </c:pt>
                <c:pt idx="24">
                  <c:v>429.72972972973002</c:v>
                </c:pt>
                <c:pt idx="25">
                  <c:v>435.13513513513544</c:v>
                </c:pt>
                <c:pt idx="26">
                  <c:v>440.54054054054086</c:v>
                </c:pt>
                <c:pt idx="27">
                  <c:v>445.94594594594628</c:v>
                </c:pt>
                <c:pt idx="28">
                  <c:v>451.3513513513517</c:v>
                </c:pt>
                <c:pt idx="29">
                  <c:v>456.75675675675711</c:v>
                </c:pt>
                <c:pt idx="30">
                  <c:v>462.16216216216253</c:v>
                </c:pt>
                <c:pt idx="31">
                  <c:v>467.56756756756795</c:v>
                </c:pt>
                <c:pt idx="32">
                  <c:v>472.97297297297337</c:v>
                </c:pt>
                <c:pt idx="33">
                  <c:v>478.37837837837878</c:v>
                </c:pt>
                <c:pt idx="34">
                  <c:v>483.7837837837842</c:v>
                </c:pt>
                <c:pt idx="35">
                  <c:v>489.18918918918962</c:v>
                </c:pt>
                <c:pt idx="36">
                  <c:v>494.59459459459504</c:v>
                </c:pt>
                <c:pt idx="37">
                  <c:v>500.00000000000045</c:v>
                </c:pt>
                <c:pt idx="38">
                  <c:v>505.40540540540587</c:v>
                </c:pt>
                <c:pt idx="39">
                  <c:v>510.81081081081129</c:v>
                </c:pt>
                <c:pt idx="40">
                  <c:v>516.21621621621671</c:v>
                </c:pt>
                <c:pt idx="41">
                  <c:v>521.62162162162213</c:v>
                </c:pt>
                <c:pt idx="42">
                  <c:v>527.02702702702754</c:v>
                </c:pt>
                <c:pt idx="43">
                  <c:v>532.43243243243296</c:v>
                </c:pt>
                <c:pt idx="44">
                  <c:v>537.83783783783838</c:v>
                </c:pt>
                <c:pt idx="45">
                  <c:v>543.2432432432438</c:v>
                </c:pt>
                <c:pt idx="46">
                  <c:v>548.64864864864921</c:v>
                </c:pt>
                <c:pt idx="47">
                  <c:v>554.05405405405463</c:v>
                </c:pt>
                <c:pt idx="48">
                  <c:v>559.45945945946005</c:v>
                </c:pt>
                <c:pt idx="49">
                  <c:v>564.86486486486547</c:v>
                </c:pt>
                <c:pt idx="50">
                  <c:v>570.27027027027088</c:v>
                </c:pt>
                <c:pt idx="51">
                  <c:v>575.6756756756763</c:v>
                </c:pt>
                <c:pt idx="52">
                  <c:v>581.08108108108172</c:v>
                </c:pt>
                <c:pt idx="53">
                  <c:v>586.48648648648714</c:v>
                </c:pt>
                <c:pt idx="54">
                  <c:v>591.89189189189256</c:v>
                </c:pt>
                <c:pt idx="55">
                  <c:v>597.29729729729797</c:v>
                </c:pt>
                <c:pt idx="56">
                  <c:v>602.70270270270339</c:v>
                </c:pt>
                <c:pt idx="57">
                  <c:v>608.10810810810881</c:v>
                </c:pt>
                <c:pt idx="58">
                  <c:v>613.51351351351423</c:v>
                </c:pt>
                <c:pt idx="59">
                  <c:v>618.91891891891964</c:v>
                </c:pt>
                <c:pt idx="60">
                  <c:v>624.32432432432506</c:v>
                </c:pt>
                <c:pt idx="61">
                  <c:v>629.72972972973048</c:v>
                </c:pt>
                <c:pt idx="62">
                  <c:v>635.1351351351359</c:v>
                </c:pt>
                <c:pt idx="63">
                  <c:v>640.54054054054131</c:v>
                </c:pt>
                <c:pt idx="64">
                  <c:v>645.94594594594673</c:v>
                </c:pt>
                <c:pt idx="65">
                  <c:v>651.35135135135215</c:v>
                </c:pt>
                <c:pt idx="66">
                  <c:v>656.75675675675757</c:v>
                </c:pt>
                <c:pt idx="67">
                  <c:v>662.16216216216299</c:v>
                </c:pt>
                <c:pt idx="68">
                  <c:v>667.5675675675684</c:v>
                </c:pt>
                <c:pt idx="69">
                  <c:v>672.97297297297382</c:v>
                </c:pt>
                <c:pt idx="70">
                  <c:v>678.37837837837924</c:v>
                </c:pt>
                <c:pt idx="71">
                  <c:v>683.78378378378466</c:v>
                </c:pt>
                <c:pt idx="72">
                  <c:v>689.18918918919007</c:v>
                </c:pt>
                <c:pt idx="73">
                  <c:v>694.59459459459549</c:v>
                </c:pt>
                <c:pt idx="74">
                  <c:v>700.00000000000091</c:v>
                </c:pt>
              </c:numCache>
            </c:numRef>
          </c:xVal>
          <c:yVal>
            <c:numRef>
              <c:f>Сравнение!$H$49:$H$123</c:f>
              <c:numCache>
                <c:formatCode>#,##0</c:formatCode>
                <c:ptCount val="75"/>
                <c:pt idx="0">
                  <c:v>272.03479523354935</c:v>
                </c:pt>
                <c:pt idx="1">
                  <c:v>272.17254229337931</c:v>
                </c:pt>
                <c:pt idx="2">
                  <c:v>272.31123270650443</c:v>
                </c:pt>
                <c:pt idx="3">
                  <c:v>272.45078775479288</c:v>
                </c:pt>
                <c:pt idx="4">
                  <c:v>272.59113435428731</c:v>
                </c:pt>
                <c:pt idx="5">
                  <c:v>272.73220458763512</c:v>
                </c:pt>
                <c:pt idx="6">
                  <c:v>272.87393528213607</c:v>
                </c:pt>
                <c:pt idx="7">
                  <c:v>273.01626762829653</c:v>
                </c:pt>
                <c:pt idx="8">
                  <c:v>273.15914683442668</c:v>
                </c:pt>
                <c:pt idx="9">
                  <c:v>273.30252181336743</c:v>
                </c:pt>
                <c:pt idx="10">
                  <c:v>273.44634489791491</c:v>
                </c:pt>
                <c:pt idx="11">
                  <c:v>273.59057158192007</c:v>
                </c:pt>
                <c:pt idx="12">
                  <c:v>273.73516028440241</c:v>
                </c:pt>
                <c:pt idx="13">
                  <c:v>273.88007213432479</c:v>
                </c:pt>
                <c:pt idx="14">
                  <c:v>274.02527077394905</c:v>
                </c:pt>
                <c:pt idx="15">
                  <c:v>274.17072217892741</c:v>
                </c:pt>
                <c:pt idx="16">
                  <c:v>274.31639449349063</c:v>
                </c:pt>
                <c:pt idx="17">
                  <c:v>274.46225787927654</c:v>
                </c:pt>
                <c:pt idx="18">
                  <c:v>274.60828437649826</c:v>
                </c:pt>
                <c:pt idx="19">
                  <c:v>274.75444777629428</c:v>
                </c:pt>
                <c:pt idx="20">
                  <c:v>274.90072350322203</c:v>
                </c:pt>
                <c:pt idx="21">
                  <c:v>275.04708850696875</c:v>
                </c:pt>
                <c:pt idx="22">
                  <c:v>275.19352116244488</c:v>
                </c:pt>
                <c:pt idx="23">
                  <c:v>275.34000117751464</c:v>
                </c:pt>
                <c:pt idx="24">
                  <c:v>275.48650950768939</c:v>
                </c:pt>
                <c:pt idx="25">
                  <c:v>275.63302827718007</c:v>
                </c:pt>
                <c:pt idx="26">
                  <c:v>275.77954070576129</c:v>
                </c:pt>
                <c:pt idx="27">
                  <c:v>275.92603104095457</c:v>
                </c:pt>
                <c:pt idx="28">
                  <c:v>276.07248449508427</c:v>
                </c:pt>
                <c:pt idx="29">
                  <c:v>276.21888718680356</c:v>
                </c:pt>
                <c:pt idx="30">
                  <c:v>276.3652260867234</c:v>
                </c:pt>
                <c:pt idx="31">
                  <c:v>276.51148896681286</c:v>
                </c:pt>
                <c:pt idx="32">
                  <c:v>276.65766435326935</c:v>
                </c:pt>
                <c:pt idx="33">
                  <c:v>276.80374148258403</c:v>
                </c:pt>
                <c:pt idx="34">
                  <c:v>276.94971026055276</c:v>
                </c:pt>
                <c:pt idx="35">
                  <c:v>277.09556122400386</c:v>
                </c:pt>
                <c:pt idx="36">
                  <c:v>277.24128550503633</c:v>
                </c:pt>
                <c:pt idx="37">
                  <c:v>277.38687479757755</c:v>
                </c:pt>
                <c:pt idx="38">
                  <c:v>277.53232132608645</c:v>
                </c:pt>
                <c:pt idx="39">
                  <c:v>277.67761781624461</c:v>
                </c:pt>
                <c:pt idx="40">
                  <c:v>277.8227574674882</c:v>
                </c:pt>
                <c:pt idx="41">
                  <c:v>277.96773392724799</c:v>
                </c:pt>
                <c:pt idx="42">
                  <c:v>278.11254126677443</c:v>
                </c:pt>
                <c:pt idx="43">
                  <c:v>278.2571739584356</c:v>
                </c:pt>
                <c:pt idx="44">
                  <c:v>278.40162685438378</c:v>
                </c:pt>
                <c:pt idx="45">
                  <c:v>278.545895166496</c:v>
                </c:pt>
                <c:pt idx="46">
                  <c:v>278.68997444750005</c:v>
                </c:pt>
                <c:pt idx="47">
                  <c:v>278.83386057320558</c:v>
                </c:pt>
                <c:pt idx="48">
                  <c:v>278.97754972576513</c:v>
                </c:pt>
                <c:pt idx="49">
                  <c:v>279.12103837789618</c:v>
                </c:pt>
                <c:pt idx="50">
                  <c:v>279.2643232780008</c:v>
                </c:pt>
                <c:pt idx="51">
                  <c:v>279.40740143612317</c:v>
                </c:pt>
                <c:pt idx="52">
                  <c:v>279.55027011069166</c:v>
                </c:pt>
                <c:pt idx="53">
                  <c:v>279.69292679599295</c:v>
                </c:pt>
                <c:pt idx="54">
                  <c:v>279.83536921033357</c:v>
                </c:pt>
                <c:pt idx="55">
                  <c:v>279.97759528484346</c:v>
                </c:pt>
                <c:pt idx="56">
                  <c:v>280.11960315288275</c:v>
                </c:pt>
                <c:pt idx="57">
                  <c:v>280.26139114001268</c:v>
                </c:pt>
                <c:pt idx="58">
                  <c:v>280.40295775449738</c:v>
                </c:pt>
                <c:pt idx="59">
                  <c:v>280.54430167830316</c:v>
                </c:pt>
                <c:pt idx="60">
                  <c:v>280.68542175856516</c:v>
                </c:pt>
                <c:pt idx="61">
                  <c:v>280.82631699949394</c:v>
                </c:pt>
                <c:pt idx="62">
                  <c:v>280.96698655469459</c:v>
                </c:pt>
                <c:pt idx="63">
                  <c:v>281.10742971987582</c:v>
                </c:pt>
                <c:pt idx="64">
                  <c:v>281.24764592592408</c:v>
                </c:pt>
                <c:pt idx="65">
                  <c:v>281.38763473232319</c:v>
                </c:pt>
                <c:pt idx="66">
                  <c:v>281.52739582089868</c:v>
                </c:pt>
                <c:pt idx="67">
                  <c:v>281.6669289898685</c:v>
                </c:pt>
                <c:pt idx="68">
                  <c:v>281.80623414818297</c:v>
                </c:pt>
                <c:pt idx="69">
                  <c:v>281.94531131013724</c:v>
                </c:pt>
                <c:pt idx="70">
                  <c:v>282.08416059024159</c:v>
                </c:pt>
                <c:pt idx="71">
                  <c:v>282.22278219833476</c:v>
                </c:pt>
                <c:pt idx="72">
                  <c:v>282.36117643492742</c:v>
                </c:pt>
                <c:pt idx="73">
                  <c:v>282.49934368676304</c:v>
                </c:pt>
                <c:pt idx="74">
                  <c:v>282.6372844225844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628-422E-8E49-78E3FDB88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2665872"/>
        <c:axId val="51266430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Сравнение!$AP$48</c15:sqref>
                        </c15:formulaRef>
                      </c:ext>
                    </c:extLst>
                    <c:strCache>
                      <c:ptCount val="1"/>
                      <c:pt idx="0">
                        <c:v>ΔH (1-0) kJ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marker>
                    <c:symbol val="none"/>
                  </c:marker>
                  <c:bubble3D val="0"/>
                  <c:spPr>
                    <a:ln w="19050" cap="rnd">
                      <a:solidFill>
                        <a:schemeClr val="accent1">
                          <a:lumMod val="75000"/>
                        </a:schemeClr>
                      </a:solidFill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FB66-4BBC-B6CA-B0B60BD4F1DA}"/>
                    </c:ext>
                  </c:extLst>
                </c:dPt>
                <c:dPt>
                  <c:idx val="2"/>
                  <c:marker>
                    <c:symbol val="none"/>
                  </c:marker>
                  <c:bubble3D val="0"/>
                  <c:spPr>
                    <a:ln w="19050" cap="rnd">
                      <a:solidFill>
                        <a:schemeClr val="accent1">
                          <a:lumMod val="75000"/>
                        </a:schemeClr>
                      </a:solidFill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FB66-4BBC-B6CA-B0B60BD4F1DA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Сравнение!$AP$49:$AP$123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-4.4774374603348974</c:v>
                      </c:pt>
                      <c:pt idx="1">
                        <c:v>-4.4774522175442257</c:v>
                      </c:pt>
                      <c:pt idx="2">
                        <c:v>-4.4773993715936058</c:v>
                      </c:pt>
                      <c:pt idx="3">
                        <c:v>-4.4772889893890238</c:v>
                      </c:pt>
                      <c:pt idx="4">
                        <c:v>-4.4771302139195086</c:v>
                      </c:pt>
                      <c:pt idx="5">
                        <c:v>-4.4769313425494488</c:v>
                      </c:pt>
                      <c:pt idx="6">
                        <c:v>-4.4766998976716081</c:v>
                      </c:pt>
                      <c:pt idx="7">
                        <c:v>-4.476442690578665</c:v>
                      </c:pt>
                      <c:pt idx="8">
                        <c:v>-4.4761658792983781</c:v>
                      </c:pt>
                      <c:pt idx="9">
                        <c:v>-4.4758750210498306</c:v>
                      </c:pt>
                      <c:pt idx="10">
                        <c:v>-4.4755751198933922</c:v>
                      </c:pt>
                      <c:pt idx="11">
                        <c:v>-4.4752706700829208</c:v>
                      </c:pt>
                      <c:pt idx="12">
                        <c:v>-4.4749656955626733</c:v>
                      </c:pt>
                      <c:pt idx="13">
                        <c:v>-4.4746637860061469</c:v>
                      </c:pt>
                      <c:pt idx="14">
                        <c:v>-4.474368129743084</c:v>
                      </c:pt>
                      <c:pt idx="15">
                        <c:v>-4.4740815438835284</c:v>
                      </c:pt>
                      <c:pt idx="16">
                        <c:v>-4.4738065019155329</c:v>
                      </c:pt>
                      <c:pt idx="17">
                        <c:v>-4.4735451590168509</c:v>
                      </c:pt>
                      <c:pt idx="18">
                        <c:v>-4.4732993753026449</c:v>
                      </c:pt>
                      <c:pt idx="19">
                        <c:v>-4.4730707371989524</c:v>
                      </c:pt>
                      <c:pt idx="20">
                        <c:v>-4.4728605771188654</c:v>
                      </c:pt>
                      <c:pt idx="21">
                        <c:v>-4.4726699915947279</c:v>
                      </c:pt>
                      <c:pt idx="22">
                        <c:v>-4.4724998580070405</c:v>
                      </c:pt>
                      <c:pt idx="23">
                        <c:v>-4.4723508500343314</c:v>
                      </c:pt>
                      <c:pt idx="24">
                        <c:v>-4.4722234519373387</c:v>
                      </c:pt>
                      <c:pt idx="25">
                        <c:v>-4.4721179717784025</c:v>
                      </c:pt>
                      <c:pt idx="26">
                        <c:v>-4.4720345536675836</c:v>
                      </c:pt>
                      <c:pt idx="27">
                        <c:v>-4.471973189117989</c:v>
                      </c:pt>
                      <c:pt idx="28">
                        <c:v>-4.4719337275857924</c:v>
                      </c:pt>
                      <c:pt idx="29">
                        <c:v>-4.4719158862612289</c:v>
                      </c:pt>
                      <c:pt idx="30">
                        <c:v>-4.4719192591723527</c:v>
                      </c:pt>
                      <c:pt idx="31">
                        <c:v>-4.4719433256582306</c:v>
                      </c:pt>
                      <c:pt idx="32">
                        <c:v>-4.4719874582603438</c:v>
                      </c:pt>
                      <c:pt idx="33">
                        <c:v>-4.4720509300789217</c:v>
                      </c:pt>
                      <c:pt idx="34">
                        <c:v>-4.4721329216366144</c:v>
                      </c:pt>
                      <c:pt idx="35">
                        <c:v>-4.4722325272868488</c:v>
                      </c:pt>
                      <c:pt idx="36">
                        <c:v>-4.47234876120217</c:v>
                      </c:pt>
                      <c:pt idx="37">
                        <c:v>-4.4724805629733737</c:v>
                      </c:pt>
                      <c:pt idx="38">
                        <c:v>-4.4726268028506979</c:v>
                      </c:pt>
                      <c:pt idx="39">
                        <c:v>-4.4727862866510577</c:v>
                      </c:pt>
                      <c:pt idx="40">
                        <c:v>-4.4729577603573034</c:v>
                      </c:pt>
                      <c:pt idx="41">
                        <c:v>-4.4731399144317834</c:v>
                      </c:pt>
                      <c:pt idx="42">
                        <c:v>-4.4733313878644481</c:v>
                      </c:pt>
                      <c:pt idx="43">
                        <c:v>-4.4735307719735715</c:v>
                      </c:pt>
                      <c:pt idx="44">
                        <c:v>-4.4737366139788151</c:v>
                      </c:pt>
                      <c:pt idx="45">
                        <c:v>-4.4739474203591953</c:v>
                      </c:pt>
                      <c:pt idx="46">
                        <c:v>-4.4741616600139196</c:v>
                      </c:pt>
                      <c:pt idx="47">
                        <c:v>-4.4743777672376837</c:v>
                      </c:pt>
                      <c:pt idx="48">
                        <c:v>-4.4745941445231665</c:v>
                      </c:pt>
                      <c:pt idx="49">
                        <c:v>-4.4748091652034532</c:v>
                      </c:pt>
                      <c:pt idx="50">
                        <c:v>-4.4750211759431977</c:v>
                      </c:pt>
                      <c:pt idx="51">
                        <c:v>-4.475228499090349</c:v>
                      </c:pt>
                      <c:pt idx="52">
                        <c:v>-4.475429434895716</c:v>
                      </c:pt>
                      <c:pt idx="53">
                        <c:v>-4.4756222636107168</c:v>
                      </c:pt>
                      <c:pt idx="54">
                        <c:v>-4.4758052474695091</c:v>
                      </c:pt>
                      <c:pt idx="55">
                        <c:v>-4.4759766325637997</c:v>
                      </c:pt>
                      <c:pt idx="56">
                        <c:v>-4.4761346506163591</c:v>
                      </c:pt>
                      <c:pt idx="57">
                        <c:v>-4.476277520660858</c:v>
                      </c:pt>
                      <c:pt idx="58">
                        <c:v>-4.4764034506318922</c:v>
                      </c:pt>
                      <c:pt idx="59">
                        <c:v>-4.4765106388721279</c:v>
                      </c:pt>
                      <c:pt idx="60">
                        <c:v>-4.4765972755614598</c:v>
                      </c:pt>
                      <c:pt idx="61">
                        <c:v>-4.4766615440715327</c:v>
                      </c:pt>
                      <c:pt idx="62">
                        <c:v>-4.4767016222529037</c:v>
                      </c:pt>
                      <c:pt idx="63">
                        <c:v>-4.476715683654902</c:v>
                      </c:pt>
                      <c:pt idx="64">
                        <c:v>-4.4767018986857465</c:v>
                      </c:pt>
                      <c:pt idx="65">
                        <c:v>-4.4766584357143984</c:v>
                      </c:pt>
                      <c:pt idx="66">
                        <c:v>-4.4765834621180147</c:v>
                      </c:pt>
                      <c:pt idx="67">
                        <c:v>-4.476475145278016</c:v>
                      </c:pt>
                      <c:pt idx="68">
                        <c:v>-4.4763316535280069</c:v>
                      </c:pt>
                      <c:pt idx="69">
                        <c:v>-4.4761511570557104</c:v>
                      </c:pt>
                      <c:pt idx="70">
                        <c:v>-4.4759318287619294</c:v>
                      </c:pt>
                      <c:pt idx="71">
                        <c:v>-4.4756718450790345</c:v>
                      </c:pt>
                      <c:pt idx="72">
                        <c:v>-4.4753693867502307</c:v>
                      </c:pt>
                      <c:pt idx="73">
                        <c:v>-4.4750226395733534</c:v>
                      </c:pt>
                      <c:pt idx="74">
                        <c:v>-4.4746297951093652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FB66-4BBC-B6CA-B0B60BD4F1DA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Сравнение!$AR$48</c15:sqref>
                        </c15:formulaRef>
                      </c:ext>
                    </c:extLst>
                    <c:strCache>
                      <c:ptCount val="1"/>
                      <c:pt idx="0">
                        <c:v>ΔG (1-0) kJ</c:v>
                      </c:pt>
                    </c:strCache>
                  </c:strRef>
                </c:tx>
                <c:spPr>
                  <a:ln w="19050" cap="rnd">
                    <a:solidFill>
                      <a:schemeClr val="tx1">
                        <a:lumMod val="95000"/>
                        <a:lumOff val="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Сравнение!$AR$49:$AR$123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2.7973637765449553</c:v>
                      </c:pt>
                      <c:pt idx="1">
                        <c:v>2.9284415180033534</c:v>
                      </c:pt>
                      <c:pt idx="2">
                        <c:v>3.0595189103363793</c:v>
                      </c:pt>
                      <c:pt idx="3">
                        <c:v>3.1905948722244375</c:v>
                      </c:pt>
                      <c:pt idx="4">
                        <c:v>3.3216685234617387</c:v>
                      </c:pt>
                      <c:pt idx="5">
                        <c:v>3.4527391599482371</c:v>
                      </c:pt>
                      <c:pt idx="6">
                        <c:v>3.5838062315668822</c:v>
                      </c:pt>
                      <c:pt idx="7">
                        <c:v>3.7148693225921647</c:v>
                      </c:pt>
                      <c:pt idx="8">
                        <c:v>3.8459281343262148</c:v>
                      </c:pt>
                      <c:pt idx="9">
                        <c:v>3.9769824696981573</c:v>
                      </c:pt>
                      <c:pt idx="10">
                        <c:v>4.1080322195923316</c:v>
                      </c:pt>
                      <c:pt idx="11">
                        <c:v>4.2390773507077597</c:v>
                      </c:pt>
                      <c:pt idx="12">
                        <c:v>4.370117894769578</c:v>
                      </c:pt>
                      <c:pt idx="13">
                        <c:v>4.5011539389403197</c:v>
                      </c:pt>
                      <c:pt idx="14">
                        <c:v>4.6321856172928904</c:v>
                      </c:pt>
                      <c:pt idx="15">
                        <c:v>4.7632131032295604</c:v>
                      </c:pt>
                      <c:pt idx="16">
                        <c:v>4.8942366027389426</c:v>
                      </c:pt>
                      <c:pt idx="17">
                        <c:v>5.0252563484009443</c:v>
                      </c:pt>
                      <c:pt idx="18">
                        <c:v>5.1562725940571283</c:v>
                      </c:pt>
                      <c:pt idx="19">
                        <c:v>5.2872856100746617</c:v>
                      </c:pt>
                      <c:pt idx="20">
                        <c:v>5.4182956791395327</c:v>
                      </c:pt>
                      <c:pt idx="21">
                        <c:v>5.5493030925238145</c:v>
                      </c:pt>
                      <c:pt idx="22">
                        <c:v>5.68030814677536</c:v>
                      </c:pt>
                      <c:pt idx="23">
                        <c:v>5.8113111407856195</c:v>
                      </c:pt>
                      <c:pt idx="24">
                        <c:v>5.942312373197467</c:v>
                      </c:pt>
                      <c:pt idx="25">
                        <c:v>6.0733121401148367</c:v>
                      </c:pt>
                      <c:pt idx="26">
                        <c:v>6.2043107330852081</c:v>
                      </c:pt>
                      <c:pt idx="27">
                        <c:v>6.3353084373257786</c:v>
                      </c:pt>
                      <c:pt idx="28">
                        <c:v>6.4663055301684551</c:v>
                      </c:pt>
                      <c:pt idx="29">
                        <c:v>6.5973022797003296</c:v>
                      </c:pt>
                      <c:pt idx="30">
                        <c:v>6.7282989435815637</c:v>
                      </c:pt>
                      <c:pt idx="31">
                        <c:v>6.859295768019706</c:v>
                      </c:pt>
                      <c:pt idx="32">
                        <c:v>6.9902929868877095</c:v>
                      </c:pt>
                      <c:pt idx="33">
                        <c:v>7.1212908209678005</c:v>
                      </c:pt>
                      <c:pt idx="34">
                        <c:v>7.2522894773118196</c:v>
                      </c:pt>
                      <c:pt idx="35">
                        <c:v>7.3832891487011807</c:v>
                      </c:pt>
                      <c:pt idx="36">
                        <c:v>7.5142900132033219</c:v>
                      </c:pt>
                      <c:pt idx="37">
                        <c:v>7.6452922338069698</c:v>
                      </c:pt>
                      <c:pt idx="38">
                        <c:v>7.7762959581340567</c:v>
                      </c:pt>
                      <c:pt idx="39">
                        <c:v>7.9073013182172929</c:v>
                      </c:pt>
                      <c:pt idx="40">
                        <c:v>8.0383084303384749</c:v>
                      </c:pt>
                      <c:pt idx="41">
                        <c:v>8.1693173949184654</c:v>
                      </c:pt>
                      <c:pt idx="42">
                        <c:v>8.3003282964564562</c:v>
                      </c:pt>
                      <c:pt idx="43">
                        <c:v>8.4313412035120336</c:v>
                      </c:pt>
                      <c:pt idx="44">
                        <c:v>8.562356168724051</c:v>
                      </c:pt>
                      <c:pt idx="45">
                        <c:v>8.693373228865255</c:v>
                      </c:pt>
                      <c:pt idx="46">
                        <c:v>8.8243924049260443</c:v>
                      </c:pt>
                      <c:pt idx="47">
                        <c:v>8.955413702225087</c:v>
                      </c:pt>
                      <c:pt idx="48">
                        <c:v>9.0864371105449209</c:v>
                      </c:pt>
                      <c:pt idx="49">
                        <c:v>9.2174626042871921</c:v>
                      </c:pt>
                      <c:pt idx="50">
                        <c:v>9.3484901426476767</c:v>
                      </c:pt>
                      <c:pt idx="51">
                        <c:v>9.4795196698066775</c:v>
                      </c:pt>
                      <c:pt idx="52">
                        <c:v>9.6105511151343421</c:v>
                      </c:pt>
                      <c:pt idx="53">
                        <c:v>9.7415843934087718</c:v>
                      </c:pt>
                      <c:pt idx="54">
                        <c:v>9.8726194050433378</c:v>
                      </c:pt>
                      <c:pt idx="55">
                        <c:v>10.00365603632531</c:v>
                      </c:pt>
                      <c:pt idx="56">
                        <c:v>10.134694159660455</c:v>
                      </c:pt>
                      <c:pt idx="57">
                        <c:v>10.265733633826301</c:v>
                      </c:pt>
                      <c:pt idx="58">
                        <c:v>10.396774304228728</c:v>
                      </c:pt>
                      <c:pt idx="59">
                        <c:v>10.527816003165583</c:v>
                      </c:pt>
                      <c:pt idx="60">
                        <c:v>10.658858550091139</c:v>
                      </c:pt>
                      <c:pt idx="61">
                        <c:v>10.789901751886703</c:v>
                      </c:pt>
                      <c:pt idx="62">
                        <c:v>10.92094540312965</c:v>
                      </c:pt>
                      <c:pt idx="63">
                        <c:v>11.051989286367302</c:v>
                      </c:pt>
                      <c:pt idx="64">
                        <c:v>11.183033172389258</c:v>
                      </c:pt>
                      <c:pt idx="65">
                        <c:v>11.314076820501498</c:v>
                      </c:pt>
                      <c:pt idx="66">
                        <c:v>11.445119978799255</c:v>
                      </c:pt>
                      <c:pt idx="67">
                        <c:v>11.576162384440067</c:v>
                      </c:pt>
                      <c:pt idx="68">
                        <c:v>11.707203763915544</c:v>
                      </c:pt>
                      <c:pt idx="69">
                        <c:v>11.83824383332157</c:v>
                      </c:pt>
                      <c:pt idx="70">
                        <c:v>11.969282298627888</c:v>
                      </c:pt>
                      <c:pt idx="71">
                        <c:v>12.100318855944209</c:v>
                      </c:pt>
                      <c:pt idx="72">
                        <c:v>12.231353191785871</c:v>
                      </c:pt>
                      <c:pt idx="73">
                        <c:v>12.362384983335289</c:v>
                      </c:pt>
                      <c:pt idx="74">
                        <c:v>12.493413898703409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B66-4BBC-B6CA-B0B60BD4F1DA}"/>
                  </c:ext>
                </c:extLst>
              </c15:ser>
            </c15:filteredScatterSeries>
            <c15:filteredScatterSeries>
              <c15:ser>
                <c:idx val="0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Сравнение!$AV$48</c15:sqref>
                        </c15:formulaRef>
                      </c:ext>
                    </c:extLst>
                    <c:strCache>
                      <c:ptCount val="1"/>
                      <c:pt idx="0">
                        <c:v>ΔG (1-2) kJ</c:v>
                      </c:pt>
                    </c:strCache>
                  </c:strRef>
                </c:tx>
                <c:spPr>
                  <a:ln w="19050" cap="rnd">
                    <a:solidFill>
                      <a:schemeClr val="tx1">
                        <a:lumMod val="95000"/>
                        <a:lumOff val="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Сравнение!$AV$49:$AV$123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12902.454480740749</c:v>
                      </c:pt>
                      <c:pt idx="1">
                        <c:v>13132.078595560903</c:v>
                      </c:pt>
                      <c:pt idx="2">
                        <c:v>13364.106670561878</c:v>
                      </c:pt>
                      <c:pt idx="3">
                        <c:v>13598.504345279578</c:v>
                      </c:pt>
                      <c:pt idx="4">
                        <c:v>13835.238348708826</c:v>
                      </c:pt>
                      <c:pt idx="5">
                        <c:v>14074.276444271309</c:v>
                      </c:pt>
                      <c:pt idx="6">
                        <c:v>14315.587378430171</c:v>
                      </c:pt>
                      <c:pt idx="7">
                        <c:v>14559.140832654135</c:v>
                      </c:pt>
                      <c:pt idx="8">
                        <c:v>14804.907378462327</c:v>
                      </c:pt>
                      <c:pt idx="9">
                        <c:v>15052.858435306702</c:v>
                      </c:pt>
                      <c:pt idx="10">
                        <c:v>15302.966231071687</c:v>
                      </c:pt>
                      <c:pt idx="11">
                        <c:v>15555.203764990583</c:v>
                      </c:pt>
                      <c:pt idx="12">
                        <c:v>15809.544772796742</c:v>
                      </c:pt>
                      <c:pt idx="13">
                        <c:v>16065.963693943606</c:v>
                      </c:pt>
                      <c:pt idx="14">
                        <c:v>16324.435640742318</c:v>
                      </c:pt>
                      <c:pt idx="15">
                        <c:v>16584.936369278395</c:v>
                      </c:pt>
                      <c:pt idx="16">
                        <c:v>16847.442251981593</c:v>
                      </c:pt>
                      <c:pt idx="17">
                        <c:v>17111.930251732403</c:v>
                      </c:pt>
                      <c:pt idx="18">
                        <c:v>17378.377897399725</c:v>
                      </c:pt>
                      <c:pt idx="19">
                        <c:v>17646.763260711621</c:v>
                      </c:pt>
                      <c:pt idx="20">
                        <c:v>17917.064934369853</c:v>
                      </c:pt>
                      <c:pt idx="21">
                        <c:v>18189.262011325569</c:v>
                      </c:pt>
                      <c:pt idx="22">
                        <c:v>18463.334065140065</c:v>
                      </c:pt>
                      <c:pt idx="23">
                        <c:v>18739.261131360694</c:v>
                      </c:pt>
                      <c:pt idx="24">
                        <c:v>19017.023689846945</c:v>
                      </c:pt>
                      <c:pt idx="25">
                        <c:v>19296.602647986892</c:v>
                      </c:pt>
                      <c:pt idx="26">
                        <c:v>19577.979324748798</c:v>
                      </c:pt>
                      <c:pt idx="27">
                        <c:v>19861.135435516328</c:v>
                      </c:pt>
                      <c:pt idx="28">
                        <c:v>20146.05307765989</c:v>
                      </c:pt>
                      <c:pt idx="29">
                        <c:v>20432.714716800052</c:v>
                      </c:pt>
                      <c:pt idx="30">
                        <c:v>20721.103173721978</c:v>
                      </c:pt>
                      <c:pt idx="31">
                        <c:v>21011.201611902565</c:v>
                      </c:pt>
                      <c:pt idx="32">
                        <c:v>21302.993525615224</c:v>
                      </c:pt>
                      <c:pt idx="33">
                        <c:v>21596.462728578877</c:v>
                      </c:pt>
                      <c:pt idx="34">
                        <c:v>21891.59334312053</c:v>
                      </c:pt>
                      <c:pt idx="35">
                        <c:v>22188.369789822758</c:v>
                      </c:pt>
                      <c:pt idx="36">
                        <c:v>22486.776777629235</c:v>
                      </c:pt>
                      <c:pt idx="37">
                        <c:v>22786.79929438308</c:v>
                      </c:pt>
                      <c:pt idx="38">
                        <c:v>23088.422597774941</c:v>
                      </c:pt>
                      <c:pt idx="39">
                        <c:v>23391.632206678543</c:v>
                      </c:pt>
                      <c:pt idx="40">
                        <c:v>23696.413892853372</c:v>
                      </c:pt>
                      <c:pt idx="41">
                        <c:v>24002.753672995303</c:v>
                      </c:pt>
                      <c:pt idx="42">
                        <c:v>24310.637801116769</c:v>
                      </c:pt>
                      <c:pt idx="43">
                        <c:v>24620.05276124008</c:v>
                      </c:pt>
                      <c:pt idx="44">
                        <c:v>24930.985260387541</c:v>
                      </c:pt>
                      <c:pt idx="45">
                        <c:v>25243.422221853692</c:v>
                      </c:pt>
                      <c:pt idx="46">
                        <c:v>25557.350778745484</c:v>
                      </c:pt>
                      <c:pt idx="47">
                        <c:v>25872.758267777222</c:v>
                      </c:pt>
                      <c:pt idx="48">
                        <c:v>26189.632223307952</c:v>
                      </c:pt>
                      <c:pt idx="49">
                        <c:v>26507.960371609279</c:v>
                      </c:pt>
                      <c:pt idx="50">
                        <c:v>26827.730625352931</c:v>
                      </c:pt>
                      <c:pt idx="51">
                        <c:v>27148.931078307422</c:v>
                      </c:pt>
                      <c:pt idx="52">
                        <c:v>27471.550000234001</c:v>
                      </c:pt>
                      <c:pt idx="53">
                        <c:v>27795.575831972674</c:v>
                      </c:pt>
                      <c:pt idx="54">
                        <c:v>28120.997180709583</c:v>
                      </c:pt>
                      <c:pt idx="55">
                        <c:v>28447.802815417272</c:v>
                      </c:pt>
                      <c:pt idx="56">
                        <c:v>28775.981662460228</c:v>
                      </c:pt>
                      <c:pt idx="57">
                        <c:v>29105.522801358056</c:v>
                      </c:pt>
                      <c:pt idx="58">
                        <c:v>29436.415460699503</c:v>
                      </c:pt>
                      <c:pt idx="59">
                        <c:v>29768.649014200513</c:v>
                      </c:pt>
                      <c:pt idx="60">
                        <c:v>30102.212976900104</c:v>
                      </c:pt>
                      <c:pt idx="61">
                        <c:v>30437.09700148804</c:v>
                      </c:pt>
                      <c:pt idx="62">
                        <c:v>30773.290874758717</c:v>
                      </c:pt>
                      <c:pt idx="63">
                        <c:v>31110.784514185765</c:v>
                      </c:pt>
                      <c:pt idx="64">
                        <c:v>31449.567964612401</c:v>
                      </c:pt>
                      <c:pt idx="65">
                        <c:v>31789.63139505262</c:v>
                      </c:pt>
                      <c:pt idx="66">
                        <c:v>32130.965095598625</c:v>
                      </c:pt>
                      <c:pt idx="67">
                        <c:v>32473.559474430127</c:v>
                      </c:pt>
                      <c:pt idx="68">
                        <c:v>32817.405054921262</c:v>
                      </c:pt>
                      <c:pt idx="69">
                        <c:v>33162.49247284155</c:v>
                      </c:pt>
                      <c:pt idx="70">
                        <c:v>33508.812473646365</c:v>
                      </c:pt>
                      <c:pt idx="71">
                        <c:v>33856.355909854276</c:v>
                      </c:pt>
                      <c:pt idx="72">
                        <c:v>34205.113738507105</c:v>
                      </c:pt>
                      <c:pt idx="73">
                        <c:v>34555.077018709679</c:v>
                      </c:pt>
                      <c:pt idx="74">
                        <c:v>34906.236909246407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B66-4BBC-B6CA-B0B60BD4F1DA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Сравнение!$AT$48</c15:sqref>
                        </c15:formulaRef>
                      </c:ext>
                    </c:extLst>
                    <c:strCache>
                      <c:ptCount val="1"/>
                      <c:pt idx="0">
                        <c:v>ΔH (1-2) kJ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Сравнение!$AT$49:$AT$123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225.67743523354392</c:v>
                      </c:pt>
                      <c:pt idx="1">
                        <c:v>90.075379776642592</c:v>
                      </c:pt>
                      <c:pt idx="2">
                        <c:v>-45.957592160728552</c:v>
                      </c:pt>
                      <c:pt idx="3">
                        <c:v>-182.4164863620428</c:v>
                      </c:pt>
                      <c:pt idx="4">
                        <c:v>-319.29630297657354</c:v>
                      </c:pt>
                      <c:pt idx="5">
                        <c:v>-456.59203698700026</c:v>
                      </c:pt>
                      <c:pt idx="6">
                        <c:v>-594.29867863135928</c:v>
                      </c:pt>
                      <c:pt idx="7">
                        <c:v>-732.41121378446189</c:v>
                      </c:pt>
                      <c:pt idx="8">
                        <c:v>-870.92462430331773</c:v>
                      </c:pt>
                      <c:pt idx="9">
                        <c:v>-1009.8338883404273</c:v>
                      </c:pt>
                      <c:pt idx="10">
                        <c:v>-1149.1339806283231</c:v>
                      </c:pt>
                      <c:pt idx="11">
                        <c:v>-1288.8198727384595</c:v>
                      </c:pt>
                      <c:pt idx="12">
                        <c:v>-1428.8865333171602</c:v>
                      </c:pt>
                      <c:pt idx="13">
                        <c:v>-1569.3289283008037</c:v>
                      </c:pt>
                      <c:pt idx="14">
                        <c:v>-1710.142021112415</c:v>
                      </c:pt>
                      <c:pt idx="15">
                        <c:v>-1851.3207728417146</c:v>
                      </c:pt>
                      <c:pt idx="16">
                        <c:v>-1992.860142409764</c:v>
                      </c:pt>
                      <c:pt idx="17">
                        <c:v>-2134.7550867202631</c:v>
                      </c:pt>
                      <c:pt idx="18">
                        <c:v>-2277.0005607983308</c:v>
                      </c:pt>
                      <c:pt idx="19">
                        <c:v>-2419.5915179181452</c:v>
                      </c:pt>
                      <c:pt idx="20">
                        <c:v>-2562.5229097204974</c:v>
                      </c:pt>
                      <c:pt idx="21">
                        <c:v>-2705.7896863209908</c:v>
                      </c:pt>
                      <c:pt idx="22">
                        <c:v>-2849.3867964100673</c:v>
                      </c:pt>
                      <c:pt idx="23">
                        <c:v>-2993.3091873451931</c:v>
                      </c:pt>
                      <c:pt idx="24">
                        <c:v>-3137.5518052361622</c:v>
                      </c:pt>
                      <c:pt idx="25">
                        <c:v>-3282.1095950241156</c:v>
                      </c:pt>
                      <c:pt idx="26">
                        <c:v>-3426.9775005545953</c:v>
                      </c:pt>
                      <c:pt idx="27">
                        <c:v>-3572.1504646453914</c:v>
                      </c:pt>
                      <c:pt idx="28">
                        <c:v>-3717.6234291495216</c:v>
                      </c:pt>
                      <c:pt idx="29">
                        <c:v>-3863.3913350136777</c:v>
                      </c:pt>
                      <c:pt idx="30">
                        <c:v>-4009.4491223325244</c:v>
                      </c:pt>
                      <c:pt idx="31">
                        <c:v>-4155.7917303994818</c:v>
                      </c:pt>
                      <c:pt idx="32">
                        <c:v>-4302.414097753629</c:v>
                      </c:pt>
                      <c:pt idx="33">
                        <c:v>-4449.3111622238293</c:v>
                      </c:pt>
                      <c:pt idx="34">
                        <c:v>-4596.4778609695932</c:v>
                      </c:pt>
                      <c:pt idx="35">
                        <c:v>-4743.9091305194406</c:v>
                      </c:pt>
                      <c:pt idx="36">
                        <c:v>-4891.5999068065821</c:v>
                      </c:pt>
                      <c:pt idx="37">
                        <c:v>-5039.5451252024341</c:v>
                      </c:pt>
                      <c:pt idx="38">
                        <c:v>-5187.7397205478546</c:v>
                      </c:pt>
                      <c:pt idx="39">
                        <c:v>-5336.1786271824776</c:v>
                      </c:pt>
                      <c:pt idx="40">
                        <c:v>-5484.8567789722301</c:v>
                      </c:pt>
                      <c:pt idx="41">
                        <c:v>-5633.7691093349622</c:v>
                      </c:pt>
                      <c:pt idx="42">
                        <c:v>-5782.9105512647739</c:v>
                      </c:pt>
                      <c:pt idx="43">
                        <c:v>-5932.2760373546253</c:v>
                      </c:pt>
                      <c:pt idx="44">
                        <c:v>-6081.8604998176943</c:v>
                      </c:pt>
                      <c:pt idx="45">
                        <c:v>-6231.65887050742</c:v>
                      </c:pt>
                      <c:pt idx="46">
                        <c:v>-6381.6660809363975</c:v>
                      </c:pt>
                      <c:pt idx="47">
                        <c:v>-6531.8770622941702</c:v>
                      </c:pt>
                      <c:pt idx="48">
                        <c:v>-6682.2867454638799</c:v>
                      </c:pt>
                      <c:pt idx="49">
                        <c:v>-6832.8900610381461</c:v>
                      </c:pt>
                      <c:pt idx="50">
                        <c:v>-6983.6819393339119</c:v>
                      </c:pt>
                      <c:pt idx="51">
                        <c:v>-7134.6573104064355</c:v>
                      </c:pt>
                      <c:pt idx="52">
                        <c:v>-7285.8111040626145</c:v>
                      </c:pt>
                      <c:pt idx="53">
                        <c:v>-7437.1382498735184</c:v>
                      </c:pt>
                      <c:pt idx="54">
                        <c:v>-7588.6336771861461</c:v>
                      </c:pt>
                      <c:pt idx="55">
                        <c:v>-7740.2923151347131</c:v>
                      </c:pt>
                      <c:pt idx="56">
                        <c:v>-7892.1090926511379</c:v>
                      </c:pt>
                      <c:pt idx="57">
                        <c:v>-8044.0789384752443</c:v>
                      </c:pt>
                      <c:pt idx="58">
                        <c:v>-8196.1967811640425</c:v>
                      </c:pt>
                      <c:pt idx="59">
                        <c:v>-8348.4575491009418</c:v>
                      </c:pt>
                      <c:pt idx="60">
                        <c:v>-8500.8561705041157</c:v>
                      </c:pt>
                      <c:pt idx="61">
                        <c:v>-8653.3875734346693</c:v>
                      </c:pt>
                      <c:pt idx="62">
                        <c:v>-8806.0466858043274</c:v>
                      </c:pt>
                      <c:pt idx="63">
                        <c:v>-8958.8284353827075</c:v>
                      </c:pt>
                      <c:pt idx="64">
                        <c:v>-9111.7277498042567</c:v>
                      </c:pt>
                      <c:pt idx="65">
                        <c:v>-9264.7395565748375</c:v>
                      </c:pt>
                      <c:pt idx="66">
                        <c:v>-9417.8587830779088</c:v>
                      </c:pt>
                      <c:pt idx="67">
                        <c:v>-9571.0803565805891</c:v>
                      </c:pt>
                      <c:pt idx="68">
                        <c:v>-9724.3992042393238</c:v>
                      </c:pt>
                      <c:pt idx="69">
                        <c:v>-9877.8102531050208</c:v>
                      </c:pt>
                      <c:pt idx="70">
                        <c:v>-10031.308430128589</c:v>
                      </c:pt>
                      <c:pt idx="71">
                        <c:v>-10184.888662165495</c:v>
                      </c:pt>
                      <c:pt idx="72">
                        <c:v>-10338.545875980546</c:v>
                      </c:pt>
                      <c:pt idx="73">
                        <c:v>-10492.274998252349</c:v>
                      </c:pt>
                      <c:pt idx="74">
                        <c:v>-10646.070955577452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B66-4BBC-B6CA-B0B60BD4F1DA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Сравнение!$F$48</c15:sqref>
                        </c15:formulaRef>
                      </c:ext>
                    </c:extLst>
                    <c:strCache>
                      <c:ptCount val="1"/>
                      <c:pt idx="0">
                        <c:v>0: G(T)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Сравнение!$F$49:$F$123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218.51346748829849</c:v>
                      </c:pt>
                      <c:pt idx="1">
                        <c:v>217.46721235083743</c:v>
                      </c:pt>
                      <c:pt idx="2">
                        <c:v>216.41851101420642</c:v>
                      </c:pt>
                      <c:pt idx="3">
                        <c:v>215.36739139400481</c:v>
                      </c:pt>
                      <c:pt idx="4">
                        <c:v>214.3138815843952</c:v>
                      </c:pt>
                      <c:pt idx="5">
                        <c:v>213.25800977322962</c:v>
                      </c:pt>
                      <c:pt idx="6">
                        <c:v>212.1998041689038</c:v>
                      </c:pt>
                      <c:pt idx="7">
                        <c:v>211.13929293740745</c:v>
                      </c:pt>
                      <c:pt idx="8">
                        <c:v>210.07650414824252</c:v>
                      </c:pt>
                      <c:pt idx="9">
                        <c:v>209.01146572806351</c:v>
                      </c:pt>
                      <c:pt idx="10">
                        <c:v>207.94420542105269</c:v>
                      </c:pt>
                      <c:pt idx="11">
                        <c:v>206.87475075516608</c:v>
                      </c:pt>
                      <c:pt idx="12">
                        <c:v>205.80312901350754</c:v>
                      </c:pt>
                      <c:pt idx="13">
                        <c:v>204.7293672101793</c:v>
                      </c:pt>
                      <c:pt idx="14">
                        <c:v>203.65349207004613</c:v>
                      </c:pt>
                      <c:pt idx="15">
                        <c:v>202.57553001191786</c:v>
                      </c:pt>
                      <c:pt idx="16">
                        <c:v>201.49550713472183</c:v>
                      </c:pt>
                      <c:pt idx="17">
                        <c:v>200.41344920628745</c:v>
                      </c:pt>
                      <c:pt idx="18">
                        <c:v>199.32938165441445</c:v>
                      </c:pt>
                      <c:pt idx="19">
                        <c:v>198.24332955993614</c:v>
                      </c:pt>
                      <c:pt idx="20">
                        <c:v>197.15531765152451</c:v>
                      </c:pt>
                      <c:pt idx="21">
                        <c:v>196.06537030201514</c:v>
                      </c:pt>
                      <c:pt idx="22">
                        <c:v>194.97351152605643</c:v>
                      </c:pt>
                      <c:pt idx="23">
                        <c:v>193.87976497891333</c:v>
                      </c:pt>
                      <c:pt idx="24">
                        <c:v>192.78415395627181</c:v>
                      </c:pt>
                      <c:pt idx="25">
                        <c:v>191.68670139491422</c:v>
                      </c:pt>
                      <c:pt idx="26">
                        <c:v>190.58742987414692</c:v>
                      </c:pt>
                      <c:pt idx="27">
                        <c:v>189.48636161787766</c:v>
                      </c:pt>
                      <c:pt idx="28">
                        <c:v>188.38351849725129</c:v>
                      </c:pt>
                      <c:pt idx="29">
                        <c:v>187.27892203376555</c:v>
                      </c:pt>
                      <c:pt idx="30">
                        <c:v>186.17259340279358</c:v>
                      </c:pt>
                      <c:pt idx="31">
                        <c:v>185.06455343745415</c:v>
                      </c:pt>
                      <c:pt idx="32">
                        <c:v>183.95482263277182</c:v>
                      </c:pt>
                      <c:pt idx="33">
                        <c:v>182.84342115008104</c:v>
                      </c:pt>
                      <c:pt idx="34">
                        <c:v>181.73036882162918</c:v>
                      </c:pt>
                      <c:pt idx="35">
                        <c:v>180.61568515534486</c:v>
                      </c:pt>
                      <c:pt idx="36">
                        <c:v>179.4993893397324</c:v>
                      </c:pt>
                      <c:pt idx="37">
                        <c:v>178.38150024887062</c:v>
                      </c:pt>
                      <c:pt idx="38">
                        <c:v>177.26203644748441</c:v>
                      </c:pt>
                      <c:pt idx="39">
                        <c:v>176.14101619607024</c:v>
                      </c:pt>
                      <c:pt idx="40">
                        <c:v>175.01845745605357</c:v>
                      </c:pt>
                      <c:pt idx="41">
                        <c:v>173.89437789496401</c:v>
                      </c:pt>
                      <c:pt idx="42">
                        <c:v>172.76879489160976</c:v>
                      </c:pt>
                      <c:pt idx="43">
                        <c:v>171.64172554124013</c:v>
                      </c:pt>
                      <c:pt idx="44">
                        <c:v>170.51318666068536</c:v>
                      </c:pt>
                      <c:pt idx="45">
                        <c:v>169.38319479346154</c:v>
                      </c:pt>
                      <c:pt idx="46">
                        <c:v>168.25176621483473</c:v>
                      </c:pt>
                      <c:pt idx="47">
                        <c:v>167.11891693683555</c:v>
                      </c:pt>
                      <c:pt idx="48">
                        <c:v>165.98466271321735</c:v>
                      </c:pt>
                      <c:pt idx="49">
                        <c:v>164.84901904435475</c:v>
                      </c:pt>
                      <c:pt idx="50">
                        <c:v>163.71200118207565</c:v>
                      </c:pt>
                      <c:pt idx="51">
                        <c:v>162.57362413442485</c:v>
                      </c:pt>
                      <c:pt idx="52">
                        <c:v>161.43390267035551</c:v>
                      </c:pt>
                      <c:pt idx="53">
                        <c:v>160.29285132434464</c:v>
                      </c:pt>
                      <c:pt idx="54">
                        <c:v>159.15048440093381</c:v>
                      </c:pt>
                      <c:pt idx="55">
                        <c:v>158.00681597918998</c:v>
                      </c:pt>
                      <c:pt idx="56">
                        <c:v>156.86185991708768</c:v>
                      </c:pt>
                      <c:pt idx="57">
                        <c:v>155.71562985581033</c:v>
                      </c:pt>
                      <c:pt idx="58">
                        <c:v>154.56813922397203</c:v>
                      </c:pt>
                      <c:pt idx="59">
                        <c:v>153.41940124175659</c:v>
                      </c:pt>
                      <c:pt idx="60">
                        <c:v>152.26942892497792</c:v>
                      </c:pt>
                      <c:pt idx="61">
                        <c:v>151.11823508905721</c:v>
                      </c:pt>
                      <c:pt idx="62">
                        <c:v>149.96583235292252</c:v>
                      </c:pt>
                      <c:pt idx="63">
                        <c:v>148.81223314282627</c:v>
                      </c:pt>
                      <c:pt idx="64">
                        <c:v>147.65744969608565</c:v>
                      </c:pt>
                      <c:pt idx="65">
                        <c:v>146.50149406474338</c:v>
                      </c:pt>
                      <c:pt idx="66">
                        <c:v>145.34437811915257</c:v>
                      </c:pt>
                      <c:pt idx="67">
                        <c:v>144.1861135514844</c:v>
                      </c:pt>
                      <c:pt idx="68">
                        <c:v>143.02671187916133</c:v>
                      </c:pt>
                      <c:pt idx="69">
                        <c:v>141.86618444821596</c:v>
                      </c:pt>
                      <c:pt idx="70">
                        <c:v>140.70454243657716</c:v>
                      </c:pt>
                      <c:pt idx="71">
                        <c:v>139.54179685728485</c:v>
                      </c:pt>
                      <c:pt idx="72">
                        <c:v>138.37795856163464</c:v>
                      </c:pt>
                      <c:pt idx="73">
                        <c:v>137.21303824225316</c:v>
                      </c:pt>
                      <c:pt idx="74">
                        <c:v>136.04704643610563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B66-4BBC-B6CA-B0B60BD4F1DA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Сравнение!$J$48</c15:sqref>
                        </c15:formulaRef>
                      </c:ext>
                    </c:extLst>
                    <c:strCache>
                      <c:ptCount val="1"/>
                      <c:pt idx="0">
                        <c:v>1: G(T) KJ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Сравнение!$J$49:$J$123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221.31083126484344</c:v>
                      </c:pt>
                      <c:pt idx="1">
                        <c:v>220.39565386884078</c:v>
                      </c:pt>
                      <c:pt idx="2">
                        <c:v>219.4780299245428</c:v>
                      </c:pt>
                      <c:pt idx="3">
                        <c:v>218.55798626622925</c:v>
                      </c:pt>
                      <c:pt idx="4">
                        <c:v>217.63555010785694</c:v>
                      </c:pt>
                      <c:pt idx="5">
                        <c:v>216.71074893317785</c:v>
                      </c:pt>
                      <c:pt idx="6">
                        <c:v>215.78361040047068</c:v>
                      </c:pt>
                      <c:pt idx="7">
                        <c:v>214.85416225999961</c:v>
                      </c:pt>
                      <c:pt idx="8">
                        <c:v>213.92243228256874</c:v>
                      </c:pt>
                      <c:pt idx="9">
                        <c:v>212.98844819776167</c:v>
                      </c:pt>
                      <c:pt idx="10">
                        <c:v>212.05223764064502</c:v>
                      </c:pt>
                      <c:pt idx="11">
                        <c:v>211.11382810587384</c:v>
                      </c:pt>
                      <c:pt idx="12">
                        <c:v>210.17324690827712</c:v>
                      </c:pt>
                      <c:pt idx="13">
                        <c:v>209.23052114911962</c:v>
                      </c:pt>
                      <c:pt idx="14">
                        <c:v>208.28567768733902</c:v>
                      </c:pt>
                      <c:pt idx="15">
                        <c:v>207.33874311514742</c:v>
                      </c:pt>
                      <c:pt idx="16">
                        <c:v>206.38974373746078</c:v>
                      </c:pt>
                      <c:pt idx="17">
                        <c:v>205.4387055546884</c:v>
                      </c:pt>
                      <c:pt idx="18">
                        <c:v>204.48565424847158</c:v>
                      </c:pt>
                      <c:pt idx="19">
                        <c:v>203.5306151700108</c:v>
                      </c:pt>
                      <c:pt idx="20">
                        <c:v>202.57361333066405</c:v>
                      </c:pt>
                      <c:pt idx="21">
                        <c:v>201.61467339453895</c:v>
                      </c:pt>
                      <c:pt idx="22">
                        <c:v>200.65381967283179</c:v>
                      </c:pt>
                      <c:pt idx="23">
                        <c:v>199.69107611969895</c:v>
                      </c:pt>
                      <c:pt idx="24">
                        <c:v>198.72646632946928</c:v>
                      </c:pt>
                      <c:pt idx="25">
                        <c:v>197.76001353502906</c:v>
                      </c:pt>
                      <c:pt idx="26">
                        <c:v>196.79174060723213</c:v>
                      </c:pt>
                      <c:pt idx="27">
                        <c:v>195.82167005520344</c:v>
                      </c:pt>
                      <c:pt idx="28">
                        <c:v>194.84982402741974</c:v>
                      </c:pt>
                      <c:pt idx="29">
                        <c:v>193.87622431346588</c:v>
                      </c:pt>
                      <c:pt idx="30">
                        <c:v>192.90089234637514</c:v>
                      </c:pt>
                      <c:pt idx="31">
                        <c:v>191.92384920547386</c:v>
                      </c:pt>
                      <c:pt idx="32">
                        <c:v>190.94511561965953</c:v>
                      </c:pt>
                      <c:pt idx="33">
                        <c:v>189.96471197104884</c:v>
                      </c:pt>
                      <c:pt idx="34">
                        <c:v>188.982658298941</c:v>
                      </c:pt>
                      <c:pt idx="35">
                        <c:v>187.99897430404604</c:v>
                      </c:pt>
                      <c:pt idx="36">
                        <c:v>187.01367935293572</c:v>
                      </c:pt>
                      <c:pt idx="37">
                        <c:v>186.02679248267759</c:v>
                      </c:pt>
                      <c:pt idx="38">
                        <c:v>185.03833240561846</c:v>
                      </c:pt>
                      <c:pt idx="39">
                        <c:v>184.04831751428753</c:v>
                      </c:pt>
                      <c:pt idx="40">
                        <c:v>183.05676588639204</c:v>
                      </c:pt>
                      <c:pt idx="41">
                        <c:v>182.06369528988247</c:v>
                      </c:pt>
                      <c:pt idx="42">
                        <c:v>181.06912318806621</c:v>
                      </c:pt>
                      <c:pt idx="43">
                        <c:v>180.07306674475217</c:v>
                      </c:pt>
                      <c:pt idx="44">
                        <c:v>179.07554282940941</c:v>
                      </c:pt>
                      <c:pt idx="45">
                        <c:v>178.0765680223268</c:v>
                      </c:pt>
                      <c:pt idx="46">
                        <c:v>177.07615861976078</c:v>
                      </c:pt>
                      <c:pt idx="47">
                        <c:v>176.07433063906063</c:v>
                      </c:pt>
                      <c:pt idx="48">
                        <c:v>175.07109982376227</c:v>
                      </c:pt>
                      <c:pt idx="49">
                        <c:v>174.06648164864194</c:v>
                      </c:pt>
                      <c:pt idx="50">
                        <c:v>173.06049132472333</c:v>
                      </c:pt>
                      <c:pt idx="51">
                        <c:v>172.05314380423152</c:v>
                      </c:pt>
                      <c:pt idx="52">
                        <c:v>171.04445378548985</c:v>
                      </c:pt>
                      <c:pt idx="53">
                        <c:v>170.03443571775341</c:v>
                      </c:pt>
                      <c:pt idx="54">
                        <c:v>169.02310380597714</c:v>
                      </c:pt>
                      <c:pt idx="55">
                        <c:v>168.01047201551529</c:v>
                      </c:pt>
                      <c:pt idx="56">
                        <c:v>166.99655407674814</c:v>
                      </c:pt>
                      <c:pt idx="57">
                        <c:v>165.98136348963664</c:v>
                      </c:pt>
                      <c:pt idx="58">
                        <c:v>164.96491352820075</c:v>
                      </c:pt>
                      <c:pt idx="59">
                        <c:v>163.94721724492217</c:v>
                      </c:pt>
                      <c:pt idx="60">
                        <c:v>162.92828747506906</c:v>
                      </c:pt>
                      <c:pt idx="61">
                        <c:v>161.90813684094391</c:v>
                      </c:pt>
                      <c:pt idx="62">
                        <c:v>160.88677775605217</c:v>
                      </c:pt>
                      <c:pt idx="63">
                        <c:v>159.86422242919357</c:v>
                      </c:pt>
                      <c:pt idx="64">
                        <c:v>158.84048286847491</c:v>
                      </c:pt>
                      <c:pt idx="65">
                        <c:v>157.81557088524488</c:v>
                      </c:pt>
                      <c:pt idx="66">
                        <c:v>156.78949809795182</c:v>
                      </c:pt>
                      <c:pt idx="67">
                        <c:v>155.76227593592446</c:v>
                      </c:pt>
                      <c:pt idx="68">
                        <c:v>154.73391564307687</c:v>
                      </c:pt>
                      <c:pt idx="69">
                        <c:v>153.70442828153753</c:v>
                      </c:pt>
                      <c:pt idx="70">
                        <c:v>152.67382473520505</c:v>
                      </c:pt>
                      <c:pt idx="71">
                        <c:v>151.64211571322906</c:v>
                      </c:pt>
                      <c:pt idx="72">
                        <c:v>150.60931175342051</c:v>
                      </c:pt>
                      <c:pt idx="73">
                        <c:v>149.57542322558845</c:v>
                      </c:pt>
                      <c:pt idx="74">
                        <c:v>148.54046033480904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B66-4BBC-B6CA-B0B60BD4F1DA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512664696"/>
        <c:axId val="51266626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Сравнение!$AQ$48</c15:sqref>
                        </c15:formulaRef>
                      </c:ext>
                    </c:extLst>
                    <c:strCache>
                      <c:ptCount val="1"/>
                      <c:pt idx="0">
                        <c:v>ΔS (1-0) 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marker>
                    <c:symbol val="none"/>
                  </c:marker>
                  <c:bubble3D val="0"/>
                  <c:spPr>
                    <a:ln w="19050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7-FB66-4BBC-B6CA-B0B60BD4F1DA}"/>
                    </c:ext>
                  </c:extLst>
                </c:dPt>
                <c:xVal>
                  <c:numRef>
                    <c:extLst>
                      <c:ext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Сравнение!$AQ$49:$AQ$123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-24.249337456266261</c:v>
                      </c:pt>
                      <c:pt idx="1">
                        <c:v>-24.249386567721785</c:v>
                      </c:pt>
                      <c:pt idx="2">
                        <c:v>-24.249215341861628</c:v>
                      </c:pt>
                      <c:pt idx="3">
                        <c:v>-24.248863493991337</c:v>
                      </c:pt>
                      <c:pt idx="4">
                        <c:v>-24.248365822109776</c:v>
                      </c:pt>
                      <c:pt idx="5">
                        <c:v>-24.247752776232545</c:v>
                      </c:pt>
                      <c:pt idx="6">
                        <c:v>-24.247050957871892</c:v>
                      </c:pt>
                      <c:pt idx="7">
                        <c:v>-24.246283558985311</c:v>
                      </c:pt>
                      <c:pt idx="8">
                        <c:v>-24.245470748355274</c:v>
                      </c:pt>
                      <c:pt idx="9">
                        <c:v>-24.244630012222871</c:v>
                      </c:pt>
                      <c:pt idx="10">
                        <c:v>-24.243776455036169</c:v>
                      </c:pt>
                      <c:pt idx="11">
                        <c:v>-24.24292306535736</c:v>
                      </c:pt>
                      <c:pt idx="12">
                        <c:v>-24.24208095128094</c:v>
                      </c:pt>
                      <c:pt idx="13">
                        <c:v>-24.241259549125544</c:v>
                      </c:pt>
                      <c:pt idx="14">
                        <c:v>-24.240466808656976</c:v>
                      </c:pt>
                      <c:pt idx="15">
                        <c:v>-24.239709357672808</c:v>
                      </c:pt>
                      <c:pt idx="16">
                        <c:v>-24.238992648406509</c:v>
                      </c:pt>
                      <c:pt idx="17">
                        <c:v>-24.238321087893638</c:v>
                      </c:pt>
                      <c:pt idx="18">
                        <c:v>-24.237698154170801</c:v>
                      </c:pt>
                      <c:pt idx="19">
                        <c:v>-24.237126499941098</c:v>
                      </c:pt>
                      <c:pt idx="20">
                        <c:v>-24.23660804513645</c:v>
                      </c:pt>
                      <c:pt idx="21">
                        <c:v>-24.236144059633119</c:v>
                      </c:pt>
                      <c:pt idx="22">
                        <c:v>-24.235735237222343</c:v>
                      </c:pt>
                      <c:pt idx="23">
                        <c:v>-24.235381761805087</c:v>
                      </c:pt>
                      <c:pt idx="24">
                        <c:v>-24.235083366666089</c:v>
                      </c:pt>
                      <c:pt idx="25">
                        <c:v>-24.234839387580791</c:v>
                      </c:pt>
                      <c:pt idx="26">
                        <c:v>-24.234648810420225</c:v>
                      </c:pt>
                      <c:pt idx="27">
                        <c:v>-24.234510313843487</c:v>
                      </c:pt>
                      <c:pt idx="28">
                        <c:v>-24.234422307599118</c:v>
                      </c:pt>
                      <c:pt idx="29">
                        <c:v>-24.234382966898039</c:v>
                      </c:pt>
                      <c:pt idx="30">
                        <c:v>-24.234390263268665</c:v>
                      </c:pt>
                      <c:pt idx="31">
                        <c:v>-24.234441992259377</c:v>
                      </c:pt>
                      <c:pt idx="32">
                        <c:v>-24.23453579831309</c:v>
                      </c:pt>
                      <c:pt idx="33">
                        <c:v>-24.234669197103585</c:v>
                      </c:pt>
                      <c:pt idx="34">
                        <c:v>-24.234839595591552</c:v>
                      </c:pt>
                      <c:pt idx="35">
                        <c:v>-24.235044310030901</c:v>
                      </c:pt>
                      <c:pt idx="36">
                        <c:v>-24.235280582131224</c:v>
                      </c:pt>
                      <c:pt idx="37">
                        <c:v>-24.235545593560602</c:v>
                      </c:pt>
                      <c:pt idx="38">
                        <c:v>-24.235836478953729</c:v>
                      </c:pt>
                      <c:pt idx="39">
                        <c:v>-24.236150337573065</c:v>
                      </c:pt>
                      <c:pt idx="40">
                        <c:v>-24.236484243756223</c:v>
                      </c:pt>
                      <c:pt idx="41">
                        <c:v>-24.236835256267256</c:v>
                      </c:pt>
                      <c:pt idx="42">
                        <c:v>-24.237200426660138</c:v>
                      </c:pt>
                      <c:pt idx="43">
                        <c:v>-24.237576806749615</c:v>
                      </c:pt>
                      <c:pt idx="44">
                        <c:v>-24.23796145527669</c:v>
                      </c:pt>
                      <c:pt idx="45">
                        <c:v>-24.238351443846057</c:v>
                      </c:pt>
                      <c:pt idx="46">
                        <c:v>-24.238743862205865</c:v>
                      </c:pt>
                      <c:pt idx="47">
                        <c:v>-24.239135822932838</c:v>
                      </c:pt>
                      <c:pt idx="48">
                        <c:v>-24.239524465580701</c:v>
                      </c:pt>
                      <c:pt idx="49">
                        <c:v>-24.239906960342381</c:v>
                      </c:pt>
                      <c:pt idx="50">
                        <c:v>-24.240280511273141</c:v>
                      </c:pt>
                      <c:pt idx="51">
                        <c:v>-24.24064235911672</c:v>
                      </c:pt>
                      <c:pt idx="52">
                        <c:v>-24.240989783772704</c:v>
                      </c:pt>
                      <c:pt idx="53">
                        <c:v>-24.24132010643882</c:v>
                      </c:pt>
                      <c:pt idx="54">
                        <c:v>-24.241630691460159</c:v>
                      </c:pt>
                      <c:pt idx="55">
                        <c:v>-24.241918947913717</c:v>
                      </c:pt>
                      <c:pt idx="56">
                        <c:v>-24.24218233095263</c:v>
                      </c:pt>
                      <c:pt idx="57">
                        <c:v>-24.2424183429344</c:v>
                      </c:pt>
                      <c:pt idx="58">
                        <c:v>-24.242624534354405</c:v>
                      </c:pt>
                      <c:pt idx="59">
                        <c:v>-24.242798504602405</c:v>
                      </c:pt>
                      <c:pt idx="60">
                        <c:v>-24.24293790256047</c:v>
                      </c:pt>
                      <c:pt idx="61">
                        <c:v>-24.243040427058162</c:v>
                      </c:pt>
                      <c:pt idx="62">
                        <c:v>-24.243103827198013</c:v>
                      </c:pt>
                      <c:pt idx="63">
                        <c:v>-24.243125902566192</c:v>
                      </c:pt>
                      <c:pt idx="64">
                        <c:v>-24.243104503337946</c:v>
                      </c:pt>
                      <c:pt idx="65">
                        <c:v>-24.243037530289968</c:v>
                      </c:pt>
                      <c:pt idx="66">
                        <c:v>-24.242922934730046</c:v>
                      </c:pt>
                      <c:pt idx="67">
                        <c:v>-24.242758718349876</c:v>
                      </c:pt>
                      <c:pt idx="68">
                        <c:v>-24.242542933012516</c:v>
                      </c:pt>
                      <c:pt idx="69">
                        <c:v>-24.242273680480281</c:v>
                      </c:pt>
                      <c:pt idx="70">
                        <c:v>-24.241949112088577</c:v>
                      </c:pt>
                      <c:pt idx="71">
                        <c:v>-24.241567428373912</c:v>
                      </c:pt>
                      <c:pt idx="72">
                        <c:v>-24.241126878660083</c:v>
                      </c:pt>
                      <c:pt idx="73">
                        <c:v>-24.240625760607799</c:v>
                      </c:pt>
                      <c:pt idx="74">
                        <c:v>-24.240062419732396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8-FB66-4BBC-B6CA-B0B60BD4F1DA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Сравнение!$AS$48</c15:sqref>
                        </c15:formulaRef>
                      </c:ext>
                    </c:extLst>
                    <c:strCache>
                      <c:ptCount val="1"/>
                      <c:pt idx="0">
                        <c:v>ΔCp (1-0) J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Сравнение!$AS$49:$AS$123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-9.6500574332125666E-3</c:v>
                      </c:pt>
                      <c:pt idx="1">
                        <c:v>3.8486240201471844E-3</c:v>
                      </c:pt>
                      <c:pt idx="2">
                        <c:v>1.5394248910695296E-2</c:v>
                      </c:pt>
                      <c:pt idx="3">
                        <c:v>2.5165498926835284E-2</c:v>
                      </c:pt>
                      <c:pt idx="4">
                        <c:v>3.3325806859071605E-2</c:v>
                      </c:pt>
                      <c:pt idx="5">
                        <c:v>4.0024856244105678E-2</c:v>
                      </c:pt>
                      <c:pt idx="6">
                        <c:v>4.5399911725564124E-2</c:v>
                      </c:pt>
                      <c:pt idx="7">
                        <c:v>4.9577001623127614E-2</c:v>
                      </c:pt>
                      <c:pt idx="8">
                        <c:v>5.2671971180373589E-2</c:v>
                      </c:pt>
                      <c:pt idx="9">
                        <c:v>5.4791422404985468E-2</c:v>
                      </c:pt>
                      <c:pt idx="10">
                        <c:v>5.6033554244933725E-2</c:v>
                      </c:pt>
                      <c:pt idx="11">
                        <c:v>5.6488914998912065E-2</c:v>
                      </c:pt>
                      <c:pt idx="12">
                        <c:v>5.6241077284507668E-2</c:v>
                      </c:pt>
                      <c:pt idx="13">
                        <c:v>5.5367244541411509E-2</c:v>
                      </c:pt>
                      <c:pt idx="14">
                        <c:v>5.393879689302139E-2</c:v>
                      </c:pt>
                      <c:pt idx="15">
                        <c:v>5.2021783198256344E-2</c:v>
                      </c:pt>
                      <c:pt idx="16">
                        <c:v>4.9677365271350027E-2</c:v>
                      </c:pt>
                      <c:pt idx="17">
                        <c:v>4.6962219510927383E-2</c:v>
                      </c:pt>
                      <c:pt idx="18">
                        <c:v>4.3928900541921223E-2</c:v>
                      </c:pt>
                      <c:pt idx="19">
                        <c:v>4.0626170921893134E-2</c:v>
                      </c:pt>
                      <c:pt idx="20">
                        <c:v>3.7099300483248498E-2</c:v>
                      </c:pt>
                      <c:pt idx="21">
                        <c:v>3.3390338465750347E-2</c:v>
                      </c:pt>
                      <c:pt idx="22">
                        <c:v>2.9538361229771937E-2</c:v>
                      </c:pt>
                      <c:pt idx="23">
                        <c:v>2.5579698022578867E-2</c:v>
                      </c:pt>
                      <c:pt idx="24">
                        <c:v>2.1548136992350919E-2</c:v>
                      </c:pt>
                      <c:pt idx="25">
                        <c:v>1.7475113400358566E-2</c:v>
                      </c:pt>
                      <c:pt idx="26">
                        <c:v>1.3389881767889023E-2</c:v>
                      </c:pt>
                      <c:pt idx="27">
                        <c:v>9.3196735062583969E-3</c:v>
                      </c:pt>
                      <c:pt idx="28">
                        <c:v>5.2898414122850568E-3</c:v>
                      </c:pt>
                      <c:pt idx="29">
                        <c:v>1.323992265248819E-3</c:v>
                      </c:pt>
                      <c:pt idx="30">
                        <c:v>-2.5558913678587203E-3</c:v>
                      </c:pt>
                      <c:pt idx="31">
                        <c:v>-6.329339126693867E-3</c:v>
                      </c:pt>
                      <c:pt idx="32">
                        <c:v>-9.9772897604921695E-3</c:v>
                      </c:pt>
                      <c:pt idx="33">
                        <c:v>-1.3481996139312002E-2</c:v>
                      </c:pt>
                      <c:pt idx="34">
                        <c:v>-1.6826937652382412E-2</c:v>
                      </c:pt>
                      <c:pt idx="35">
                        <c:v>-1.9996739344648518E-2</c:v>
                      </c:pt>
                      <c:pt idx="36">
                        <c:v>-2.2977097205426844E-2</c:v>
                      </c:pt>
                      <c:pt idx="37">
                        <c:v>-2.5754709080011651E-2</c:v>
                      </c:pt>
                      <c:pt idx="38">
                        <c:v>-2.8317210725784747E-2</c:v>
                      </c:pt>
                      <c:pt idx="39">
                        <c:v>-3.0653116579660633E-2</c:v>
                      </c:pt>
                      <c:pt idx="40">
                        <c:v>-3.2751764844142883E-2</c:v>
                      </c:pt>
                      <c:pt idx="41">
                        <c:v>-3.4603266536059607E-2</c:v>
                      </c:pt>
                      <c:pt idx="42">
                        <c:v>-3.6198458174315107E-2</c:v>
                      </c:pt>
                      <c:pt idx="43">
                        <c:v>-3.7528857812834104E-2</c:v>
                      </c:pt>
                      <c:pt idx="44">
                        <c:v>-3.8586624150855897E-2</c:v>
                      </c:pt>
                      <c:pt idx="45">
                        <c:v>-3.936451847707545E-2</c:v>
                      </c:pt>
                      <c:pt idx="46">
                        <c:v>-3.9855869225270624E-2</c:v>
                      </c:pt>
                      <c:pt idx="47">
                        <c:v>-4.0054538938527173E-2</c:v>
                      </c:pt>
                      <c:pt idx="48">
                        <c:v>-3.995489345702552E-2</c:v>
                      </c:pt>
                      <c:pt idx="49">
                        <c:v>-3.9551773159711701E-2</c:v>
                      </c:pt>
                      <c:pt idx="50">
                        <c:v>-3.8840466105128257E-2</c:v>
                      </c:pt>
                      <c:pt idx="51">
                        <c:v>-3.7816682929111778E-2</c:v>
                      </c:pt>
                      <c:pt idx="52">
                        <c:v>-3.6476533369544484E-2</c:v>
                      </c:pt>
                      <c:pt idx="53">
                        <c:v>-3.4816504298493811E-2</c:v>
                      </c:pt>
                      <c:pt idx="54">
                        <c:v>-3.2833439152334165E-2</c:v>
                      </c:pt>
                      <c:pt idx="55">
                        <c:v>-3.0524518658932465E-2</c:v>
                      </c:pt>
                      <c:pt idx="56">
                        <c:v>-2.7887242769249809E-2</c:v>
                      </c:pt>
                      <c:pt idx="57">
                        <c:v>-2.4919413708339277E-2</c:v>
                      </c:pt>
                      <c:pt idx="58">
                        <c:v>-2.1619120066830533E-2</c:v>
                      </c:pt>
                      <c:pt idx="59">
                        <c:v>-1.798472186085931E-2</c:v>
                      </c:pt>
                      <c:pt idx="60">
                        <c:v>-1.4014836493402072E-2</c:v>
                      </c:pt>
                      <c:pt idx="61">
                        <c:v>-9.7083255555396875E-3</c:v>
                      </c:pt>
                      <c:pt idx="62">
                        <c:v>-5.064282410664589E-3</c:v>
                      </c:pt>
                      <c:pt idx="63">
                        <c:v>-8.2020508951785587E-5</c:v>
                      </c:pt>
                      <c:pt idx="64">
                        <c:v>5.2389376165429269E-3</c:v>
                      </c:pt>
                      <c:pt idx="65">
                        <c:v>1.0898870717120701E-2</c:v>
                      </c:pt>
                      <c:pt idx="66">
                        <c:v>1.6897868601059685E-2</c:v>
                      </c:pt>
                      <c:pt idx="67">
                        <c:v>2.3235841349912079E-2</c:v>
                      </c:pt>
                      <c:pt idx="68">
                        <c:v>2.9912528014623518E-2</c:v>
                      </c:pt>
                      <c:pt idx="69">
                        <c:v>3.6927504824699753E-2</c:v>
                      </c:pt>
                      <c:pt idx="70">
                        <c:v>4.428019294132568E-2</c:v>
                      </c:pt>
                      <c:pt idx="71">
                        <c:v>5.1969865783163982E-2</c:v>
                      </c:pt>
                      <c:pt idx="72">
                        <c:v>5.9995655951507132E-2</c:v>
                      </c:pt>
                      <c:pt idx="73">
                        <c:v>6.8356561779673086E-2</c:v>
                      </c:pt>
                      <c:pt idx="74">
                        <c:v>7.7051453529854541E-2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B66-4BBC-B6CA-B0B60BD4F1DA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Сравнение!$AU$48</c15:sqref>
                        </c15:formulaRef>
                      </c:ext>
                    </c:extLst>
                    <c:strCache>
                      <c:ptCount val="1"/>
                      <c:pt idx="0">
                        <c:v>ΔS (1-2) J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Сравнение!$AU$49:$AU$123</c15:sqref>
                        </c15:formulaRef>
                      </c:ext>
                    </c:extLst>
                    <c:numCache>
                      <c:formatCode>#,##0</c:formatCode>
                      <c:ptCount val="75"/>
                      <c:pt idx="0">
                        <c:v>126.65487653076651</c:v>
                      </c:pt>
                      <c:pt idx="1">
                        <c:v>126.66150511966374</c:v>
                      </c:pt>
                      <c:pt idx="2">
                        <c:v>126.66967797468779</c:v>
                      </c:pt>
                      <c:pt idx="3">
                        <c:v>126.6791068932511</c:v>
                      </c:pt>
                      <c:pt idx="4">
                        <c:v>126.68953599902889</c:v>
                      </c:pt>
                      <c:pt idx="5">
                        <c:v>126.70073814455762</c:v>
                      </c:pt>
                      <c:pt idx="6">
                        <c:v>126.7125117471318</c:v>
                      </c:pt>
                      <c:pt idx="7">
                        <c:v>126.72467800081037</c:v>
                      </c:pt>
                      <c:pt idx="8">
                        <c:v>126.73707841559002</c:v>
                      </c:pt>
                      <c:pt idx="9">
                        <c:v>126.7495726417589</c:v>
                      </c:pt>
                      <c:pt idx="10">
                        <c:v>126.76203654332556</c:v>
                      </c:pt>
                      <c:pt idx="11">
                        <c:v>126.77436048940763</c:v>
                      </c:pt>
                      <c:pt idx="12">
                        <c:v>126.78644783670393</c:v>
                      </c:pt>
                      <c:pt idx="13">
                        <c:v>126.79821357978793</c:v>
                      </c:pt>
                      <c:pt idx="14">
                        <c:v>126.80958314904605</c:v>
                      </c:pt>
                      <c:pt idx="15">
                        <c:v>126.82049133872715</c:v>
                      </c:pt>
                      <c:pt idx="16">
                        <c:v>126.83088134983566</c:v>
                      </c:pt>
                      <c:pt idx="17">
                        <c:v>126.84070393455185</c:v>
                      </c:pt>
                      <c:pt idx="18">
                        <c:v>126.84991663053887</c:v>
                      </c:pt>
                      <c:pt idx="19">
                        <c:v>126.85848307494985</c:v>
                      </c:pt>
                      <c:pt idx="20">
                        <c:v>126.86637238919965</c:v>
                      </c:pt>
                      <c:pt idx="21">
                        <c:v>126.87355862665474</c:v>
                      </c:pt>
                      <c:pt idx="22">
                        <c:v>126.88002027633632</c:v>
                      </c:pt>
                      <c:pt idx="23">
                        <c:v>126.88573981655531</c:v>
                      </c:pt>
                      <c:pt idx="24">
                        <c:v>126.89070331311137</c:v>
                      </c:pt>
                      <c:pt idx="25">
                        <c:v>126.8949000573117</c:v>
                      </c:pt>
                      <c:pt idx="26">
                        <c:v>126.89832223961392</c:v>
                      </c:pt>
                      <c:pt idx="27">
                        <c:v>126.90096465517169</c:v>
                      </c:pt>
                      <c:pt idx="28">
                        <c:v>126.90282443798401</c:v>
                      </c:pt>
                      <c:pt idx="29">
                        <c:v>126.90390082071426</c:v>
                      </c:pt>
                      <c:pt idx="30">
                        <c:v>126.9041949175716</c:v>
                      </c:pt>
                      <c:pt idx="31">
                        <c:v>126.9037095279303</c:v>
                      </c:pt>
                      <c:pt idx="32">
                        <c:v>126.90244895861534</c:v>
                      </c:pt>
                      <c:pt idx="33">
                        <c:v>126.90041886300409</c:v>
                      </c:pt>
                      <c:pt idx="34">
                        <c:v>126.89762609529151</c:v>
                      </c:pt>
                      <c:pt idx="35">
                        <c:v>126.89407857843847</c:v>
                      </c:pt>
                      <c:pt idx="36">
                        <c:v>126.88978518447908</c:v>
                      </c:pt>
                      <c:pt idx="37">
                        <c:v>126.88475562599893</c:v>
                      </c:pt>
                      <c:pt idx="38">
                        <c:v>126.87900035771719</c:v>
                      </c:pt>
                      <c:pt idx="39">
                        <c:v>126.87253048721584</c:v>
                      </c:pt>
                      <c:pt idx="40">
                        <c:v>126.86535769395327</c:v>
                      </c:pt>
                      <c:pt idx="41">
                        <c:v>126.85749415578857</c:v>
                      </c:pt>
                      <c:pt idx="42">
                        <c:v>126.84895248231642</c:v>
                      </c:pt>
                      <c:pt idx="43">
                        <c:v>126.83974565438436</c:v>
                      </c:pt>
                      <c:pt idx="44">
                        <c:v>126.82988696922263</c:v>
                      </c:pt>
                      <c:pt idx="45">
                        <c:v>126.81938999067469</c:v>
                      </c:pt>
                      <c:pt idx="46">
                        <c:v>126.80826850406376</c:v>
                      </c:pt>
                      <c:pt idx="47">
                        <c:v>126.79653647527587</c:v>
                      </c:pt>
                      <c:pt idx="48">
                        <c:v>126.78420801367973</c:v>
                      </c:pt>
                      <c:pt idx="49">
                        <c:v>126.771297338539</c:v>
                      </c:pt>
                      <c:pt idx="50">
                        <c:v>126.75781874860559</c:v>
                      </c:pt>
                      <c:pt idx="51">
                        <c:v>126.7437865946101</c:v>
                      </c:pt>
                      <c:pt idx="52">
                        <c:v>126.72921525439325</c:v>
                      </c:pt>
                      <c:pt idx="53">
                        <c:v>126.71411911044495</c:v>
                      </c:pt>
                      <c:pt idx="54">
                        <c:v>126.69851252963826</c:v>
                      </c:pt>
                      <c:pt idx="55">
                        <c:v>126.68240984496613</c:v>
                      </c:pt>
                      <c:pt idx="56">
                        <c:v>126.66582533910487</c:v>
                      </c:pt>
                      <c:pt idx="57">
                        <c:v>126.64877322964503</c:v>
                      </c:pt>
                      <c:pt idx="58">
                        <c:v>126.63126765584342</c:v>
                      </c:pt>
                      <c:pt idx="59">
                        <c:v>126.61332266676433</c:v>
                      </c:pt>
                      <c:pt idx="60">
                        <c:v>126.59495221068853</c:v>
                      </c:pt>
                      <c:pt idx="61">
                        <c:v>126.57617012567979</c:v>
                      </c:pt>
                      <c:pt idx="62">
                        <c:v>126.55699013120781</c:v>
                      </c:pt>
                      <c:pt idx="63">
                        <c:v>126.5374258207363</c:v>
                      </c:pt>
                      <c:pt idx="64">
                        <c:v>126.5174906551913</c:v>
                      </c:pt>
                      <c:pt idx="65">
                        <c:v>126.49719795723385</c:v>
                      </c:pt>
                      <c:pt idx="66">
                        <c:v>126.47656090626535</c:v>
                      </c:pt>
                      <c:pt idx="67">
                        <c:v>126.45559253410327</c:v>
                      </c:pt>
                      <c:pt idx="68">
                        <c:v>126.43430572126682</c:v>
                      </c:pt>
                      <c:pt idx="69">
                        <c:v>126.41271319381941</c:v>
                      </c:pt>
                      <c:pt idx="70">
                        <c:v>126.39082752071869</c:v>
                      </c:pt>
                      <c:pt idx="71">
                        <c:v>126.36866111162938</c:v>
                      </c:pt>
                      <c:pt idx="72">
                        <c:v>126.34622621515653</c:v>
                      </c:pt>
                      <c:pt idx="73">
                        <c:v>126.32353491746279</c:v>
                      </c:pt>
                      <c:pt idx="74">
                        <c:v>126.30059914123376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B66-4BBC-B6CA-B0B60BD4F1DA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Сравнение!$AW$48</c15:sqref>
                        </c15:formulaRef>
                      </c:ext>
                    </c:extLst>
                    <c:strCache>
                      <c:ptCount val="1"/>
                      <c:pt idx="0">
                        <c:v>ΔCp (1-2) J</c:v>
                      </c:pt>
                    </c:strCache>
                  </c:strRef>
                </c:tx>
                <c:spPr>
                  <a:ln w="19050" cap="rnd">
                    <a:solidFill>
                      <a:srgbClr val="00B05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Сравнение!$AW$49:$AW$123</c15:sqref>
                        </c15:formulaRef>
                      </c:ext>
                    </c:extLst>
                    <c:numCache>
                      <c:formatCode>General</c:formatCode>
                      <c:ptCount val="7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B66-4BBC-B6CA-B0B60BD4F1DA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Сравнение!$E$48</c15:sqref>
                        </c15:formulaRef>
                      </c:ext>
                    </c:extLst>
                    <c:strCache>
                      <c:ptCount val="1"/>
                      <c:pt idx="0">
                        <c:v>0: S(T) J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Сравнение!$E$49:$E$123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193.32921735195248</c:v>
                      </c:pt>
                      <c:pt idx="1">
                        <c:v>193.78433096665327</c:v>
                      </c:pt>
                      <c:pt idx="2">
                        <c:v>194.23430255339019</c:v>
                      </c:pt>
                      <c:pt idx="3">
                        <c:v>194.67909042363704</c:v>
                      </c:pt>
                      <c:pt idx="4">
                        <c:v>195.11866978159898</c:v>
                      </c:pt>
                      <c:pt idx="5">
                        <c:v>195.55303039730026</c:v>
                      </c:pt>
                      <c:pt idx="6">
                        <c:v>195.98217458564582</c:v>
                      </c:pt>
                      <c:pt idx="7">
                        <c:v>196.40611544914407</c:v>
                      </c:pt>
                      <c:pt idx="8">
                        <c:v>196.82487534825611</c:v>
                      </c:pt>
                      <c:pt idx="9">
                        <c:v>197.23848456861131</c:v>
                      </c:pt>
                      <c:pt idx="10">
                        <c:v>197.64698015877542</c:v>
                      </c:pt>
                      <c:pt idx="11">
                        <c:v>198.05040491601221</c:v>
                      </c:pt>
                      <c:pt idx="12">
                        <c:v>198.44880650066122</c:v>
                      </c:pt>
                      <c:pt idx="13">
                        <c:v>198.84223666245327</c:v>
                      </c:pt>
                      <c:pt idx="14">
                        <c:v>199.2307505643814</c:v>
                      </c:pt>
                      <c:pt idx="15">
                        <c:v>199.61440619170517</c:v>
                      </c:pt>
                      <c:pt idx="16">
                        <c:v>199.99326383533679</c:v>
                      </c:pt>
                      <c:pt idx="17">
                        <c:v>200.36738564029088</c:v>
                      </c:pt>
                      <c:pt idx="18">
                        <c:v>200.73683521110863</c:v>
                      </c:pt>
                      <c:pt idx="19">
                        <c:v>201.10167726722204</c:v>
                      </c:pt>
                      <c:pt idx="20">
                        <c:v>201.4619773421326</c:v>
                      </c:pt>
                      <c:pt idx="21">
                        <c:v>201.81780152106447</c:v>
                      </c:pt>
                      <c:pt idx="22">
                        <c:v>202.1692162124277</c:v>
                      </c:pt>
                      <c:pt idx="23">
                        <c:v>202.51628794901367</c:v>
                      </c:pt>
                      <c:pt idx="24">
                        <c:v>202.8590832153541</c:v>
                      </c:pt>
                      <c:pt idx="25">
                        <c:v>203.197668298114</c:v>
                      </c:pt>
                      <c:pt idx="26">
                        <c:v>203.53210915677465</c:v>
                      </c:pt>
                      <c:pt idx="27">
                        <c:v>203.86247131219432</c:v>
                      </c:pt>
                      <c:pt idx="28">
                        <c:v>204.18881975092751</c:v>
                      </c:pt>
                      <c:pt idx="29">
                        <c:v>204.51121884343601</c:v>
                      </c:pt>
                      <c:pt idx="30">
                        <c:v>204.82973227454838</c:v>
                      </c:pt>
                      <c:pt idx="31">
                        <c:v>205.14442298471826</c:v>
                      </c:pt>
                      <c:pt idx="32">
                        <c:v>205.45535312080216</c:v>
                      </c:pt>
                      <c:pt idx="33">
                        <c:v>205.7625839952278</c:v>
                      </c:pt>
                      <c:pt idx="34">
                        <c:v>206.0661760525542</c:v>
                      </c:pt>
                      <c:pt idx="35">
                        <c:v>206.36618884254113</c:v>
                      </c:pt>
                      <c:pt idx="36">
                        <c:v>206.66268099894648</c:v>
                      </c:pt>
                      <c:pt idx="37">
                        <c:v>206.95571022336031</c:v>
                      </c:pt>
                      <c:pt idx="38">
                        <c:v>207.24533327346234</c:v>
                      </c:pt>
                      <c:pt idx="39">
                        <c:v>207.53160595516081</c:v>
                      </c:pt>
                      <c:pt idx="40">
                        <c:v>207.8145831181308</c:v>
                      </c:pt>
                      <c:pt idx="41">
                        <c:v>208.09431865432532</c:v>
                      </c:pt>
                      <c:pt idx="42">
                        <c:v>208.37086549908057</c:v>
                      </c:pt>
                      <c:pt idx="43">
                        <c:v>208.64427563447961</c:v>
                      </c:pt>
                      <c:pt idx="44">
                        <c:v>208.91460009467602</c:v>
                      </c:pt>
                      <c:pt idx="45">
                        <c:v>209.1818889729135</c:v>
                      </c:pt>
                      <c:pt idx="46">
                        <c:v>209.44619143000631</c:v>
                      </c:pt>
                      <c:pt idx="47">
                        <c:v>209.70755570407229</c:v>
                      </c:pt>
                      <c:pt idx="48">
                        <c:v>209.96602912133437</c:v>
                      </c:pt>
                      <c:pt idx="49">
                        <c:v>210.22165810782568</c:v>
                      </c:pt>
                      <c:pt idx="50">
                        <c:v>210.47448820185423</c:v>
                      </c:pt>
                      <c:pt idx="51">
                        <c:v>210.7245640670973</c:v>
                      </c:pt>
                      <c:pt idx="52">
                        <c:v>210.97192950621275</c:v>
                      </c:pt>
                      <c:pt idx="53">
                        <c:v>211.21662747486545</c:v>
                      </c:pt>
                      <c:pt idx="54">
                        <c:v>211.45870009608024</c:v>
                      </c:pt>
                      <c:pt idx="55">
                        <c:v>211.69818867484307</c:v>
                      </c:pt>
                      <c:pt idx="56">
                        <c:v>211.93513371287975</c:v>
                      </c:pt>
                      <c:pt idx="57">
                        <c:v>212.16957492355252</c:v>
                      </c:pt>
                      <c:pt idx="58">
                        <c:v>212.40155124681996</c:v>
                      </c:pt>
                      <c:pt idx="59">
                        <c:v>212.63110086421335</c:v>
                      </c:pt>
                      <c:pt idx="60">
                        <c:v>212.8582612137877</c:v>
                      </c:pt>
                      <c:pt idx="61">
                        <c:v>213.08306900501285</c:v>
                      </c:pt>
                      <c:pt idx="62">
                        <c:v>213.30556023357096</c:v>
                      </c:pt>
                      <c:pt idx="63">
                        <c:v>213.52577019603612</c:v>
                      </c:pt>
                      <c:pt idx="64">
                        <c:v>213.74373350440959</c:v>
                      </c:pt>
                      <c:pt idx="65">
                        <c:v>213.95948410049294</c:v>
                      </c:pt>
                      <c:pt idx="66">
                        <c:v>214.17305527008094</c:v>
                      </c:pt>
                      <c:pt idx="67">
                        <c:v>214.38447965695889</c:v>
                      </c:pt>
                      <c:pt idx="68">
                        <c:v>214.59378927669346</c:v>
                      </c:pt>
                      <c:pt idx="69">
                        <c:v>214.80101553020648</c:v>
                      </c:pt>
                      <c:pt idx="70">
                        <c:v>215.00618921712231</c:v>
                      </c:pt>
                      <c:pt idx="71">
                        <c:v>215.20934054888386</c:v>
                      </c:pt>
                      <c:pt idx="72">
                        <c:v>215.41049916163061</c:v>
                      </c:pt>
                      <c:pt idx="73">
                        <c:v>215.60969412883543</c:v>
                      </c:pt>
                      <c:pt idx="74">
                        <c:v>215.80695397369698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6628-422E-8E49-78E3FDB88388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Сравнение!$I$48</c15:sqref>
                        </c15:formulaRef>
                      </c:ext>
                    </c:extLst>
                    <c:strCache>
                      <c:ptCount val="1"/>
                      <c:pt idx="0">
                        <c:v>1: S(T) J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Сравнение!$I$49:$I$123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169.07987989568622</c:v>
                      </c:pt>
                      <c:pt idx="1">
                        <c:v>169.53494439893149</c:v>
                      </c:pt>
                      <c:pt idx="2">
                        <c:v>169.98508721152857</c:v>
                      </c:pt>
                      <c:pt idx="3">
                        <c:v>170.4302269296457</c:v>
                      </c:pt>
                      <c:pt idx="4">
                        <c:v>170.87030395948921</c:v>
                      </c:pt>
                      <c:pt idx="5">
                        <c:v>171.30527762106772</c:v>
                      </c:pt>
                      <c:pt idx="6">
                        <c:v>171.73512362777393</c:v>
                      </c:pt>
                      <c:pt idx="7">
                        <c:v>172.15983189015876</c:v>
                      </c:pt>
                      <c:pt idx="8">
                        <c:v>172.57940459990084</c:v>
                      </c:pt>
                      <c:pt idx="9">
                        <c:v>172.99385455638844</c:v>
                      </c:pt>
                      <c:pt idx="10">
                        <c:v>173.40320370373925</c:v>
                      </c:pt>
                      <c:pt idx="11">
                        <c:v>173.80748185065485</c:v>
                      </c:pt>
                      <c:pt idx="12">
                        <c:v>174.20672554938028</c:v>
                      </c:pt>
                      <c:pt idx="13">
                        <c:v>174.60097711332773</c:v>
                      </c:pt>
                      <c:pt idx="14">
                        <c:v>174.99028375572442</c:v>
                      </c:pt>
                      <c:pt idx="15">
                        <c:v>175.37469683403236</c:v>
                      </c:pt>
                      <c:pt idx="16">
                        <c:v>175.75427118693028</c:v>
                      </c:pt>
                      <c:pt idx="17">
                        <c:v>176.12906455239724</c:v>
                      </c:pt>
                      <c:pt idx="18">
                        <c:v>176.49913705693783</c:v>
                      </c:pt>
                      <c:pt idx="19">
                        <c:v>176.86455076728095</c:v>
                      </c:pt>
                      <c:pt idx="20">
                        <c:v>177.22536929699615</c:v>
                      </c:pt>
                      <c:pt idx="21">
                        <c:v>177.58165746143135</c:v>
                      </c:pt>
                      <c:pt idx="22">
                        <c:v>177.93348097520536</c:v>
                      </c:pt>
                      <c:pt idx="23">
                        <c:v>178.28090618720859</c:v>
                      </c:pt>
                      <c:pt idx="24">
                        <c:v>178.62399984868802</c:v>
                      </c:pt>
                      <c:pt idx="25">
                        <c:v>178.9628289105332</c:v>
                      </c:pt>
                      <c:pt idx="26">
                        <c:v>179.29746034635443</c:v>
                      </c:pt>
                      <c:pt idx="27">
                        <c:v>179.62796099835083</c:v>
                      </c:pt>
                      <c:pt idx="28">
                        <c:v>179.95439744332839</c:v>
                      </c:pt>
                      <c:pt idx="29">
                        <c:v>180.27683587653797</c:v>
                      </c:pt>
                      <c:pt idx="30">
                        <c:v>180.59534201127971</c:v>
                      </c:pt>
                      <c:pt idx="31">
                        <c:v>180.90998099245888</c:v>
                      </c:pt>
                      <c:pt idx="32">
                        <c:v>181.22081732248907</c:v>
                      </c:pt>
                      <c:pt idx="33">
                        <c:v>181.52791479812421</c:v>
                      </c:pt>
                      <c:pt idx="34">
                        <c:v>181.83133645696265</c:v>
                      </c:pt>
                      <c:pt idx="35">
                        <c:v>182.13114453251023</c:v>
                      </c:pt>
                      <c:pt idx="36">
                        <c:v>182.42740041681526</c:v>
                      </c:pt>
                      <c:pt idx="37">
                        <c:v>182.72016462979971</c:v>
                      </c:pt>
                      <c:pt idx="38">
                        <c:v>183.00949679450861</c:v>
                      </c:pt>
                      <c:pt idx="39">
                        <c:v>183.29545561758775</c:v>
                      </c:pt>
                      <c:pt idx="40">
                        <c:v>183.57809887437458</c:v>
                      </c:pt>
                      <c:pt idx="41">
                        <c:v>183.85748339805806</c:v>
                      </c:pt>
                      <c:pt idx="42">
                        <c:v>184.13366507242043</c:v>
                      </c:pt>
                      <c:pt idx="43">
                        <c:v>184.40669882773</c:v>
                      </c:pt>
                      <c:pt idx="44">
                        <c:v>184.67663863939933</c:v>
                      </c:pt>
                      <c:pt idx="45">
                        <c:v>184.94353752906744</c:v>
                      </c:pt>
                      <c:pt idx="46">
                        <c:v>185.20744756780044</c:v>
                      </c:pt>
                      <c:pt idx="47">
                        <c:v>185.46841988113945</c:v>
                      </c:pt>
                      <c:pt idx="48">
                        <c:v>185.72650465575367</c:v>
                      </c:pt>
                      <c:pt idx="49">
                        <c:v>185.98175114748329</c:v>
                      </c:pt>
                      <c:pt idx="50">
                        <c:v>186.23420769058109</c:v>
                      </c:pt>
                      <c:pt idx="51">
                        <c:v>186.48392170798058</c:v>
                      </c:pt>
                      <c:pt idx="52">
                        <c:v>186.73093972244004</c:v>
                      </c:pt>
                      <c:pt idx="53">
                        <c:v>186.97530736842663</c:v>
                      </c:pt>
                      <c:pt idx="54">
                        <c:v>187.21706940462008</c:v>
                      </c:pt>
                      <c:pt idx="55">
                        <c:v>187.45626972692935</c:v>
                      </c:pt>
                      <c:pt idx="56">
                        <c:v>187.69295138192712</c:v>
                      </c:pt>
                      <c:pt idx="57">
                        <c:v>187.92715658061812</c:v>
                      </c:pt>
                      <c:pt idx="58">
                        <c:v>188.15892671246556</c:v>
                      </c:pt>
                      <c:pt idx="59">
                        <c:v>188.38830235961095</c:v>
                      </c:pt>
                      <c:pt idx="60">
                        <c:v>188.61532331122723</c:v>
                      </c:pt>
                      <c:pt idx="61">
                        <c:v>188.84002857795468</c:v>
                      </c:pt>
                      <c:pt idx="62">
                        <c:v>189.06245640637295</c:v>
                      </c:pt>
                      <c:pt idx="63">
                        <c:v>189.28264429346993</c:v>
                      </c:pt>
                      <c:pt idx="64">
                        <c:v>189.50062900107164</c:v>
                      </c:pt>
                      <c:pt idx="65">
                        <c:v>189.71644657020298</c:v>
                      </c:pt>
                      <c:pt idx="66">
                        <c:v>189.93013233535089</c:v>
                      </c:pt>
                      <c:pt idx="67">
                        <c:v>190.14172093860901</c:v>
                      </c:pt>
                      <c:pt idx="68">
                        <c:v>190.35124634368094</c:v>
                      </c:pt>
                      <c:pt idx="69">
                        <c:v>190.5587418497262</c:v>
                      </c:pt>
                      <c:pt idx="70">
                        <c:v>190.76424010503374</c:v>
                      </c:pt>
                      <c:pt idx="71">
                        <c:v>190.96777312050995</c:v>
                      </c:pt>
                      <c:pt idx="72">
                        <c:v>191.16937228297053</c:v>
                      </c:pt>
                      <c:pt idx="73">
                        <c:v>191.36906836822763</c:v>
                      </c:pt>
                      <c:pt idx="74">
                        <c:v>191.56689155396458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B-6628-422E-8E49-78E3FDB88388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Сравнение!$G$48</c15:sqref>
                        </c15:formulaRef>
                      </c:ext>
                    </c:extLst>
                    <c:strCache>
                      <c:ptCount val="1"/>
                      <c:pt idx="0">
                        <c:v>0: Cp(T) J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Сравнение!$G$49:$G$123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25.400462222222227</c:v>
                      </c:pt>
                      <c:pt idx="1">
                        <c:v>25.569136258115996</c:v>
                      </c:pt>
                      <c:pt idx="2">
                        <c:v>25.724648180270396</c:v>
                      </c:pt>
                      <c:pt idx="3">
                        <c:v>25.867907955706659</c:v>
                      </c:pt>
                      <c:pt idx="4">
                        <c:v>25.999749731853903</c:v>
                      </c:pt>
                      <c:pt idx="5">
                        <c:v>26.120939292983792</c:v>
                      </c:pt>
                      <c:pt idx="6">
                        <c:v>26.232180674944452</c:v>
                      </c:pt>
                      <c:pt idx="7">
                        <c:v>26.334122045054787</c:v>
                      </c:pt>
                      <c:pt idx="8">
                        <c:v>26.427360938996188</c:v>
                      </c:pt>
                      <c:pt idx="9">
                        <c:v>26.512448933825301</c:v>
                      </c:pt>
                      <c:pt idx="10">
                        <c:v>26.589895825444493</c:v>
                      </c:pt>
                      <c:pt idx="11">
                        <c:v>26.66017336968855</c:v>
                      </c:pt>
                      <c:pt idx="12">
                        <c:v>26.723718638358083</c:v>
                      </c:pt>
                      <c:pt idx="13">
                        <c:v>26.780937034836015</c:v>
                      </c:pt>
                      <c:pt idx="14">
                        <c:v>26.832205008185689</c:v>
                      </c:pt>
                      <c:pt idx="15">
                        <c:v>26.877872499698999</c:v>
                      </c:pt>
                      <c:pt idx="16">
                        <c:v>26.918265151617913</c:v>
                      </c:pt>
                      <c:pt idx="17">
                        <c:v>26.953686304088581</c:v>
                      </c:pt>
                      <c:pt idx="18">
                        <c:v>26.984418803238558</c:v>
                      </c:pt>
                      <c:pt idx="19">
                        <c:v>27.010726640521106</c:v>
                      </c:pt>
                      <c:pt idx="20">
                        <c:v>27.032856441085581</c:v>
                      </c:pt>
                      <c:pt idx="21">
                        <c:v>27.051038816857329</c:v>
                      </c:pt>
                      <c:pt idx="22">
                        <c:v>27.065489598201292</c:v>
                      </c:pt>
                      <c:pt idx="23">
                        <c:v>27.076410956463079</c:v>
                      </c:pt>
                      <c:pt idx="24">
                        <c:v>27.083992428298334</c:v>
                      </c:pt>
                      <c:pt idx="25">
                        <c:v>27.088411851489312</c:v>
                      </c:pt>
                      <c:pt idx="26">
                        <c:v>27.089836220882873</c:v>
                      </c:pt>
                      <c:pt idx="27">
                        <c:v>27.088422472148277</c:v>
                      </c:pt>
                      <c:pt idx="28">
                        <c:v>27.084318200228235</c:v>
                      </c:pt>
                      <c:pt idx="29">
                        <c:v>27.077662318629137</c:v>
                      </c:pt>
                      <c:pt idx="30">
                        <c:v>27.068585665053135</c:v>
                      </c:pt>
                      <c:pt idx="31">
                        <c:v>27.05721155830572</c:v>
                      </c:pt>
                      <c:pt idx="32">
                        <c:v>27.043656310907707</c:v>
                      </c:pt>
                      <c:pt idx="33">
                        <c:v>27.028029701393127</c:v>
                      </c:pt>
                      <c:pt idx="34">
                        <c:v>27.010435409875804</c:v>
                      </c:pt>
                      <c:pt idx="35">
                        <c:v>26.990971420113745</c:v>
                      </c:pt>
                      <c:pt idx="36">
                        <c:v>26.969730390984115</c:v>
                      </c:pt>
                      <c:pt idx="37">
                        <c:v>26.946800000000007</c:v>
                      </c:pt>
                      <c:pt idx="38">
                        <c:v>26.92226326124813</c:v>
                      </c:pt>
                      <c:pt idx="39">
                        <c:v>26.896198819901389</c:v>
                      </c:pt>
                      <c:pt idx="40">
                        <c:v>26.868681225258118</c:v>
                      </c:pt>
                      <c:pt idx="41">
                        <c:v>26.839781184078934</c:v>
                      </c:pt>
                      <c:pt idx="42">
                        <c:v>26.809565795829414</c:v>
                      </c:pt>
                      <c:pt idx="43">
                        <c:v>26.778098771290637</c:v>
                      </c:pt>
                      <c:pt idx="44">
                        <c:v>26.745440635867986</c:v>
                      </c:pt>
                      <c:pt idx="45">
                        <c:v>26.711648918810251</c:v>
                      </c:pt>
                      <c:pt idx="46">
                        <c:v>26.67677832944398</c:v>
                      </c:pt>
                      <c:pt idx="47">
                        <c:v>26.640880921431421</c:v>
                      </c:pt>
                      <c:pt idx="48">
                        <c:v>26.604006245973491</c:v>
                      </c:pt>
                      <c:pt idx="49">
                        <c:v>26.566201494799706</c:v>
                      </c:pt>
                      <c:pt idx="50">
                        <c:v>26.527511633716109</c:v>
                      </c:pt>
                      <c:pt idx="51">
                        <c:v>26.48797952741678</c:v>
                      </c:pt>
                      <c:pt idx="52">
                        <c:v>26.447646056206327</c:v>
                      </c:pt>
                      <c:pt idx="53">
                        <c:v>26.406550225226805</c:v>
                      </c:pt>
                      <c:pt idx="54">
                        <c:v>26.364729266734237</c:v>
                      </c:pt>
                      <c:pt idx="55">
                        <c:v>26.322218735925635</c:v>
                      </c:pt>
                      <c:pt idx="56">
                        <c:v>26.279052600777145</c:v>
                      </c:pt>
                      <c:pt idx="57">
                        <c:v>26.235263326317305</c:v>
                      </c:pt>
                      <c:pt idx="58">
                        <c:v>26.190881953725917</c:v>
                      </c:pt>
                      <c:pt idx="59">
                        <c:v>26.145938174618411</c:v>
                      </c:pt>
                      <c:pt idx="60">
                        <c:v>26.100460400847851</c:v>
                      </c:pt>
                      <c:pt idx="61">
                        <c:v>26.054475830130819</c:v>
                      </c:pt>
                      <c:pt idx="62">
                        <c:v>26.008010507780604</c:v>
                      </c:pt>
                      <c:pt idx="63">
                        <c:v>25.961089384809053</c:v>
                      </c:pt>
                      <c:pt idx="64">
                        <c:v>25.913736372639374</c:v>
                      </c:pt>
                      <c:pt idx="65">
                        <c:v>25.865974394653929</c:v>
                      </c:pt>
                      <c:pt idx="66">
                        <c:v>25.817825434784382</c:v>
                      </c:pt>
                      <c:pt idx="67">
                        <c:v>25.769310583336804</c:v>
                      </c:pt>
                      <c:pt idx="68">
                        <c:v>25.720450080229927</c:v>
                      </c:pt>
                      <c:pt idx="69">
                        <c:v>25.671263355812169</c:v>
                      </c:pt>
                      <c:pt idx="70">
                        <c:v>25.621769069411151</c:v>
                      </c:pt>
                      <c:pt idx="71">
                        <c:v>25.571985145758525</c:v>
                      </c:pt>
                      <c:pt idx="72">
                        <c:v>25.521928809422903</c:v>
                      </c:pt>
                      <c:pt idx="73">
                        <c:v>25.471616617374433</c:v>
                      </c:pt>
                      <c:pt idx="74">
                        <c:v>25.421064489795913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C-6628-422E-8E49-78E3FDB88388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Сравнение!$K$48</c15:sqref>
                        </c15:formulaRef>
                      </c:ext>
                    </c:extLst>
                    <c:strCache>
                      <c:ptCount val="1"/>
                      <c:pt idx="0">
                        <c:v>1: Cp(T) J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Сравнение!$B$49:$B$123</c15:sqref>
                        </c15:formulaRef>
                      </c:ext>
                    </c:extLst>
                    <c:numCache>
                      <c:formatCode>0.0</c:formatCode>
                      <c:ptCount val="75"/>
                      <c:pt idx="0">
                        <c:v>300</c:v>
                      </c:pt>
                      <c:pt idx="1">
                        <c:v>305.40540540540542</c:v>
                      </c:pt>
                      <c:pt idx="2">
                        <c:v>310.81081081081084</c:v>
                      </c:pt>
                      <c:pt idx="3">
                        <c:v>316.21621621621625</c:v>
                      </c:pt>
                      <c:pt idx="4">
                        <c:v>321.62162162162167</c:v>
                      </c:pt>
                      <c:pt idx="5">
                        <c:v>327.02702702702709</c:v>
                      </c:pt>
                      <c:pt idx="6">
                        <c:v>332.43243243243251</c:v>
                      </c:pt>
                      <c:pt idx="7">
                        <c:v>337.83783783783792</c:v>
                      </c:pt>
                      <c:pt idx="8">
                        <c:v>343.24324324324334</c:v>
                      </c:pt>
                      <c:pt idx="9">
                        <c:v>348.64864864864876</c:v>
                      </c:pt>
                      <c:pt idx="10">
                        <c:v>354.05405405405418</c:v>
                      </c:pt>
                      <c:pt idx="11">
                        <c:v>359.45945945945959</c:v>
                      </c:pt>
                      <c:pt idx="12">
                        <c:v>364.86486486486501</c:v>
                      </c:pt>
                      <c:pt idx="13">
                        <c:v>370.27027027027043</c:v>
                      </c:pt>
                      <c:pt idx="14">
                        <c:v>375.67567567567585</c:v>
                      </c:pt>
                      <c:pt idx="15">
                        <c:v>381.08108108108127</c:v>
                      </c:pt>
                      <c:pt idx="16">
                        <c:v>386.48648648648668</c:v>
                      </c:pt>
                      <c:pt idx="17">
                        <c:v>391.8918918918921</c:v>
                      </c:pt>
                      <c:pt idx="18">
                        <c:v>397.29729729729752</c:v>
                      </c:pt>
                      <c:pt idx="19">
                        <c:v>402.70270270270294</c:v>
                      </c:pt>
                      <c:pt idx="20">
                        <c:v>408.10810810810835</c:v>
                      </c:pt>
                      <c:pt idx="21">
                        <c:v>413.51351351351377</c:v>
                      </c:pt>
                      <c:pt idx="22">
                        <c:v>418.91891891891919</c:v>
                      </c:pt>
                      <c:pt idx="23">
                        <c:v>424.32432432432461</c:v>
                      </c:pt>
                      <c:pt idx="24">
                        <c:v>429.72972972973002</c:v>
                      </c:pt>
                      <c:pt idx="25">
                        <c:v>435.13513513513544</c:v>
                      </c:pt>
                      <c:pt idx="26">
                        <c:v>440.54054054054086</c:v>
                      </c:pt>
                      <c:pt idx="27">
                        <c:v>445.94594594594628</c:v>
                      </c:pt>
                      <c:pt idx="28">
                        <c:v>451.3513513513517</c:v>
                      </c:pt>
                      <c:pt idx="29">
                        <c:v>456.75675675675711</c:v>
                      </c:pt>
                      <c:pt idx="30">
                        <c:v>462.16216216216253</c:v>
                      </c:pt>
                      <c:pt idx="31">
                        <c:v>467.56756756756795</c:v>
                      </c:pt>
                      <c:pt idx="32">
                        <c:v>472.97297297297337</c:v>
                      </c:pt>
                      <c:pt idx="33">
                        <c:v>478.37837837837878</c:v>
                      </c:pt>
                      <c:pt idx="34">
                        <c:v>483.7837837837842</c:v>
                      </c:pt>
                      <c:pt idx="35">
                        <c:v>489.18918918918962</c:v>
                      </c:pt>
                      <c:pt idx="36">
                        <c:v>494.59459459459504</c:v>
                      </c:pt>
                      <c:pt idx="37">
                        <c:v>500.00000000000045</c:v>
                      </c:pt>
                      <c:pt idx="38">
                        <c:v>505.40540540540587</c:v>
                      </c:pt>
                      <c:pt idx="39">
                        <c:v>510.81081081081129</c:v>
                      </c:pt>
                      <c:pt idx="40">
                        <c:v>516.21621621621671</c:v>
                      </c:pt>
                      <c:pt idx="41">
                        <c:v>521.62162162162213</c:v>
                      </c:pt>
                      <c:pt idx="42">
                        <c:v>527.02702702702754</c:v>
                      </c:pt>
                      <c:pt idx="43">
                        <c:v>532.43243243243296</c:v>
                      </c:pt>
                      <c:pt idx="44">
                        <c:v>537.83783783783838</c:v>
                      </c:pt>
                      <c:pt idx="45">
                        <c:v>543.2432432432438</c:v>
                      </c:pt>
                      <c:pt idx="46">
                        <c:v>548.64864864864921</c:v>
                      </c:pt>
                      <c:pt idx="47">
                        <c:v>554.05405405405463</c:v>
                      </c:pt>
                      <c:pt idx="48">
                        <c:v>559.45945945946005</c:v>
                      </c:pt>
                      <c:pt idx="49">
                        <c:v>564.86486486486547</c:v>
                      </c:pt>
                      <c:pt idx="50">
                        <c:v>570.27027027027088</c:v>
                      </c:pt>
                      <c:pt idx="51">
                        <c:v>575.6756756756763</c:v>
                      </c:pt>
                      <c:pt idx="52">
                        <c:v>581.08108108108172</c:v>
                      </c:pt>
                      <c:pt idx="53">
                        <c:v>586.48648648648714</c:v>
                      </c:pt>
                      <c:pt idx="54">
                        <c:v>591.89189189189256</c:v>
                      </c:pt>
                      <c:pt idx="55">
                        <c:v>597.29729729729797</c:v>
                      </c:pt>
                      <c:pt idx="56">
                        <c:v>602.70270270270339</c:v>
                      </c:pt>
                      <c:pt idx="57">
                        <c:v>608.10810810810881</c:v>
                      </c:pt>
                      <c:pt idx="58">
                        <c:v>613.51351351351423</c:v>
                      </c:pt>
                      <c:pt idx="59">
                        <c:v>618.91891891891964</c:v>
                      </c:pt>
                      <c:pt idx="60">
                        <c:v>624.32432432432506</c:v>
                      </c:pt>
                      <c:pt idx="61">
                        <c:v>629.72972972973048</c:v>
                      </c:pt>
                      <c:pt idx="62">
                        <c:v>635.1351351351359</c:v>
                      </c:pt>
                      <c:pt idx="63">
                        <c:v>640.54054054054131</c:v>
                      </c:pt>
                      <c:pt idx="64">
                        <c:v>645.94594594594673</c:v>
                      </c:pt>
                      <c:pt idx="65">
                        <c:v>651.35135135135215</c:v>
                      </c:pt>
                      <c:pt idx="66">
                        <c:v>656.75675675675757</c:v>
                      </c:pt>
                      <c:pt idx="67">
                        <c:v>662.16216216216299</c:v>
                      </c:pt>
                      <c:pt idx="68">
                        <c:v>667.5675675675684</c:v>
                      </c:pt>
                      <c:pt idx="69">
                        <c:v>672.97297297297382</c:v>
                      </c:pt>
                      <c:pt idx="70">
                        <c:v>678.37837837837924</c:v>
                      </c:pt>
                      <c:pt idx="71">
                        <c:v>683.78378378378466</c:v>
                      </c:pt>
                      <c:pt idx="72">
                        <c:v>689.18918918919007</c:v>
                      </c:pt>
                      <c:pt idx="73">
                        <c:v>694.59459459459549</c:v>
                      </c:pt>
                      <c:pt idx="74">
                        <c:v>700.00000000000091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Сравнение!$K$49:$K$123</c15:sqref>
                        </c15:formulaRef>
                      </c:ext>
                    </c:extLst>
                    <c:numCache>
                      <c:formatCode>#,##0.00</c:formatCode>
                      <c:ptCount val="75"/>
                      <c:pt idx="0">
                        <c:v>25.390812164789015</c:v>
                      </c:pt>
                      <c:pt idx="1">
                        <c:v>25.572984882136144</c:v>
                      </c:pt>
                      <c:pt idx="2">
                        <c:v>25.740042429181091</c:v>
                      </c:pt>
                      <c:pt idx="3">
                        <c:v>25.893073454633495</c:v>
                      </c:pt>
                      <c:pt idx="4">
                        <c:v>26.033075538712975</c:v>
                      </c:pt>
                      <c:pt idx="5">
                        <c:v>26.160964149227897</c:v>
                      </c:pt>
                      <c:pt idx="6">
                        <c:v>26.277580586670016</c:v>
                      </c:pt>
                      <c:pt idx="7">
                        <c:v>26.383699046677915</c:v>
                      </c:pt>
                      <c:pt idx="8">
                        <c:v>26.480032910176561</c:v>
                      </c:pt>
                      <c:pt idx="9">
                        <c:v>26.567240356230286</c:v>
                      </c:pt>
                      <c:pt idx="10">
                        <c:v>26.645929379689427</c:v>
                      </c:pt>
                      <c:pt idx="11">
                        <c:v>26.716662284687462</c:v>
                      </c:pt>
                      <c:pt idx="12">
                        <c:v>26.77995971564259</c:v>
                      </c:pt>
                      <c:pt idx="13">
                        <c:v>26.836304279377426</c:v>
                      </c:pt>
                      <c:pt idx="14">
                        <c:v>26.88614380507871</c:v>
                      </c:pt>
                      <c:pt idx="15">
                        <c:v>26.929894282897255</c:v>
                      </c:pt>
                      <c:pt idx="16">
                        <c:v>26.967942516889263</c:v>
                      </c:pt>
                      <c:pt idx="17">
                        <c:v>27.000648523599509</c:v>
                      </c:pt>
                      <c:pt idx="18">
                        <c:v>27.028347703780479</c:v>
                      </c:pt>
                      <c:pt idx="19">
                        <c:v>27.051352811443</c:v>
                      </c:pt>
                      <c:pt idx="20">
                        <c:v>27.06995574156883</c:v>
                      </c:pt>
                      <c:pt idx="21">
                        <c:v>27.084429155323079</c:v>
                      </c:pt>
                      <c:pt idx="22">
                        <c:v>27.095027959431064</c:v>
                      </c:pt>
                      <c:pt idx="23">
                        <c:v>27.101990654485657</c:v>
                      </c:pt>
                      <c:pt idx="24">
                        <c:v>27.105540565290685</c:v>
                      </c:pt>
                      <c:pt idx="25">
                        <c:v>27.10588696488967</c:v>
                      </c:pt>
                      <c:pt idx="26">
                        <c:v>27.103226102650762</c:v>
                      </c:pt>
                      <c:pt idx="27">
                        <c:v>27.097742145654536</c:v>
                      </c:pt>
                      <c:pt idx="28">
                        <c:v>27.08960804164052</c:v>
                      </c:pt>
                      <c:pt idx="29">
                        <c:v>27.078986310894386</c:v>
                      </c:pt>
                      <c:pt idx="30">
                        <c:v>27.066029773685276</c:v>
                      </c:pt>
                      <c:pt idx="31">
                        <c:v>27.050882219179027</c:v>
                      </c:pt>
                      <c:pt idx="32">
                        <c:v>27.033679021147215</c:v>
                      </c:pt>
                      <c:pt idx="33">
                        <c:v>27.014547705253815</c:v>
                      </c:pt>
                      <c:pt idx="34">
                        <c:v>26.993608472223421</c:v>
                      </c:pt>
                      <c:pt idx="35">
                        <c:v>26.970974680769096</c:v>
                      </c:pt>
                      <c:pt idx="36">
                        <c:v>26.946753293778688</c:v>
                      </c:pt>
                      <c:pt idx="37">
                        <c:v>26.921045290919995</c:v>
                      </c:pt>
                      <c:pt idx="38">
                        <c:v>26.893946050522345</c:v>
                      </c:pt>
                      <c:pt idx="39">
                        <c:v>26.865545703321729</c:v>
                      </c:pt>
                      <c:pt idx="40">
                        <c:v>26.835929460413976</c:v>
                      </c:pt>
                      <c:pt idx="41">
                        <c:v>26.805177917542874</c:v>
                      </c:pt>
                      <c:pt idx="42">
                        <c:v>26.773367337655099</c:v>
                      </c:pt>
                      <c:pt idx="43">
                        <c:v>26.740569913477803</c:v>
                      </c:pt>
                      <c:pt idx="44">
                        <c:v>26.70685401171713</c:v>
                      </c:pt>
                      <c:pt idx="45">
                        <c:v>26.672284400333176</c:v>
                      </c:pt>
                      <c:pt idx="46">
                        <c:v>26.63692246021871</c:v>
                      </c:pt>
                      <c:pt idx="47">
                        <c:v>26.600826382492894</c:v>
                      </c:pt>
                      <c:pt idx="48">
                        <c:v>26.564051352516465</c:v>
                      </c:pt>
                      <c:pt idx="49">
                        <c:v>26.526649721639995</c:v>
                      </c:pt>
                      <c:pt idx="50">
                        <c:v>26.488671167610981</c:v>
                      </c:pt>
                      <c:pt idx="51">
                        <c:v>26.450162844487668</c:v>
                      </c:pt>
                      <c:pt idx="52">
                        <c:v>26.411169522836783</c:v>
                      </c:pt>
                      <c:pt idx="53">
                        <c:v>26.371733720928312</c:v>
                      </c:pt>
                      <c:pt idx="54">
                        <c:v>26.331895827581903</c:v>
                      </c:pt>
                      <c:pt idx="55">
                        <c:v>26.291694217266702</c:v>
                      </c:pt>
                      <c:pt idx="56">
                        <c:v>26.251165358007896</c:v>
                      </c:pt>
                      <c:pt idx="57">
                        <c:v>26.210343912608966</c:v>
                      </c:pt>
                      <c:pt idx="58">
                        <c:v>26.169262833659086</c:v>
                      </c:pt>
                      <c:pt idx="59">
                        <c:v>26.127953452757552</c:v>
                      </c:pt>
                      <c:pt idx="60">
                        <c:v>26.086445564354449</c:v>
                      </c:pt>
                      <c:pt idx="61">
                        <c:v>26.04476750457528</c:v>
                      </c:pt>
                      <c:pt idx="62">
                        <c:v>26.002946225369939</c:v>
                      </c:pt>
                      <c:pt idx="63">
                        <c:v>25.961007364300102</c:v>
                      </c:pt>
                      <c:pt idx="64">
                        <c:v>25.918975310255917</c:v>
                      </c:pt>
                      <c:pt idx="65">
                        <c:v>25.876873265371049</c:v>
                      </c:pt>
                      <c:pt idx="66">
                        <c:v>25.834723303385442</c:v>
                      </c:pt>
                      <c:pt idx="67">
                        <c:v>25.792546424686716</c:v>
                      </c:pt>
                      <c:pt idx="68">
                        <c:v>25.750362608244551</c:v>
                      </c:pt>
                      <c:pt idx="69">
                        <c:v>25.708190860636869</c:v>
                      </c:pt>
                      <c:pt idx="70">
                        <c:v>25.666049262352477</c:v>
                      </c:pt>
                      <c:pt idx="71">
                        <c:v>25.623955011541689</c:v>
                      </c:pt>
                      <c:pt idx="72">
                        <c:v>25.58192446537441</c:v>
                      </c:pt>
                      <c:pt idx="73">
                        <c:v>25.539973179154106</c:v>
                      </c:pt>
                      <c:pt idx="74">
                        <c:v>25.498115943325768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D-6628-422E-8E49-78E3FDB88388}"/>
                  </c:ext>
                </c:extLst>
              </c15:ser>
            </c15:filteredScatterSeries>
          </c:ext>
        </c:extLst>
      </c:scatterChart>
      <c:valAx>
        <c:axId val="512665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\K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304"/>
        <c:crosses val="autoZero"/>
        <c:crossBetween val="midCat"/>
      </c:valAx>
      <c:valAx>
        <c:axId val="5126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Dot"/>
              <a:round/>
            </a:ln>
            <a:effectLst/>
          </c:spPr>
        </c:majorGridlines>
        <c:numFmt formatCode="0.00\ \k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25000"/>
              </a:schemeClr>
            </a:solidFill>
            <a:prstDash val="solid"/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5872"/>
        <c:crosses val="autoZero"/>
        <c:crossBetween val="midCat"/>
        <c:minorUnit val="5"/>
      </c:valAx>
      <c:valAx>
        <c:axId val="5126662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bg2">
                  <a:lumMod val="90000"/>
                </a:schemeClr>
              </a:solidFill>
              <a:prstDash val="solid"/>
              <a:round/>
            </a:ln>
            <a:effectLst/>
          </c:spPr>
        </c:majorGridlines>
        <c:numFmt formatCode="0.00\ \J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bg2">
                <a:lumMod val="90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2664696"/>
        <c:crosses val="max"/>
        <c:crossBetween val="midCat"/>
      </c:valAx>
      <c:valAx>
        <c:axId val="51266469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512666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517321953994069"/>
          <c:y val="0.11651912442983461"/>
          <c:w val="6.9756410861727805E-2"/>
          <c:h val="0.101959223806680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0</xdr:row>
          <xdr:rowOff>66675</xdr:rowOff>
        </xdr:from>
        <xdr:to>
          <xdr:col>17</xdr:col>
          <xdr:colOff>885825</xdr:colOff>
          <xdr:row>7</xdr:row>
          <xdr:rowOff>38100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3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0</xdr:row>
          <xdr:rowOff>66675</xdr:rowOff>
        </xdr:from>
        <xdr:to>
          <xdr:col>17</xdr:col>
          <xdr:colOff>885825</xdr:colOff>
          <xdr:row>7</xdr:row>
          <xdr:rowOff>38100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:a16="http://schemas.microsoft.com/office/drawing/2014/main" id="{00000000-0008-0000-05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Сортировка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158522</xdr:colOff>
      <xdr:row>15</xdr:row>
      <xdr:rowOff>9525</xdr:rowOff>
    </xdr:from>
    <xdr:to>
      <xdr:col>13</xdr:col>
      <xdr:colOff>564015</xdr:colOff>
      <xdr:row>33</xdr:row>
      <xdr:rowOff>85725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95250</xdr:colOff>
      <xdr:row>12</xdr:row>
      <xdr:rowOff>55471</xdr:rowOff>
    </xdr:from>
    <xdr:to>
      <xdr:col>13</xdr:col>
      <xdr:colOff>911719</xdr:colOff>
      <xdr:row>14</xdr:row>
      <xdr:rowOff>210493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250" y="3820647"/>
          <a:ext cx="15641851" cy="78255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C6BC67-A300-4141-9BC0-5086BA0B56D1}" name="Таблица1" displayName="Таблица1" ref="C1:P60" totalsRowShown="0" headerRowDxfId="27" tableBorderDxfId="26" headerRowCellStyle="Заголовок">
  <autoFilter ref="C1:P60" xr:uid="{00000000-0009-0000-0000-000003000000}">
    <filterColumn colId="0">
      <filters>
        <filter val="Ga"/>
      </filters>
    </filterColumn>
  </autoFilter>
  <sortState xmlns:xlrd2="http://schemas.microsoft.com/office/spreadsheetml/2017/richdata2" ref="C2:P60">
    <sortCondition ref="C2:C60"/>
    <sortCondition ref="D2:D60"/>
    <sortCondition ref="E2:E60"/>
  </sortState>
  <tableColumns count="14">
    <tableColumn id="1" xr3:uid="{2CE18476-37B3-4E1C-A659-3A5A7979A99D}" name="Названиe"/>
    <tableColumn id="2" xr3:uid="{F2BE9602-0131-4AD5-9A78-26C622F05506}" name="Фаза             if &quot;?&quot; =&gt; not &quot;g&quot;"/>
    <tableColumn id="3" xr3:uid="{61067926-4E79-47BD-97D7-1F6533F7E67A}" name="To"/>
    <tableColumn id="4" xr3:uid="{D0D8578D-409F-41F8-B292-F9AEB92ABCE5}" name="T"/>
    <tableColumn id="5" xr3:uid="{A6F36F03-258F-4812-ACAE-1E960CEA5058}" name="ho"/>
    <tableColumn id="6" xr3:uid="{4545C3FE-5692-483F-8052-0F5E66E17B53}" name="ф1"/>
    <tableColumn id="7" xr3:uid="{57F40F00-D4D2-4ACA-925D-C53DEC83478A}" name="ф2 *lnX"/>
    <tableColumn id="8" xr3:uid="{1AEECC05-D683-4F86-8013-77AC54EEFEE4}" name="ф3 *X^(-2)"/>
    <tableColumn id="9" xr3:uid="{313C9E56-E27C-44AC-8B1B-434720F55376}" name="ф4 *X^(-1)"/>
    <tableColumn id="10" xr3:uid="{EF698810-42A7-46BA-87AC-3D84ED9AF407}" name="ф5 *X"/>
    <tableColumn id="11" xr3:uid="{315FE2D8-FF2D-45C9-A9CC-78D28E66BED9}" name="ф6 *X^2"/>
    <tableColumn id="12" xr3:uid="{144A1DB8-A954-440F-BBFD-AD3E11DC0F11}" name="ф7 *Х^3"/>
    <tableColumn id="13" xr3:uid="{407FF836-DCBB-4AC6-BE7A-F254F97DB6F8}" name="59"/>
    <tableColumn id="14" xr3:uid="{BA3B093B-5638-4A11-95CD-6D7776355877}" name="Мeтка            1 - добавить, 0 - удалить, * - удалено" dataDxfId="25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EC4C85-D1A0-498D-A439-4863EFCF8DFB}" name="Таблица2" displayName="Таблица2" ref="A2:L61" totalsRowShown="0" headerRowCellStyle="Данные" dataCellStyle="Данные">
  <autoFilter ref="A2:L61" xr:uid="{A63A2C33-3BE1-4A94-B0A0-D5FEABB0860B}"/>
  <sortState xmlns:xlrd2="http://schemas.microsoft.com/office/spreadsheetml/2017/richdata2" ref="A3:L61">
    <sortCondition ref="A3:A61"/>
    <sortCondition ref="B3:B61"/>
    <sortCondition ref="C3:C61"/>
  </sortState>
  <tableColumns count="12">
    <tableColumn id="1" xr3:uid="{3A3BC3BD-D297-444E-9DAB-65DBDFD360D1}" name="Вещество" dataCellStyle="Данные"/>
    <tableColumn id="2" xr3:uid="{6C7311AD-B598-4BFF-A1E4-B3939C77CB5E}" name="Фаза        " dataCellStyle="Данные"/>
    <tableColumn id="3" xr3:uid="{FB9F17EB-244F-46C2-AF19-19BD39184FB8}" name="To" dataDxfId="24" dataCellStyle="Данные"/>
    <tableColumn id="4" xr3:uid="{33C882E4-4A0A-4BB7-BAC0-D586B390A5B9}" name="T" dataDxfId="23" dataCellStyle="Данные"/>
    <tableColumn id="5" xr3:uid="{A4B59EA6-7B65-430F-91A8-A26FC14A21A8}" name="ho" dataDxfId="22" dataCellStyle="Данные"/>
    <tableColumn id="6" xr3:uid="{076F5DF0-417A-4D83-81FA-EC2915D7C2CF}" name="ф1" dataDxfId="21" dataCellStyle="Данные"/>
    <tableColumn id="7" xr3:uid="{9CF548EE-DF1A-4FC4-A0BF-33AA14D715B7}" name="ф2 *lnX" dataDxfId="20" dataCellStyle="Данные"/>
    <tableColumn id="8" xr3:uid="{61F6E1B4-6210-44AE-B037-11513327A42E}" name="ф3 *X^(-2)" dataDxfId="19" dataCellStyle="Данные"/>
    <tableColumn id="9" xr3:uid="{2CAF1CAA-6343-4C3F-8CE7-2D091A8EE398}" name="ф4 *X^(-1)" dataDxfId="18" dataCellStyle="Данные"/>
    <tableColumn id="10" xr3:uid="{FF6A4F40-AF1B-43CC-A729-20B4ED6366D1}" name="ф5 *X" dataDxfId="17" dataCellStyle="Данные"/>
    <tableColumn id="11" xr3:uid="{F0E7E697-BAB4-42E2-B60A-B357A4DD7C4B}" name="ф6 *X^2" dataDxfId="16" dataCellStyle="Данные"/>
    <tableColumn id="12" xr3:uid="{98235FEE-1F15-46B1-A6CF-71CD3045BAB7}" name="ф7 *Х^3" dataDxfId="15" dataCellStyle="Данные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E70714-A3EA-4DA8-BF4B-EA35BECCB83C}" name="Таблица3" displayName="Таблица3" ref="O2:Z65" totalsRowShown="0" tableBorderDxfId="14" headerRowCellStyle="Данные" dataCellStyle="Данные">
  <autoFilter ref="O2:Z65" xr:uid="{3785F57A-21C7-4F87-941D-A8BA4A877FF5}"/>
  <sortState xmlns:xlrd2="http://schemas.microsoft.com/office/spreadsheetml/2017/richdata2" ref="O3:Z65">
    <sortCondition ref="O3:O65"/>
    <sortCondition ref="P3:P65"/>
    <sortCondition ref="Q3:Q65"/>
  </sortState>
  <tableColumns count="12">
    <tableColumn id="1" xr3:uid="{225AFEA2-0CCD-4F7E-AB1E-EA92DB58DC61}" name="Вещество" dataCellStyle="Данные"/>
    <tableColumn id="2" xr3:uid="{12F0F509-AD92-45FB-95EF-BD564C08F41C}" name="Фаза" dataCellStyle="Данные"/>
    <tableColumn id="3" xr3:uid="{C5C1B823-BB6F-47C5-8F2E-EAE66BD249D3}" name="To" dataDxfId="13" dataCellStyle="Данные"/>
    <tableColumn id="4" xr3:uid="{54A71BD6-FC09-48A8-BC76-AD54C4BC71D4}" name="T" dataDxfId="12" dataCellStyle="Данные"/>
    <tableColumn id="5" xr3:uid="{DC1AC2BC-E9F5-49D1-816C-0406CDD00704}" name="ho" dataCellStyle="Данные"/>
    <tableColumn id="6" xr3:uid="{0E1D6A4B-DA7C-4984-ABED-CC51250C1F84}" name="ф1" dataCellStyle="Данные"/>
    <tableColumn id="7" xr3:uid="{6759C707-A6E9-4E87-A722-95376BC8B8D9}" name="ф2 *lnX" dataCellStyle="Данные"/>
    <tableColumn id="8" xr3:uid="{21BA498D-CA25-472B-9917-439218781C47}" name="ф3 *X^(-2)" dataCellStyle="Данные"/>
    <tableColumn id="9" xr3:uid="{FBA9F579-1C18-4370-AE55-AA3F30F84188}" name="ф4 *X^(-1)" dataCellStyle="Данные"/>
    <tableColumn id="10" xr3:uid="{3C1BD5AB-B490-41BF-BCA2-D4C29C3E7150}" name="ф5 *X" dataCellStyle="Данные"/>
    <tableColumn id="11" xr3:uid="{013DAA69-712F-40DA-A392-41E188314193}" name="ф6 *X^2" dataCellStyle="Данные"/>
    <tableColumn id="12" xr3:uid="{000D4E4B-E48C-476C-8728-9BFA4C4AB30D}" name="ф7 *Х^3" dataCellStyle="Данные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T93"/>
  <sheetViews>
    <sheetView topLeftCell="B43" zoomScaleNormal="100" workbookViewId="0">
      <selection activeCell="F13" sqref="F13"/>
    </sheetView>
  </sheetViews>
  <sheetFormatPr defaultRowHeight="21" outlineLevelCol="1" x14ac:dyDescent="0.35"/>
  <cols>
    <col min="1" max="1" width="10.7265625" bestFit="1" customWidth="1"/>
    <col min="2" max="2" width="7.6328125" style="3" customWidth="1"/>
    <col min="3" max="3" width="7.6328125" customWidth="1"/>
    <col min="4" max="4" width="11.26953125" customWidth="1"/>
    <col min="5" max="11" width="8.6328125" customWidth="1"/>
    <col min="12" max="18" width="8.7265625" customWidth="1" outlineLevel="1"/>
    <col min="20" max="20" width="2.26953125" style="181" customWidth="1"/>
  </cols>
  <sheetData>
    <row r="1" spans="1:20" ht="22.5" thickTop="1" thickBot="1" x14ac:dyDescent="0.4">
      <c r="A1" s="195">
        <v>8.3145000000000007</v>
      </c>
      <c r="B1" s="26" t="s">
        <v>84</v>
      </c>
      <c r="C1" s="26" t="s">
        <v>86</v>
      </c>
      <c r="D1" s="27" t="s">
        <v>85</v>
      </c>
      <c r="E1" s="25" t="s">
        <v>0</v>
      </c>
      <c r="F1" s="25" t="s">
        <v>1</v>
      </c>
      <c r="G1" s="25" t="s">
        <v>2</v>
      </c>
      <c r="H1" s="25" t="s">
        <v>3</v>
      </c>
      <c r="I1" s="25" t="s">
        <v>4</v>
      </c>
      <c r="J1" s="25" t="s">
        <v>5</v>
      </c>
      <c r="K1" s="25" t="s">
        <v>6</v>
      </c>
      <c r="L1" s="25" t="s">
        <v>7</v>
      </c>
      <c r="M1" s="25" t="s">
        <v>8</v>
      </c>
      <c r="N1" s="25" t="s">
        <v>9</v>
      </c>
      <c r="O1" s="25" t="s">
        <v>10</v>
      </c>
      <c r="P1" s="25" t="s">
        <v>11</v>
      </c>
      <c r="Q1" s="25" t="s">
        <v>12</v>
      </c>
      <c r="R1" s="25" t="s">
        <v>13</v>
      </c>
      <c r="S1" s="25" t="s">
        <v>14</v>
      </c>
      <c r="T1" s="189" t="s">
        <v>110</v>
      </c>
    </row>
    <row r="2" spans="1:20" ht="22.5" thickTop="1" thickBot="1" x14ac:dyDescent="0.4">
      <c r="A2" s="22" t="s">
        <v>28</v>
      </c>
      <c r="B2" s="23">
        <v>2327</v>
      </c>
      <c r="C2" s="24">
        <v>5400</v>
      </c>
      <c r="D2" s="19">
        <v>-1675.7</v>
      </c>
      <c r="E2" s="20">
        <v>415.72699999999998</v>
      </c>
      <c r="F2" s="20">
        <v>162.9</v>
      </c>
      <c r="G2" s="20">
        <v>0</v>
      </c>
      <c r="H2" s="20">
        <v>2.1899999999999999E-2</v>
      </c>
      <c r="I2" s="20">
        <v>0</v>
      </c>
      <c r="J2" s="20">
        <v>0</v>
      </c>
      <c r="K2" s="21">
        <v>0</v>
      </c>
      <c r="L2" s="16">
        <f>D2/10/A1</f>
        <v>-20.153947922304404</v>
      </c>
      <c r="M2" s="17">
        <f>E2/A1</f>
        <v>50.000240543628593</v>
      </c>
      <c r="N2" s="17">
        <f>F2/A1</f>
        <v>19.592278549521918</v>
      </c>
      <c r="O2" s="17">
        <f>G2/A1</f>
        <v>0</v>
      </c>
      <c r="P2" s="17">
        <f>H2/A1</f>
        <v>2.6339527331769798E-3</v>
      </c>
      <c r="Q2" s="17">
        <f>I2/A1</f>
        <v>0</v>
      </c>
      <c r="R2" s="17">
        <f>J2/A1</f>
        <v>0</v>
      </c>
      <c r="S2" s="18">
        <f>K2/A1</f>
        <v>0</v>
      </c>
      <c r="T2" s="181">
        <v>3</v>
      </c>
    </row>
    <row r="4" spans="1:20" s="130" customFormat="1" x14ac:dyDescent="0.35">
      <c r="T4" s="181"/>
    </row>
    <row r="5" spans="1:20" s="130" customFormat="1" x14ac:dyDescent="0.35">
      <c r="T5" s="181"/>
    </row>
    <row r="6" spans="1:20" s="130" customFormat="1" x14ac:dyDescent="0.35">
      <c r="T6" s="181"/>
    </row>
    <row r="7" spans="1:20" s="130" customFormat="1" x14ac:dyDescent="0.35">
      <c r="T7" s="181"/>
    </row>
    <row r="8" spans="1:20" s="130" customFormat="1" x14ac:dyDescent="0.35">
      <c r="T8" s="181"/>
    </row>
    <row r="9" spans="1:20" s="130" customFormat="1" x14ac:dyDescent="0.35">
      <c r="T9" s="181"/>
    </row>
    <row r="10" spans="1:20" s="130" customFormat="1" x14ac:dyDescent="0.35">
      <c r="T10" s="181"/>
    </row>
    <row r="11" spans="1:20" s="130" customFormat="1" x14ac:dyDescent="0.35">
      <c r="T11" s="181"/>
    </row>
    <row r="12" spans="1:20" s="130" customFormat="1" x14ac:dyDescent="0.35">
      <c r="T12" s="181"/>
    </row>
    <row r="13" spans="1:20" s="130" customFormat="1" x14ac:dyDescent="0.35">
      <c r="T13" s="181"/>
    </row>
    <row r="14" spans="1:20" s="130" customFormat="1" x14ac:dyDescent="0.35">
      <c r="T14" s="181"/>
    </row>
    <row r="15" spans="1:20" s="130" customFormat="1" x14ac:dyDescent="0.35">
      <c r="T15" s="181"/>
    </row>
    <row r="16" spans="1:20" s="130" customFormat="1" x14ac:dyDescent="0.35">
      <c r="T16" s="181"/>
    </row>
    <row r="17" spans="1:20" s="130" customFormat="1" x14ac:dyDescent="0.35">
      <c r="T17" s="181"/>
    </row>
    <row r="18" spans="1:20" s="130" customFormat="1" x14ac:dyDescent="0.35">
      <c r="T18" s="181"/>
    </row>
    <row r="19" spans="1:20" s="130" customFormat="1" x14ac:dyDescent="0.35">
      <c r="T19" s="181"/>
    </row>
    <row r="20" spans="1:20" s="130" customFormat="1" x14ac:dyDescent="0.35">
      <c r="T20" s="181"/>
    </row>
    <row r="21" spans="1:20" s="130" customFormat="1" x14ac:dyDescent="0.35">
      <c r="T21" s="181"/>
    </row>
    <row r="28" spans="1:20" ht="27" thickBot="1" x14ac:dyDescent="0.45">
      <c r="A28" s="570" t="s">
        <v>112</v>
      </c>
      <c r="B28" s="570"/>
      <c r="C28" s="570"/>
      <c r="D28" s="570"/>
      <c r="E28" s="570"/>
      <c r="F28" s="570"/>
      <c r="G28" s="570"/>
      <c r="H28" s="570"/>
      <c r="I28" s="570"/>
      <c r="J28" s="570"/>
      <c r="K28" s="570"/>
      <c r="L28" s="570"/>
      <c r="M28" s="570"/>
      <c r="N28" s="570"/>
      <c r="O28" s="570"/>
      <c r="P28" s="570"/>
      <c r="Q28" s="570"/>
      <c r="R28" s="570"/>
      <c r="S28" s="570"/>
      <c r="T28" s="570"/>
    </row>
    <row r="29" spans="1:20" ht="24.75" thickTop="1" thickBot="1" x14ac:dyDescent="0.4">
      <c r="A29" s="38" t="s">
        <v>38</v>
      </c>
      <c r="B29" s="39" t="s">
        <v>84</v>
      </c>
      <c r="C29" s="39" t="s">
        <v>86</v>
      </c>
      <c r="D29" s="39" t="s">
        <v>85</v>
      </c>
      <c r="E29" s="38" t="s">
        <v>0</v>
      </c>
      <c r="F29" s="38" t="s">
        <v>1</v>
      </c>
      <c r="G29" s="38" t="s">
        <v>2</v>
      </c>
      <c r="H29" s="38" t="s">
        <v>3</v>
      </c>
      <c r="I29" s="38" t="s">
        <v>4</v>
      </c>
      <c r="J29" s="38" t="s">
        <v>5</v>
      </c>
      <c r="K29" s="38" t="s">
        <v>6</v>
      </c>
      <c r="L29" s="38" t="s">
        <v>7</v>
      </c>
      <c r="M29" s="38" t="s">
        <v>8</v>
      </c>
      <c r="N29" s="38" t="s">
        <v>78</v>
      </c>
      <c r="O29" s="38" t="s">
        <v>79</v>
      </c>
      <c r="P29" s="38" t="s">
        <v>80</v>
      </c>
      <c r="Q29" s="38" t="s">
        <v>81</v>
      </c>
      <c r="R29" s="38" t="s">
        <v>82</v>
      </c>
      <c r="S29" s="38" t="s">
        <v>83</v>
      </c>
      <c r="T29" s="190" t="s">
        <v>110</v>
      </c>
    </row>
    <row r="30" spans="1:20" ht="21.75" thickTop="1" x14ac:dyDescent="0.35">
      <c r="A30" s="1" t="s">
        <v>15</v>
      </c>
      <c r="B30" s="44">
        <v>298</v>
      </c>
      <c r="C30" s="48">
        <v>553</v>
      </c>
      <c r="D30" s="2"/>
      <c r="E30" s="56"/>
      <c r="F30" s="2"/>
      <c r="G30" s="60"/>
      <c r="H30" s="2"/>
      <c r="I30" s="60"/>
      <c r="J30" s="2"/>
      <c r="K30" s="60"/>
      <c r="L30" s="52">
        <v>0</v>
      </c>
      <c r="M30" s="28">
        <v>15.302904564315352</v>
      </c>
      <c r="N30" s="52">
        <v>3.1309278970473269</v>
      </c>
      <c r="O30" s="28">
        <v>3.1078236815202352E-5</v>
      </c>
      <c r="P30" s="52">
        <v>8.5813939503277398E-3</v>
      </c>
      <c r="Q30" s="28">
        <v>-7.0912261711467917</v>
      </c>
      <c r="R30" s="52">
        <v>81.712670635636528</v>
      </c>
      <c r="S30" s="29">
        <v>0</v>
      </c>
      <c r="T30" s="181">
        <v>3</v>
      </c>
    </row>
    <row r="31" spans="1:20" ht="21.75" thickTop="1" x14ac:dyDescent="0.35">
      <c r="A31" s="30" t="s">
        <v>15</v>
      </c>
      <c r="B31" s="45">
        <v>553</v>
      </c>
      <c r="C31" s="49">
        <v>1033</v>
      </c>
      <c r="D31" s="31"/>
      <c r="E31" s="57"/>
      <c r="F31" s="31"/>
      <c r="G31" s="61"/>
      <c r="H31" s="31"/>
      <c r="I31" s="61"/>
      <c r="J31" s="31"/>
      <c r="K31" s="61"/>
      <c r="L31" s="53">
        <v>0</v>
      </c>
      <c r="M31" s="32">
        <v>28.54410968789464</v>
      </c>
      <c r="N31" s="53">
        <v>8.6997414155992541</v>
      </c>
      <c r="O31" s="32">
        <v>-3.2629743219676466E-3</v>
      </c>
      <c r="P31" s="53">
        <v>0.3292224427205484</v>
      </c>
      <c r="Q31" s="32">
        <v>-39.133321306151906</v>
      </c>
      <c r="R31" s="53">
        <v>60.271814300318717</v>
      </c>
      <c r="S31" s="33">
        <v>0</v>
      </c>
      <c r="T31" s="181">
        <v>3</v>
      </c>
    </row>
    <row r="32" spans="1:20" ht="21.75" thickTop="1" x14ac:dyDescent="0.35">
      <c r="A32" s="30" t="s">
        <v>15</v>
      </c>
      <c r="B32" s="45">
        <v>1033</v>
      </c>
      <c r="C32" s="49">
        <v>1097</v>
      </c>
      <c r="D32" s="31"/>
      <c r="E32" s="57"/>
      <c r="F32" s="31"/>
      <c r="G32" s="61"/>
      <c r="H32" s="31"/>
      <c r="I32" s="61"/>
      <c r="J32" s="31"/>
      <c r="K32" s="61"/>
      <c r="L32" s="53">
        <v>0</v>
      </c>
      <c r="M32" s="32">
        <v>17.357387696193395</v>
      </c>
      <c r="N32" s="53">
        <v>4.3418365506043655</v>
      </c>
      <c r="O32" s="32">
        <v>0</v>
      </c>
      <c r="P32" s="53">
        <v>7.9776294425401406E-2</v>
      </c>
      <c r="Q32" s="32">
        <v>0</v>
      </c>
      <c r="R32" s="53">
        <v>0</v>
      </c>
      <c r="S32" s="33">
        <v>0</v>
      </c>
      <c r="T32" s="181">
        <v>3</v>
      </c>
    </row>
    <row r="33" spans="1:20" ht="22.5" thickTop="1" thickBot="1" x14ac:dyDescent="0.4">
      <c r="A33" s="34" t="s">
        <v>15</v>
      </c>
      <c r="B33" s="46">
        <v>1097</v>
      </c>
      <c r="C33" s="50">
        <v>4000</v>
      </c>
      <c r="D33" s="35"/>
      <c r="E33" s="58"/>
      <c r="F33" s="35"/>
      <c r="G33" s="62"/>
      <c r="H33" s="35"/>
      <c r="I33" s="62"/>
      <c r="J33" s="35"/>
      <c r="K33" s="62"/>
      <c r="L33" s="54">
        <v>0</v>
      </c>
      <c r="M33" s="36">
        <v>18.29911600216489</v>
      </c>
      <c r="N33" s="54">
        <v>4.4260268206145881</v>
      </c>
      <c r="O33" s="36">
        <v>0</v>
      </c>
      <c r="P33" s="54">
        <v>3.1150399903782547E-3</v>
      </c>
      <c r="Q33" s="36">
        <v>0</v>
      </c>
      <c r="R33" s="54">
        <v>0</v>
      </c>
      <c r="S33" s="37">
        <v>0</v>
      </c>
      <c r="T33" s="181">
        <v>3</v>
      </c>
    </row>
    <row r="34" spans="1:20" ht="21.75" thickTop="1" x14ac:dyDescent="0.35">
      <c r="A34" s="1" t="s">
        <v>16</v>
      </c>
      <c r="B34" s="44">
        <v>298</v>
      </c>
      <c r="C34" s="48">
        <v>3200</v>
      </c>
      <c r="D34" s="2"/>
      <c r="E34" s="56"/>
      <c r="F34" s="2"/>
      <c r="G34" s="60"/>
      <c r="H34" s="2"/>
      <c r="I34" s="60"/>
      <c r="J34" s="2"/>
      <c r="K34" s="60"/>
      <c r="L34" s="52">
        <v>1.83406097780985</v>
      </c>
      <c r="M34" s="28">
        <v>26.523904023092186</v>
      </c>
      <c r="N34" s="52">
        <v>2.2994046545192135</v>
      </c>
      <c r="O34" s="28">
        <v>4.6220458235612481E-5</v>
      </c>
      <c r="P34" s="52">
        <v>-7.462866077334776E-3</v>
      </c>
      <c r="Q34" s="28">
        <v>2.1927957183234108</v>
      </c>
      <c r="R34" s="52">
        <v>-5.0294064585964273</v>
      </c>
      <c r="S34" s="29">
        <v>5.4218533886583673</v>
      </c>
      <c r="T34" s="181">
        <v>3</v>
      </c>
    </row>
    <row r="35" spans="1:20" ht="22.5" thickTop="1" thickBot="1" x14ac:dyDescent="0.4">
      <c r="A35" s="34" t="s">
        <v>16</v>
      </c>
      <c r="B35" s="46">
        <v>3200</v>
      </c>
      <c r="C35" s="50">
        <v>6000</v>
      </c>
      <c r="D35" s="35"/>
      <c r="E35" s="58"/>
      <c r="F35" s="35"/>
      <c r="G35" s="62"/>
      <c r="H35" s="35"/>
      <c r="I35" s="62"/>
      <c r="J35" s="35"/>
      <c r="K35" s="62"/>
      <c r="L35" s="54">
        <v>1.83406097780985</v>
      </c>
      <c r="M35" s="36">
        <v>164.39437127909073</v>
      </c>
      <c r="N35" s="54">
        <v>109.73023032052437</v>
      </c>
      <c r="O35" s="36">
        <v>-0.77731673582295979</v>
      </c>
      <c r="P35" s="54">
        <v>20.580912863070537</v>
      </c>
      <c r="Q35" s="36">
        <v>-272.5332852246076</v>
      </c>
      <c r="R35" s="54">
        <v>165.65036983582897</v>
      </c>
      <c r="S35" s="37">
        <v>-48.68843586505502</v>
      </c>
      <c r="T35" s="181">
        <v>3</v>
      </c>
    </row>
    <row r="36" spans="1:20" ht="21.75" thickTop="1" x14ac:dyDescent="0.35">
      <c r="A36" s="1" t="s">
        <v>17</v>
      </c>
      <c r="B36" s="44">
        <v>298</v>
      </c>
      <c r="C36" s="48">
        <v>3200</v>
      </c>
      <c r="D36" s="2"/>
      <c r="E36" s="56"/>
      <c r="F36" s="2"/>
      <c r="G36" s="60"/>
      <c r="H36" s="2"/>
      <c r="I36" s="60"/>
      <c r="J36" s="2"/>
      <c r="K36" s="60"/>
      <c r="L36" s="52">
        <v>6.0592940044500568E-2</v>
      </c>
      <c r="M36" s="28">
        <v>43.298815322629139</v>
      </c>
      <c r="N36" s="52">
        <v>6.0656323290636829</v>
      </c>
      <c r="O36" s="28">
        <v>6.3596127247579528E-4</v>
      </c>
      <c r="P36" s="52">
        <v>0.10973480064946779</v>
      </c>
      <c r="Q36" s="28">
        <v>-2.358169462986349</v>
      </c>
      <c r="R36" s="52">
        <v>1.9832822178122553</v>
      </c>
      <c r="S36" s="29">
        <v>-0.19002946659450357</v>
      </c>
      <c r="T36" s="181">
        <v>3</v>
      </c>
    </row>
    <row r="37" spans="1:20" ht="22.5" thickTop="1" thickBot="1" x14ac:dyDescent="0.4">
      <c r="A37" s="34" t="s">
        <v>17</v>
      </c>
      <c r="B37" s="46">
        <v>3200</v>
      </c>
      <c r="C37" s="50">
        <v>6000</v>
      </c>
      <c r="D37" s="35"/>
      <c r="E37" s="58"/>
      <c r="F37" s="35"/>
      <c r="G37" s="62"/>
      <c r="H37" s="35"/>
      <c r="I37" s="62"/>
      <c r="J37" s="35"/>
      <c r="K37" s="62"/>
      <c r="L37" s="54">
        <v>6.0592940044500568E-2</v>
      </c>
      <c r="M37" s="36">
        <v>36.806783330326532</v>
      </c>
      <c r="N37" s="54">
        <v>-0.56067111672379566</v>
      </c>
      <c r="O37" s="36">
        <v>7.5037584941968841E-2</v>
      </c>
      <c r="P37" s="54">
        <v>-1.5360153947922304</v>
      </c>
      <c r="Q37" s="36">
        <v>9.3189007156172945</v>
      </c>
      <c r="R37" s="54">
        <v>-1.8953635215587226</v>
      </c>
      <c r="S37" s="37">
        <v>0</v>
      </c>
      <c r="T37" s="181">
        <v>3</v>
      </c>
    </row>
    <row r="38" spans="1:20" ht="21.75" thickTop="1" x14ac:dyDescent="0.35">
      <c r="A38" s="1" t="s">
        <v>18</v>
      </c>
      <c r="B38" s="44">
        <v>298</v>
      </c>
      <c r="C38" s="48">
        <v>2663</v>
      </c>
      <c r="D38" s="2"/>
      <c r="E38" s="56"/>
      <c r="F38" s="2"/>
      <c r="G38" s="60"/>
      <c r="H38" s="2"/>
      <c r="I38" s="60"/>
      <c r="J38" s="2"/>
      <c r="K38" s="60"/>
      <c r="L38" s="52">
        <v>-21.824523422935833</v>
      </c>
      <c r="M38" s="28">
        <v>54.255457333573879</v>
      </c>
      <c r="N38" s="52">
        <v>15.657598171868422</v>
      </c>
      <c r="O38" s="28">
        <v>-8.5355703890793179E-4</v>
      </c>
      <c r="P38" s="52">
        <v>0.2900198448493595</v>
      </c>
      <c r="Q38" s="28">
        <v>2.2816765890913464</v>
      </c>
      <c r="R38" s="52">
        <v>0</v>
      </c>
      <c r="S38" s="29">
        <v>0</v>
      </c>
      <c r="T38" s="181">
        <v>3</v>
      </c>
    </row>
    <row r="39" spans="1:20" ht="21.75" thickTop="1" x14ac:dyDescent="0.35">
      <c r="A39" s="30" t="s">
        <v>18</v>
      </c>
      <c r="B39" s="45">
        <v>2663</v>
      </c>
      <c r="C39" s="49">
        <v>2708</v>
      </c>
      <c r="D39" s="31"/>
      <c r="E39" s="57"/>
      <c r="F39" s="31"/>
      <c r="G39" s="61"/>
      <c r="H39" s="31"/>
      <c r="I39" s="61"/>
      <c r="J39" s="31"/>
      <c r="K39" s="61"/>
      <c r="L39" s="53">
        <v>-21.824523422935833</v>
      </c>
      <c r="M39" s="32">
        <v>56.641409585663595</v>
      </c>
      <c r="N39" s="53">
        <v>19.243526369595283</v>
      </c>
      <c r="O39" s="32">
        <v>0</v>
      </c>
      <c r="P39" s="53">
        <v>1.0767454447050333</v>
      </c>
      <c r="Q39" s="32">
        <v>0</v>
      </c>
      <c r="R39" s="53">
        <v>0</v>
      </c>
      <c r="S39" s="33">
        <v>0</v>
      </c>
      <c r="T39" s="181">
        <v>3</v>
      </c>
    </row>
    <row r="40" spans="1:20" ht="22.5" thickTop="1" thickBot="1" x14ac:dyDescent="0.4">
      <c r="A40" s="34" t="s">
        <v>18</v>
      </c>
      <c r="B40" s="46">
        <v>2708</v>
      </c>
      <c r="C40" s="50">
        <v>6000</v>
      </c>
      <c r="D40" s="35"/>
      <c r="E40" s="58"/>
      <c r="F40" s="35"/>
      <c r="G40" s="62"/>
      <c r="H40" s="35"/>
      <c r="I40" s="62"/>
      <c r="J40" s="35"/>
      <c r="K40" s="62"/>
      <c r="L40" s="54">
        <v>-21.824523422935833</v>
      </c>
      <c r="M40" s="36">
        <v>63.8891093872151</v>
      </c>
      <c r="N40" s="54">
        <v>24.054398941608035</v>
      </c>
      <c r="O40" s="36">
        <v>0</v>
      </c>
      <c r="P40" s="54">
        <v>0.81599615130194236</v>
      </c>
      <c r="Q40" s="36">
        <v>0</v>
      </c>
      <c r="R40" s="54">
        <v>0</v>
      </c>
      <c r="S40" s="37">
        <v>0</v>
      </c>
      <c r="T40" s="181">
        <v>3</v>
      </c>
    </row>
    <row r="41" spans="1:20" ht="21.75" thickTop="1" x14ac:dyDescent="0.35">
      <c r="A41" s="1" t="s">
        <v>19</v>
      </c>
      <c r="B41" s="44">
        <v>298</v>
      </c>
      <c r="C41" s="48">
        <v>1802</v>
      </c>
      <c r="D41" s="2"/>
      <c r="E41" s="56"/>
      <c r="F41" s="2"/>
      <c r="G41" s="60"/>
      <c r="H41" s="2"/>
      <c r="I41" s="60"/>
      <c r="J41" s="2"/>
      <c r="K41" s="60"/>
      <c r="L41" s="52">
        <v>0</v>
      </c>
      <c r="M41" s="28">
        <v>16.724036322087915</v>
      </c>
      <c r="N41" s="52">
        <v>3.1735041193096394</v>
      </c>
      <c r="O41" s="28">
        <v>-5.5493415118167053E-5</v>
      </c>
      <c r="P41" s="52">
        <v>1.1803475855433279E-2</v>
      </c>
      <c r="Q41" s="28">
        <v>2.0178002285164469</v>
      </c>
      <c r="R41" s="52">
        <v>5.8848998737145948</v>
      </c>
      <c r="S41" s="29">
        <v>0</v>
      </c>
      <c r="T41" s="181">
        <v>3</v>
      </c>
    </row>
    <row r="42" spans="1:20" ht="22.5" thickTop="1" thickBot="1" x14ac:dyDescent="0.4">
      <c r="A42" s="34" t="s">
        <v>19</v>
      </c>
      <c r="B42" s="46">
        <v>1802</v>
      </c>
      <c r="C42" s="50">
        <v>5500</v>
      </c>
      <c r="D42" s="35"/>
      <c r="E42" s="58"/>
      <c r="F42" s="35"/>
      <c r="G42" s="62"/>
      <c r="H42" s="35"/>
      <c r="I42" s="62"/>
      <c r="J42" s="35"/>
      <c r="K42" s="62"/>
      <c r="L42" s="54">
        <v>0</v>
      </c>
      <c r="M42" s="36">
        <v>20.417824282879305</v>
      </c>
      <c r="N42" s="54">
        <v>4.6545192134223345</v>
      </c>
      <c r="O42" s="36">
        <v>0</v>
      </c>
      <c r="P42" s="54">
        <v>9.6854892056046665E-2</v>
      </c>
      <c r="Q42" s="36">
        <v>0</v>
      </c>
      <c r="R42" s="54">
        <v>0</v>
      </c>
      <c r="S42" s="37">
        <v>0</v>
      </c>
      <c r="T42" s="181">
        <v>3</v>
      </c>
    </row>
    <row r="43" spans="1:20" ht="21.75" thickTop="1" x14ac:dyDescent="0.35">
      <c r="A43" s="1" t="s">
        <v>20</v>
      </c>
      <c r="B43" s="44">
        <v>298</v>
      </c>
      <c r="C43" s="48">
        <v>2200</v>
      </c>
      <c r="D43" s="2"/>
      <c r="E43" s="56"/>
      <c r="F43" s="2"/>
      <c r="G43" s="60"/>
      <c r="H43" s="2"/>
      <c r="I43" s="60"/>
      <c r="J43" s="2"/>
      <c r="K43" s="60"/>
      <c r="L43" s="52">
        <v>0</v>
      </c>
      <c r="M43" s="28">
        <v>30.448012508268686</v>
      </c>
      <c r="N43" s="52">
        <v>2.7896085152444519</v>
      </c>
      <c r="O43" s="28">
        <v>-5.8295748391364481E-5</v>
      </c>
      <c r="P43" s="52">
        <v>9.9320464249203193E-3</v>
      </c>
      <c r="Q43" s="28">
        <v>-3.3121654940164773</v>
      </c>
      <c r="R43" s="52">
        <v>5.5216789945276314</v>
      </c>
      <c r="S43" s="29">
        <v>7.2992964098863427</v>
      </c>
      <c r="T43" s="181">
        <v>3</v>
      </c>
    </row>
    <row r="44" spans="1:20" ht="22.5" thickTop="1" thickBot="1" x14ac:dyDescent="0.4">
      <c r="A44" s="34" t="s">
        <v>20</v>
      </c>
      <c r="B44" s="46">
        <v>2200</v>
      </c>
      <c r="C44" s="50">
        <v>6000</v>
      </c>
      <c r="D44" s="35"/>
      <c r="E44" s="58"/>
      <c r="F44" s="35"/>
      <c r="G44" s="62"/>
      <c r="H44" s="35"/>
      <c r="I44" s="62"/>
      <c r="J44" s="35"/>
      <c r="K44" s="62"/>
      <c r="L44" s="54">
        <v>0</v>
      </c>
      <c r="M44" s="36">
        <v>14.18197125503638</v>
      </c>
      <c r="N44" s="54">
        <v>-7.0026219255517468</v>
      </c>
      <c r="O44" s="36">
        <v>2.8337242167298094E-2</v>
      </c>
      <c r="P44" s="54">
        <v>-1.2169944073606349</v>
      </c>
      <c r="Q44" s="36">
        <v>30.431655541523842</v>
      </c>
      <c r="R44" s="54">
        <v>-14.038486980576101</v>
      </c>
      <c r="S44" s="37">
        <v>2.9223645438691439</v>
      </c>
      <c r="T44" s="181">
        <v>3</v>
      </c>
    </row>
    <row r="45" spans="1:20" ht="22.5" thickTop="1" thickBot="1" x14ac:dyDescent="0.4">
      <c r="A45" s="40" t="s">
        <v>21</v>
      </c>
      <c r="B45" s="47">
        <v>298</v>
      </c>
      <c r="C45" s="51">
        <v>6000</v>
      </c>
      <c r="D45" s="41"/>
      <c r="E45" s="59"/>
      <c r="F45" s="41"/>
      <c r="G45" s="63"/>
      <c r="H45" s="41"/>
      <c r="I45" s="63"/>
      <c r="J45" s="41"/>
      <c r="K45" s="63"/>
      <c r="L45" s="55">
        <v>-0.58027542245474772</v>
      </c>
      <c r="M45" s="42">
        <v>39.415478982500453</v>
      </c>
      <c r="N45" s="55">
        <v>5.6957243370016233</v>
      </c>
      <c r="O45" s="42">
        <v>-2.326898791268266E-4</v>
      </c>
      <c r="P45" s="55">
        <v>5.2431294726080935E-2</v>
      </c>
      <c r="Q45" s="42">
        <v>-5.7095435684647295</v>
      </c>
      <c r="R45" s="55">
        <v>7.3897408142401826</v>
      </c>
      <c r="S45" s="43">
        <v>-2.7057550063142699</v>
      </c>
      <c r="T45" s="181">
        <v>3</v>
      </c>
    </row>
    <row r="46" spans="1:20" ht="21.75" thickTop="1" x14ac:dyDescent="0.35">
      <c r="A46" s="1" t="s">
        <v>22</v>
      </c>
      <c r="B46" s="44">
        <v>298</v>
      </c>
      <c r="C46" s="48">
        <v>2593</v>
      </c>
      <c r="D46" s="2"/>
      <c r="E46" s="56"/>
      <c r="F46" s="2"/>
      <c r="G46" s="60"/>
      <c r="H46" s="2"/>
      <c r="I46" s="60"/>
      <c r="J46" s="2"/>
      <c r="K46" s="60"/>
      <c r="L46" s="52">
        <v>-23.908833964760355</v>
      </c>
      <c r="M46" s="28">
        <v>54.417222923807799</v>
      </c>
      <c r="N46" s="52">
        <v>14.808839978351072</v>
      </c>
      <c r="O46" s="28">
        <v>-9.2181129352336276E-4</v>
      </c>
      <c r="P46" s="52">
        <v>0.26702267123699558</v>
      </c>
      <c r="Q46" s="28">
        <v>5.2746406879547774</v>
      </c>
      <c r="R46" s="52">
        <v>0</v>
      </c>
      <c r="S46" s="29">
        <v>0</v>
      </c>
      <c r="T46" s="181">
        <v>3</v>
      </c>
    </row>
    <row r="47" spans="1:20" ht="21.75" thickTop="1" x14ac:dyDescent="0.35">
      <c r="A47" s="30" t="s">
        <v>22</v>
      </c>
      <c r="B47" s="45">
        <v>2593</v>
      </c>
      <c r="C47" s="49">
        <v>2691</v>
      </c>
      <c r="D47" s="31"/>
      <c r="E47" s="57"/>
      <c r="F47" s="31"/>
      <c r="G47" s="61"/>
      <c r="H47" s="31"/>
      <c r="I47" s="61"/>
      <c r="J47" s="31"/>
      <c r="K47" s="61"/>
      <c r="L47" s="53">
        <v>-23.908833964760355</v>
      </c>
      <c r="M47" s="32">
        <v>58.717421372301402</v>
      </c>
      <c r="N47" s="53">
        <v>19.243526369595283</v>
      </c>
      <c r="O47" s="32">
        <v>0</v>
      </c>
      <c r="P47" s="53">
        <v>1.0551807084009863</v>
      </c>
      <c r="Q47" s="32">
        <v>0</v>
      </c>
      <c r="R47" s="53">
        <v>0</v>
      </c>
      <c r="S47" s="33">
        <v>0</v>
      </c>
      <c r="T47" s="181">
        <v>3</v>
      </c>
    </row>
    <row r="48" spans="1:20" ht="22.5" thickTop="1" thickBot="1" x14ac:dyDescent="0.4">
      <c r="A48" s="34" t="s">
        <v>22</v>
      </c>
      <c r="B48" s="46">
        <v>2691</v>
      </c>
      <c r="C48" s="50">
        <v>6000</v>
      </c>
      <c r="D48" s="35"/>
      <c r="E48" s="58"/>
      <c r="F48" s="35"/>
      <c r="G48" s="62"/>
      <c r="H48" s="35"/>
      <c r="I48" s="62"/>
      <c r="J48" s="35"/>
      <c r="K48" s="62"/>
      <c r="L48" s="54">
        <v>-23.908833964760355</v>
      </c>
      <c r="M48" s="36">
        <v>66.031872030789586</v>
      </c>
      <c r="N48" s="54">
        <v>24.05436286006374</v>
      </c>
      <c r="O48" s="36">
        <v>0</v>
      </c>
      <c r="P48" s="54">
        <v>0.78625293162547349</v>
      </c>
      <c r="Q48" s="36">
        <v>0</v>
      </c>
      <c r="R48" s="54">
        <v>0</v>
      </c>
      <c r="S48" s="37">
        <v>0</v>
      </c>
      <c r="T48" s="181">
        <v>3</v>
      </c>
    </row>
    <row r="49" spans="1:20" ht="21.75" thickTop="1" x14ac:dyDescent="0.35">
      <c r="A49" s="1" t="s">
        <v>23</v>
      </c>
      <c r="B49" s="44">
        <v>298</v>
      </c>
      <c r="C49" s="48">
        <v>900</v>
      </c>
      <c r="D49" s="2"/>
      <c r="E49" s="56"/>
      <c r="F49" s="2"/>
      <c r="G49" s="60"/>
      <c r="H49" s="2"/>
      <c r="I49" s="60"/>
      <c r="J49" s="2"/>
      <c r="K49" s="60"/>
      <c r="L49" s="52">
        <v>0</v>
      </c>
      <c r="M49" s="28">
        <v>17.588069036021405</v>
      </c>
      <c r="N49" s="52">
        <v>3.4284803656263154</v>
      </c>
      <c r="O49" s="28">
        <v>0</v>
      </c>
      <c r="P49" s="52">
        <v>1.0173792771663959E-2</v>
      </c>
      <c r="Q49" s="28">
        <v>4.1529857477900052</v>
      </c>
      <c r="R49" s="52">
        <v>20.807023873955139</v>
      </c>
      <c r="S49" s="29">
        <v>0</v>
      </c>
      <c r="T49" s="181">
        <v>3</v>
      </c>
    </row>
    <row r="50" spans="1:20" ht="21.75" thickTop="1" x14ac:dyDescent="0.35">
      <c r="A50" s="30" t="s">
        <v>23</v>
      </c>
      <c r="B50" s="45">
        <v>900</v>
      </c>
      <c r="C50" s="49">
        <v>1818</v>
      </c>
      <c r="D50" s="31"/>
      <c r="E50" s="57"/>
      <c r="F50" s="31"/>
      <c r="G50" s="61"/>
      <c r="H50" s="31"/>
      <c r="I50" s="61"/>
      <c r="J50" s="31"/>
      <c r="K50" s="61"/>
      <c r="L50" s="53">
        <v>0</v>
      </c>
      <c r="M50" s="32">
        <v>15.787239160502736</v>
      </c>
      <c r="N50" s="53">
        <v>2.8906380419748632</v>
      </c>
      <c r="O50" s="32">
        <v>0</v>
      </c>
      <c r="P50" s="53">
        <v>1.1401767995670214E-3</v>
      </c>
      <c r="Q50" s="32">
        <v>4.454507186240904</v>
      </c>
      <c r="R50" s="53">
        <v>0</v>
      </c>
      <c r="S50" s="33">
        <v>0</v>
      </c>
      <c r="T50" s="181">
        <v>3</v>
      </c>
    </row>
    <row r="51" spans="1:20" ht="22.5" thickTop="1" thickBot="1" x14ac:dyDescent="0.4">
      <c r="A51" s="34" t="s">
        <v>23</v>
      </c>
      <c r="B51" s="46">
        <v>1818</v>
      </c>
      <c r="C51" s="50">
        <v>4500</v>
      </c>
      <c r="D51" s="35"/>
      <c r="E51" s="58"/>
      <c r="F51" s="35"/>
      <c r="G51" s="62"/>
      <c r="H51" s="35"/>
      <c r="I51" s="62"/>
      <c r="J51" s="35"/>
      <c r="K51" s="62"/>
      <c r="L51" s="54">
        <v>0</v>
      </c>
      <c r="M51" s="36">
        <v>19.991701244813278</v>
      </c>
      <c r="N51" s="54">
        <v>4.9792531120331942</v>
      </c>
      <c r="O51" s="36">
        <v>0</v>
      </c>
      <c r="P51" s="54">
        <v>3.1342834806663056E-2</v>
      </c>
      <c r="Q51" s="36">
        <v>0</v>
      </c>
      <c r="R51" s="54">
        <v>0</v>
      </c>
      <c r="S51" s="37">
        <v>0</v>
      </c>
      <c r="T51" s="181">
        <v>3</v>
      </c>
    </row>
    <row r="52" spans="1:20" ht="21.75" thickTop="1" x14ac:dyDescent="0.35">
      <c r="A52" s="1" t="s">
        <v>24</v>
      </c>
      <c r="B52" s="44">
        <v>298</v>
      </c>
      <c r="C52" s="48">
        <v>1800</v>
      </c>
      <c r="D52" s="2"/>
      <c r="E52" s="56"/>
      <c r="F52" s="2"/>
      <c r="G52" s="60"/>
      <c r="H52" s="2"/>
      <c r="I52" s="60"/>
      <c r="J52" s="2"/>
      <c r="K52" s="60"/>
      <c r="L52" s="52">
        <v>2.7994467496542184</v>
      </c>
      <c r="M52" s="28">
        <v>28.226471826327497</v>
      </c>
      <c r="N52" s="52">
        <v>2.2055084490949546</v>
      </c>
      <c r="O52" s="28">
        <v>4.8782247880209267E-5</v>
      </c>
      <c r="P52" s="52">
        <v>-8.9013169763665894E-3</v>
      </c>
      <c r="Q52" s="28">
        <v>4.3480666305851221</v>
      </c>
      <c r="R52" s="52">
        <v>-14.473510132900355</v>
      </c>
      <c r="S52" s="29">
        <v>23.645438691442656</v>
      </c>
      <c r="T52" s="181">
        <v>3</v>
      </c>
    </row>
    <row r="53" spans="1:20" ht="21.75" thickTop="1" x14ac:dyDescent="0.35">
      <c r="A53" s="30" t="s">
        <v>24</v>
      </c>
      <c r="B53" s="45">
        <v>1800</v>
      </c>
      <c r="C53" s="49">
        <v>6000</v>
      </c>
      <c r="D53" s="31"/>
      <c r="E53" s="57"/>
      <c r="F53" s="31"/>
      <c r="G53" s="61"/>
      <c r="H53" s="31"/>
      <c r="I53" s="61"/>
      <c r="J53" s="31"/>
      <c r="K53" s="61"/>
      <c r="L53" s="53">
        <v>2.7994467496542184</v>
      </c>
      <c r="M53" s="32">
        <v>61.297492332671837</v>
      </c>
      <c r="N53" s="53">
        <v>21.280475073666484</v>
      </c>
      <c r="O53" s="32">
        <v>-5.3868542906969748E-2</v>
      </c>
      <c r="P53" s="53">
        <v>2.3023633411510009</v>
      </c>
      <c r="Q53" s="32">
        <v>-72.255697877202465</v>
      </c>
      <c r="R53" s="53">
        <v>63.604666546394846</v>
      </c>
      <c r="S53" s="33">
        <v>-24.271814300318717</v>
      </c>
      <c r="T53" s="181">
        <v>3</v>
      </c>
    </row>
    <row r="54" spans="1:20" ht="22.5" thickTop="1" thickBot="1" x14ac:dyDescent="0.4">
      <c r="A54" s="34" t="s">
        <v>25</v>
      </c>
      <c r="B54" s="46">
        <v>298</v>
      </c>
      <c r="C54" s="50">
        <v>6000</v>
      </c>
      <c r="D54" s="35"/>
      <c r="E54" s="58"/>
      <c r="F54" s="35"/>
      <c r="G54" s="62"/>
      <c r="H54" s="35"/>
      <c r="I54" s="62"/>
      <c r="J54" s="35"/>
      <c r="K54" s="62"/>
      <c r="L54" s="54">
        <v>-0.2270611582175717</v>
      </c>
      <c r="M54" s="36">
        <v>43.095916771904506</v>
      </c>
      <c r="N54" s="54">
        <v>5.1975236033435559</v>
      </c>
      <c r="O54" s="36">
        <v>-2.4428408202537737E-4</v>
      </c>
      <c r="P54" s="54">
        <v>4.8647543448192915E-2</v>
      </c>
      <c r="Q54" s="36">
        <v>-1.5002706115821756</v>
      </c>
      <c r="R54" s="54">
        <v>3.088099103974983</v>
      </c>
      <c r="S54" s="37">
        <v>1.0935113356184978</v>
      </c>
      <c r="T54" s="181">
        <v>3</v>
      </c>
    </row>
    <row r="55" spans="1:20" ht="21.75" thickTop="1" x14ac:dyDescent="0.35">
      <c r="A55" s="1" t="s">
        <v>26</v>
      </c>
      <c r="B55" s="44">
        <v>298</v>
      </c>
      <c r="C55" s="48">
        <v>2623</v>
      </c>
      <c r="D55" s="2"/>
      <c r="E55" s="56"/>
      <c r="F55" s="2"/>
      <c r="G55" s="60"/>
      <c r="H55" s="2"/>
      <c r="I55" s="60"/>
      <c r="J55" s="2"/>
      <c r="K55" s="60"/>
      <c r="L55" s="52">
        <v>-22.715737566901197</v>
      </c>
      <c r="M55" s="28">
        <v>53.674905285946231</v>
      </c>
      <c r="N55" s="52">
        <v>15.056227073185399</v>
      </c>
      <c r="O55" s="28">
        <v>-5.8673401888267472E-4</v>
      </c>
      <c r="P55" s="52">
        <v>0.2414745324433219</v>
      </c>
      <c r="Q55" s="28">
        <v>5.0220698779241078</v>
      </c>
      <c r="R55" s="52">
        <v>0</v>
      </c>
      <c r="S55" s="29">
        <v>0</v>
      </c>
      <c r="T55" s="181">
        <v>3</v>
      </c>
    </row>
    <row r="56" spans="1:20" ht="21.75" thickTop="1" x14ac:dyDescent="0.35">
      <c r="A56" s="30" t="s">
        <v>26</v>
      </c>
      <c r="B56" s="45">
        <v>2623</v>
      </c>
      <c r="C56" s="49">
        <v>2683</v>
      </c>
      <c r="D56" s="31"/>
      <c r="E56" s="57"/>
      <c r="F56" s="31"/>
      <c r="G56" s="61"/>
      <c r="H56" s="31"/>
      <c r="I56" s="61"/>
      <c r="J56" s="31"/>
      <c r="K56" s="61"/>
      <c r="L56" s="53">
        <v>-22.715737566901197</v>
      </c>
      <c r="M56" s="32">
        <v>57.73443983402489</v>
      </c>
      <c r="N56" s="53">
        <v>19.243526369595283</v>
      </c>
      <c r="O56" s="32">
        <v>0</v>
      </c>
      <c r="P56" s="53">
        <v>0.98981297732876283</v>
      </c>
      <c r="Q56" s="32">
        <v>0</v>
      </c>
      <c r="R56" s="53">
        <v>0</v>
      </c>
      <c r="S56" s="33">
        <v>0</v>
      </c>
      <c r="T56" s="181">
        <v>3</v>
      </c>
    </row>
    <row r="57" spans="1:20" ht="22.5" thickTop="1" thickBot="1" x14ac:dyDescent="0.4">
      <c r="A57" s="34" t="s">
        <v>26</v>
      </c>
      <c r="B57" s="46">
        <v>2683</v>
      </c>
      <c r="C57" s="50">
        <v>6000</v>
      </c>
      <c r="D57" s="35"/>
      <c r="E57" s="58"/>
      <c r="F57" s="35"/>
      <c r="G57" s="62"/>
      <c r="H57" s="35"/>
      <c r="I57" s="62"/>
      <c r="J57" s="35"/>
      <c r="K57" s="62"/>
      <c r="L57" s="54">
        <v>-22.715737566901197</v>
      </c>
      <c r="M57" s="36">
        <v>65.08052197967406</v>
      </c>
      <c r="N57" s="54">
        <v>24.054398941608035</v>
      </c>
      <c r="O57" s="36">
        <v>0</v>
      </c>
      <c r="P57" s="54">
        <v>0.7170365024956401</v>
      </c>
      <c r="Q57" s="36">
        <v>0</v>
      </c>
      <c r="R57" s="54">
        <v>0</v>
      </c>
      <c r="S57" s="37">
        <v>0</v>
      </c>
      <c r="T57" s="181">
        <v>3</v>
      </c>
    </row>
    <row r="58" spans="1:20" ht="21.75" thickTop="1" x14ac:dyDescent="0.35">
      <c r="A58" s="1" t="s">
        <v>30</v>
      </c>
      <c r="B58" s="44">
        <v>298</v>
      </c>
      <c r="C58" s="48">
        <v>1701</v>
      </c>
      <c r="D58" s="2"/>
      <c r="E58" s="56"/>
      <c r="F58" s="2"/>
      <c r="G58" s="60"/>
      <c r="H58" s="2"/>
      <c r="I58" s="60"/>
      <c r="J58" s="2"/>
      <c r="K58" s="60"/>
      <c r="L58" s="52">
        <v>0</v>
      </c>
      <c r="M58" s="28">
        <v>20.857538035961269</v>
      </c>
      <c r="N58" s="52">
        <v>4.4645017740092605</v>
      </c>
      <c r="O58" s="28">
        <v>-2.2784292501052376E-4</v>
      </c>
      <c r="P58" s="52">
        <v>4.0791388538096093E-2</v>
      </c>
      <c r="Q58" s="28">
        <v>-15.139455168681218</v>
      </c>
      <c r="R58" s="52">
        <v>40.532804137350411</v>
      </c>
      <c r="S58" s="29">
        <v>0</v>
      </c>
      <c r="T58" s="181">
        <v>3</v>
      </c>
    </row>
    <row r="59" spans="1:20" ht="21.75" thickTop="1" x14ac:dyDescent="0.35">
      <c r="A59" s="30" t="s">
        <v>30</v>
      </c>
      <c r="B59" s="45">
        <v>1701</v>
      </c>
      <c r="C59" s="49">
        <v>1747</v>
      </c>
      <c r="D59" s="31"/>
      <c r="E59" s="57"/>
      <c r="F59" s="31"/>
      <c r="G59" s="61"/>
      <c r="H59" s="31"/>
      <c r="I59" s="61"/>
      <c r="J59" s="31"/>
      <c r="K59" s="61"/>
      <c r="L59" s="53">
        <v>0</v>
      </c>
      <c r="M59" s="32">
        <v>20.296590294064583</v>
      </c>
      <c r="N59" s="53">
        <v>5.4122556978772023</v>
      </c>
      <c r="O59" s="32">
        <v>0</v>
      </c>
      <c r="P59" s="53">
        <v>0.18186301040351191</v>
      </c>
      <c r="Q59" s="32">
        <v>0</v>
      </c>
      <c r="R59" s="53">
        <v>0</v>
      </c>
      <c r="S59" s="33">
        <v>0</v>
      </c>
      <c r="T59" s="181">
        <v>3</v>
      </c>
    </row>
    <row r="60" spans="1:20" ht="22.5" thickTop="1" thickBot="1" x14ac:dyDescent="0.4">
      <c r="A60" s="34" t="s">
        <v>30</v>
      </c>
      <c r="B60" s="46">
        <v>1747</v>
      </c>
      <c r="C60" s="50">
        <v>5500</v>
      </c>
      <c r="D60" s="35"/>
      <c r="E60" s="58"/>
      <c r="F60" s="35"/>
      <c r="G60" s="62"/>
      <c r="H60" s="35"/>
      <c r="I60" s="62"/>
      <c r="J60" s="35"/>
      <c r="K60" s="62"/>
      <c r="L60" s="54">
        <v>0</v>
      </c>
      <c r="M60" s="36">
        <v>20.998737145949843</v>
      </c>
      <c r="N60" s="54">
        <v>5.2919838835768829</v>
      </c>
      <c r="O60" s="36">
        <v>0</v>
      </c>
      <c r="P60" s="54">
        <v>2.2538937999879726E-2</v>
      </c>
      <c r="Q60" s="36">
        <v>0</v>
      </c>
      <c r="R60" s="54">
        <v>0</v>
      </c>
      <c r="S60" s="37">
        <v>0</v>
      </c>
      <c r="T60" s="181">
        <v>3</v>
      </c>
    </row>
    <row r="61" spans="1:20" ht="21.75" thickTop="1" x14ac:dyDescent="0.35">
      <c r="A61" s="1" t="s">
        <v>31</v>
      </c>
      <c r="B61" s="44">
        <v>298</v>
      </c>
      <c r="C61" s="48">
        <v>1400</v>
      </c>
      <c r="D61" s="2"/>
      <c r="E61" s="56"/>
      <c r="F61" s="2"/>
      <c r="G61" s="60"/>
      <c r="H61" s="2"/>
      <c r="I61" s="60"/>
      <c r="J61" s="2"/>
      <c r="K61" s="60"/>
      <c r="L61" s="52">
        <v>3.6104395934812672</v>
      </c>
      <c r="M61" s="28">
        <v>30.372722352516686</v>
      </c>
      <c r="N61" s="52">
        <v>2.6945817547657702</v>
      </c>
      <c r="O61" s="28">
        <v>-3.5672620121474529E-5</v>
      </c>
      <c r="P61" s="52">
        <v>6.3046485056227073E-3</v>
      </c>
      <c r="Q61" s="28">
        <v>-2.4813278008298751</v>
      </c>
      <c r="R61" s="52">
        <v>5.5854230561068006</v>
      </c>
      <c r="S61" s="29">
        <v>0</v>
      </c>
      <c r="T61" s="181">
        <v>3</v>
      </c>
    </row>
    <row r="62" spans="1:20" ht="21.75" thickTop="1" x14ac:dyDescent="0.35">
      <c r="A62" s="30" t="s">
        <v>31</v>
      </c>
      <c r="B62" s="45">
        <v>1400</v>
      </c>
      <c r="C62" s="49">
        <v>2400</v>
      </c>
      <c r="D62" s="31"/>
      <c r="E62" s="57"/>
      <c r="F62" s="31"/>
      <c r="G62" s="61"/>
      <c r="H62" s="31"/>
      <c r="I62" s="61"/>
      <c r="J62" s="31"/>
      <c r="K62" s="61"/>
      <c r="L62" s="53">
        <v>3.6104395934812672</v>
      </c>
      <c r="M62" s="32">
        <v>292.06073726622162</v>
      </c>
      <c r="N62" s="53">
        <v>132.31655541523841</v>
      </c>
      <c r="O62" s="32">
        <v>-0.21490167779180946</v>
      </c>
      <c r="P62" s="53">
        <v>11.909074508388958</v>
      </c>
      <c r="Q62" s="32">
        <v>-695.09290997654693</v>
      </c>
      <c r="R62" s="53">
        <v>912.20157556076731</v>
      </c>
      <c r="S62" s="33">
        <v>-618.67821276083941</v>
      </c>
      <c r="T62" s="181">
        <v>3</v>
      </c>
    </row>
    <row r="63" spans="1:20" ht="22.5" thickTop="1" thickBot="1" x14ac:dyDescent="0.4">
      <c r="A63" s="34" t="s">
        <v>31</v>
      </c>
      <c r="B63" s="46">
        <v>2400</v>
      </c>
      <c r="C63" s="50">
        <v>6000</v>
      </c>
      <c r="D63" s="35"/>
      <c r="E63" s="58"/>
      <c r="F63" s="35"/>
      <c r="G63" s="62"/>
      <c r="H63" s="35"/>
      <c r="I63" s="62"/>
      <c r="J63" s="35"/>
      <c r="K63" s="62"/>
      <c r="L63" s="54">
        <v>3.6104395934812672</v>
      </c>
      <c r="M63" s="36">
        <v>4.5217391304347823</v>
      </c>
      <c r="N63" s="54">
        <v>-14.394214925732154</v>
      </c>
      <c r="O63" s="36">
        <v>6.4713452402429483E-2</v>
      </c>
      <c r="P63" s="54">
        <v>-2.4627458055204761</v>
      </c>
      <c r="Q63" s="36">
        <v>48.558422033796376</v>
      </c>
      <c r="R63" s="54">
        <v>-23.704973239521316</v>
      </c>
      <c r="S63" s="37">
        <v>5.3043478260869561</v>
      </c>
      <c r="T63" s="181">
        <v>3</v>
      </c>
    </row>
    <row r="64" spans="1:20" ht="21.75" thickTop="1" x14ac:dyDescent="0.35">
      <c r="A64" s="1" t="s">
        <v>32</v>
      </c>
      <c r="B64" s="44">
        <v>298</v>
      </c>
      <c r="C64" s="48">
        <v>1400</v>
      </c>
      <c r="D64" s="2"/>
      <c r="E64" s="56"/>
      <c r="F64" s="2"/>
      <c r="G64" s="60"/>
      <c r="H64" s="2"/>
      <c r="I64" s="60"/>
      <c r="J64" s="2"/>
      <c r="K64" s="60"/>
      <c r="L64" s="52">
        <v>-0.72997774971435436</v>
      </c>
      <c r="M64" s="28">
        <v>62.972397618618068</v>
      </c>
      <c r="N64" s="52">
        <v>12.395646160322327</v>
      </c>
      <c r="O64" s="28">
        <v>-1.5346924048349267E-3</v>
      </c>
      <c r="P64" s="52">
        <v>0.29626676288411807</v>
      </c>
      <c r="Q64" s="28">
        <v>-74.957002826387637</v>
      </c>
      <c r="R64" s="52">
        <v>178.16946298634915</v>
      </c>
      <c r="S64" s="29">
        <v>-216.85008118347463</v>
      </c>
      <c r="T64" s="181">
        <v>3</v>
      </c>
    </row>
    <row r="65" spans="1:20" ht="22.5" thickTop="1" thickBot="1" x14ac:dyDescent="0.4">
      <c r="A65" s="34" t="s">
        <v>32</v>
      </c>
      <c r="B65" s="46">
        <v>1400</v>
      </c>
      <c r="C65" s="50">
        <v>6000</v>
      </c>
      <c r="D65" s="35"/>
      <c r="E65" s="58"/>
      <c r="F65" s="35"/>
      <c r="G65" s="62"/>
      <c r="H65" s="35"/>
      <c r="I65" s="62"/>
      <c r="J65" s="35"/>
      <c r="K65" s="62"/>
      <c r="L65" s="54">
        <v>-0.72997774971435436</v>
      </c>
      <c r="M65" s="36">
        <v>43.969932046424923</v>
      </c>
      <c r="N65" s="54">
        <v>5.4448253051897284</v>
      </c>
      <c r="O65" s="36">
        <v>-5.5204762763846297E-4</v>
      </c>
      <c r="P65" s="54">
        <v>1.6994407360635035E-2</v>
      </c>
      <c r="Q65" s="36">
        <v>-2.824463287028685</v>
      </c>
      <c r="R65" s="54">
        <v>4.248842383787359</v>
      </c>
      <c r="S65" s="37">
        <v>-1.4042937037705212</v>
      </c>
      <c r="T65" s="181">
        <v>3</v>
      </c>
    </row>
    <row r="66" spans="1:20" ht="21.75" thickTop="1" x14ac:dyDescent="0.35">
      <c r="A66" s="1" t="s">
        <v>33</v>
      </c>
      <c r="B66" s="44">
        <v>298</v>
      </c>
      <c r="C66" s="48">
        <v>2473</v>
      </c>
      <c r="D66" s="2"/>
      <c r="E66" s="56"/>
      <c r="F66" s="2"/>
      <c r="G66" s="60"/>
      <c r="H66" s="2"/>
      <c r="I66" s="60"/>
      <c r="J66" s="2"/>
      <c r="K66" s="60"/>
      <c r="L66" s="52">
        <v>-22.624330988032956</v>
      </c>
      <c r="M66" s="28">
        <v>55.374105478381139</v>
      </c>
      <c r="N66" s="52">
        <v>14.838547116483252</v>
      </c>
      <c r="O66" s="28">
        <v>-5.9328883276204213E-4</v>
      </c>
      <c r="P66" s="52">
        <v>0.23451801070419145</v>
      </c>
      <c r="Q66" s="28">
        <v>5.4918515845811529</v>
      </c>
      <c r="R66" s="52">
        <v>0</v>
      </c>
      <c r="S66" s="29">
        <v>0</v>
      </c>
      <c r="T66" s="181">
        <v>3</v>
      </c>
    </row>
    <row r="67" spans="1:20" ht="21.75" thickTop="1" x14ac:dyDescent="0.35">
      <c r="A67" s="30" t="s">
        <v>33</v>
      </c>
      <c r="B67" s="45">
        <v>2473</v>
      </c>
      <c r="C67" s="49">
        <v>2688</v>
      </c>
      <c r="D67" s="31"/>
      <c r="E67" s="57"/>
      <c r="F67" s="31"/>
      <c r="G67" s="61"/>
      <c r="H67" s="31"/>
      <c r="I67" s="61"/>
      <c r="J67" s="31"/>
      <c r="K67" s="61"/>
      <c r="L67" s="53">
        <v>-22.624330988032956</v>
      </c>
      <c r="M67" s="32">
        <v>59.849419688495999</v>
      </c>
      <c r="N67" s="53">
        <v>19.243490288050992</v>
      </c>
      <c r="O67" s="32">
        <v>0</v>
      </c>
      <c r="P67" s="53">
        <v>0.98322208190510552</v>
      </c>
      <c r="Q67" s="32">
        <v>0</v>
      </c>
      <c r="R67" s="53">
        <v>0</v>
      </c>
      <c r="S67" s="33">
        <v>0</v>
      </c>
      <c r="T67" s="181">
        <v>3</v>
      </c>
    </row>
    <row r="68" spans="1:20" ht="22.5" thickTop="1" thickBot="1" x14ac:dyDescent="0.4">
      <c r="A68" s="34" t="s">
        <v>33</v>
      </c>
      <c r="B68" s="46">
        <v>2688</v>
      </c>
      <c r="C68" s="50">
        <v>6000</v>
      </c>
      <c r="D68" s="35"/>
      <c r="E68" s="58"/>
      <c r="F68" s="35"/>
      <c r="G68" s="62"/>
      <c r="H68" s="35"/>
      <c r="I68" s="62"/>
      <c r="J68" s="35"/>
      <c r="K68" s="62"/>
      <c r="L68" s="54">
        <v>-22.624330988032956</v>
      </c>
      <c r="M68" s="36">
        <v>67.178182692885912</v>
      </c>
      <c r="N68" s="54">
        <v>24.054398941608035</v>
      </c>
      <c r="O68" s="36">
        <v>0</v>
      </c>
      <c r="P68" s="54">
        <v>0.71285104335798899</v>
      </c>
      <c r="Q68" s="36">
        <v>0</v>
      </c>
      <c r="R68" s="54">
        <v>0</v>
      </c>
      <c r="S68" s="37">
        <v>0</v>
      </c>
      <c r="T68" s="181">
        <v>3</v>
      </c>
    </row>
    <row r="69" spans="1:20" ht="21.75" thickTop="1" x14ac:dyDescent="0.35">
      <c r="A69" s="1" t="s">
        <v>34</v>
      </c>
      <c r="B69" s="44">
        <v>298</v>
      </c>
      <c r="C69" s="48">
        <v>2333</v>
      </c>
      <c r="D69" s="2"/>
      <c r="E69" s="56"/>
      <c r="F69" s="2"/>
      <c r="G69" s="60"/>
      <c r="H69" s="2"/>
      <c r="I69" s="60"/>
      <c r="J69" s="2"/>
      <c r="K69" s="60"/>
      <c r="L69" s="52">
        <v>-21.748752179926633</v>
      </c>
      <c r="M69" s="28">
        <v>50.140477479102763</v>
      </c>
      <c r="N69" s="52">
        <v>13.202850441998915</v>
      </c>
      <c r="O69" s="28">
        <v>-5.5973299657225328E-4</v>
      </c>
      <c r="P69" s="52">
        <v>0.2014781405977509</v>
      </c>
      <c r="Q69" s="28">
        <v>25.3974382103554</v>
      </c>
      <c r="R69" s="52">
        <v>-12.783691141980876</v>
      </c>
      <c r="S69" s="29">
        <v>0</v>
      </c>
      <c r="T69" s="181">
        <v>3</v>
      </c>
    </row>
    <row r="70" spans="1:20" ht="21.75" thickTop="1" x14ac:dyDescent="0.35">
      <c r="A70" s="30" t="s">
        <v>34</v>
      </c>
      <c r="B70" s="45">
        <v>2333</v>
      </c>
      <c r="C70" s="49">
        <v>2593</v>
      </c>
      <c r="D70" s="31"/>
      <c r="E70" s="57"/>
      <c r="F70" s="31"/>
      <c r="G70" s="61"/>
      <c r="H70" s="31"/>
      <c r="I70" s="61"/>
      <c r="J70" s="31"/>
      <c r="K70" s="61"/>
      <c r="L70" s="53">
        <v>-21.748752179926633</v>
      </c>
      <c r="M70" s="32">
        <v>62.664922725359311</v>
      </c>
      <c r="N70" s="53">
        <v>19.243490288050992</v>
      </c>
      <c r="O70" s="32">
        <v>0</v>
      </c>
      <c r="P70" s="53">
        <v>0.54827109266943286</v>
      </c>
      <c r="Q70" s="32">
        <v>0</v>
      </c>
      <c r="R70" s="53">
        <v>0</v>
      </c>
      <c r="S70" s="33">
        <v>0</v>
      </c>
      <c r="T70" s="181">
        <v>3</v>
      </c>
    </row>
    <row r="71" spans="1:20" ht="22.5" thickTop="1" thickBot="1" x14ac:dyDescent="0.4">
      <c r="A71" s="34" t="s">
        <v>34</v>
      </c>
      <c r="B71" s="46">
        <v>2593</v>
      </c>
      <c r="C71" s="50">
        <v>6000</v>
      </c>
      <c r="D71" s="35"/>
      <c r="E71" s="58"/>
      <c r="F71" s="35"/>
      <c r="G71" s="62"/>
      <c r="H71" s="35"/>
      <c r="I71" s="62"/>
      <c r="J71" s="35"/>
      <c r="K71" s="62"/>
      <c r="L71" s="54">
        <v>-21.748752179926633</v>
      </c>
      <c r="M71" s="36">
        <v>70.145528895303386</v>
      </c>
      <c r="N71" s="54">
        <v>24.05436286006374</v>
      </c>
      <c r="O71" s="36">
        <v>0</v>
      </c>
      <c r="P71" s="54">
        <v>0.29233267183835465</v>
      </c>
      <c r="Q71" s="36">
        <v>0</v>
      </c>
      <c r="R71" s="54">
        <v>0</v>
      </c>
      <c r="S71" s="37">
        <v>0</v>
      </c>
      <c r="T71" s="181">
        <v>3</v>
      </c>
    </row>
    <row r="72" spans="1:20" ht="21.75" thickTop="1" x14ac:dyDescent="0.35">
      <c r="A72" s="1" t="s">
        <v>35</v>
      </c>
      <c r="B72" s="44">
        <v>298</v>
      </c>
      <c r="C72" s="48">
        <v>1400</v>
      </c>
      <c r="D72" s="2"/>
      <c r="E72" s="56"/>
      <c r="F72" s="2"/>
      <c r="G72" s="60"/>
      <c r="H72" s="2"/>
      <c r="I72" s="60"/>
      <c r="J72" s="2"/>
      <c r="K72" s="60"/>
      <c r="L72" s="52">
        <v>-1.4942209393228696</v>
      </c>
      <c r="M72" s="28">
        <v>29.009561609236872</v>
      </c>
      <c r="N72" s="52">
        <v>1.4303926874736905</v>
      </c>
      <c r="O72" s="28">
        <v>-4.4945577004029101E-5</v>
      </c>
      <c r="P72" s="52">
        <v>-1.555475374346022E-2</v>
      </c>
      <c r="Q72" s="28">
        <v>71.353899813578693</v>
      </c>
      <c r="R72" s="52">
        <v>-222.14324373083167</v>
      </c>
      <c r="S72" s="29">
        <v>322.66522340489507</v>
      </c>
      <c r="T72" s="181">
        <v>3</v>
      </c>
    </row>
    <row r="73" spans="1:20" ht="22.5" thickTop="1" thickBot="1" x14ac:dyDescent="0.4">
      <c r="A73" s="34" t="s">
        <v>35</v>
      </c>
      <c r="B73" s="46">
        <v>1400</v>
      </c>
      <c r="C73" s="50">
        <v>6000</v>
      </c>
      <c r="D73" s="35"/>
      <c r="E73" s="58"/>
      <c r="F73" s="35"/>
      <c r="G73" s="62"/>
      <c r="H73" s="35"/>
      <c r="I73" s="62"/>
      <c r="J73" s="35"/>
      <c r="K73" s="62"/>
      <c r="L73" s="54">
        <v>-1.4942209393228696</v>
      </c>
      <c r="M73" s="36">
        <v>47.034457874797035</v>
      </c>
      <c r="N73" s="54">
        <v>7.2667268025738156</v>
      </c>
      <c r="O73" s="36">
        <v>6.8554934151181669E-4</v>
      </c>
      <c r="P73" s="54">
        <v>0.11850381863010402</v>
      </c>
      <c r="Q73" s="36">
        <v>-8.5365325635937221</v>
      </c>
      <c r="R73" s="54">
        <v>9.2136628781045147</v>
      </c>
      <c r="S73" s="37">
        <v>-3.5703890793192614</v>
      </c>
      <c r="T73" s="181">
        <v>3</v>
      </c>
    </row>
    <row r="74" spans="1:20" ht="21.75" thickTop="1" x14ac:dyDescent="0.35">
      <c r="A74" s="1" t="s">
        <v>36</v>
      </c>
      <c r="B74" s="44">
        <v>298</v>
      </c>
      <c r="C74" s="48">
        <v>1800</v>
      </c>
      <c r="D74" s="2"/>
      <c r="E74" s="56"/>
      <c r="F74" s="2"/>
      <c r="G74" s="60"/>
      <c r="H74" s="2"/>
      <c r="I74" s="60"/>
      <c r="J74" s="2"/>
      <c r="K74" s="60"/>
      <c r="L74" s="52">
        <v>3.9344398340248956</v>
      </c>
      <c r="M74" s="28">
        <v>26.555896325696072</v>
      </c>
      <c r="N74" s="52">
        <v>1.8786697937338384</v>
      </c>
      <c r="O74" s="28">
        <v>-1.6272776474833123E-5</v>
      </c>
      <c r="P74" s="52">
        <v>-5.2029586866317876E-3</v>
      </c>
      <c r="Q74" s="28">
        <v>17.1322388598232</v>
      </c>
      <c r="R74" s="52">
        <v>-43.040471465512056</v>
      </c>
      <c r="S74" s="29">
        <v>61.182271934572128</v>
      </c>
      <c r="T74" s="181">
        <v>3</v>
      </c>
    </row>
    <row r="75" spans="1:20" ht="22.5" thickTop="1" thickBot="1" x14ac:dyDescent="0.4">
      <c r="A75" s="34" t="s">
        <v>36</v>
      </c>
      <c r="B75" s="46">
        <v>1800</v>
      </c>
      <c r="C75" s="50">
        <v>6000</v>
      </c>
      <c r="D75" s="35"/>
      <c r="E75" s="58"/>
      <c r="F75" s="35"/>
      <c r="G75" s="62"/>
      <c r="H75" s="35"/>
      <c r="I75" s="62"/>
      <c r="J75" s="35"/>
      <c r="K75" s="62"/>
      <c r="L75" s="54">
        <v>3.9344398340248956</v>
      </c>
      <c r="M75" s="36">
        <v>-20.093090384268443</v>
      </c>
      <c r="N75" s="54">
        <v>-27.793974382103549</v>
      </c>
      <c r="O75" s="36">
        <v>9.6123639425100729E-2</v>
      </c>
      <c r="P75" s="54">
        <v>-3.9854952191953812</v>
      </c>
      <c r="Q75" s="36">
        <v>106.62685669613325</v>
      </c>
      <c r="R75" s="54">
        <v>-73.313488483973785</v>
      </c>
      <c r="S75" s="37">
        <v>24.277467075590831</v>
      </c>
      <c r="T75" s="181">
        <v>3</v>
      </c>
    </row>
    <row r="76" spans="1:20" ht="21.75" thickTop="1" x14ac:dyDescent="0.35">
      <c r="A76" s="1" t="s">
        <v>37</v>
      </c>
      <c r="B76" s="44">
        <v>298</v>
      </c>
      <c r="C76" s="48">
        <v>1128</v>
      </c>
      <c r="D76" s="2"/>
      <c r="E76" s="56"/>
      <c r="F76" s="2"/>
      <c r="G76" s="60"/>
      <c r="H76" s="2"/>
      <c r="I76" s="60"/>
      <c r="J76" s="2"/>
      <c r="K76" s="60"/>
      <c r="L76" s="52">
        <v>0</v>
      </c>
      <c r="M76" s="28">
        <v>13.497143544410365</v>
      </c>
      <c r="N76" s="52">
        <v>2.1994106681099281</v>
      </c>
      <c r="O76" s="28">
        <v>1.2783691141980878E-4</v>
      </c>
      <c r="P76" s="52">
        <v>-1.6816405075470563E-2</v>
      </c>
      <c r="Q76" s="28">
        <v>13.561729508689638</v>
      </c>
      <c r="R76" s="52">
        <v>0</v>
      </c>
      <c r="S76" s="29">
        <v>0</v>
      </c>
      <c r="T76" s="181">
        <v>3</v>
      </c>
    </row>
    <row r="77" spans="1:20" ht="21.75" thickTop="1" x14ac:dyDescent="0.35">
      <c r="A77" s="30" t="s">
        <v>37</v>
      </c>
      <c r="B77" s="45">
        <v>1128</v>
      </c>
      <c r="C77" s="49">
        <v>1289</v>
      </c>
      <c r="D77" s="31"/>
      <c r="E77" s="57"/>
      <c r="F77" s="31"/>
      <c r="G77" s="61"/>
      <c r="H77" s="31"/>
      <c r="I77" s="61"/>
      <c r="J77" s="31"/>
      <c r="K77" s="61"/>
      <c r="L77" s="53">
        <v>0</v>
      </c>
      <c r="M77" s="32">
        <v>20.685789885140416</v>
      </c>
      <c r="N77" s="53">
        <v>5.4122316435143416</v>
      </c>
      <c r="O77" s="32">
        <v>0</v>
      </c>
      <c r="P77" s="53">
        <v>0.13680918876661252</v>
      </c>
      <c r="Q77" s="32">
        <v>0</v>
      </c>
      <c r="R77" s="53">
        <v>0</v>
      </c>
      <c r="S77" s="33">
        <v>0</v>
      </c>
      <c r="T77" s="181">
        <v>3</v>
      </c>
    </row>
    <row r="78" spans="1:20" ht="21.75" thickTop="1" x14ac:dyDescent="0.35">
      <c r="A78" s="30" t="s">
        <v>37</v>
      </c>
      <c r="B78" s="45">
        <v>1289</v>
      </c>
      <c r="C78" s="49">
        <v>1500</v>
      </c>
      <c r="D78" s="31"/>
      <c r="E78" s="57"/>
      <c r="F78" s="31"/>
      <c r="G78" s="61"/>
      <c r="H78" s="31"/>
      <c r="I78" s="61"/>
      <c r="J78" s="31"/>
      <c r="K78" s="61"/>
      <c r="L78" s="53">
        <v>0</v>
      </c>
      <c r="M78" s="32">
        <v>16.206987792410846</v>
      </c>
      <c r="N78" s="53">
        <v>1.3868783450598352</v>
      </c>
      <c r="O78" s="32">
        <v>1.7507968007697397E-2</v>
      </c>
      <c r="P78" s="53">
        <v>-0.61282097540441394</v>
      </c>
      <c r="Q78" s="32">
        <v>7.7097841120933293</v>
      </c>
      <c r="R78" s="53">
        <v>0</v>
      </c>
      <c r="S78" s="33">
        <v>0</v>
      </c>
      <c r="T78" s="181">
        <v>3</v>
      </c>
    </row>
    <row r="79" spans="1:20" ht="22.5" thickTop="1" thickBot="1" x14ac:dyDescent="0.4">
      <c r="A79" s="34" t="s">
        <v>37</v>
      </c>
      <c r="B79" s="46">
        <v>1500</v>
      </c>
      <c r="C79" s="50">
        <v>5500</v>
      </c>
      <c r="D79" s="35"/>
      <c r="E79" s="58"/>
      <c r="F79" s="35"/>
      <c r="G79" s="62"/>
      <c r="H79" s="35"/>
      <c r="I79" s="62"/>
      <c r="J79" s="35"/>
      <c r="K79" s="62"/>
      <c r="L79" s="54">
        <v>0</v>
      </c>
      <c r="M79" s="36">
        <v>21.212580431775812</v>
      </c>
      <c r="N79" s="54">
        <v>5.2558782849239281</v>
      </c>
      <c r="O79" s="36">
        <v>0</v>
      </c>
      <c r="P79" s="54">
        <v>2.7506163930482889E-2</v>
      </c>
      <c r="Q79" s="36">
        <v>0</v>
      </c>
      <c r="R79" s="54">
        <v>0</v>
      </c>
      <c r="S79" s="37">
        <v>0</v>
      </c>
      <c r="T79" s="181">
        <v>3</v>
      </c>
    </row>
    <row r="80" spans="1:20" ht="21.75" thickTop="1" x14ac:dyDescent="0.35">
      <c r="A80" s="1" t="s">
        <v>27</v>
      </c>
      <c r="B80" s="44">
        <v>298</v>
      </c>
      <c r="C80" s="48">
        <v>848</v>
      </c>
      <c r="D80" s="2"/>
      <c r="E80" s="56"/>
      <c r="F80" s="2"/>
      <c r="G80" s="60"/>
      <c r="H80" s="2"/>
      <c r="I80" s="60"/>
      <c r="J80" s="2"/>
      <c r="K80" s="60"/>
      <c r="L80" s="52">
        <v>-10.953154128330024</v>
      </c>
      <c r="M80" s="28">
        <v>-92.287930723434954</v>
      </c>
      <c r="N80" s="52">
        <v>-26.567213903421731</v>
      </c>
      <c r="O80" s="28">
        <v>2.5586505502435499E-3</v>
      </c>
      <c r="P80" s="52">
        <v>-0.58728005291959817</v>
      </c>
      <c r="Q80" s="28">
        <v>696.92104155391178</v>
      </c>
      <c r="R80" s="52">
        <v>3412.7969210415536</v>
      </c>
      <c r="S80" s="29">
        <v>8867.159781105298</v>
      </c>
      <c r="T80" s="181">
        <v>3</v>
      </c>
    </row>
    <row r="81" spans="1:20" ht="21.75" thickTop="1" x14ac:dyDescent="0.35">
      <c r="A81" s="30" t="s">
        <v>27</v>
      </c>
      <c r="B81" s="45">
        <v>848</v>
      </c>
      <c r="C81" s="49">
        <v>1200</v>
      </c>
      <c r="D81" s="31"/>
      <c r="E81" s="57"/>
      <c r="F81" s="31"/>
      <c r="G81" s="61"/>
      <c r="H81" s="31"/>
      <c r="I81" s="61"/>
      <c r="J81" s="31"/>
      <c r="K81" s="61"/>
      <c r="L81" s="53">
        <v>-10.953154128330024</v>
      </c>
      <c r="M81" s="32">
        <v>21.87636057489927</v>
      </c>
      <c r="N81" s="53">
        <v>7.0265439894160791</v>
      </c>
      <c r="O81" s="32">
        <v>1.1630284442840819E-4</v>
      </c>
      <c r="P81" s="53">
        <v>0.13388297552468578</v>
      </c>
      <c r="Q81" s="32">
        <v>6.2101148595826565</v>
      </c>
      <c r="R81" s="53">
        <v>0</v>
      </c>
      <c r="S81" s="33">
        <v>0</v>
      </c>
      <c r="T81" s="181">
        <v>3</v>
      </c>
    </row>
    <row r="82" spans="1:20" ht="21.75" thickTop="1" x14ac:dyDescent="0.35">
      <c r="A82" s="30" t="s">
        <v>27</v>
      </c>
      <c r="B82" s="45">
        <v>1200</v>
      </c>
      <c r="C82" s="49">
        <v>1996</v>
      </c>
      <c r="D82" s="31"/>
      <c r="E82" s="57"/>
      <c r="F82" s="31"/>
      <c r="G82" s="61"/>
      <c r="H82" s="31"/>
      <c r="I82" s="61"/>
      <c r="J82" s="31"/>
      <c r="K82" s="61"/>
      <c r="L82" s="53">
        <v>-10.953154128330024</v>
      </c>
      <c r="M82" s="32">
        <v>26.617234950989232</v>
      </c>
      <c r="N82" s="53">
        <v>9.3310722232244867</v>
      </c>
      <c r="O82" s="32">
        <v>-2.6784533044680978E-3</v>
      </c>
      <c r="P82" s="53">
        <v>0.30701786036442358</v>
      </c>
      <c r="Q82" s="32">
        <v>-3.6534969030007813</v>
      </c>
      <c r="R82" s="53">
        <v>5.5673822839617531</v>
      </c>
      <c r="S82" s="33">
        <v>0</v>
      </c>
      <c r="T82" s="181">
        <v>3</v>
      </c>
    </row>
    <row r="83" spans="1:20" ht="22.5" thickTop="1" thickBot="1" x14ac:dyDescent="0.4">
      <c r="A83" s="34" t="s">
        <v>27</v>
      </c>
      <c r="B83" s="46">
        <v>1996</v>
      </c>
      <c r="C83" s="50">
        <v>4700</v>
      </c>
      <c r="D83" s="35"/>
      <c r="E83" s="58"/>
      <c r="F83" s="35"/>
      <c r="G83" s="62"/>
      <c r="H83" s="35"/>
      <c r="I83" s="62"/>
      <c r="J83" s="35"/>
      <c r="K83" s="62"/>
      <c r="L83" s="54">
        <v>-10.953154128330024</v>
      </c>
      <c r="M83" s="36">
        <v>26.904925130795593</v>
      </c>
      <c r="N83" s="54">
        <v>10.042732575620901</v>
      </c>
      <c r="O83" s="36">
        <v>0</v>
      </c>
      <c r="P83" s="54">
        <v>0.36377412953274396</v>
      </c>
      <c r="Q83" s="36">
        <v>0</v>
      </c>
      <c r="R83" s="54">
        <v>0</v>
      </c>
      <c r="S83" s="37">
        <v>0</v>
      </c>
      <c r="T83" s="181">
        <v>3</v>
      </c>
    </row>
    <row r="84" spans="1:20" ht="21.75" thickTop="1" x14ac:dyDescent="0.35">
      <c r="A84" s="1" t="s">
        <v>28</v>
      </c>
      <c r="B84" s="44">
        <v>298</v>
      </c>
      <c r="C84" s="48">
        <v>500</v>
      </c>
      <c r="D84" s="2"/>
      <c r="E84" s="56"/>
      <c r="F84" s="2"/>
      <c r="G84" s="60"/>
      <c r="H84" s="2"/>
      <c r="I84" s="60"/>
      <c r="J84" s="2"/>
      <c r="K84" s="60"/>
      <c r="L84" s="52">
        <v>-20.153947922304404</v>
      </c>
      <c r="M84" s="28">
        <v>32.273137290276019</v>
      </c>
      <c r="N84" s="52">
        <v>11.673113235913164</v>
      </c>
      <c r="O84" s="28">
        <v>-1.5854110289253711E-3</v>
      </c>
      <c r="P84" s="52">
        <v>0.35477659510493714</v>
      </c>
      <c r="Q84" s="28">
        <v>23.465030969992181</v>
      </c>
      <c r="R84" s="52">
        <v>0</v>
      </c>
      <c r="S84" s="29">
        <v>0</v>
      </c>
      <c r="T84" s="181">
        <v>3</v>
      </c>
    </row>
    <row r="85" spans="1:20" ht="21.75" thickTop="1" x14ac:dyDescent="0.35">
      <c r="A85" s="30" t="s">
        <v>28</v>
      </c>
      <c r="B85" s="45">
        <v>500</v>
      </c>
      <c r="C85" s="49">
        <v>1200</v>
      </c>
      <c r="D85" s="31"/>
      <c r="E85" s="57"/>
      <c r="F85" s="31"/>
      <c r="G85" s="61"/>
      <c r="H85" s="31"/>
      <c r="I85" s="61"/>
      <c r="J85" s="31"/>
      <c r="K85" s="61"/>
      <c r="L85" s="53">
        <v>-20.153947922304404</v>
      </c>
      <c r="M85" s="32">
        <v>39.781947200673521</v>
      </c>
      <c r="N85" s="53">
        <v>14.754837933730229</v>
      </c>
      <c r="O85" s="32">
        <v>-3.0211077034097054E-3</v>
      </c>
      <c r="P85" s="53">
        <v>0.51796860905646758</v>
      </c>
      <c r="Q85" s="32">
        <v>4.1366287810451619</v>
      </c>
      <c r="R85" s="53">
        <v>0</v>
      </c>
      <c r="S85" s="33">
        <v>0</v>
      </c>
      <c r="T85" s="181">
        <v>3</v>
      </c>
    </row>
    <row r="86" spans="1:20" ht="21.75" thickTop="1" x14ac:dyDescent="0.35">
      <c r="A86" s="30" t="s">
        <v>28</v>
      </c>
      <c r="B86" s="45">
        <v>1200</v>
      </c>
      <c r="C86" s="49">
        <v>2327</v>
      </c>
      <c r="D86" s="31"/>
      <c r="E86" s="57"/>
      <c r="F86" s="31"/>
      <c r="G86" s="61"/>
      <c r="H86" s="31"/>
      <c r="I86" s="61"/>
      <c r="J86" s="31"/>
      <c r="K86" s="61"/>
      <c r="L86" s="53">
        <v>-20.153947922304404</v>
      </c>
      <c r="M86" s="32">
        <v>36.55758013109628</v>
      </c>
      <c r="N86" s="53">
        <v>12.937784593180586</v>
      </c>
      <c r="O86" s="32">
        <v>0</v>
      </c>
      <c r="P86" s="53">
        <v>0.33348968669192375</v>
      </c>
      <c r="Q86" s="32">
        <v>9.9641589993385029</v>
      </c>
      <c r="R86" s="53">
        <v>0</v>
      </c>
      <c r="S86" s="33">
        <v>0</v>
      </c>
      <c r="T86" s="181">
        <v>3</v>
      </c>
    </row>
    <row r="87" spans="1:20" ht="22.5" thickTop="1" thickBot="1" x14ac:dyDescent="0.4">
      <c r="A87" s="34" t="s">
        <v>28</v>
      </c>
      <c r="B87" s="46">
        <v>2327</v>
      </c>
      <c r="C87" s="50">
        <v>5400</v>
      </c>
      <c r="D87" s="35"/>
      <c r="E87" s="58"/>
      <c r="F87" s="35"/>
      <c r="G87" s="62"/>
      <c r="H87" s="35"/>
      <c r="I87" s="62"/>
      <c r="J87" s="35"/>
      <c r="K87" s="62"/>
      <c r="L87" s="54">
        <v>-20.153947922304404</v>
      </c>
      <c r="M87" s="36">
        <v>50.000240543628593</v>
      </c>
      <c r="N87" s="54">
        <v>19.592278549521918</v>
      </c>
      <c r="O87" s="36">
        <v>0</v>
      </c>
      <c r="P87" s="54">
        <v>2.6339527331769798E-3</v>
      </c>
      <c r="Q87" s="36">
        <v>0</v>
      </c>
      <c r="R87" s="54">
        <v>0</v>
      </c>
      <c r="S87" s="37">
        <v>0</v>
      </c>
      <c r="T87" s="181">
        <v>3</v>
      </c>
    </row>
    <row r="88" spans="1:20" ht="21.75" thickTop="1" x14ac:dyDescent="0.35">
      <c r="A88" s="1" t="s">
        <v>29</v>
      </c>
      <c r="B88" s="44">
        <v>298</v>
      </c>
      <c r="C88" s="48">
        <v>500</v>
      </c>
      <c r="D88" s="2"/>
      <c r="E88" s="56"/>
      <c r="F88" s="2"/>
      <c r="G88" s="60"/>
      <c r="H88" s="2"/>
      <c r="I88" s="60"/>
      <c r="J88" s="2"/>
      <c r="K88" s="60"/>
      <c r="L88" s="52">
        <f>L80*2+3*L84</f>
        <v>-82.368152023573259</v>
      </c>
      <c r="M88" s="28">
        <f t="shared" ref="M88:S88" si="0">M80*0.4+0.6*M84</f>
        <v>-17.551289915208375</v>
      </c>
      <c r="N88" s="52">
        <f t="shared" si="0"/>
        <v>-3.6230176198207955</v>
      </c>
      <c r="O88" s="28">
        <f t="shared" si="0"/>
        <v>7.2213602742197416E-5</v>
      </c>
      <c r="P88" s="52">
        <f t="shared" si="0"/>
        <v>-2.2046064104877E-2</v>
      </c>
      <c r="Q88" s="28">
        <f t="shared" si="0"/>
        <v>292.84743520356</v>
      </c>
      <c r="R88" s="52">
        <f t="shared" si="0"/>
        <v>1365.1187684166216</v>
      </c>
      <c r="S88" s="29">
        <f t="shared" si="0"/>
        <v>3546.8639124421193</v>
      </c>
      <c r="T88" s="181">
        <v>3</v>
      </c>
    </row>
    <row r="89" spans="1:20" ht="21.75" thickTop="1" x14ac:dyDescent="0.35">
      <c r="A89" s="30" t="s">
        <v>29</v>
      </c>
      <c r="B89" s="45">
        <v>500</v>
      </c>
      <c r="C89" s="49">
        <v>848</v>
      </c>
      <c r="D89" s="31"/>
      <c r="E89" s="57"/>
      <c r="F89" s="31"/>
      <c r="G89" s="61"/>
      <c r="H89" s="31"/>
      <c r="I89" s="61"/>
      <c r="J89" s="31"/>
      <c r="K89" s="61"/>
      <c r="L89" s="53">
        <v>-82.368152023573259</v>
      </c>
      <c r="M89" s="32">
        <f t="shared" ref="M89:S89" si="1">M80*0.4+0.6*M85</f>
        <v>-13.046003968969874</v>
      </c>
      <c r="N89" s="53">
        <f t="shared" si="1"/>
        <v>-1.7739828011305558</v>
      </c>
      <c r="O89" s="32">
        <f t="shared" si="1"/>
        <v>-7.8920440194840311E-4</v>
      </c>
      <c r="P89" s="53">
        <f t="shared" si="1"/>
        <v>7.5869144266041244E-2</v>
      </c>
      <c r="Q89" s="32">
        <f t="shared" si="1"/>
        <v>281.25039389019179</v>
      </c>
      <c r="R89" s="53">
        <f t="shared" si="1"/>
        <v>1365.1187684166216</v>
      </c>
      <c r="S89" s="33">
        <f t="shared" si="1"/>
        <v>3546.8639124421193</v>
      </c>
      <c r="T89" s="181">
        <v>3</v>
      </c>
    </row>
    <row r="90" spans="1:20" ht="21.75" thickTop="1" x14ac:dyDescent="0.35">
      <c r="A90" s="30" t="s">
        <v>29</v>
      </c>
      <c r="B90" s="45">
        <v>848</v>
      </c>
      <c r="C90" s="49">
        <v>1200</v>
      </c>
      <c r="D90" s="31"/>
      <c r="E90" s="57"/>
      <c r="F90" s="31"/>
      <c r="G90" s="61"/>
      <c r="H90" s="31"/>
      <c r="I90" s="61"/>
      <c r="J90" s="31"/>
      <c r="K90" s="61"/>
      <c r="L90" s="53">
        <v>-82.368152023573259</v>
      </c>
      <c r="M90" s="32">
        <f t="shared" ref="M90:S91" si="2">M81*0.4+0.6*M85</f>
        <v>32.619712550363815</v>
      </c>
      <c r="N90" s="53">
        <f t="shared" si="2"/>
        <v>11.66352035600457</v>
      </c>
      <c r="O90" s="32">
        <f t="shared" si="2"/>
        <v>-1.7661434842744599E-3</v>
      </c>
      <c r="P90" s="53">
        <f t="shared" si="2"/>
        <v>0.36433435564375483</v>
      </c>
      <c r="Q90" s="32">
        <f t="shared" si="2"/>
        <v>4.9660232124601595</v>
      </c>
      <c r="R90" s="53">
        <f t="shared" si="2"/>
        <v>0</v>
      </c>
      <c r="S90" s="33">
        <f t="shared" si="2"/>
        <v>0</v>
      </c>
      <c r="T90" s="181">
        <v>3</v>
      </c>
    </row>
    <row r="91" spans="1:20" ht="21.75" thickTop="1" x14ac:dyDescent="0.35">
      <c r="A91" s="30" t="s">
        <v>29</v>
      </c>
      <c r="B91" s="45">
        <v>1200</v>
      </c>
      <c r="C91" s="49">
        <v>1996</v>
      </c>
      <c r="D91" s="31"/>
      <c r="E91" s="57"/>
      <c r="F91" s="31"/>
      <c r="G91" s="61"/>
      <c r="H91" s="31"/>
      <c r="I91" s="61"/>
      <c r="J91" s="31"/>
      <c r="K91" s="61"/>
      <c r="L91" s="53">
        <v>-82.368152023573259</v>
      </c>
      <c r="M91" s="32">
        <f t="shared" si="2"/>
        <v>32.581442059053458</v>
      </c>
      <c r="N91" s="53">
        <f t="shared" si="2"/>
        <v>11.495099645198145</v>
      </c>
      <c r="O91" s="32">
        <f t="shared" si="2"/>
        <v>-1.0713813217872392E-3</v>
      </c>
      <c r="P91" s="53">
        <f t="shared" si="2"/>
        <v>0.32290095616092368</v>
      </c>
      <c r="Q91" s="32">
        <f t="shared" si="2"/>
        <v>4.5170966384027889</v>
      </c>
      <c r="R91" s="53">
        <f t="shared" si="2"/>
        <v>2.2269529135847015</v>
      </c>
      <c r="S91" s="33">
        <f t="shared" si="2"/>
        <v>0</v>
      </c>
      <c r="T91" s="181">
        <v>3</v>
      </c>
    </row>
    <row r="92" spans="1:20" ht="21.75" thickTop="1" x14ac:dyDescent="0.35">
      <c r="A92" s="30" t="s">
        <v>29</v>
      </c>
      <c r="B92" s="45">
        <v>1996</v>
      </c>
      <c r="C92" s="49">
        <v>2327</v>
      </c>
      <c r="D92" s="31"/>
      <c r="E92" s="57"/>
      <c r="F92" s="31"/>
      <c r="G92" s="61"/>
      <c r="H92" s="31"/>
      <c r="I92" s="61"/>
      <c r="J92" s="31"/>
      <c r="K92" s="61"/>
      <c r="L92" s="53">
        <v>-82.368152023573259</v>
      </c>
      <c r="M92" s="32">
        <f t="shared" ref="M92:S92" si="3">M83*0.4+0.6*M86</f>
        <v>32.696518130976003</v>
      </c>
      <c r="N92" s="53">
        <f t="shared" si="3"/>
        <v>11.77976378615671</v>
      </c>
      <c r="O92" s="32">
        <f t="shared" si="3"/>
        <v>0</v>
      </c>
      <c r="P92" s="53">
        <f t="shared" si="3"/>
        <v>0.3456034638282518</v>
      </c>
      <c r="Q92" s="32">
        <f t="shared" si="3"/>
        <v>5.9784953996031014</v>
      </c>
      <c r="R92" s="53">
        <f t="shared" si="3"/>
        <v>0</v>
      </c>
      <c r="S92" s="33">
        <f t="shared" si="3"/>
        <v>0</v>
      </c>
      <c r="T92" s="181">
        <v>3</v>
      </c>
    </row>
    <row r="93" spans="1:20" ht="21.75" thickBot="1" x14ac:dyDescent="0.4">
      <c r="A93" s="34" t="s">
        <v>29</v>
      </c>
      <c r="B93" s="46">
        <v>2327</v>
      </c>
      <c r="C93" s="50">
        <v>4700</v>
      </c>
      <c r="D93" s="35"/>
      <c r="E93" s="58"/>
      <c r="F93" s="35"/>
      <c r="G93" s="62"/>
      <c r="H93" s="35"/>
      <c r="I93" s="62"/>
      <c r="J93" s="35"/>
      <c r="K93" s="62"/>
      <c r="L93" s="54">
        <v>-82.368152023573259</v>
      </c>
      <c r="M93" s="36">
        <f t="shared" ref="M93:S93" si="4">M83*0.4+0.6*M87</f>
        <v>40.76211437849539</v>
      </c>
      <c r="N93" s="54">
        <f t="shared" si="4"/>
        <v>15.772460159961511</v>
      </c>
      <c r="O93" s="36">
        <f t="shared" si="4"/>
        <v>0</v>
      </c>
      <c r="P93" s="54">
        <f t="shared" si="4"/>
        <v>0.14709002345300376</v>
      </c>
      <c r="Q93" s="36">
        <f t="shared" si="4"/>
        <v>0</v>
      </c>
      <c r="R93" s="54">
        <f t="shared" si="4"/>
        <v>0</v>
      </c>
      <c r="S93" s="37">
        <f t="shared" si="4"/>
        <v>0</v>
      </c>
      <c r="T93" s="181">
        <v>3</v>
      </c>
    </row>
  </sheetData>
  <autoFilter ref="A29:C29" xr:uid="{00000000-0009-0000-0000-000000000000}"/>
  <dataConsolidate link="1">
    <dataRefs count="2">
      <dataRef ref="B8:B97" sheet="Из TERRA"/>
      <dataRef ref="C8:C97" sheet="Из TERRA"/>
    </dataRefs>
  </dataConsolidate>
  <customSheetViews>
    <customSheetView guid="{5CD7248E-C04A-445B-8512-C9303DEF235B}" scale="115" hiddenColumns="1">
      <selection activeCell="A2" sqref="A2:S2"/>
      <pageMargins left="0.7" right="0.7" top="0.75" bottom="0.75" header="0.3" footer="0.3"/>
    </customSheetView>
  </customSheetViews>
  <mergeCells count="1">
    <mergeCell ref="A28:T2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>
    <tabColor rgb="FF0070C0"/>
  </sheetPr>
  <dimension ref="A1:AC52"/>
  <sheetViews>
    <sheetView zoomScale="70" zoomScaleNormal="70" workbookViewId="0">
      <pane xSplit="3" ySplit="1" topLeftCell="D26" activePane="bottomRight" state="frozen"/>
      <selection pane="topRight" activeCell="D1" sqref="D1"/>
      <selection pane="bottomLeft" activeCell="A2" sqref="A2"/>
      <selection pane="bottomRight" activeCell="J46" sqref="J46"/>
    </sheetView>
  </sheetViews>
  <sheetFormatPr defaultRowHeight="21" outlineLevelCol="1" x14ac:dyDescent="0.35"/>
  <cols>
    <col min="1" max="1" width="6.36328125" style="71" customWidth="1"/>
    <col min="2" max="2" width="3.7265625" style="71" customWidth="1"/>
    <col min="3" max="4" width="6.90625" style="71" customWidth="1"/>
    <col min="5" max="5" width="8.6328125" style="71" customWidth="1"/>
    <col min="6" max="6" width="9.6328125" style="71" customWidth="1"/>
    <col min="7" max="11" width="7.6328125" style="71" customWidth="1"/>
    <col min="12" max="20" width="9.6328125" style="71" hidden="1" customWidth="1" outlineLevel="1"/>
    <col min="21" max="21" width="11.08984375" style="71" bestFit="1" customWidth="1" collapsed="1"/>
    <col min="22" max="23" width="9.90625" style="71" customWidth="1"/>
    <col min="24" max="24" width="12.1796875" style="71" bestFit="1" customWidth="1"/>
    <col min="25" max="25" width="10.26953125" style="71" bestFit="1" customWidth="1"/>
    <col min="26" max="26" width="10.6328125" style="71" bestFit="1" customWidth="1"/>
    <col min="27" max="28" width="9.90625" style="71" customWidth="1"/>
    <col min="29" max="29" width="3" style="182" customWidth="1"/>
    <col min="30" max="16384" width="8.7265625" style="71"/>
  </cols>
  <sheetData>
    <row r="1" spans="1:29" ht="28.5" customHeight="1" thickTop="1" thickBot="1" x14ac:dyDescent="0.4">
      <c r="A1" s="381">
        <v>8.3145000000000007</v>
      </c>
      <c r="B1" s="381" t="s">
        <v>99</v>
      </c>
      <c r="C1" s="381" t="s">
        <v>58</v>
      </c>
      <c r="D1" s="381" t="s">
        <v>59</v>
      </c>
      <c r="E1" s="381" t="s">
        <v>64</v>
      </c>
      <c r="F1" s="381" t="s">
        <v>54</v>
      </c>
      <c r="G1" s="381" t="s">
        <v>40</v>
      </c>
      <c r="H1" s="381" t="s">
        <v>71</v>
      </c>
      <c r="I1" s="381" t="s">
        <v>72</v>
      </c>
      <c r="J1" s="381" t="s">
        <v>74</v>
      </c>
      <c r="K1" s="381" t="s">
        <v>73</v>
      </c>
      <c r="L1" s="381" t="s">
        <v>67</v>
      </c>
      <c r="M1" s="381" t="s">
        <v>50</v>
      </c>
      <c r="N1" s="381" t="s">
        <v>57</v>
      </c>
      <c r="O1" s="381" t="s">
        <v>53</v>
      </c>
      <c r="P1" s="381" t="s">
        <v>66</v>
      </c>
      <c r="Q1" s="381" t="s">
        <v>51</v>
      </c>
      <c r="R1" s="381" t="s">
        <v>54</v>
      </c>
      <c r="S1" s="381" t="s">
        <v>52</v>
      </c>
      <c r="T1" s="381" t="s">
        <v>56</v>
      </c>
      <c r="U1" s="381" t="s">
        <v>41</v>
      </c>
      <c r="V1" s="381" t="s">
        <v>42</v>
      </c>
      <c r="W1" s="381" t="s">
        <v>43</v>
      </c>
      <c r="X1" s="381" t="s">
        <v>44</v>
      </c>
      <c r="Y1" s="381" t="s">
        <v>45</v>
      </c>
      <c r="Z1" s="381" t="s">
        <v>46</v>
      </c>
      <c r="AA1" s="381" t="s">
        <v>47</v>
      </c>
      <c r="AB1" s="381" t="s">
        <v>48</v>
      </c>
      <c r="AC1" s="382" t="s">
        <v>110</v>
      </c>
    </row>
    <row r="2" spans="1:29" ht="28.5" customHeight="1" thickTop="1" thickBot="1" x14ac:dyDescent="0.4">
      <c r="A2" s="317"/>
      <c r="B2" s="318"/>
      <c r="C2" s="319"/>
      <c r="D2" s="319"/>
      <c r="E2" s="319"/>
      <c r="F2" s="315" t="s">
        <v>121</v>
      </c>
      <c r="G2" s="315"/>
      <c r="H2" s="315"/>
      <c r="I2" s="315"/>
      <c r="J2" s="315"/>
      <c r="K2" s="315"/>
      <c r="L2" s="316"/>
      <c r="M2" s="316"/>
      <c r="N2" s="316"/>
      <c r="O2" s="316"/>
      <c r="P2" s="316"/>
      <c r="Q2" s="316"/>
      <c r="R2" s="316"/>
      <c r="S2" s="316"/>
      <c r="T2" s="316"/>
      <c r="U2" s="320"/>
      <c r="V2" s="320"/>
      <c r="W2" s="320"/>
      <c r="X2" s="320"/>
      <c r="Y2" s="320"/>
      <c r="Z2" s="320"/>
      <c r="AA2" s="320"/>
      <c r="AB2" s="321"/>
      <c r="AC2" s="322"/>
    </row>
    <row r="3" spans="1:29" ht="21.75" thickTop="1" x14ac:dyDescent="0.35">
      <c r="A3" s="112" t="s">
        <v>70</v>
      </c>
      <c r="B3" s="72" t="s">
        <v>65</v>
      </c>
      <c r="C3" s="73">
        <v>298.14999999999998</v>
      </c>
      <c r="D3" s="83">
        <f>IF(B3="end","N/D",C4)</f>
        <v>2000</v>
      </c>
      <c r="E3" s="74">
        <v>235.4</v>
      </c>
      <c r="F3" s="75">
        <v>176.7</v>
      </c>
      <c r="G3" s="76">
        <v>21.46</v>
      </c>
      <c r="H3" s="76">
        <v>1.51</v>
      </c>
      <c r="I3" s="76">
        <v>-0.09</v>
      </c>
      <c r="J3" s="76"/>
      <c r="K3" s="76"/>
      <c r="L3" s="88" t="str">
        <f>IF(OR( B3="end",B4="end"),"N/D",(O4-Q3)/1000)</f>
        <v>N/D</v>
      </c>
      <c r="M3" s="88" t="str">
        <f>IF(OR( B3="end",B4="end"),"N/D",L3*1000/C4)</f>
        <v>N/D</v>
      </c>
      <c r="N3" s="162">
        <f>C3/10000</f>
        <v>2.9814999999999998E-2</v>
      </c>
      <c r="O3" s="89">
        <f>IF(B3="end","N/D",E3*1000)</f>
        <v>235400</v>
      </c>
      <c r="P3" s="148">
        <f>IF(B3="end","N/D",10000*$A$1*(N4*W3-X3*2/N4+Z3*N4^2+AA3*2*N4^3+AB3*3*N4^4-Y3))</f>
        <v>39217.724986891255</v>
      </c>
      <c r="Q3" s="90">
        <f>IF(B3="end","N/D",$O$3+P3)</f>
        <v>274617.72498689126</v>
      </c>
      <c r="R3" s="91">
        <f>IF(B3="end","N/D",F3)</f>
        <v>176.7</v>
      </c>
      <c r="S3" s="92">
        <f>IF(B3="end","N/D",$A$1*(V3+W3+W3*LN(N4)-X3/N4^2+Z3*2*N4+AA3*3*N4^2+AB3*4*N4^3))</f>
        <v>219.61976058467505</v>
      </c>
      <c r="T3" s="93">
        <f>IF(B3="end","N/D",$A$1*(W3+X3*2/(N4^2)+Z3*2*N4+AA3*6+AB3*12*N4^3))</f>
        <v>24.4575</v>
      </c>
      <c r="U3" s="94">
        <f>IF(B3="end","N/D",$O$3/$A$1/10000)</f>
        <v>2.8311985086295026</v>
      </c>
      <c r="V3" s="93">
        <f>IF(B3="end","N/D",R3/$A$1 - W3 - W3*LN(N3) + X3/(N3^2) - Z3*2*N3 - AA3*3*N3^2 - AB3*4*N3^3)</f>
        <v>27.622472570270105</v>
      </c>
      <c r="W3" s="94">
        <f>IF(B3="end","N/D",G3/$A$1)</f>
        <v>2.5810331348848394</v>
      </c>
      <c r="X3" s="93">
        <f>IF(B3="end","N/D",I3/(2*100*$A$1))</f>
        <v>-5.4122316435143416E-5</v>
      </c>
      <c r="Y3" s="94">
        <f>IF(B3="end","N/D",W3*N3 - X3*2/N3 + Z3*N3^2 + AA3*2*N3^3 + AB3*3*N3^4 + ($O$3-O3)/10000/$A$1)</f>
        <v>8.1391244369580201E-2</v>
      </c>
      <c r="Z3" s="93">
        <f>IF(B3="end","N/D",H3*10/2/$A$1)</f>
        <v>0.90805219796740622</v>
      </c>
      <c r="AA3" s="94">
        <f>IF(B3="end","N/D",J3*100/6/$A$1)</f>
        <v>0</v>
      </c>
      <c r="AB3" s="95">
        <f>IF(B3="end","N/D",K3*10^12/12/$A$1)</f>
        <v>0</v>
      </c>
      <c r="AC3" s="188">
        <v>2</v>
      </c>
    </row>
    <row r="4" spans="1:29" x14ac:dyDescent="0.35">
      <c r="A4" s="113" t="str">
        <f>A3</f>
        <v>Se</v>
      </c>
      <c r="B4" s="111" t="s">
        <v>62</v>
      </c>
      <c r="C4" s="77">
        <v>2000</v>
      </c>
      <c r="D4" s="84" t="str">
        <f>IF(B4="end","N/D",C5)</f>
        <v>N/D</v>
      </c>
      <c r="E4" s="78">
        <v>11.3</v>
      </c>
      <c r="F4" s="86" t="str">
        <f>IF(B4="end", "N/D",S3+M3)</f>
        <v>N/D</v>
      </c>
      <c r="G4" s="79">
        <v>21.43</v>
      </c>
      <c r="H4" s="79"/>
      <c r="I4" s="79"/>
      <c r="J4" s="79"/>
      <c r="K4" s="79"/>
      <c r="L4" s="86" t="str">
        <f>IF(OR( B4="end",B5="end"),"N/D",(O5-Q4)/1000)</f>
        <v>N/D</v>
      </c>
      <c r="M4" s="86" t="str">
        <f>IF(OR( B4="end",B5="end"),"N/D",L4*1000/C5)</f>
        <v>N/D</v>
      </c>
      <c r="N4" s="163">
        <f>C4/10000</f>
        <v>0.2</v>
      </c>
      <c r="O4" s="96" t="str">
        <f>IF(B4="end","N/D",E4*1000)</f>
        <v>N/D</v>
      </c>
      <c r="P4" s="149" t="str">
        <f>IF(B4="end","N/D",10000*$A$1*(N5*W4-X4*2/N5+Z4*N5^2+AA4*2*N5^3+AB4*3*N5^4-Y4))</f>
        <v>N/D</v>
      </c>
      <c r="Q4" s="97" t="str">
        <f>IF(B4="end","N/D",$O$3+P4)</f>
        <v>N/D</v>
      </c>
      <c r="R4" s="98" t="str">
        <f>IF(B4="end","N/D",F4)</f>
        <v>N/D</v>
      </c>
      <c r="S4" s="99" t="str">
        <f>IF(B4="end","N/D",$A$1*(V4+W4+W4*LN(N5)-X4/N5^2+Z4*2*N5+AA4*3*N5^2+AB4*4*N5^3))</f>
        <v>N/D</v>
      </c>
      <c r="T4" s="100" t="str">
        <f>IF(B4="end","N/D",$A$1*(W4+X4*2/(N5^2)+Z4*2*N5+AA4*6+AB4*12*N5^3))</f>
        <v>N/D</v>
      </c>
      <c r="U4" s="101" t="str">
        <f>IF(B4="end","N/D",$O$3/$A$1/10000)</f>
        <v>N/D</v>
      </c>
      <c r="V4" s="100" t="str">
        <f>IF(B4="end","N/D",R4/$A$1 - W4 - W4*LN(N4) + X4/(N4^2) - Z4*2*N4 - AA4*3*N4^2 - AB4*4*N4^3)</f>
        <v>N/D</v>
      </c>
      <c r="W4" s="101" t="str">
        <f>IF(B4="end","N/D",G4/$A$1)</f>
        <v>N/D</v>
      </c>
      <c r="X4" s="100" t="str">
        <f>IF(B4="end","N/D",I4/(2*100*$A$1))</f>
        <v>N/D</v>
      </c>
      <c r="Y4" s="101" t="str">
        <f>IF(B4="end","N/D",W4*N4 - X4*2/N4 + Z4*N4^2 + AA4*2*N4^3 + AB4*3*N4^4 + ($O$3-O4)/10000/$A$1)</f>
        <v>N/D</v>
      </c>
      <c r="Z4" s="100" t="str">
        <f>IF(B4="end","N/D",H4*10/2/$A$1)</f>
        <v>N/D</v>
      </c>
      <c r="AA4" s="101" t="str">
        <f>IF(B4="end","N/D",J4*100/6/$A$1)</f>
        <v>N/D</v>
      </c>
      <c r="AB4" s="102" t="str">
        <f>IF(B4="end","N/D",K4*10^12/12/$A$1)</f>
        <v>N/D</v>
      </c>
      <c r="AC4" s="188">
        <v>2</v>
      </c>
    </row>
    <row r="5" spans="1:29" ht="21.75" customHeight="1" thickBot="1" x14ac:dyDescent="0.4">
      <c r="A5" s="114" t="str">
        <f>A4</f>
        <v>Se</v>
      </c>
      <c r="B5" s="80" t="s">
        <v>62</v>
      </c>
      <c r="C5" s="81">
        <v>957</v>
      </c>
      <c r="D5" s="85" t="str">
        <f>IF(B5="end","N/D",C24)</f>
        <v>N/D</v>
      </c>
      <c r="E5" s="82"/>
      <c r="F5" s="87" t="str">
        <f>IF(B5="end", "N/D",S4+M4)</f>
        <v>N/D</v>
      </c>
      <c r="G5" s="82"/>
      <c r="H5" s="82"/>
      <c r="I5" s="82"/>
      <c r="J5" s="82"/>
      <c r="K5" s="82"/>
      <c r="L5" s="87" t="str">
        <f>IF(OR( B5="end",B24="end"),"N/D",(O24-Q5)/1000)</f>
        <v>N/D</v>
      </c>
      <c r="M5" s="87" t="str">
        <f>IF(OR( B5="end",B24="end"),"N/D",L5*1000/C24)</f>
        <v>N/D</v>
      </c>
      <c r="N5" s="164">
        <f>C5/10000</f>
        <v>9.5699999999999993E-2</v>
      </c>
      <c r="O5" s="103" t="str">
        <f>IF(B5="end","N/D",E5*1000)</f>
        <v>N/D</v>
      </c>
      <c r="P5" s="150" t="str">
        <f>IF(B5="end","N/D",10000*$A$1*(N24*W5-X5*2/N24+Z5*N24^2+AA5*2*N24^3+AB5*3*N24^4-Y5))</f>
        <v>N/D</v>
      </c>
      <c r="Q5" s="104" t="str">
        <f>IF(B5="end","N/D",$O$3+P5)</f>
        <v>N/D</v>
      </c>
      <c r="R5" s="105" t="str">
        <f>IF(B5="end","N/D",F5)</f>
        <v>N/D</v>
      </c>
      <c r="S5" s="106" t="str">
        <f>IF(B5="end","N/D",$A$1*(V5+W5+W5*LN(N24)-X5/N24^2+Z5*2*N24+AA5*3*N24^2+AB5*4*N24^3))</f>
        <v>N/D</v>
      </c>
      <c r="T5" s="107" t="str">
        <f>IF(B5="end","N/D",$A$1*(W5+X5*2/(N24^2)+Z5*2*N24+AA5*6+AB5*12*N24^3))</f>
        <v>N/D</v>
      </c>
      <c r="U5" s="108" t="str">
        <f>IF(B5="end","N/D",$O$3/$A$1/10000)</f>
        <v>N/D</v>
      </c>
      <c r="V5" s="107" t="str">
        <f>IF(B5="end","N/D",R5/$A$1 - W5 - W5*LN(N5) + X5/(N5^2) - Z5*2*N5 - AA5*3*N5^2 - AB5*4*N5^3)</f>
        <v>N/D</v>
      </c>
      <c r="W5" s="108" t="str">
        <f>IF(B5="end","N/D",G5/$A$1)</f>
        <v>N/D</v>
      </c>
      <c r="X5" s="107" t="str">
        <f>IF(B5="end","N/D",I5/(2*100*$A$1))</f>
        <v>N/D</v>
      </c>
      <c r="Y5" s="108" t="str">
        <f>IF(B5="end","N/D",W5*N5 - X5*2/N5 + Z5*N5^2 + AA5*2*N5^3 + AB5*3*N5^4 + ($O$3-O5)/10000/$A$1)</f>
        <v>N/D</v>
      </c>
      <c r="Z5" s="109" t="str">
        <f>IF(B5="end","N/D",H5*10/2/$A$1)</f>
        <v>N/D</v>
      </c>
      <c r="AA5" s="108" t="str">
        <f>IF(B5="end","N/D",J5*100/6/$A$1)</f>
        <v>N/D</v>
      </c>
      <c r="AB5" s="110" t="str">
        <f>IF(B5="end","N/D",K5*10^12/12/$A$1)</f>
        <v>N/D</v>
      </c>
      <c r="AC5" s="188">
        <v>2</v>
      </c>
    </row>
    <row r="6" spans="1:29" ht="21.75" customHeight="1" thickTop="1" x14ac:dyDescent="0.35">
      <c r="A6" s="167"/>
      <c r="B6" s="183"/>
      <c r="C6" s="184"/>
      <c r="D6" s="130"/>
      <c r="E6" s="130"/>
      <c r="F6" s="130"/>
      <c r="G6" s="186"/>
      <c r="H6" s="186"/>
      <c r="I6" s="186"/>
      <c r="J6" s="186"/>
      <c r="K6" s="130"/>
      <c r="L6" s="130"/>
      <c r="M6" s="130"/>
      <c r="N6" s="130"/>
      <c r="O6" s="130"/>
      <c r="P6" s="130"/>
      <c r="Q6" s="130"/>
      <c r="R6" s="130"/>
      <c r="S6" s="130"/>
      <c r="T6" s="130"/>
      <c r="U6" s="130"/>
      <c r="V6" s="130"/>
      <c r="W6" s="130"/>
      <c r="X6" s="130"/>
      <c r="Y6" s="130"/>
      <c r="Z6" s="130"/>
      <c r="AA6" s="130"/>
      <c r="AB6" s="130"/>
      <c r="AC6" s="188"/>
    </row>
    <row r="7" spans="1:29" s="130" customFormat="1" ht="21.75" customHeight="1" x14ac:dyDescent="0.35"/>
    <row r="8" spans="1:29" s="130" customFormat="1" ht="21.75" customHeight="1" x14ac:dyDescent="0.35"/>
    <row r="9" spans="1:29" s="130" customFormat="1" ht="21.75" customHeight="1" x14ac:dyDescent="0.35"/>
    <row r="10" spans="1:29" s="130" customFormat="1" ht="21.75" customHeight="1" x14ac:dyDescent="0.35"/>
    <row r="11" spans="1:29" s="130" customFormat="1" ht="21.75" customHeight="1" x14ac:dyDescent="0.35"/>
    <row r="12" spans="1:29" s="130" customFormat="1" ht="21.75" customHeight="1" x14ac:dyDescent="0.35"/>
    <row r="13" spans="1:29" s="130" customFormat="1" ht="21.75" customHeight="1" x14ac:dyDescent="0.35"/>
    <row r="14" spans="1:29" s="130" customFormat="1" ht="21.75" customHeight="1" x14ac:dyDescent="0.35"/>
    <row r="15" spans="1:29" s="130" customFormat="1" ht="21.75" customHeight="1" x14ac:dyDescent="0.35"/>
    <row r="16" spans="1:29" s="130" customFormat="1" ht="21.75" customHeight="1" x14ac:dyDescent="0.35"/>
    <row r="17" spans="1:29" s="130" customFormat="1" ht="21.75" customHeight="1" x14ac:dyDescent="0.35"/>
    <row r="18" spans="1:29" s="130" customFormat="1" ht="21.75" customHeight="1" x14ac:dyDescent="0.35"/>
    <row r="19" spans="1:29" s="130" customFormat="1" ht="21.75" customHeight="1" x14ac:dyDescent="0.35"/>
    <row r="20" spans="1:29" s="130" customFormat="1" ht="21.75" customHeight="1" x14ac:dyDescent="0.35"/>
    <row r="21" spans="1:29" s="130" customFormat="1" ht="21.75" customHeight="1" x14ac:dyDescent="0.35"/>
    <row r="22" spans="1:29" s="130" customFormat="1" ht="21.75" customHeight="1" x14ac:dyDescent="0.35"/>
    <row r="23" spans="1:29" s="130" customFormat="1" ht="21.75" customHeight="1" x14ac:dyDescent="0.35"/>
    <row r="24" spans="1:29" s="130" customFormat="1" x14ac:dyDescent="0.35"/>
    <row r="25" spans="1:29" s="130" customFormat="1" ht="21.75" thickBot="1" x14ac:dyDescent="0.4"/>
    <row r="26" spans="1:29" ht="27" thickBot="1" x14ac:dyDescent="0.45">
      <c r="A26" s="571" t="s">
        <v>112</v>
      </c>
      <c r="B26" s="572"/>
      <c r="C26" s="572"/>
      <c r="D26" s="572"/>
      <c r="E26" s="572"/>
      <c r="F26" s="572"/>
      <c r="G26" s="572"/>
      <c r="H26" s="572"/>
      <c r="I26" s="572"/>
      <c r="J26" s="572"/>
      <c r="K26" s="572"/>
      <c r="L26" s="572"/>
      <c r="M26" s="572"/>
      <c r="N26" s="572"/>
      <c r="O26" s="572"/>
      <c r="P26" s="572"/>
      <c r="Q26" s="572"/>
      <c r="R26" s="572"/>
      <c r="S26" s="572"/>
      <c r="T26" s="572"/>
      <c r="U26" s="572"/>
      <c r="V26" s="572"/>
      <c r="W26" s="572"/>
      <c r="X26" s="572"/>
      <c r="Y26" s="572"/>
      <c r="Z26" s="572"/>
      <c r="AA26" s="572"/>
      <c r="AB26" s="572"/>
      <c r="AC26" s="573"/>
    </row>
    <row r="27" spans="1:29" ht="27" customHeight="1" thickTop="1" thickBot="1" x14ac:dyDescent="0.4">
      <c r="A27" s="381" t="s">
        <v>39</v>
      </c>
      <c r="B27" s="381" t="s">
        <v>99</v>
      </c>
      <c r="C27" s="381" t="s">
        <v>58</v>
      </c>
      <c r="D27" s="381" t="s">
        <v>59</v>
      </c>
      <c r="E27" s="381" t="s">
        <v>55</v>
      </c>
      <c r="F27" s="381" t="s">
        <v>54</v>
      </c>
      <c r="G27" s="381" t="s">
        <v>40</v>
      </c>
      <c r="H27" s="381" t="s">
        <v>71</v>
      </c>
      <c r="I27" s="381" t="s">
        <v>72</v>
      </c>
      <c r="J27" s="381" t="s">
        <v>74</v>
      </c>
      <c r="K27" s="381" t="s">
        <v>73</v>
      </c>
      <c r="L27" s="381" t="s">
        <v>49</v>
      </c>
      <c r="M27" s="381" t="s">
        <v>50</v>
      </c>
      <c r="N27" s="381" t="s">
        <v>57</v>
      </c>
      <c r="O27" s="381" t="s">
        <v>53</v>
      </c>
      <c r="P27" s="381" t="s">
        <v>66</v>
      </c>
      <c r="Q27" s="381" t="s">
        <v>51</v>
      </c>
      <c r="R27" s="381" t="s">
        <v>54</v>
      </c>
      <c r="S27" s="381" t="s">
        <v>52</v>
      </c>
      <c r="T27" s="381" t="s">
        <v>56</v>
      </c>
      <c r="U27" s="380" t="s">
        <v>41</v>
      </c>
      <c r="V27" s="380" t="s">
        <v>42</v>
      </c>
      <c r="W27" s="380" t="s">
        <v>43</v>
      </c>
      <c r="X27" s="380" t="s">
        <v>44</v>
      </c>
      <c r="Y27" s="380" t="s">
        <v>45</v>
      </c>
      <c r="Z27" s="380" t="s">
        <v>46</v>
      </c>
      <c r="AA27" s="380" t="s">
        <v>47</v>
      </c>
      <c r="AB27" s="380" t="s">
        <v>48</v>
      </c>
      <c r="AC27" s="382" t="s">
        <v>110</v>
      </c>
    </row>
    <row r="28" spans="1:29" s="175" customFormat="1" ht="21.75" thickTop="1" x14ac:dyDescent="0.35">
      <c r="A28" s="374" t="s">
        <v>75</v>
      </c>
      <c r="B28" s="276" t="s">
        <v>65</v>
      </c>
      <c r="C28" s="277">
        <v>298.14999999999998</v>
      </c>
      <c r="D28" s="278">
        <v>3000</v>
      </c>
      <c r="E28" s="279">
        <v>-408.8</v>
      </c>
      <c r="F28" s="298">
        <v>179.9</v>
      </c>
      <c r="G28" s="299">
        <v>105.73</v>
      </c>
      <c r="H28" s="299">
        <v>35.31</v>
      </c>
      <c r="I28" s="299"/>
      <c r="J28" s="299"/>
      <c r="K28" s="299"/>
      <c r="L28" s="280" t="s">
        <v>63</v>
      </c>
      <c r="M28" s="280" t="s">
        <v>63</v>
      </c>
      <c r="N28" s="276">
        <v>2.9814999999999998E-2</v>
      </c>
      <c r="O28" s="281">
        <v>-408800</v>
      </c>
      <c r="P28" s="377">
        <v>130865.75614576251</v>
      </c>
      <c r="Q28" s="282">
        <v>-277934.24385423749</v>
      </c>
      <c r="R28" s="283">
        <v>179.9</v>
      </c>
      <c r="S28" s="284">
        <v>368.38375212481719</v>
      </c>
      <c r="T28" s="285">
        <v>150.85617999999999</v>
      </c>
      <c r="U28" s="388">
        <v>-4.916711768597029</v>
      </c>
      <c r="V28" s="387">
        <v>52.323616608565672</v>
      </c>
      <c r="W28" s="388">
        <v>12.716338925972698</v>
      </c>
      <c r="X28" s="387">
        <v>0</v>
      </c>
      <c r="Y28" s="388">
        <v>0.39801326446854884</v>
      </c>
      <c r="Z28" s="387">
        <v>21.233988814721268</v>
      </c>
      <c r="AA28" s="388">
        <v>0</v>
      </c>
      <c r="AB28" s="387">
        <v>0</v>
      </c>
      <c r="AC28" s="389">
        <v>2</v>
      </c>
    </row>
    <row r="29" spans="1:29" s="175" customFormat="1" ht="21.75" thickBot="1" x14ac:dyDescent="0.4">
      <c r="A29" s="379" t="s">
        <v>75</v>
      </c>
      <c r="B29" s="167" t="s">
        <v>69</v>
      </c>
      <c r="C29" s="270">
        <v>298.14999999999998</v>
      </c>
      <c r="D29" s="185">
        <v>303</v>
      </c>
      <c r="E29" s="271">
        <v>235.4</v>
      </c>
      <c r="F29" s="272">
        <v>176.7</v>
      </c>
      <c r="G29" s="273">
        <v>21.46</v>
      </c>
      <c r="H29" s="273">
        <v>15.1</v>
      </c>
      <c r="I29" s="273">
        <v>-0.09</v>
      </c>
      <c r="J29" s="273"/>
      <c r="K29" s="273"/>
      <c r="L29" s="187" t="s">
        <v>63</v>
      </c>
      <c r="M29" s="187" t="s">
        <v>63</v>
      </c>
      <c r="N29" s="167">
        <v>2.9814999999999998E-2</v>
      </c>
      <c r="O29" s="168">
        <v>235400</v>
      </c>
      <c r="P29" s="170">
        <v>65793.694181003768</v>
      </c>
      <c r="Q29" s="170">
        <v>301193.69418100378</v>
      </c>
      <c r="R29" s="171">
        <v>176.7</v>
      </c>
      <c r="S29" s="172">
        <v>242.74790208467505</v>
      </c>
      <c r="T29" s="173">
        <v>51.637500000000003</v>
      </c>
      <c r="U29" s="388">
        <v>2.8311985086295026</v>
      </c>
      <c r="V29" s="387">
        <v>27.135148197186936</v>
      </c>
      <c r="W29" s="388">
        <v>2.5810331348848394</v>
      </c>
      <c r="X29" s="387">
        <v>-5.4122316435143416E-5</v>
      </c>
      <c r="Y29" s="388">
        <v>8.8656032461317522E-2</v>
      </c>
      <c r="Z29" s="387">
        <v>9.0805219796740619</v>
      </c>
      <c r="AA29" s="388">
        <v>0</v>
      </c>
      <c r="AB29" s="387">
        <v>0</v>
      </c>
      <c r="AC29" s="390">
        <v>2</v>
      </c>
    </row>
    <row r="30" spans="1:29" s="175" customFormat="1" ht="21.75" thickTop="1" x14ac:dyDescent="0.35">
      <c r="A30" s="378" t="s">
        <v>75</v>
      </c>
      <c r="B30" s="276" t="s">
        <v>61</v>
      </c>
      <c r="C30" s="277">
        <v>303</v>
      </c>
      <c r="D30" s="278">
        <v>700</v>
      </c>
      <c r="E30" s="279">
        <v>5.7</v>
      </c>
      <c r="F30" s="280">
        <v>59.615273807259754</v>
      </c>
      <c r="G30" s="375">
        <v>24.38</v>
      </c>
      <c r="H30" s="375">
        <v>2.29</v>
      </c>
      <c r="I30" s="375">
        <v>0.31</v>
      </c>
      <c r="J30" s="375"/>
      <c r="K30" s="375"/>
      <c r="L30" s="280" t="s">
        <v>63</v>
      </c>
      <c r="M30" s="280" t="s">
        <v>63</v>
      </c>
      <c r="N30" s="276">
        <v>3.0300000000000001E-2</v>
      </c>
      <c r="O30" s="281">
        <v>5700</v>
      </c>
      <c r="P30" s="377">
        <v>16415.033862373879</v>
      </c>
      <c r="Q30" s="282">
        <v>16415.033862373879</v>
      </c>
      <c r="R30" s="283">
        <v>59.615273807259754</v>
      </c>
      <c r="S30" s="284">
        <v>82.310897687332556</v>
      </c>
      <c r="T30" s="285">
        <v>26.615653061224489</v>
      </c>
      <c r="U30" s="388">
        <v>0</v>
      </c>
      <c r="V30" s="387">
        <v>14.610257251592509</v>
      </c>
      <c r="W30" s="388">
        <v>2.9322268326417702</v>
      </c>
      <c r="X30" s="387">
        <v>1.8642131216549401E-4</v>
      </c>
      <c r="Y30" s="388">
        <v>9.2508147786274225E-3</v>
      </c>
      <c r="Z30" s="387">
        <v>1.3771122737386492</v>
      </c>
      <c r="AA30" s="388">
        <v>0</v>
      </c>
      <c r="AB30" s="387">
        <v>0</v>
      </c>
      <c r="AC30" s="389">
        <v>2</v>
      </c>
    </row>
    <row r="31" spans="1:29" s="175" customFormat="1" ht="21.75" thickBot="1" x14ac:dyDescent="0.4">
      <c r="A31" s="286" t="s">
        <v>75</v>
      </c>
      <c r="B31" s="287" t="s">
        <v>62</v>
      </c>
      <c r="C31" s="288">
        <v>700</v>
      </c>
      <c r="D31" s="289" t="s">
        <v>63</v>
      </c>
      <c r="E31" s="290">
        <v>11.3</v>
      </c>
      <c r="F31" s="291">
        <v>68.113763836199752</v>
      </c>
      <c r="G31" s="376">
        <v>35.15</v>
      </c>
      <c r="H31" s="376"/>
      <c r="I31" s="376"/>
      <c r="J31" s="376"/>
      <c r="K31" s="376"/>
      <c r="L31" s="291" t="s">
        <v>63</v>
      </c>
      <c r="M31" s="291" t="s">
        <v>63</v>
      </c>
      <c r="N31" s="287">
        <v>4.9299999999999997E-2</v>
      </c>
      <c r="O31" s="292">
        <v>11300</v>
      </c>
      <c r="P31" s="293">
        <v>27609.599999999995</v>
      </c>
      <c r="Q31" s="293">
        <v>27609.599999999995</v>
      </c>
      <c r="R31" s="294">
        <v>68.113763836199752</v>
      </c>
      <c r="S31" s="295">
        <v>91.428555578170574</v>
      </c>
      <c r="T31" s="296">
        <v>35.15</v>
      </c>
      <c r="U31" s="388">
        <v>0</v>
      </c>
      <c r="V31" s="387">
        <v>16.688836423544654</v>
      </c>
      <c r="W31" s="388">
        <v>4.2275542726562021</v>
      </c>
      <c r="X31" s="387">
        <v>0</v>
      </c>
      <c r="Y31" s="388">
        <v>7.251127548259062E-2</v>
      </c>
      <c r="Z31" s="387">
        <v>0</v>
      </c>
      <c r="AA31" s="388">
        <v>0</v>
      </c>
      <c r="AB31" s="387">
        <v>0</v>
      </c>
      <c r="AC31" s="391">
        <v>2</v>
      </c>
    </row>
    <row r="32" spans="1:29" s="175" customFormat="1" ht="21.75" thickTop="1" x14ac:dyDescent="0.35">
      <c r="A32" s="269" t="s">
        <v>75</v>
      </c>
      <c r="B32" s="167" t="s">
        <v>62</v>
      </c>
      <c r="C32" s="270">
        <v>3000</v>
      </c>
      <c r="D32" s="185">
        <v>700</v>
      </c>
      <c r="E32" s="271"/>
      <c r="F32" s="187" t="s">
        <v>63</v>
      </c>
      <c r="G32" s="271"/>
      <c r="H32" s="271"/>
      <c r="I32" s="271"/>
      <c r="J32" s="271"/>
      <c r="K32" s="271"/>
      <c r="L32" s="187" t="s">
        <v>63</v>
      </c>
      <c r="M32" s="187" t="s">
        <v>63</v>
      </c>
      <c r="N32" s="167">
        <v>9.5699999999999993E-2</v>
      </c>
      <c r="O32" s="168" t="s">
        <v>63</v>
      </c>
      <c r="P32" s="170" t="s">
        <v>63</v>
      </c>
      <c r="Q32" s="170" t="s">
        <v>63</v>
      </c>
      <c r="R32" s="171" t="s">
        <v>63</v>
      </c>
      <c r="S32" s="172" t="s">
        <v>63</v>
      </c>
      <c r="T32" s="173" t="s">
        <v>63</v>
      </c>
      <c r="U32" s="388" t="s">
        <v>63</v>
      </c>
      <c r="V32" s="387" t="s">
        <v>63</v>
      </c>
      <c r="W32" s="388" t="s">
        <v>63</v>
      </c>
      <c r="X32" s="387" t="s">
        <v>63</v>
      </c>
      <c r="Y32" s="388" t="s">
        <v>63</v>
      </c>
      <c r="Z32" s="387" t="s">
        <v>63</v>
      </c>
      <c r="AA32" s="388" t="s">
        <v>63</v>
      </c>
      <c r="AB32" s="387" t="s">
        <v>63</v>
      </c>
      <c r="AC32" s="392">
        <v>2</v>
      </c>
    </row>
    <row r="33" spans="1:29" s="175" customFormat="1" x14ac:dyDescent="0.35">
      <c r="A33" s="297" t="s">
        <v>76</v>
      </c>
      <c r="B33" s="167" t="s">
        <v>65</v>
      </c>
      <c r="C33" s="270">
        <v>298.14999999999998</v>
      </c>
      <c r="D33" s="185">
        <v>2000</v>
      </c>
      <c r="E33" s="271"/>
      <c r="F33" s="187" t="s">
        <v>63</v>
      </c>
      <c r="G33" s="275">
        <v>24.38</v>
      </c>
      <c r="H33" s="275">
        <v>2.29</v>
      </c>
      <c r="I33" s="275">
        <v>0.31</v>
      </c>
      <c r="J33" s="275"/>
      <c r="K33" s="275"/>
      <c r="L33" s="187" t="s">
        <v>63</v>
      </c>
      <c r="M33" s="187" t="s">
        <v>63</v>
      </c>
      <c r="N33" s="167">
        <v>0.2</v>
      </c>
      <c r="O33" s="168" t="s">
        <v>63</v>
      </c>
      <c r="P33" s="169" t="s">
        <v>63</v>
      </c>
      <c r="Q33" s="170" t="s">
        <v>63</v>
      </c>
      <c r="R33" s="171" t="s">
        <v>63</v>
      </c>
      <c r="S33" s="172" t="s">
        <v>63</v>
      </c>
      <c r="T33" s="173" t="s">
        <v>63</v>
      </c>
      <c r="U33" s="388" t="s">
        <v>63</v>
      </c>
      <c r="V33" s="387" t="s">
        <v>63</v>
      </c>
      <c r="W33" s="388" t="s">
        <v>63</v>
      </c>
      <c r="X33" s="387" t="s">
        <v>63</v>
      </c>
      <c r="Y33" s="388" t="s">
        <v>63</v>
      </c>
      <c r="Z33" s="387" t="s">
        <v>63</v>
      </c>
      <c r="AA33" s="388" t="s">
        <v>63</v>
      </c>
      <c r="AB33" s="387" t="s">
        <v>63</v>
      </c>
      <c r="AC33" s="392">
        <v>2</v>
      </c>
    </row>
    <row r="34" spans="1:29" s="175" customFormat="1" x14ac:dyDescent="0.35">
      <c r="A34" s="269" t="s">
        <v>76</v>
      </c>
      <c r="B34" s="167" t="s">
        <v>62</v>
      </c>
      <c r="C34" s="270">
        <v>2000</v>
      </c>
      <c r="D34" s="185">
        <v>700</v>
      </c>
      <c r="E34" s="271">
        <v>0</v>
      </c>
      <c r="F34" s="272">
        <v>42.3</v>
      </c>
      <c r="G34" s="273">
        <v>17.89</v>
      </c>
      <c r="H34" s="273">
        <v>25.1</v>
      </c>
      <c r="I34" s="273"/>
      <c r="J34" s="273"/>
      <c r="K34" s="273"/>
      <c r="L34" s="187">
        <v>5.8794810023750008</v>
      </c>
      <c r="M34" s="187">
        <v>11.925924954107506</v>
      </c>
      <c r="N34" s="167">
        <v>2.9814999999999998E-2</v>
      </c>
      <c r="O34" s="168">
        <v>0</v>
      </c>
      <c r="P34" s="170">
        <v>5420.5189976249994</v>
      </c>
      <c r="Q34" s="170">
        <v>5420.5189976249994</v>
      </c>
      <c r="R34" s="171">
        <v>42.3</v>
      </c>
      <c r="S34" s="172">
        <v>56.187838882092244</v>
      </c>
      <c r="T34" s="173">
        <v>30.264299999999999</v>
      </c>
      <c r="U34" s="388">
        <v>0</v>
      </c>
      <c r="V34" s="387">
        <v>9.5940127503905739</v>
      </c>
      <c r="W34" s="388">
        <v>2.1516627578327019</v>
      </c>
      <c r="X34" s="387">
        <v>0</v>
      </c>
      <c r="Y34" s="388">
        <v>7.7569498495098907E-2</v>
      </c>
      <c r="Z34" s="387">
        <v>15.094112694689999</v>
      </c>
      <c r="AA34" s="388">
        <v>0</v>
      </c>
      <c r="AB34" s="387">
        <v>0</v>
      </c>
      <c r="AC34" s="392">
        <v>2</v>
      </c>
    </row>
    <row r="35" spans="1:29" s="175" customFormat="1" x14ac:dyDescent="0.35">
      <c r="A35" s="297" t="s">
        <v>77</v>
      </c>
      <c r="B35" s="167" t="s">
        <v>69</v>
      </c>
      <c r="C35" s="270">
        <v>298.14999999999998</v>
      </c>
      <c r="D35" s="185">
        <v>1278</v>
      </c>
      <c r="E35" s="271"/>
      <c r="F35" s="187" t="s">
        <v>63</v>
      </c>
      <c r="G35" s="275"/>
      <c r="H35" s="275"/>
      <c r="I35" s="275"/>
      <c r="J35" s="275"/>
      <c r="K35" s="275"/>
      <c r="L35" s="187" t="s">
        <v>63</v>
      </c>
      <c r="M35" s="187" t="s">
        <v>63</v>
      </c>
      <c r="N35" s="167">
        <v>0.2</v>
      </c>
      <c r="O35" s="168" t="s">
        <v>63</v>
      </c>
      <c r="P35" s="170" t="s">
        <v>63</v>
      </c>
      <c r="Q35" s="170" t="s">
        <v>63</v>
      </c>
      <c r="R35" s="171" t="s">
        <v>63</v>
      </c>
      <c r="S35" s="172" t="s">
        <v>63</v>
      </c>
      <c r="T35" s="173" t="s">
        <v>63</v>
      </c>
      <c r="U35" s="388" t="s">
        <v>63</v>
      </c>
      <c r="V35" s="387" t="s">
        <v>63</v>
      </c>
      <c r="W35" s="388" t="s">
        <v>63</v>
      </c>
      <c r="X35" s="387" t="s">
        <v>63</v>
      </c>
      <c r="Y35" s="388" t="s">
        <v>63</v>
      </c>
      <c r="Z35" s="387" t="s">
        <v>63</v>
      </c>
      <c r="AA35" s="388" t="s">
        <v>63</v>
      </c>
      <c r="AB35" s="387" t="s">
        <v>63</v>
      </c>
      <c r="AC35" s="392">
        <v>2</v>
      </c>
    </row>
    <row r="36" spans="1:29" s="175" customFormat="1" x14ac:dyDescent="0.35">
      <c r="A36" s="269" t="s">
        <v>77</v>
      </c>
      <c r="B36" s="167" t="s">
        <v>62</v>
      </c>
      <c r="C36" s="270">
        <v>1278</v>
      </c>
      <c r="D36" s="185" t="s">
        <v>63</v>
      </c>
      <c r="E36" s="271">
        <v>-8.4</v>
      </c>
      <c r="F36" s="187" t="s">
        <v>63</v>
      </c>
      <c r="G36" s="275">
        <v>24.38</v>
      </c>
      <c r="H36" s="275">
        <v>2.29</v>
      </c>
      <c r="I36" s="275">
        <v>0.31</v>
      </c>
      <c r="J36" s="275"/>
      <c r="K36" s="275"/>
      <c r="L36" s="187" t="s">
        <v>63</v>
      </c>
      <c r="M36" s="187" t="s">
        <v>63</v>
      </c>
      <c r="N36" s="167">
        <v>0.1013</v>
      </c>
      <c r="O36" s="168" t="s">
        <v>63</v>
      </c>
      <c r="P36" s="170" t="s">
        <v>63</v>
      </c>
      <c r="Q36" s="170" t="s">
        <v>63</v>
      </c>
      <c r="R36" s="171" t="s">
        <v>63</v>
      </c>
      <c r="S36" s="172" t="s">
        <v>63</v>
      </c>
      <c r="T36" s="173" t="s">
        <v>63</v>
      </c>
      <c r="U36" s="388" t="s">
        <v>63</v>
      </c>
      <c r="V36" s="387" t="s">
        <v>63</v>
      </c>
      <c r="W36" s="388" t="s">
        <v>63</v>
      </c>
      <c r="X36" s="387" t="s">
        <v>63</v>
      </c>
      <c r="Y36" s="388" t="s">
        <v>63</v>
      </c>
      <c r="Z36" s="387" t="s">
        <v>63</v>
      </c>
      <c r="AA36" s="388" t="s">
        <v>63</v>
      </c>
      <c r="AB36" s="387" t="s">
        <v>63</v>
      </c>
      <c r="AC36" s="392">
        <v>2</v>
      </c>
    </row>
    <row r="37" spans="1:29" s="175" customFormat="1" x14ac:dyDescent="0.35">
      <c r="A37" s="176" t="s">
        <v>68</v>
      </c>
      <c r="B37" s="167" t="s">
        <v>65</v>
      </c>
      <c r="C37" s="270">
        <v>298.14999999999998</v>
      </c>
      <c r="D37" s="185">
        <v>2000</v>
      </c>
      <c r="E37" s="271">
        <v>96.2</v>
      </c>
      <c r="F37" s="272">
        <v>315.5</v>
      </c>
      <c r="G37" s="273">
        <v>58.09</v>
      </c>
      <c r="H37" s="273">
        <v>0.05</v>
      </c>
      <c r="I37" s="273">
        <v>-0.28999999999999998</v>
      </c>
      <c r="J37" s="273"/>
      <c r="K37" s="273"/>
      <c r="L37" s="187" t="s">
        <v>63</v>
      </c>
      <c r="M37" s="187" t="s">
        <v>63</v>
      </c>
      <c r="N37" s="167">
        <v>2.9814999999999998E-2</v>
      </c>
      <c r="O37" s="168">
        <v>96200</v>
      </c>
      <c r="P37" s="169">
        <v>98130.579398380156</v>
      </c>
      <c r="Q37" s="170">
        <v>194330.57939838016</v>
      </c>
      <c r="R37" s="171">
        <v>315.5</v>
      </c>
      <c r="S37" s="172">
        <v>424.55320636199417</v>
      </c>
      <c r="T37" s="173">
        <v>58.117500000000007</v>
      </c>
      <c r="U37" s="388">
        <v>1.1570148535690659</v>
      </c>
      <c r="V37" s="387">
        <v>55.303289998832284</v>
      </c>
      <c r="W37" s="388">
        <v>6.9865896927055147</v>
      </c>
      <c r="X37" s="387">
        <v>-1.7439413073546211E-4</v>
      </c>
      <c r="Y37" s="388">
        <v>0.22003031573299481</v>
      </c>
      <c r="Z37" s="387">
        <v>3.0067953575079676E-2</v>
      </c>
      <c r="AA37" s="388">
        <v>0</v>
      </c>
      <c r="AB37" s="387">
        <v>0</v>
      </c>
      <c r="AC37" s="392">
        <v>2</v>
      </c>
    </row>
    <row r="38" spans="1:29" s="175" customFormat="1" x14ac:dyDescent="0.35">
      <c r="A38" s="176" t="s">
        <v>68</v>
      </c>
      <c r="B38" s="167" t="s">
        <v>69</v>
      </c>
      <c r="C38" s="270">
        <v>298.14999999999998</v>
      </c>
      <c r="D38" s="185">
        <v>1210</v>
      </c>
      <c r="E38" s="271">
        <v>372.5</v>
      </c>
      <c r="F38" s="272">
        <v>167.9</v>
      </c>
      <c r="G38" s="273">
        <v>29.47</v>
      </c>
      <c r="H38" s="273">
        <v>-3.66</v>
      </c>
      <c r="I38" s="273">
        <v>0.32</v>
      </c>
      <c r="J38" s="273"/>
      <c r="K38" s="273"/>
      <c r="L38" s="187" t="s">
        <v>63</v>
      </c>
      <c r="M38" s="187" t="s">
        <v>63</v>
      </c>
      <c r="N38" s="167">
        <v>2.9814999999999998E-2</v>
      </c>
      <c r="O38" s="168">
        <v>372500</v>
      </c>
      <c r="P38" s="170">
        <v>43909.479722272772</v>
      </c>
      <c r="Q38" s="170">
        <v>416409.47972227278</v>
      </c>
      <c r="R38" s="171">
        <v>167.9</v>
      </c>
      <c r="S38" s="172">
        <v>219.52155747394053</v>
      </c>
      <c r="T38" s="173">
        <v>22.23</v>
      </c>
      <c r="U38" s="388">
        <v>4.4801250826868717</v>
      </c>
      <c r="V38" s="387">
        <v>29.447554603809422</v>
      </c>
      <c r="W38" s="388">
        <v>3.5444103674303924</v>
      </c>
      <c r="X38" s="387">
        <v>1.9243490288050995E-4</v>
      </c>
      <c r="Y38" s="388">
        <v>9.0811477271360019E-2</v>
      </c>
      <c r="Z38" s="387">
        <v>-2.2009742016958325</v>
      </c>
      <c r="AA38" s="388">
        <v>0</v>
      </c>
      <c r="AB38" s="387">
        <v>0</v>
      </c>
      <c r="AC38" s="392">
        <v>2</v>
      </c>
    </row>
    <row r="39" spans="1:29" s="175" customFormat="1" x14ac:dyDescent="0.35">
      <c r="A39" s="176" t="s">
        <v>68</v>
      </c>
      <c r="B39" s="167" t="s">
        <v>61</v>
      </c>
      <c r="C39" s="270">
        <v>1210</v>
      </c>
      <c r="D39" s="185">
        <v>2000</v>
      </c>
      <c r="E39" s="271"/>
      <c r="F39" s="272">
        <v>40.799999999999997</v>
      </c>
      <c r="G39" s="273">
        <v>26.2</v>
      </c>
      <c r="H39" s="273"/>
      <c r="I39" s="273"/>
      <c r="J39" s="273"/>
      <c r="K39" s="273"/>
      <c r="L39" s="187">
        <v>5.5729299999999995</v>
      </c>
      <c r="M39" s="187">
        <v>18.392508250825081</v>
      </c>
      <c r="N39" s="167">
        <v>2.9814999999999998E-2</v>
      </c>
      <c r="O39" s="168">
        <v>0</v>
      </c>
      <c r="P39" s="169">
        <v>127.07000000000039</v>
      </c>
      <c r="Q39" s="170">
        <v>127.07000000000039</v>
      </c>
      <c r="R39" s="171">
        <v>40.799999999999997</v>
      </c>
      <c r="S39" s="172">
        <v>41.222765556434673</v>
      </c>
      <c r="T39" s="173">
        <v>26.2</v>
      </c>
      <c r="U39" s="388">
        <v>0</v>
      </c>
      <c r="V39" s="387">
        <v>12.825050670258605</v>
      </c>
      <c r="W39" s="388">
        <v>3.1511215346683503</v>
      </c>
      <c r="X39" s="387">
        <v>0</v>
      </c>
      <c r="Y39" s="388">
        <v>9.3950688556136863E-2</v>
      </c>
      <c r="Z39" s="387">
        <v>0</v>
      </c>
      <c r="AA39" s="388">
        <v>0</v>
      </c>
      <c r="AB39" s="387">
        <v>0</v>
      </c>
      <c r="AC39" s="392">
        <v>2</v>
      </c>
    </row>
    <row r="40" spans="1:29" s="175" customFormat="1" x14ac:dyDescent="0.35">
      <c r="A40" s="176" t="s">
        <v>68</v>
      </c>
      <c r="B40" s="167" t="s">
        <v>62</v>
      </c>
      <c r="C40" s="270">
        <v>2000</v>
      </c>
      <c r="D40" s="185" t="s">
        <v>63</v>
      </c>
      <c r="E40" s="271">
        <v>-8.4</v>
      </c>
      <c r="F40" s="187" t="s">
        <v>63</v>
      </c>
      <c r="G40" s="275">
        <v>24.38</v>
      </c>
      <c r="H40" s="275">
        <v>2.29</v>
      </c>
      <c r="I40" s="275">
        <v>0.31</v>
      </c>
      <c r="J40" s="275"/>
      <c r="K40" s="275"/>
      <c r="L40" s="187" t="s">
        <v>63</v>
      </c>
      <c r="M40" s="187" t="s">
        <v>63</v>
      </c>
      <c r="N40" s="167">
        <v>0.2</v>
      </c>
      <c r="O40" s="168" t="s">
        <v>63</v>
      </c>
      <c r="P40" s="170" t="s">
        <v>63</v>
      </c>
      <c r="Q40" s="170" t="s">
        <v>63</v>
      </c>
      <c r="R40" s="171" t="s">
        <v>63</v>
      </c>
      <c r="S40" s="172" t="s">
        <v>63</v>
      </c>
      <c r="T40" s="173" t="s">
        <v>63</v>
      </c>
      <c r="U40" s="388" t="s">
        <v>63</v>
      </c>
      <c r="V40" s="387" t="s">
        <v>63</v>
      </c>
      <c r="W40" s="388" t="s">
        <v>63</v>
      </c>
      <c r="X40" s="387" t="s">
        <v>63</v>
      </c>
      <c r="Y40" s="388" t="s">
        <v>63</v>
      </c>
      <c r="Z40" s="387" t="s">
        <v>63</v>
      </c>
      <c r="AA40" s="388" t="s">
        <v>63</v>
      </c>
      <c r="AB40" s="387" t="s">
        <v>63</v>
      </c>
      <c r="AC40" s="392">
        <v>2</v>
      </c>
    </row>
    <row r="41" spans="1:29" s="175" customFormat="1" x14ac:dyDescent="0.35">
      <c r="A41" s="176" t="s">
        <v>68</v>
      </c>
      <c r="B41" s="167" t="s">
        <v>62</v>
      </c>
      <c r="C41" s="270">
        <v>2000</v>
      </c>
      <c r="D41" s="185">
        <v>2000</v>
      </c>
      <c r="E41" s="271">
        <v>-113</v>
      </c>
      <c r="F41" s="272">
        <v>112.6</v>
      </c>
      <c r="G41" s="273">
        <v>62.89</v>
      </c>
      <c r="H41" s="273">
        <v>27.74</v>
      </c>
      <c r="I41" s="273"/>
      <c r="J41" s="273"/>
      <c r="K41" s="273"/>
      <c r="L41" s="187" t="s">
        <v>63</v>
      </c>
      <c r="M41" s="187" t="s">
        <v>63</v>
      </c>
      <c r="N41" s="167">
        <v>2.9814999999999998E-2</v>
      </c>
      <c r="O41" s="168">
        <v>-113000</v>
      </c>
      <c r="P41" s="170">
        <v>57956.928759924995</v>
      </c>
      <c r="Q41" s="170">
        <v>-55043.071240075005</v>
      </c>
      <c r="R41" s="171">
        <v>112.6</v>
      </c>
      <c r="S41" s="172">
        <v>209.34911246005797</v>
      </c>
      <c r="T41" s="173">
        <v>90.990619999999993</v>
      </c>
      <c r="U41" s="388">
        <v>-1.3590715015936015</v>
      </c>
      <c r="V41" s="387">
        <v>31.554004155564428</v>
      </c>
      <c r="W41" s="388">
        <v>7.5638944013470439</v>
      </c>
      <c r="X41" s="387">
        <v>0</v>
      </c>
      <c r="Y41" s="388">
        <v>0.24034644620933304</v>
      </c>
      <c r="Z41" s="387">
        <v>16.681700643454203</v>
      </c>
      <c r="AA41" s="388">
        <v>0</v>
      </c>
      <c r="AB41" s="387">
        <v>0</v>
      </c>
      <c r="AC41" s="392">
        <v>2</v>
      </c>
    </row>
    <row r="42" spans="1:29" s="175" customFormat="1" x14ac:dyDescent="0.35">
      <c r="A42" s="269" t="s">
        <v>87</v>
      </c>
      <c r="B42" s="167" t="s">
        <v>65</v>
      </c>
      <c r="C42" s="270">
        <v>298.14999999999998</v>
      </c>
      <c r="D42" s="185">
        <v>2000</v>
      </c>
      <c r="E42" s="271"/>
      <c r="F42" s="187" t="s">
        <v>63</v>
      </c>
      <c r="G42" s="275">
        <v>24.38</v>
      </c>
      <c r="H42" s="275">
        <v>2.29</v>
      </c>
      <c r="I42" s="275">
        <v>0.31</v>
      </c>
      <c r="J42" s="275"/>
      <c r="K42" s="275"/>
      <c r="L42" s="187" t="s">
        <v>63</v>
      </c>
      <c r="M42" s="187" t="s">
        <v>63</v>
      </c>
      <c r="N42" s="167">
        <v>0.3</v>
      </c>
      <c r="O42" s="168" t="s">
        <v>63</v>
      </c>
      <c r="P42" s="169" t="s">
        <v>63</v>
      </c>
      <c r="Q42" s="170" t="s">
        <v>63</v>
      </c>
      <c r="R42" s="171" t="s">
        <v>63</v>
      </c>
      <c r="S42" s="172" t="s">
        <v>63</v>
      </c>
      <c r="T42" s="173" t="s">
        <v>63</v>
      </c>
      <c r="U42" s="388" t="s">
        <v>63</v>
      </c>
      <c r="V42" s="387" t="s">
        <v>63</v>
      </c>
      <c r="W42" s="388" t="s">
        <v>63</v>
      </c>
      <c r="X42" s="387" t="s">
        <v>63</v>
      </c>
      <c r="Y42" s="388" t="s">
        <v>63</v>
      </c>
      <c r="Z42" s="387" t="s">
        <v>63</v>
      </c>
      <c r="AA42" s="388" t="s">
        <v>63</v>
      </c>
      <c r="AB42" s="387" t="s">
        <v>63</v>
      </c>
      <c r="AC42" s="392">
        <v>2</v>
      </c>
    </row>
    <row r="43" spans="1:29" s="175" customFormat="1" x14ac:dyDescent="0.35">
      <c r="A43" s="269" t="s">
        <v>87</v>
      </c>
      <c r="B43" s="167" t="s">
        <v>69</v>
      </c>
      <c r="C43" s="270">
        <v>298.14999999999998</v>
      </c>
      <c r="D43" s="185">
        <v>948</v>
      </c>
      <c r="E43" s="271"/>
      <c r="F43" s="187" t="s">
        <v>63</v>
      </c>
      <c r="G43" s="271"/>
      <c r="H43" s="271"/>
      <c r="I43" s="271"/>
      <c r="J43" s="271"/>
      <c r="K43" s="271"/>
      <c r="L43" s="187" t="s">
        <v>63</v>
      </c>
      <c r="M43" s="187" t="s">
        <v>63</v>
      </c>
      <c r="N43" s="167">
        <v>0.2</v>
      </c>
      <c r="O43" s="168" t="s">
        <v>63</v>
      </c>
      <c r="P43" s="170" t="s">
        <v>63</v>
      </c>
      <c r="Q43" s="170" t="s">
        <v>63</v>
      </c>
      <c r="R43" s="171" t="s">
        <v>63</v>
      </c>
      <c r="S43" s="172" t="s">
        <v>63</v>
      </c>
      <c r="T43" s="173" t="s">
        <v>63</v>
      </c>
      <c r="U43" s="388" t="s">
        <v>63</v>
      </c>
      <c r="V43" s="387" t="s">
        <v>63</v>
      </c>
      <c r="W43" s="388" t="s">
        <v>63</v>
      </c>
      <c r="X43" s="387" t="s">
        <v>63</v>
      </c>
      <c r="Y43" s="388" t="s">
        <v>63</v>
      </c>
      <c r="Z43" s="387" t="s">
        <v>63</v>
      </c>
      <c r="AA43" s="388" t="s">
        <v>63</v>
      </c>
      <c r="AB43" s="387" t="s">
        <v>63</v>
      </c>
      <c r="AC43" s="392">
        <v>2</v>
      </c>
    </row>
    <row r="44" spans="1:29" s="175" customFormat="1" x14ac:dyDescent="0.35">
      <c r="A44" s="269" t="s">
        <v>87</v>
      </c>
      <c r="B44" s="167" t="s">
        <v>62</v>
      </c>
      <c r="C44" s="270">
        <v>948</v>
      </c>
      <c r="D44" s="185" t="s">
        <v>63</v>
      </c>
      <c r="E44" s="271">
        <v>-8.4</v>
      </c>
      <c r="F44" s="187">
        <v>167.03081645854292</v>
      </c>
      <c r="G44" s="275">
        <v>24.38</v>
      </c>
      <c r="H44" s="275">
        <v>2.29</v>
      </c>
      <c r="I44" s="275">
        <v>0.31</v>
      </c>
      <c r="J44" s="275"/>
      <c r="K44" s="275"/>
      <c r="L44" s="187" t="s">
        <v>63</v>
      </c>
      <c r="M44" s="187" t="s">
        <v>63</v>
      </c>
      <c r="N44" s="167">
        <v>9.4799999999999995E-2</v>
      </c>
      <c r="O44" s="168">
        <v>-8400</v>
      </c>
      <c r="P44" s="170">
        <v>60599.999999999985</v>
      </c>
      <c r="Q44" s="170">
        <v>-8400.0000000000146</v>
      </c>
      <c r="R44" s="171">
        <v>167.03081645854292</v>
      </c>
      <c r="S44" s="172">
        <v>167.03081645854292</v>
      </c>
      <c r="T44" s="173">
        <v>26.895861159714435</v>
      </c>
      <c r="U44" s="388">
        <v>-0.82987551867219922</v>
      </c>
      <c r="V44" s="387">
        <v>23.824800353863974</v>
      </c>
      <c r="W44" s="388">
        <v>2.9322268326417702</v>
      </c>
      <c r="X44" s="387">
        <v>1.8642131216549401E-4</v>
      </c>
      <c r="Y44" s="388">
        <v>-0.44242886691213273</v>
      </c>
      <c r="Z44" s="387">
        <v>1.3771122737386492</v>
      </c>
      <c r="AA44" s="388">
        <v>0</v>
      </c>
      <c r="AB44" s="387">
        <v>0</v>
      </c>
      <c r="AC44" s="392">
        <v>2</v>
      </c>
    </row>
    <row r="45" spans="1:29" s="175" customFormat="1" x14ac:dyDescent="0.35">
      <c r="A45" s="269" t="s">
        <v>87</v>
      </c>
      <c r="B45" s="167" t="s">
        <v>61</v>
      </c>
      <c r="C45" s="270">
        <v>948</v>
      </c>
      <c r="D45" s="185">
        <v>948</v>
      </c>
      <c r="E45" s="271">
        <v>11.3</v>
      </c>
      <c r="F45" s="187" t="s">
        <v>63</v>
      </c>
      <c r="G45" s="275">
        <v>35.15</v>
      </c>
      <c r="H45" s="275"/>
      <c r="I45" s="275"/>
      <c r="J45" s="275"/>
      <c r="K45" s="275"/>
      <c r="L45" s="187" t="s">
        <v>63</v>
      </c>
      <c r="M45" s="187" t="s">
        <v>63</v>
      </c>
      <c r="N45" s="167">
        <v>0.2</v>
      </c>
      <c r="O45" s="168" t="s">
        <v>63</v>
      </c>
      <c r="P45" s="170" t="s">
        <v>63</v>
      </c>
      <c r="Q45" s="170" t="s">
        <v>63</v>
      </c>
      <c r="R45" s="171" t="s">
        <v>63</v>
      </c>
      <c r="S45" s="172" t="s">
        <v>63</v>
      </c>
      <c r="T45" s="173" t="s">
        <v>63</v>
      </c>
      <c r="U45" s="388" t="s">
        <v>63</v>
      </c>
      <c r="V45" s="387" t="s">
        <v>63</v>
      </c>
      <c r="W45" s="388" t="s">
        <v>63</v>
      </c>
      <c r="X45" s="387" t="s">
        <v>63</v>
      </c>
      <c r="Y45" s="388" t="s">
        <v>63</v>
      </c>
      <c r="Z45" s="387" t="s">
        <v>63</v>
      </c>
      <c r="AA45" s="388" t="s">
        <v>63</v>
      </c>
      <c r="AB45" s="387" t="s">
        <v>63</v>
      </c>
      <c r="AC45" s="392">
        <v>2</v>
      </c>
    </row>
    <row r="46" spans="1:29" s="175" customFormat="1" x14ac:dyDescent="0.35">
      <c r="A46" s="167" t="str">
        <f>A45</f>
        <v>GeSe</v>
      </c>
      <c r="B46" s="167" t="s">
        <v>62</v>
      </c>
      <c r="C46" s="270">
        <v>957</v>
      </c>
      <c r="D46" s="185" t="str">
        <f>IF(B46="end","N/D",#REF!)</f>
        <v>N/D</v>
      </c>
      <c r="E46" s="271"/>
      <c r="F46" s="187" t="s">
        <v>63</v>
      </c>
      <c r="G46" s="271"/>
      <c r="H46" s="271"/>
      <c r="I46" s="271"/>
      <c r="J46" s="271"/>
      <c r="K46" s="271"/>
      <c r="L46" s="187" t="s">
        <v>63</v>
      </c>
      <c r="M46" s="187" t="s">
        <v>63</v>
      </c>
      <c r="N46" s="167">
        <v>9.4799999999999995E-2</v>
      </c>
      <c r="O46" s="168" t="s">
        <v>63</v>
      </c>
      <c r="P46" s="170" t="s">
        <v>63</v>
      </c>
      <c r="Q46" s="170" t="s">
        <v>63</v>
      </c>
      <c r="R46" s="171" t="s">
        <v>63</v>
      </c>
      <c r="S46" s="172" t="s">
        <v>63</v>
      </c>
      <c r="T46" s="173" t="s">
        <v>63</v>
      </c>
      <c r="U46" s="388" t="s">
        <v>63</v>
      </c>
      <c r="V46" s="387" t="s">
        <v>63</v>
      </c>
      <c r="W46" s="388" t="s">
        <v>63</v>
      </c>
      <c r="X46" s="387" t="s">
        <v>63</v>
      </c>
      <c r="Y46" s="388" t="s">
        <v>63</v>
      </c>
      <c r="Z46" s="387" t="s">
        <v>63</v>
      </c>
      <c r="AA46" s="388" t="s">
        <v>63</v>
      </c>
      <c r="AB46" s="387" t="s">
        <v>63</v>
      </c>
      <c r="AC46" s="392">
        <v>2</v>
      </c>
    </row>
    <row r="47" spans="1:29" s="175" customFormat="1" x14ac:dyDescent="0.35">
      <c r="A47" s="269" t="s">
        <v>87</v>
      </c>
      <c r="B47" s="167" t="s">
        <v>62</v>
      </c>
      <c r="C47" s="270">
        <v>2000</v>
      </c>
      <c r="D47" s="185">
        <v>948</v>
      </c>
      <c r="E47" s="271">
        <v>105.4</v>
      </c>
      <c r="F47" s="272">
        <v>0.17</v>
      </c>
      <c r="G47" s="273">
        <v>36.99</v>
      </c>
      <c r="H47" s="273">
        <v>0.17</v>
      </c>
      <c r="I47" s="273">
        <v>-0.18</v>
      </c>
      <c r="J47" s="273"/>
      <c r="K47" s="273"/>
      <c r="L47" s="187" t="s">
        <v>63</v>
      </c>
      <c r="M47" s="187" t="s">
        <v>63</v>
      </c>
      <c r="N47" s="167">
        <v>2.9814999999999998E-2</v>
      </c>
      <c r="O47" s="168">
        <v>105400</v>
      </c>
      <c r="P47" s="170">
        <v>62770.152600845009</v>
      </c>
      <c r="Q47" s="170">
        <v>168170.152600845</v>
      </c>
      <c r="R47" s="171">
        <v>0.17</v>
      </c>
      <c r="S47" s="172">
        <v>69.872645607590442</v>
      </c>
      <c r="T47" s="173">
        <v>37.285000000000011</v>
      </c>
      <c r="U47" s="388">
        <v>1.2676649227253594</v>
      </c>
      <c r="V47" s="387">
        <v>11.071411869448289</v>
      </c>
      <c r="W47" s="388">
        <v>4.4488544109687895</v>
      </c>
      <c r="X47" s="387">
        <v>-1.0824463287028683E-4</v>
      </c>
      <c r="Y47" s="388">
        <v>0.13999455648752174</v>
      </c>
      <c r="Z47" s="387">
        <v>0.10223104215527092</v>
      </c>
      <c r="AA47" s="388">
        <v>0</v>
      </c>
      <c r="AB47" s="387">
        <v>0</v>
      </c>
      <c r="AC47" s="392">
        <v>2</v>
      </c>
    </row>
    <row r="48" spans="1:29" s="175" customFormat="1" x14ac:dyDescent="0.35">
      <c r="A48" s="269" t="s">
        <v>88</v>
      </c>
      <c r="B48" s="167" t="s">
        <v>69</v>
      </c>
      <c r="C48" s="270">
        <v>298.14999999999998</v>
      </c>
      <c r="D48" s="185">
        <v>1013</v>
      </c>
      <c r="E48" s="271">
        <v>60.7</v>
      </c>
      <c r="F48" s="187">
        <v>97.36563229031637</v>
      </c>
      <c r="G48" s="275">
        <v>27.61</v>
      </c>
      <c r="H48" s="275"/>
      <c r="I48" s="275"/>
      <c r="J48" s="275"/>
      <c r="K48" s="275"/>
      <c r="L48" s="187" t="s">
        <v>63</v>
      </c>
      <c r="M48" s="187" t="s">
        <v>63</v>
      </c>
      <c r="N48" s="167">
        <v>0.121</v>
      </c>
      <c r="O48" s="168">
        <v>60700</v>
      </c>
      <c r="P48" s="170">
        <v>82511.900000000009</v>
      </c>
      <c r="Q48" s="170">
        <v>82511.900000000009</v>
      </c>
      <c r="R48" s="171">
        <v>97.36563229031637</v>
      </c>
      <c r="S48" s="172">
        <v>111.24039781678164</v>
      </c>
      <c r="T48" s="173">
        <v>27.61</v>
      </c>
      <c r="U48" s="388">
        <v>0</v>
      </c>
      <c r="V48" s="387">
        <v>15.402847865666864</v>
      </c>
      <c r="W48" s="388">
        <v>3.3207047928317994</v>
      </c>
      <c r="X48" s="387">
        <v>0</v>
      </c>
      <c r="Y48" s="388">
        <v>-0.32824463287028693</v>
      </c>
      <c r="Z48" s="387">
        <v>0</v>
      </c>
      <c r="AA48" s="388">
        <v>0</v>
      </c>
      <c r="AB48" s="387">
        <v>0</v>
      </c>
      <c r="AC48" s="392">
        <v>2</v>
      </c>
    </row>
    <row r="49" spans="1:29" s="175" customFormat="1" x14ac:dyDescent="0.35">
      <c r="A49" s="269" t="s">
        <v>88</v>
      </c>
      <c r="B49" s="167" t="s">
        <v>62</v>
      </c>
      <c r="C49" s="270">
        <v>1013</v>
      </c>
      <c r="D49" s="185">
        <v>948</v>
      </c>
      <c r="E49" s="271">
        <v>-69</v>
      </c>
      <c r="F49" s="272">
        <v>78.2</v>
      </c>
      <c r="G49" s="273">
        <v>45.1</v>
      </c>
      <c r="H49" s="273">
        <v>16.399999999999999</v>
      </c>
      <c r="I49" s="273"/>
      <c r="J49" s="273"/>
      <c r="K49" s="273"/>
      <c r="L49" s="187">
        <v>24.651318264499999</v>
      </c>
      <c r="M49" s="187">
        <v>26.003500279008435</v>
      </c>
      <c r="N49" s="167">
        <v>2.9814999999999998E-2</v>
      </c>
      <c r="O49" s="168">
        <v>-69000</v>
      </c>
      <c r="P49" s="170">
        <v>35948.681735500002</v>
      </c>
      <c r="Q49" s="170">
        <v>-33051.318264499998</v>
      </c>
      <c r="R49" s="171">
        <v>78.2</v>
      </c>
      <c r="S49" s="172">
        <v>141.02731617953447</v>
      </c>
      <c r="T49" s="173">
        <v>60.647200000000005</v>
      </c>
      <c r="U49" s="388">
        <v>-0.82987551867219922</v>
      </c>
      <c r="V49" s="387">
        <v>22.446939551862265</v>
      </c>
      <c r="W49" s="388">
        <v>5.4242588249443742</v>
      </c>
      <c r="X49" s="387">
        <v>0</v>
      </c>
      <c r="Y49" s="388">
        <v>0.17049120289253711</v>
      </c>
      <c r="Z49" s="387">
        <v>9.862288772626135</v>
      </c>
      <c r="AA49" s="388">
        <v>0</v>
      </c>
      <c r="AB49" s="387">
        <v>0</v>
      </c>
      <c r="AC49" s="392">
        <v>2</v>
      </c>
    </row>
    <row r="50" spans="1:29" s="175" customFormat="1" x14ac:dyDescent="0.35">
      <c r="A50" s="176" t="s">
        <v>70</v>
      </c>
      <c r="B50" s="167" t="s">
        <v>65</v>
      </c>
      <c r="C50" s="270">
        <v>298.14999999999998</v>
      </c>
      <c r="D50" s="185">
        <v>2000</v>
      </c>
      <c r="E50" s="271">
        <v>272</v>
      </c>
      <c r="F50" s="272">
        <v>169</v>
      </c>
      <c r="G50" s="273">
        <v>24.87</v>
      </c>
      <c r="H50" s="273">
        <v>-1.38</v>
      </c>
      <c r="I50" s="273">
        <v>0.25</v>
      </c>
      <c r="J50" s="273"/>
      <c r="K50" s="273"/>
      <c r="L50" s="187" t="s">
        <v>63</v>
      </c>
      <c r="M50" s="187" t="s">
        <v>63</v>
      </c>
      <c r="N50" s="167">
        <v>2.9814999999999998E-2</v>
      </c>
      <c r="O50" s="168">
        <v>272000</v>
      </c>
      <c r="P50" s="169">
        <v>61801.516736861806</v>
      </c>
      <c r="Q50" s="170">
        <v>333801.51673686178</v>
      </c>
      <c r="R50" s="171">
        <v>169</v>
      </c>
      <c r="S50" s="172">
        <v>224.08286748288222</v>
      </c>
      <c r="T50" s="173">
        <v>20.757777777777779</v>
      </c>
      <c r="U50" s="388">
        <v>3.2713933489686688</v>
      </c>
      <c r="V50" s="387">
        <v>28.060564076656096</v>
      </c>
      <c r="W50" s="388">
        <v>2.9911600216489265</v>
      </c>
      <c r="X50" s="387">
        <v>1.503397678753984E-4</v>
      </c>
      <c r="Y50" s="388">
        <v>7.8358890249622545E-2</v>
      </c>
      <c r="Z50" s="387">
        <v>-0.829875518672199</v>
      </c>
      <c r="AA50" s="388">
        <v>0</v>
      </c>
      <c r="AB50" s="387">
        <v>0</v>
      </c>
      <c r="AC50" s="392">
        <v>2</v>
      </c>
    </row>
    <row r="51" spans="1:29" s="175" customFormat="1" x14ac:dyDescent="0.35">
      <c r="A51" s="176" t="s">
        <v>70</v>
      </c>
      <c r="B51" s="167" t="s">
        <v>69</v>
      </c>
      <c r="C51" s="270">
        <v>298.14999999999998</v>
      </c>
      <c r="D51" s="185">
        <f>IF(B51="end","N/D",C52)</f>
        <v>2000</v>
      </c>
      <c r="E51" s="271"/>
      <c r="F51" s="272">
        <v>31.1</v>
      </c>
      <c r="G51" s="273">
        <v>23.35</v>
      </c>
      <c r="H51" s="273">
        <v>3.9</v>
      </c>
      <c r="I51" s="273">
        <v>-0.11</v>
      </c>
      <c r="J51" s="273"/>
      <c r="K51" s="273"/>
      <c r="L51" s="187">
        <v>37.004682390780772</v>
      </c>
      <c r="M51" s="187">
        <v>30.582382141141132</v>
      </c>
      <c r="N51" s="167">
        <v>2.9814999999999998E-2</v>
      </c>
      <c r="O51" s="168">
        <v>0</v>
      </c>
      <c r="P51" s="170">
        <v>23695.317609219233</v>
      </c>
      <c r="Q51" s="170">
        <v>23695.317609219233</v>
      </c>
      <c r="R51" s="171">
        <v>31.1</v>
      </c>
      <c r="S51" s="172">
        <v>66.783250149175245</v>
      </c>
      <c r="T51" s="173">
        <v>27.993868519909846</v>
      </c>
      <c r="U51" s="388">
        <v>0</v>
      </c>
      <c r="V51" s="387">
        <v>10.582844540703489</v>
      </c>
      <c r="W51" s="388">
        <v>2.8083468639124423</v>
      </c>
      <c r="X51" s="387">
        <v>-6.6149497865175294E-5</v>
      </c>
      <c r="Y51" s="388">
        <v>9.0253009581933469E-2</v>
      </c>
      <c r="Z51" s="387">
        <v>2.3453003788562148</v>
      </c>
      <c r="AA51" s="388">
        <v>0</v>
      </c>
      <c r="AB51" s="387">
        <v>0</v>
      </c>
      <c r="AC51" s="392">
        <v>2</v>
      </c>
    </row>
    <row r="52" spans="1:29" s="175" customFormat="1" x14ac:dyDescent="0.35">
      <c r="A52" s="176" t="s">
        <v>70</v>
      </c>
      <c r="B52" s="167" t="s">
        <v>62</v>
      </c>
      <c r="C52" s="270">
        <v>2000</v>
      </c>
      <c r="D52" s="185">
        <v>2000</v>
      </c>
      <c r="E52" s="271"/>
      <c r="F52" s="187" t="s">
        <v>63</v>
      </c>
      <c r="G52" s="275"/>
      <c r="H52" s="275"/>
      <c r="I52" s="275"/>
      <c r="J52" s="275"/>
      <c r="K52" s="275"/>
      <c r="L52" s="187" t="s">
        <v>63</v>
      </c>
      <c r="M52" s="187" t="s">
        <v>63</v>
      </c>
      <c r="N52" s="167">
        <v>0.1278</v>
      </c>
      <c r="O52" s="168" t="s">
        <v>63</v>
      </c>
      <c r="P52" s="169" t="s">
        <v>63</v>
      </c>
      <c r="Q52" s="170" t="s">
        <v>63</v>
      </c>
      <c r="R52" s="171" t="s">
        <v>63</v>
      </c>
      <c r="S52" s="172" t="s">
        <v>63</v>
      </c>
      <c r="T52" s="173" t="s">
        <v>63</v>
      </c>
      <c r="U52" s="388" t="s">
        <v>63</v>
      </c>
      <c r="V52" s="387" t="s">
        <v>63</v>
      </c>
      <c r="W52" s="388" t="s">
        <v>63</v>
      </c>
      <c r="X52" s="387" t="s">
        <v>63</v>
      </c>
      <c r="Y52" s="388" t="s">
        <v>63</v>
      </c>
      <c r="Z52" s="387" t="s">
        <v>63</v>
      </c>
      <c r="AA52" s="388" t="s">
        <v>63</v>
      </c>
      <c r="AB52" s="387" t="s">
        <v>63</v>
      </c>
      <c r="AC52" s="392">
        <v>2</v>
      </c>
    </row>
  </sheetData>
  <sheetProtection formatCells="0" formatColumns="0" formatRows="0" insertColumns="0" insertRows="0" deleteRows="0" sort="0" autoFilter="0" pivotTables="0"/>
  <autoFilter ref="A27:AC27" xr:uid="{00000000-0009-0000-0000-000001000000}"/>
  <sortState xmlns:xlrd2="http://schemas.microsoft.com/office/spreadsheetml/2017/richdata2" ref="A28:AC52">
    <sortCondition ref="A28:A52"/>
    <sortCondition ref="C28:C52"/>
    <sortCondition ref="B28:B52"/>
  </sortState>
  <customSheetViews>
    <customSheetView guid="{5CD7248E-C04A-445B-8512-C9303DEF235B}" hiddenColumns="1">
      <pane xSplit="3" ySplit="1" topLeftCell="D2" activePane="bottomRight" state="frozen"/>
      <selection pane="bottomRight" activeCell="M9" sqref="M9"/>
      <pageMargins left="0.7" right="0.7" top="0.75" bottom="0.75" header="0.3" footer="0.3"/>
      <pageSetup paperSize="9" orientation="portrait" r:id="rId1"/>
    </customSheetView>
  </customSheetViews>
  <mergeCells count="1">
    <mergeCell ref="A26:AC26"/>
  </mergeCells>
  <pageMargins left="0.7" right="0.7" top="0.75" bottom="0.75" header="0.3" footer="0.3"/>
  <pageSetup paperSize="9" orientation="portrait"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1" filterMode="1">
    <tabColor rgb="FF00B050"/>
  </sheetPr>
  <dimension ref="A1:AB58"/>
  <sheetViews>
    <sheetView tabSelected="1" zoomScale="70" zoomScaleNormal="70" workbookViewId="0">
      <pane xSplit="4" ySplit="1" topLeftCell="E18" activePane="bottomRight" state="frozen"/>
      <selection pane="topRight" activeCell="E1" sqref="E1"/>
      <selection pane="bottomLeft" activeCell="A2" sqref="A2"/>
      <selection pane="bottomRight" activeCell="AF30" sqref="AF30"/>
    </sheetView>
  </sheetViews>
  <sheetFormatPr defaultRowHeight="21" outlineLevelCol="1" x14ac:dyDescent="0.35"/>
  <cols>
    <col min="1" max="1" width="6.81640625" style="181" customWidth="1"/>
    <col min="2" max="2" width="7.1796875" style="130" bestFit="1" customWidth="1"/>
    <col min="3" max="3" width="5.1796875" style="130" customWidth="1"/>
    <col min="4" max="4" width="1.6328125" style="130" customWidth="1"/>
    <col min="5" max="5" width="8.1796875" style="130" hidden="1" customWidth="1" outlineLevel="1"/>
    <col min="6" max="10" width="9.6328125" style="130" hidden="1" customWidth="1" outlineLevel="1"/>
    <col min="11" max="12" width="3.6328125" style="130" hidden="1" customWidth="1" outlineLevel="1"/>
    <col min="13" max="13" width="6.1796875" style="130" hidden="1" customWidth="1" outlineLevel="1"/>
    <col min="14" max="14" width="8.453125" style="130" hidden="1" customWidth="1" outlineLevel="1"/>
    <col min="15" max="16" width="12.6328125" style="130" hidden="1" customWidth="1" outlineLevel="1"/>
    <col min="17" max="18" width="7.6328125" style="130" hidden="1" customWidth="1" outlineLevel="1"/>
    <col min="19" max="19" width="10.1796875" style="130" customWidth="1" collapsed="1"/>
    <col min="20" max="26" width="10.1796875" style="130" customWidth="1"/>
    <col min="27" max="27" width="2.7265625" style="181" customWidth="1"/>
    <col min="28" max="28" width="5.6328125" style="130" customWidth="1"/>
    <col min="29" max="32" width="9.6328125" style="130" customWidth="1"/>
    <col min="33" max="16384" width="8.7265625" style="130"/>
  </cols>
  <sheetData>
    <row r="1" spans="1:27" s="338" customFormat="1" ht="22.5" thickTop="1" thickBot="1" x14ac:dyDescent="0.4">
      <c r="A1" s="384">
        <v>8.3145000000000007</v>
      </c>
      <c r="B1" s="381" t="s">
        <v>58</v>
      </c>
      <c r="C1" s="381" t="s">
        <v>59</v>
      </c>
      <c r="D1" s="381" t="s">
        <v>123</v>
      </c>
      <c r="E1" s="381" t="s">
        <v>111</v>
      </c>
      <c r="F1" s="381" t="s">
        <v>124</v>
      </c>
      <c r="G1" s="381" t="s">
        <v>40</v>
      </c>
      <c r="H1" s="381" t="s">
        <v>71</v>
      </c>
      <c r="I1" s="381" t="s">
        <v>72</v>
      </c>
      <c r="J1" s="381" t="s">
        <v>74</v>
      </c>
      <c r="K1" s="385" t="str">
        <f>"-3          e *T^(-3)"</f>
        <v>-3          e *T^(-3)</v>
      </c>
      <c r="L1" s="385" t="str">
        <f>" 3           f *T^3"</f>
        <v xml:space="preserve"> 3           f *T^3</v>
      </c>
      <c r="M1" s="385" t="s">
        <v>125</v>
      </c>
      <c r="N1" s="381" t="s">
        <v>126</v>
      </c>
      <c r="O1" s="381" t="s">
        <v>53</v>
      </c>
      <c r="P1" s="381" t="s">
        <v>51</v>
      </c>
      <c r="Q1" s="381" t="s">
        <v>54</v>
      </c>
      <c r="R1" s="381" t="s">
        <v>52</v>
      </c>
      <c r="S1" s="381" t="s">
        <v>41</v>
      </c>
      <c r="T1" s="381" t="s">
        <v>42</v>
      </c>
      <c r="U1" s="381" t="s">
        <v>43</v>
      </c>
      <c r="V1" s="381" t="s">
        <v>44</v>
      </c>
      <c r="W1" s="381" t="s">
        <v>45</v>
      </c>
      <c r="X1" s="381" t="s">
        <v>46</v>
      </c>
      <c r="Y1" s="381" t="s">
        <v>47</v>
      </c>
      <c r="Z1" s="381" t="s">
        <v>48</v>
      </c>
      <c r="AA1" s="386" t="s">
        <v>127</v>
      </c>
    </row>
    <row r="2" spans="1:27" s="339" customFormat="1" ht="22.5" thickTop="1" thickBot="1" x14ac:dyDescent="0.4">
      <c r="A2" s="574"/>
      <c r="B2" s="574"/>
      <c r="C2" s="574"/>
      <c r="D2" s="574"/>
      <c r="E2" s="574"/>
      <c r="F2" s="160" t="s">
        <v>122</v>
      </c>
      <c r="G2" s="160">
        <v>0</v>
      </c>
      <c r="H2" s="160">
        <v>-3</v>
      </c>
      <c r="I2" s="160">
        <v>5</v>
      </c>
      <c r="J2" s="160">
        <v>-6</v>
      </c>
      <c r="K2" s="160">
        <v>8</v>
      </c>
      <c r="L2" s="160">
        <v>-9</v>
      </c>
      <c r="M2" s="575"/>
      <c r="N2" s="576"/>
      <c r="O2" s="576"/>
      <c r="P2" s="576"/>
      <c r="Q2" s="576"/>
      <c r="R2" s="576"/>
      <c r="S2" s="576"/>
      <c r="T2" s="576"/>
      <c r="U2" s="576"/>
      <c r="V2" s="576"/>
      <c r="W2" s="576"/>
      <c r="X2" s="576"/>
      <c r="Y2" s="576"/>
      <c r="Z2" s="576"/>
      <c r="AA2" s="577"/>
    </row>
    <row r="3" spans="1:27" s="337" customFormat="1" ht="22.5" thickTop="1" thickBot="1" x14ac:dyDescent="0.4">
      <c r="A3" s="237" t="s">
        <v>75</v>
      </c>
      <c r="B3" s="130">
        <v>100</v>
      </c>
      <c r="C3" s="130">
        <v>298.14999999999998</v>
      </c>
      <c r="D3" s="130" t="s">
        <v>65</v>
      </c>
      <c r="E3" s="130">
        <v>272</v>
      </c>
      <c r="F3" s="130">
        <v>169.042</v>
      </c>
      <c r="G3" s="130">
        <v>10.333</v>
      </c>
      <c r="H3" s="130">
        <v>69.971999999999994</v>
      </c>
      <c r="I3" s="130">
        <v>0.41799999999999998</v>
      </c>
      <c r="J3" s="130">
        <v>-72.948999999999998</v>
      </c>
      <c r="K3" s="130">
        <v>0</v>
      </c>
      <c r="L3" s="130">
        <v>0</v>
      </c>
      <c r="M3" s="269">
        <f>B3/10000</f>
        <v>0.01</v>
      </c>
      <c r="N3" s="269">
        <f>C3/10000</f>
        <v>2.9814999999999998E-2</v>
      </c>
      <c r="O3" s="330">
        <f>E3*1000</f>
        <v>272000</v>
      </c>
      <c r="P3" s="331">
        <f>10000*$A$1*(N3*U3-V3*2/N3+X3*N3^2+Y3*2*N3^3+Z3*3*N3^4-W3+S3)</f>
        <v>276465.2979380248</v>
      </c>
      <c r="Q3" s="332">
        <f>F3</f>
        <v>169.042</v>
      </c>
      <c r="R3" s="333">
        <f>$A$1*(T3+U3+U3*LN(N3)-V3/N3^2+X3*2*N3+Y3*3*N3^2+Z3*4*N3^3)</f>
        <v>193.17228398268267</v>
      </c>
      <c r="S3" s="334">
        <f>SUM($E$3:E3)/$A$1/10</f>
        <v>3.2713933489686688</v>
      </c>
      <c r="T3" s="335">
        <f>IF(D3="end","N/D",Q3/$A$1 - U3 - U3*LN(M3) + V3/(M3^2) - X3*2*M3 - Y3*3*M3^2 - Z3*4*M3^3)</f>
        <v>24.265051239619336</v>
      </c>
      <c r="U3" s="334">
        <f>G3*10^($G$2)/$A$1</f>
        <v>1.2427686571651932</v>
      </c>
      <c r="V3" s="335">
        <f>I3/(2*$A$1)*(10^($I$2)/10^8)</f>
        <v>2.5136809188766609E-5</v>
      </c>
      <c r="W3" s="334">
        <f>U3*M3 - V3*2/M3 + X3*M3^2 + Y3*2*M3^3 + Z3*3*M3^4 + S3-O3/10000/$A$1</f>
        <v>1.131569747629646E-2</v>
      </c>
      <c r="X3" s="335">
        <f>H3/2/$A$1*(10^($H$2)*10^4)</f>
        <v>42.078296951109508</v>
      </c>
      <c r="Y3" s="334">
        <f>J3/6/$A$1*(10^($J$2)*10^8)</f>
        <v>-146.22847635656581</v>
      </c>
      <c r="Z3" s="335">
        <f>L3/12/$A$1*(10^($L$2)*10^12)</f>
        <v>0</v>
      </c>
      <c r="AA3" s="336" t="s">
        <v>120</v>
      </c>
    </row>
    <row r="4" spans="1:27" s="337" customFormat="1" ht="21.75" thickBot="1" x14ac:dyDescent="0.4">
      <c r="A4" s="237" t="s">
        <v>75</v>
      </c>
      <c r="B4" s="130">
        <v>298.14999999999998</v>
      </c>
      <c r="C4" s="130">
        <v>700</v>
      </c>
      <c r="D4" s="130" t="s">
        <v>65</v>
      </c>
      <c r="E4" s="130">
        <v>0</v>
      </c>
      <c r="F4" s="130">
        <v>0</v>
      </c>
      <c r="G4" s="130">
        <v>38.252000000000002</v>
      </c>
      <c r="H4" s="130">
        <v>-19.521999999999998</v>
      </c>
      <c r="I4" s="130">
        <v>-6.6580000000000004</v>
      </c>
      <c r="J4" s="130">
        <v>4.476</v>
      </c>
      <c r="K4" s="130">
        <v>0</v>
      </c>
      <c r="L4" s="130">
        <v>0</v>
      </c>
      <c r="M4" s="269">
        <f>B4/10000</f>
        <v>2.9814999999999998E-2</v>
      </c>
      <c r="N4" s="269">
        <f>C4/10000</f>
        <v>7.0000000000000007E-2</v>
      </c>
      <c r="O4" s="330">
        <f>P3+E4*1000</f>
        <v>276465.2979380248</v>
      </c>
      <c r="P4" s="331">
        <f>10000*$A$1*(N4*U4-V4*2/N4+X4*N4^2+Y4*2*N4^3+Z4*3*N4^4-W4+S4)</f>
        <v>287111.91421769361</v>
      </c>
      <c r="Q4" s="332">
        <f>R3+F4</f>
        <v>193.17228398268267</v>
      </c>
      <c r="R4" s="333">
        <f>$A$1*(T4+U4+U4*LN(N4)-V4/N4^2+X4*2*N4+Y4*3*N4^2+Z4*4*N4^3)</f>
        <v>215.80695397369695</v>
      </c>
      <c r="S4" s="334">
        <f>SUM($E$3:E4)/$A$1/10</f>
        <v>3.2713933489686688</v>
      </c>
      <c r="T4" s="335">
        <f>IF(D4="end","N/D",Q4/$A$1 - U4 - U4*LN(M4) + V4/(M4^2) - X4*2*M4 - Y4*3*M4^2 - Z4*4*M4^3)</f>
        <v>35.019106518894404</v>
      </c>
      <c r="U4" s="334">
        <f>G4*10^($G$2)/$A$1</f>
        <v>4.6006374406157917</v>
      </c>
      <c r="V4" s="335">
        <f>I4/(2*$A$1)*(10^($I$2)/10^8)</f>
        <v>-4.0038486980576099E-4</v>
      </c>
      <c r="W4" s="334">
        <f t="shared" ref="W4:W5" si="0">U4*M4 - V4*2/M4 + X4*M4^2 + Y4*2*M4^3 + Z4*3*M4^4 + S4-O4/10000/$A$1</f>
        <v>0.10036075097058417</v>
      </c>
      <c r="X4" s="335">
        <f>H4/2/$A$1*(10^($H$2)*10^4)</f>
        <v>-11.739731793854109</v>
      </c>
      <c r="Y4" s="334">
        <f>J4/6/$A$1*(10^($J$2)*10^8)</f>
        <v>8.9722773468037751</v>
      </c>
      <c r="Z4" s="335">
        <f>L4/12/$A$1*(10^($L$2)*10^12)</f>
        <v>0</v>
      </c>
      <c r="AA4" s="336" t="s">
        <v>120</v>
      </c>
    </row>
    <row r="5" spans="1:27" s="337" customFormat="1" ht="21.75" thickBot="1" x14ac:dyDescent="0.4">
      <c r="A5" s="237" t="s">
        <v>75</v>
      </c>
      <c r="B5" s="130">
        <v>700</v>
      </c>
      <c r="C5" s="130">
        <v>1400</v>
      </c>
      <c r="D5" s="130" t="s">
        <v>65</v>
      </c>
      <c r="E5" s="130">
        <v>0</v>
      </c>
      <c r="F5" s="130">
        <v>0</v>
      </c>
      <c r="G5" s="130">
        <v>30.738</v>
      </c>
      <c r="H5" s="130">
        <v>-10.738</v>
      </c>
      <c r="I5" s="130">
        <v>3.0350000000000001</v>
      </c>
      <c r="J5" s="130">
        <v>3.2719999999999998</v>
      </c>
      <c r="K5" s="130">
        <v>0</v>
      </c>
      <c r="L5" s="130">
        <v>0</v>
      </c>
      <c r="M5" s="269">
        <f>B5/10000</f>
        <v>7.0000000000000007E-2</v>
      </c>
      <c r="N5" s="269">
        <f>C5/10000</f>
        <v>0.14000000000000001</v>
      </c>
      <c r="O5" s="330">
        <f>P4+E5*1000</f>
        <v>287111.91421769361</v>
      </c>
      <c r="P5" s="331">
        <f>10000*$A$1*(N5*U5-V5*2/N5+X5*N5^2+Y5*2*N5^3+Z5*3*N5^4-W5+S5)</f>
        <v>303571.56059864594</v>
      </c>
      <c r="Q5" s="332">
        <f>R4+F5</f>
        <v>215.80695397369695</v>
      </c>
      <c r="R5" s="333">
        <f>$A$1*(T5+U5+U5*LN(N5)-V5/N5^2+X5*2*N5+Y5*3*N5^2+Z5*4*N5^3)</f>
        <v>232.23350241791178</v>
      </c>
      <c r="S5" s="334">
        <f>SUM($E$3:E5)/$A$1/10</f>
        <v>3.2713933489686688</v>
      </c>
      <c r="T5" s="335">
        <f>IF(D5="end","N/D",Q5/$A$1 - U5 - U5*LN(M5) + V5/(M5^2) - X5*2*M5 - Y5*3*M5^2 - Z5*4*M5^3)</f>
        <v>32.934505125562289</v>
      </c>
      <c r="U5" s="334">
        <f>G5*10^($G$2)/$A$1</f>
        <v>3.6969150279631964</v>
      </c>
      <c r="V5" s="335">
        <f>I5/(2*$A$1)*(10^($I$2)/10^8)</f>
        <v>1.8251247820073367E-4</v>
      </c>
      <c r="W5" s="334">
        <f t="shared" si="0"/>
        <v>4.4673799030628736E-2</v>
      </c>
      <c r="X5" s="335">
        <f>H5/2/$A$1*(10^($H$2)*10^4)</f>
        <v>-6.4573937097841121</v>
      </c>
      <c r="Y5" s="334">
        <f>J5/6/$A$1*(10^($J$2)*10^8)</f>
        <v>6.5588229398440472</v>
      </c>
      <c r="Z5" s="335">
        <f>L5/12/$A$1*(10^($L$2)*10^12)</f>
        <v>0</v>
      </c>
      <c r="AA5" s="336" t="s">
        <v>120</v>
      </c>
    </row>
    <row r="6" spans="1:27" s="329" customFormat="1" ht="21.75" thickBot="1" x14ac:dyDescent="0.4">
      <c r="A6" s="237" t="s">
        <v>75</v>
      </c>
      <c r="B6" s="130">
        <v>1400</v>
      </c>
      <c r="C6" s="130">
        <v>6000</v>
      </c>
      <c r="D6" s="130" t="s">
        <v>65</v>
      </c>
      <c r="E6" s="130">
        <v>0</v>
      </c>
      <c r="F6" s="130">
        <v>0</v>
      </c>
      <c r="G6" s="130">
        <v>21.984999999999999</v>
      </c>
      <c r="H6" s="130">
        <v>-0.63900000000000001</v>
      </c>
      <c r="I6" s="130">
        <v>19.834</v>
      </c>
      <c r="J6" s="130">
        <v>8.7999999999999995E-2</v>
      </c>
      <c r="K6" s="130">
        <v>0</v>
      </c>
      <c r="L6" s="130">
        <v>0</v>
      </c>
      <c r="M6" s="269">
        <f>B6/10000</f>
        <v>0.14000000000000001</v>
      </c>
      <c r="N6" s="269">
        <f>C6/10000</f>
        <v>0.6</v>
      </c>
      <c r="O6" s="330">
        <f>P5+E6*1000</f>
        <v>303571.56059864594</v>
      </c>
      <c r="P6" s="331">
        <f>10000*$A$1*(N6*U6-V6*2/N6+X6*N6^2+Y6*2*N6^3+Z6*3*N6^4-W6+S6)</f>
        <v>401168.43755102681</v>
      </c>
      <c r="Q6" s="332">
        <f>R5+F6</f>
        <v>232.23350241791178</v>
      </c>
      <c r="R6" s="333">
        <f>$A$1*(T6+U6+U6*LN(N6)-V6/N6^2+X6*2*N6+Y6*3*N6^2+Z6*4*N6^3)</f>
        <v>263.26477439230604</v>
      </c>
      <c r="S6" s="334">
        <f>SUM($E$3:E6)/$A$1/10</f>
        <v>3.2713933489686688</v>
      </c>
      <c r="T6" s="335">
        <f>IF(D6="end","N/D",Q6/$A$1 - U6 - U6*LN(M6) + V6/(M6^2) - X6*2*M6 - Y6*3*M6^2 - Z6*4*M6^3)</f>
        <v>30.643793728188538</v>
      </c>
      <c r="U6" s="334">
        <f>G6*10^($G$2)/$A$1</f>
        <v>2.6441758373925066</v>
      </c>
      <c r="V6" s="335">
        <f>I6/(2*$A$1)*(10^($I$2)/10^8)</f>
        <v>1.1927355824162607E-3</v>
      </c>
      <c r="W6" s="334">
        <f t="shared" ref="W6" si="1">U6*M6 - V6*2/M6 + X6*M6^2 + Y6*2*M6^3 + Z6*3*M6^4 + S6-O6/10000/$A$1</f>
        <v>-3.313493556670366E-2</v>
      </c>
      <c r="X6" s="335">
        <f>H6/2/$A$1*(10^($H$2)*10^4)</f>
        <v>-0.38426844668951826</v>
      </c>
      <c r="Y6" s="334">
        <f>J6/6/$A$1*(10^($J$2)*10^8)</f>
        <v>0.17639866097380077</v>
      </c>
      <c r="Z6" s="335">
        <f>L6/12/$A$1*(10^($L$2)*10^12)</f>
        <v>0</v>
      </c>
      <c r="AA6" s="336" t="s">
        <v>120</v>
      </c>
    </row>
    <row r="7" spans="1:27" x14ac:dyDescent="0.35">
      <c r="A7" s="237" t="s">
        <v>75</v>
      </c>
      <c r="B7" s="130">
        <v>6000</v>
      </c>
      <c r="C7" s="130">
        <v>10000</v>
      </c>
      <c r="D7" s="130" t="s">
        <v>65</v>
      </c>
      <c r="E7" s="130">
        <v>0</v>
      </c>
      <c r="F7" s="130">
        <v>0</v>
      </c>
      <c r="G7" s="130">
        <v>9.6980000000000004</v>
      </c>
      <c r="H7" s="130">
        <v>0.90400000000000003</v>
      </c>
      <c r="I7" s="130">
        <v>1368.24</v>
      </c>
      <c r="J7" s="130">
        <v>6.8000000000000005E-2</v>
      </c>
      <c r="K7" s="130">
        <v>0</v>
      </c>
      <c r="L7" s="130">
        <v>0</v>
      </c>
      <c r="M7" s="269">
        <f>B7/10000</f>
        <v>0.6</v>
      </c>
      <c r="N7" s="269">
        <f>C7/10000</f>
        <v>1</v>
      </c>
      <c r="O7" s="330">
        <f>P6+E7*1000</f>
        <v>401168.43755102681</v>
      </c>
      <c r="P7" s="331">
        <f>10000*$A$1*(N7*U7-V7*2/N7+X7*N7^2+Y7*2*N7^3+Z7*3*N7^4-W7+S7)</f>
        <v>495780.70421769342</v>
      </c>
      <c r="Q7" s="332">
        <f>R6+F7</f>
        <v>263.26477439230604</v>
      </c>
      <c r="R7" s="333">
        <f>$A$1*(T7+U7+U7*LN(N7)-V7/N7^2+X7*2*N7+Y7*3*N7^2+Z7*4*N7^3)</f>
        <v>275.22697462492192</v>
      </c>
      <c r="S7" s="334">
        <f>SUM($E$3:E7)/$A$1/10</f>
        <v>3.2713933489686688</v>
      </c>
      <c r="T7" s="335">
        <f>IF(D7="end","N/D",Q7/$A$1 - U7 - U7*LN(M7) + V7/(M7^2) - X7*2*M7 - Y7*3*M7^2 - Z7*4*M7^3)</f>
        <v>30.521750511145822</v>
      </c>
      <c r="U7" s="334">
        <f>G7*10^($G$2)/$A$1</f>
        <v>1.166396055084491</v>
      </c>
      <c r="V7" s="335">
        <f>I7/(2*$A$1)*(10^($I$2)/10^8)</f>
        <v>8.2280353599134035E-2</v>
      </c>
      <c r="W7" s="334">
        <f t="shared" ref="W7" si="2">U7*M7 - V7*2/M7 + X7*M7^2 + Y7*2*M7^3 + Z7*3*M7^4 + S7-O7/10000/$A$1</f>
        <v>-0.87337106922877838</v>
      </c>
      <c r="X7" s="335">
        <f>H7/2/$A$1*(10^($H$2)*10^4)</f>
        <v>0.54362860063744056</v>
      </c>
      <c r="Y7" s="334">
        <f>J7/6/$A$1*(10^($J$2)*10^8)</f>
        <v>0.13630805620702788</v>
      </c>
      <c r="Z7" s="335">
        <f>L7/12/$A$1*(10^($L$2)*10^12)</f>
        <v>0</v>
      </c>
      <c r="AA7" s="336" t="s">
        <v>120</v>
      </c>
    </row>
    <row r="8" spans="1:27" x14ac:dyDescent="0.35">
      <c r="A8" s="130"/>
      <c r="O8" s="197"/>
      <c r="P8" s="197"/>
      <c r="Q8" s="197"/>
      <c r="AA8" s="130"/>
    </row>
    <row r="9" spans="1:27" x14ac:dyDescent="0.35">
      <c r="A9" s="130"/>
      <c r="P9" s="196"/>
      <c r="Q9" s="196"/>
      <c r="AA9" s="130"/>
    </row>
    <row r="10" spans="1:27" x14ac:dyDescent="0.35">
      <c r="A10" s="130"/>
      <c r="AA10" s="130"/>
    </row>
    <row r="11" spans="1:27" x14ac:dyDescent="0.35">
      <c r="A11" s="130"/>
      <c r="AA11" s="130"/>
    </row>
    <row r="12" spans="1:27" x14ac:dyDescent="0.35">
      <c r="A12" s="130"/>
      <c r="AA12" s="130"/>
    </row>
    <row r="13" spans="1:27" x14ac:dyDescent="0.35">
      <c r="A13" s="130"/>
      <c r="K13" s="197"/>
      <c r="L13" s="197"/>
      <c r="M13" s="197"/>
      <c r="AA13" s="130"/>
    </row>
    <row r="14" spans="1:27" x14ac:dyDescent="0.35">
      <c r="A14" s="130"/>
      <c r="K14" s="197"/>
      <c r="L14" s="197"/>
      <c r="M14" s="197"/>
      <c r="AA14" s="130"/>
    </row>
    <row r="15" spans="1:27" x14ac:dyDescent="0.35">
      <c r="A15" s="130"/>
      <c r="K15" s="197"/>
      <c r="L15" s="197"/>
      <c r="M15" s="197"/>
      <c r="AA15" s="130"/>
    </row>
    <row r="16" spans="1:27" x14ac:dyDescent="0.35">
      <c r="A16" s="197"/>
      <c r="K16" s="197"/>
      <c r="L16" s="197"/>
      <c r="M16" s="197"/>
      <c r="AA16" s="130"/>
    </row>
    <row r="17" spans="1:27" x14ac:dyDescent="0.35">
      <c r="A17" s="197"/>
      <c r="B17" s="196"/>
      <c r="K17" s="197"/>
      <c r="L17" s="197"/>
      <c r="M17" s="197"/>
    </row>
    <row r="18" spans="1:27" x14ac:dyDescent="0.35">
      <c r="A18" s="197"/>
      <c r="B18" s="196"/>
      <c r="K18" s="197"/>
      <c r="L18" s="197"/>
      <c r="M18" s="197"/>
    </row>
    <row r="19" spans="1:27" x14ac:dyDescent="0.35">
      <c r="B19" s="196"/>
      <c r="C19" s="175"/>
      <c r="D19" s="175"/>
      <c r="E19" s="71"/>
      <c r="F19" s="71"/>
      <c r="G19" s="71"/>
      <c r="H19" s="197"/>
      <c r="I19" s="197"/>
      <c r="J19" s="196"/>
      <c r="K19" s="196"/>
      <c r="L19" s="71"/>
    </row>
    <row r="20" spans="1:27" x14ac:dyDescent="0.35">
      <c r="A20" s="182"/>
      <c r="B20" s="196"/>
      <c r="C20" s="71"/>
      <c r="D20" s="71"/>
      <c r="E20" s="71"/>
      <c r="F20" s="71"/>
      <c r="G20" s="71"/>
      <c r="H20" s="182"/>
      <c r="I20" s="182"/>
      <c r="J20" s="71"/>
      <c r="K20" s="175"/>
      <c r="L20" s="71"/>
    </row>
    <row r="21" spans="1:27" x14ac:dyDescent="0.35">
      <c r="A21" s="71"/>
      <c r="B21" s="197"/>
      <c r="C21" s="71"/>
      <c r="D21" s="71"/>
      <c r="E21" s="71"/>
      <c r="F21" s="71"/>
      <c r="G21" s="71"/>
      <c r="H21" s="71"/>
      <c r="I21" s="71"/>
      <c r="J21" s="71"/>
      <c r="K21" s="175"/>
      <c r="L21" s="71"/>
    </row>
    <row r="22" spans="1:27" x14ac:dyDescent="0.35">
      <c r="A22" s="196"/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</row>
    <row r="23" spans="1:27" x14ac:dyDescent="0.35">
      <c r="A23" s="197"/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</row>
    <row r="24" spans="1:27" x14ac:dyDescent="0.35">
      <c r="A24" s="197"/>
      <c r="B24" s="71"/>
      <c r="C24" s="71"/>
      <c r="D24" s="71"/>
      <c r="E24" s="71"/>
      <c r="F24" s="71"/>
      <c r="G24" s="71"/>
      <c r="H24" s="71"/>
      <c r="I24" s="71"/>
      <c r="J24" s="71"/>
      <c r="K24" s="71"/>
      <c r="L24" s="71"/>
    </row>
    <row r="25" spans="1:27" x14ac:dyDescent="0.35">
      <c r="A25" s="197"/>
      <c r="B25" s="71"/>
      <c r="C25" s="71"/>
      <c r="D25" s="71"/>
      <c r="E25" s="71"/>
      <c r="F25" s="71"/>
      <c r="G25" s="71"/>
      <c r="H25" s="71"/>
      <c r="I25" s="71"/>
      <c r="J25" s="71"/>
      <c r="K25" s="71"/>
      <c r="L25" s="71"/>
    </row>
    <row r="26" spans="1:27" x14ac:dyDescent="0.35">
      <c r="A26" s="197"/>
      <c r="B26" s="71"/>
      <c r="C26" s="71"/>
      <c r="D26" s="71"/>
      <c r="E26" s="71"/>
      <c r="F26" s="71"/>
      <c r="G26" s="71"/>
      <c r="H26" s="71"/>
      <c r="I26" s="71"/>
      <c r="J26" s="71"/>
      <c r="K26" s="71"/>
      <c r="L26" s="71"/>
    </row>
    <row r="27" spans="1:27" x14ac:dyDescent="0.35">
      <c r="A27" s="197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</row>
    <row r="28" spans="1:27" x14ac:dyDescent="0.35">
      <c r="A28" s="197"/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</row>
    <row r="29" spans="1:27" x14ac:dyDescent="0.35">
      <c r="A29" s="197"/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</row>
    <row r="30" spans="1:27" x14ac:dyDescent="0.35">
      <c r="A30" s="159"/>
    </row>
    <row r="31" spans="1:27" ht="27" thickBot="1" x14ac:dyDescent="0.45">
      <c r="A31" s="570" t="s">
        <v>112</v>
      </c>
      <c r="B31" s="570"/>
      <c r="C31" s="570"/>
      <c r="D31" s="570"/>
      <c r="E31" s="570"/>
      <c r="F31" s="570"/>
      <c r="G31" s="570"/>
      <c r="H31" s="570"/>
      <c r="I31" s="570"/>
      <c r="J31" s="570"/>
      <c r="K31" s="570"/>
      <c r="L31" s="570"/>
      <c r="M31" s="570"/>
      <c r="N31" s="570"/>
      <c r="O31" s="570"/>
      <c r="P31" s="570"/>
      <c r="Q31" s="570"/>
      <c r="R31" s="570"/>
      <c r="S31" s="570"/>
      <c r="T31" s="570"/>
      <c r="U31" s="570"/>
      <c r="V31" s="570"/>
      <c r="W31" s="570"/>
      <c r="X31" s="570"/>
      <c r="Y31" s="570"/>
      <c r="Z31" s="570"/>
      <c r="AA31" s="570"/>
    </row>
    <row r="32" spans="1:27" s="328" customFormat="1" ht="22.5" thickTop="1" thickBot="1" x14ac:dyDescent="0.4">
      <c r="A32" s="325">
        <v>8.3145000000000007</v>
      </c>
      <c r="B32" s="324" t="s">
        <v>58</v>
      </c>
      <c r="C32" s="324" t="s">
        <v>59</v>
      </c>
      <c r="D32" s="323" t="s">
        <v>123</v>
      </c>
      <c r="E32" s="323" t="s">
        <v>111</v>
      </c>
      <c r="F32" s="324" t="s">
        <v>124</v>
      </c>
      <c r="G32" s="324" t="s">
        <v>40</v>
      </c>
      <c r="H32" s="324" t="s">
        <v>71</v>
      </c>
      <c r="I32" s="324" t="s">
        <v>72</v>
      </c>
      <c r="J32" s="324" t="s">
        <v>74</v>
      </c>
      <c r="K32" s="324" t="str">
        <f>"-3          e *T^(-3)"</f>
        <v>-3          e *T^(-3)</v>
      </c>
      <c r="L32" s="324" t="str">
        <f>" 3           f *T^3"</f>
        <v xml:space="preserve"> 3           f *T^3</v>
      </c>
      <c r="M32" s="324" t="s">
        <v>125</v>
      </c>
      <c r="N32" s="324" t="s">
        <v>126</v>
      </c>
      <c r="O32" s="324" t="s">
        <v>53</v>
      </c>
      <c r="P32" s="324" t="s">
        <v>51</v>
      </c>
      <c r="Q32" s="324" t="s">
        <v>54</v>
      </c>
      <c r="R32" s="324" t="s">
        <v>52</v>
      </c>
      <c r="S32" s="324" t="s">
        <v>41</v>
      </c>
      <c r="T32" s="324" t="s">
        <v>42</v>
      </c>
      <c r="U32" s="324" t="s">
        <v>43</v>
      </c>
      <c r="V32" s="324" t="s">
        <v>44</v>
      </c>
      <c r="W32" s="324" t="s">
        <v>45</v>
      </c>
      <c r="X32" s="324" t="s">
        <v>46</v>
      </c>
      <c r="Y32" s="324" t="s">
        <v>47</v>
      </c>
      <c r="Z32" s="326" t="s">
        <v>48</v>
      </c>
      <c r="AA32" s="327" t="s">
        <v>127</v>
      </c>
    </row>
    <row r="33" spans="1:28" ht="22.5" hidden="1" thickTop="1" thickBot="1" x14ac:dyDescent="0.4">
      <c r="A33" s="234" t="s">
        <v>113</v>
      </c>
      <c r="B33" s="243">
        <v>298.14999999999998</v>
      </c>
      <c r="C33" s="244">
        <v>398</v>
      </c>
      <c r="D33" s="200" t="s">
        <v>69</v>
      </c>
      <c r="E33" s="260">
        <v>5.0209999999999999</v>
      </c>
      <c r="F33" s="261">
        <v>48.408999999999999</v>
      </c>
      <c r="G33" s="261">
        <v>27.15</v>
      </c>
      <c r="H33" s="261">
        <v>0</v>
      </c>
      <c r="I33" s="261">
        <v>0</v>
      </c>
      <c r="J33" s="261">
        <v>0</v>
      </c>
      <c r="K33" s="267">
        <v>0</v>
      </c>
      <c r="L33" s="268">
        <v>0</v>
      </c>
      <c r="M33" s="201">
        <v>2.9814999999999998E-2</v>
      </c>
      <c r="N33" s="201">
        <v>3.9800000000000002E-2</v>
      </c>
      <c r="O33" s="202">
        <v>5021</v>
      </c>
      <c r="P33" s="203">
        <v>7731.9275000000007</v>
      </c>
      <c r="Q33" s="204">
        <v>48.408999999999999</v>
      </c>
      <c r="R33" s="205">
        <v>56.251421115771024</v>
      </c>
      <c r="S33" s="206">
        <v>6.0388477960190028E-2</v>
      </c>
      <c r="T33" s="207">
        <v>14.027300531776039</v>
      </c>
      <c r="U33" s="206">
        <v>3.265379758253653</v>
      </c>
      <c r="V33" s="207">
        <v>0</v>
      </c>
      <c r="W33" s="206">
        <v>9.7357297492332656E-2</v>
      </c>
      <c r="X33" s="207">
        <v>0</v>
      </c>
      <c r="Y33" s="206">
        <v>0</v>
      </c>
      <c r="Z33" s="207">
        <v>0</v>
      </c>
      <c r="AA33" s="208" t="s">
        <v>120</v>
      </c>
      <c r="AB33" s="306">
        <v>0</v>
      </c>
    </row>
    <row r="34" spans="1:28" s="31" customFormat="1" ht="22.5" hidden="1" thickTop="1" thickBot="1" x14ac:dyDescent="0.4">
      <c r="A34" s="235" t="s">
        <v>114</v>
      </c>
      <c r="B34" s="243">
        <v>298</v>
      </c>
      <c r="C34" s="244">
        <v>413</v>
      </c>
      <c r="D34" s="200" t="s">
        <v>69</v>
      </c>
      <c r="E34" s="260">
        <v>8.9540000000000006</v>
      </c>
      <c r="F34" s="261">
        <v>188.154</v>
      </c>
      <c r="G34" s="261">
        <v>107.52</v>
      </c>
      <c r="H34" s="261">
        <v>-9.06</v>
      </c>
      <c r="I34" s="261">
        <v>-4.3810000000000002</v>
      </c>
      <c r="J34" s="261">
        <v>57.073</v>
      </c>
      <c r="K34" s="267">
        <v>0</v>
      </c>
      <c r="L34" s="268">
        <v>0</v>
      </c>
      <c r="M34" s="201">
        <v>2.98E-2</v>
      </c>
      <c r="N34" s="201">
        <v>4.1300000000000003E-2</v>
      </c>
      <c r="O34" s="202">
        <v>8954</v>
      </c>
      <c r="P34" s="203">
        <v>21375.76204940235</v>
      </c>
      <c r="Q34" s="204">
        <v>188.154</v>
      </c>
      <c r="R34" s="205">
        <v>223.35254329552305</v>
      </c>
      <c r="S34" s="206">
        <v>0.10769138252450537</v>
      </c>
      <c r="T34" s="207">
        <v>54.853251742343801</v>
      </c>
      <c r="U34" s="206">
        <v>12.931625473570268</v>
      </c>
      <c r="V34" s="207">
        <v>-2.6345540922484819E-4</v>
      </c>
      <c r="W34" s="206">
        <v>0.40426080105349993</v>
      </c>
      <c r="X34" s="207">
        <v>-5.4483131878044384</v>
      </c>
      <c r="Y34" s="206">
        <v>114.404554292702</v>
      </c>
      <c r="Z34" s="207">
        <v>0</v>
      </c>
      <c r="AA34" s="208" t="s">
        <v>120</v>
      </c>
      <c r="AB34" s="300">
        <v>0</v>
      </c>
    </row>
    <row r="35" spans="1:28" s="31" customFormat="1" ht="22.5" hidden="1" thickTop="1" thickBot="1" x14ac:dyDescent="0.4">
      <c r="A35" s="234" t="s">
        <v>76</v>
      </c>
      <c r="B35" s="243">
        <v>298.14999999999998</v>
      </c>
      <c r="C35" s="244">
        <v>398</v>
      </c>
      <c r="D35" s="200" t="s">
        <v>69</v>
      </c>
      <c r="E35" s="260">
        <v>-183.25899999999999</v>
      </c>
      <c r="F35" s="261">
        <v>112.968</v>
      </c>
      <c r="G35" s="261">
        <v>0</v>
      </c>
      <c r="H35" s="261">
        <v>0</v>
      </c>
      <c r="I35" s="261">
        <v>0</v>
      </c>
      <c r="J35" s="261">
        <v>0</v>
      </c>
      <c r="K35" s="267">
        <v>0</v>
      </c>
      <c r="L35" s="268">
        <v>0</v>
      </c>
      <c r="M35" s="201">
        <v>2.9814999999999998E-2</v>
      </c>
      <c r="N35" s="201">
        <v>3.9800000000000002E-2</v>
      </c>
      <c r="O35" s="202">
        <v>-183259</v>
      </c>
      <c r="P35" s="203">
        <v>-183258.99999999997</v>
      </c>
      <c r="Q35" s="204">
        <v>112.968</v>
      </c>
      <c r="R35" s="205">
        <v>112.968</v>
      </c>
      <c r="S35" s="206">
        <v>-2.2040892416862103</v>
      </c>
      <c r="T35" s="207">
        <v>13.586866317878405</v>
      </c>
      <c r="U35" s="206">
        <v>0</v>
      </c>
      <c r="V35" s="207">
        <v>0</v>
      </c>
      <c r="W35" s="206">
        <v>0</v>
      </c>
      <c r="X35" s="207">
        <v>0</v>
      </c>
      <c r="Y35" s="206">
        <v>0</v>
      </c>
      <c r="Z35" s="207">
        <v>0</v>
      </c>
      <c r="AA35" s="208" t="s">
        <v>120</v>
      </c>
      <c r="AB35" s="300">
        <v>0</v>
      </c>
    </row>
    <row r="36" spans="1:28" s="31" customFormat="1" ht="22.5" hidden="1" thickTop="1" thickBot="1" x14ac:dyDescent="0.4">
      <c r="A36" s="236" t="s">
        <v>77</v>
      </c>
      <c r="B36" s="245">
        <v>298.14999999999998</v>
      </c>
      <c r="C36" s="246">
        <v>1293</v>
      </c>
      <c r="D36" s="209" t="s">
        <v>69</v>
      </c>
      <c r="E36" s="260">
        <v>-408.77699999999999</v>
      </c>
      <c r="F36" s="261">
        <v>179.91200000000001</v>
      </c>
      <c r="G36" s="261">
        <v>105.73</v>
      </c>
      <c r="H36" s="261">
        <v>35.313000000000002</v>
      </c>
      <c r="I36" s="261">
        <v>0</v>
      </c>
      <c r="J36" s="261">
        <v>0</v>
      </c>
      <c r="K36" s="267">
        <v>0</v>
      </c>
      <c r="L36" s="268">
        <v>0</v>
      </c>
      <c r="M36" s="201">
        <v>2.9814999999999998E-2</v>
      </c>
      <c r="N36" s="201">
        <v>0.1293</v>
      </c>
      <c r="O36" s="202">
        <v>-408777</v>
      </c>
      <c r="P36" s="203">
        <v>-275642.05434587126</v>
      </c>
      <c r="Q36" s="204">
        <v>179.91200000000001</v>
      </c>
      <c r="R36" s="205">
        <v>370.16212296042596</v>
      </c>
      <c r="S36" s="206">
        <v>-4.9164351434241382</v>
      </c>
      <c r="T36" s="207">
        <v>52.324952293212974</v>
      </c>
      <c r="U36" s="206">
        <v>12.716338925972698</v>
      </c>
      <c r="V36" s="207">
        <v>0</v>
      </c>
      <c r="W36" s="206">
        <v>0.39801486817452936</v>
      </c>
      <c r="X36" s="207">
        <v>21.235792891935773</v>
      </c>
      <c r="Y36" s="206">
        <v>0</v>
      </c>
      <c r="Z36" s="207">
        <v>0</v>
      </c>
      <c r="AA36" s="208" t="s">
        <v>120</v>
      </c>
      <c r="AB36" s="300" t="s">
        <v>116</v>
      </c>
    </row>
    <row r="37" spans="1:28" s="31" customFormat="1" ht="22.5" hidden="1" thickTop="1" thickBot="1" x14ac:dyDescent="0.4">
      <c r="A37" s="237" t="s">
        <v>88</v>
      </c>
      <c r="B37" s="247">
        <v>298.14999999999998</v>
      </c>
      <c r="C37" s="248">
        <v>350</v>
      </c>
      <c r="D37" s="210" t="s">
        <v>69</v>
      </c>
      <c r="E37" s="262">
        <v>-112.968</v>
      </c>
      <c r="F37" s="263">
        <v>115.395</v>
      </c>
      <c r="G37" s="263">
        <v>146.40600000000001</v>
      </c>
      <c r="H37" s="263">
        <v>-419.279</v>
      </c>
      <c r="I37" s="263">
        <v>-9.6690000000000005</v>
      </c>
      <c r="J37" s="263">
        <v>690.01700000000005</v>
      </c>
      <c r="K37" s="229">
        <v>0</v>
      </c>
      <c r="L37" s="253">
        <v>0</v>
      </c>
      <c r="M37" s="211">
        <v>2.9814999999999998E-2</v>
      </c>
      <c r="N37" s="211">
        <v>3.5000000000000003E-2</v>
      </c>
      <c r="O37" s="212">
        <v>-112968</v>
      </c>
      <c r="P37" s="213">
        <v>-109137.02129574418</v>
      </c>
      <c r="Q37" s="214">
        <v>115.395</v>
      </c>
      <c r="R37" s="215">
        <v>127.2321509136336</v>
      </c>
      <c r="S37" s="216">
        <v>-1.3586866317878405</v>
      </c>
      <c r="T37" s="217">
        <v>68.816676906083146</v>
      </c>
      <c r="U37" s="216">
        <v>17.608515244452462</v>
      </c>
      <c r="V37" s="217">
        <v>-5.8145408623489088E-4</v>
      </c>
      <c r="W37" s="216">
        <v>0.41318596346922787</v>
      </c>
      <c r="X37" s="217">
        <v>-252.13723014011663</v>
      </c>
      <c r="Y37" s="216">
        <v>1383.1599414677171</v>
      </c>
      <c r="Z37" s="217">
        <v>0</v>
      </c>
      <c r="AA37" s="218" t="s">
        <v>120</v>
      </c>
      <c r="AB37" s="300">
        <v>0</v>
      </c>
    </row>
    <row r="38" spans="1:28" s="31" customFormat="1" ht="22.5" hidden="1" thickTop="1" thickBot="1" x14ac:dyDescent="0.4">
      <c r="A38" s="238" t="s">
        <v>88</v>
      </c>
      <c r="B38" s="249">
        <v>350</v>
      </c>
      <c r="C38" s="250">
        <v>420</v>
      </c>
      <c r="D38" s="196" t="s">
        <v>69</v>
      </c>
      <c r="E38" s="264">
        <v>0</v>
      </c>
      <c r="F38" s="199">
        <v>0</v>
      </c>
      <c r="G38" s="199">
        <v>14.651999999999999</v>
      </c>
      <c r="H38" s="199">
        <v>175.816</v>
      </c>
      <c r="I38" s="199">
        <v>0</v>
      </c>
      <c r="J38" s="199">
        <v>0</v>
      </c>
      <c r="K38" s="198">
        <v>0</v>
      </c>
      <c r="L38" s="255">
        <v>0</v>
      </c>
      <c r="M38" s="167">
        <v>3.5000000000000003E-2</v>
      </c>
      <c r="N38" s="167">
        <v>4.2000000000000003E-2</v>
      </c>
      <c r="O38" s="177">
        <v>-109137.02129574418</v>
      </c>
      <c r="P38" s="178">
        <v>-103373.14009574415</v>
      </c>
      <c r="Q38" s="179">
        <v>127.2321509136336</v>
      </c>
      <c r="R38" s="180">
        <v>142.21064636377864</v>
      </c>
      <c r="S38" s="174">
        <v>-1.3586866317878405</v>
      </c>
      <c r="T38" s="173">
        <v>12.046908589131874</v>
      </c>
      <c r="U38" s="174">
        <v>1.7622226231282696</v>
      </c>
      <c r="V38" s="173">
        <v>0</v>
      </c>
      <c r="W38" s="174">
        <v>0.14511938535984314</v>
      </c>
      <c r="X38" s="173">
        <v>105.72854651512418</v>
      </c>
      <c r="Y38" s="174">
        <v>0</v>
      </c>
      <c r="Z38" s="173">
        <v>0</v>
      </c>
      <c r="AA38" s="219" t="s">
        <v>120</v>
      </c>
      <c r="AB38" s="300">
        <v>0</v>
      </c>
    </row>
    <row r="39" spans="1:28" s="31" customFormat="1" ht="22.5" hidden="1" thickTop="1" thickBot="1" x14ac:dyDescent="0.4">
      <c r="A39" s="238" t="s">
        <v>88</v>
      </c>
      <c r="B39" s="249">
        <v>420</v>
      </c>
      <c r="C39" s="250">
        <v>450</v>
      </c>
      <c r="D39" s="196" t="s">
        <v>69</v>
      </c>
      <c r="E39" s="264">
        <v>0</v>
      </c>
      <c r="F39" s="199">
        <v>0</v>
      </c>
      <c r="G39" s="199">
        <v>83.006</v>
      </c>
      <c r="H39" s="199">
        <v>0</v>
      </c>
      <c r="I39" s="199">
        <v>0</v>
      </c>
      <c r="J39" s="199">
        <v>0</v>
      </c>
      <c r="K39" s="198">
        <v>0</v>
      </c>
      <c r="L39" s="255">
        <v>0</v>
      </c>
      <c r="M39" s="167">
        <v>4.2000000000000003E-2</v>
      </c>
      <c r="N39" s="167">
        <v>4.4999999999999998E-2</v>
      </c>
      <c r="O39" s="177">
        <v>-103373.14009574415</v>
      </c>
      <c r="P39" s="178">
        <v>-100882.96009574414</v>
      </c>
      <c r="Q39" s="179">
        <v>142.21064636377864</v>
      </c>
      <c r="R39" s="180">
        <v>147.93746865442452</v>
      </c>
      <c r="S39" s="174">
        <v>-1.3586866317878405</v>
      </c>
      <c r="T39" s="173">
        <v>38.768510038576053</v>
      </c>
      <c r="U39" s="174">
        <v>9.9832822178122544</v>
      </c>
      <c r="V39" s="173">
        <v>0</v>
      </c>
      <c r="W39" s="174">
        <v>0.30389873228389108</v>
      </c>
      <c r="X39" s="173">
        <v>0</v>
      </c>
      <c r="Y39" s="174">
        <v>0</v>
      </c>
      <c r="Z39" s="173">
        <v>0</v>
      </c>
      <c r="AA39" s="219" t="s">
        <v>120</v>
      </c>
      <c r="AB39" s="300">
        <v>0</v>
      </c>
    </row>
    <row r="40" spans="1:28" s="31" customFormat="1" ht="22.5" hidden="1" thickTop="1" thickBot="1" x14ac:dyDescent="0.4">
      <c r="A40" s="239" t="s">
        <v>88</v>
      </c>
      <c r="B40" s="251">
        <v>450</v>
      </c>
      <c r="C40" s="231">
        <v>900</v>
      </c>
      <c r="D40" s="220" t="s">
        <v>69</v>
      </c>
      <c r="E40" s="265">
        <v>0</v>
      </c>
      <c r="F40" s="266">
        <v>0</v>
      </c>
      <c r="G40" s="266">
        <v>16.878</v>
      </c>
      <c r="H40" s="266">
        <v>102.194</v>
      </c>
      <c r="I40" s="266">
        <v>45.500999999999998</v>
      </c>
      <c r="J40" s="266">
        <v>-39.966000000000001</v>
      </c>
      <c r="K40" s="230">
        <v>0</v>
      </c>
      <c r="L40" s="257">
        <v>0</v>
      </c>
      <c r="M40" s="221">
        <v>4.4999999999999998E-2</v>
      </c>
      <c r="N40" s="221">
        <v>0.09</v>
      </c>
      <c r="O40" s="222">
        <v>-100882.96009574414</v>
      </c>
      <c r="P40" s="223">
        <v>-65688.536679077442</v>
      </c>
      <c r="Q40" s="224">
        <v>147.93746865442452</v>
      </c>
      <c r="R40" s="225">
        <v>201.91014537902635</v>
      </c>
      <c r="S40" s="226">
        <v>-1.3586866317878405</v>
      </c>
      <c r="T40" s="227">
        <v>18.364758562217371</v>
      </c>
      <c r="U40" s="226">
        <v>2.0299476817607793</v>
      </c>
      <c r="V40" s="227">
        <v>2.736243911239401E-3</v>
      </c>
      <c r="W40" s="226">
        <v>-6.5765806573927721E-2</v>
      </c>
      <c r="X40" s="227">
        <v>61.455288953033858</v>
      </c>
      <c r="Y40" s="226">
        <v>-80.11305550544229</v>
      </c>
      <c r="Z40" s="227">
        <v>0</v>
      </c>
      <c r="AA40" s="228" t="s">
        <v>120</v>
      </c>
      <c r="AB40" s="300">
        <v>0</v>
      </c>
    </row>
    <row r="41" spans="1:28" s="31" customFormat="1" ht="22.5" hidden="1" thickTop="1" thickBot="1" x14ac:dyDescent="0.4">
      <c r="A41" s="235" t="s">
        <v>115</v>
      </c>
      <c r="B41" s="245">
        <v>298.14999999999998</v>
      </c>
      <c r="C41" s="244">
        <v>398</v>
      </c>
      <c r="D41" s="200" t="s">
        <v>69</v>
      </c>
      <c r="E41" s="260">
        <v>16.318000000000001</v>
      </c>
      <c r="F41" s="261">
        <v>52.3</v>
      </c>
      <c r="G41" s="261">
        <v>40.585000000000001</v>
      </c>
      <c r="H41" s="261">
        <v>0</v>
      </c>
      <c r="I41" s="261">
        <v>0</v>
      </c>
      <c r="J41" s="261">
        <v>0</v>
      </c>
      <c r="K41" s="267">
        <v>0</v>
      </c>
      <c r="L41" s="268">
        <v>0</v>
      </c>
      <c r="M41" s="201">
        <v>2.9814999999999998E-2</v>
      </c>
      <c r="N41" s="201">
        <v>3.9800000000000002E-2</v>
      </c>
      <c r="O41" s="202">
        <v>16318.000000000002</v>
      </c>
      <c r="P41" s="203">
        <v>20370.412250000005</v>
      </c>
      <c r="Q41" s="204">
        <v>52.3</v>
      </c>
      <c r="R41" s="205">
        <v>64.023191933096371</v>
      </c>
      <c r="S41" s="206">
        <v>0.1962595465752601</v>
      </c>
      <c r="T41" s="207">
        <v>18.555499584494658</v>
      </c>
      <c r="U41" s="206">
        <v>4.881231583378435</v>
      </c>
      <c r="V41" s="207">
        <v>0</v>
      </c>
      <c r="W41" s="206">
        <v>0.14553391965842802</v>
      </c>
      <c r="X41" s="207">
        <v>0</v>
      </c>
      <c r="Y41" s="206">
        <v>0</v>
      </c>
      <c r="Z41" s="207">
        <v>0</v>
      </c>
      <c r="AA41" s="208" t="s">
        <v>120</v>
      </c>
      <c r="AB41" s="300">
        <v>0</v>
      </c>
    </row>
    <row r="42" spans="1:28" s="31" customFormat="1" ht="21.75" thickTop="1" x14ac:dyDescent="0.35">
      <c r="A42" s="237" t="s">
        <v>75</v>
      </c>
      <c r="B42" s="252">
        <v>298.14999999999998</v>
      </c>
      <c r="C42" s="253">
        <v>302.91000000000003</v>
      </c>
      <c r="D42" s="210" t="s">
        <v>69</v>
      </c>
      <c r="E42" s="262">
        <v>0</v>
      </c>
      <c r="F42" s="263">
        <v>40.726999999999997</v>
      </c>
      <c r="G42" s="263">
        <v>-385.053</v>
      </c>
      <c r="H42" s="263">
        <v>1732.9169999999999</v>
      </c>
      <c r="I42" s="263">
        <v>65.540999999999997</v>
      </c>
      <c r="J42" s="263">
        <v>-2016.1869999999999</v>
      </c>
      <c r="K42" s="229">
        <v>0</v>
      </c>
      <c r="L42" s="253">
        <v>0</v>
      </c>
      <c r="M42" s="211">
        <v>2.9814999999999998E-2</v>
      </c>
      <c r="N42" s="211">
        <v>3.0291000000000002E-2</v>
      </c>
      <c r="O42" s="212">
        <v>0</v>
      </c>
      <c r="P42" s="213">
        <v>124.75698787267221</v>
      </c>
      <c r="Q42" s="214">
        <v>40.726999999999997</v>
      </c>
      <c r="R42" s="215">
        <v>41.142128128570683</v>
      </c>
      <c r="S42" s="216">
        <v>0</v>
      </c>
      <c r="T42" s="217">
        <v>-158.39844524532509</v>
      </c>
      <c r="U42" s="216">
        <v>-46.311022911780618</v>
      </c>
      <c r="V42" s="217">
        <v>3.9413674905285946E-3</v>
      </c>
      <c r="W42" s="216">
        <v>-0.93301705784567912</v>
      </c>
      <c r="X42" s="217">
        <v>1042.105358109327</v>
      </c>
      <c r="Y42" s="216">
        <v>-4041.5078076452774</v>
      </c>
      <c r="Z42" s="217">
        <v>0</v>
      </c>
      <c r="AA42" s="218" t="s">
        <v>120</v>
      </c>
      <c r="AB42" s="300">
        <v>0</v>
      </c>
    </row>
    <row r="43" spans="1:28" s="31" customFormat="1" x14ac:dyDescent="0.35">
      <c r="A43" s="238" t="s">
        <v>75</v>
      </c>
      <c r="B43" s="254">
        <v>302.91000000000003</v>
      </c>
      <c r="C43" s="255">
        <v>700</v>
      </c>
      <c r="D43" s="175" t="s">
        <v>61</v>
      </c>
      <c r="E43" s="264">
        <v>5.59</v>
      </c>
      <c r="F43" s="199">
        <v>18.454000000000001</v>
      </c>
      <c r="G43" s="199">
        <v>26.071000000000002</v>
      </c>
      <c r="H43" s="199">
        <v>-0.307</v>
      </c>
      <c r="I43" s="199">
        <v>2.3660000000000001</v>
      </c>
      <c r="J43" s="199">
        <v>0.246</v>
      </c>
      <c r="K43" s="198">
        <v>0</v>
      </c>
      <c r="L43" s="255">
        <v>0</v>
      </c>
      <c r="M43" s="167">
        <v>3.0291000000000002E-2</v>
      </c>
      <c r="N43" s="167">
        <v>7.0000000000000007E-2</v>
      </c>
      <c r="O43" s="177">
        <v>5714.7569878726727</v>
      </c>
      <c r="P43" s="178">
        <v>16475.096727126416</v>
      </c>
      <c r="Q43" s="179">
        <v>59.596128128570683</v>
      </c>
      <c r="R43" s="180">
        <v>82.409320091077461</v>
      </c>
      <c r="S43" s="174">
        <v>6.7231944193878151E-2</v>
      </c>
      <c r="T43" s="173">
        <v>15.161939633818086</v>
      </c>
      <c r="U43" s="174">
        <v>3.1356064706236091</v>
      </c>
      <c r="V43" s="173">
        <v>1.4228155631727706E-4</v>
      </c>
      <c r="W43" s="174">
        <v>8.3943884453347564E-2</v>
      </c>
      <c r="X43" s="173">
        <v>-0.18461723495098922</v>
      </c>
      <c r="Y43" s="174">
        <v>0.49311443863130677</v>
      </c>
      <c r="Z43" s="173">
        <v>0</v>
      </c>
      <c r="AA43" s="219" t="s">
        <v>120</v>
      </c>
      <c r="AB43" s="300">
        <v>0</v>
      </c>
    </row>
    <row r="44" spans="1:28" s="31" customFormat="1" ht="21.75" thickBot="1" x14ac:dyDescent="0.4">
      <c r="A44" s="239" t="s">
        <v>75</v>
      </c>
      <c r="B44" s="256">
        <v>700</v>
      </c>
      <c r="C44" s="257">
        <v>4000</v>
      </c>
      <c r="D44" s="220" t="s">
        <v>61</v>
      </c>
      <c r="E44" s="265">
        <v>0</v>
      </c>
      <c r="F44" s="266">
        <v>0</v>
      </c>
      <c r="G44" s="266">
        <v>26.068999999999999</v>
      </c>
      <c r="H44" s="266">
        <v>-0.30099999999999999</v>
      </c>
      <c r="I44" s="266">
        <v>2.37</v>
      </c>
      <c r="J44" s="266">
        <v>0.24099999999999999</v>
      </c>
      <c r="K44" s="230">
        <v>0</v>
      </c>
      <c r="L44" s="257">
        <v>0</v>
      </c>
      <c r="M44" s="221">
        <v>7.0000000000000007E-2</v>
      </c>
      <c r="N44" s="221">
        <v>0.4</v>
      </c>
      <c r="O44" s="222">
        <v>16475.096727126416</v>
      </c>
      <c r="P44" s="223">
        <v>105561.64215569783</v>
      </c>
      <c r="Q44" s="224">
        <v>82.409320091077461</v>
      </c>
      <c r="R44" s="225">
        <v>128.9568723893446</v>
      </c>
      <c r="S44" s="226">
        <v>6.7231944193878151E-2</v>
      </c>
      <c r="T44" s="227">
        <v>15.161231791276917</v>
      </c>
      <c r="U44" s="226">
        <v>3.1353659269950085</v>
      </c>
      <c r="V44" s="227">
        <v>1.4252209994587768E-4</v>
      </c>
      <c r="W44" s="226">
        <v>8.3930978142227303E-2</v>
      </c>
      <c r="X44" s="227">
        <v>-0.18100908052197964</v>
      </c>
      <c r="Y44" s="226">
        <v>0.48309178743961351</v>
      </c>
      <c r="Z44" s="227">
        <v>0</v>
      </c>
      <c r="AA44" s="228" t="s">
        <v>120</v>
      </c>
      <c r="AB44" s="300">
        <v>0</v>
      </c>
    </row>
    <row r="45" spans="1:28" s="31" customFormat="1" ht="21.75" hidden="1" thickBot="1" x14ac:dyDescent="0.4">
      <c r="A45" s="240" t="s">
        <v>68</v>
      </c>
      <c r="B45" s="247">
        <v>298.14999999999998</v>
      </c>
      <c r="C45" s="248">
        <v>1211.4000000000001</v>
      </c>
      <c r="D45" s="210" t="s">
        <v>69</v>
      </c>
      <c r="E45" s="262">
        <v>0</v>
      </c>
      <c r="F45" s="263">
        <v>31.087</v>
      </c>
      <c r="G45" s="263">
        <v>24.1</v>
      </c>
      <c r="H45" s="263">
        <v>2.99</v>
      </c>
      <c r="I45" s="263">
        <v>-1.57</v>
      </c>
      <c r="J45" s="263">
        <v>0</v>
      </c>
      <c r="K45" s="229">
        <v>0</v>
      </c>
      <c r="L45" s="253">
        <v>0</v>
      </c>
      <c r="M45" s="211">
        <v>2.9814999999999998E-2</v>
      </c>
      <c r="N45" s="211">
        <v>0.12114000000000001</v>
      </c>
      <c r="O45" s="212">
        <v>0</v>
      </c>
      <c r="P45" s="213">
        <v>23673.348356575047</v>
      </c>
      <c r="Q45" s="214">
        <v>31.087</v>
      </c>
      <c r="R45" s="215">
        <v>66.774670463076021</v>
      </c>
      <c r="S45" s="216">
        <v>0</v>
      </c>
      <c r="T45" s="217">
        <v>10.808776674393879</v>
      </c>
      <c r="U45" s="216">
        <v>2.8985507246376812</v>
      </c>
      <c r="V45" s="217">
        <v>-9.4413374225750193E-5</v>
      </c>
      <c r="W45" s="216">
        <v>9.4351930325122887E-2</v>
      </c>
      <c r="X45" s="217">
        <v>1.7980636237897649</v>
      </c>
      <c r="Y45" s="216">
        <v>0</v>
      </c>
      <c r="Z45" s="217">
        <v>0</v>
      </c>
      <c r="AA45" s="218" t="s">
        <v>120</v>
      </c>
      <c r="AB45" s="300" t="s">
        <v>116</v>
      </c>
    </row>
    <row r="46" spans="1:28" s="31" customFormat="1" ht="21.75" hidden="1" thickBot="1" x14ac:dyDescent="0.4">
      <c r="A46" s="241" t="s">
        <v>68</v>
      </c>
      <c r="B46" s="258">
        <v>1211.4000000000001</v>
      </c>
      <c r="C46" s="259">
        <v>4900</v>
      </c>
      <c r="D46" s="175" t="s">
        <v>61</v>
      </c>
      <c r="E46" s="264">
        <v>36.945</v>
      </c>
      <c r="F46" s="199">
        <v>30.521999999999998</v>
      </c>
      <c r="G46" s="199">
        <v>27.6</v>
      </c>
      <c r="H46" s="199">
        <v>0</v>
      </c>
      <c r="I46" s="199">
        <v>0</v>
      </c>
      <c r="J46" s="199">
        <v>0</v>
      </c>
      <c r="K46" s="198">
        <v>0</v>
      </c>
      <c r="L46" s="255">
        <v>0</v>
      </c>
      <c r="M46" s="221">
        <v>0.12114000000000001</v>
      </c>
      <c r="N46" s="221">
        <v>0.49</v>
      </c>
      <c r="O46" s="222">
        <v>60618.34835657505</v>
      </c>
      <c r="P46" s="223">
        <v>162423.70835657502</v>
      </c>
      <c r="Q46" s="224">
        <v>97.296670463076026</v>
      </c>
      <c r="R46" s="225">
        <v>135.86652477470767</v>
      </c>
      <c r="S46" s="174">
        <v>0.44434421793252749</v>
      </c>
      <c r="T46" s="173">
        <v>15.389377795432761</v>
      </c>
      <c r="U46" s="174">
        <v>3.3195020746887964</v>
      </c>
      <c r="V46" s="173">
        <v>0</v>
      </c>
      <c r="W46" s="174">
        <v>0.11740082558692588</v>
      </c>
      <c r="X46" s="173">
        <v>0</v>
      </c>
      <c r="Y46" s="174">
        <v>0</v>
      </c>
      <c r="Z46" s="173">
        <v>0</v>
      </c>
      <c r="AA46" s="219" t="s">
        <v>120</v>
      </c>
      <c r="AB46" s="300"/>
    </row>
    <row r="47" spans="1:28" s="31" customFormat="1" ht="21.75" hidden="1" thickBot="1" x14ac:dyDescent="0.4">
      <c r="A47" s="237" t="s">
        <v>87</v>
      </c>
      <c r="B47" s="247">
        <v>298.14999999999998</v>
      </c>
      <c r="C47" s="248">
        <v>948</v>
      </c>
      <c r="D47" s="210" t="s">
        <v>69</v>
      </c>
      <c r="E47" s="262">
        <v>-69.036000000000001</v>
      </c>
      <c r="F47" s="263">
        <v>78.241</v>
      </c>
      <c r="G47" s="263">
        <v>45.104999999999997</v>
      </c>
      <c r="H47" s="263">
        <v>16.393999999999998</v>
      </c>
      <c r="I47" s="263">
        <v>0</v>
      </c>
      <c r="J47" s="263">
        <v>6.0000000000000001E-3</v>
      </c>
      <c r="K47" s="229">
        <v>0</v>
      </c>
      <c r="L47" s="253">
        <v>0</v>
      </c>
      <c r="M47" s="211">
        <v>2.9814999999999998E-2</v>
      </c>
      <c r="N47" s="211">
        <v>9.4799999999999995E-2</v>
      </c>
      <c r="O47" s="212">
        <v>-69036</v>
      </c>
      <c r="P47" s="213">
        <v>-33084.847510596337</v>
      </c>
      <c r="Q47" s="214">
        <v>78.241</v>
      </c>
      <c r="R47" s="215">
        <v>141.07263030020036</v>
      </c>
      <c r="S47" s="232">
        <v>-0.83030849720368027</v>
      </c>
      <c r="T47" s="217">
        <v>22.453564837569701</v>
      </c>
      <c r="U47" s="216">
        <v>5.4248601840158752</v>
      </c>
      <c r="V47" s="217">
        <v>0</v>
      </c>
      <c r="W47" s="216">
        <v>0.17050656252787699</v>
      </c>
      <c r="X47" s="217">
        <v>9.8586806181971252</v>
      </c>
      <c r="Y47" s="216">
        <v>1.2027181430031871E-2</v>
      </c>
      <c r="Z47" s="217">
        <v>0</v>
      </c>
      <c r="AA47" s="218" t="s">
        <v>120</v>
      </c>
      <c r="AB47" s="300"/>
    </row>
    <row r="48" spans="1:28" s="31" customFormat="1" ht="21.75" hidden="1" thickBot="1" x14ac:dyDescent="0.4">
      <c r="A48" s="239" t="s">
        <v>87</v>
      </c>
      <c r="B48" s="251">
        <v>948</v>
      </c>
      <c r="C48" s="231">
        <v>1200</v>
      </c>
      <c r="D48" s="220" t="s">
        <v>61</v>
      </c>
      <c r="E48" s="265">
        <v>24.686</v>
      </c>
      <c r="F48" s="266">
        <v>26.041</v>
      </c>
      <c r="G48" s="266">
        <v>63.597000000000001</v>
      </c>
      <c r="H48" s="266">
        <v>0</v>
      </c>
      <c r="I48" s="266">
        <v>0</v>
      </c>
      <c r="J48" s="266">
        <v>0</v>
      </c>
      <c r="K48" s="230">
        <v>0</v>
      </c>
      <c r="L48" s="257">
        <v>0</v>
      </c>
      <c r="M48" s="221">
        <v>9.4799999999999995E-2</v>
      </c>
      <c r="N48" s="221">
        <v>0.12</v>
      </c>
      <c r="O48" s="222">
        <v>-8398.8475105963371</v>
      </c>
      <c r="P48" s="223">
        <v>7627.5964894036615</v>
      </c>
      <c r="Q48" s="224">
        <v>167.11363030020036</v>
      </c>
      <c r="R48" s="225">
        <v>182.10486354513984</v>
      </c>
      <c r="S48" s="233">
        <v>-0.53340549642191348</v>
      </c>
      <c r="T48" s="227">
        <v>30.47089586347429</v>
      </c>
      <c r="U48" s="226">
        <v>7.6489265740573691</v>
      </c>
      <c r="V48" s="227">
        <v>0</v>
      </c>
      <c r="W48" s="226">
        <v>0.29272720561183874</v>
      </c>
      <c r="X48" s="227">
        <v>0</v>
      </c>
      <c r="Y48" s="226">
        <v>0</v>
      </c>
      <c r="Z48" s="227">
        <v>0</v>
      </c>
      <c r="AA48" s="228" t="s">
        <v>120</v>
      </c>
      <c r="AB48" s="300"/>
    </row>
    <row r="49" spans="1:28" s="31" customFormat="1" ht="21.75" hidden="1" thickBot="1" x14ac:dyDescent="0.4">
      <c r="A49" s="240" t="s">
        <v>70</v>
      </c>
      <c r="B49" s="247">
        <v>298.14999999999998</v>
      </c>
      <c r="C49" s="248">
        <v>494.3</v>
      </c>
      <c r="D49" s="210" t="s">
        <v>69</v>
      </c>
      <c r="E49" s="262">
        <v>0</v>
      </c>
      <c r="F49" s="263">
        <v>42.442</v>
      </c>
      <c r="G49" s="263">
        <v>19.399999999999999</v>
      </c>
      <c r="H49" s="263">
        <v>22.7</v>
      </c>
      <c r="I49" s="263">
        <v>0</v>
      </c>
      <c r="J49" s="263">
        <v>-12.9</v>
      </c>
      <c r="K49" s="229">
        <v>0</v>
      </c>
      <c r="L49" s="253">
        <v>0</v>
      </c>
      <c r="M49" s="211">
        <v>2.9814999999999998E-2</v>
      </c>
      <c r="N49" s="211">
        <v>4.9430000000000002E-2</v>
      </c>
      <c r="O49" s="212">
        <v>0</v>
      </c>
      <c r="P49" s="213">
        <v>5164.1825198039123</v>
      </c>
      <c r="Q49" s="214">
        <v>42.442</v>
      </c>
      <c r="R49" s="215">
        <v>55.699613566654705</v>
      </c>
      <c r="S49" s="216">
        <v>0</v>
      </c>
      <c r="T49" s="217">
        <v>10.222452884649963</v>
      </c>
      <c r="U49" s="216">
        <v>2.3332731974261827</v>
      </c>
      <c r="V49" s="217">
        <v>0</v>
      </c>
      <c r="W49" s="216">
        <v>8.0330566811305376E-2</v>
      </c>
      <c r="X49" s="217">
        <v>13.650850923086173</v>
      </c>
      <c r="Y49" s="216">
        <v>-25.858440074568524</v>
      </c>
      <c r="Z49" s="217">
        <v>0</v>
      </c>
      <c r="AA49" s="218" t="s">
        <v>120</v>
      </c>
      <c r="AB49" s="300"/>
    </row>
    <row r="50" spans="1:28" s="31" customFormat="1" ht="21.75" hidden="1" thickBot="1" x14ac:dyDescent="0.4">
      <c r="A50" s="241" t="s">
        <v>70</v>
      </c>
      <c r="B50" s="258">
        <v>494.3</v>
      </c>
      <c r="C50" s="259">
        <v>1000</v>
      </c>
      <c r="D50" s="175" t="s">
        <v>61</v>
      </c>
      <c r="E50" s="264">
        <v>6.1589999999999998</v>
      </c>
      <c r="F50" s="199">
        <v>12.46</v>
      </c>
      <c r="G50" s="199">
        <v>52.4</v>
      </c>
      <c r="H50" s="199">
        <v>-49.6</v>
      </c>
      <c r="I50" s="199">
        <v>0</v>
      </c>
      <c r="J50" s="199">
        <v>32.4</v>
      </c>
      <c r="K50" s="198">
        <v>0</v>
      </c>
      <c r="L50" s="255">
        <v>0</v>
      </c>
      <c r="M50" s="167">
        <v>4.9430000000000002E-2</v>
      </c>
      <c r="N50" s="167">
        <v>0.1</v>
      </c>
      <c r="O50" s="177">
        <v>11323.182519803911</v>
      </c>
      <c r="P50" s="178">
        <v>28576.953933888308</v>
      </c>
      <c r="Q50" s="179">
        <v>68.159613566654713</v>
      </c>
      <c r="R50" s="180">
        <v>92.240410542922049</v>
      </c>
      <c r="S50" s="174">
        <v>7.4075410427566296E-2</v>
      </c>
      <c r="T50" s="173">
        <v>23.32020799997715</v>
      </c>
      <c r="U50" s="174">
        <v>6.3022430693367006</v>
      </c>
      <c r="V50" s="173">
        <v>0</v>
      </c>
      <c r="W50" s="174">
        <v>0.19221896766025248</v>
      </c>
      <c r="X50" s="173">
        <v>-29.82740994647904</v>
      </c>
      <c r="Y50" s="174">
        <v>64.94677972217211</v>
      </c>
      <c r="Z50" s="173">
        <v>0</v>
      </c>
      <c r="AA50" s="219" t="s">
        <v>120</v>
      </c>
      <c r="AB50" s="300"/>
    </row>
    <row r="51" spans="1:28" s="31" customFormat="1" ht="21.75" hidden="1" thickBot="1" x14ac:dyDescent="0.4">
      <c r="A51" s="242" t="s">
        <v>70</v>
      </c>
      <c r="B51" s="251">
        <v>1000</v>
      </c>
      <c r="C51" s="231">
        <v>1800</v>
      </c>
      <c r="D51" s="220" t="s">
        <v>61</v>
      </c>
      <c r="E51" s="265">
        <v>0</v>
      </c>
      <c r="F51" s="266">
        <v>0</v>
      </c>
      <c r="G51" s="266">
        <v>35.299999999999997</v>
      </c>
      <c r="H51" s="266">
        <v>0</v>
      </c>
      <c r="I51" s="266">
        <v>0</v>
      </c>
      <c r="J51" s="266">
        <v>0</v>
      </c>
      <c r="K51" s="230">
        <v>0</v>
      </c>
      <c r="L51" s="257">
        <v>0</v>
      </c>
      <c r="M51" s="221">
        <v>0.1</v>
      </c>
      <c r="N51" s="221">
        <v>0.18</v>
      </c>
      <c r="O51" s="222">
        <v>28576.953933888308</v>
      </c>
      <c r="P51" s="223">
        <v>56816.953933888297</v>
      </c>
      <c r="Q51" s="224">
        <v>92.240410542922049</v>
      </c>
      <c r="R51" s="225">
        <v>112.9892798139668</v>
      </c>
      <c r="S51" s="226">
        <v>7.4075410427566296E-2</v>
      </c>
      <c r="T51" s="227">
        <v>16.624170344050974</v>
      </c>
      <c r="U51" s="226">
        <v>4.2455950448012505</v>
      </c>
      <c r="V51" s="227">
        <v>0</v>
      </c>
      <c r="W51" s="226">
        <v>0.15493470522715369</v>
      </c>
      <c r="X51" s="227">
        <v>0</v>
      </c>
      <c r="Y51" s="226">
        <v>0</v>
      </c>
      <c r="Z51" s="227">
        <v>0</v>
      </c>
      <c r="AA51" s="228" t="s">
        <v>120</v>
      </c>
      <c r="AB51" s="300"/>
    </row>
    <row r="52" spans="1:28" x14ac:dyDescent="0.35">
      <c r="A52" s="237" t="s">
        <v>176</v>
      </c>
      <c r="B52" s="247">
        <v>298.14999999999998</v>
      </c>
      <c r="C52" s="248">
        <v>600</v>
      </c>
      <c r="D52" s="210" t="s">
        <v>61</v>
      </c>
      <c r="E52" s="262">
        <v>5.569</v>
      </c>
      <c r="F52" s="263">
        <v>59.218000000000004</v>
      </c>
      <c r="G52" s="263">
        <v>24.388999999999999</v>
      </c>
      <c r="H52" s="263">
        <v>2.2890000000000001</v>
      </c>
      <c r="I52" s="263">
        <v>3.105</v>
      </c>
      <c r="J52" s="263">
        <v>0</v>
      </c>
      <c r="K52" s="229">
        <v>0</v>
      </c>
      <c r="L52" s="253">
        <v>0</v>
      </c>
      <c r="M52" s="269">
        <f>B52/10000</f>
        <v>2.9814999999999998E-2</v>
      </c>
      <c r="N52" s="269">
        <f>C52/10000</f>
        <v>0.06</v>
      </c>
      <c r="O52" s="330">
        <f>E52*1000</f>
        <v>5569</v>
      </c>
      <c r="P52" s="331">
        <f>10000*$A$1*(N52*U52-V52*2/N52+X52*N52^2+Y52*2*N52^3+Z52*3*N52^4-W52+S52)</f>
        <v>13765.023230916981</v>
      </c>
      <c r="Q52" s="332">
        <f>F52</f>
        <v>59.218000000000004</v>
      </c>
      <c r="R52" s="333">
        <f>$A$1*(T52+U52+U52*LN(N52)-V52/N52^2+X52*2*N52+Y52*3*N52^2+Z52*4*N52^3)</f>
        <v>78.280189139449064</v>
      </c>
      <c r="S52" s="334">
        <f>SUM($E$3:E52)/$A$1/10</f>
        <v>-4.7242528113536588</v>
      </c>
      <c r="T52" s="335">
        <f>IF(D52="end","N/D",Q52/$A$1 - U52 - U52*LN(M52) + V52/(M52^2) - X52*2*M52 - Y52*3*M52^2 - Z52*4*M52^3)</f>
        <v>14.62088076378731</v>
      </c>
      <c r="U52" s="334">
        <f>G52*10^($G$2)/$A$1</f>
        <v>2.9333092789704729</v>
      </c>
      <c r="V52" s="335">
        <f>I52/(2*$A$1)*(10^($I$2)/10^8)</f>
        <v>1.867219917012448E-4</v>
      </c>
      <c r="W52" s="334">
        <f>U52*M52 - V52*2/M52 + X52*M52^2 + Y52*2*M52^3 + Z52*3*M52^4 + S52-O52/10000/$A$1</f>
        <v>-4.7150773134995125</v>
      </c>
      <c r="X52" s="335">
        <f>H52/2/$A$1*(10^($H$2)*10^4)</f>
        <v>1.3765109146671479</v>
      </c>
      <c r="Y52" s="334">
        <f>J52/6/$A$1*(10^($J$2)*10^8)</f>
        <v>0</v>
      </c>
      <c r="Z52" s="335">
        <f>L52/12/$A$1*(10^($L$2)*10^12)</f>
        <v>0</v>
      </c>
      <c r="AA52" s="336" t="s">
        <v>120</v>
      </c>
      <c r="AB52" s="306"/>
    </row>
    <row r="53" spans="1:28" ht="21.75" thickBot="1" x14ac:dyDescent="0.4">
      <c r="A53" s="238" t="s">
        <v>176</v>
      </c>
      <c r="B53" s="130">
        <v>600</v>
      </c>
      <c r="C53" s="130">
        <v>2478</v>
      </c>
      <c r="D53" s="130" t="s">
        <v>61</v>
      </c>
      <c r="E53" s="130">
        <v>0</v>
      </c>
      <c r="F53" s="130">
        <v>0</v>
      </c>
      <c r="G53" s="130">
        <v>26.568000000000001</v>
      </c>
      <c r="H53" s="130">
        <v>0</v>
      </c>
      <c r="I53" s="130">
        <v>0</v>
      </c>
      <c r="J53" s="197">
        <v>0</v>
      </c>
      <c r="K53" s="197">
        <v>0</v>
      </c>
      <c r="L53" s="197">
        <v>0</v>
      </c>
      <c r="M53" s="269">
        <f t="shared" ref="M53" si="3">B53/10000</f>
        <v>0.06</v>
      </c>
      <c r="N53" s="269">
        <f t="shared" ref="N53" si="4">C53/10000</f>
        <v>0.24779999999999999</v>
      </c>
      <c r="O53" s="330">
        <f>P52+E53*1000</f>
        <v>13765.023230916981</v>
      </c>
      <c r="P53" s="331">
        <f>10000*$A$1*(N53*U53-V53*2/N53+X53*N53^2+Y53*2*N53^3+Z53*3*N53^4-W53+S53)</f>
        <v>63659.727230916986</v>
      </c>
      <c r="Q53" s="332">
        <f>R52+F53</f>
        <v>78.280189139449064</v>
      </c>
      <c r="R53" s="333">
        <f>$A$1*(T53+U53+U53*LN(N53)-V53/N53^2+X53*2*N53+Y53*3*N53^2+Z53*4*N53^3)</f>
        <v>115.9609832879062</v>
      </c>
      <c r="S53" s="334">
        <f>SUM($E$3:E53)/$A$1/10</f>
        <v>-4.7242528113536588</v>
      </c>
      <c r="T53" s="335">
        <f t="shared" ref="T53" si="5">IF(D53="end","N/D",Q53/$A$1 - U53 - U53*LN(M53) + V53/(M53^2) - X53*2*M53 - Y53*3*M53^2 - Z53*4*M53^3)</f>
        <v>15.209439540841867</v>
      </c>
      <c r="U53" s="334">
        <f t="shared" ref="U53" si="6">G53*10^($G$2)/$A$1</f>
        <v>3.1953815623308675</v>
      </c>
      <c r="V53" s="335">
        <f t="shared" ref="V53" si="7">I53/(2*$A$1)*(10^($I$2)/10^8)</f>
        <v>0</v>
      </c>
      <c r="W53" s="334">
        <f t="shared" ref="W53" si="8">U53*M53 - V53*2/M53 + X53*M53^2 + Y53*2*M53^3 + Z53*3*M53^4 + S53-O53/10000/$A$1</f>
        <v>-4.6980843494006486</v>
      </c>
      <c r="X53" s="335">
        <f t="shared" ref="X53" si="9">H53/2/$A$1*(10^($H$2)*10^4)</f>
        <v>0</v>
      </c>
      <c r="Y53" s="334">
        <f t="shared" ref="Y53" si="10">J53/6/$A$1*(10^($J$2)*10^8)</f>
        <v>0</v>
      </c>
      <c r="Z53" s="335">
        <f t="shared" ref="Z53" si="11">L53/12/$A$1*(10^($L$2)*10^12)</f>
        <v>0</v>
      </c>
      <c r="AA53" s="336" t="s">
        <v>120</v>
      </c>
      <c r="AB53" s="306"/>
    </row>
    <row r="54" spans="1:28" ht="21.75" thickBot="1" x14ac:dyDescent="0.4">
      <c r="A54" s="237" t="s">
        <v>75</v>
      </c>
      <c r="B54" s="130">
        <v>100</v>
      </c>
      <c r="C54" s="130">
        <v>298.14999999999998</v>
      </c>
      <c r="D54" s="130" t="s">
        <v>65</v>
      </c>
      <c r="E54" s="130">
        <v>272</v>
      </c>
      <c r="F54" s="130">
        <v>169.042</v>
      </c>
      <c r="G54" s="130">
        <v>10.333</v>
      </c>
      <c r="H54" s="130">
        <v>69.971999999999994</v>
      </c>
      <c r="I54" s="130">
        <v>0.41799999999999998</v>
      </c>
      <c r="J54" s="130">
        <v>-72.948999999999998</v>
      </c>
      <c r="K54" s="130">
        <v>0</v>
      </c>
      <c r="L54" s="130">
        <v>0</v>
      </c>
      <c r="M54" s="269">
        <f>B54/10000</f>
        <v>0.01</v>
      </c>
      <c r="N54" s="269">
        <f>C54/10000</f>
        <v>2.9814999999999998E-2</v>
      </c>
      <c r="O54" s="330">
        <f>E54*1000</f>
        <v>272000</v>
      </c>
      <c r="P54" s="331">
        <f>10000*$A$1*(N54*U54-V54*2/N54+X54*N54^2+Y54*2*N54^3+Z54*3*N54^4-W54+S54)</f>
        <v>276465.29793802486</v>
      </c>
      <c r="Q54" s="332">
        <f>F54</f>
        <v>169.042</v>
      </c>
      <c r="R54" s="333">
        <f>$A$1*(T54+U54+U54*LN(N54)-V54/N54^2+X54*2*N54+Y54*3*N54^2+Z54*4*N54^3)</f>
        <v>193.17228398268267</v>
      </c>
      <c r="S54" s="334">
        <f>SUM($E$3:E54)/$A$1/10</f>
        <v>-1.45285946238499</v>
      </c>
      <c r="T54" s="335">
        <f>IF(D54="end","N/D",Q54/$A$1 - U54 - U54*LN(M54) + V54/(M54^2) - X54*2*M54 - Y54*3*M54^2 - Z54*4*M54^3)</f>
        <v>24.265051239619336</v>
      </c>
      <c r="U54" s="334">
        <f>G54*10^($G$2)/$A$1</f>
        <v>1.2427686571651932</v>
      </c>
      <c r="V54" s="335">
        <f>I54/(2*$A$1)*(10^($I$2)/10^8)</f>
        <v>2.5136809188766609E-5</v>
      </c>
      <c r="W54" s="334">
        <f>U54*M54 - V54*2/M54 + X54*M54^2 + Y54*2*M54^3 + Z54*3*M54^4 + S54-O54/10000/$A$1</f>
        <v>-4.7129371138773628</v>
      </c>
      <c r="X54" s="335">
        <f>H54/2/$A$1*(10^($H$2)*10^4)</f>
        <v>42.078296951109508</v>
      </c>
      <c r="Y54" s="334">
        <f>J54/6/$A$1*(10^($J$2)*10^8)</f>
        <v>-146.22847635656581</v>
      </c>
      <c r="Z54" s="335">
        <f>L54/12/$A$1*(10^($L$2)*10^12)</f>
        <v>0</v>
      </c>
      <c r="AA54" s="336" t="s">
        <v>120</v>
      </c>
      <c r="AB54" s="306"/>
    </row>
    <row r="55" spans="1:28" ht="21.75" thickBot="1" x14ac:dyDescent="0.4">
      <c r="A55" s="237" t="s">
        <v>75</v>
      </c>
      <c r="B55" s="130">
        <v>298.14999999999998</v>
      </c>
      <c r="C55" s="130">
        <v>700</v>
      </c>
      <c r="D55" s="130" t="s">
        <v>65</v>
      </c>
      <c r="E55" s="130">
        <v>0</v>
      </c>
      <c r="F55" s="130">
        <v>0</v>
      </c>
      <c r="G55" s="130">
        <v>38.252000000000002</v>
      </c>
      <c r="H55" s="130">
        <v>-19.521999999999998</v>
      </c>
      <c r="I55" s="130">
        <v>-6.6580000000000004</v>
      </c>
      <c r="J55" s="130">
        <v>4.476</v>
      </c>
      <c r="K55" s="130">
        <v>0</v>
      </c>
      <c r="L55" s="130">
        <v>0</v>
      </c>
      <c r="M55" s="269">
        <f>B55/10000</f>
        <v>2.9814999999999998E-2</v>
      </c>
      <c r="N55" s="269">
        <f>C55/10000</f>
        <v>7.0000000000000007E-2</v>
      </c>
      <c r="O55" s="330">
        <f>P54+E55*1000</f>
        <v>276465.29793802486</v>
      </c>
      <c r="P55" s="331">
        <f>10000*$A$1*(N55*U55-V55*2/N55+X55*N55^2+Y55*2*N55^3+Z55*3*N55^4-W55+S55)</f>
        <v>287111.91421769373</v>
      </c>
      <c r="Q55" s="332">
        <f>R54+F55</f>
        <v>193.17228398268267</v>
      </c>
      <c r="R55" s="333">
        <f>$A$1*(T55+U55+U55*LN(N55)-V55/N55^2+X55*2*N55+Y55*3*N55^2+Z55*4*N55^3)</f>
        <v>215.80695397369695</v>
      </c>
      <c r="S55" s="334">
        <f>SUM($E$3:E55)/$A$1/10</f>
        <v>-1.45285946238499</v>
      </c>
      <c r="T55" s="335">
        <f>IF(D55="end","N/D",Q55/$A$1 - U55 - U55*LN(M55) + V55/(M55^2) - X55*2*M55 - Y55*3*M55^2 - Z55*4*M55^3)</f>
        <v>35.019106518894404</v>
      </c>
      <c r="U55" s="334">
        <f>G55*10^($G$2)/$A$1</f>
        <v>4.6006374406157917</v>
      </c>
      <c r="V55" s="335">
        <f>I55/(2*$A$1)*(10^($I$2)/10^8)</f>
        <v>-4.0038486980576099E-4</v>
      </c>
      <c r="W55" s="334">
        <f t="shared" ref="W55:W58" si="12">U55*M55 - V55*2/M55 + X55*M55^2 + Y55*2*M55^3 + Z55*3*M55^4 + S55-O55/10000/$A$1</f>
        <v>-4.623892060383076</v>
      </c>
      <c r="X55" s="335">
        <f>H55/2/$A$1*(10^($H$2)*10^4)</f>
        <v>-11.739731793854109</v>
      </c>
      <c r="Y55" s="334">
        <f>J55/6/$A$1*(10^($J$2)*10^8)</f>
        <v>8.9722773468037751</v>
      </c>
      <c r="Z55" s="335">
        <f>L55/12/$A$1*(10^($L$2)*10^12)</f>
        <v>0</v>
      </c>
      <c r="AA55" s="336" t="s">
        <v>120</v>
      </c>
      <c r="AB55" s="306"/>
    </row>
    <row r="56" spans="1:28" ht="21.75" thickBot="1" x14ac:dyDescent="0.4">
      <c r="A56" s="237" t="s">
        <v>75</v>
      </c>
      <c r="B56" s="130">
        <v>700</v>
      </c>
      <c r="C56" s="130">
        <v>1400</v>
      </c>
      <c r="D56" s="130" t="s">
        <v>65</v>
      </c>
      <c r="E56" s="130">
        <v>0</v>
      </c>
      <c r="F56" s="130">
        <v>0</v>
      </c>
      <c r="G56" s="130">
        <v>30.738</v>
      </c>
      <c r="H56" s="130">
        <v>-10.738</v>
      </c>
      <c r="I56" s="130">
        <v>3.0350000000000001</v>
      </c>
      <c r="J56" s="130">
        <v>3.2719999999999998</v>
      </c>
      <c r="K56" s="130">
        <v>0</v>
      </c>
      <c r="L56" s="130">
        <v>0</v>
      </c>
      <c r="M56" s="269">
        <f>B56/10000</f>
        <v>7.0000000000000007E-2</v>
      </c>
      <c r="N56" s="269">
        <f>C56/10000</f>
        <v>0.14000000000000001</v>
      </c>
      <c r="O56" s="330">
        <f>P55+E56*1000</f>
        <v>287111.91421769373</v>
      </c>
      <c r="P56" s="331">
        <f>10000*$A$1*(N56*U56-V56*2/N56+X56*N56^2+Y56*2*N56^3+Z56*3*N56^4-W56+S56)</f>
        <v>303571.56059864606</v>
      </c>
      <c r="Q56" s="332">
        <f>R55+F56</f>
        <v>215.80695397369695</v>
      </c>
      <c r="R56" s="333">
        <f>$A$1*(T56+U56+U56*LN(N56)-V56/N56^2+X56*2*N56+Y56*3*N56^2+Z56*4*N56^3)</f>
        <v>232.23350241791178</v>
      </c>
      <c r="S56" s="334">
        <f>SUM($E$3:E56)/$A$1/10</f>
        <v>-1.45285946238499</v>
      </c>
      <c r="T56" s="335">
        <f>IF(D56="end","N/D",Q56/$A$1 - U56 - U56*LN(M56) + V56/(M56^2) - X56*2*M56 - Y56*3*M56^2 - Z56*4*M56^3)</f>
        <v>32.934505125562289</v>
      </c>
      <c r="U56" s="334">
        <f>G56*10^($G$2)/$A$1</f>
        <v>3.6969150279631964</v>
      </c>
      <c r="V56" s="335">
        <f>I56/(2*$A$1)*(10^($I$2)/10^8)</f>
        <v>1.8251247820073367E-4</v>
      </c>
      <c r="W56" s="334">
        <f t="shared" si="12"/>
        <v>-4.6795790123230319</v>
      </c>
      <c r="X56" s="335">
        <f>H56/2/$A$1*(10^($H$2)*10^4)</f>
        <v>-6.4573937097841121</v>
      </c>
      <c r="Y56" s="334">
        <f>J56/6/$A$1*(10^($J$2)*10^8)</f>
        <v>6.5588229398440472</v>
      </c>
      <c r="Z56" s="335">
        <f>L56/12/$A$1*(10^($L$2)*10^12)</f>
        <v>0</v>
      </c>
      <c r="AA56" s="336" t="s">
        <v>120</v>
      </c>
      <c r="AB56" s="306"/>
    </row>
    <row r="57" spans="1:28" ht="21.75" thickBot="1" x14ac:dyDescent="0.4">
      <c r="A57" s="237" t="s">
        <v>75</v>
      </c>
      <c r="B57" s="130">
        <v>1400</v>
      </c>
      <c r="C57" s="130">
        <v>6000</v>
      </c>
      <c r="D57" s="130" t="s">
        <v>65</v>
      </c>
      <c r="E57" s="130">
        <v>0</v>
      </c>
      <c r="F57" s="130">
        <v>0</v>
      </c>
      <c r="G57" s="130">
        <v>21.984999999999999</v>
      </c>
      <c r="H57" s="130">
        <v>-0.63900000000000001</v>
      </c>
      <c r="I57" s="130">
        <v>19.834</v>
      </c>
      <c r="J57" s="130">
        <v>8.7999999999999995E-2</v>
      </c>
      <c r="K57" s="130">
        <v>0</v>
      </c>
      <c r="L57" s="130">
        <v>0</v>
      </c>
      <c r="M57" s="269">
        <f>B57/10000</f>
        <v>0.14000000000000001</v>
      </c>
      <c r="N57" s="269">
        <f>C57/10000</f>
        <v>0.6</v>
      </c>
      <c r="O57" s="330">
        <f>P56+E57*1000</f>
        <v>303571.56059864606</v>
      </c>
      <c r="P57" s="331">
        <f>10000*$A$1*(N57*U57-V57*2/N57+X57*N57^2+Y57*2*N57^3+Z57*3*N57^4-W57+S57)</f>
        <v>401168.43755102687</v>
      </c>
      <c r="Q57" s="332">
        <f>R56+F57</f>
        <v>232.23350241791178</v>
      </c>
      <c r="R57" s="333">
        <f>$A$1*(T57+U57+U57*LN(N57)-V57/N57^2+X57*2*N57+Y57*3*N57^2+Z57*4*N57^3)</f>
        <v>263.26477439230604</v>
      </c>
      <c r="S57" s="334">
        <f>SUM($E$3:E57)/$A$1/10</f>
        <v>-1.45285946238499</v>
      </c>
      <c r="T57" s="335">
        <f>IF(D57="end","N/D",Q57/$A$1 - U57 - U57*LN(M57) + V57/(M57^2) - X57*2*M57 - Y57*3*M57^2 - Z57*4*M57^3)</f>
        <v>30.643793728188538</v>
      </c>
      <c r="U57" s="334">
        <f>G57*10^($G$2)/$A$1</f>
        <v>2.6441758373925066</v>
      </c>
      <c r="V57" s="335">
        <f>I57/(2*$A$1)*(10^($I$2)/10^8)</f>
        <v>1.1927355824162607E-3</v>
      </c>
      <c r="W57" s="334">
        <f t="shared" si="12"/>
        <v>-4.7573877469203634</v>
      </c>
      <c r="X57" s="335">
        <f>H57/2/$A$1*(10^($H$2)*10^4)</f>
        <v>-0.38426844668951826</v>
      </c>
      <c r="Y57" s="334">
        <f>J57/6/$A$1*(10^($J$2)*10^8)</f>
        <v>0.17639866097380077</v>
      </c>
      <c r="Z57" s="335">
        <f>L57/12/$A$1*(10^($L$2)*10^12)</f>
        <v>0</v>
      </c>
      <c r="AA57" s="336" t="s">
        <v>120</v>
      </c>
      <c r="AB57" s="306"/>
    </row>
    <row r="58" spans="1:28" x14ac:dyDescent="0.35">
      <c r="A58" s="237" t="s">
        <v>75</v>
      </c>
      <c r="B58" s="130">
        <v>6000</v>
      </c>
      <c r="C58" s="130">
        <v>10000</v>
      </c>
      <c r="D58" s="130" t="s">
        <v>65</v>
      </c>
      <c r="E58" s="130">
        <v>0</v>
      </c>
      <c r="F58" s="130">
        <v>0</v>
      </c>
      <c r="G58" s="130">
        <v>9.6980000000000004</v>
      </c>
      <c r="H58" s="130">
        <v>0.90400000000000003</v>
      </c>
      <c r="I58" s="130">
        <v>1368.24</v>
      </c>
      <c r="J58" s="130">
        <v>6.8000000000000005E-2</v>
      </c>
      <c r="K58" s="130">
        <v>0</v>
      </c>
      <c r="L58" s="130">
        <v>0</v>
      </c>
      <c r="M58" s="269">
        <f>B58/10000</f>
        <v>0.6</v>
      </c>
      <c r="N58" s="269">
        <f>C58/10000</f>
        <v>1</v>
      </c>
      <c r="O58" s="330">
        <f>P57+E58*1000</f>
        <v>401168.43755102687</v>
      </c>
      <c r="P58" s="331">
        <f>10000*$A$1*(N58*U58-V58*2/N58+X58*N58^2+Y58*2*N58^3+Z58*3*N58^4-W58+S58)</f>
        <v>495780.70421769342</v>
      </c>
      <c r="Q58" s="332">
        <f>R57+F58</f>
        <v>263.26477439230604</v>
      </c>
      <c r="R58" s="333">
        <f>$A$1*(T58+U58+U58*LN(N58)-V58/N58^2+X58*2*N58+Y58*3*N58^2+Z58*4*N58^3)</f>
        <v>275.22697462492192</v>
      </c>
      <c r="S58" s="334">
        <f>SUM($E$3:E58)/$A$1/10</f>
        <v>-1.45285946238499</v>
      </c>
      <c r="T58" s="335">
        <f>IF(D58="end","N/D",Q58/$A$1 - U58 - U58*LN(M58) + V58/(M58^2) - X58*2*M58 - Y58*3*M58^2 - Z58*4*M58^3)</f>
        <v>30.521750511145822</v>
      </c>
      <c r="U58" s="334">
        <f>G58*10^($G$2)/$A$1</f>
        <v>1.166396055084491</v>
      </c>
      <c r="V58" s="335">
        <f>I58/(2*$A$1)*(10^($I$2)/10^8)</f>
        <v>8.2280353599134035E-2</v>
      </c>
      <c r="W58" s="334">
        <f t="shared" si="12"/>
        <v>-5.5976238805824376</v>
      </c>
      <c r="X58" s="335">
        <f>H58/2/$A$1*(10^($H$2)*10^4)</f>
        <v>0.54362860063744056</v>
      </c>
      <c r="Y58" s="334">
        <f>J58/6/$A$1*(10^($J$2)*10^8)</f>
        <v>0.13630805620702788</v>
      </c>
      <c r="Z58" s="335">
        <f>L58/12/$A$1*(10^($L$2)*10^12)</f>
        <v>0</v>
      </c>
      <c r="AA58" s="336" t="s">
        <v>120</v>
      </c>
    </row>
  </sheetData>
  <sheetProtection formatCells="0" formatColumns="0" formatRows="0" insertColumns="0" insertRows="0" sort="0" autoFilter="0" pivotTables="0"/>
  <autoFilter ref="A32:AB53" xr:uid="{00000000-0009-0000-0000-000002000000}">
    <filterColumn colId="0">
      <filters>
        <filter val="Ga"/>
        <filter val="Ga(l)2"/>
      </filters>
    </filterColumn>
  </autoFilter>
  <mergeCells count="3">
    <mergeCell ref="A31:AA31"/>
    <mergeCell ref="A2:E2"/>
    <mergeCell ref="M2:AA2"/>
  </mergeCells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2A748-DEDF-4CF7-AA41-69617F525750}">
  <sheetPr codeName="Лист12">
    <tabColor rgb="FFFF0000"/>
  </sheetPr>
  <dimension ref="A1:S275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G2" sqref="G2:N2"/>
    </sheetView>
  </sheetViews>
  <sheetFormatPr defaultRowHeight="23.25" outlineLevelCol="1" x14ac:dyDescent="0.35"/>
  <cols>
    <col min="1" max="1" width="10.26953125" style="193" bestFit="1" customWidth="1"/>
    <col min="2" max="2" width="1.6328125" style="193" customWidth="1"/>
    <col min="3" max="3" width="11.7265625" style="130" customWidth="1"/>
    <col min="4" max="4" width="3.1796875" style="130" customWidth="1"/>
    <col min="5" max="6" width="8.81640625" style="130" customWidth="1"/>
    <col min="7" max="9" width="11.81640625" style="130" customWidth="1" outlineLevel="1"/>
    <col min="10" max="10" width="11.36328125" style="130" customWidth="1" outlineLevel="1"/>
    <col min="11" max="14" width="11.81640625" style="130" customWidth="1" outlineLevel="1"/>
    <col min="15" max="15" width="4" style="307" customWidth="1"/>
    <col min="16" max="16" width="42.90625" style="130" customWidth="1"/>
    <col min="17" max="17" width="10.1796875" style="130" bestFit="1" customWidth="1"/>
    <col min="18" max="19" width="10.54296875" style="130" bestFit="1" customWidth="1"/>
    <col min="20" max="21" width="11.1796875" style="130" bestFit="1" customWidth="1"/>
    <col min="22" max="22" width="10.54296875" style="130" bestFit="1" customWidth="1"/>
    <col min="23" max="23" width="11.1796875" style="130" bestFit="1" customWidth="1"/>
    <col min="24" max="26" width="13.1796875" style="130" customWidth="1"/>
    <col min="27" max="27" width="13.453125" style="130" customWidth="1"/>
    <col min="28" max="28" width="12.7265625" style="130" customWidth="1"/>
    <col min="29" max="29" width="13.90625" style="130" customWidth="1"/>
    <col min="30" max="30" width="13.1796875" style="130" customWidth="1"/>
    <col min="31" max="31" width="13.90625" style="130" customWidth="1"/>
    <col min="32" max="16384" width="8.7265625" style="130"/>
  </cols>
  <sheetData>
    <row r="1" spans="1:16" ht="21.75" thickBot="1" x14ac:dyDescent="0.4">
      <c r="A1"/>
      <c r="B1" s="192"/>
      <c r="C1" s="524" t="s">
        <v>117</v>
      </c>
      <c r="D1" s="524" t="s">
        <v>108</v>
      </c>
      <c r="E1" s="524" t="s">
        <v>84</v>
      </c>
      <c r="F1" s="524" t="s">
        <v>86</v>
      </c>
      <c r="G1" s="525" t="s">
        <v>41</v>
      </c>
      <c r="H1" s="525" t="s">
        <v>42</v>
      </c>
      <c r="I1" s="525" t="s">
        <v>43</v>
      </c>
      <c r="J1" s="525" t="s">
        <v>44</v>
      </c>
      <c r="K1" s="525" t="s">
        <v>45</v>
      </c>
      <c r="L1" s="525" t="s">
        <v>46</v>
      </c>
      <c r="M1" s="525" t="s">
        <v>47</v>
      </c>
      <c r="N1" s="525" t="s">
        <v>48</v>
      </c>
      <c r="O1" s="526" t="s">
        <v>175</v>
      </c>
      <c r="P1" s="527" t="s">
        <v>118</v>
      </c>
    </row>
    <row r="2" spans="1:16" ht="24" thickTop="1" x14ac:dyDescent="0.35">
      <c r="A2"/>
      <c r="B2" s="192"/>
      <c r="C2" s="436" t="s">
        <v>75</v>
      </c>
      <c r="D2" s="394" t="s">
        <v>65</v>
      </c>
      <c r="E2" s="395">
        <v>298.14999999999998</v>
      </c>
      <c r="F2" s="396">
        <v>1500</v>
      </c>
      <c r="G2" s="397">
        <v>3.192504</v>
      </c>
      <c r="H2" s="397">
        <v>33.995229999999999</v>
      </c>
      <c r="I2" s="397">
        <v>5.1932309999999999</v>
      </c>
      <c r="J2" s="397">
        <v>-4.8091060000000002E-4</v>
      </c>
      <c r="K2" s="397">
        <v>9.1439489999999998E-2</v>
      </c>
      <c r="L2" s="397">
        <v>-21.466670000000001</v>
      </c>
      <c r="M2" s="397">
        <v>42.981879999999997</v>
      </c>
      <c r="N2" s="397">
        <v>-45.813839999999999</v>
      </c>
      <c r="O2" s="489">
        <v>1</v>
      </c>
      <c r="P2" s="487"/>
    </row>
    <row r="3" spans="1:16" x14ac:dyDescent="0.35">
      <c r="A3"/>
      <c r="B3" s="192"/>
      <c r="C3" s="398" t="s">
        <v>75</v>
      </c>
      <c r="D3" s="363" t="s">
        <v>65</v>
      </c>
      <c r="E3" s="302">
        <v>1500</v>
      </c>
      <c r="F3" s="303">
        <v>6000</v>
      </c>
      <c r="G3" s="364">
        <v>3.192504</v>
      </c>
      <c r="H3" s="364">
        <v>27.29757</v>
      </c>
      <c r="I3" s="364">
        <v>2.370241</v>
      </c>
      <c r="J3" s="364">
        <v>2.138671E-3</v>
      </c>
      <c r="K3" s="364">
        <v>-9.5885429999999994E-2</v>
      </c>
      <c r="L3" s="364">
        <v>0.51440149999999996</v>
      </c>
      <c r="M3" s="364">
        <v>-0.49555690000000002</v>
      </c>
      <c r="N3" s="364">
        <v>0.24712329999999999</v>
      </c>
      <c r="O3" s="557">
        <v>1</v>
      </c>
      <c r="P3" s="301"/>
    </row>
    <row r="4" spans="1:16" ht="24" thickBot="1" x14ac:dyDescent="0.4">
      <c r="A4"/>
      <c r="B4" s="192"/>
      <c r="C4" s="415" t="s">
        <v>75</v>
      </c>
      <c r="D4" s="363" t="s">
        <v>65</v>
      </c>
      <c r="E4" s="302">
        <v>6000</v>
      </c>
      <c r="F4" s="303">
        <v>10000</v>
      </c>
      <c r="G4" s="364">
        <v>3.192504</v>
      </c>
      <c r="H4" s="364">
        <v>31.29327</v>
      </c>
      <c r="I4" s="364">
        <v>7.3013729999999999</v>
      </c>
      <c r="J4" s="364">
        <v>-9.3193609999999996E-2</v>
      </c>
      <c r="K4" s="364">
        <v>1.4353830000000001</v>
      </c>
      <c r="L4" s="364">
        <v>-7.4299809999999997</v>
      </c>
      <c r="M4" s="364">
        <v>2.6981959999999998</v>
      </c>
      <c r="N4" s="364">
        <v>-0.43421900000000002</v>
      </c>
      <c r="O4" s="491">
        <v>1</v>
      </c>
      <c r="P4" s="487"/>
    </row>
    <row r="5" spans="1:16" x14ac:dyDescent="0.35">
      <c r="A5"/>
      <c r="B5" s="192"/>
      <c r="C5" s="532" t="s">
        <v>75</v>
      </c>
      <c r="D5" s="393" t="s">
        <v>61</v>
      </c>
      <c r="E5" s="395">
        <v>303</v>
      </c>
      <c r="F5" s="396">
        <v>699.99990000000003</v>
      </c>
      <c r="G5" s="397">
        <v>6.7230010000000007E-2</v>
      </c>
      <c r="H5" s="397">
        <v>15.16</v>
      </c>
      <c r="I5" s="397">
        <v>3.1360000000000001</v>
      </c>
      <c r="J5" s="397">
        <v>1.4229999999999999E-4</v>
      </c>
      <c r="K5" s="397">
        <v>8.3939990000000006E-2</v>
      </c>
      <c r="L5" s="397">
        <v>-0.18459999999999999</v>
      </c>
      <c r="M5" s="397">
        <v>0.49309999999999998</v>
      </c>
      <c r="N5" s="552">
        <v>0</v>
      </c>
      <c r="O5" s="496">
        <v>1</v>
      </c>
      <c r="P5" s="504"/>
    </row>
    <row r="6" spans="1:16" ht="24" thickBot="1" x14ac:dyDescent="0.4">
      <c r="A6"/>
      <c r="B6" s="192"/>
      <c r="C6" s="531" t="s">
        <v>75</v>
      </c>
      <c r="D6" s="398" t="s">
        <v>61</v>
      </c>
      <c r="E6" s="302">
        <v>699.99990000000003</v>
      </c>
      <c r="F6" s="303">
        <v>4000.0010000000002</v>
      </c>
      <c r="G6" s="399">
        <v>6.7230010000000007E-2</v>
      </c>
      <c r="H6" s="399">
        <v>15.16</v>
      </c>
      <c r="I6" s="399" t="s">
        <v>160</v>
      </c>
      <c r="J6" s="399" t="s">
        <v>161</v>
      </c>
      <c r="K6" s="399">
        <v>8.3929989999999996E-2</v>
      </c>
      <c r="L6" s="399">
        <v>-0.18099999999999999</v>
      </c>
      <c r="M6" s="399">
        <v>0.48309999999999997</v>
      </c>
      <c r="N6" s="551">
        <v>0</v>
      </c>
      <c r="O6" s="494">
        <v>1</v>
      </c>
      <c r="P6" s="504"/>
    </row>
    <row r="7" spans="1:16" ht="24" thickBot="1" x14ac:dyDescent="0.4">
      <c r="A7"/>
      <c r="B7" s="192"/>
      <c r="C7" s="443" t="s">
        <v>75</v>
      </c>
      <c r="D7" s="445" t="s">
        <v>69</v>
      </c>
      <c r="E7" s="411">
        <v>298.14999999999998</v>
      </c>
      <c r="F7" s="412">
        <v>303</v>
      </c>
      <c r="G7" s="413">
        <v>0</v>
      </c>
      <c r="H7" s="413">
        <v>-158.4</v>
      </c>
      <c r="I7" s="413">
        <v>-46.31</v>
      </c>
      <c r="J7" s="413">
        <v>3.9409989999999997E-3</v>
      </c>
      <c r="K7" s="413">
        <v>-0.93300000000000005</v>
      </c>
      <c r="L7" s="413">
        <v>1420</v>
      </c>
      <c r="M7" s="413">
        <v>-4041.9989999999998</v>
      </c>
      <c r="N7" s="440">
        <v>0</v>
      </c>
      <c r="O7" s="461">
        <v>1</v>
      </c>
      <c r="P7" s="300"/>
    </row>
    <row r="8" spans="1:16" ht="24" hidden="1" thickBot="1" x14ac:dyDescent="0.4">
      <c r="A8"/>
      <c r="B8" s="192"/>
      <c r="C8" s="561" t="s">
        <v>168</v>
      </c>
      <c r="D8" s="537" t="s">
        <v>69</v>
      </c>
      <c r="E8" s="464">
        <v>298.14999999999998</v>
      </c>
      <c r="F8" s="468">
        <v>500.00009999999997</v>
      </c>
      <c r="G8" s="465">
        <v>-39.299999999999997</v>
      </c>
      <c r="H8" s="465">
        <v>1631</v>
      </c>
      <c r="I8" s="465">
        <v>409.1</v>
      </c>
      <c r="J8" s="465">
        <v>-8.7220010000000001E-3</v>
      </c>
      <c r="K8" s="465">
        <v>10.75</v>
      </c>
      <c r="L8" s="465">
        <v>-3528</v>
      </c>
      <c r="M8" s="465">
        <v>20750</v>
      </c>
      <c r="N8" s="465">
        <v>0</v>
      </c>
      <c r="O8" s="466">
        <v>1</v>
      </c>
      <c r="P8" s="504"/>
    </row>
    <row r="9" spans="1:16" hidden="1" x14ac:dyDescent="0.35">
      <c r="A9"/>
      <c r="B9" s="192"/>
      <c r="C9" s="562" t="s">
        <v>155</v>
      </c>
      <c r="D9" s="538" t="s">
        <v>69</v>
      </c>
      <c r="E9" s="542">
        <v>298.14999999999998</v>
      </c>
      <c r="F9" s="547">
        <v>500.00009999999997</v>
      </c>
      <c r="G9" s="345">
        <v>-4.8600000000000003</v>
      </c>
      <c r="H9" s="345">
        <v>212.3999</v>
      </c>
      <c r="I9" s="345">
        <v>53.359990000000003</v>
      </c>
      <c r="J9" s="345">
        <v>-1.163E-3</v>
      </c>
      <c r="K9" s="345">
        <v>1.395</v>
      </c>
      <c r="L9" s="345">
        <v>-473.2</v>
      </c>
      <c r="M9" s="345">
        <v>2766</v>
      </c>
      <c r="N9" s="345">
        <v>0</v>
      </c>
      <c r="O9" s="556">
        <v>1</v>
      </c>
      <c r="P9" s="504"/>
    </row>
    <row r="10" spans="1:16" ht="24" hidden="1" thickBot="1" x14ac:dyDescent="0.4">
      <c r="A10"/>
      <c r="B10" s="192"/>
      <c r="C10" s="561" t="s">
        <v>154</v>
      </c>
      <c r="D10" s="537" t="s">
        <v>69</v>
      </c>
      <c r="E10" s="464">
        <v>298.14999999999998</v>
      </c>
      <c r="F10" s="468">
        <v>500.00009999999997</v>
      </c>
      <c r="G10" s="465">
        <v>-5.34</v>
      </c>
      <c r="H10" s="465">
        <v>188.5</v>
      </c>
      <c r="I10" s="465">
        <v>46.599989999999998</v>
      </c>
      <c r="J10" s="465">
        <v>-5.8149999999999999E-4</v>
      </c>
      <c r="K10" s="465">
        <v>1.323</v>
      </c>
      <c r="L10" s="465">
        <v>-201.3</v>
      </c>
      <c r="M10" s="465">
        <v>1383</v>
      </c>
      <c r="N10" s="465">
        <v>0</v>
      </c>
      <c r="O10" s="466">
        <v>1</v>
      </c>
      <c r="P10" s="504"/>
    </row>
    <row r="11" spans="1:16" hidden="1" x14ac:dyDescent="0.35">
      <c r="A11"/>
      <c r="B11" s="192"/>
      <c r="C11" s="562" t="s">
        <v>165</v>
      </c>
      <c r="D11" s="538" t="s">
        <v>69</v>
      </c>
      <c r="E11" s="542">
        <v>298</v>
      </c>
      <c r="F11" s="547">
        <v>500.00009999999997</v>
      </c>
      <c r="G11" s="345">
        <v>-2.39</v>
      </c>
      <c r="H11" s="345">
        <v>74.769990000000007</v>
      </c>
      <c r="I11" s="345">
        <v>18.14</v>
      </c>
      <c r="J11" s="345">
        <v>0</v>
      </c>
      <c r="K11" s="345">
        <v>0.56850000000000001</v>
      </c>
      <c r="L11" s="345">
        <v>31.1</v>
      </c>
      <c r="M11" s="345">
        <v>0</v>
      </c>
      <c r="N11" s="345">
        <v>0</v>
      </c>
      <c r="O11" s="556">
        <v>1</v>
      </c>
      <c r="P11" s="301"/>
    </row>
    <row r="12" spans="1:16" ht="24" hidden="1" thickBot="1" x14ac:dyDescent="0.4">
      <c r="A12"/>
      <c r="B12" s="191"/>
      <c r="C12" s="563" t="s">
        <v>76</v>
      </c>
      <c r="D12" s="369" t="s">
        <v>69</v>
      </c>
      <c r="E12" s="304">
        <v>298.14999999999998</v>
      </c>
      <c r="F12" s="305">
        <v>2000</v>
      </c>
      <c r="G12" s="426">
        <v>1.157</v>
      </c>
      <c r="H12" s="426">
        <v>55.30301</v>
      </c>
      <c r="I12" s="426">
        <v>6.9866000000000001</v>
      </c>
      <c r="J12" s="426">
        <v>-1.7438999999999999E-4</v>
      </c>
      <c r="K12" s="426">
        <v>0.22003</v>
      </c>
      <c r="L12" s="426">
        <v>3.0068000000000001E-2</v>
      </c>
      <c r="M12" s="426">
        <v>0</v>
      </c>
      <c r="N12" s="426">
        <v>0</v>
      </c>
      <c r="O12" s="494">
        <v>1</v>
      </c>
      <c r="P12" s="487"/>
    </row>
    <row r="13" spans="1:16" ht="24" hidden="1" thickBot="1" x14ac:dyDescent="0.4">
      <c r="A13"/>
      <c r="B13" s="191"/>
      <c r="C13" s="564" t="s">
        <v>76</v>
      </c>
      <c r="D13" s="421" t="s">
        <v>69</v>
      </c>
      <c r="E13" s="422">
        <v>298.14999999999998</v>
      </c>
      <c r="F13" s="423">
        <v>398</v>
      </c>
      <c r="G13" s="424">
        <v>-2.2040000000000002</v>
      </c>
      <c r="H13" s="424">
        <v>13.59</v>
      </c>
      <c r="I13" s="424">
        <v>0</v>
      </c>
      <c r="J13" s="424">
        <v>0</v>
      </c>
      <c r="K13" s="424">
        <v>0</v>
      </c>
      <c r="L13" s="424">
        <v>0</v>
      </c>
      <c r="M13" s="424">
        <v>0</v>
      </c>
      <c r="N13" s="424">
        <v>0</v>
      </c>
      <c r="O13" s="495">
        <v>1</v>
      </c>
      <c r="P13" s="504"/>
    </row>
    <row r="14" spans="1:16" ht="24" hidden="1" thickBot="1" x14ac:dyDescent="0.4">
      <c r="A14"/>
      <c r="B14" s="191"/>
      <c r="C14" s="565" t="s">
        <v>77</v>
      </c>
      <c r="D14" s="421" t="s">
        <v>69</v>
      </c>
      <c r="E14" s="422">
        <v>298.14999999999998</v>
      </c>
      <c r="F14" s="423">
        <v>1278</v>
      </c>
      <c r="G14" s="424">
        <v>-4.9166999999999996</v>
      </c>
      <c r="H14" s="424">
        <v>52.323990000000002</v>
      </c>
      <c r="I14" s="424">
        <v>12.715999999999999</v>
      </c>
      <c r="J14" s="424">
        <v>0</v>
      </c>
      <c r="K14" s="424">
        <v>0.39800999999999997</v>
      </c>
      <c r="L14" s="424">
        <v>21.234000000000002</v>
      </c>
      <c r="M14" s="424">
        <v>0</v>
      </c>
      <c r="N14" s="424">
        <v>0</v>
      </c>
      <c r="O14" s="495">
        <v>1</v>
      </c>
      <c r="P14" s="504"/>
    </row>
    <row r="15" spans="1:16" ht="24" hidden="1" thickBot="1" x14ac:dyDescent="0.4">
      <c r="A15"/>
      <c r="B15" s="191"/>
      <c r="C15" s="566" t="s">
        <v>153</v>
      </c>
      <c r="D15" s="540" t="s">
        <v>69</v>
      </c>
      <c r="E15" s="545">
        <v>298.14999999999998</v>
      </c>
      <c r="F15" s="549">
        <v>500.00009999999997</v>
      </c>
      <c r="G15" s="550">
        <v>-4.78</v>
      </c>
      <c r="H15" s="550">
        <v>149.5</v>
      </c>
      <c r="I15" s="550">
        <v>36.279989999999998</v>
      </c>
      <c r="J15" s="550">
        <v>0</v>
      </c>
      <c r="K15" s="550">
        <v>1.137</v>
      </c>
      <c r="L15" s="550">
        <v>62.190010000000001</v>
      </c>
      <c r="M15" s="550">
        <v>0</v>
      </c>
      <c r="N15" s="550">
        <v>0</v>
      </c>
      <c r="O15" s="497">
        <v>1</v>
      </c>
      <c r="P15" s="504"/>
    </row>
    <row r="16" spans="1:16" hidden="1" x14ac:dyDescent="0.35">
      <c r="A16"/>
      <c r="B16" s="191"/>
      <c r="C16" s="562" t="s">
        <v>166</v>
      </c>
      <c r="D16" s="538" t="s">
        <v>69</v>
      </c>
      <c r="E16" s="542">
        <v>298</v>
      </c>
      <c r="F16" s="547">
        <v>500.00009999999997</v>
      </c>
      <c r="G16" s="345">
        <v>-4.22</v>
      </c>
      <c r="H16" s="345">
        <v>173.5</v>
      </c>
      <c r="I16" s="345">
        <v>43.04</v>
      </c>
      <c r="J16" s="345">
        <v>-5.8149999999999999E-4</v>
      </c>
      <c r="K16" s="345">
        <v>1.2090000000000001</v>
      </c>
      <c r="L16" s="345">
        <v>-209.7</v>
      </c>
      <c r="M16" s="345">
        <v>1383</v>
      </c>
      <c r="N16" s="345">
        <v>0</v>
      </c>
      <c r="O16" s="556">
        <v>1</v>
      </c>
      <c r="P16" s="301"/>
    </row>
    <row r="17" spans="1:19" hidden="1" x14ac:dyDescent="0.35">
      <c r="A17"/>
      <c r="B17" s="191"/>
      <c r="C17" s="567" t="s">
        <v>167</v>
      </c>
      <c r="D17" s="165" t="s">
        <v>69</v>
      </c>
      <c r="E17" s="462">
        <v>298</v>
      </c>
      <c r="F17" s="467">
        <v>500.00009999999997</v>
      </c>
      <c r="G17" s="347">
        <v>-1.81</v>
      </c>
      <c r="H17" s="347">
        <v>71.790000000000006</v>
      </c>
      <c r="I17" s="347">
        <v>17.87</v>
      </c>
      <c r="J17" s="347">
        <v>-2.9069989999999998E-4</v>
      </c>
      <c r="K17" s="347">
        <v>0.49080000000000001</v>
      </c>
      <c r="L17" s="347">
        <v>-110.5</v>
      </c>
      <c r="M17" s="347">
        <v>691.6</v>
      </c>
      <c r="N17" s="347">
        <v>0</v>
      </c>
      <c r="O17" s="463">
        <v>1</v>
      </c>
      <c r="P17" s="301"/>
      <c r="R17" s="488"/>
    </row>
    <row r="18" spans="1:19" ht="24" hidden="1" thickBot="1" x14ac:dyDescent="0.4">
      <c r="A18"/>
      <c r="B18" s="191"/>
      <c r="C18" s="427" t="s">
        <v>68</v>
      </c>
      <c r="D18" s="421" t="s">
        <v>65</v>
      </c>
      <c r="E18" s="422">
        <v>298.14999999999998</v>
      </c>
      <c r="F18" s="423">
        <v>1500</v>
      </c>
      <c r="G18" s="424">
        <v>4.3829390000000004</v>
      </c>
      <c r="H18" s="424">
        <v>34.862279999999998</v>
      </c>
      <c r="I18" s="424">
        <v>5.530119</v>
      </c>
      <c r="J18" s="424">
        <v>-3.3787839999999998E-4</v>
      </c>
      <c r="K18" s="424">
        <v>8.1663529999999998E-2</v>
      </c>
      <c r="L18" s="424">
        <v>-21.130780000000001</v>
      </c>
      <c r="M18" s="424">
        <v>36.52984</v>
      </c>
      <c r="N18" s="424">
        <v>-31.421589999999998</v>
      </c>
      <c r="O18" s="495">
        <v>1</v>
      </c>
      <c r="P18" s="504"/>
    </row>
    <row r="19" spans="1:19" ht="24" hidden="1" thickBot="1" x14ac:dyDescent="0.4">
      <c r="A19"/>
      <c r="B19" s="191"/>
      <c r="C19" s="427" t="s">
        <v>68</v>
      </c>
      <c r="D19" s="421" t="s">
        <v>65</v>
      </c>
      <c r="E19" s="422">
        <v>1500</v>
      </c>
      <c r="F19" s="423">
        <v>6000</v>
      </c>
      <c r="G19" s="434">
        <v>4.3829390000000004</v>
      </c>
      <c r="H19" s="434">
        <v>26.704419999999999</v>
      </c>
      <c r="I19" s="434">
        <v>1.8358589999999999</v>
      </c>
      <c r="J19" s="434">
        <v>3.9919220000000002E-3</v>
      </c>
      <c r="K19" s="434">
        <v>-0.2011674</v>
      </c>
      <c r="L19" s="434">
        <v>2.865237</v>
      </c>
      <c r="M19" s="434">
        <v>-1.920703</v>
      </c>
      <c r="N19" s="434">
        <v>0.6292025</v>
      </c>
      <c r="O19" s="495">
        <v>1</v>
      </c>
      <c r="P19" s="487"/>
    </row>
    <row r="20" spans="1:19" hidden="1" x14ac:dyDescent="0.35">
      <c r="A20"/>
      <c r="B20" s="191"/>
      <c r="C20" s="393" t="s">
        <v>68</v>
      </c>
      <c r="D20" s="394" t="s">
        <v>65</v>
      </c>
      <c r="E20" s="395">
        <v>6000</v>
      </c>
      <c r="F20" s="396">
        <v>10000</v>
      </c>
      <c r="G20" s="410">
        <v>4.3829390000000004</v>
      </c>
      <c r="H20" s="410">
        <v>30.185140000000001</v>
      </c>
      <c r="I20" s="410">
        <v>6.3430540000000004</v>
      </c>
      <c r="J20" s="410">
        <v>-9.5135109999999995E-2</v>
      </c>
      <c r="K20" s="410">
        <v>1.2754369999999999</v>
      </c>
      <c r="L20" s="410">
        <v>-4.2694150000000004</v>
      </c>
      <c r="M20" s="410">
        <v>1.041687</v>
      </c>
      <c r="N20" s="410">
        <v>-6.3588229999999996E-2</v>
      </c>
      <c r="O20" s="558">
        <v>1</v>
      </c>
      <c r="P20" s="361"/>
    </row>
    <row r="21" spans="1:19" ht="24" hidden="1" thickBot="1" x14ac:dyDescent="0.4">
      <c r="A21"/>
      <c r="B21" s="191"/>
      <c r="C21" s="402" t="s">
        <v>68</v>
      </c>
      <c r="D21" s="369" t="s">
        <v>61</v>
      </c>
      <c r="E21" s="304">
        <v>1211.4000000000001</v>
      </c>
      <c r="F21" s="305">
        <v>4900</v>
      </c>
      <c r="G21" s="426">
        <v>-5.5760690000000002E-2</v>
      </c>
      <c r="H21" s="426">
        <v>15.395060000000001</v>
      </c>
      <c r="I21" s="426">
        <v>3.319661</v>
      </c>
      <c r="J21" s="426">
        <v>0</v>
      </c>
      <c r="K21" s="426">
        <v>-0.38367639999999997</v>
      </c>
      <c r="L21" s="426">
        <v>0</v>
      </c>
      <c r="M21" s="426">
        <v>0</v>
      </c>
      <c r="N21" s="426">
        <v>0</v>
      </c>
      <c r="O21" s="491">
        <v>1</v>
      </c>
      <c r="P21" s="487"/>
    </row>
    <row r="22" spans="1:19" ht="24" hidden="1" thickBot="1" x14ac:dyDescent="0.4">
      <c r="A22"/>
      <c r="B22" s="191"/>
      <c r="C22" s="427" t="s">
        <v>68</v>
      </c>
      <c r="D22" s="421" t="s">
        <v>69</v>
      </c>
      <c r="E22" s="422">
        <v>298.14999999999998</v>
      </c>
      <c r="F22" s="423">
        <v>1211.4000000000001</v>
      </c>
      <c r="G22" s="424">
        <v>-5.5760690000000002E-2</v>
      </c>
      <c r="H22" s="424">
        <v>10.808619999999999</v>
      </c>
      <c r="I22" s="424">
        <v>2.898209</v>
      </c>
      <c r="J22" s="424">
        <v>-9.4357770000000004E-5</v>
      </c>
      <c r="K22" s="424">
        <v>3.8575789999999999E-2</v>
      </c>
      <c r="L22" s="424">
        <v>1.796346</v>
      </c>
      <c r="M22" s="424">
        <v>0</v>
      </c>
      <c r="N22" s="424">
        <v>0</v>
      </c>
      <c r="O22" s="495">
        <v>1</v>
      </c>
      <c r="P22" s="487"/>
    </row>
    <row r="23" spans="1:19" ht="24" hidden="1" thickBot="1" x14ac:dyDescent="0.4">
      <c r="A23"/>
      <c r="B23" s="191"/>
      <c r="C23" s="425" t="s">
        <v>68</v>
      </c>
      <c r="D23" s="369" t="s">
        <v>158</v>
      </c>
      <c r="E23" s="304">
        <v>298.14999999999998</v>
      </c>
      <c r="F23" s="305">
        <v>1211.4000000000001</v>
      </c>
      <c r="G23" s="370">
        <v>-5.5760690000000002E-2</v>
      </c>
      <c r="H23" s="370">
        <v>10.808619999999999</v>
      </c>
      <c r="I23" s="370">
        <v>2.898209</v>
      </c>
      <c r="J23" s="370">
        <v>-9.4357770000000004E-5</v>
      </c>
      <c r="K23" s="370">
        <v>3.8575789999999999E-2</v>
      </c>
      <c r="L23" s="370">
        <v>1.796346</v>
      </c>
      <c r="M23" s="370">
        <v>0</v>
      </c>
      <c r="N23" s="370">
        <v>0</v>
      </c>
      <c r="O23" s="494">
        <v>1</v>
      </c>
      <c r="P23" s="487"/>
    </row>
    <row r="24" spans="1:19" hidden="1" x14ac:dyDescent="0.35">
      <c r="A24"/>
      <c r="B24" s="191"/>
      <c r="C24" s="436" t="s">
        <v>107</v>
      </c>
      <c r="D24" s="394" t="s">
        <v>65</v>
      </c>
      <c r="E24" s="395">
        <v>298.14999999999998</v>
      </c>
      <c r="F24" s="396">
        <v>1100</v>
      </c>
      <c r="G24" s="410">
        <v>5.2149859999999997</v>
      </c>
      <c r="H24" s="410">
        <v>41.701000000000001</v>
      </c>
      <c r="I24" s="410">
        <v>4.0561670000000003</v>
      </c>
      <c r="J24" s="410">
        <v>2.357301E-5</v>
      </c>
      <c r="K24" s="410">
        <v>0.12889</v>
      </c>
      <c r="L24" s="410">
        <v>11.272</v>
      </c>
      <c r="M24" s="410">
        <v>-9.1847989999999999</v>
      </c>
      <c r="N24" s="410">
        <v>0</v>
      </c>
      <c r="O24" s="493">
        <v>1</v>
      </c>
      <c r="P24" s="504"/>
    </row>
    <row r="25" spans="1:19" hidden="1" x14ac:dyDescent="0.35">
      <c r="A25"/>
      <c r="B25" s="191"/>
      <c r="C25" s="450" t="s">
        <v>107</v>
      </c>
      <c r="D25" s="444" t="s">
        <v>65</v>
      </c>
      <c r="E25" s="453">
        <v>1100</v>
      </c>
      <c r="F25" s="454">
        <v>2500</v>
      </c>
      <c r="G25" s="406">
        <v>5.2149859999999997</v>
      </c>
      <c r="H25" s="406">
        <v>43.677999999999997</v>
      </c>
      <c r="I25" s="406">
        <v>4.8509000000000002</v>
      </c>
      <c r="J25" s="406">
        <v>-3.7446989999999998E-4</v>
      </c>
      <c r="K25" s="406">
        <v>0.1716596</v>
      </c>
      <c r="L25" s="406">
        <v>5.0346000000000002</v>
      </c>
      <c r="M25" s="406">
        <v>-0.32273000000000002</v>
      </c>
      <c r="N25" s="406">
        <v>0</v>
      </c>
      <c r="O25" s="460">
        <v>1</v>
      </c>
      <c r="P25" s="504"/>
    </row>
    <row r="26" spans="1:19" hidden="1" x14ac:dyDescent="0.35">
      <c r="A26"/>
      <c r="B26" s="191"/>
      <c r="C26" s="451" t="s">
        <v>107</v>
      </c>
      <c r="D26" s="452" t="s">
        <v>65</v>
      </c>
      <c r="E26" s="420">
        <v>1500</v>
      </c>
      <c r="F26" s="448">
        <v>6000</v>
      </c>
      <c r="G26" s="401">
        <v>5.674709</v>
      </c>
      <c r="H26" s="401">
        <v>40.162990000000001</v>
      </c>
      <c r="I26" s="401">
        <v>2.7510140000000001</v>
      </c>
      <c r="J26" s="401">
        <v>7.8054969999999998E-3</v>
      </c>
      <c r="K26" s="401">
        <v>-0.32734089999999999</v>
      </c>
      <c r="L26" s="401">
        <v>6.01546</v>
      </c>
      <c r="M26" s="401">
        <v>-3.5431430000000002</v>
      </c>
      <c r="N26" s="401">
        <v>0.75900279999999998</v>
      </c>
      <c r="O26" s="499">
        <v>1</v>
      </c>
      <c r="P26" s="300"/>
    </row>
    <row r="27" spans="1:19" hidden="1" x14ac:dyDescent="0.35">
      <c r="A27"/>
      <c r="B27" s="191"/>
      <c r="C27" s="568" t="s">
        <v>157</v>
      </c>
      <c r="D27" s="469" t="s">
        <v>69</v>
      </c>
      <c r="E27" s="462">
        <v>298.14999999999998</v>
      </c>
      <c r="F27" s="467">
        <v>500.00009999999997</v>
      </c>
      <c r="G27" s="347">
        <v>-2.95</v>
      </c>
      <c r="H27" s="347">
        <v>113.7</v>
      </c>
      <c r="I27" s="347">
        <v>28.46</v>
      </c>
      <c r="J27" s="347">
        <v>-5.8149999999999999E-4</v>
      </c>
      <c r="K27" s="347">
        <v>0.75419999999999998</v>
      </c>
      <c r="L27" s="347">
        <v>-232.4</v>
      </c>
      <c r="M27" s="347">
        <v>1383</v>
      </c>
      <c r="N27" s="347">
        <v>0</v>
      </c>
      <c r="O27" s="557">
        <v>1</v>
      </c>
      <c r="P27" s="504"/>
      <c r="Q27" s="122"/>
      <c r="R27" s="122"/>
      <c r="S27" s="122"/>
    </row>
    <row r="28" spans="1:19" ht="24" hidden="1" thickBot="1" x14ac:dyDescent="0.4">
      <c r="A28"/>
      <c r="B28" s="191"/>
      <c r="C28" s="569" t="s">
        <v>156</v>
      </c>
      <c r="D28" s="470" t="s">
        <v>69</v>
      </c>
      <c r="E28" s="464">
        <v>298.14999999999998</v>
      </c>
      <c r="F28" s="468">
        <v>500.00009999999997</v>
      </c>
      <c r="G28" s="465">
        <v>-3.78</v>
      </c>
      <c r="H28" s="465">
        <v>136.19999999999999</v>
      </c>
      <c r="I28" s="465">
        <v>33.880000000000003</v>
      </c>
      <c r="J28" s="465">
        <v>-5.8149999999999999E-4</v>
      </c>
      <c r="K28" s="465">
        <v>0.92469999999999997</v>
      </c>
      <c r="L28" s="465">
        <v>-222.6</v>
      </c>
      <c r="M28" s="465">
        <v>1383</v>
      </c>
      <c r="N28" s="465">
        <v>0</v>
      </c>
      <c r="O28" s="555">
        <v>1</v>
      </c>
      <c r="P28" s="504"/>
    </row>
    <row r="29" spans="1:19" hidden="1" x14ac:dyDescent="0.35">
      <c r="A29"/>
      <c r="B29" s="191"/>
      <c r="C29" s="407" t="s">
        <v>159</v>
      </c>
      <c r="D29" s="403" t="s">
        <v>65</v>
      </c>
      <c r="E29" s="453">
        <v>298.14999999999998</v>
      </c>
      <c r="F29" s="454">
        <v>1500</v>
      </c>
      <c r="G29" s="406">
        <v>5.674709</v>
      </c>
      <c r="H29" s="406">
        <v>49.524940000000001</v>
      </c>
      <c r="I29" s="406">
        <v>7.0513279999999998</v>
      </c>
      <c r="J29" s="406">
        <v>-1.341195E-5</v>
      </c>
      <c r="K29" s="406">
        <v>5.245814E-2</v>
      </c>
      <c r="L29" s="406">
        <v>-24.580100000000002</v>
      </c>
      <c r="M29" s="406">
        <v>62.099780000000003</v>
      </c>
      <c r="N29" s="406">
        <v>-81.046109999999999</v>
      </c>
      <c r="O29" s="460">
        <v>1</v>
      </c>
      <c r="P29" s="300"/>
    </row>
    <row r="30" spans="1:19" ht="24" hidden="1" thickBot="1" x14ac:dyDescent="0.4">
      <c r="C30" s="528" t="s">
        <v>87</v>
      </c>
      <c r="D30" s="535" t="s">
        <v>65</v>
      </c>
      <c r="E30" s="411">
        <v>298.14999999999998</v>
      </c>
      <c r="F30" s="412">
        <v>2000</v>
      </c>
      <c r="G30" s="413">
        <v>1.2677</v>
      </c>
      <c r="H30" s="413">
        <v>11.071</v>
      </c>
      <c r="I30" s="413">
        <v>4.4489000000000001</v>
      </c>
      <c r="J30" s="413">
        <v>-1.0823999999999999E-4</v>
      </c>
      <c r="K30" s="413">
        <v>0.13999</v>
      </c>
      <c r="L30" s="413">
        <v>0.10223</v>
      </c>
      <c r="M30" s="413">
        <v>0</v>
      </c>
      <c r="N30" s="413">
        <v>0</v>
      </c>
      <c r="O30" s="553">
        <v>1</v>
      </c>
      <c r="P30" s="300"/>
    </row>
    <row r="31" spans="1:19" ht="24" hidden="1" thickBot="1" x14ac:dyDescent="0.4">
      <c r="C31" s="529" t="s">
        <v>87</v>
      </c>
      <c r="D31" s="539" t="s">
        <v>69</v>
      </c>
      <c r="E31" s="543">
        <v>298.14999999999998</v>
      </c>
      <c r="F31" s="548">
        <v>947.99990000000003</v>
      </c>
      <c r="G31" s="413">
        <v>-0.82987549999999999</v>
      </c>
      <c r="H31" s="413">
        <v>22.446940000000001</v>
      </c>
      <c r="I31" s="413">
        <v>5.4242590000000002</v>
      </c>
      <c r="J31" s="413">
        <v>0</v>
      </c>
      <c r="K31" s="413">
        <v>0.17049120000000001</v>
      </c>
      <c r="L31" s="413">
        <v>9.8622890000000005</v>
      </c>
      <c r="M31" s="413">
        <v>0</v>
      </c>
      <c r="N31" s="413">
        <v>0</v>
      </c>
      <c r="O31" s="553">
        <v>1</v>
      </c>
      <c r="P31" s="300"/>
    </row>
    <row r="32" spans="1:19" hidden="1" x14ac:dyDescent="0.35">
      <c r="C32" s="408" t="s">
        <v>88</v>
      </c>
      <c r="D32" s="400" t="s">
        <v>69</v>
      </c>
      <c r="E32" s="420">
        <v>298.14999999999998</v>
      </c>
      <c r="F32" s="409">
        <v>1013</v>
      </c>
      <c r="G32" s="401">
        <v>-1.3591</v>
      </c>
      <c r="H32" s="401">
        <v>31.553999999999998</v>
      </c>
      <c r="I32" s="401">
        <v>7.5639000000000003</v>
      </c>
      <c r="J32" s="401">
        <v>0</v>
      </c>
      <c r="K32" s="401">
        <v>0.24035000000000001</v>
      </c>
      <c r="L32" s="401">
        <v>16.681999999999999</v>
      </c>
      <c r="M32" s="401">
        <v>0</v>
      </c>
      <c r="N32" s="401">
        <v>0</v>
      </c>
      <c r="O32" s="501">
        <v>1</v>
      </c>
      <c r="P32" s="300"/>
    </row>
    <row r="33" spans="1:16" hidden="1" x14ac:dyDescent="0.35">
      <c r="C33" s="398" t="s">
        <v>88</v>
      </c>
      <c r="D33" s="363" t="s">
        <v>69</v>
      </c>
      <c r="E33" s="302">
        <v>298.14999999999998</v>
      </c>
      <c r="F33" s="303">
        <v>350</v>
      </c>
      <c r="G33" s="399"/>
      <c r="H33" s="399">
        <v>68.819999999999993</v>
      </c>
      <c r="I33" s="399">
        <v>17.670000000000002</v>
      </c>
      <c r="J33" s="399">
        <v>-5.8149999999999999E-4</v>
      </c>
      <c r="K33" s="399">
        <v>0.41320000000000001</v>
      </c>
      <c r="L33" s="399">
        <v>-252.1001</v>
      </c>
      <c r="M33" s="399">
        <v>1383</v>
      </c>
      <c r="N33" s="399"/>
      <c r="O33" s="500">
        <v>1</v>
      </c>
      <c r="P33" s="487"/>
    </row>
    <row r="34" spans="1:16" hidden="1" x14ac:dyDescent="0.35">
      <c r="C34" s="398" t="s">
        <v>88</v>
      </c>
      <c r="D34" s="363" t="s">
        <v>69</v>
      </c>
      <c r="E34" s="302">
        <v>350</v>
      </c>
      <c r="F34" s="303">
        <v>420</v>
      </c>
      <c r="G34" s="399">
        <v>-1.359</v>
      </c>
      <c r="H34" s="399">
        <v>12.05</v>
      </c>
      <c r="I34" s="399">
        <v>1.762</v>
      </c>
      <c r="J34" s="399">
        <v>0</v>
      </c>
      <c r="K34" s="399">
        <v>0.14510000000000001</v>
      </c>
      <c r="L34" s="399">
        <v>105.7</v>
      </c>
      <c r="M34" s="399">
        <v>0</v>
      </c>
      <c r="N34" s="399">
        <v>0</v>
      </c>
      <c r="O34" s="500">
        <v>1</v>
      </c>
      <c r="P34" s="487"/>
    </row>
    <row r="35" spans="1:16" ht="24" hidden="1" thickBot="1" x14ac:dyDescent="0.4">
      <c r="C35" s="427" t="s">
        <v>88</v>
      </c>
      <c r="D35" s="421" t="s">
        <v>69</v>
      </c>
      <c r="E35" s="422">
        <v>420</v>
      </c>
      <c r="F35" s="423">
        <v>450</v>
      </c>
      <c r="G35" s="424">
        <v>-1.359</v>
      </c>
      <c r="H35" s="424">
        <v>38.770000000000003</v>
      </c>
      <c r="I35" s="424">
        <v>9.9830000000000005</v>
      </c>
      <c r="J35" s="424">
        <v>0</v>
      </c>
      <c r="K35" s="424">
        <v>0.3039</v>
      </c>
      <c r="L35" s="424">
        <v>0</v>
      </c>
      <c r="M35" s="424">
        <v>0</v>
      </c>
      <c r="N35" s="424">
        <v>0</v>
      </c>
      <c r="O35" s="495">
        <v>1</v>
      </c>
      <c r="P35" s="487"/>
    </row>
    <row r="36" spans="1:16" s="161" customFormat="1" ht="24" hidden="1" thickBot="1" x14ac:dyDescent="0.4">
      <c r="A36" s="194"/>
      <c r="B36" s="194"/>
      <c r="C36" s="427" t="s">
        <v>88</v>
      </c>
      <c r="D36" s="421" t="s">
        <v>69</v>
      </c>
      <c r="E36" s="422">
        <v>450</v>
      </c>
      <c r="F36" s="423">
        <v>899.99990000000003</v>
      </c>
      <c r="G36" s="424">
        <v>-1.359</v>
      </c>
      <c r="H36" s="424">
        <v>18.36</v>
      </c>
      <c r="I36" s="424">
        <v>2.0299999999999998</v>
      </c>
      <c r="J36" s="424">
        <v>2.7360000000000002E-3</v>
      </c>
      <c r="K36" s="424">
        <v>-6.5769999999999995E-2</v>
      </c>
      <c r="L36" s="424">
        <v>61.46</v>
      </c>
      <c r="M36" s="424">
        <v>-80.110010000000003</v>
      </c>
      <c r="N36" s="424">
        <v>0</v>
      </c>
      <c r="O36" s="554">
        <v>1</v>
      </c>
      <c r="P36" s="504"/>
    </row>
    <row r="37" spans="1:16" s="161" customFormat="1" hidden="1" x14ac:dyDescent="0.35">
      <c r="A37" s="194"/>
      <c r="B37" s="194"/>
      <c r="C37" s="415" t="s">
        <v>70</v>
      </c>
      <c r="D37" s="363" t="s">
        <v>162</v>
      </c>
      <c r="E37" s="302">
        <v>298.14999999999998</v>
      </c>
      <c r="F37" s="303">
        <v>398</v>
      </c>
      <c r="G37" s="399">
        <v>6.0389989999999998E-2</v>
      </c>
      <c r="H37" s="399">
        <v>14.03</v>
      </c>
      <c r="I37" s="399">
        <v>3.2650000000000001</v>
      </c>
      <c r="J37" s="399">
        <v>0</v>
      </c>
      <c r="K37" s="399">
        <v>9.7360000000000002E-2</v>
      </c>
      <c r="L37" s="399">
        <v>0</v>
      </c>
      <c r="M37" s="399">
        <v>0</v>
      </c>
      <c r="N37" s="399">
        <v>0</v>
      </c>
      <c r="O37" s="500">
        <v>1</v>
      </c>
      <c r="P37" s="504"/>
    </row>
    <row r="38" spans="1:16" s="161" customFormat="1" hidden="1" x14ac:dyDescent="0.35">
      <c r="A38" s="194"/>
      <c r="B38" s="194"/>
      <c r="C38" s="533" t="s">
        <v>70</v>
      </c>
      <c r="D38" s="444" t="s">
        <v>65</v>
      </c>
      <c r="E38" s="404">
        <v>298.14999999999998</v>
      </c>
      <c r="F38" s="405">
        <v>1500</v>
      </c>
      <c r="G38" s="406">
        <v>2.783115</v>
      </c>
      <c r="H38" s="406">
        <v>25.378499999999999</v>
      </c>
      <c r="I38" s="406">
        <v>1.797085</v>
      </c>
      <c r="J38" s="406">
        <v>1.090393E-4</v>
      </c>
      <c r="K38" s="406">
        <v>-2.1003919999999999E-2</v>
      </c>
      <c r="L38" s="406">
        <v>9.1604179999999999</v>
      </c>
      <c r="M38" s="406">
        <v>-16.28604</v>
      </c>
      <c r="N38" s="406">
        <v>12.30222</v>
      </c>
      <c r="O38" s="560">
        <v>1</v>
      </c>
      <c r="P38" s="456"/>
    </row>
    <row r="39" spans="1:16" s="161" customFormat="1" hidden="1" x14ac:dyDescent="0.35">
      <c r="A39" s="194"/>
      <c r="B39" s="194"/>
      <c r="C39" s="398" t="s">
        <v>70</v>
      </c>
      <c r="D39" s="398" t="s">
        <v>65</v>
      </c>
      <c r="E39" s="302">
        <v>1500</v>
      </c>
      <c r="F39" s="303">
        <v>10000</v>
      </c>
      <c r="G39" s="364">
        <v>2.783115</v>
      </c>
      <c r="H39" s="364">
        <v>27.619869999999999</v>
      </c>
      <c r="I39" s="364">
        <v>2.4307400000000001</v>
      </c>
      <c r="J39" s="364">
        <v>2.4488410000000002E-3</v>
      </c>
      <c r="K39" s="364">
        <v>-5.4265309999999997E-2</v>
      </c>
      <c r="L39" s="364">
        <v>0.91438399999999997</v>
      </c>
      <c r="M39" s="364">
        <v>-0.4321508</v>
      </c>
      <c r="N39" s="364">
        <v>8.956944E-2</v>
      </c>
      <c r="O39" s="559">
        <v>1</v>
      </c>
      <c r="P39" s="301"/>
    </row>
    <row r="40" spans="1:16" hidden="1" x14ac:dyDescent="0.35">
      <c r="C40" s="485" t="s">
        <v>70</v>
      </c>
      <c r="D40" s="393" t="s">
        <v>61</v>
      </c>
      <c r="E40" s="395">
        <v>494.00009999999997</v>
      </c>
      <c r="F40" s="396">
        <v>1000</v>
      </c>
      <c r="G40" s="397">
        <v>7.4080010000000002E-2</v>
      </c>
      <c r="H40" s="397">
        <v>23.32</v>
      </c>
      <c r="I40" s="397">
        <v>6.3019999999999996</v>
      </c>
      <c r="J40" s="397">
        <v>0</v>
      </c>
      <c r="K40" s="397">
        <v>0.19220000000000001</v>
      </c>
      <c r="L40" s="397">
        <v>-29.83</v>
      </c>
      <c r="M40" s="397">
        <v>64.95</v>
      </c>
      <c r="N40" s="397">
        <v>0</v>
      </c>
      <c r="O40" s="493">
        <v>1</v>
      </c>
      <c r="P40" s="487"/>
    </row>
    <row r="41" spans="1:16" hidden="1" x14ac:dyDescent="0.35">
      <c r="C41" s="302" t="s">
        <v>70</v>
      </c>
      <c r="D41" s="398" t="s">
        <v>61</v>
      </c>
      <c r="E41" s="302">
        <v>1000</v>
      </c>
      <c r="F41" s="303">
        <v>1800</v>
      </c>
      <c r="G41" s="399">
        <v>7.4080010000000002E-2</v>
      </c>
      <c r="H41" s="399">
        <v>16.62</v>
      </c>
      <c r="I41" s="399">
        <v>4.2460000000000004</v>
      </c>
      <c r="J41" s="399">
        <v>0</v>
      </c>
      <c r="K41" s="399">
        <v>0.15490000000000001</v>
      </c>
      <c r="L41" s="399">
        <v>0</v>
      </c>
      <c r="M41" s="399">
        <v>0</v>
      </c>
      <c r="N41" s="399">
        <v>0</v>
      </c>
      <c r="O41" s="496">
        <v>1</v>
      </c>
      <c r="P41" s="487"/>
    </row>
    <row r="42" spans="1:16" hidden="1" x14ac:dyDescent="0.35">
      <c r="C42" s="395" t="s">
        <v>70</v>
      </c>
      <c r="D42" s="393" t="s">
        <v>163</v>
      </c>
      <c r="E42" s="395">
        <v>298.14999999999998</v>
      </c>
      <c r="F42" s="396">
        <v>413.00009999999997</v>
      </c>
      <c r="G42" s="397">
        <v>0.1077</v>
      </c>
      <c r="H42" s="397">
        <v>54.85</v>
      </c>
      <c r="I42" s="397">
        <v>12.93</v>
      </c>
      <c r="J42" s="397">
        <v>-2.6350000000000001E-4</v>
      </c>
      <c r="K42" s="397">
        <v>0.40429999999999999</v>
      </c>
      <c r="L42" s="397">
        <v>-5.4480000000000004</v>
      </c>
      <c r="M42" s="397">
        <v>144</v>
      </c>
      <c r="N42" s="397">
        <v>0</v>
      </c>
      <c r="O42" s="493">
        <v>1</v>
      </c>
      <c r="P42" s="487"/>
    </row>
    <row r="43" spans="1:16" ht="24" hidden="1" thickBot="1" x14ac:dyDescent="0.4">
      <c r="C43" s="304" t="s">
        <v>70</v>
      </c>
      <c r="D43" s="402" t="s">
        <v>164</v>
      </c>
      <c r="E43" s="304">
        <v>298.14999999999998</v>
      </c>
      <c r="F43" s="305">
        <v>398</v>
      </c>
      <c r="G43" s="426">
        <v>0.1963</v>
      </c>
      <c r="H43" s="426">
        <v>18.559999999999999</v>
      </c>
      <c r="I43" s="426">
        <v>4.8810000000000002</v>
      </c>
      <c r="J43" s="426">
        <v>0</v>
      </c>
      <c r="K43" s="426">
        <v>0.14549999999999999</v>
      </c>
      <c r="L43" s="426">
        <v>0</v>
      </c>
      <c r="M43" s="426">
        <v>0</v>
      </c>
      <c r="N43" s="426">
        <v>0</v>
      </c>
      <c r="O43" s="494">
        <v>1</v>
      </c>
      <c r="P43" s="487"/>
    </row>
    <row r="44" spans="1:16" hidden="1" x14ac:dyDescent="0.35">
      <c r="C44" s="398" t="s">
        <v>70</v>
      </c>
      <c r="D44" s="363" t="s">
        <v>69</v>
      </c>
      <c r="E44" s="302">
        <v>298.14999999999998</v>
      </c>
      <c r="F44" s="303">
        <v>494.3</v>
      </c>
      <c r="G44" s="399">
        <v>-6.6260929999999996E-2</v>
      </c>
      <c r="H44" s="399">
        <v>10.212899999999999</v>
      </c>
      <c r="I44" s="399">
        <v>2.3373539999999999</v>
      </c>
      <c r="J44" s="399">
        <v>0</v>
      </c>
      <c r="K44" s="399">
        <v>1.4182739999999999E-2</v>
      </c>
      <c r="L44" s="399">
        <v>13.63707</v>
      </c>
      <c r="M44" s="399">
        <v>-25.78952</v>
      </c>
      <c r="N44" s="399">
        <v>0</v>
      </c>
      <c r="O44" s="490">
        <v>1</v>
      </c>
      <c r="P44" s="487"/>
    </row>
    <row r="45" spans="1:16" hidden="1" x14ac:dyDescent="0.35">
      <c r="C45" s="398" t="s">
        <v>70</v>
      </c>
      <c r="D45" s="363" t="s">
        <v>69</v>
      </c>
      <c r="E45" s="302">
        <v>494.3</v>
      </c>
      <c r="F45" s="303">
        <v>1000</v>
      </c>
      <c r="G45" s="399">
        <v>-6.6260929999999996E-2</v>
      </c>
      <c r="H45" s="399">
        <v>23.305810000000001</v>
      </c>
      <c r="I45" s="399">
        <v>6.3044700000000002</v>
      </c>
      <c r="J45" s="399">
        <v>0</v>
      </c>
      <c r="K45" s="399">
        <v>5.1929419999999997E-2</v>
      </c>
      <c r="L45" s="399">
        <v>-29.829440000000002</v>
      </c>
      <c r="M45" s="399">
        <v>65.022059999999996</v>
      </c>
      <c r="N45" s="399">
        <v>0</v>
      </c>
      <c r="O45" s="490">
        <v>1</v>
      </c>
      <c r="P45" s="487"/>
    </row>
    <row r="46" spans="1:16" hidden="1" x14ac:dyDescent="0.35">
      <c r="C46" s="395" t="s">
        <v>70</v>
      </c>
      <c r="D46" s="393" t="s">
        <v>69</v>
      </c>
      <c r="E46" s="395">
        <v>1000</v>
      </c>
      <c r="F46" s="396">
        <v>1800</v>
      </c>
      <c r="G46" s="397">
        <v>-6.6260929999999996E-2</v>
      </c>
      <c r="H46" s="397">
        <v>16.601150000000001</v>
      </c>
      <c r="I46" s="397">
        <v>4.2397850000000004</v>
      </c>
      <c r="J46" s="397">
        <v>0</v>
      </c>
      <c r="K46" s="397">
        <v>1.3699609999999999E-2</v>
      </c>
      <c r="L46" s="397">
        <v>0</v>
      </c>
      <c r="M46" s="397">
        <v>0</v>
      </c>
      <c r="N46" s="397">
        <v>0</v>
      </c>
      <c r="O46" s="493">
        <v>1</v>
      </c>
      <c r="P46" s="487"/>
    </row>
    <row r="47" spans="1:16" hidden="1" x14ac:dyDescent="0.35">
      <c r="C47" s="451" t="s">
        <v>100</v>
      </c>
      <c r="D47" s="536" t="s">
        <v>65</v>
      </c>
      <c r="E47" s="541">
        <v>298.14999999999998</v>
      </c>
      <c r="F47" s="546">
        <v>1500</v>
      </c>
      <c r="G47" s="401">
        <v>1.6083639999999999</v>
      </c>
      <c r="H47" s="401">
        <v>46.654719999999998</v>
      </c>
      <c r="I47" s="401">
        <v>6.370749</v>
      </c>
      <c r="J47" s="401">
        <v>-1.7220000000000001E-4</v>
      </c>
      <c r="K47" s="401">
        <v>6.049562E-2</v>
      </c>
      <c r="L47" s="401">
        <v>-20.810030000000001</v>
      </c>
      <c r="M47" s="401">
        <v>56.994140000000002</v>
      </c>
      <c r="N47" s="401">
        <v>-73.985680000000002</v>
      </c>
      <c r="O47" s="492">
        <v>1</v>
      </c>
      <c r="P47" s="456"/>
    </row>
    <row r="48" spans="1:16" hidden="1" x14ac:dyDescent="0.35">
      <c r="C48" s="395" t="s">
        <v>100</v>
      </c>
      <c r="D48" s="393" t="s">
        <v>65</v>
      </c>
      <c r="E48" s="395">
        <v>1500</v>
      </c>
      <c r="F48" s="396">
        <v>6000</v>
      </c>
      <c r="G48" s="410">
        <v>1.6083639999999999</v>
      </c>
      <c r="H48" s="410">
        <v>41.393599999999999</v>
      </c>
      <c r="I48" s="410">
        <v>4.6638549999999999</v>
      </c>
      <c r="J48" s="410">
        <v>-1.334432E-3</v>
      </c>
      <c r="K48" s="410">
        <v>3.6780319999999998E-2</v>
      </c>
      <c r="L48" s="410">
        <v>0.98545360000000004</v>
      </c>
      <c r="M48" s="410">
        <v>-0.13838919999999999</v>
      </c>
      <c r="N48" s="410">
        <v>-0.2247374</v>
      </c>
      <c r="O48" s="498">
        <v>1</v>
      </c>
      <c r="P48" s="361"/>
    </row>
    <row r="49" spans="3:16" hidden="1" x14ac:dyDescent="0.35">
      <c r="C49" s="530" t="s">
        <v>101</v>
      </c>
      <c r="D49" s="536" t="s">
        <v>65</v>
      </c>
      <c r="E49" s="541">
        <v>298.14999999999998</v>
      </c>
      <c r="F49" s="546">
        <v>1500</v>
      </c>
      <c r="G49" s="401">
        <v>1.9782420000000001</v>
      </c>
      <c r="H49" s="401">
        <v>54.51784</v>
      </c>
      <c r="I49" s="401">
        <v>6.89046</v>
      </c>
      <c r="J49" s="401">
        <v>-1.736525E-4</v>
      </c>
      <c r="K49" s="401">
        <v>5.6347979999999999E-2</v>
      </c>
      <c r="L49" s="401">
        <v>1.1843140000000001</v>
      </c>
      <c r="M49" s="401">
        <v>-3.094471</v>
      </c>
      <c r="N49" s="401">
        <v>4.1616710000000001</v>
      </c>
      <c r="O49" s="499">
        <v>1</v>
      </c>
      <c r="P49" s="300"/>
    </row>
    <row r="50" spans="3:16" hidden="1" x14ac:dyDescent="0.35">
      <c r="C50" s="395" t="s">
        <v>101</v>
      </c>
      <c r="D50" s="394" t="s">
        <v>65</v>
      </c>
      <c r="E50" s="395">
        <v>1500</v>
      </c>
      <c r="F50" s="396">
        <v>6000</v>
      </c>
      <c r="G50" s="410">
        <v>1.9782420000000001</v>
      </c>
      <c r="H50" s="410">
        <v>54.816650000000003</v>
      </c>
      <c r="I50" s="410">
        <v>7.0000840000000002</v>
      </c>
      <c r="J50" s="410">
        <v>-2.193664E-4</v>
      </c>
      <c r="K50" s="410">
        <v>6.1325909999999997E-2</v>
      </c>
      <c r="L50" s="410">
        <v>3.7539989999999998E-4</v>
      </c>
      <c r="M50" s="410">
        <v>-1.8322499999999999E-4</v>
      </c>
      <c r="N50" s="410">
        <v>4.3410669999999999E-5</v>
      </c>
      <c r="O50" s="498">
        <v>1</v>
      </c>
      <c r="P50" s="361"/>
    </row>
    <row r="51" spans="3:16" ht="24" hidden="1" thickBot="1" x14ac:dyDescent="0.4">
      <c r="C51" s="304" t="s">
        <v>102</v>
      </c>
      <c r="D51" s="369" t="s">
        <v>65</v>
      </c>
      <c r="E51" s="304">
        <v>298.14999999999998</v>
      </c>
      <c r="F51" s="305">
        <v>1500</v>
      </c>
      <c r="G51" s="426">
        <v>1.7796749999999999</v>
      </c>
      <c r="H51" s="426">
        <v>65.627989999999997</v>
      </c>
      <c r="I51" s="426">
        <v>9.8077830000000006</v>
      </c>
      <c r="J51" s="426">
        <v>-2.9475889999999998E-4</v>
      </c>
      <c r="K51" s="426">
        <v>0.1005359</v>
      </c>
      <c r="L51" s="426">
        <v>2.0750869999999999</v>
      </c>
      <c r="M51" s="426">
        <v>-5.417872</v>
      </c>
      <c r="N51" s="426">
        <v>7.2822940000000003</v>
      </c>
      <c r="O51" s="494">
        <v>1</v>
      </c>
      <c r="P51" s="487"/>
    </row>
    <row r="52" spans="3:16" hidden="1" x14ac:dyDescent="0.35">
      <c r="C52" s="302" t="s">
        <v>102</v>
      </c>
      <c r="D52" s="398" t="s">
        <v>65</v>
      </c>
      <c r="E52" s="302">
        <v>1500</v>
      </c>
      <c r="F52" s="303">
        <v>6000</v>
      </c>
      <c r="G52" s="399">
        <v>1.7796749999999999</v>
      </c>
      <c r="H52" s="399">
        <v>66.151300000000006</v>
      </c>
      <c r="I52" s="399">
        <v>9.9996779999999994</v>
      </c>
      <c r="J52" s="399">
        <v>-3.7359040000000001E-4</v>
      </c>
      <c r="K52" s="399">
        <v>0.1092219</v>
      </c>
      <c r="L52" s="399">
        <v>1.8328540000000001E-3</v>
      </c>
      <c r="M52" s="399">
        <v>-1.155547E-3</v>
      </c>
      <c r="N52" s="399">
        <v>3.7609010000000002E-4</v>
      </c>
      <c r="O52" s="496">
        <v>1</v>
      </c>
      <c r="P52" s="504"/>
    </row>
    <row r="53" spans="3:16" hidden="1" x14ac:dyDescent="0.35">
      <c r="C53" s="302" t="s">
        <v>103</v>
      </c>
      <c r="D53" s="398" t="s">
        <v>65</v>
      </c>
      <c r="E53" s="302">
        <v>298.14999999999998</v>
      </c>
      <c r="F53" s="303">
        <v>1500</v>
      </c>
      <c r="G53" s="399">
        <v>1.593137</v>
      </c>
      <c r="H53" s="399">
        <v>82.10181</v>
      </c>
      <c r="I53" s="399">
        <v>12.889200000000001</v>
      </c>
      <c r="J53" s="399">
        <v>-2.7534359999999998E-4</v>
      </c>
      <c r="K53" s="399">
        <v>0.11292489999999999</v>
      </c>
      <c r="L53" s="399">
        <v>1.2045049999999999</v>
      </c>
      <c r="M53" s="399">
        <v>-3.1549330000000002</v>
      </c>
      <c r="N53" s="399">
        <v>4.2508710000000001</v>
      </c>
      <c r="O53" s="496">
        <v>1</v>
      </c>
      <c r="P53" s="301"/>
    </row>
    <row r="54" spans="3:16" hidden="1" x14ac:dyDescent="0.35">
      <c r="C54" s="530" t="s">
        <v>103</v>
      </c>
      <c r="D54" s="536" t="s">
        <v>65</v>
      </c>
      <c r="E54" s="544">
        <v>1500</v>
      </c>
      <c r="F54" s="409">
        <v>6000</v>
      </c>
      <c r="G54" s="401">
        <v>1.593137</v>
      </c>
      <c r="H54" s="401">
        <v>82.404619999999994</v>
      </c>
      <c r="I54" s="401">
        <v>12.999980000000001</v>
      </c>
      <c r="J54" s="401">
        <v>-3.1975439999999998E-4</v>
      </c>
      <c r="K54" s="401">
        <v>0.117897</v>
      </c>
      <c r="L54" s="401">
        <v>1.496076E-3</v>
      </c>
      <c r="M54" s="401">
        <v>-1.046272E-3</v>
      </c>
      <c r="N54" s="401">
        <v>3.8618760000000001E-4</v>
      </c>
      <c r="O54" s="499">
        <v>1</v>
      </c>
      <c r="P54" s="300"/>
    </row>
    <row r="55" spans="3:16" hidden="1" x14ac:dyDescent="0.35">
      <c r="C55" s="534" t="s">
        <v>104</v>
      </c>
      <c r="D55" s="398" t="s">
        <v>65</v>
      </c>
      <c r="E55" s="302">
        <v>298.14999999999998</v>
      </c>
      <c r="F55" s="303">
        <v>1500</v>
      </c>
      <c r="G55" s="364">
        <v>1.310376</v>
      </c>
      <c r="H55" s="364">
        <v>92.080410000000001</v>
      </c>
      <c r="I55" s="364">
        <v>15.90657</v>
      </c>
      <c r="J55" s="364">
        <v>-3.1941130000000002E-4</v>
      </c>
      <c r="K55" s="364">
        <v>0.14695030000000001</v>
      </c>
      <c r="L55" s="364">
        <v>1.017784</v>
      </c>
      <c r="M55" s="364">
        <v>-2.6653210000000001</v>
      </c>
      <c r="N55" s="364">
        <v>3.5898659999999998</v>
      </c>
      <c r="O55" s="559">
        <v>1</v>
      </c>
      <c r="P55" s="301"/>
    </row>
    <row r="56" spans="3:16" hidden="1" x14ac:dyDescent="0.35">
      <c r="C56" s="302" t="s">
        <v>104</v>
      </c>
      <c r="D56" s="398" t="s">
        <v>65</v>
      </c>
      <c r="E56" s="302">
        <v>1500</v>
      </c>
      <c r="F56" s="303">
        <v>6000</v>
      </c>
      <c r="G56" s="399">
        <v>1.310376</v>
      </c>
      <c r="H56" s="399">
        <v>92.335269999999994</v>
      </c>
      <c r="I56" s="399">
        <v>15.99952</v>
      </c>
      <c r="J56" s="399">
        <v>-3.5474159999999999E-4</v>
      </c>
      <c r="K56" s="399">
        <v>0.151062</v>
      </c>
      <c r="L56" s="399">
        <v>3.4559289999999999E-3</v>
      </c>
      <c r="M56" s="399">
        <v>-2.5853989999999999E-3</v>
      </c>
      <c r="N56" s="399">
        <v>9.828650999999999E-4</v>
      </c>
      <c r="O56" s="496">
        <v>1</v>
      </c>
      <c r="P56" s="487"/>
    </row>
    <row r="57" spans="3:16" hidden="1" x14ac:dyDescent="0.35">
      <c r="C57" s="302" t="s">
        <v>105</v>
      </c>
      <c r="D57" s="398" t="s">
        <v>65</v>
      </c>
      <c r="E57" s="302">
        <v>298.14999999999998</v>
      </c>
      <c r="F57" s="303">
        <v>1500</v>
      </c>
      <c r="G57" s="399">
        <v>1.3764209999999999</v>
      </c>
      <c r="H57" s="399">
        <v>106.2873</v>
      </c>
      <c r="I57" s="399">
        <v>18.87481</v>
      </c>
      <c r="J57" s="399">
        <v>-3.9471889999999999E-4</v>
      </c>
      <c r="K57" s="399">
        <v>0.18061250000000001</v>
      </c>
      <c r="L57" s="399">
        <v>1.363551</v>
      </c>
      <c r="M57" s="399">
        <v>-3.5720109999999998</v>
      </c>
      <c r="N57" s="399">
        <v>4.8116719999999997</v>
      </c>
      <c r="O57" s="496">
        <v>1</v>
      </c>
      <c r="P57" s="487"/>
    </row>
    <row r="58" spans="3:16" hidden="1" x14ac:dyDescent="0.35">
      <c r="C58" s="302" t="s">
        <v>105</v>
      </c>
      <c r="D58" s="398" t="s">
        <v>65</v>
      </c>
      <c r="E58" s="302">
        <v>1500</v>
      </c>
      <c r="F58" s="303">
        <v>6000</v>
      </c>
      <c r="G58" s="364">
        <v>1.3764209999999999</v>
      </c>
      <c r="H58" s="364">
        <v>106.6301</v>
      </c>
      <c r="I58" s="364">
        <v>19.000219999999999</v>
      </c>
      <c r="J58" s="364">
        <v>-4.455711E-4</v>
      </c>
      <c r="K58" s="364">
        <v>0.18625030000000001</v>
      </c>
      <c r="L58" s="364">
        <v>1.466539E-3</v>
      </c>
      <c r="M58" s="364">
        <v>-9.910276E-4</v>
      </c>
      <c r="N58" s="364">
        <v>3.4599259999999998E-4</v>
      </c>
      <c r="O58" s="463">
        <v>1</v>
      </c>
      <c r="P58" s="301"/>
    </row>
    <row r="59" spans="3:16" hidden="1" x14ac:dyDescent="0.35">
      <c r="C59" s="302" t="s">
        <v>106</v>
      </c>
      <c r="D59" s="398" t="s">
        <v>65</v>
      </c>
      <c r="E59" s="302">
        <v>298.14999999999998</v>
      </c>
      <c r="F59" s="303">
        <v>1500</v>
      </c>
      <c r="G59" s="364">
        <v>1.4184099999999999</v>
      </c>
      <c r="H59" s="364">
        <v>118.3836</v>
      </c>
      <c r="I59" s="364">
        <v>21.846499999999999</v>
      </c>
      <c r="J59" s="364">
        <v>-4.55196E-4</v>
      </c>
      <c r="K59" s="364">
        <v>0.2049985</v>
      </c>
      <c r="L59" s="364">
        <v>1.669807</v>
      </c>
      <c r="M59" s="364">
        <v>-4.3705270000000001</v>
      </c>
      <c r="N59" s="364">
        <v>5.8827660000000002</v>
      </c>
      <c r="O59" s="496">
        <v>1</v>
      </c>
      <c r="P59" s="487"/>
    </row>
    <row r="60" spans="3:16" ht="24" hidden="1" thickBot="1" x14ac:dyDescent="0.4">
      <c r="C60" s="304" t="s">
        <v>106</v>
      </c>
      <c r="D60" s="402" t="s">
        <v>65</v>
      </c>
      <c r="E60" s="304">
        <v>1500</v>
      </c>
      <c r="F60" s="305">
        <v>6000</v>
      </c>
      <c r="G60" s="426">
        <v>1.4184099999999999</v>
      </c>
      <c r="H60" s="426">
        <v>118.80549999999999</v>
      </c>
      <c r="I60" s="426">
        <v>22.001380000000001</v>
      </c>
      <c r="J60" s="426">
        <v>-5.2171050000000005E-4</v>
      </c>
      <c r="K60" s="426">
        <v>0.21207509999999999</v>
      </c>
      <c r="L60" s="426">
        <v>-2.09779E-3</v>
      </c>
      <c r="M60" s="426">
        <v>1.840469E-3</v>
      </c>
      <c r="N60" s="426">
        <v>-7.697003E-4</v>
      </c>
      <c r="O60" s="494">
        <v>1</v>
      </c>
      <c r="P60" s="487"/>
    </row>
    <row r="61" spans="3:16" x14ac:dyDescent="0.35">
      <c r="C61" s="158"/>
      <c r="D61" s="158"/>
      <c r="E61" s="158"/>
      <c r="F61" s="158"/>
      <c r="G61" s="348"/>
      <c r="H61" s="348"/>
      <c r="I61" s="348"/>
      <c r="J61" s="348"/>
      <c r="K61" s="348"/>
      <c r="L61" s="348"/>
      <c r="M61" s="348"/>
      <c r="N61" s="348"/>
      <c r="P61" s="487"/>
    </row>
    <row r="62" spans="3:16" x14ac:dyDescent="0.35">
      <c r="C62" s="158"/>
      <c r="D62" s="158"/>
      <c r="E62" s="158"/>
      <c r="F62" s="158"/>
      <c r="G62" s="348"/>
      <c r="H62" s="348"/>
      <c r="I62" s="348"/>
      <c r="J62" s="348"/>
      <c r="K62" s="348"/>
      <c r="L62" s="348"/>
      <c r="M62" s="348"/>
      <c r="N62" s="348"/>
      <c r="P62" s="487"/>
    </row>
    <row r="63" spans="3:16" x14ac:dyDescent="0.35">
      <c r="C63" s="158"/>
      <c r="D63" s="158"/>
      <c r="E63" s="158"/>
      <c r="F63" s="158"/>
      <c r="G63" s="348"/>
      <c r="H63" s="348"/>
      <c r="I63" s="348"/>
      <c r="J63" s="348"/>
      <c r="K63" s="348"/>
      <c r="L63" s="348"/>
      <c r="M63" s="348"/>
      <c r="N63" s="348"/>
      <c r="P63" s="487"/>
    </row>
    <row r="64" spans="3:16" x14ac:dyDescent="0.35">
      <c r="C64" s="158"/>
      <c r="D64" s="158"/>
      <c r="E64" s="158"/>
      <c r="F64" s="158"/>
      <c r="G64" s="348"/>
      <c r="H64" s="348"/>
      <c r="I64" s="348"/>
      <c r="J64" s="348"/>
      <c r="K64" s="348"/>
      <c r="L64" s="348"/>
      <c r="M64" s="348"/>
      <c r="N64" s="348"/>
      <c r="P64" s="487"/>
    </row>
    <row r="65" spans="3:16" x14ac:dyDescent="0.35">
      <c r="C65" s="158"/>
      <c r="D65" s="158"/>
      <c r="E65" s="158"/>
      <c r="F65" s="158"/>
      <c r="G65" s="348"/>
      <c r="H65" s="348"/>
      <c r="I65" s="348"/>
      <c r="J65" s="348"/>
      <c r="K65" s="348"/>
      <c r="L65" s="348"/>
      <c r="M65" s="348"/>
      <c r="N65" s="348"/>
      <c r="P65" s="487"/>
    </row>
    <row r="66" spans="3:16" x14ac:dyDescent="0.35">
      <c r="C66" s="158"/>
      <c r="D66" s="158"/>
      <c r="E66" s="158"/>
      <c r="F66" s="158"/>
      <c r="G66" s="348"/>
      <c r="H66" s="348"/>
      <c r="I66" s="348"/>
      <c r="J66" s="348"/>
      <c r="K66" s="348"/>
      <c r="L66" s="348"/>
      <c r="M66" s="348"/>
      <c r="N66" s="348"/>
      <c r="P66" s="487"/>
    </row>
    <row r="67" spans="3:16" x14ac:dyDescent="0.35">
      <c r="C67" s="158"/>
      <c r="D67" s="158"/>
      <c r="E67" s="158"/>
      <c r="F67" s="158"/>
      <c r="G67" s="348"/>
      <c r="H67" s="348"/>
      <c r="I67" s="348"/>
      <c r="J67" s="348"/>
      <c r="K67" s="348"/>
      <c r="L67" s="348"/>
      <c r="M67" s="348"/>
      <c r="N67" s="348"/>
      <c r="P67" s="487"/>
    </row>
    <row r="68" spans="3:16" x14ac:dyDescent="0.35">
      <c r="C68" s="158"/>
      <c r="D68" s="158"/>
      <c r="E68" s="158"/>
      <c r="F68" s="158"/>
      <c r="G68" s="348"/>
      <c r="H68" s="348"/>
      <c r="I68" s="348"/>
      <c r="J68" s="348"/>
      <c r="K68" s="348"/>
      <c r="L68" s="348"/>
      <c r="M68" s="348"/>
      <c r="N68" s="348"/>
      <c r="P68" s="487"/>
    </row>
    <row r="69" spans="3:16" x14ac:dyDescent="0.35">
      <c r="C69" s="158"/>
      <c r="D69" s="158"/>
      <c r="E69" s="158"/>
      <c r="F69" s="158"/>
      <c r="G69" s="348"/>
      <c r="H69" s="348"/>
      <c r="I69" s="348"/>
      <c r="J69" s="348"/>
      <c r="K69" s="348"/>
      <c r="L69" s="348"/>
      <c r="M69" s="348"/>
      <c r="N69" s="348"/>
      <c r="P69" s="487"/>
    </row>
    <row r="70" spans="3:16" x14ac:dyDescent="0.35">
      <c r="C70" s="158"/>
      <c r="D70" s="158"/>
      <c r="E70" s="158"/>
      <c r="F70" s="158"/>
      <c r="G70" s="348"/>
      <c r="H70" s="348"/>
      <c r="I70" s="348"/>
      <c r="J70" s="348"/>
      <c r="K70" s="348"/>
      <c r="L70" s="348"/>
      <c r="M70" s="348"/>
      <c r="N70" s="348"/>
      <c r="P70" s="487"/>
    </row>
    <row r="71" spans="3:16" x14ac:dyDescent="0.35">
      <c r="C71" s="158"/>
      <c r="D71" s="158"/>
      <c r="E71" s="158"/>
      <c r="F71" s="158"/>
      <c r="G71" s="348"/>
      <c r="H71" s="348"/>
      <c r="I71" s="348"/>
      <c r="J71" s="348"/>
      <c r="K71" s="348"/>
      <c r="L71" s="348"/>
      <c r="M71" s="348"/>
      <c r="N71" s="348"/>
      <c r="P71" s="487"/>
    </row>
    <row r="72" spans="3:16" x14ac:dyDescent="0.35">
      <c r="C72" s="158"/>
      <c r="D72" s="158"/>
      <c r="E72" s="158"/>
      <c r="F72" s="158"/>
      <c r="G72" s="348"/>
      <c r="H72" s="348"/>
      <c r="I72" s="348"/>
      <c r="J72" s="348"/>
      <c r="K72" s="348"/>
      <c r="L72" s="348"/>
      <c r="M72" s="348"/>
      <c r="N72" s="348"/>
      <c r="P72" s="487"/>
    </row>
    <row r="73" spans="3:16" x14ac:dyDescent="0.35">
      <c r="C73" s="158"/>
      <c r="D73" s="158"/>
      <c r="E73" s="158"/>
      <c r="F73" s="158"/>
      <c r="G73" s="348"/>
      <c r="H73" s="348"/>
      <c r="I73" s="348"/>
      <c r="J73" s="348"/>
      <c r="K73" s="348"/>
      <c r="L73" s="348"/>
      <c r="M73" s="348"/>
      <c r="N73" s="348"/>
      <c r="P73" s="487"/>
    </row>
    <row r="74" spans="3:16" x14ac:dyDescent="0.35">
      <c r="C74" s="158"/>
      <c r="D74" s="158"/>
      <c r="E74" s="158"/>
      <c r="F74" s="158"/>
      <c r="G74" s="348"/>
      <c r="H74" s="348"/>
      <c r="I74" s="348"/>
      <c r="J74" s="348"/>
      <c r="K74" s="348"/>
      <c r="L74" s="348"/>
      <c r="M74" s="348"/>
      <c r="N74" s="348"/>
      <c r="P74" s="487"/>
    </row>
    <row r="75" spans="3:16" x14ac:dyDescent="0.35">
      <c r="C75" s="158"/>
      <c r="D75" s="158"/>
      <c r="E75" s="158"/>
      <c r="F75" s="158"/>
      <c r="G75" s="348"/>
      <c r="H75" s="348"/>
      <c r="I75" s="348"/>
      <c r="J75" s="348"/>
      <c r="K75" s="348"/>
      <c r="L75" s="348"/>
      <c r="M75" s="348"/>
      <c r="N75" s="348"/>
      <c r="P75" s="487"/>
    </row>
    <row r="76" spans="3:16" x14ac:dyDescent="0.35">
      <c r="C76" s="158"/>
      <c r="D76" s="158"/>
      <c r="E76" s="158"/>
      <c r="F76" s="158"/>
      <c r="G76" s="348"/>
      <c r="H76" s="348"/>
      <c r="I76" s="348"/>
      <c r="J76" s="348"/>
      <c r="K76" s="348"/>
      <c r="L76" s="348"/>
      <c r="M76" s="348"/>
      <c r="N76" s="348"/>
      <c r="P76" s="487"/>
    </row>
    <row r="77" spans="3:16" x14ac:dyDescent="0.35">
      <c r="C77" s="158"/>
      <c r="D77" s="158"/>
      <c r="E77" s="158"/>
      <c r="F77" s="158"/>
      <c r="G77" s="348"/>
      <c r="H77" s="348"/>
      <c r="I77" s="348"/>
      <c r="J77" s="348"/>
      <c r="K77" s="348"/>
      <c r="L77" s="348"/>
      <c r="M77" s="348"/>
      <c r="N77" s="348"/>
      <c r="P77" s="487"/>
    </row>
    <row r="78" spans="3:16" x14ac:dyDescent="0.35">
      <c r="C78" s="158"/>
      <c r="D78" s="158"/>
      <c r="E78" s="158"/>
      <c r="F78" s="158"/>
      <c r="G78" s="348"/>
      <c r="H78" s="348"/>
      <c r="I78" s="348"/>
      <c r="J78" s="348"/>
      <c r="K78" s="348"/>
      <c r="L78" s="348"/>
      <c r="M78" s="348"/>
      <c r="N78" s="348"/>
      <c r="P78" s="487"/>
    </row>
    <row r="79" spans="3:16" x14ac:dyDescent="0.35">
      <c r="C79" s="158"/>
      <c r="D79" s="158"/>
      <c r="E79" s="158"/>
      <c r="F79" s="158"/>
      <c r="G79" s="348"/>
      <c r="H79" s="348"/>
      <c r="I79" s="348"/>
      <c r="J79" s="348"/>
      <c r="K79" s="348"/>
      <c r="L79" s="348"/>
      <c r="M79" s="348"/>
      <c r="N79" s="348"/>
      <c r="P79" s="487"/>
    </row>
    <row r="80" spans="3:16" x14ac:dyDescent="0.35">
      <c r="C80" s="158"/>
      <c r="D80" s="158"/>
      <c r="E80" s="158"/>
      <c r="F80" s="158"/>
      <c r="G80" s="348"/>
      <c r="H80" s="348"/>
      <c r="I80" s="348"/>
      <c r="J80" s="348"/>
      <c r="K80" s="348"/>
      <c r="L80" s="348"/>
      <c r="M80" s="348"/>
      <c r="N80" s="348"/>
      <c r="P80" s="487"/>
    </row>
    <row r="81" spans="3:16" x14ac:dyDescent="0.35">
      <c r="C81" s="158"/>
      <c r="D81" s="158"/>
      <c r="E81" s="158"/>
      <c r="F81" s="158"/>
      <c r="G81" s="348"/>
      <c r="H81" s="348"/>
      <c r="I81" s="348"/>
      <c r="J81" s="348"/>
      <c r="K81" s="348"/>
      <c r="L81" s="348"/>
      <c r="M81" s="348"/>
      <c r="N81" s="348"/>
      <c r="P81" s="487"/>
    </row>
    <row r="82" spans="3:16" x14ac:dyDescent="0.35">
      <c r="C82" s="158"/>
      <c r="D82" s="158"/>
      <c r="E82" s="158"/>
      <c r="F82" s="158"/>
      <c r="G82" s="348"/>
      <c r="H82" s="348"/>
      <c r="I82" s="348"/>
      <c r="J82" s="348"/>
      <c r="K82" s="348"/>
      <c r="L82" s="348"/>
      <c r="M82" s="348"/>
      <c r="N82" s="348"/>
      <c r="P82" s="487"/>
    </row>
    <row r="83" spans="3:16" x14ac:dyDescent="0.35">
      <c r="C83" s="158"/>
      <c r="D83" s="158"/>
      <c r="E83" s="158"/>
      <c r="F83" s="158"/>
      <c r="G83" s="348"/>
      <c r="H83" s="348"/>
      <c r="I83" s="348"/>
      <c r="J83" s="348"/>
      <c r="K83" s="348"/>
      <c r="L83" s="348"/>
      <c r="M83" s="348"/>
      <c r="N83" s="348"/>
      <c r="P83" s="487"/>
    </row>
    <row r="84" spans="3:16" x14ac:dyDescent="0.35">
      <c r="C84" s="158"/>
      <c r="D84" s="158"/>
      <c r="E84" s="158"/>
      <c r="F84" s="158"/>
      <c r="G84" s="348"/>
      <c r="H84" s="348"/>
      <c r="I84" s="348"/>
      <c r="J84" s="348"/>
      <c r="K84" s="348"/>
      <c r="L84" s="348"/>
      <c r="M84" s="348"/>
      <c r="N84" s="348"/>
      <c r="P84" s="487"/>
    </row>
    <row r="85" spans="3:16" x14ac:dyDescent="0.35">
      <c r="C85" s="158"/>
      <c r="D85" s="158"/>
      <c r="E85" s="158"/>
      <c r="F85" s="158"/>
      <c r="G85" s="348"/>
      <c r="H85" s="348"/>
      <c r="I85" s="348"/>
      <c r="J85" s="348"/>
      <c r="K85" s="348"/>
      <c r="L85" s="348"/>
      <c r="M85" s="348"/>
      <c r="N85" s="348"/>
      <c r="P85" s="487"/>
    </row>
    <row r="86" spans="3:16" x14ac:dyDescent="0.35">
      <c r="C86" s="158"/>
      <c r="D86" s="158"/>
      <c r="E86" s="158"/>
      <c r="F86" s="158"/>
      <c r="G86" s="348"/>
      <c r="H86" s="348"/>
      <c r="I86" s="348"/>
      <c r="J86" s="348"/>
      <c r="K86" s="348"/>
      <c r="L86" s="348"/>
      <c r="M86" s="348"/>
      <c r="N86" s="348"/>
      <c r="P86" s="487"/>
    </row>
    <row r="87" spans="3:16" x14ac:dyDescent="0.35">
      <c r="C87" s="158"/>
      <c r="D87" s="158"/>
      <c r="E87" s="158"/>
      <c r="F87" s="158"/>
      <c r="G87" s="348"/>
      <c r="H87" s="348"/>
      <c r="I87" s="348"/>
      <c r="J87" s="348"/>
      <c r="K87" s="348"/>
      <c r="L87" s="348"/>
      <c r="M87" s="348"/>
      <c r="N87" s="348"/>
      <c r="P87" s="487"/>
    </row>
    <row r="88" spans="3:16" x14ac:dyDescent="0.35">
      <c r="C88" s="158"/>
      <c r="D88" s="158"/>
      <c r="E88" s="158"/>
      <c r="F88" s="158"/>
      <c r="G88" s="348"/>
      <c r="H88" s="348"/>
      <c r="I88" s="348"/>
      <c r="J88" s="348"/>
      <c r="K88" s="348"/>
      <c r="L88" s="348"/>
      <c r="M88" s="348"/>
      <c r="N88" s="348"/>
      <c r="P88" s="487"/>
    </row>
    <row r="89" spans="3:16" x14ac:dyDescent="0.35">
      <c r="C89" s="158"/>
      <c r="D89" s="158"/>
      <c r="E89" s="158"/>
      <c r="F89" s="158"/>
      <c r="G89" s="348"/>
      <c r="H89" s="348"/>
      <c r="I89" s="348"/>
      <c r="J89" s="348"/>
      <c r="K89" s="348"/>
      <c r="L89" s="348"/>
      <c r="M89" s="348"/>
      <c r="N89" s="348"/>
      <c r="P89" s="487"/>
    </row>
    <row r="90" spans="3:16" x14ac:dyDescent="0.35">
      <c r="C90" s="158"/>
      <c r="D90" s="158"/>
      <c r="E90" s="158"/>
      <c r="F90" s="158"/>
      <c r="G90" s="348"/>
      <c r="H90" s="348"/>
      <c r="I90" s="348"/>
      <c r="J90" s="348"/>
      <c r="K90" s="348"/>
      <c r="L90" s="348"/>
      <c r="M90" s="348"/>
      <c r="N90" s="348"/>
      <c r="P90" s="487"/>
    </row>
    <row r="91" spans="3:16" x14ac:dyDescent="0.35">
      <c r="C91" s="158"/>
      <c r="D91" s="158"/>
      <c r="E91" s="158"/>
      <c r="F91" s="158"/>
      <c r="G91" s="348"/>
      <c r="H91" s="348"/>
      <c r="I91" s="348"/>
      <c r="J91" s="348"/>
      <c r="K91" s="348"/>
      <c r="L91" s="348"/>
      <c r="M91" s="348"/>
      <c r="N91" s="348"/>
      <c r="P91" s="487"/>
    </row>
    <row r="92" spans="3:16" x14ac:dyDescent="0.35">
      <c r="C92" s="158"/>
      <c r="D92" s="158"/>
      <c r="E92" s="158"/>
      <c r="F92" s="158"/>
      <c r="G92" s="348"/>
      <c r="H92" s="348"/>
      <c r="I92" s="348"/>
      <c r="J92" s="348"/>
      <c r="K92" s="348"/>
      <c r="L92" s="348"/>
      <c r="M92" s="348"/>
      <c r="N92" s="348"/>
      <c r="P92" s="487"/>
    </row>
    <row r="93" spans="3:16" x14ac:dyDescent="0.35">
      <c r="C93" s="158"/>
      <c r="D93" s="158"/>
      <c r="E93" s="158"/>
      <c r="F93" s="158"/>
      <c r="G93" s="348"/>
      <c r="H93" s="348"/>
      <c r="I93" s="348"/>
      <c r="J93" s="348"/>
      <c r="K93" s="348"/>
      <c r="L93" s="348"/>
      <c r="M93" s="348"/>
      <c r="N93" s="348"/>
      <c r="P93" s="487"/>
    </row>
    <row r="94" spans="3:16" x14ac:dyDescent="0.35">
      <c r="C94" s="158"/>
      <c r="D94" s="158"/>
      <c r="E94" s="158"/>
      <c r="F94" s="158"/>
      <c r="G94" s="348"/>
      <c r="H94" s="348"/>
      <c r="I94" s="348"/>
      <c r="J94" s="348"/>
      <c r="K94" s="348"/>
      <c r="L94" s="348"/>
      <c r="M94" s="348"/>
      <c r="N94" s="348"/>
      <c r="P94" s="487"/>
    </row>
    <row r="95" spans="3:16" x14ac:dyDescent="0.35">
      <c r="C95" s="158"/>
      <c r="D95" s="158"/>
      <c r="E95" s="158"/>
      <c r="F95" s="158"/>
      <c r="G95" s="348"/>
      <c r="H95" s="348"/>
      <c r="I95" s="348"/>
      <c r="J95" s="348"/>
      <c r="K95" s="348"/>
      <c r="L95" s="348"/>
      <c r="M95" s="348"/>
      <c r="N95" s="348"/>
      <c r="P95" s="487"/>
    </row>
    <row r="96" spans="3:16" x14ac:dyDescent="0.35">
      <c r="C96" s="158"/>
      <c r="D96" s="158"/>
      <c r="E96" s="158"/>
      <c r="F96" s="158"/>
      <c r="G96" s="348"/>
      <c r="H96" s="348"/>
      <c r="I96" s="348"/>
      <c r="J96" s="348"/>
      <c r="K96" s="348"/>
      <c r="L96" s="348"/>
      <c r="M96" s="348"/>
      <c r="N96" s="348"/>
      <c r="P96" s="487"/>
    </row>
    <row r="97" spans="3:16" x14ac:dyDescent="0.35">
      <c r="C97" s="158"/>
      <c r="D97" s="158"/>
      <c r="E97" s="158"/>
      <c r="F97" s="158"/>
      <c r="G97" s="348"/>
      <c r="H97" s="348"/>
      <c r="I97" s="348"/>
      <c r="J97" s="348"/>
      <c r="K97" s="348"/>
      <c r="L97" s="348"/>
      <c r="M97" s="348"/>
      <c r="N97" s="348"/>
      <c r="P97" s="487"/>
    </row>
    <row r="98" spans="3:16" x14ac:dyDescent="0.35">
      <c r="C98" s="158"/>
      <c r="D98" s="158"/>
      <c r="E98" s="158"/>
      <c r="F98" s="158"/>
      <c r="G98" s="348"/>
      <c r="H98" s="348"/>
      <c r="I98" s="348"/>
      <c r="J98" s="348"/>
      <c r="K98" s="348"/>
      <c r="L98" s="348"/>
      <c r="M98" s="348"/>
      <c r="N98" s="348"/>
      <c r="P98" s="487"/>
    </row>
    <row r="99" spans="3:16" x14ac:dyDescent="0.35">
      <c r="C99" s="158"/>
      <c r="D99" s="158"/>
      <c r="E99" s="158"/>
      <c r="F99" s="158"/>
      <c r="G99" s="348"/>
      <c r="H99" s="348"/>
      <c r="I99" s="348"/>
      <c r="J99" s="348"/>
      <c r="K99" s="348"/>
      <c r="L99" s="348"/>
      <c r="M99" s="348"/>
      <c r="N99" s="348"/>
    </row>
    <row r="100" spans="3:16" x14ac:dyDescent="0.35">
      <c r="C100" s="158"/>
      <c r="D100" s="158"/>
      <c r="E100" s="158"/>
      <c r="F100" s="158"/>
      <c r="G100" s="348"/>
      <c r="H100" s="348"/>
      <c r="I100" s="348"/>
      <c r="J100" s="348"/>
      <c r="K100" s="348"/>
      <c r="L100" s="348"/>
      <c r="M100" s="348"/>
      <c r="N100" s="348"/>
    </row>
    <row r="101" spans="3:16" x14ac:dyDescent="0.35">
      <c r="C101" s="158"/>
      <c r="D101" s="158"/>
      <c r="E101" s="158"/>
      <c r="F101" s="158"/>
      <c r="G101" s="348"/>
      <c r="H101" s="348"/>
      <c r="I101" s="348"/>
      <c r="J101" s="348"/>
      <c r="K101" s="348"/>
      <c r="L101" s="348"/>
      <c r="M101" s="348"/>
      <c r="N101" s="348"/>
    </row>
    <row r="102" spans="3:16" x14ac:dyDescent="0.35">
      <c r="C102" s="158"/>
      <c r="D102" s="158"/>
      <c r="E102" s="158"/>
      <c r="F102" s="158"/>
      <c r="G102" s="348"/>
      <c r="H102" s="348"/>
      <c r="I102" s="348"/>
      <c r="J102" s="348"/>
      <c r="K102" s="348"/>
      <c r="L102" s="348"/>
      <c r="M102" s="348"/>
      <c r="N102" s="348"/>
    </row>
    <row r="103" spans="3:16" x14ac:dyDescent="0.35">
      <c r="C103" s="158"/>
      <c r="D103" s="158"/>
      <c r="E103" s="158"/>
      <c r="F103" s="158"/>
      <c r="G103" s="348"/>
      <c r="H103" s="348"/>
      <c r="I103" s="348"/>
      <c r="J103" s="348"/>
      <c r="K103" s="348"/>
      <c r="L103" s="348"/>
      <c r="M103" s="348"/>
      <c r="N103" s="348"/>
    </row>
    <row r="104" spans="3:16" x14ac:dyDescent="0.35">
      <c r="C104" s="158"/>
      <c r="D104" s="158"/>
      <c r="E104" s="158"/>
      <c r="F104" s="158"/>
      <c r="G104" s="348"/>
      <c r="H104" s="348"/>
      <c r="I104" s="348"/>
      <c r="J104" s="348"/>
      <c r="K104" s="348"/>
      <c r="L104" s="348"/>
      <c r="M104" s="348"/>
      <c r="N104" s="348"/>
    </row>
    <row r="105" spans="3:16" x14ac:dyDescent="0.35">
      <c r="C105" s="158"/>
      <c r="D105" s="158"/>
      <c r="E105" s="158"/>
      <c r="F105" s="158"/>
      <c r="G105" s="348"/>
      <c r="H105" s="348"/>
      <c r="I105" s="348"/>
      <c r="J105" s="348"/>
      <c r="K105" s="348"/>
      <c r="L105" s="348"/>
      <c r="M105" s="348"/>
      <c r="N105" s="348"/>
    </row>
    <row r="106" spans="3:16" x14ac:dyDescent="0.35">
      <c r="C106" s="158"/>
      <c r="D106" s="158"/>
      <c r="E106" s="158"/>
      <c r="F106" s="158"/>
      <c r="G106" s="348"/>
      <c r="H106" s="348"/>
      <c r="I106" s="348"/>
      <c r="J106" s="348"/>
      <c r="K106" s="348"/>
      <c r="L106" s="348"/>
      <c r="M106" s="348"/>
      <c r="N106" s="348"/>
    </row>
    <row r="107" spans="3:16" x14ac:dyDescent="0.35">
      <c r="C107" s="158"/>
      <c r="D107" s="158"/>
      <c r="E107" s="158"/>
      <c r="F107" s="158"/>
      <c r="G107" s="348"/>
      <c r="H107" s="348"/>
      <c r="I107" s="348"/>
      <c r="J107" s="348"/>
      <c r="K107" s="348"/>
      <c r="L107" s="348"/>
      <c r="M107" s="348"/>
      <c r="N107" s="348"/>
    </row>
    <row r="108" spans="3:16" x14ac:dyDescent="0.35">
      <c r="C108" s="158"/>
      <c r="D108" s="158"/>
      <c r="E108" s="158"/>
      <c r="F108" s="158"/>
      <c r="G108" s="348"/>
      <c r="H108" s="348"/>
      <c r="I108" s="348"/>
      <c r="J108" s="348"/>
      <c r="K108" s="348"/>
      <c r="L108" s="348"/>
      <c r="M108" s="348"/>
      <c r="N108" s="348"/>
    </row>
    <row r="109" spans="3:16" x14ac:dyDescent="0.35">
      <c r="C109" s="158"/>
      <c r="D109" s="158"/>
      <c r="E109" s="158"/>
      <c r="F109" s="158"/>
      <c r="G109" s="348"/>
      <c r="H109" s="348"/>
      <c r="I109" s="348"/>
      <c r="J109" s="348"/>
      <c r="K109" s="348"/>
      <c r="L109" s="348"/>
      <c r="M109" s="348"/>
      <c r="N109" s="348"/>
    </row>
    <row r="110" spans="3:16" x14ac:dyDescent="0.35">
      <c r="C110" s="158"/>
      <c r="D110" s="158"/>
      <c r="E110" s="158"/>
      <c r="F110" s="158"/>
      <c r="G110" s="348"/>
      <c r="H110" s="348"/>
      <c r="I110" s="348"/>
      <c r="J110" s="348"/>
      <c r="K110" s="348"/>
      <c r="L110" s="348"/>
      <c r="M110" s="348"/>
      <c r="N110" s="348"/>
    </row>
    <row r="111" spans="3:16" x14ac:dyDescent="0.35">
      <c r="C111" s="158"/>
      <c r="D111" s="158"/>
      <c r="E111" s="158"/>
      <c r="F111" s="158"/>
      <c r="G111" s="348"/>
      <c r="H111" s="348"/>
      <c r="I111" s="348"/>
      <c r="J111" s="348"/>
      <c r="K111" s="348"/>
      <c r="L111" s="348"/>
      <c r="M111" s="348"/>
      <c r="N111" s="348"/>
    </row>
    <row r="112" spans="3:16" x14ac:dyDescent="0.35">
      <c r="C112" s="158"/>
      <c r="D112" s="158"/>
      <c r="E112" s="158"/>
      <c r="F112" s="158"/>
      <c r="G112" s="348"/>
      <c r="H112" s="348"/>
      <c r="I112" s="348"/>
      <c r="J112" s="348"/>
      <c r="K112" s="348"/>
      <c r="L112" s="348"/>
      <c r="M112" s="348"/>
      <c r="N112" s="348"/>
    </row>
    <row r="113" spans="3:14" x14ac:dyDescent="0.35">
      <c r="C113" s="158"/>
      <c r="D113" s="158"/>
      <c r="E113" s="158"/>
      <c r="F113" s="158"/>
      <c r="G113" s="348"/>
      <c r="H113" s="348"/>
      <c r="I113" s="348"/>
      <c r="J113" s="348"/>
      <c r="K113" s="348"/>
      <c r="L113" s="348"/>
      <c r="M113" s="348"/>
      <c r="N113" s="348"/>
    </row>
    <row r="114" spans="3:14" x14ac:dyDescent="0.35">
      <c r="C114" s="158"/>
      <c r="D114" s="158"/>
      <c r="E114" s="158"/>
      <c r="F114" s="158"/>
      <c r="G114" s="348"/>
      <c r="H114" s="348"/>
      <c r="I114" s="348"/>
      <c r="J114" s="348"/>
      <c r="K114" s="348"/>
      <c r="L114" s="348"/>
      <c r="M114" s="348"/>
      <c r="N114" s="348"/>
    </row>
    <row r="115" spans="3:14" x14ac:dyDescent="0.35">
      <c r="C115" s="158"/>
      <c r="D115" s="158"/>
      <c r="E115" s="158"/>
      <c r="F115" s="158"/>
      <c r="G115" s="348"/>
      <c r="H115" s="348"/>
      <c r="I115" s="348"/>
      <c r="J115" s="348"/>
      <c r="K115" s="348"/>
      <c r="L115" s="348"/>
      <c r="M115" s="348"/>
      <c r="N115" s="348"/>
    </row>
    <row r="116" spans="3:14" x14ac:dyDescent="0.35">
      <c r="C116" s="158"/>
      <c r="D116" s="158"/>
      <c r="E116" s="158"/>
      <c r="F116" s="158"/>
      <c r="G116" s="348"/>
      <c r="H116" s="348"/>
      <c r="I116" s="348"/>
      <c r="J116" s="348"/>
      <c r="K116" s="348"/>
      <c r="L116" s="348"/>
      <c r="M116" s="348"/>
      <c r="N116" s="348"/>
    </row>
    <row r="117" spans="3:14" x14ac:dyDescent="0.35">
      <c r="C117" s="158"/>
      <c r="D117" s="158"/>
      <c r="E117" s="158"/>
      <c r="F117" s="158"/>
      <c r="G117" s="348"/>
      <c r="H117" s="348"/>
      <c r="I117" s="348"/>
      <c r="J117" s="348"/>
      <c r="K117" s="348"/>
      <c r="L117" s="348"/>
      <c r="M117" s="348"/>
      <c r="N117" s="348"/>
    </row>
    <row r="118" spans="3:14" x14ac:dyDescent="0.35">
      <c r="C118" s="158"/>
      <c r="D118" s="158"/>
      <c r="E118" s="158"/>
      <c r="F118" s="158"/>
      <c r="G118" s="348"/>
      <c r="H118" s="348"/>
      <c r="I118" s="348"/>
      <c r="J118" s="348"/>
      <c r="K118" s="348"/>
      <c r="L118" s="348"/>
      <c r="M118" s="348"/>
      <c r="N118" s="348"/>
    </row>
    <row r="119" spans="3:14" x14ac:dyDescent="0.35">
      <c r="C119" s="158"/>
      <c r="D119" s="158"/>
      <c r="E119" s="158"/>
      <c r="F119" s="158"/>
      <c r="G119" s="348"/>
      <c r="H119" s="348"/>
      <c r="I119" s="348"/>
      <c r="J119" s="348"/>
      <c r="K119" s="348"/>
      <c r="L119" s="348"/>
      <c r="M119" s="348"/>
      <c r="N119" s="348"/>
    </row>
    <row r="120" spans="3:14" x14ac:dyDescent="0.35">
      <c r="C120" s="158"/>
      <c r="D120" s="158"/>
      <c r="E120" s="158"/>
      <c r="F120" s="158"/>
      <c r="G120" s="348"/>
      <c r="H120" s="348"/>
      <c r="I120" s="348"/>
      <c r="J120" s="348"/>
      <c r="K120" s="348"/>
      <c r="L120" s="348"/>
      <c r="M120" s="348"/>
      <c r="N120" s="348"/>
    </row>
    <row r="121" spans="3:14" x14ac:dyDescent="0.35">
      <c r="C121" s="158"/>
      <c r="D121" s="158"/>
      <c r="E121" s="158"/>
      <c r="F121" s="158"/>
      <c r="G121" s="348"/>
      <c r="H121" s="348"/>
      <c r="I121" s="348"/>
      <c r="J121" s="348"/>
      <c r="K121" s="348"/>
      <c r="L121" s="348"/>
      <c r="M121" s="348"/>
      <c r="N121" s="348"/>
    </row>
    <row r="122" spans="3:14" x14ac:dyDescent="0.35">
      <c r="C122" s="158"/>
      <c r="D122" s="158"/>
      <c r="E122" s="158"/>
      <c r="F122" s="158"/>
      <c r="G122" s="348"/>
      <c r="H122" s="348"/>
      <c r="I122" s="348"/>
      <c r="J122" s="348"/>
      <c r="K122" s="348"/>
      <c r="L122" s="348"/>
      <c r="M122" s="348"/>
      <c r="N122" s="348"/>
    </row>
    <row r="123" spans="3:14" x14ac:dyDescent="0.35">
      <c r="C123" s="158"/>
      <c r="D123" s="158"/>
      <c r="E123" s="158"/>
      <c r="F123" s="158"/>
      <c r="G123" s="348"/>
      <c r="H123" s="348"/>
      <c r="I123" s="348"/>
      <c r="J123" s="348"/>
      <c r="K123" s="348"/>
      <c r="L123" s="348"/>
      <c r="M123" s="348"/>
      <c r="N123" s="348"/>
    </row>
    <row r="124" spans="3:14" x14ac:dyDescent="0.35">
      <c r="C124" s="158"/>
      <c r="D124" s="158"/>
      <c r="E124" s="158"/>
      <c r="F124" s="158"/>
      <c r="G124" s="348"/>
      <c r="H124" s="348"/>
      <c r="I124" s="348"/>
      <c r="J124" s="348"/>
      <c r="K124" s="348"/>
      <c r="L124" s="348"/>
      <c r="M124" s="348"/>
      <c r="N124" s="348"/>
    </row>
    <row r="125" spans="3:14" x14ac:dyDescent="0.35">
      <c r="C125" s="158"/>
      <c r="D125" s="158"/>
      <c r="E125" s="158"/>
      <c r="F125" s="158"/>
      <c r="G125" s="348"/>
      <c r="H125" s="348"/>
      <c r="I125" s="348"/>
      <c r="J125" s="348"/>
      <c r="K125" s="348"/>
      <c r="L125" s="348"/>
      <c r="M125" s="348"/>
      <c r="N125" s="348"/>
    </row>
    <row r="126" spans="3:14" x14ac:dyDescent="0.35">
      <c r="C126" s="158"/>
      <c r="D126" s="158"/>
      <c r="E126" s="158"/>
      <c r="F126" s="158"/>
      <c r="G126" s="348"/>
      <c r="H126" s="348"/>
      <c r="I126" s="348"/>
      <c r="J126" s="348"/>
      <c r="K126" s="348"/>
      <c r="L126" s="348"/>
      <c r="M126" s="348"/>
      <c r="N126" s="348"/>
    </row>
    <row r="127" spans="3:14" x14ac:dyDescent="0.35">
      <c r="C127" s="158"/>
      <c r="D127" s="158"/>
      <c r="E127" s="158"/>
      <c r="F127" s="158"/>
      <c r="G127" s="348"/>
      <c r="H127" s="348"/>
      <c r="I127" s="348"/>
      <c r="J127" s="348"/>
      <c r="K127" s="348"/>
      <c r="L127" s="348"/>
      <c r="M127" s="348"/>
      <c r="N127" s="348"/>
    </row>
    <row r="128" spans="3:14" x14ac:dyDescent="0.35">
      <c r="C128" s="158"/>
      <c r="D128" s="158"/>
      <c r="E128" s="158"/>
      <c r="F128" s="158"/>
      <c r="G128" s="348"/>
      <c r="H128" s="348"/>
      <c r="I128" s="348"/>
      <c r="J128" s="348"/>
      <c r="K128" s="348"/>
      <c r="L128" s="348"/>
      <c r="M128" s="348"/>
      <c r="N128" s="348"/>
    </row>
    <row r="129" spans="3:14" x14ac:dyDescent="0.35">
      <c r="C129" s="158"/>
      <c r="D129" s="158"/>
      <c r="E129" s="158"/>
      <c r="F129" s="158"/>
      <c r="G129" s="348"/>
      <c r="H129" s="348"/>
      <c r="I129" s="348"/>
      <c r="J129" s="348"/>
      <c r="K129" s="348"/>
      <c r="L129" s="348"/>
      <c r="M129" s="348"/>
      <c r="N129" s="348"/>
    </row>
    <row r="130" spans="3:14" x14ac:dyDescent="0.35">
      <c r="C130" s="158"/>
      <c r="D130" s="158"/>
      <c r="E130" s="158"/>
      <c r="F130" s="158"/>
      <c r="G130" s="348"/>
      <c r="H130" s="348"/>
      <c r="I130" s="348"/>
      <c r="J130" s="348"/>
      <c r="K130" s="348"/>
      <c r="L130" s="348"/>
      <c r="M130" s="348"/>
      <c r="N130" s="348"/>
    </row>
    <row r="131" spans="3:14" x14ac:dyDescent="0.35">
      <c r="C131" s="158"/>
      <c r="D131" s="158"/>
      <c r="E131" s="158"/>
      <c r="F131" s="158"/>
      <c r="G131" s="348"/>
      <c r="H131" s="348"/>
      <c r="I131" s="348"/>
      <c r="J131" s="348"/>
      <c r="K131" s="348"/>
      <c r="L131" s="348"/>
      <c r="M131" s="348"/>
      <c r="N131" s="348"/>
    </row>
    <row r="132" spans="3:14" x14ac:dyDescent="0.35">
      <c r="C132" s="158"/>
      <c r="D132" s="158"/>
      <c r="E132" s="158"/>
      <c r="F132" s="158"/>
      <c r="G132" s="348"/>
      <c r="H132" s="348"/>
      <c r="I132" s="348"/>
      <c r="J132" s="348"/>
      <c r="K132" s="348"/>
      <c r="L132" s="348"/>
      <c r="M132" s="348"/>
      <c r="N132" s="348"/>
    </row>
    <row r="133" spans="3:14" x14ac:dyDescent="0.35">
      <c r="C133" s="158"/>
      <c r="D133" s="158"/>
      <c r="E133" s="158"/>
      <c r="F133" s="158"/>
      <c r="G133" s="348"/>
      <c r="H133" s="348"/>
      <c r="I133" s="348"/>
      <c r="J133" s="348"/>
      <c r="K133" s="348"/>
      <c r="L133" s="348"/>
      <c r="M133" s="348"/>
      <c r="N133" s="348"/>
    </row>
    <row r="134" spans="3:14" x14ac:dyDescent="0.35">
      <c r="C134" s="158"/>
      <c r="D134" s="158"/>
      <c r="E134" s="158"/>
      <c r="F134" s="158"/>
      <c r="G134" s="348"/>
      <c r="H134" s="348"/>
      <c r="I134" s="348"/>
      <c r="J134" s="348"/>
      <c r="K134" s="348"/>
      <c r="L134" s="348"/>
      <c r="M134" s="348"/>
      <c r="N134" s="348"/>
    </row>
    <row r="135" spans="3:14" x14ac:dyDescent="0.35">
      <c r="C135" s="158"/>
      <c r="D135" s="158"/>
      <c r="E135" s="158"/>
      <c r="F135" s="158"/>
      <c r="G135" s="348"/>
      <c r="H135" s="348"/>
      <c r="I135" s="348"/>
      <c r="J135" s="348"/>
      <c r="K135" s="348"/>
      <c r="L135" s="348"/>
      <c r="M135" s="348"/>
      <c r="N135" s="348"/>
    </row>
    <row r="136" spans="3:14" x14ac:dyDescent="0.35">
      <c r="C136" s="158"/>
      <c r="D136" s="158"/>
      <c r="E136" s="158"/>
      <c r="F136" s="158"/>
      <c r="G136" s="348"/>
      <c r="H136" s="348"/>
      <c r="I136" s="348"/>
      <c r="J136" s="348"/>
      <c r="K136" s="348"/>
      <c r="L136" s="348"/>
      <c r="M136" s="348"/>
      <c r="N136" s="348"/>
    </row>
    <row r="137" spans="3:14" x14ac:dyDescent="0.35">
      <c r="C137" s="158"/>
      <c r="D137" s="158"/>
      <c r="E137" s="158"/>
      <c r="F137" s="158"/>
      <c r="G137" s="348"/>
      <c r="H137" s="348"/>
      <c r="I137" s="348"/>
      <c r="J137" s="348"/>
      <c r="K137" s="348"/>
      <c r="L137" s="348"/>
      <c r="M137" s="348"/>
      <c r="N137" s="348"/>
    </row>
    <row r="138" spans="3:14" x14ac:dyDescent="0.35">
      <c r="C138" s="158"/>
      <c r="D138" s="158"/>
      <c r="E138" s="158"/>
      <c r="F138" s="158"/>
      <c r="G138" s="348"/>
      <c r="H138" s="348"/>
      <c r="I138" s="348"/>
      <c r="J138" s="348"/>
      <c r="K138" s="348"/>
      <c r="L138" s="348"/>
      <c r="M138" s="348"/>
      <c r="N138" s="348"/>
    </row>
    <row r="139" spans="3:14" x14ac:dyDescent="0.35">
      <c r="C139" s="158"/>
      <c r="D139" s="158"/>
      <c r="E139" s="158"/>
      <c r="F139" s="158"/>
      <c r="G139" s="348"/>
      <c r="H139" s="348"/>
      <c r="I139" s="348"/>
      <c r="J139" s="348"/>
      <c r="K139" s="348"/>
      <c r="L139" s="348"/>
      <c r="M139" s="348"/>
      <c r="N139" s="348"/>
    </row>
    <row r="140" spans="3:14" x14ac:dyDescent="0.35">
      <c r="C140" s="158"/>
      <c r="D140" s="158"/>
      <c r="E140" s="158"/>
      <c r="F140" s="158"/>
      <c r="G140" s="348"/>
      <c r="H140" s="348"/>
      <c r="I140" s="348"/>
      <c r="J140" s="348"/>
      <c r="K140" s="348"/>
      <c r="L140" s="348"/>
      <c r="M140" s="348"/>
      <c r="N140" s="348"/>
    </row>
    <row r="141" spans="3:14" x14ac:dyDescent="0.35">
      <c r="C141" s="158"/>
      <c r="D141" s="158"/>
      <c r="E141" s="158"/>
      <c r="F141" s="158"/>
      <c r="G141" s="348"/>
      <c r="H141" s="348"/>
      <c r="I141" s="348"/>
      <c r="J141" s="348"/>
      <c r="K141" s="348"/>
      <c r="L141" s="348"/>
      <c r="M141" s="348"/>
      <c r="N141" s="348"/>
    </row>
    <row r="142" spans="3:14" x14ac:dyDescent="0.35">
      <c r="C142" s="158"/>
      <c r="D142" s="158"/>
      <c r="E142" s="158"/>
      <c r="F142" s="158"/>
      <c r="G142" s="348"/>
      <c r="H142" s="348"/>
      <c r="I142" s="348"/>
      <c r="J142" s="348"/>
      <c r="K142" s="348"/>
      <c r="L142" s="348"/>
      <c r="M142" s="348"/>
      <c r="N142" s="348"/>
    </row>
    <row r="143" spans="3:14" x14ac:dyDescent="0.35">
      <c r="C143" s="158"/>
      <c r="D143" s="158"/>
      <c r="E143" s="158"/>
      <c r="F143" s="158"/>
      <c r="G143" s="348"/>
      <c r="H143" s="348"/>
      <c r="I143" s="348"/>
      <c r="J143" s="348"/>
      <c r="K143" s="348"/>
      <c r="L143" s="348"/>
      <c r="M143" s="348"/>
      <c r="N143" s="348"/>
    </row>
    <row r="144" spans="3:14" x14ac:dyDescent="0.35">
      <c r="C144" s="158"/>
      <c r="D144" s="158"/>
      <c r="E144" s="158"/>
      <c r="F144" s="158"/>
      <c r="G144" s="348"/>
      <c r="H144" s="348"/>
      <c r="I144" s="348"/>
      <c r="J144" s="348"/>
      <c r="K144" s="348"/>
      <c r="L144" s="348"/>
      <c r="M144" s="348"/>
      <c r="N144" s="348"/>
    </row>
    <row r="145" spans="3:14" x14ac:dyDescent="0.35">
      <c r="C145" s="158"/>
      <c r="D145" s="158"/>
      <c r="E145" s="158"/>
      <c r="F145" s="158"/>
      <c r="G145" s="348"/>
      <c r="H145" s="348"/>
      <c r="I145" s="348"/>
      <c r="J145" s="348"/>
      <c r="K145" s="348"/>
      <c r="L145" s="348"/>
      <c r="M145" s="348"/>
      <c r="N145" s="348"/>
    </row>
    <row r="146" spans="3:14" x14ac:dyDescent="0.35">
      <c r="C146" s="158"/>
      <c r="D146" s="158"/>
      <c r="E146" s="158"/>
      <c r="F146" s="158"/>
      <c r="G146" s="348"/>
      <c r="H146" s="348"/>
      <c r="I146" s="348"/>
      <c r="J146" s="348"/>
      <c r="K146" s="348"/>
      <c r="L146" s="348"/>
      <c r="M146" s="348"/>
      <c r="N146" s="348"/>
    </row>
    <row r="147" spans="3:14" x14ac:dyDescent="0.35">
      <c r="C147" s="158"/>
      <c r="D147" s="158"/>
      <c r="E147" s="158"/>
      <c r="F147" s="158"/>
      <c r="G147" s="348"/>
      <c r="H147" s="348"/>
      <c r="I147" s="348"/>
      <c r="J147" s="348"/>
      <c r="K147" s="348"/>
      <c r="L147" s="348"/>
      <c r="M147" s="348"/>
      <c r="N147" s="348"/>
    </row>
    <row r="148" spans="3:14" x14ac:dyDescent="0.35">
      <c r="C148" s="158"/>
      <c r="D148" s="158"/>
      <c r="E148" s="158"/>
      <c r="F148" s="158"/>
      <c r="G148" s="348"/>
      <c r="H148" s="348"/>
      <c r="I148" s="348"/>
      <c r="J148" s="348"/>
      <c r="K148" s="348"/>
      <c r="L148" s="348"/>
      <c r="M148" s="348"/>
      <c r="N148" s="348"/>
    </row>
    <row r="149" spans="3:14" x14ac:dyDescent="0.35">
      <c r="C149" s="158"/>
      <c r="D149" s="158"/>
      <c r="E149" s="158"/>
      <c r="F149" s="158"/>
      <c r="G149" s="348"/>
      <c r="H149" s="348"/>
      <c r="I149" s="348"/>
      <c r="J149" s="348"/>
      <c r="K149" s="348"/>
      <c r="L149" s="348"/>
      <c r="M149" s="348"/>
      <c r="N149" s="348"/>
    </row>
    <row r="150" spans="3:14" x14ac:dyDescent="0.35">
      <c r="C150" s="158"/>
      <c r="D150" s="158"/>
      <c r="E150" s="158"/>
      <c r="F150" s="158"/>
      <c r="G150" s="348"/>
      <c r="H150" s="348"/>
      <c r="I150" s="348"/>
      <c r="J150" s="348"/>
      <c r="K150" s="348"/>
      <c r="L150" s="348"/>
      <c r="M150" s="348"/>
      <c r="N150" s="348"/>
    </row>
    <row r="151" spans="3:14" x14ac:dyDescent="0.35">
      <c r="C151" s="158"/>
      <c r="D151" s="158"/>
      <c r="E151" s="158"/>
      <c r="F151" s="158"/>
      <c r="G151" s="348"/>
      <c r="H151" s="348"/>
      <c r="I151" s="348"/>
      <c r="J151" s="348"/>
      <c r="K151" s="348"/>
      <c r="L151" s="348"/>
      <c r="M151" s="348"/>
      <c r="N151" s="348"/>
    </row>
    <row r="152" spans="3:14" x14ac:dyDescent="0.35">
      <c r="C152" s="158"/>
      <c r="D152" s="158"/>
      <c r="E152" s="158"/>
      <c r="F152" s="158"/>
      <c r="G152" s="348"/>
      <c r="H152" s="348"/>
      <c r="I152" s="348"/>
      <c r="J152" s="348"/>
      <c r="K152" s="348"/>
      <c r="L152" s="348"/>
      <c r="M152" s="348"/>
      <c r="N152" s="348"/>
    </row>
    <row r="153" spans="3:14" x14ac:dyDescent="0.35">
      <c r="C153" s="158"/>
      <c r="D153" s="158"/>
      <c r="E153" s="158"/>
      <c r="F153" s="158"/>
      <c r="G153" s="348"/>
      <c r="H153" s="348"/>
      <c r="I153" s="348"/>
      <c r="J153" s="348"/>
      <c r="K153" s="348"/>
      <c r="L153" s="348"/>
      <c r="M153" s="348"/>
      <c r="N153" s="348"/>
    </row>
    <row r="154" spans="3:14" x14ac:dyDescent="0.35">
      <c r="C154" s="158"/>
      <c r="D154" s="158"/>
      <c r="E154" s="158"/>
      <c r="F154" s="158"/>
      <c r="G154" s="348"/>
      <c r="H154" s="348"/>
      <c r="I154" s="348"/>
      <c r="J154" s="348"/>
      <c r="K154" s="348"/>
      <c r="L154" s="348"/>
      <c r="M154" s="348"/>
      <c r="N154" s="348"/>
    </row>
    <row r="155" spans="3:14" x14ac:dyDescent="0.35">
      <c r="C155" s="158"/>
      <c r="D155" s="158"/>
      <c r="E155" s="158"/>
      <c r="F155" s="158"/>
      <c r="G155" s="348"/>
      <c r="H155" s="348"/>
      <c r="I155" s="348"/>
      <c r="J155" s="348"/>
      <c r="K155" s="348"/>
      <c r="L155" s="348"/>
      <c r="M155" s="348"/>
      <c r="N155" s="348"/>
    </row>
    <row r="156" spans="3:14" x14ac:dyDescent="0.35">
      <c r="C156" s="158"/>
      <c r="D156" s="158"/>
      <c r="E156" s="158"/>
      <c r="F156" s="158"/>
      <c r="G156" s="348"/>
      <c r="H156" s="348"/>
      <c r="I156" s="348"/>
      <c r="J156" s="348"/>
      <c r="K156" s="348"/>
      <c r="L156" s="348"/>
      <c r="M156" s="348"/>
      <c r="N156" s="348"/>
    </row>
    <row r="157" spans="3:14" x14ac:dyDescent="0.35">
      <c r="C157" s="158"/>
      <c r="D157" s="158"/>
      <c r="E157" s="158"/>
      <c r="F157" s="158"/>
      <c r="G157" s="348"/>
      <c r="H157" s="348"/>
      <c r="I157" s="348"/>
      <c r="J157" s="348"/>
      <c r="K157" s="348"/>
      <c r="L157" s="348"/>
      <c r="M157" s="348"/>
      <c r="N157" s="348"/>
    </row>
    <row r="158" spans="3:14" x14ac:dyDescent="0.35">
      <c r="C158" s="158"/>
      <c r="D158" s="158"/>
      <c r="E158" s="158"/>
      <c r="F158" s="158"/>
      <c r="G158" s="348"/>
      <c r="H158" s="348"/>
      <c r="I158" s="348"/>
      <c r="J158" s="348"/>
      <c r="K158" s="348"/>
      <c r="L158" s="348"/>
      <c r="M158" s="348"/>
      <c r="N158" s="348"/>
    </row>
    <row r="159" spans="3:14" x14ac:dyDescent="0.35">
      <c r="C159" s="158"/>
      <c r="D159" s="158"/>
      <c r="E159" s="158"/>
      <c r="F159" s="158"/>
      <c r="G159" s="348"/>
      <c r="H159" s="348"/>
      <c r="I159" s="348"/>
      <c r="J159" s="348"/>
      <c r="K159" s="348"/>
      <c r="L159" s="348"/>
      <c r="M159" s="348"/>
      <c r="N159" s="348"/>
    </row>
    <row r="160" spans="3:14" x14ac:dyDescent="0.35">
      <c r="C160" s="158"/>
      <c r="D160" s="158"/>
      <c r="E160" s="158"/>
      <c r="F160" s="158"/>
      <c r="G160" s="348"/>
      <c r="H160" s="348"/>
      <c r="I160" s="348"/>
      <c r="J160" s="348"/>
      <c r="K160" s="348"/>
      <c r="L160" s="348"/>
      <c r="M160" s="348"/>
      <c r="N160" s="348"/>
    </row>
    <row r="161" spans="3:14" x14ac:dyDescent="0.35">
      <c r="C161" s="158"/>
      <c r="D161" s="158"/>
      <c r="E161" s="158"/>
      <c r="F161" s="158"/>
      <c r="G161" s="348"/>
      <c r="H161" s="348"/>
      <c r="I161" s="348"/>
      <c r="J161" s="348"/>
      <c r="K161" s="348"/>
      <c r="L161" s="348"/>
      <c r="M161" s="348"/>
      <c r="N161" s="348"/>
    </row>
    <row r="162" spans="3:14" x14ac:dyDescent="0.35">
      <c r="C162" s="158"/>
      <c r="D162" s="158"/>
      <c r="E162" s="158"/>
      <c r="F162" s="158"/>
      <c r="G162" s="348"/>
      <c r="H162" s="348"/>
      <c r="I162" s="348"/>
      <c r="J162" s="348"/>
      <c r="K162" s="348"/>
      <c r="L162" s="348"/>
      <c r="M162" s="348"/>
      <c r="N162" s="348"/>
    </row>
    <row r="163" spans="3:14" x14ac:dyDescent="0.35">
      <c r="C163" s="158"/>
      <c r="D163" s="158"/>
      <c r="E163" s="158"/>
      <c r="F163" s="158"/>
      <c r="G163" s="348"/>
      <c r="H163" s="348"/>
      <c r="I163" s="348"/>
      <c r="J163" s="348"/>
      <c r="K163" s="348"/>
      <c r="L163" s="348"/>
      <c r="M163" s="348"/>
      <c r="N163" s="348"/>
    </row>
    <row r="164" spans="3:14" x14ac:dyDescent="0.35">
      <c r="C164" s="158"/>
      <c r="D164" s="158"/>
      <c r="E164" s="158"/>
      <c r="F164" s="158"/>
      <c r="G164" s="348"/>
      <c r="H164" s="348"/>
      <c r="I164" s="348"/>
      <c r="J164" s="348"/>
      <c r="K164" s="348"/>
      <c r="L164" s="348"/>
      <c r="M164" s="348"/>
      <c r="N164" s="348"/>
    </row>
    <row r="165" spans="3:14" x14ac:dyDescent="0.35">
      <c r="C165" s="158"/>
      <c r="D165" s="158"/>
      <c r="E165" s="158"/>
      <c r="F165" s="158"/>
      <c r="G165" s="348"/>
      <c r="H165" s="348"/>
      <c r="I165" s="348"/>
      <c r="J165" s="348"/>
      <c r="K165" s="348"/>
      <c r="L165" s="348"/>
      <c r="M165" s="348"/>
      <c r="N165" s="348"/>
    </row>
    <row r="166" spans="3:14" x14ac:dyDescent="0.35">
      <c r="C166" s="158"/>
      <c r="D166" s="158"/>
      <c r="E166" s="158"/>
      <c r="F166" s="158"/>
      <c r="G166" s="348"/>
      <c r="H166" s="348"/>
      <c r="I166" s="348"/>
      <c r="J166" s="348"/>
      <c r="K166" s="348"/>
      <c r="L166" s="348"/>
      <c r="M166" s="348"/>
      <c r="N166" s="348"/>
    </row>
    <row r="167" spans="3:14" x14ac:dyDescent="0.35">
      <c r="C167" s="158"/>
      <c r="D167" s="158"/>
      <c r="E167" s="158"/>
      <c r="F167" s="158"/>
      <c r="G167" s="348"/>
      <c r="H167" s="348"/>
      <c r="I167" s="348"/>
      <c r="J167" s="348"/>
      <c r="K167" s="348"/>
      <c r="L167" s="348"/>
      <c r="M167" s="348"/>
      <c r="N167" s="348"/>
    </row>
    <row r="168" spans="3:14" x14ac:dyDescent="0.35">
      <c r="C168" s="158"/>
      <c r="D168" s="158"/>
      <c r="E168" s="158"/>
      <c r="F168" s="158"/>
      <c r="G168" s="348"/>
      <c r="H168" s="348"/>
      <c r="I168" s="348"/>
      <c r="J168" s="348"/>
      <c r="K168" s="348"/>
      <c r="L168" s="348"/>
      <c r="M168" s="348"/>
      <c r="N168" s="348"/>
    </row>
    <row r="169" spans="3:14" x14ac:dyDescent="0.35">
      <c r="C169" s="158"/>
      <c r="D169" s="158"/>
      <c r="E169" s="158"/>
      <c r="F169" s="158"/>
      <c r="G169" s="348"/>
      <c r="H169" s="348"/>
      <c r="I169" s="348"/>
      <c r="J169" s="348"/>
      <c r="K169" s="348"/>
      <c r="L169" s="348"/>
      <c r="M169" s="348"/>
      <c r="N169" s="348"/>
    </row>
    <row r="170" spans="3:14" x14ac:dyDescent="0.35">
      <c r="C170" s="158"/>
      <c r="D170" s="158"/>
      <c r="E170" s="158"/>
      <c r="F170" s="158"/>
      <c r="G170" s="348"/>
      <c r="H170" s="348"/>
      <c r="I170" s="348"/>
      <c r="J170" s="348"/>
      <c r="K170" s="348"/>
      <c r="L170" s="348"/>
      <c r="M170" s="348"/>
      <c r="N170" s="348"/>
    </row>
    <row r="171" spans="3:14" x14ac:dyDescent="0.35">
      <c r="C171" s="158"/>
      <c r="D171" s="158"/>
      <c r="E171" s="158"/>
      <c r="F171" s="158"/>
      <c r="G171" s="348"/>
      <c r="H171" s="348"/>
      <c r="I171" s="348"/>
      <c r="J171" s="348"/>
      <c r="K171" s="348"/>
      <c r="L171" s="348"/>
      <c r="M171" s="348"/>
      <c r="N171" s="348"/>
    </row>
    <row r="172" spans="3:14" x14ac:dyDescent="0.35">
      <c r="C172" s="158"/>
      <c r="D172" s="158"/>
      <c r="E172" s="158"/>
      <c r="F172" s="158"/>
      <c r="G172" s="348"/>
      <c r="H172" s="348"/>
      <c r="I172" s="348"/>
      <c r="J172" s="348"/>
      <c r="K172" s="348"/>
      <c r="L172" s="348"/>
      <c r="M172" s="348"/>
      <c r="N172" s="348"/>
    </row>
    <row r="173" spans="3:14" x14ac:dyDescent="0.35">
      <c r="C173" s="158"/>
      <c r="D173" s="158"/>
      <c r="E173" s="158"/>
      <c r="F173" s="158"/>
      <c r="G173" s="348"/>
      <c r="H173" s="348"/>
      <c r="I173" s="348"/>
      <c r="J173" s="348"/>
      <c r="K173" s="348"/>
      <c r="L173" s="348"/>
      <c r="M173" s="348"/>
      <c r="N173" s="348"/>
    </row>
    <row r="174" spans="3:14" x14ac:dyDescent="0.35">
      <c r="C174" s="158"/>
      <c r="D174" s="158"/>
      <c r="E174" s="158"/>
      <c r="F174" s="158"/>
      <c r="G174" s="348"/>
      <c r="H174" s="348"/>
      <c r="I174" s="348"/>
      <c r="J174" s="348"/>
      <c r="K174" s="348"/>
      <c r="L174" s="348"/>
      <c r="M174" s="348"/>
      <c r="N174" s="348"/>
    </row>
    <row r="175" spans="3:14" x14ac:dyDescent="0.35">
      <c r="C175" s="158"/>
      <c r="D175" s="158"/>
      <c r="E175" s="158"/>
      <c r="F175" s="158"/>
      <c r="G175" s="348"/>
      <c r="H175" s="348"/>
      <c r="I175" s="348"/>
      <c r="J175" s="348"/>
      <c r="K175" s="348"/>
      <c r="L175" s="348"/>
      <c r="M175" s="348"/>
      <c r="N175" s="348"/>
    </row>
    <row r="176" spans="3:14" x14ac:dyDescent="0.35">
      <c r="C176" s="158"/>
      <c r="D176" s="158"/>
      <c r="E176" s="158"/>
      <c r="F176" s="158"/>
      <c r="G176" s="348"/>
      <c r="H176" s="348"/>
      <c r="I176" s="348"/>
      <c r="J176" s="348"/>
      <c r="K176" s="348"/>
      <c r="L176" s="348"/>
      <c r="M176" s="348"/>
      <c r="N176" s="348"/>
    </row>
    <row r="177" spans="3:14" x14ac:dyDescent="0.35">
      <c r="C177" s="158"/>
      <c r="D177" s="158"/>
      <c r="E177" s="158"/>
      <c r="F177" s="158"/>
      <c r="G177" s="348"/>
      <c r="H177" s="348"/>
      <c r="I177" s="348"/>
      <c r="J177" s="348"/>
      <c r="K177" s="348"/>
      <c r="L177" s="348"/>
      <c r="M177" s="348"/>
      <c r="N177" s="348"/>
    </row>
    <row r="178" spans="3:14" x14ac:dyDescent="0.35">
      <c r="C178" s="158"/>
      <c r="D178" s="158"/>
      <c r="E178" s="158"/>
      <c r="F178" s="158"/>
      <c r="G178" s="348"/>
      <c r="H178" s="348"/>
      <c r="I178" s="348"/>
      <c r="J178" s="348"/>
      <c r="K178" s="348"/>
      <c r="L178" s="348"/>
      <c r="M178" s="348"/>
      <c r="N178" s="348"/>
    </row>
    <row r="179" spans="3:14" x14ac:dyDescent="0.35">
      <c r="C179" s="158"/>
      <c r="D179" s="158"/>
      <c r="E179" s="158"/>
      <c r="F179" s="158"/>
      <c r="G179" s="348"/>
      <c r="H179" s="348"/>
      <c r="I179" s="348"/>
      <c r="J179" s="348"/>
      <c r="K179" s="348"/>
      <c r="L179" s="348"/>
      <c r="M179" s="348"/>
      <c r="N179" s="348"/>
    </row>
    <row r="180" spans="3:14" x14ac:dyDescent="0.35">
      <c r="C180" s="158"/>
      <c r="D180" s="158"/>
      <c r="E180" s="158"/>
      <c r="F180" s="158"/>
      <c r="G180" s="348"/>
      <c r="H180" s="348"/>
      <c r="I180" s="348"/>
      <c r="J180" s="348"/>
      <c r="K180" s="348"/>
      <c r="L180" s="348"/>
      <c r="M180" s="348"/>
      <c r="N180" s="348"/>
    </row>
    <row r="181" spans="3:14" x14ac:dyDescent="0.35">
      <c r="C181" s="158"/>
      <c r="D181" s="158"/>
      <c r="E181" s="158"/>
      <c r="F181" s="158"/>
      <c r="G181" s="348"/>
      <c r="H181" s="348"/>
      <c r="I181" s="348"/>
      <c r="J181" s="348"/>
      <c r="K181" s="348"/>
      <c r="L181" s="348"/>
      <c r="M181" s="348"/>
      <c r="N181" s="348"/>
    </row>
    <row r="182" spans="3:14" x14ac:dyDescent="0.35">
      <c r="C182" s="158"/>
      <c r="D182" s="158"/>
      <c r="E182" s="158"/>
      <c r="F182" s="158"/>
      <c r="G182" s="348"/>
      <c r="H182" s="348"/>
      <c r="I182" s="348"/>
      <c r="J182" s="348"/>
      <c r="K182" s="348"/>
      <c r="L182" s="348"/>
      <c r="M182" s="348"/>
      <c r="N182" s="348"/>
    </row>
    <row r="183" spans="3:14" x14ac:dyDescent="0.35">
      <c r="C183" s="158"/>
      <c r="D183" s="158"/>
      <c r="E183" s="158"/>
      <c r="F183" s="158"/>
      <c r="G183" s="348"/>
      <c r="H183" s="348"/>
      <c r="I183" s="348"/>
      <c r="J183" s="348"/>
      <c r="K183" s="348"/>
      <c r="L183" s="348"/>
      <c r="M183" s="348"/>
      <c r="N183" s="348"/>
    </row>
    <row r="184" spans="3:14" x14ac:dyDescent="0.35">
      <c r="C184" s="158"/>
      <c r="D184" s="158"/>
      <c r="E184" s="158"/>
      <c r="F184" s="158"/>
      <c r="G184" s="348"/>
      <c r="H184" s="348"/>
      <c r="I184" s="348"/>
      <c r="J184" s="348"/>
      <c r="K184" s="348"/>
      <c r="L184" s="348"/>
      <c r="M184" s="348"/>
      <c r="N184" s="348"/>
    </row>
    <row r="185" spans="3:14" x14ac:dyDescent="0.35">
      <c r="C185" s="158"/>
      <c r="D185" s="158"/>
      <c r="E185" s="158"/>
      <c r="F185" s="158"/>
      <c r="G185" s="348"/>
      <c r="H185" s="348"/>
      <c r="I185" s="348"/>
      <c r="J185" s="348"/>
      <c r="K185" s="348"/>
      <c r="L185" s="348"/>
      <c r="M185" s="348"/>
      <c r="N185" s="348"/>
    </row>
    <row r="186" spans="3:14" x14ac:dyDescent="0.35">
      <c r="C186" s="158"/>
      <c r="D186" s="158"/>
      <c r="E186" s="158"/>
      <c r="F186" s="158"/>
      <c r="G186" s="348"/>
      <c r="H186" s="348"/>
      <c r="I186" s="348"/>
      <c r="J186" s="348"/>
      <c r="K186" s="348"/>
      <c r="L186" s="348"/>
      <c r="M186" s="348"/>
      <c r="N186" s="348"/>
    </row>
    <row r="187" spans="3:14" x14ac:dyDescent="0.35">
      <c r="C187" s="158"/>
      <c r="D187" s="158"/>
      <c r="E187" s="158"/>
      <c r="F187" s="158"/>
      <c r="G187" s="348"/>
      <c r="H187" s="348"/>
      <c r="I187" s="348"/>
      <c r="J187" s="348"/>
      <c r="K187" s="348"/>
      <c r="L187" s="348"/>
      <c r="M187" s="348"/>
      <c r="N187" s="348"/>
    </row>
    <row r="188" spans="3:14" x14ac:dyDescent="0.35">
      <c r="C188" s="158"/>
      <c r="D188" s="158"/>
      <c r="E188" s="158"/>
      <c r="F188" s="158"/>
      <c r="G188" s="348"/>
      <c r="H188" s="348"/>
      <c r="I188" s="348"/>
      <c r="J188" s="348"/>
      <c r="K188" s="348"/>
      <c r="L188" s="348"/>
      <c r="M188" s="348"/>
      <c r="N188" s="348"/>
    </row>
    <row r="189" spans="3:14" x14ac:dyDescent="0.35">
      <c r="C189" s="158"/>
      <c r="D189" s="158"/>
      <c r="E189" s="158"/>
      <c r="F189" s="158"/>
      <c r="G189" s="348"/>
      <c r="H189" s="348"/>
      <c r="I189" s="348"/>
      <c r="J189" s="348"/>
      <c r="K189" s="348"/>
      <c r="L189" s="348"/>
      <c r="M189" s="348"/>
      <c r="N189" s="348"/>
    </row>
    <row r="190" spans="3:14" x14ac:dyDescent="0.35">
      <c r="C190" s="158"/>
      <c r="D190" s="158"/>
      <c r="E190" s="158"/>
      <c r="F190" s="158"/>
      <c r="G190" s="348"/>
      <c r="H190" s="348"/>
      <c r="I190" s="348"/>
      <c r="J190" s="348"/>
      <c r="K190" s="348"/>
      <c r="L190" s="348"/>
      <c r="M190" s="348"/>
      <c r="N190" s="348"/>
    </row>
    <row r="191" spans="3:14" x14ac:dyDescent="0.35">
      <c r="C191" s="158"/>
      <c r="D191" s="158"/>
      <c r="E191" s="158"/>
      <c r="F191" s="158"/>
      <c r="G191" s="348"/>
      <c r="H191" s="348"/>
      <c r="I191" s="348"/>
      <c r="J191" s="348"/>
      <c r="K191" s="348"/>
      <c r="L191" s="348"/>
      <c r="M191" s="348"/>
      <c r="N191" s="348"/>
    </row>
    <row r="192" spans="3:14" x14ac:dyDescent="0.35">
      <c r="C192" s="158"/>
      <c r="D192" s="158"/>
      <c r="E192" s="158"/>
      <c r="F192" s="158"/>
      <c r="G192" s="348"/>
      <c r="H192" s="348"/>
      <c r="I192" s="348"/>
      <c r="J192" s="348"/>
      <c r="K192" s="348"/>
      <c r="L192" s="348"/>
      <c r="M192" s="348"/>
      <c r="N192" s="348"/>
    </row>
    <row r="193" spans="3:14" x14ac:dyDescent="0.35">
      <c r="C193" s="158"/>
      <c r="D193" s="158"/>
      <c r="E193" s="158"/>
      <c r="F193" s="158"/>
      <c r="G193" s="348"/>
      <c r="H193" s="348"/>
      <c r="I193" s="348"/>
      <c r="J193" s="348"/>
      <c r="K193" s="348"/>
      <c r="L193" s="348"/>
      <c r="M193" s="348"/>
      <c r="N193" s="348"/>
    </row>
    <row r="194" spans="3:14" x14ac:dyDescent="0.35">
      <c r="C194" s="158"/>
      <c r="D194" s="158"/>
      <c r="E194" s="158"/>
      <c r="F194" s="158"/>
      <c r="G194" s="348"/>
      <c r="H194" s="348"/>
      <c r="I194" s="348"/>
      <c r="J194" s="348"/>
      <c r="K194" s="348"/>
      <c r="L194" s="348"/>
      <c r="M194" s="348"/>
      <c r="N194" s="348"/>
    </row>
    <row r="195" spans="3:14" x14ac:dyDescent="0.35">
      <c r="C195" s="158"/>
      <c r="D195" s="158"/>
      <c r="E195" s="158"/>
      <c r="F195" s="158"/>
      <c r="G195" s="348"/>
      <c r="H195" s="348"/>
      <c r="I195" s="348"/>
      <c r="J195" s="348"/>
      <c r="K195" s="348"/>
      <c r="L195" s="348"/>
      <c r="M195" s="348"/>
      <c r="N195" s="348"/>
    </row>
    <row r="196" spans="3:14" x14ac:dyDescent="0.35">
      <c r="C196" s="158"/>
      <c r="D196" s="158"/>
      <c r="E196" s="158"/>
      <c r="F196" s="158"/>
      <c r="G196" s="348"/>
      <c r="H196" s="348"/>
      <c r="I196" s="348"/>
      <c r="J196" s="348"/>
      <c r="K196" s="348"/>
      <c r="L196" s="348"/>
      <c r="M196" s="348"/>
      <c r="N196" s="348"/>
    </row>
    <row r="197" spans="3:14" x14ac:dyDescent="0.35">
      <c r="C197" s="158"/>
      <c r="D197" s="158"/>
      <c r="E197" s="158"/>
      <c r="F197" s="158"/>
      <c r="G197" s="348"/>
      <c r="H197" s="348"/>
      <c r="I197" s="348"/>
      <c r="J197" s="348"/>
      <c r="K197" s="348"/>
      <c r="L197" s="348"/>
      <c r="M197" s="348"/>
      <c r="N197" s="348"/>
    </row>
    <row r="198" spans="3:14" x14ac:dyDescent="0.35">
      <c r="C198" s="158"/>
      <c r="D198" s="158"/>
      <c r="E198" s="158"/>
      <c r="F198" s="158"/>
      <c r="G198" s="158"/>
      <c r="H198" s="158"/>
      <c r="I198" s="158"/>
      <c r="J198" s="158"/>
      <c r="K198" s="158"/>
      <c r="L198" s="158"/>
      <c r="M198" s="158"/>
      <c r="N198" s="158"/>
    </row>
    <row r="199" spans="3:14" x14ac:dyDescent="0.35">
      <c r="C199" s="158"/>
      <c r="D199" s="158"/>
      <c r="E199" s="158"/>
      <c r="F199" s="158"/>
      <c r="G199" s="158"/>
      <c r="H199" s="158"/>
      <c r="I199" s="158"/>
      <c r="J199" s="158"/>
      <c r="K199" s="158"/>
      <c r="L199" s="158"/>
      <c r="M199" s="158"/>
      <c r="N199" s="158"/>
    </row>
    <row r="200" spans="3:14" x14ac:dyDescent="0.35">
      <c r="C200" s="158"/>
      <c r="D200" s="158"/>
      <c r="E200" s="158"/>
      <c r="F200" s="158"/>
      <c r="G200" s="158"/>
      <c r="H200" s="158"/>
      <c r="I200" s="158"/>
      <c r="J200" s="158"/>
      <c r="K200" s="158"/>
      <c r="L200" s="158"/>
      <c r="M200" s="158"/>
      <c r="N200" s="158"/>
    </row>
    <row r="201" spans="3:14" x14ac:dyDescent="0.35">
      <c r="C201" s="158"/>
      <c r="D201" s="158"/>
      <c r="E201" s="158"/>
      <c r="F201" s="158"/>
      <c r="G201" s="158"/>
      <c r="H201" s="158"/>
      <c r="I201" s="158"/>
      <c r="J201" s="158"/>
      <c r="K201" s="158"/>
      <c r="L201" s="158"/>
      <c r="M201" s="158"/>
      <c r="N201" s="158"/>
    </row>
    <row r="202" spans="3:14" x14ac:dyDescent="0.35">
      <c r="C202" s="158"/>
      <c r="D202" s="158"/>
      <c r="E202" s="158"/>
      <c r="F202" s="158"/>
      <c r="G202" s="158"/>
      <c r="H202" s="158"/>
      <c r="I202" s="158"/>
      <c r="J202" s="158"/>
      <c r="K202" s="158"/>
      <c r="L202" s="158"/>
      <c r="M202" s="158"/>
      <c r="N202" s="158"/>
    </row>
    <row r="203" spans="3:14" x14ac:dyDescent="0.35">
      <c r="C203" s="158"/>
      <c r="D203" s="158"/>
      <c r="E203" s="158"/>
      <c r="F203" s="158"/>
      <c r="G203" s="158"/>
      <c r="H203" s="158"/>
      <c r="I203" s="158"/>
      <c r="J203" s="158"/>
      <c r="K203" s="158"/>
      <c r="L203" s="158"/>
      <c r="M203" s="158"/>
      <c r="N203" s="158"/>
    </row>
    <row r="204" spans="3:14" x14ac:dyDescent="0.35">
      <c r="C204" s="158"/>
      <c r="D204" s="158"/>
      <c r="E204" s="158"/>
      <c r="F204" s="158"/>
      <c r="G204" s="158"/>
      <c r="H204" s="158"/>
      <c r="I204" s="158"/>
      <c r="J204" s="158"/>
      <c r="K204" s="158"/>
      <c r="L204" s="158"/>
      <c r="M204" s="158"/>
      <c r="N204" s="158"/>
    </row>
    <row r="205" spans="3:14" x14ac:dyDescent="0.35">
      <c r="C205" s="158"/>
      <c r="D205" s="158"/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</row>
    <row r="206" spans="3:14" x14ac:dyDescent="0.35">
      <c r="C206" s="158"/>
      <c r="D206" s="158"/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</row>
    <row r="207" spans="3:14" x14ac:dyDescent="0.35">
      <c r="C207" s="158"/>
      <c r="D207" s="158"/>
      <c r="E207" s="158"/>
      <c r="F207" s="158"/>
      <c r="G207" s="158"/>
      <c r="H207" s="158"/>
      <c r="I207" s="158"/>
      <c r="J207" s="158"/>
      <c r="K207" s="158"/>
      <c r="L207" s="158"/>
      <c r="M207" s="158"/>
      <c r="N207" s="158"/>
    </row>
    <row r="208" spans="3:14" x14ac:dyDescent="0.35">
      <c r="C208" s="158"/>
      <c r="D208" s="158"/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</row>
    <row r="209" spans="3:14" x14ac:dyDescent="0.35">
      <c r="C209" s="158"/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</row>
    <row r="210" spans="3:14" x14ac:dyDescent="0.35">
      <c r="C210" s="158"/>
      <c r="D210" s="158"/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</row>
    <row r="211" spans="3:14" x14ac:dyDescent="0.35">
      <c r="C211" s="158"/>
      <c r="D211" s="158"/>
      <c r="E211" s="158"/>
      <c r="F211" s="158"/>
      <c r="G211" s="158"/>
      <c r="H211" s="158"/>
      <c r="I211" s="158"/>
      <c r="J211" s="158"/>
      <c r="K211" s="158"/>
      <c r="L211" s="158"/>
      <c r="M211" s="158"/>
      <c r="N211" s="158"/>
    </row>
    <row r="212" spans="3:14" x14ac:dyDescent="0.35">
      <c r="C212" s="158"/>
      <c r="D212" s="158"/>
      <c r="E212" s="158"/>
      <c r="F212" s="158"/>
      <c r="G212" s="158"/>
      <c r="H212" s="158"/>
      <c r="I212" s="158"/>
      <c r="J212" s="158"/>
      <c r="K212" s="158"/>
      <c r="L212" s="158"/>
      <c r="M212" s="158"/>
      <c r="N212" s="158"/>
    </row>
    <row r="213" spans="3:14" x14ac:dyDescent="0.35">
      <c r="C213" s="158"/>
      <c r="D213" s="158"/>
      <c r="E213" s="158"/>
      <c r="F213" s="158"/>
      <c r="G213" s="158"/>
      <c r="H213" s="158"/>
      <c r="I213" s="158"/>
      <c r="J213" s="158"/>
      <c r="K213" s="158"/>
      <c r="L213" s="158"/>
      <c r="M213" s="158"/>
      <c r="N213" s="158"/>
    </row>
    <row r="214" spans="3:14" x14ac:dyDescent="0.35">
      <c r="C214" s="158"/>
      <c r="D214" s="158"/>
      <c r="E214" s="158"/>
      <c r="F214" s="158"/>
      <c r="G214" s="158"/>
      <c r="H214" s="158"/>
      <c r="I214" s="158"/>
      <c r="J214" s="158"/>
      <c r="K214" s="158"/>
      <c r="L214" s="158"/>
      <c r="M214" s="158"/>
      <c r="N214" s="158"/>
    </row>
    <row r="215" spans="3:14" x14ac:dyDescent="0.35">
      <c r="C215" s="158"/>
      <c r="D215" s="158"/>
      <c r="E215" s="158"/>
      <c r="F215" s="158"/>
      <c r="G215" s="158"/>
      <c r="H215" s="158"/>
      <c r="I215" s="158"/>
      <c r="J215" s="158"/>
      <c r="K215" s="158"/>
      <c r="L215" s="158"/>
      <c r="M215" s="158"/>
      <c r="N215" s="158"/>
    </row>
    <row r="216" spans="3:14" x14ac:dyDescent="0.35">
      <c r="C216" s="158"/>
      <c r="D216" s="158"/>
      <c r="E216" s="158"/>
      <c r="F216" s="158"/>
      <c r="G216" s="158"/>
      <c r="H216" s="158"/>
      <c r="I216" s="158"/>
      <c r="J216" s="158"/>
      <c r="K216" s="158"/>
      <c r="L216" s="158"/>
      <c r="M216" s="158"/>
      <c r="N216" s="158"/>
    </row>
    <row r="217" spans="3:14" x14ac:dyDescent="0.35">
      <c r="C217" s="158"/>
      <c r="D217" s="158"/>
      <c r="E217" s="158"/>
      <c r="F217" s="158"/>
      <c r="G217" s="158"/>
      <c r="H217" s="158"/>
      <c r="I217" s="158"/>
      <c r="J217" s="158"/>
      <c r="K217" s="158"/>
      <c r="L217" s="158"/>
      <c r="M217" s="158"/>
      <c r="N217" s="158"/>
    </row>
    <row r="218" spans="3:14" x14ac:dyDescent="0.35">
      <c r="C218" s="158"/>
      <c r="D218" s="158"/>
      <c r="E218" s="158"/>
      <c r="F218" s="158"/>
      <c r="G218" s="158"/>
      <c r="H218" s="158"/>
      <c r="I218" s="158"/>
      <c r="J218" s="158"/>
      <c r="K218" s="158"/>
      <c r="L218" s="158"/>
      <c r="M218" s="158"/>
      <c r="N218" s="158"/>
    </row>
    <row r="219" spans="3:14" x14ac:dyDescent="0.35">
      <c r="C219" s="158"/>
      <c r="D219" s="158"/>
      <c r="E219" s="158"/>
      <c r="F219" s="158"/>
      <c r="G219" s="158"/>
      <c r="H219" s="158"/>
      <c r="I219" s="158"/>
      <c r="J219" s="158"/>
      <c r="K219" s="158"/>
      <c r="L219" s="158"/>
      <c r="M219" s="158"/>
      <c r="N219" s="158"/>
    </row>
    <row r="220" spans="3:14" x14ac:dyDescent="0.35">
      <c r="C220" s="158"/>
      <c r="D220" s="158"/>
      <c r="E220" s="158"/>
      <c r="F220" s="158"/>
      <c r="G220" s="158"/>
      <c r="H220" s="158"/>
      <c r="I220" s="158"/>
      <c r="J220" s="158"/>
      <c r="K220" s="158"/>
      <c r="L220" s="158"/>
      <c r="M220" s="158"/>
      <c r="N220" s="158"/>
    </row>
    <row r="221" spans="3:14" x14ac:dyDescent="0.35">
      <c r="C221" s="158"/>
      <c r="D221" s="158"/>
      <c r="E221" s="158"/>
      <c r="F221" s="158"/>
      <c r="G221" s="158"/>
      <c r="H221" s="158"/>
      <c r="I221" s="158"/>
      <c r="J221" s="158"/>
      <c r="K221" s="158"/>
      <c r="L221" s="158"/>
      <c r="M221" s="158"/>
      <c r="N221" s="158"/>
    </row>
    <row r="222" spans="3:14" x14ac:dyDescent="0.35">
      <c r="C222" s="158"/>
      <c r="D222" s="158"/>
      <c r="E222" s="158"/>
      <c r="F222" s="158"/>
      <c r="G222" s="158"/>
      <c r="H222" s="158"/>
      <c r="I222" s="158"/>
      <c r="J222" s="158"/>
      <c r="K222" s="158"/>
      <c r="L222" s="158"/>
      <c r="M222" s="158"/>
      <c r="N222" s="158"/>
    </row>
    <row r="223" spans="3:14" x14ac:dyDescent="0.35">
      <c r="C223" s="158"/>
      <c r="D223" s="158"/>
      <c r="E223" s="158"/>
      <c r="F223" s="158"/>
      <c r="G223" s="158"/>
      <c r="H223" s="158"/>
      <c r="I223" s="158"/>
      <c r="J223" s="158"/>
      <c r="K223" s="158"/>
      <c r="L223" s="158"/>
      <c r="M223" s="158"/>
      <c r="N223" s="158"/>
    </row>
    <row r="224" spans="3:14" x14ac:dyDescent="0.35">
      <c r="C224" s="158"/>
      <c r="D224" s="158"/>
      <c r="E224" s="158"/>
      <c r="F224" s="158"/>
      <c r="G224" s="158"/>
      <c r="H224" s="158"/>
      <c r="I224" s="158"/>
      <c r="J224" s="158"/>
      <c r="K224" s="158"/>
      <c r="L224" s="158"/>
      <c r="M224" s="158"/>
      <c r="N224" s="158"/>
    </row>
    <row r="225" spans="3:14" x14ac:dyDescent="0.35">
      <c r="C225" s="158"/>
      <c r="D225" s="158"/>
      <c r="E225" s="158"/>
      <c r="F225" s="158"/>
      <c r="G225" s="158"/>
      <c r="H225" s="158"/>
      <c r="I225" s="158"/>
      <c r="J225" s="158"/>
      <c r="K225" s="158"/>
      <c r="L225" s="158"/>
      <c r="M225" s="158"/>
      <c r="N225" s="158"/>
    </row>
    <row r="226" spans="3:14" x14ac:dyDescent="0.35">
      <c r="C226" s="158"/>
      <c r="D226" s="158"/>
      <c r="E226" s="158"/>
      <c r="F226" s="158"/>
      <c r="G226" s="158"/>
      <c r="H226" s="158"/>
      <c r="I226" s="158"/>
      <c r="J226" s="158"/>
      <c r="K226" s="158"/>
      <c r="L226" s="158"/>
      <c r="M226" s="158"/>
      <c r="N226" s="158"/>
    </row>
    <row r="227" spans="3:14" x14ac:dyDescent="0.35">
      <c r="C227" s="158"/>
      <c r="D227" s="158"/>
      <c r="E227" s="158"/>
      <c r="F227" s="158"/>
      <c r="G227" s="158"/>
      <c r="H227" s="158"/>
      <c r="I227" s="158"/>
      <c r="J227" s="158"/>
      <c r="K227" s="158"/>
      <c r="L227" s="158"/>
      <c r="M227" s="158"/>
      <c r="N227" s="158"/>
    </row>
    <row r="228" spans="3:14" x14ac:dyDescent="0.35">
      <c r="C228" s="158"/>
      <c r="D228" s="158"/>
      <c r="E228" s="158"/>
      <c r="F228" s="158"/>
      <c r="G228" s="158"/>
      <c r="H228" s="158"/>
      <c r="I228" s="158"/>
      <c r="J228" s="158"/>
      <c r="K228" s="158"/>
      <c r="L228" s="158"/>
      <c r="M228" s="158"/>
      <c r="N228" s="158"/>
    </row>
    <row r="229" spans="3:14" x14ac:dyDescent="0.35">
      <c r="C229" s="158"/>
      <c r="D229" s="158"/>
      <c r="E229" s="158"/>
      <c r="F229" s="158"/>
      <c r="G229" s="158"/>
      <c r="H229" s="158"/>
      <c r="I229" s="158"/>
      <c r="J229" s="158"/>
      <c r="K229" s="158"/>
      <c r="L229" s="158"/>
      <c r="M229" s="158"/>
      <c r="N229" s="158"/>
    </row>
    <row r="230" spans="3:14" x14ac:dyDescent="0.35">
      <c r="C230" s="158"/>
      <c r="D230" s="158"/>
      <c r="E230" s="158"/>
      <c r="F230" s="158"/>
      <c r="G230" s="158"/>
      <c r="H230" s="158"/>
      <c r="I230" s="158"/>
      <c r="J230" s="158"/>
      <c r="K230" s="158"/>
      <c r="L230" s="158"/>
      <c r="M230" s="158"/>
      <c r="N230" s="158"/>
    </row>
    <row r="231" spans="3:14" x14ac:dyDescent="0.35">
      <c r="C231" s="158"/>
      <c r="D231" s="158"/>
      <c r="E231" s="158"/>
      <c r="F231" s="158"/>
      <c r="G231" s="158"/>
      <c r="H231" s="158"/>
      <c r="I231" s="158"/>
      <c r="J231" s="158"/>
      <c r="K231" s="158"/>
      <c r="L231" s="158"/>
      <c r="M231" s="158"/>
      <c r="N231" s="158"/>
    </row>
    <row r="232" spans="3:14" x14ac:dyDescent="0.35">
      <c r="C232" s="158"/>
      <c r="D232" s="158"/>
      <c r="E232" s="158"/>
      <c r="F232" s="158"/>
      <c r="G232" s="158"/>
      <c r="H232" s="158"/>
      <c r="I232" s="158"/>
      <c r="J232" s="158"/>
      <c r="K232" s="158"/>
      <c r="L232" s="158"/>
      <c r="M232" s="158"/>
      <c r="N232" s="158"/>
    </row>
    <row r="233" spans="3:14" x14ac:dyDescent="0.35">
      <c r="C233" s="158"/>
      <c r="D233" s="158"/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</row>
    <row r="234" spans="3:14" x14ac:dyDescent="0.35">
      <c r="C234" s="158"/>
      <c r="D234" s="158"/>
      <c r="E234" s="158"/>
      <c r="F234" s="158"/>
      <c r="G234" s="158"/>
      <c r="H234" s="158"/>
      <c r="I234" s="158"/>
      <c r="J234" s="158"/>
      <c r="K234" s="158"/>
      <c r="L234" s="158"/>
      <c r="M234" s="158"/>
      <c r="N234" s="158"/>
    </row>
    <row r="235" spans="3:14" x14ac:dyDescent="0.35">
      <c r="C235" s="158"/>
      <c r="D235" s="158"/>
      <c r="E235" s="158"/>
      <c r="F235" s="158"/>
      <c r="G235" s="158"/>
      <c r="H235" s="158"/>
      <c r="I235" s="158"/>
      <c r="J235" s="158"/>
      <c r="K235" s="158"/>
      <c r="L235" s="158"/>
      <c r="M235" s="158"/>
      <c r="N235" s="158"/>
    </row>
    <row r="236" spans="3:14" x14ac:dyDescent="0.35">
      <c r="C236" s="158"/>
      <c r="D236" s="158"/>
      <c r="E236" s="158"/>
      <c r="F236" s="158"/>
      <c r="G236" s="158"/>
      <c r="H236" s="158"/>
      <c r="I236" s="158"/>
      <c r="J236" s="158"/>
      <c r="K236" s="158"/>
      <c r="L236" s="158"/>
      <c r="M236" s="158"/>
      <c r="N236" s="158"/>
    </row>
    <row r="237" spans="3:14" x14ac:dyDescent="0.35">
      <c r="C237" s="158"/>
      <c r="D237" s="158"/>
      <c r="E237" s="158"/>
      <c r="F237" s="158"/>
      <c r="G237" s="158"/>
      <c r="H237" s="158"/>
      <c r="I237" s="158"/>
      <c r="J237" s="158"/>
      <c r="K237" s="158"/>
      <c r="L237" s="158"/>
      <c r="M237" s="158"/>
      <c r="N237" s="158"/>
    </row>
    <row r="238" spans="3:14" x14ac:dyDescent="0.35">
      <c r="C238" s="158"/>
      <c r="D238" s="158"/>
      <c r="E238" s="158"/>
      <c r="F238" s="158"/>
      <c r="G238" s="158"/>
      <c r="H238" s="158"/>
      <c r="I238" s="158"/>
      <c r="J238" s="158"/>
      <c r="K238" s="158"/>
      <c r="L238" s="158"/>
      <c r="M238" s="158"/>
      <c r="N238" s="158"/>
    </row>
    <row r="239" spans="3:14" x14ac:dyDescent="0.35">
      <c r="C239" s="158"/>
      <c r="D239" s="158"/>
      <c r="E239" s="158"/>
      <c r="F239" s="158"/>
      <c r="G239" s="158"/>
      <c r="H239" s="158"/>
      <c r="I239" s="158"/>
      <c r="J239" s="158"/>
      <c r="K239" s="158"/>
      <c r="L239" s="158"/>
      <c r="M239" s="158"/>
      <c r="N239" s="158"/>
    </row>
    <row r="240" spans="3:14" x14ac:dyDescent="0.35">
      <c r="C240" s="158"/>
      <c r="D240" s="158"/>
      <c r="E240" s="158"/>
      <c r="F240" s="158"/>
      <c r="G240" s="158"/>
      <c r="H240" s="158"/>
      <c r="I240" s="158"/>
      <c r="J240" s="158"/>
      <c r="K240" s="158"/>
      <c r="L240" s="158"/>
      <c r="M240" s="158"/>
      <c r="N240" s="158"/>
    </row>
    <row r="241" spans="3:14" x14ac:dyDescent="0.35">
      <c r="C241" s="158"/>
      <c r="D241" s="158"/>
      <c r="E241" s="158"/>
      <c r="F241" s="158"/>
      <c r="G241" s="158"/>
      <c r="H241" s="158"/>
      <c r="I241" s="158"/>
      <c r="J241" s="158"/>
      <c r="K241" s="158"/>
      <c r="L241" s="158"/>
      <c r="M241" s="158"/>
      <c r="N241" s="158"/>
    </row>
    <row r="242" spans="3:14" x14ac:dyDescent="0.35">
      <c r="C242" s="158"/>
      <c r="D242" s="158"/>
      <c r="E242" s="158"/>
      <c r="F242" s="158"/>
      <c r="G242" s="158"/>
      <c r="H242" s="158"/>
      <c r="I242" s="158"/>
      <c r="J242" s="158"/>
      <c r="K242" s="158"/>
      <c r="L242" s="158"/>
      <c r="M242" s="158"/>
      <c r="N242" s="158"/>
    </row>
    <row r="243" spans="3:14" x14ac:dyDescent="0.35">
      <c r="C243" s="158"/>
      <c r="D243" s="158"/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</row>
    <row r="244" spans="3:14" x14ac:dyDescent="0.35">
      <c r="C244" s="158"/>
      <c r="D244" s="158"/>
      <c r="E244" s="158"/>
      <c r="F244" s="158"/>
      <c r="G244" s="158"/>
      <c r="H244" s="158"/>
      <c r="I244" s="158"/>
      <c r="J244" s="158"/>
      <c r="K244" s="158"/>
      <c r="L244" s="158"/>
      <c r="M244" s="158"/>
      <c r="N244" s="158"/>
    </row>
    <row r="245" spans="3:14" x14ac:dyDescent="0.35">
      <c r="C245" s="158"/>
      <c r="D245" s="158"/>
      <c r="E245" s="158"/>
      <c r="F245" s="158"/>
      <c r="G245" s="158"/>
      <c r="H245" s="158"/>
      <c r="I245" s="158"/>
      <c r="J245" s="158"/>
      <c r="K245" s="158"/>
      <c r="L245" s="158"/>
      <c r="M245" s="158"/>
      <c r="N245" s="158"/>
    </row>
    <row r="246" spans="3:14" x14ac:dyDescent="0.35">
      <c r="C246" s="158"/>
      <c r="D246" s="158"/>
      <c r="E246" s="158"/>
      <c r="F246" s="158"/>
      <c r="G246" s="158"/>
      <c r="H246" s="158"/>
      <c r="I246" s="158"/>
      <c r="J246" s="158"/>
      <c r="K246" s="158"/>
      <c r="L246" s="158"/>
      <c r="M246" s="158"/>
      <c r="N246" s="158"/>
    </row>
    <row r="247" spans="3:14" x14ac:dyDescent="0.35">
      <c r="C247" s="158"/>
      <c r="D247" s="158"/>
      <c r="E247" s="158"/>
      <c r="F247" s="158"/>
      <c r="G247" s="158"/>
      <c r="H247" s="158"/>
      <c r="I247" s="158"/>
      <c r="J247" s="158"/>
      <c r="K247" s="158"/>
      <c r="L247" s="158"/>
      <c r="M247" s="158"/>
      <c r="N247" s="158"/>
    </row>
    <row r="248" spans="3:14" x14ac:dyDescent="0.35">
      <c r="C248" s="158"/>
      <c r="D248" s="158"/>
      <c r="E248" s="158"/>
      <c r="F248" s="158"/>
      <c r="G248" s="158"/>
      <c r="H248" s="158"/>
      <c r="I248" s="158"/>
      <c r="J248" s="158"/>
      <c r="K248" s="158"/>
      <c r="L248" s="158"/>
      <c r="M248" s="158"/>
      <c r="N248" s="158"/>
    </row>
    <row r="249" spans="3:14" x14ac:dyDescent="0.35">
      <c r="C249" s="158"/>
      <c r="D249" s="158"/>
      <c r="E249" s="158"/>
      <c r="F249" s="158"/>
      <c r="G249" s="158"/>
      <c r="H249" s="158"/>
      <c r="I249" s="158"/>
      <c r="J249" s="158"/>
      <c r="K249" s="158"/>
      <c r="L249" s="158"/>
      <c r="M249" s="158"/>
      <c r="N249" s="158"/>
    </row>
    <row r="250" spans="3:14" x14ac:dyDescent="0.35">
      <c r="C250" s="158"/>
      <c r="D250" s="158"/>
      <c r="E250" s="158"/>
      <c r="F250" s="158"/>
      <c r="G250" s="158"/>
      <c r="H250" s="158"/>
      <c r="I250" s="158"/>
      <c r="J250" s="158"/>
      <c r="K250" s="158"/>
      <c r="L250" s="158"/>
      <c r="M250" s="158"/>
      <c r="N250" s="158"/>
    </row>
    <row r="251" spans="3:14" x14ac:dyDescent="0.35">
      <c r="C251" s="158"/>
      <c r="D251" s="158"/>
      <c r="E251" s="158"/>
      <c r="F251" s="158"/>
      <c r="G251" s="158"/>
      <c r="H251" s="158"/>
      <c r="I251" s="158"/>
      <c r="J251" s="158"/>
      <c r="K251" s="158"/>
      <c r="L251" s="158"/>
      <c r="M251" s="158"/>
      <c r="N251" s="158"/>
    </row>
    <row r="252" spans="3:14" x14ac:dyDescent="0.35">
      <c r="C252" s="158"/>
      <c r="D252" s="158"/>
      <c r="E252" s="158"/>
      <c r="F252" s="158"/>
      <c r="G252" s="158"/>
      <c r="H252" s="158"/>
      <c r="I252" s="158"/>
      <c r="J252" s="158"/>
      <c r="K252" s="158"/>
      <c r="L252" s="158"/>
      <c r="M252" s="158"/>
      <c r="N252" s="158"/>
    </row>
    <row r="253" spans="3:14" x14ac:dyDescent="0.35">
      <c r="C253" s="158"/>
      <c r="D253" s="158"/>
      <c r="E253" s="158"/>
      <c r="F253" s="158"/>
      <c r="G253" s="158"/>
      <c r="H253" s="158"/>
      <c r="I253" s="158"/>
      <c r="J253" s="158"/>
      <c r="K253" s="158"/>
      <c r="L253" s="158"/>
      <c r="M253" s="158"/>
      <c r="N253" s="158"/>
    </row>
    <row r="254" spans="3:14" x14ac:dyDescent="0.35">
      <c r="C254" s="158"/>
      <c r="D254" s="158"/>
      <c r="E254" s="158"/>
      <c r="F254" s="158"/>
      <c r="G254" s="158"/>
      <c r="H254" s="158"/>
      <c r="I254" s="158"/>
      <c r="J254" s="158"/>
      <c r="K254" s="158"/>
      <c r="L254" s="158"/>
      <c r="M254" s="158"/>
      <c r="N254" s="158"/>
    </row>
    <row r="255" spans="3:14" x14ac:dyDescent="0.35">
      <c r="C255" s="158"/>
      <c r="D255" s="158"/>
      <c r="E255" s="158"/>
      <c r="F255" s="158"/>
      <c r="G255" s="158"/>
      <c r="H255" s="158"/>
      <c r="I255" s="158"/>
      <c r="J255" s="158"/>
      <c r="K255" s="158"/>
      <c r="L255" s="158"/>
      <c r="M255" s="158"/>
      <c r="N255" s="158"/>
    </row>
    <row r="256" spans="3:14" x14ac:dyDescent="0.35">
      <c r="C256" s="158"/>
      <c r="D256" s="158"/>
      <c r="E256" s="158"/>
      <c r="F256" s="158"/>
      <c r="G256" s="158"/>
      <c r="H256" s="158"/>
      <c r="I256" s="158"/>
      <c r="J256" s="158"/>
      <c r="K256" s="158"/>
      <c r="L256" s="158"/>
      <c r="M256" s="158"/>
      <c r="N256" s="158"/>
    </row>
    <row r="257" spans="3:14" x14ac:dyDescent="0.35">
      <c r="C257" s="158"/>
      <c r="D257" s="158"/>
      <c r="E257" s="158"/>
      <c r="F257" s="158"/>
      <c r="G257" s="158"/>
      <c r="H257" s="158"/>
      <c r="I257" s="158"/>
      <c r="J257" s="158"/>
      <c r="K257" s="158"/>
      <c r="L257" s="158"/>
      <c r="M257" s="158"/>
      <c r="N257" s="158"/>
    </row>
    <row r="258" spans="3:14" x14ac:dyDescent="0.35">
      <c r="C258" s="158"/>
      <c r="D258" s="158"/>
      <c r="E258" s="158"/>
      <c r="F258" s="158"/>
      <c r="G258" s="158"/>
      <c r="H258" s="158"/>
      <c r="I258" s="158"/>
      <c r="J258" s="158"/>
      <c r="K258" s="158"/>
      <c r="L258" s="158"/>
      <c r="M258" s="158"/>
      <c r="N258" s="158"/>
    </row>
    <row r="259" spans="3:14" x14ac:dyDescent="0.35">
      <c r="C259" s="158"/>
      <c r="D259" s="158"/>
      <c r="E259" s="158"/>
      <c r="F259" s="158"/>
      <c r="G259" s="158"/>
      <c r="H259" s="158"/>
      <c r="I259" s="158"/>
      <c r="J259" s="158"/>
      <c r="K259" s="158"/>
      <c r="L259" s="158"/>
      <c r="M259" s="158"/>
      <c r="N259" s="158"/>
    </row>
    <row r="260" spans="3:14" x14ac:dyDescent="0.35">
      <c r="C260" s="158"/>
      <c r="D260" s="158"/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</row>
    <row r="261" spans="3:14" x14ac:dyDescent="0.35">
      <c r="C261" s="158"/>
      <c r="D261" s="158"/>
      <c r="E261" s="158"/>
      <c r="F261" s="158"/>
      <c r="G261" s="158"/>
      <c r="H261" s="158"/>
      <c r="I261" s="158"/>
      <c r="J261" s="158"/>
      <c r="K261" s="158"/>
      <c r="L261" s="158"/>
      <c r="M261" s="158"/>
      <c r="N261" s="158"/>
    </row>
    <row r="262" spans="3:14" x14ac:dyDescent="0.35">
      <c r="C262" s="158"/>
      <c r="D262" s="158"/>
      <c r="E262" s="158"/>
      <c r="F262" s="158"/>
      <c r="G262" s="158"/>
      <c r="H262" s="158"/>
      <c r="I262" s="158"/>
      <c r="J262" s="158"/>
      <c r="K262" s="158"/>
      <c r="L262" s="158"/>
      <c r="M262" s="158"/>
      <c r="N262" s="158"/>
    </row>
    <row r="263" spans="3:14" x14ac:dyDescent="0.35">
      <c r="C263" s="158"/>
      <c r="D263" s="158"/>
      <c r="E263" s="158"/>
      <c r="F263" s="158"/>
      <c r="G263" s="158"/>
      <c r="H263" s="158"/>
      <c r="I263" s="158"/>
      <c r="J263" s="158"/>
      <c r="K263" s="158"/>
      <c r="L263" s="158"/>
      <c r="M263" s="158"/>
      <c r="N263" s="158"/>
    </row>
    <row r="264" spans="3:14" x14ac:dyDescent="0.35">
      <c r="C264" s="158"/>
      <c r="D264" s="158"/>
      <c r="E264" s="158"/>
      <c r="F264" s="158"/>
      <c r="G264" s="158"/>
      <c r="H264" s="158"/>
      <c r="I264" s="158"/>
      <c r="J264" s="158"/>
      <c r="K264" s="158"/>
      <c r="L264" s="158"/>
      <c r="M264" s="158"/>
      <c r="N264" s="158"/>
    </row>
    <row r="265" spans="3:14" x14ac:dyDescent="0.35">
      <c r="C265" s="158"/>
      <c r="D265" s="158"/>
      <c r="E265" s="158"/>
      <c r="F265" s="158"/>
      <c r="G265" s="158"/>
      <c r="H265" s="158"/>
      <c r="I265" s="158"/>
      <c r="J265" s="158"/>
      <c r="K265" s="158"/>
      <c r="L265" s="158"/>
      <c r="M265" s="158"/>
      <c r="N265" s="158"/>
    </row>
    <row r="266" spans="3:14" x14ac:dyDescent="0.35">
      <c r="C266" s="158"/>
      <c r="D266" s="158"/>
      <c r="E266" s="158"/>
      <c r="F266" s="158"/>
      <c r="G266" s="158"/>
      <c r="H266" s="158"/>
      <c r="I266" s="158"/>
      <c r="J266" s="158"/>
      <c r="K266" s="158"/>
      <c r="L266" s="158"/>
      <c r="M266" s="158"/>
      <c r="N266" s="158"/>
    </row>
    <row r="267" spans="3:14" x14ac:dyDescent="0.35">
      <c r="C267" s="158"/>
      <c r="D267" s="158"/>
      <c r="E267" s="158"/>
      <c r="F267" s="158"/>
      <c r="G267" s="158"/>
      <c r="H267" s="158"/>
      <c r="I267" s="158"/>
      <c r="J267" s="158"/>
      <c r="K267" s="158"/>
      <c r="L267" s="158"/>
      <c r="M267" s="158"/>
      <c r="N267" s="158"/>
    </row>
    <row r="268" spans="3:14" x14ac:dyDescent="0.35">
      <c r="C268" s="158"/>
      <c r="D268" s="158"/>
      <c r="E268" s="158"/>
      <c r="F268" s="158"/>
      <c r="G268" s="158"/>
      <c r="H268" s="158"/>
      <c r="I268" s="158"/>
      <c r="J268" s="158"/>
      <c r="K268" s="158"/>
      <c r="L268" s="158"/>
      <c r="M268" s="158"/>
      <c r="N268" s="158"/>
    </row>
    <row r="269" spans="3:14" x14ac:dyDescent="0.35">
      <c r="C269" s="158"/>
      <c r="D269" s="158"/>
      <c r="E269" s="158"/>
      <c r="F269" s="158"/>
      <c r="G269" s="158"/>
      <c r="H269" s="158"/>
      <c r="I269" s="158"/>
      <c r="J269" s="158"/>
      <c r="K269" s="158"/>
      <c r="L269" s="158"/>
      <c r="M269" s="158"/>
      <c r="N269" s="158"/>
    </row>
    <row r="270" spans="3:14" x14ac:dyDescent="0.35">
      <c r="C270" s="158"/>
      <c r="D270" s="158"/>
      <c r="E270" s="158"/>
      <c r="F270" s="158"/>
      <c r="G270" s="158"/>
      <c r="H270" s="158"/>
      <c r="I270" s="158"/>
      <c r="J270" s="158"/>
      <c r="K270" s="158"/>
      <c r="L270" s="158"/>
      <c r="M270" s="158"/>
      <c r="N270" s="158"/>
    </row>
    <row r="271" spans="3:14" x14ac:dyDescent="0.35">
      <c r="C271" s="158"/>
      <c r="D271" s="158"/>
      <c r="E271" s="158"/>
      <c r="F271" s="158"/>
      <c r="G271" s="158"/>
      <c r="H271" s="158"/>
      <c r="I271" s="158"/>
      <c r="J271" s="158"/>
      <c r="K271" s="158"/>
      <c r="L271" s="158"/>
      <c r="M271" s="158"/>
      <c r="N271" s="158"/>
    </row>
    <row r="272" spans="3:14" x14ac:dyDescent="0.35">
      <c r="C272" s="158"/>
      <c r="D272" s="158"/>
      <c r="E272" s="158"/>
      <c r="F272" s="158"/>
      <c r="G272" s="158"/>
      <c r="H272" s="158"/>
      <c r="I272" s="158"/>
      <c r="J272" s="158"/>
      <c r="K272" s="158"/>
      <c r="L272" s="158"/>
      <c r="M272" s="158"/>
      <c r="N272" s="158"/>
    </row>
    <row r="273" spans="3:14" x14ac:dyDescent="0.35">
      <c r="C273" s="158"/>
      <c r="D273" s="158"/>
      <c r="E273" s="158"/>
      <c r="F273" s="158"/>
      <c r="G273" s="158"/>
      <c r="H273" s="158"/>
      <c r="I273" s="158"/>
      <c r="J273" s="158"/>
      <c r="K273" s="158"/>
      <c r="L273" s="158"/>
      <c r="M273" s="158"/>
      <c r="N273" s="158"/>
    </row>
    <row r="274" spans="3:14" x14ac:dyDescent="0.35">
      <c r="C274" s="158"/>
      <c r="D274" s="158"/>
      <c r="E274" s="158"/>
      <c r="F274" s="158"/>
      <c r="G274" s="158"/>
      <c r="H274" s="158"/>
      <c r="I274" s="158"/>
      <c r="J274" s="158"/>
      <c r="K274" s="158"/>
      <c r="L274" s="158"/>
      <c r="M274" s="158"/>
      <c r="N274" s="158"/>
    </row>
    <row r="275" spans="3:14" x14ac:dyDescent="0.35">
      <c r="C275" s="158"/>
      <c r="D275" s="158"/>
      <c r="E275" s="158"/>
      <c r="F275" s="158"/>
      <c r="G275" s="158"/>
      <c r="H275" s="158"/>
      <c r="I275" s="158"/>
      <c r="J275" s="158"/>
      <c r="K275" s="158"/>
      <c r="L275" s="158"/>
      <c r="M275" s="158"/>
      <c r="N275" s="158"/>
    </row>
  </sheetData>
  <phoneticPr fontId="25" type="noConversion"/>
  <conditionalFormatting sqref="O1:O1048576">
    <cfRule type="cellIs" dxfId="11" priority="5" operator="equal">
      <formula>3</formula>
    </cfRule>
    <cfRule type="cellIs" dxfId="10" priority="6" operator="equal">
      <formula>2</formula>
    </cfRule>
    <cfRule type="cellIs" dxfId="9" priority="7" operator="equal">
      <formula>4</formula>
    </cfRule>
    <cfRule type="cellIs" dxfId="8" priority="8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Sorting">
                <anchor moveWithCells="1" sizeWithCells="1">
                  <from>
                    <xdr:col>16</xdr:col>
                    <xdr:colOff>190500</xdr:colOff>
                    <xdr:row>0</xdr:row>
                    <xdr:rowOff>66675</xdr:rowOff>
                  </from>
                  <to>
                    <xdr:col>17</xdr:col>
                    <xdr:colOff>885825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4C230-E9C5-4998-8813-D62AE81A50A0}">
  <dimension ref="A1:AP66"/>
  <sheetViews>
    <sheetView zoomScale="85" zoomScaleNormal="85" workbookViewId="0">
      <pane ySplit="2" topLeftCell="A3" activePane="bottomLeft" state="frozen"/>
      <selection pane="bottomLeft" activeCell="Q39" sqref="Q39"/>
    </sheetView>
  </sheetViews>
  <sheetFormatPr defaultRowHeight="21" x14ac:dyDescent="0.35"/>
  <cols>
    <col min="1" max="1" width="10.36328125" style="387" customWidth="1"/>
    <col min="2" max="2" width="2.81640625" style="387" customWidth="1"/>
    <col min="3" max="3" width="7" style="502" customWidth="1"/>
    <col min="4" max="4" width="9.54296875" style="502" customWidth="1"/>
    <col min="5" max="12" width="2.1796875" style="503" customWidth="1"/>
    <col min="13" max="13" width="10.08984375" style="502" bestFit="1" customWidth="1"/>
    <col min="14" max="14" width="3.1796875" style="502" customWidth="1"/>
    <col min="15" max="15" width="11.1796875" style="387" customWidth="1"/>
    <col min="16" max="16" width="3.1796875" style="387" customWidth="1"/>
    <col min="17" max="18" width="8" style="502" customWidth="1"/>
    <col min="19" max="26" width="2.1796875" style="387" customWidth="1"/>
    <col min="27" max="27" width="8.7265625" style="502" customWidth="1"/>
    <col min="28" max="28" width="2.1796875" style="387" customWidth="1"/>
    <col min="29" max="29" width="10.08984375" style="388" hidden="1" customWidth="1"/>
    <col min="30" max="30" width="9.6328125" style="507" customWidth="1"/>
    <col min="31" max="41" width="3.90625" style="507" customWidth="1"/>
    <col min="42" max="42" width="10.08984375" style="502" customWidth="1"/>
    <col min="43" max="16384" width="8.7265625" style="387"/>
  </cols>
  <sheetData>
    <row r="1" spans="1:41" ht="21.75" thickBot="1" x14ac:dyDescent="0.4">
      <c r="A1" s="578" t="s">
        <v>172</v>
      </c>
      <c r="B1" s="578"/>
      <c r="C1" s="578"/>
      <c r="D1" s="578"/>
      <c r="E1" s="578"/>
      <c r="F1" s="578"/>
      <c r="G1" s="578"/>
      <c r="H1" s="578"/>
      <c r="I1" s="578"/>
      <c r="J1" s="578"/>
      <c r="K1" s="578"/>
      <c r="L1" s="578"/>
      <c r="O1" s="578" t="s">
        <v>173</v>
      </c>
      <c r="P1" s="578"/>
      <c r="Q1" s="578"/>
      <c r="R1" s="578"/>
      <c r="S1" s="578"/>
      <c r="T1" s="578"/>
      <c r="U1" s="578"/>
      <c r="V1" s="578"/>
      <c r="W1" s="578"/>
      <c r="X1" s="578"/>
      <c r="Y1" s="578"/>
      <c r="Z1" s="578"/>
    </row>
    <row r="2" spans="1:41" ht="21.75" thickTop="1" x14ac:dyDescent="0.35">
      <c r="A2" s="387" t="s">
        <v>169</v>
      </c>
      <c r="B2" s="387" t="s">
        <v>170</v>
      </c>
      <c r="C2" s="502" t="s">
        <v>84</v>
      </c>
      <c r="D2" s="502" t="s">
        <v>86</v>
      </c>
      <c r="E2" s="503" t="s">
        <v>41</v>
      </c>
      <c r="F2" s="503" t="s">
        <v>42</v>
      </c>
      <c r="G2" s="503" t="s">
        <v>43</v>
      </c>
      <c r="H2" s="503" t="s">
        <v>44</v>
      </c>
      <c r="I2" s="503" t="s">
        <v>45</v>
      </c>
      <c r="J2" s="503" t="s">
        <v>46</v>
      </c>
      <c r="K2" s="503" t="s">
        <v>47</v>
      </c>
      <c r="L2" s="503" t="s">
        <v>48</v>
      </c>
      <c r="M2" s="502" t="s">
        <v>171</v>
      </c>
      <c r="O2" s="387" t="s">
        <v>169</v>
      </c>
      <c r="P2" s="387" t="s">
        <v>99</v>
      </c>
      <c r="Q2" s="502" t="s">
        <v>84</v>
      </c>
      <c r="R2" s="502" t="s">
        <v>86</v>
      </c>
      <c r="S2" s="387" t="s">
        <v>41</v>
      </c>
      <c r="T2" s="387" t="s">
        <v>42</v>
      </c>
      <c r="U2" s="387" t="s">
        <v>43</v>
      </c>
      <c r="V2" s="387" t="s">
        <v>44</v>
      </c>
      <c r="W2" s="387" t="s">
        <v>45</v>
      </c>
      <c r="X2" s="387" t="s">
        <v>46</v>
      </c>
      <c r="Y2" s="387" t="s">
        <v>47</v>
      </c>
      <c r="Z2" s="387" t="s">
        <v>48</v>
      </c>
      <c r="AC2" s="508" t="s">
        <v>174</v>
      </c>
      <c r="AD2" s="508" t="s">
        <v>169</v>
      </c>
      <c r="AE2" s="509" t="s">
        <v>99</v>
      </c>
      <c r="AF2" s="510" t="s">
        <v>84</v>
      </c>
      <c r="AG2" s="510" t="s">
        <v>86</v>
      </c>
      <c r="AH2" s="509" t="s">
        <v>41</v>
      </c>
      <c r="AI2" s="509" t="s">
        <v>42</v>
      </c>
      <c r="AJ2" s="509" t="s">
        <v>43</v>
      </c>
      <c r="AK2" s="509" t="s">
        <v>44</v>
      </c>
      <c r="AL2" s="509" t="s">
        <v>45</v>
      </c>
      <c r="AM2" s="509" t="s">
        <v>46</v>
      </c>
      <c r="AN2" s="509" t="s">
        <v>47</v>
      </c>
      <c r="AO2" s="511" t="s">
        <v>48</v>
      </c>
    </row>
    <row r="3" spans="1:41" x14ac:dyDescent="0.35">
      <c r="A3" s="387" t="s">
        <v>75</v>
      </c>
      <c r="B3" s="387" t="s">
        <v>65</v>
      </c>
      <c r="C3" s="502">
        <v>298.14999999999998</v>
      </c>
      <c r="D3" s="502">
        <v>1500</v>
      </c>
      <c r="E3" s="503">
        <v>3.192504</v>
      </c>
      <c r="F3" s="503">
        <v>33.995229999999999</v>
      </c>
      <c r="G3" s="503">
        <v>5.1932309999999999</v>
      </c>
      <c r="H3" s="503">
        <v>-4.8091060000000002E-4</v>
      </c>
      <c r="I3" s="503">
        <v>9.1439489999999998E-2</v>
      </c>
      <c r="J3" s="503">
        <v>-21.466670000000001</v>
      </c>
      <c r="K3" s="503">
        <v>42.981879999999997</v>
      </c>
      <c r="L3" s="503">
        <v>-45.813839999999999</v>
      </c>
      <c r="M3" s="502">
        <f>AA3</f>
        <v>1</v>
      </c>
      <c r="O3" s="387" t="s">
        <v>75</v>
      </c>
      <c r="P3" s="387" t="s">
        <v>65</v>
      </c>
      <c r="Q3" s="502">
        <v>298.14999999999998</v>
      </c>
      <c r="R3" s="502">
        <v>1500</v>
      </c>
      <c r="S3" s="387">
        <v>3.192504</v>
      </c>
      <c r="T3" s="387">
        <v>33.995229999999999</v>
      </c>
      <c r="U3" s="387">
        <v>5.1932309999999999</v>
      </c>
      <c r="V3" s="387">
        <v>-4.8091060000000002E-4</v>
      </c>
      <c r="W3" s="387">
        <v>9.1439489999999998E-2</v>
      </c>
      <c r="X3" s="387">
        <v>-21.466670000000001</v>
      </c>
      <c r="Y3" s="387">
        <v>42.981879999999997</v>
      </c>
      <c r="Z3" s="387">
        <v>-45.813839999999999</v>
      </c>
      <c r="AA3" s="502">
        <v>1</v>
      </c>
      <c r="AE3" s="507">
        <f>IF(B3=Таблица3[[#This Row],[Фаза]],0,2)</f>
        <v>0</v>
      </c>
      <c r="AF3" s="507">
        <f>IF(C3=Таблица3[[#This Row],[To]],0,IF(ABS((C3-Таблица3[[#This Row],[To]])/(C3+Таблица3[[#This Row],[To]]))&lt;0.01,1,2))</f>
        <v>0</v>
      </c>
      <c r="AG3" s="507">
        <f>IF(D3=Таблица3[[#This Row],[T]],0,IF(ABS((D3-Таблица3[[#This Row],[T]])/(D3+Таблица3[[#This Row],[T]]))&lt;0.01,1,2))</f>
        <v>0</v>
      </c>
      <c r="AH3" s="507">
        <f>IF(E3=Таблица3[[#This Row],[ho]],0,IF(ABS((E3-Таблица3[[#This Row],[ho]])/(E3+Таблица3[[#This Row],[ho]]))&lt;0.01,1,2))</f>
        <v>0</v>
      </c>
      <c r="AI3" s="507">
        <f>IF(F3=Таблица3[[#This Row],[ф1]],0,IF(ABS((F3-Таблица3[[#This Row],[ф1]])/(F3+Таблица3[[#This Row],[ф1]]))&lt;0.01,1,2))</f>
        <v>0</v>
      </c>
      <c r="AJ3" s="507">
        <f>IF(G3=Таблица3[[#This Row],[ф2 *lnX]],0,IF(ABS((G3-Таблица3[[#This Row],[ф2 *lnX]])/(G3+Таблица3[[#This Row],[ф2 *lnX]]))&lt;0.01,1,2))</f>
        <v>0</v>
      </c>
      <c r="AK3" s="507">
        <f>IF(H3=Таблица3[[#This Row],[ф3 *X^(-2)]],0,IF(ABS((H3-Таблица3[[#This Row],[ф3 *X^(-2)]])/(H3+Таблица3[[#This Row],[ф3 *X^(-2)]]))&lt;0.01,1,2))</f>
        <v>0</v>
      </c>
      <c r="AL3" s="507">
        <f>IF(I3=Таблица3[[#This Row],[ф4 *X^(-1)]],0,IF(ABS((I3-Таблица3[[#This Row],[ф4 *X^(-1)]])/(I3+Таблица3[[#This Row],[ф4 *X^(-1)]]))&lt;0.01,1,2))</f>
        <v>0</v>
      </c>
      <c r="AM3" s="507">
        <f>IF(J3=Таблица3[[#This Row],[ф5 *X]],0,IF(ABS((J3-Таблица3[[#This Row],[ф5 *X]])/(J3+Таблица3[[#This Row],[ф5 *X]]))&lt;0.01,1,2))</f>
        <v>0</v>
      </c>
      <c r="AN3" s="507">
        <f>IF(K3=Таблица3[[#This Row],[ф6 *X^2]],0,IF(ABS((K3-Таблица3[[#This Row],[ф6 *X^2]])/(K3+Таблица3[[#This Row],[ф6 *X^2]]))&lt;0.01,1,2))</f>
        <v>0</v>
      </c>
      <c r="AO3" s="507">
        <f>IF(L3=Таблица3[[#This Row],[ф7 *Х^3]],0,IF(ABS((L3-Таблица3[[#This Row],[ф7 *Х^3]])/(L3+Таблица3[[#This Row],[ф7 *Х^3]]))&lt;0.01,1,2))</f>
        <v>0</v>
      </c>
    </row>
    <row r="4" spans="1:41" x14ac:dyDescent="0.35">
      <c r="A4" s="387" t="s">
        <v>75</v>
      </c>
      <c r="B4" s="387" t="s">
        <v>65</v>
      </c>
      <c r="C4" s="502">
        <v>1500</v>
      </c>
      <c r="D4" s="502">
        <v>6000</v>
      </c>
      <c r="E4" s="503">
        <v>3.192504</v>
      </c>
      <c r="F4" s="503">
        <v>27.29757</v>
      </c>
      <c r="G4" s="503">
        <v>2.370241</v>
      </c>
      <c r="H4" s="503">
        <v>2.138671E-3</v>
      </c>
      <c r="I4" s="503">
        <v>-9.5885429999999994E-2</v>
      </c>
      <c r="J4" s="503">
        <v>0.51440149999999996</v>
      </c>
      <c r="K4" s="503">
        <v>-0.49555690000000002</v>
      </c>
      <c r="L4" s="503">
        <v>0.24712329999999999</v>
      </c>
      <c r="M4" s="502">
        <f>AA4</f>
        <v>1</v>
      </c>
      <c r="O4" s="387" t="s">
        <v>75</v>
      </c>
      <c r="P4" s="387" t="s">
        <v>65</v>
      </c>
      <c r="Q4" s="502">
        <v>1500</v>
      </c>
      <c r="R4" s="502">
        <v>6000</v>
      </c>
      <c r="S4" s="387">
        <v>3.192504</v>
      </c>
      <c r="T4" s="387">
        <v>27.29757</v>
      </c>
      <c r="U4" s="387">
        <v>2.370241</v>
      </c>
      <c r="V4" s="387">
        <v>2.138671E-3</v>
      </c>
      <c r="W4" s="387">
        <v>-9.5885429999999994E-2</v>
      </c>
      <c r="X4" s="387">
        <v>0.51440149999999996</v>
      </c>
      <c r="Y4" s="387">
        <v>-0.49555690000000002</v>
      </c>
      <c r="Z4" s="387">
        <v>0.24712329999999999</v>
      </c>
      <c r="AA4" s="502">
        <v>1</v>
      </c>
      <c r="AC4" s="388" t="str">
        <f t="shared" ref="AC4:AC8" si="0">A1</f>
        <v>новое</v>
      </c>
      <c r="AD4" s="507" t="str">
        <f>Таблица3[[#This Row],[Вещество]]</f>
        <v>Ga</v>
      </c>
      <c r="AE4" s="507">
        <f>IF(B4=Таблица3[[#This Row],[Фаза]],0,2)</f>
        <v>0</v>
      </c>
      <c r="AF4" s="507">
        <f>IF(C4=Таблица3[[#This Row],[To]],0,IF(ABS((C4-Таблица3[[#This Row],[To]])/(C4+Таблица3[[#This Row],[To]]))&lt;0.01,1,2))</f>
        <v>0</v>
      </c>
      <c r="AG4" s="507">
        <f>IF(D4=Таблица3[[#This Row],[T]],0,IF(ABS((D4-Таблица3[[#This Row],[T]])/(D4+Таблица3[[#This Row],[T]]))&lt;0.01,1,2))</f>
        <v>0</v>
      </c>
      <c r="AH4" s="507">
        <f>IF(E4=Таблица3[[#This Row],[ho]],0,IF(ABS((E4-Таблица3[[#This Row],[ho]])/(E4+Таблица3[[#This Row],[ho]]))&lt;0.01,1,2))</f>
        <v>0</v>
      </c>
      <c r="AI4" s="507">
        <f>IF(F4=Таблица3[[#This Row],[ф1]],0,IF(ABS((F4-Таблица3[[#This Row],[ф1]])/(F4+Таблица3[[#This Row],[ф1]]))&lt;0.01,1,2))</f>
        <v>0</v>
      </c>
      <c r="AJ4" s="507">
        <f>IF(G4=Таблица3[[#This Row],[ф2 *lnX]],0,IF(ABS((G4-Таблица3[[#This Row],[ф2 *lnX]])/(G4+Таблица3[[#This Row],[ф2 *lnX]]))&lt;0.01,1,2))</f>
        <v>0</v>
      </c>
      <c r="AK4" s="507">
        <f>IF(H4=Таблица3[[#This Row],[ф3 *X^(-2)]],0,IF(ABS((H4-Таблица3[[#This Row],[ф3 *X^(-2)]])/(H4+Таблица3[[#This Row],[ф3 *X^(-2)]]))&lt;0.01,1,2))</f>
        <v>0</v>
      </c>
      <c r="AL4" s="507">
        <f>IF(I4=Таблица3[[#This Row],[ф4 *X^(-1)]],0,IF(ABS((I4-Таблица3[[#This Row],[ф4 *X^(-1)]])/(I4+Таблица3[[#This Row],[ф4 *X^(-1)]]))&lt;0.01,1,2))</f>
        <v>0</v>
      </c>
      <c r="AM4" s="507">
        <f>IF(J4=Таблица3[[#This Row],[ф5 *X]],0,IF(ABS((J4-Таблица3[[#This Row],[ф5 *X]])/(J4+Таблица3[[#This Row],[ф5 *X]]))&lt;0.01,1,2))</f>
        <v>0</v>
      </c>
      <c r="AN4" s="507">
        <f>IF(K4=Таблица3[[#This Row],[ф6 *X^2]],0,IF(ABS((K4-Таблица3[[#This Row],[ф6 *X^2]])/(K4+Таблица3[[#This Row],[ф6 *X^2]]))&lt;0.01,1,2))</f>
        <v>0</v>
      </c>
      <c r="AO4" s="507">
        <f>IF(L4=Таблица3[[#This Row],[ф7 *Х^3]],0,IF(ABS((L4-Таблица3[[#This Row],[ф7 *Х^3]])/(L4+Таблица3[[#This Row],[ф7 *Х^3]]))&lt;0.01,1,2))</f>
        <v>0</v>
      </c>
    </row>
    <row r="5" spans="1:41" ht="21.75" thickBot="1" x14ac:dyDescent="0.4">
      <c r="A5" s="387" t="s">
        <v>75</v>
      </c>
      <c r="B5" s="387" t="s">
        <v>65</v>
      </c>
      <c r="C5" s="502">
        <v>6000</v>
      </c>
      <c r="D5" s="502">
        <v>10000</v>
      </c>
      <c r="E5" s="503">
        <v>3.192504</v>
      </c>
      <c r="F5" s="503">
        <v>31.29327</v>
      </c>
      <c r="G5" s="503">
        <v>7.3013729999999999</v>
      </c>
      <c r="H5" s="503">
        <v>-9.3193609999999996E-2</v>
      </c>
      <c r="I5" s="503">
        <v>1.4353830000000001</v>
      </c>
      <c r="J5" s="503">
        <v>-7.4299809999999997</v>
      </c>
      <c r="K5" s="503">
        <v>2.6981959999999998</v>
      </c>
      <c r="L5" s="503">
        <v>-0.43421900000000002</v>
      </c>
      <c r="M5" s="502">
        <f>AA5</f>
        <v>1</v>
      </c>
      <c r="O5" s="387" t="s">
        <v>75</v>
      </c>
      <c r="P5" s="387" t="s">
        <v>65</v>
      </c>
      <c r="Q5" s="502">
        <v>6000</v>
      </c>
      <c r="R5" s="502">
        <v>10000</v>
      </c>
      <c r="S5" s="387">
        <v>3.192504</v>
      </c>
      <c r="T5" s="387">
        <v>31.29327</v>
      </c>
      <c r="U5" s="387">
        <v>7.3013729999999999</v>
      </c>
      <c r="V5" s="387">
        <v>-9.3193609999999996E-2</v>
      </c>
      <c r="W5" s="387">
        <v>1.4353830000000001</v>
      </c>
      <c r="X5" s="387">
        <v>-7.4299809999999997</v>
      </c>
      <c r="Y5" s="387">
        <v>2.6981959999999998</v>
      </c>
      <c r="Z5" s="387">
        <v>-0.43421900000000002</v>
      </c>
      <c r="AA5" s="502">
        <v>1</v>
      </c>
      <c r="AC5" s="388" t="str">
        <f t="shared" si="0"/>
        <v>Вещество</v>
      </c>
      <c r="AD5" s="507" t="str">
        <f>Таблица3[[#This Row],[Вещество]]</f>
        <v>Ga</v>
      </c>
      <c r="AE5" s="507">
        <f>IF(B5=Таблица3[[#This Row],[Фаза]],0,2)</f>
        <v>0</v>
      </c>
      <c r="AF5" s="507">
        <f>IF(C5=Таблица3[[#This Row],[To]],0,IF(ABS((C5-Таблица3[[#This Row],[To]])/(C5+Таблица3[[#This Row],[To]]))&lt;0.01,1,2))</f>
        <v>0</v>
      </c>
      <c r="AG5" s="507">
        <f>IF(D5=Таблица3[[#This Row],[T]],0,IF(ABS((D5-Таблица3[[#This Row],[T]])/(D5+Таблица3[[#This Row],[T]]))&lt;0.01,1,2))</f>
        <v>0</v>
      </c>
      <c r="AH5" s="507">
        <f>IF(E5=Таблица3[[#This Row],[ho]],0,IF(ABS((E5-Таблица3[[#This Row],[ho]])/(E5+Таблица3[[#This Row],[ho]]))&lt;0.01,1,2))</f>
        <v>0</v>
      </c>
      <c r="AI5" s="507">
        <f>IF(F5=Таблица3[[#This Row],[ф1]],0,IF(ABS((F5-Таблица3[[#This Row],[ф1]])/(F5+Таблица3[[#This Row],[ф1]]))&lt;0.01,1,2))</f>
        <v>0</v>
      </c>
      <c r="AJ5" s="507">
        <f>IF(G5=Таблица3[[#This Row],[ф2 *lnX]],0,IF(ABS((G5-Таблица3[[#This Row],[ф2 *lnX]])/(G5+Таблица3[[#This Row],[ф2 *lnX]]))&lt;0.01,1,2))</f>
        <v>0</v>
      </c>
      <c r="AK5" s="507">
        <f>IF(H5=Таблица3[[#This Row],[ф3 *X^(-2)]],0,IF(ABS((H5-Таблица3[[#This Row],[ф3 *X^(-2)]])/(H5+Таблица3[[#This Row],[ф3 *X^(-2)]]))&lt;0.01,1,2))</f>
        <v>0</v>
      </c>
      <c r="AL5" s="507">
        <f>IF(I5=Таблица3[[#This Row],[ф4 *X^(-1)]],0,IF(ABS((I5-Таблица3[[#This Row],[ф4 *X^(-1)]])/(I5+Таблица3[[#This Row],[ф4 *X^(-1)]]))&lt;0.01,1,2))</f>
        <v>0</v>
      </c>
      <c r="AM5" s="507">
        <f>IF(J5=Таблица3[[#This Row],[ф5 *X]],0,IF(ABS((J5-Таблица3[[#This Row],[ф5 *X]])/(J5+Таблица3[[#This Row],[ф5 *X]]))&lt;0.01,1,2))</f>
        <v>0</v>
      </c>
      <c r="AN5" s="507">
        <f>IF(K5=Таблица3[[#This Row],[ф6 *X^2]],0,IF(ABS((K5-Таблица3[[#This Row],[ф6 *X^2]])/(K5+Таблица3[[#This Row],[ф6 *X^2]]))&lt;0.01,1,2))</f>
        <v>0</v>
      </c>
      <c r="AO5" s="507">
        <f>IF(L5=Таблица3[[#This Row],[ф7 *Х^3]],0,IF(ABS((L5-Таблица3[[#This Row],[ф7 *Х^3]])/(L5+Таблица3[[#This Row],[ф7 *Х^3]]))&lt;0.01,1,2))</f>
        <v>0</v>
      </c>
    </row>
    <row r="6" spans="1:41" ht="21.75" thickBot="1" x14ac:dyDescent="0.4">
      <c r="A6" s="387" t="s">
        <v>75</v>
      </c>
      <c r="B6" s="387" t="s">
        <v>61</v>
      </c>
      <c r="C6" s="502">
        <v>303</v>
      </c>
      <c r="D6" s="502">
        <v>699.99990000000003</v>
      </c>
      <c r="E6" s="503">
        <v>6.7230010000000007E-2</v>
      </c>
      <c r="F6" s="503">
        <v>15.16</v>
      </c>
      <c r="G6" s="503">
        <v>3.1360000000000001</v>
      </c>
      <c r="H6" s="503">
        <v>1.4229999999999999E-4</v>
      </c>
      <c r="I6" s="503">
        <v>8.3939990000000006E-2</v>
      </c>
      <c r="J6" s="503">
        <v>-0.18459999999999999</v>
      </c>
      <c r="K6" s="503">
        <v>0.49309999999999998</v>
      </c>
      <c r="L6" s="503">
        <v>0</v>
      </c>
      <c r="M6" s="523">
        <f>AA6</f>
        <v>1</v>
      </c>
      <c r="O6" s="387" t="s">
        <v>75</v>
      </c>
      <c r="P6" s="387" t="s">
        <v>61</v>
      </c>
      <c r="Q6" s="502">
        <v>302.91000000000003</v>
      </c>
      <c r="R6" s="502">
        <v>700</v>
      </c>
      <c r="S6" s="387">
        <v>6.7231944193878151E-2</v>
      </c>
      <c r="T6" s="387">
        <v>15.161939633818086</v>
      </c>
      <c r="U6" s="387">
        <v>3.1356064706236091</v>
      </c>
      <c r="V6" s="387">
        <v>1.4228155631727706E-4</v>
      </c>
      <c r="W6" s="387">
        <v>8.3943884453347564E-2</v>
      </c>
      <c r="X6" s="387">
        <v>-0.18461723495098922</v>
      </c>
      <c r="Y6" s="387">
        <v>0.49311443863130677</v>
      </c>
      <c r="Z6" s="387">
        <v>0</v>
      </c>
      <c r="AA6" s="502">
        <v>1</v>
      </c>
      <c r="AC6" s="388" t="str">
        <f t="shared" si="0"/>
        <v>Ga</v>
      </c>
      <c r="AD6" s="507" t="str">
        <f>Таблица3[[#This Row],[Вещество]]</f>
        <v>Ga</v>
      </c>
      <c r="AE6" s="507">
        <f>IF(B6=Таблица3[[#This Row],[Фаза]],0,2)</f>
        <v>0</v>
      </c>
      <c r="AF6" s="507">
        <f>IF(C6=Таблица3[[#This Row],[To]],0,IF(ABS((C6-Таблица3[[#This Row],[To]])/(C6+Таблица3[[#This Row],[To]]))&lt;0.01,1,2))</f>
        <v>1</v>
      </c>
      <c r="AG6" s="507">
        <f>IF(D6=Таблица3[[#This Row],[T]],0,IF(ABS((D6-Таблица3[[#This Row],[T]])/(D6+Таблица3[[#This Row],[T]]))&lt;0.01,1,2))</f>
        <v>1</v>
      </c>
      <c r="AH6" s="507">
        <f>IF(E6=Таблица3[[#This Row],[ho]],0,IF(ABS((E6-Таблица3[[#This Row],[ho]])/(E6+Таблица3[[#This Row],[ho]]))&lt;0.01,1,2))</f>
        <v>1</v>
      </c>
      <c r="AI6" s="507">
        <f>IF(F6=Таблица3[[#This Row],[ф1]],0,IF(ABS((F6-Таблица3[[#This Row],[ф1]])/(F6+Таблица3[[#This Row],[ф1]]))&lt;0.01,1,2))</f>
        <v>1</v>
      </c>
      <c r="AJ6" s="507">
        <f>IF(G6=Таблица3[[#This Row],[ф2 *lnX]],0,IF(ABS((G6-Таблица3[[#This Row],[ф2 *lnX]])/(G6+Таблица3[[#This Row],[ф2 *lnX]]))&lt;0.01,1,2))</f>
        <v>1</v>
      </c>
      <c r="AK6" s="507">
        <f>IF(H6=Таблица3[[#This Row],[ф3 *X^(-2)]],0,IF(ABS((H6-Таблица3[[#This Row],[ф3 *X^(-2)]])/(H6+Таблица3[[#This Row],[ф3 *X^(-2)]]))&lt;0.01,1,2))</f>
        <v>1</v>
      </c>
      <c r="AL6" s="507">
        <f>IF(I6=Таблица3[[#This Row],[ф4 *X^(-1)]],0,IF(ABS((I6-Таблица3[[#This Row],[ф4 *X^(-1)]])/(I6+Таблица3[[#This Row],[ф4 *X^(-1)]]))&lt;0.01,1,2))</f>
        <v>1</v>
      </c>
      <c r="AM6" s="507">
        <f>IF(J6=Таблица3[[#This Row],[ф5 *X]],0,IF(ABS((J6-Таблица3[[#This Row],[ф5 *X]])/(J6+Таблица3[[#This Row],[ф5 *X]]))&lt;0.01,1,2))</f>
        <v>1</v>
      </c>
      <c r="AN6" s="507">
        <f>IF(K6=Таблица3[[#This Row],[ф6 *X^2]],0,IF(ABS((K6-Таблица3[[#This Row],[ф6 *X^2]])/(K6+Таблица3[[#This Row],[ф6 *X^2]]))&lt;0.01,1,2))</f>
        <v>1</v>
      </c>
      <c r="AO6" s="507">
        <f>IF(L6=Таблица3[[#This Row],[ф7 *Х^3]],0,IF(ABS((L6-Таблица3[[#This Row],[ф7 *Х^3]])/(L6+Таблица3[[#This Row],[ф7 *Х^3]]))&lt;0.01,1,2))</f>
        <v>0</v>
      </c>
    </row>
    <row r="7" spans="1:41" ht="21.75" thickBot="1" x14ac:dyDescent="0.4">
      <c r="A7" s="387" t="s">
        <v>75</v>
      </c>
      <c r="B7" s="387" t="s">
        <v>61</v>
      </c>
      <c r="C7" s="502">
        <v>699.99990000000003</v>
      </c>
      <c r="D7" s="502">
        <v>4000.0010000000002</v>
      </c>
      <c r="E7" s="503">
        <v>6.7230010000000007E-2</v>
      </c>
      <c r="F7" s="503">
        <v>15.16</v>
      </c>
      <c r="G7" s="503">
        <v>3.1349999999999998</v>
      </c>
      <c r="H7" s="503">
        <v>1.4249999999999999E-4</v>
      </c>
      <c r="I7" s="503">
        <v>8.3929989999999996E-2</v>
      </c>
      <c r="J7" s="503">
        <v>-0.18099999999999999</v>
      </c>
      <c r="K7" s="503">
        <v>0.48309999999999997</v>
      </c>
      <c r="L7" s="503">
        <v>0</v>
      </c>
      <c r="M7" s="502">
        <f>AA8</f>
        <v>1</v>
      </c>
      <c r="O7" s="518" t="s">
        <v>75</v>
      </c>
      <c r="P7" s="518" t="s">
        <v>61</v>
      </c>
      <c r="Q7" s="519">
        <v>303</v>
      </c>
      <c r="R7" s="519">
        <v>699.99990000000003</v>
      </c>
      <c r="S7" s="518">
        <v>0</v>
      </c>
      <c r="T7" s="518">
        <v>14.61</v>
      </c>
      <c r="U7" s="518">
        <v>2.9321999999999999</v>
      </c>
      <c r="V7" s="518">
        <v>1.8641999999999999E-4</v>
      </c>
      <c r="W7" s="518">
        <v>9.2508020000000007E-3</v>
      </c>
      <c r="X7" s="518">
        <v>1.3771</v>
      </c>
      <c r="Y7" s="518">
        <v>0</v>
      </c>
      <c r="Z7" s="518">
        <v>0</v>
      </c>
      <c r="AC7" s="388" t="str">
        <f t="shared" si="0"/>
        <v>Ga</v>
      </c>
      <c r="AD7" s="507" t="str">
        <f>Таблица3[[#This Row],[Вещество]]</f>
        <v>Ga</v>
      </c>
    </row>
    <row r="8" spans="1:41" ht="21.75" thickBot="1" x14ac:dyDescent="0.4">
      <c r="A8" s="387" t="s">
        <v>75</v>
      </c>
      <c r="B8" s="387" t="s">
        <v>69</v>
      </c>
      <c r="C8" s="502">
        <v>298.14999999999998</v>
      </c>
      <c r="D8" s="502">
        <v>303</v>
      </c>
      <c r="E8" s="503">
        <v>0</v>
      </c>
      <c r="F8" s="503">
        <v>-158.4</v>
      </c>
      <c r="G8" s="503">
        <v>-46.31</v>
      </c>
      <c r="H8" s="503">
        <v>3.9409989999999997E-3</v>
      </c>
      <c r="I8" s="506">
        <v>-0.93300000000000005</v>
      </c>
      <c r="J8" s="506">
        <v>1042.105</v>
      </c>
      <c r="K8" s="503">
        <v>-4041.9989999999998</v>
      </c>
      <c r="L8" s="503">
        <v>0</v>
      </c>
      <c r="M8" s="523">
        <f>AA10</f>
        <v>1</v>
      </c>
      <c r="O8" s="387" t="s">
        <v>75</v>
      </c>
      <c r="P8" s="387" t="s">
        <v>61</v>
      </c>
      <c r="Q8" s="502">
        <v>700</v>
      </c>
      <c r="R8" s="502">
        <v>4000</v>
      </c>
      <c r="S8" s="387">
        <v>6.7231944193878151E-2</v>
      </c>
      <c r="T8" s="387">
        <v>15.161231791276917</v>
      </c>
      <c r="U8" s="387">
        <v>3.1353659269950085</v>
      </c>
      <c r="V8" s="387">
        <v>1.4252209994587768E-4</v>
      </c>
      <c r="W8" s="387">
        <v>8.3930978142227303E-2</v>
      </c>
      <c r="X8" s="387">
        <v>-0.18100908052197964</v>
      </c>
      <c r="Y8" s="387">
        <v>0.48309178743961351</v>
      </c>
      <c r="Z8" s="387">
        <v>0</v>
      </c>
      <c r="AA8" s="502">
        <v>1</v>
      </c>
      <c r="AC8" s="388" t="str">
        <f t="shared" si="0"/>
        <v>Ga</v>
      </c>
      <c r="AD8" s="507" t="str">
        <f>Таблица3[[#This Row],[Вещество]]</f>
        <v>Ga</v>
      </c>
      <c r="AE8" s="507">
        <f>IF(B7=Таблица3[[#This Row],[Фаза]],0,2)</f>
        <v>0</v>
      </c>
      <c r="AF8" s="507">
        <f>IF(C7=Таблица3[[#This Row],[To]],0,IF(ABS((C7-Таблица3[[#This Row],[To]])/(C7+Таблица3[[#This Row],[To]]))&lt;0.01,1,2))</f>
        <v>1</v>
      </c>
      <c r="AG8" s="507">
        <f>IF(D7=Таблица3[[#This Row],[T]],0,IF(ABS((D7-Таблица3[[#This Row],[T]])/(D7+Таблица3[[#This Row],[T]]))&lt;0.01,1,2))</f>
        <v>1</v>
      </c>
      <c r="AH8" s="507">
        <f>IF(E7=Таблица3[[#This Row],[ho]],0,IF(ABS((E7-Таблица3[[#This Row],[ho]])/(E7+Таблица3[[#This Row],[ho]]))&lt;0.01,1,2))</f>
        <v>1</v>
      </c>
      <c r="AI8" s="507">
        <f>IF(F7=Таблица3[[#This Row],[ф1]],0,IF(ABS((F7-Таблица3[[#This Row],[ф1]])/(F7+Таблица3[[#This Row],[ф1]]))&lt;0.01,1,2))</f>
        <v>1</v>
      </c>
      <c r="AJ8" s="507">
        <f>IF(G7=Таблица3[[#This Row],[ф2 *lnX]],0,IF(ABS((G7-Таблица3[[#This Row],[ф2 *lnX]])/(G7+Таблица3[[#This Row],[ф2 *lnX]]))&lt;0.01,1,2))</f>
        <v>1</v>
      </c>
      <c r="AK8" s="507">
        <f>IF(H7=Таблица3[[#This Row],[ф3 *X^(-2)]],0,IF(ABS((H7-Таблица3[[#This Row],[ф3 *X^(-2)]])/(H7+Таблица3[[#This Row],[ф3 *X^(-2)]]))&lt;0.01,1,2))</f>
        <v>1</v>
      </c>
      <c r="AL8" s="507">
        <f>IF(I7=Таблица3[[#This Row],[ф4 *X^(-1)]],0,IF(ABS((I7-Таблица3[[#This Row],[ф4 *X^(-1)]])/(I7+Таблица3[[#This Row],[ф4 *X^(-1)]]))&lt;0.01,1,2))</f>
        <v>1</v>
      </c>
      <c r="AM8" s="507">
        <f>IF(J7=Таблица3[[#This Row],[ф5 *X]],0,IF(ABS((J7-Таблица3[[#This Row],[ф5 *X]])/(J7+Таблица3[[#This Row],[ф5 *X]]))&lt;0.01,1,2))</f>
        <v>1</v>
      </c>
      <c r="AN8" s="507">
        <f>IF(K7=Таблица3[[#This Row],[ф6 *X^2]],0,IF(ABS((K7-Таблица3[[#This Row],[ф6 *X^2]])/(K7+Таблица3[[#This Row],[ф6 *X^2]]))&lt;0.01,1,2))</f>
        <v>1</v>
      </c>
      <c r="AO8" s="507">
        <f>IF(L7=Таблица3[[#This Row],[ф7 *Х^3]],0,IF(ABS((L7-Таблица3[[#This Row],[ф7 *Х^3]])/(L7+Таблица3[[#This Row],[ф7 *Х^3]]))&lt;0.01,1,2))</f>
        <v>0</v>
      </c>
    </row>
    <row r="9" spans="1:41" x14ac:dyDescent="0.35">
      <c r="A9" s="387" t="s">
        <v>168</v>
      </c>
      <c r="B9" s="387" t="s">
        <v>69</v>
      </c>
      <c r="C9" s="502">
        <v>298.14999999999998</v>
      </c>
      <c r="D9" s="502">
        <v>500.00009999999997</v>
      </c>
      <c r="E9" s="503">
        <v>-39.299999999999997</v>
      </c>
      <c r="F9" s="503">
        <v>1631</v>
      </c>
      <c r="G9" s="503">
        <v>409.1</v>
      </c>
      <c r="H9" s="503">
        <v>-8.7220010000000001E-3</v>
      </c>
      <c r="I9" s="503">
        <v>10.75</v>
      </c>
      <c r="J9" s="503">
        <v>-3528</v>
      </c>
      <c r="K9" s="503">
        <v>20750</v>
      </c>
      <c r="L9" s="503">
        <v>0</v>
      </c>
      <c r="M9" s="520">
        <f t="shared" ref="M9:M38" si="1">AA12</f>
        <v>1</v>
      </c>
      <c r="O9" s="518" t="s">
        <v>75</v>
      </c>
      <c r="P9" s="518" t="s">
        <v>69</v>
      </c>
      <c r="Q9" s="519">
        <v>298.14999999999998</v>
      </c>
      <c r="R9" s="519">
        <v>302.92</v>
      </c>
      <c r="S9" s="518">
        <v>-6.7018670000000002E-2</v>
      </c>
      <c r="T9" s="518">
        <v>-1611406</v>
      </c>
      <c r="U9" s="518">
        <v>-370772.3</v>
      </c>
      <c r="V9" s="518">
        <v>0</v>
      </c>
      <c r="W9" s="518">
        <v>-2763.64</v>
      </c>
      <c r="X9" s="518">
        <v>18653810</v>
      </c>
      <c r="Y9" s="518">
        <v>-208550600</v>
      </c>
      <c r="Z9" s="518">
        <v>1165804000</v>
      </c>
      <c r="AC9" s="388" t="str">
        <f t="shared" ref="AC9:AC20" si="2">A6</f>
        <v>Ga</v>
      </c>
      <c r="AD9" s="507" t="str">
        <f>Таблица3[[#This Row],[Вещество]]</f>
        <v>Ga</v>
      </c>
    </row>
    <row r="10" spans="1:41" x14ac:dyDescent="0.35">
      <c r="A10" s="387" t="s">
        <v>151</v>
      </c>
      <c r="B10" s="387" t="s">
        <v>69</v>
      </c>
      <c r="C10" s="502">
        <v>298</v>
      </c>
      <c r="D10" s="502">
        <v>500.00009999999997</v>
      </c>
      <c r="E10" s="503">
        <v>-1.81</v>
      </c>
      <c r="F10" s="503">
        <v>71.790000000000006</v>
      </c>
      <c r="G10" s="503">
        <v>17.87</v>
      </c>
      <c r="H10" s="503">
        <v>-2.9069989999999998E-4</v>
      </c>
      <c r="I10" s="503">
        <v>0.49080000000000001</v>
      </c>
      <c r="J10" s="503">
        <v>-110.5</v>
      </c>
      <c r="K10" s="503">
        <v>691.6</v>
      </c>
      <c r="L10" s="503">
        <v>0</v>
      </c>
      <c r="M10" s="521">
        <f t="shared" si="1"/>
        <v>1</v>
      </c>
      <c r="O10" s="387" t="s">
        <v>75</v>
      </c>
      <c r="P10" s="387" t="s">
        <v>69</v>
      </c>
      <c r="Q10" s="502">
        <v>298.14999999999998</v>
      </c>
      <c r="R10" s="502">
        <v>302.91000000000003</v>
      </c>
      <c r="S10" s="387">
        <v>0</v>
      </c>
      <c r="T10" s="387">
        <v>-158.39844524532509</v>
      </c>
      <c r="U10" s="387">
        <v>-46.311022911780618</v>
      </c>
      <c r="V10" s="387">
        <v>3.9413674905285946E-3</v>
      </c>
      <c r="W10" s="387">
        <v>-0.93301705784567912</v>
      </c>
      <c r="X10" s="505">
        <v>1042.105358109327</v>
      </c>
      <c r="Y10" s="387">
        <v>-4041.5078076452774</v>
      </c>
      <c r="Z10" s="387">
        <v>0</v>
      </c>
      <c r="AA10" s="502">
        <v>1</v>
      </c>
      <c r="AC10" s="388" t="str">
        <f t="shared" si="2"/>
        <v>Ga</v>
      </c>
      <c r="AD10" s="507" t="str">
        <f>Таблица3[[#This Row],[Вещество]]</f>
        <v>Ga</v>
      </c>
      <c r="AE10" s="507">
        <f>IF(B8=Таблица3[[#This Row],[Фаза]],0,2)</f>
        <v>0</v>
      </c>
      <c r="AF10" s="507">
        <f>IF(C8=Таблица3[[#This Row],[To]],0,IF(ABS((C8-Таблица3[[#This Row],[To]])/(C8+Таблица3[[#This Row],[To]]))&lt;0.01,1,2))</f>
        <v>0</v>
      </c>
      <c r="AG10" s="507">
        <f>IF(D8=Таблица3[[#This Row],[T]],0,IF(ABS((D8-Таблица3[[#This Row],[T]])/(D8+Таблица3[[#This Row],[T]]))&lt;0.01,1,2))</f>
        <v>1</v>
      </c>
      <c r="AH10" s="507">
        <f>IF(E8=Таблица3[[#This Row],[ho]],0,IF(ABS((E8-Таблица3[[#This Row],[ho]])/(E8+Таблица3[[#This Row],[ho]]))&lt;0.01,1,2))</f>
        <v>0</v>
      </c>
      <c r="AI10" s="507">
        <f>IF(F8=Таблица3[[#This Row],[ф1]],0,IF(ABS((F8-Таблица3[[#This Row],[ф1]])/(F8+Таблица3[[#This Row],[ф1]]))&lt;0.01,1,2))</f>
        <v>1</v>
      </c>
      <c r="AJ10" s="507">
        <f>IF(G8=Таблица3[[#This Row],[ф2 *lnX]],0,IF(ABS((G8-Таблица3[[#This Row],[ф2 *lnX]])/(G8+Таблица3[[#This Row],[ф2 *lnX]]))&lt;0.01,1,2))</f>
        <v>1</v>
      </c>
      <c r="AK10" s="507">
        <f>IF(H8=Таблица3[[#This Row],[ф3 *X^(-2)]],0,IF(ABS((H8-Таблица3[[#This Row],[ф3 *X^(-2)]])/(H8+Таблица3[[#This Row],[ф3 *X^(-2)]]))&lt;0.01,1,2))</f>
        <v>1</v>
      </c>
      <c r="AL10" s="507">
        <f>IF(I8=Таблица3[[#This Row],[ф4 *X^(-1)]],0,IF(ABS((I8-Таблица3[[#This Row],[ф4 *X^(-1)]])/(I8+Таблица3[[#This Row],[ф4 *X^(-1)]]))&lt;0.01,1,2))</f>
        <v>1</v>
      </c>
      <c r="AM10" s="507">
        <f>IF(J8=Таблица3[[#This Row],[ф5 *X]],0,IF(ABS((J8-Таблица3[[#This Row],[ф5 *X]])/(J8+Таблица3[[#This Row],[ф5 *X]]))&lt;0.01,1,2))</f>
        <v>1</v>
      </c>
      <c r="AN10" s="507">
        <f>IF(K8=Таблица3[[#This Row],[ф6 *X^2]],0,IF(ABS((K8-Таблица3[[#This Row],[ф6 *X^2]])/(K8+Таблица3[[#This Row],[ф6 *X^2]]))&lt;0.01,1,2))</f>
        <v>1</v>
      </c>
      <c r="AO10" s="507">
        <f>IF(L8=Таблица3[[#This Row],[ф7 *Х^3]],0,IF(ABS((L8-Таблица3[[#This Row],[ф7 *Х^3]])/(L8+Таблица3[[#This Row],[ф7 *Х^3]]))&lt;0.01,1,2))</f>
        <v>0</v>
      </c>
    </row>
    <row r="11" spans="1:41" x14ac:dyDescent="0.35">
      <c r="A11" s="387" t="s">
        <v>109</v>
      </c>
      <c r="B11" s="387" t="s">
        <v>65</v>
      </c>
      <c r="C11" s="502">
        <v>298.14999999999998</v>
      </c>
      <c r="D11" s="502">
        <v>1100</v>
      </c>
      <c r="E11" s="503">
        <v>5.2149859999999997</v>
      </c>
      <c r="F11" s="503">
        <v>41.701000000000001</v>
      </c>
      <c r="G11" s="503">
        <v>4.0561670000000003</v>
      </c>
      <c r="H11" s="503">
        <v>2.357301E-5</v>
      </c>
      <c r="I11" s="503">
        <v>0.12889</v>
      </c>
      <c r="J11" s="503">
        <v>11.272</v>
      </c>
      <c r="K11" s="503">
        <v>-9.1847989999999999</v>
      </c>
      <c r="L11" s="503">
        <v>0</v>
      </c>
      <c r="M11" s="521">
        <f t="shared" si="1"/>
        <v>1</v>
      </c>
      <c r="O11" s="518" t="s">
        <v>75</v>
      </c>
      <c r="P11" s="518" t="s">
        <v>69</v>
      </c>
      <c r="Q11" s="519">
        <v>302.92</v>
      </c>
      <c r="R11" s="519">
        <v>4000</v>
      </c>
      <c r="S11" s="518">
        <v>-6.7018670000000002E-2</v>
      </c>
      <c r="T11" s="518">
        <v>15.167669999999999</v>
      </c>
      <c r="U11" s="518">
        <v>3.135516</v>
      </c>
      <c r="V11" s="518">
        <v>1.4234849999999999E-4</v>
      </c>
      <c r="W11" s="518">
        <v>-5.0186000000000001E-2</v>
      </c>
      <c r="X11" s="518">
        <v>-0.18101780000000001</v>
      </c>
      <c r="Y11" s="518">
        <v>0.48311500000000002</v>
      </c>
      <c r="Z11" s="518">
        <v>0</v>
      </c>
      <c r="AC11" s="388" t="str">
        <f t="shared" si="2"/>
        <v>Ga</v>
      </c>
      <c r="AD11" s="507" t="str">
        <f>Таблица3[[#This Row],[Вещество]]</f>
        <v>Ga</v>
      </c>
    </row>
    <row r="12" spans="1:41" x14ac:dyDescent="0.35">
      <c r="A12" s="387" t="s">
        <v>109</v>
      </c>
      <c r="B12" s="387" t="s">
        <v>65</v>
      </c>
      <c r="C12" s="502">
        <v>1100</v>
      </c>
      <c r="D12" s="502">
        <v>2500</v>
      </c>
      <c r="E12" s="503">
        <v>5.2149859999999997</v>
      </c>
      <c r="F12" s="503">
        <v>43.677999999999997</v>
      </c>
      <c r="G12" s="503">
        <v>4.8509000000000002</v>
      </c>
      <c r="H12" s="503">
        <v>-3.7446989999999998E-4</v>
      </c>
      <c r="I12" s="503">
        <v>0.1716596</v>
      </c>
      <c r="J12" s="503">
        <v>5.0346000000000002</v>
      </c>
      <c r="K12" s="503">
        <v>-0.32273000000000002</v>
      </c>
      <c r="L12" s="503">
        <v>0</v>
      </c>
      <c r="M12" s="521">
        <f t="shared" si="1"/>
        <v>1</v>
      </c>
      <c r="O12" s="387" t="s">
        <v>152</v>
      </c>
      <c r="P12" s="387" t="s">
        <v>69</v>
      </c>
      <c r="Q12" s="502">
        <v>298.14999999999998</v>
      </c>
      <c r="R12" s="502">
        <v>500</v>
      </c>
      <c r="S12" s="387">
        <v>-39.271554633471638</v>
      </c>
      <c r="T12" s="387">
        <v>1630.5742035912474</v>
      </c>
      <c r="U12" s="387">
        <v>409.0716136667869</v>
      </c>
      <c r="V12" s="387">
        <v>-8.7218112935233631E-3</v>
      </c>
      <c r="W12" s="387">
        <v>10.745207452038418</v>
      </c>
      <c r="X12" s="387">
        <v>-3527.9541171017495</v>
      </c>
      <c r="Y12" s="387">
        <v>20747.399122015755</v>
      </c>
      <c r="Z12" s="387">
        <v>0</v>
      </c>
      <c r="AA12" s="502">
        <v>1</v>
      </c>
      <c r="AC12" s="388" t="str">
        <f t="shared" si="2"/>
        <v>Ga10Ge30S</v>
      </c>
      <c r="AD12" s="507" t="str">
        <f>Таблица3[[#This Row],[Вещество]]</f>
        <v>Ga10Ge30Se60</v>
      </c>
      <c r="AE12" s="507">
        <f>IF(B9=Таблица3[[#This Row],[Фаза]],0,2)</f>
        <v>0</v>
      </c>
      <c r="AF12" s="507">
        <f>IF(C9=Таблица3[[#This Row],[To]],0,IF(ABS((C9-Таблица3[[#This Row],[To]])/(C9+Таблица3[[#This Row],[To]]))&lt;0.01,1,2))</f>
        <v>0</v>
      </c>
      <c r="AG12" s="507">
        <f>IF(D9=Таблица3[[#This Row],[T]],0,IF(ABS((D9-Таблица3[[#This Row],[T]])/(D9+Таблица3[[#This Row],[T]]))&lt;0.01,1,2))</f>
        <v>1</v>
      </c>
      <c r="AH12" s="507">
        <f>IF(E9=Таблица3[[#This Row],[ho]],0,IF(ABS((E9-Таблица3[[#This Row],[ho]])/(E9+Таблица3[[#This Row],[ho]]))&lt;0.01,1,2))</f>
        <v>1</v>
      </c>
      <c r="AI12" s="507">
        <f>IF(F9=Таблица3[[#This Row],[ф1]],0,IF(ABS((F9-Таблица3[[#This Row],[ф1]])/(F9+Таблица3[[#This Row],[ф1]]))&lt;0.01,1,2))</f>
        <v>1</v>
      </c>
      <c r="AJ12" s="507">
        <f>IF(G9=Таблица3[[#This Row],[ф2 *lnX]],0,IF(ABS((G9-Таблица3[[#This Row],[ф2 *lnX]])/(G9+Таблица3[[#This Row],[ф2 *lnX]]))&lt;0.01,1,2))</f>
        <v>1</v>
      </c>
      <c r="AK12" s="507">
        <f>IF(H9=Таблица3[[#This Row],[ф3 *X^(-2)]],0,IF(ABS((H9-Таблица3[[#This Row],[ф3 *X^(-2)]])/(H9+Таблица3[[#This Row],[ф3 *X^(-2)]]))&lt;0.01,1,2))</f>
        <v>1</v>
      </c>
      <c r="AL12" s="507">
        <f>IF(I9=Таблица3[[#This Row],[ф4 *X^(-1)]],0,IF(ABS((I9-Таблица3[[#This Row],[ф4 *X^(-1)]])/(I9+Таблица3[[#This Row],[ф4 *X^(-1)]]))&lt;0.01,1,2))</f>
        <v>1</v>
      </c>
      <c r="AM12" s="507">
        <f>IF(J9=Таблица3[[#This Row],[ф5 *X]],0,IF(ABS((J9-Таблица3[[#This Row],[ф5 *X]])/(J9+Таблица3[[#This Row],[ф5 *X]]))&lt;0.01,1,2))</f>
        <v>1</v>
      </c>
      <c r="AN12" s="507">
        <f>IF(K9=Таблица3[[#This Row],[ф6 *X^2]],0,IF(ABS((K9-Таблица3[[#This Row],[ф6 *X^2]])/(K9+Таблица3[[#This Row],[ф6 *X^2]]))&lt;0.01,1,2))</f>
        <v>1</v>
      </c>
      <c r="AO12" s="507">
        <f>IF(L9=Таблица3[[#This Row],[ф7 *Х^3]],0,IF(ABS((L9-Таблица3[[#This Row],[ф7 *Х^3]])/(L9+Таблица3[[#This Row],[ф7 *Х^3]]))&lt;0.01,1,2))</f>
        <v>0</v>
      </c>
    </row>
    <row r="13" spans="1:41" x14ac:dyDescent="0.35">
      <c r="A13" s="387" t="s">
        <v>149</v>
      </c>
      <c r="B13" s="387" t="s">
        <v>69</v>
      </c>
      <c r="C13" s="502">
        <v>298</v>
      </c>
      <c r="D13" s="502">
        <v>500.00009999999997</v>
      </c>
      <c r="E13" s="503">
        <v>-2.39</v>
      </c>
      <c r="F13" s="503">
        <v>74.769990000000007</v>
      </c>
      <c r="G13" s="503">
        <v>18.14</v>
      </c>
      <c r="H13" s="503">
        <v>0</v>
      </c>
      <c r="I13" s="503">
        <v>0.56850000000000001</v>
      </c>
      <c r="J13" s="503">
        <v>31.1</v>
      </c>
      <c r="K13" s="503">
        <v>0</v>
      </c>
      <c r="L13" s="503">
        <v>0</v>
      </c>
      <c r="M13" s="521">
        <f t="shared" si="1"/>
        <v>1</v>
      </c>
      <c r="O13" s="387" t="s">
        <v>151</v>
      </c>
      <c r="P13" s="387" t="s">
        <v>69</v>
      </c>
      <c r="Q13" s="502">
        <v>298.14999999999998</v>
      </c>
      <c r="R13" s="502">
        <v>500</v>
      </c>
      <c r="S13" s="387">
        <v>-1.8108390642852847</v>
      </c>
      <c r="T13" s="387">
        <v>71.793803453041576</v>
      </c>
      <c r="U13" s="387">
        <v>17.874387122226231</v>
      </c>
      <c r="V13" s="387">
        <v>-2.9072704311744544E-4</v>
      </c>
      <c r="W13" s="387">
        <v>0.49084358173461395</v>
      </c>
      <c r="X13" s="387">
        <v>-110.52047057005831</v>
      </c>
      <c r="Y13" s="387">
        <v>691.57997073385854</v>
      </c>
      <c r="Z13" s="387">
        <v>0</v>
      </c>
      <c r="AA13" s="502">
        <v>1</v>
      </c>
      <c r="AC13" s="388" t="str">
        <f t="shared" si="2"/>
        <v>Ga1Ge1Se3</v>
      </c>
      <c r="AD13" s="507" t="str">
        <f>Таблица3[[#This Row],[Вещество]]</f>
        <v>Ga1Ge1Se3</v>
      </c>
      <c r="AE13" s="507">
        <f>IF(B10=Таблица3[[#This Row],[Фаза]],0,2)</f>
        <v>0</v>
      </c>
      <c r="AF13" s="507">
        <f>IF(C10=Таблица3[[#This Row],[To]],0,IF(ABS((C10-Таблица3[[#This Row],[To]])/(C10+Таблица3[[#This Row],[To]]))&lt;0.01,1,2))</f>
        <v>1</v>
      </c>
      <c r="AG13" s="507">
        <f>IF(D10=Таблица3[[#This Row],[T]],0,IF(ABS((D10-Таблица3[[#This Row],[T]])/(D10+Таблица3[[#This Row],[T]]))&lt;0.01,1,2))</f>
        <v>1</v>
      </c>
      <c r="AH13" s="507">
        <f>IF(E10=Таблица3[[#This Row],[ho]],0,IF(ABS((E10-Таблица3[[#This Row],[ho]])/(E10+Таблица3[[#This Row],[ho]]))&lt;0.01,1,2))</f>
        <v>1</v>
      </c>
      <c r="AI13" s="507">
        <f>IF(F10=Таблица3[[#This Row],[ф1]],0,IF(ABS((F10-Таблица3[[#This Row],[ф1]])/(F10+Таблица3[[#This Row],[ф1]]))&lt;0.01,1,2))</f>
        <v>1</v>
      </c>
      <c r="AJ13" s="507">
        <f>IF(G10=Таблица3[[#This Row],[ф2 *lnX]],0,IF(ABS((G10-Таблица3[[#This Row],[ф2 *lnX]])/(G10+Таблица3[[#This Row],[ф2 *lnX]]))&lt;0.01,1,2))</f>
        <v>1</v>
      </c>
      <c r="AK13" s="507">
        <f>IF(H10=Таблица3[[#This Row],[ф3 *X^(-2)]],0,IF(ABS((H10-Таблица3[[#This Row],[ф3 *X^(-2)]])/(H10+Таблица3[[#This Row],[ф3 *X^(-2)]]))&lt;0.01,1,2))</f>
        <v>1</v>
      </c>
      <c r="AL13" s="507">
        <f>IF(I10=Таблица3[[#This Row],[ф4 *X^(-1)]],0,IF(ABS((I10-Таблица3[[#This Row],[ф4 *X^(-1)]])/(I10+Таблица3[[#This Row],[ф4 *X^(-1)]]))&lt;0.01,1,2))</f>
        <v>1</v>
      </c>
      <c r="AM13" s="507">
        <f>IF(J10=Таблица3[[#This Row],[ф5 *X]],0,IF(ABS((J10-Таблица3[[#This Row],[ф5 *X]])/(J10+Таблица3[[#This Row],[ф5 *X]]))&lt;0.01,1,2))</f>
        <v>1</v>
      </c>
      <c r="AN13" s="507">
        <f>IF(K10=Таблица3[[#This Row],[ф6 *X^2]],0,IF(ABS((K10-Таблица3[[#This Row],[ф6 *X^2]])/(K10+Таблица3[[#This Row],[ф6 *X^2]]))&lt;0.01,1,2))</f>
        <v>1</v>
      </c>
      <c r="AO13" s="507">
        <f>IF(L10=Таблица3[[#This Row],[ф7 *Х^3]],0,IF(ABS((L10-Таблица3[[#This Row],[ф7 *Х^3]])/(L10+Таблица3[[#This Row],[ф7 *Х^3]]))&lt;0.01,1,2))</f>
        <v>0</v>
      </c>
    </row>
    <row r="14" spans="1:41" x14ac:dyDescent="0.35">
      <c r="A14" s="387" t="s">
        <v>155</v>
      </c>
      <c r="B14" s="387" t="s">
        <v>69</v>
      </c>
      <c r="C14" s="502">
        <v>298.14999999999998</v>
      </c>
      <c r="D14" s="502">
        <v>500.00009999999997</v>
      </c>
      <c r="E14" s="503">
        <v>-4.8600000000000003</v>
      </c>
      <c r="F14" s="503">
        <v>212.3999</v>
      </c>
      <c r="G14" s="503">
        <v>53.359990000000003</v>
      </c>
      <c r="H14" s="503">
        <v>-1.163E-3</v>
      </c>
      <c r="I14" s="503">
        <v>1.395</v>
      </c>
      <c r="J14" s="503">
        <v>-473.2</v>
      </c>
      <c r="K14" s="503">
        <v>2766</v>
      </c>
      <c r="L14" s="503">
        <v>0</v>
      </c>
      <c r="M14" s="521">
        <f t="shared" si="1"/>
        <v>1</v>
      </c>
      <c r="O14" s="387" t="s">
        <v>109</v>
      </c>
      <c r="P14" s="387" t="s">
        <v>65</v>
      </c>
      <c r="Q14" s="502">
        <v>298.14999999999998</v>
      </c>
      <c r="R14" s="502">
        <v>1100</v>
      </c>
      <c r="S14" s="387">
        <v>5.2149859999999997</v>
      </c>
      <c r="T14" s="387">
        <v>41.701000000000001</v>
      </c>
      <c r="U14" s="387">
        <v>4.0561670000000003</v>
      </c>
      <c r="V14" s="387">
        <v>2.357301E-5</v>
      </c>
      <c r="W14" s="387">
        <v>0.12889</v>
      </c>
      <c r="X14" s="387">
        <v>11.272</v>
      </c>
      <c r="Y14" s="387">
        <v>-9.1847989999999999</v>
      </c>
      <c r="Z14" s="387">
        <v>0</v>
      </c>
      <c r="AA14" s="502">
        <v>1</v>
      </c>
      <c r="AC14" s="388" t="str">
        <f t="shared" si="2"/>
        <v>Ga2</v>
      </c>
      <c r="AD14" s="507" t="str">
        <f>Таблица3[[#This Row],[Вещество]]</f>
        <v>Ga2</v>
      </c>
      <c r="AE14" s="507">
        <f>IF(B11=Таблица3[[#This Row],[Фаза]],0,2)</f>
        <v>0</v>
      </c>
      <c r="AF14" s="507">
        <f>IF(C11=Таблица3[[#This Row],[To]],0,IF(ABS((C11-Таблица3[[#This Row],[To]])/(C11+Таблица3[[#This Row],[To]]))&lt;0.01,1,2))</f>
        <v>0</v>
      </c>
      <c r="AG14" s="507">
        <f>IF(D11=Таблица3[[#This Row],[T]],0,IF(ABS((D11-Таблица3[[#This Row],[T]])/(D11+Таблица3[[#This Row],[T]]))&lt;0.01,1,2))</f>
        <v>0</v>
      </c>
      <c r="AH14" s="507">
        <f>IF(E11=Таблица3[[#This Row],[ho]],0,IF(ABS((E11-Таблица3[[#This Row],[ho]])/(E11+Таблица3[[#This Row],[ho]]))&lt;0.01,1,2))</f>
        <v>0</v>
      </c>
      <c r="AI14" s="507">
        <f>IF(F11=Таблица3[[#This Row],[ф1]],0,IF(ABS((F11-Таблица3[[#This Row],[ф1]])/(F11+Таблица3[[#This Row],[ф1]]))&lt;0.01,1,2))</f>
        <v>0</v>
      </c>
      <c r="AJ14" s="507">
        <f>IF(G11=Таблица3[[#This Row],[ф2 *lnX]],0,IF(ABS((G11-Таблица3[[#This Row],[ф2 *lnX]])/(G11+Таблица3[[#This Row],[ф2 *lnX]]))&lt;0.01,1,2))</f>
        <v>0</v>
      </c>
      <c r="AK14" s="507">
        <f>IF(H11=Таблица3[[#This Row],[ф3 *X^(-2)]],0,IF(ABS((H11-Таблица3[[#This Row],[ф3 *X^(-2)]])/(H11+Таблица3[[#This Row],[ф3 *X^(-2)]]))&lt;0.01,1,2))</f>
        <v>0</v>
      </c>
      <c r="AL14" s="507">
        <f>IF(I11=Таблица3[[#This Row],[ф4 *X^(-1)]],0,IF(ABS((I11-Таблица3[[#This Row],[ф4 *X^(-1)]])/(I11+Таблица3[[#This Row],[ф4 *X^(-1)]]))&lt;0.01,1,2))</f>
        <v>0</v>
      </c>
      <c r="AM14" s="507">
        <f>IF(J11=Таблица3[[#This Row],[ф5 *X]],0,IF(ABS((J11-Таблица3[[#This Row],[ф5 *X]])/(J11+Таблица3[[#This Row],[ф5 *X]]))&lt;0.01,1,2))</f>
        <v>0</v>
      </c>
      <c r="AN14" s="507">
        <f>IF(K11=Таблица3[[#This Row],[ф6 *X^2]],0,IF(ABS((K11-Таблица3[[#This Row],[ф6 *X^2]])/(K11+Таблица3[[#This Row],[ф6 *X^2]]))&lt;0.01,1,2))</f>
        <v>0</v>
      </c>
      <c r="AO14" s="507">
        <f>IF(L11=Таблица3[[#This Row],[ф7 *Х^3]],0,IF(ABS((L11-Таблица3[[#This Row],[ф7 *Х^3]])/(L11+Таблица3[[#This Row],[ф7 *Х^3]]))&lt;0.01,1,2))</f>
        <v>0</v>
      </c>
    </row>
    <row r="15" spans="1:41" x14ac:dyDescent="0.35">
      <c r="A15" s="387" t="s">
        <v>154</v>
      </c>
      <c r="B15" s="387" t="s">
        <v>69</v>
      </c>
      <c r="C15" s="502">
        <v>298.14999999999998</v>
      </c>
      <c r="D15" s="502">
        <v>500.00009999999997</v>
      </c>
      <c r="E15" s="503">
        <v>-5.34</v>
      </c>
      <c r="F15" s="503">
        <v>188.5</v>
      </c>
      <c r="G15" s="503">
        <v>46.599989999999998</v>
      </c>
      <c r="H15" s="503">
        <v>-5.8149999999999999E-4</v>
      </c>
      <c r="I15" s="503">
        <v>1.323</v>
      </c>
      <c r="J15" s="503">
        <v>-201.3</v>
      </c>
      <c r="K15" s="503">
        <v>1383</v>
      </c>
      <c r="L15" s="503">
        <v>0</v>
      </c>
      <c r="M15" s="521">
        <f t="shared" si="1"/>
        <v>1</v>
      </c>
      <c r="O15" s="387" t="s">
        <v>109</v>
      </c>
      <c r="P15" s="387" t="s">
        <v>65</v>
      </c>
      <c r="Q15" s="502">
        <v>1100</v>
      </c>
      <c r="R15" s="502">
        <v>2500</v>
      </c>
      <c r="S15" s="387">
        <v>5.2149859999999997</v>
      </c>
      <c r="T15" s="387">
        <v>43.677999999999997</v>
      </c>
      <c r="U15" s="387">
        <v>4.8509000000000002</v>
      </c>
      <c r="V15" s="387">
        <v>-3.7446989999999998E-4</v>
      </c>
      <c r="W15" s="387">
        <v>0.1716596</v>
      </c>
      <c r="X15" s="387">
        <v>5.0346000000000002</v>
      </c>
      <c r="Y15" s="387">
        <v>-0.32273000000000002</v>
      </c>
      <c r="Z15" s="387">
        <v>0</v>
      </c>
      <c r="AA15" s="502">
        <v>1</v>
      </c>
      <c r="AC15" s="388" t="str">
        <f t="shared" si="2"/>
        <v>Ga2</v>
      </c>
      <c r="AD15" s="507" t="str">
        <f>Таблица3[[#This Row],[Вещество]]</f>
        <v>Ga2</v>
      </c>
      <c r="AE15" s="507">
        <f>IF(B12=Таблица3[[#This Row],[Фаза]],0,2)</f>
        <v>0</v>
      </c>
      <c r="AF15" s="507">
        <f>IF(C12=Таблица3[[#This Row],[To]],0,IF(ABS((C12-Таблица3[[#This Row],[To]])/(C12+Таблица3[[#This Row],[To]]))&lt;0.01,1,2))</f>
        <v>0</v>
      </c>
      <c r="AG15" s="507">
        <f>IF(D12=Таблица3[[#This Row],[T]],0,IF(ABS((D12-Таблица3[[#This Row],[T]])/(D12+Таблица3[[#This Row],[T]]))&lt;0.01,1,2))</f>
        <v>0</v>
      </c>
      <c r="AH15" s="507">
        <f>IF(E12=Таблица3[[#This Row],[ho]],0,IF(ABS((E12-Таблица3[[#This Row],[ho]])/(E12+Таблица3[[#This Row],[ho]]))&lt;0.01,1,2))</f>
        <v>0</v>
      </c>
      <c r="AI15" s="507">
        <f>IF(F12=Таблица3[[#This Row],[ф1]],0,IF(ABS((F12-Таблица3[[#This Row],[ф1]])/(F12+Таблица3[[#This Row],[ф1]]))&lt;0.01,1,2))</f>
        <v>0</v>
      </c>
      <c r="AJ15" s="507">
        <f>IF(G12=Таблица3[[#This Row],[ф2 *lnX]],0,IF(ABS((G12-Таблица3[[#This Row],[ф2 *lnX]])/(G12+Таблица3[[#This Row],[ф2 *lnX]]))&lt;0.01,1,2))</f>
        <v>0</v>
      </c>
      <c r="AK15" s="507">
        <f>IF(H12=Таблица3[[#This Row],[ф3 *X^(-2)]],0,IF(ABS((H12-Таблица3[[#This Row],[ф3 *X^(-2)]])/(H12+Таблица3[[#This Row],[ф3 *X^(-2)]]))&lt;0.01,1,2))</f>
        <v>0</v>
      </c>
      <c r="AL15" s="507">
        <f>IF(I12=Таблица3[[#This Row],[ф4 *X^(-1)]],0,IF(ABS((I12-Таблица3[[#This Row],[ф4 *X^(-1)]])/(I12+Таблица3[[#This Row],[ф4 *X^(-1)]]))&lt;0.01,1,2))</f>
        <v>0</v>
      </c>
      <c r="AM15" s="507">
        <f>IF(J12=Таблица3[[#This Row],[ф5 *X]],0,IF(ABS((J12-Таблица3[[#This Row],[ф5 *X]])/(J12+Таблица3[[#This Row],[ф5 *X]]))&lt;0.01,1,2))</f>
        <v>0</v>
      </c>
      <c r="AN15" s="507">
        <f>IF(K12=Таблица3[[#This Row],[ф6 *X^2]],0,IF(ABS((K12-Таблица3[[#This Row],[ф6 *X^2]])/(K12+Таблица3[[#This Row],[ф6 *X^2]]))&lt;0.01,1,2))</f>
        <v>0</v>
      </c>
      <c r="AO15" s="507">
        <f>IF(L12=Таблица3[[#This Row],[ф7 *Х^3]],0,IF(ABS((L12-Таблица3[[#This Row],[ф7 *Х^3]])/(L12+Таблица3[[#This Row],[ф7 *Х^3]]))&lt;0.01,1,2))</f>
        <v>0</v>
      </c>
    </row>
    <row r="16" spans="1:41" x14ac:dyDescent="0.35">
      <c r="A16" s="387" t="s">
        <v>76</v>
      </c>
      <c r="B16" s="387" t="s">
        <v>65</v>
      </c>
      <c r="C16" s="502">
        <v>298.14999999999998</v>
      </c>
      <c r="D16" s="502">
        <v>2000</v>
      </c>
      <c r="E16" s="503">
        <v>1.157</v>
      </c>
      <c r="F16" s="503">
        <v>55.30301</v>
      </c>
      <c r="G16" s="503">
        <v>6.9866000000000001</v>
      </c>
      <c r="H16" s="503">
        <v>-1.7438999999999999E-4</v>
      </c>
      <c r="I16" s="503">
        <v>0.22003</v>
      </c>
      <c r="J16" s="503">
        <v>3.0068000000000001E-2</v>
      </c>
      <c r="K16" s="503">
        <v>0</v>
      </c>
      <c r="L16" s="503">
        <v>0</v>
      </c>
      <c r="M16" s="521">
        <f t="shared" si="1"/>
        <v>1</v>
      </c>
      <c r="O16" s="387" t="s">
        <v>149</v>
      </c>
      <c r="P16" s="387" t="s">
        <v>69</v>
      </c>
      <c r="Q16" s="502">
        <v>298.14999999999998</v>
      </c>
      <c r="R16" s="502">
        <v>500</v>
      </c>
      <c r="S16" s="387">
        <v>-2.3913798664982862</v>
      </c>
      <c r="T16" s="387">
        <v>74.770930000000007</v>
      </c>
      <c r="U16" s="387">
        <v>18.140259</v>
      </c>
      <c r="V16" s="387">
        <v>0</v>
      </c>
      <c r="W16" s="387">
        <v>0.56850120000000004</v>
      </c>
      <c r="X16" s="387">
        <v>31.096289000000002</v>
      </c>
      <c r="Y16" s="387">
        <v>0</v>
      </c>
      <c r="Z16" s="387">
        <v>0</v>
      </c>
      <c r="AA16" s="502">
        <v>1</v>
      </c>
      <c r="AC16" s="388" t="str">
        <f t="shared" si="2"/>
        <v>Ga2Ge1Se4</v>
      </c>
      <c r="AD16" s="507" t="str">
        <f>Таблица3[[#This Row],[Вещество]]</f>
        <v>Ga2Ge1Se4</v>
      </c>
      <c r="AE16" s="507">
        <f>IF(B13=Таблица3[[#This Row],[Фаза]],0,2)</f>
        <v>0</v>
      </c>
      <c r="AF16" s="507">
        <f>IF(C13=Таблица3[[#This Row],[To]],0,IF(ABS((C13-Таблица3[[#This Row],[To]])/(C13+Таблица3[[#This Row],[To]]))&lt;0.01,1,2))</f>
        <v>1</v>
      </c>
      <c r="AG16" s="507">
        <f>IF(D13=Таблица3[[#This Row],[T]],0,IF(ABS((D13-Таблица3[[#This Row],[T]])/(D13+Таблица3[[#This Row],[T]]))&lt;0.01,1,2))</f>
        <v>1</v>
      </c>
      <c r="AH16" s="507">
        <f>IF(E13=Таблица3[[#This Row],[ho]],0,IF(ABS((E13-Таблица3[[#This Row],[ho]])/(E13+Таблица3[[#This Row],[ho]]))&lt;0.01,1,2))</f>
        <v>1</v>
      </c>
      <c r="AI16" s="507">
        <f>IF(F13=Таблица3[[#This Row],[ф1]],0,IF(ABS((F13-Таблица3[[#This Row],[ф1]])/(F13+Таблица3[[#This Row],[ф1]]))&lt;0.01,1,2))</f>
        <v>1</v>
      </c>
      <c r="AJ16" s="507">
        <f>IF(G13=Таблица3[[#This Row],[ф2 *lnX]],0,IF(ABS((G13-Таблица3[[#This Row],[ф2 *lnX]])/(G13+Таблица3[[#This Row],[ф2 *lnX]]))&lt;0.01,1,2))</f>
        <v>1</v>
      </c>
      <c r="AK16" s="507">
        <f>IF(H13=Таблица3[[#This Row],[ф3 *X^(-2)]],0,IF(ABS((H13-Таблица3[[#This Row],[ф3 *X^(-2)]])/(H13+Таблица3[[#This Row],[ф3 *X^(-2)]]))&lt;0.01,1,2))</f>
        <v>0</v>
      </c>
      <c r="AL16" s="507">
        <f>IF(I13=Таблица3[[#This Row],[ф4 *X^(-1)]],0,IF(ABS((I13-Таблица3[[#This Row],[ф4 *X^(-1)]])/(I13+Таблица3[[#This Row],[ф4 *X^(-1)]]))&lt;0.01,1,2))</f>
        <v>1</v>
      </c>
      <c r="AM16" s="507">
        <f>IF(J13=Таблица3[[#This Row],[ф5 *X]],0,IF(ABS((J13-Таблица3[[#This Row],[ф5 *X]])/(J13+Таблица3[[#This Row],[ф5 *X]]))&lt;0.01,1,2))</f>
        <v>1</v>
      </c>
      <c r="AN16" s="507">
        <f>IF(K13=Таблица3[[#This Row],[ф6 *X^2]],0,IF(ABS((K13-Таблица3[[#This Row],[ф6 *X^2]])/(K13+Таблица3[[#This Row],[ф6 *X^2]]))&lt;0.01,1,2))</f>
        <v>0</v>
      </c>
      <c r="AO16" s="507">
        <f>IF(L13=Таблица3[[#This Row],[ф7 *Х^3]],0,IF(ABS((L13-Таблица3[[#This Row],[ф7 *Х^3]])/(L13+Таблица3[[#This Row],[ф7 *Х^3]]))&lt;0.01,1,2))</f>
        <v>0</v>
      </c>
    </row>
    <row r="17" spans="1:41" x14ac:dyDescent="0.35">
      <c r="A17" s="387" t="s">
        <v>76</v>
      </c>
      <c r="B17" s="387" t="s">
        <v>69</v>
      </c>
      <c r="C17" s="502">
        <v>298.14999999999998</v>
      </c>
      <c r="D17" s="502">
        <v>398</v>
      </c>
      <c r="E17" s="503">
        <v>-2.2040000000000002</v>
      </c>
      <c r="F17" s="503">
        <v>13.59</v>
      </c>
      <c r="G17" s="503">
        <v>0</v>
      </c>
      <c r="H17" s="503">
        <v>0</v>
      </c>
      <c r="I17" s="503">
        <v>0</v>
      </c>
      <c r="J17" s="503">
        <v>0</v>
      </c>
      <c r="K17" s="503">
        <v>0</v>
      </c>
      <c r="L17" s="503">
        <v>0</v>
      </c>
      <c r="M17" s="521">
        <f t="shared" si="1"/>
        <v>1</v>
      </c>
      <c r="O17" s="387" t="s">
        <v>155</v>
      </c>
      <c r="P17" s="387" t="s">
        <v>69</v>
      </c>
      <c r="Q17" s="502">
        <v>298.14999999999998</v>
      </c>
      <c r="R17" s="502">
        <v>500</v>
      </c>
      <c r="S17" s="387">
        <v>-4.8580355403211248</v>
      </c>
      <c r="T17" s="387">
        <v>212.40428381216631</v>
      </c>
      <c r="U17" s="387">
        <v>53.357289488904925</v>
      </c>
      <c r="V17" s="387">
        <v>-1.1629081724697818E-3</v>
      </c>
      <c r="W17" s="387">
        <v>1.3948731269384558</v>
      </c>
      <c r="X17" s="387">
        <v>-473.1781712802333</v>
      </c>
      <c r="Y17" s="387">
        <v>2766.3198829354342</v>
      </c>
      <c r="Z17" s="387">
        <v>0</v>
      </c>
      <c r="AA17" s="502">
        <v>1</v>
      </c>
      <c r="AC17" s="388" t="str">
        <f t="shared" si="2"/>
        <v>Ga2Ge3Se8</v>
      </c>
      <c r="AD17" s="507" t="str">
        <f>Таблица3[[#This Row],[Вещество]]</f>
        <v>Ga2Ge3Se8</v>
      </c>
      <c r="AE17" s="507">
        <f>IF(B14=Таблица3[[#This Row],[Фаза]],0,2)</f>
        <v>0</v>
      </c>
      <c r="AF17" s="507">
        <f>IF(C14=Таблица3[[#This Row],[To]],0,IF(ABS((C14-Таблица3[[#This Row],[To]])/(C14+Таблица3[[#This Row],[To]]))&lt;0.01,1,2))</f>
        <v>0</v>
      </c>
      <c r="AG17" s="507">
        <f>IF(D14=Таблица3[[#This Row],[T]],0,IF(ABS((D14-Таблица3[[#This Row],[T]])/(D14+Таблица3[[#This Row],[T]]))&lt;0.01,1,2))</f>
        <v>1</v>
      </c>
      <c r="AH17" s="507">
        <f>IF(E14=Таблица3[[#This Row],[ho]],0,IF(ABS((E14-Таблица3[[#This Row],[ho]])/(E14+Таблица3[[#This Row],[ho]]))&lt;0.01,1,2))</f>
        <v>1</v>
      </c>
      <c r="AI17" s="507">
        <f>IF(F14=Таблица3[[#This Row],[ф1]],0,IF(ABS((F14-Таблица3[[#This Row],[ф1]])/(F14+Таблица3[[#This Row],[ф1]]))&lt;0.01,1,2))</f>
        <v>1</v>
      </c>
      <c r="AJ17" s="507">
        <f>IF(G14=Таблица3[[#This Row],[ф2 *lnX]],0,IF(ABS((G14-Таблица3[[#This Row],[ф2 *lnX]])/(G14+Таблица3[[#This Row],[ф2 *lnX]]))&lt;0.01,1,2))</f>
        <v>1</v>
      </c>
      <c r="AK17" s="507">
        <f>IF(H14=Таблица3[[#This Row],[ф3 *X^(-2)]],0,IF(ABS((H14-Таблица3[[#This Row],[ф3 *X^(-2)]])/(H14+Таблица3[[#This Row],[ф3 *X^(-2)]]))&lt;0.01,1,2))</f>
        <v>1</v>
      </c>
      <c r="AL17" s="507">
        <f>IF(I14=Таблица3[[#This Row],[ф4 *X^(-1)]],0,IF(ABS((I14-Таблица3[[#This Row],[ф4 *X^(-1)]])/(I14+Таблица3[[#This Row],[ф4 *X^(-1)]]))&lt;0.01,1,2))</f>
        <v>1</v>
      </c>
      <c r="AM17" s="507">
        <f>IF(J14=Таблица3[[#This Row],[ф5 *X]],0,IF(ABS((J14-Таблица3[[#This Row],[ф5 *X]])/(J14+Таблица3[[#This Row],[ф5 *X]]))&lt;0.01,1,2))</f>
        <v>1</v>
      </c>
      <c r="AN17" s="507">
        <f>IF(K14=Таблица3[[#This Row],[ф6 *X^2]],0,IF(ABS((K14-Таблица3[[#This Row],[ф6 *X^2]])/(K14+Таблица3[[#This Row],[ф6 *X^2]]))&lt;0.01,1,2))</f>
        <v>1</v>
      </c>
      <c r="AO17" s="507">
        <f>IF(L14=Таблица3[[#This Row],[ф7 *Х^3]],0,IF(ABS((L14-Таблица3[[#This Row],[ф7 *Х^3]])/(L14+Таблица3[[#This Row],[ф7 *Х^3]]))&lt;0.01,1,2))</f>
        <v>0</v>
      </c>
    </row>
    <row r="18" spans="1:41" x14ac:dyDescent="0.35">
      <c r="A18" s="387" t="s">
        <v>77</v>
      </c>
      <c r="B18" s="387" t="s">
        <v>69</v>
      </c>
      <c r="C18" s="502">
        <v>298.14999999999998</v>
      </c>
      <c r="D18" s="502">
        <v>1278</v>
      </c>
      <c r="E18" s="503">
        <v>-4.9166999999999996</v>
      </c>
      <c r="F18" s="503">
        <v>52.323990000000002</v>
      </c>
      <c r="G18" s="503">
        <v>12.715999999999999</v>
      </c>
      <c r="H18" s="503">
        <v>0</v>
      </c>
      <c r="I18" s="503">
        <v>0.39800999999999997</v>
      </c>
      <c r="J18" s="503">
        <v>21.234000000000002</v>
      </c>
      <c r="K18" s="503">
        <v>0</v>
      </c>
      <c r="L18" s="503">
        <v>0</v>
      </c>
      <c r="M18" s="521">
        <f t="shared" si="1"/>
        <v>1</v>
      </c>
      <c r="O18" s="387" t="s">
        <v>154</v>
      </c>
      <c r="P18" s="387" t="s">
        <v>69</v>
      </c>
      <c r="Q18" s="502">
        <v>298.14999999999998</v>
      </c>
      <c r="R18" s="502">
        <v>500</v>
      </c>
      <c r="S18" s="387">
        <v>-5.3441197185639542</v>
      </c>
      <c r="T18" s="387">
        <v>188.48148690608318</v>
      </c>
      <c r="U18" s="387">
        <v>46.597292244452468</v>
      </c>
      <c r="V18" s="387">
        <v>-5.8145408623489088E-4</v>
      </c>
      <c r="W18" s="387">
        <v>1.3226695634692278</v>
      </c>
      <c r="X18" s="387">
        <v>-201.31636314011661</v>
      </c>
      <c r="Y18" s="387">
        <v>1383.1599414677171</v>
      </c>
      <c r="Z18" s="387">
        <v>0</v>
      </c>
      <c r="AA18" s="502">
        <v>1</v>
      </c>
      <c r="AC18" s="388" t="str">
        <f t="shared" si="2"/>
        <v>Ga2Ge4Se8</v>
      </c>
      <c r="AD18" s="507" t="str">
        <f>Таблица3[[#This Row],[Вещество]]</f>
        <v>Ga2Ge4Se8</v>
      </c>
      <c r="AE18" s="507">
        <f>IF(B15=Таблица3[[#This Row],[Фаза]],0,2)</f>
        <v>0</v>
      </c>
      <c r="AF18" s="507">
        <f>IF(C15=Таблица3[[#This Row],[To]],0,IF(ABS((C15-Таблица3[[#This Row],[To]])/(C15+Таблица3[[#This Row],[To]]))&lt;0.01,1,2))</f>
        <v>0</v>
      </c>
      <c r="AG18" s="507">
        <f>IF(D15=Таблица3[[#This Row],[T]],0,IF(ABS((D15-Таблица3[[#This Row],[T]])/(D15+Таблица3[[#This Row],[T]]))&lt;0.01,1,2))</f>
        <v>1</v>
      </c>
      <c r="AH18" s="507">
        <f>IF(E15=Таблица3[[#This Row],[ho]],0,IF(ABS((E15-Таблица3[[#This Row],[ho]])/(E15+Таблица3[[#This Row],[ho]]))&lt;0.01,1,2))</f>
        <v>1</v>
      </c>
      <c r="AI18" s="507">
        <f>IF(F15=Таблица3[[#This Row],[ф1]],0,IF(ABS((F15-Таблица3[[#This Row],[ф1]])/(F15+Таблица3[[#This Row],[ф1]]))&lt;0.01,1,2))</f>
        <v>1</v>
      </c>
      <c r="AJ18" s="507">
        <f>IF(G15=Таблица3[[#This Row],[ф2 *lnX]],0,IF(ABS((G15-Таблица3[[#This Row],[ф2 *lnX]])/(G15+Таблица3[[#This Row],[ф2 *lnX]]))&lt;0.01,1,2))</f>
        <v>1</v>
      </c>
      <c r="AK18" s="507">
        <f>IF(H15=Таблица3[[#This Row],[ф3 *X^(-2)]],0,IF(ABS((H15-Таблица3[[#This Row],[ф3 *X^(-2)]])/(H15+Таблица3[[#This Row],[ф3 *X^(-2)]]))&lt;0.01,1,2))</f>
        <v>1</v>
      </c>
      <c r="AL18" s="507">
        <f>IF(I15=Таблица3[[#This Row],[ф4 *X^(-1)]],0,IF(ABS((I15-Таблица3[[#This Row],[ф4 *X^(-1)]])/(I15+Таблица3[[#This Row],[ф4 *X^(-1)]]))&lt;0.01,1,2))</f>
        <v>1</v>
      </c>
      <c r="AM18" s="507">
        <f>IF(J15=Таблица3[[#This Row],[ф5 *X]],0,IF(ABS((J15-Таблица3[[#This Row],[ф5 *X]])/(J15+Таблица3[[#This Row],[ф5 *X]]))&lt;0.01,1,2))</f>
        <v>1</v>
      </c>
      <c r="AN18" s="507">
        <f>IF(K15=Таблица3[[#This Row],[ф6 *X^2]],0,IF(ABS((K15-Таблица3[[#This Row],[ф6 *X^2]])/(K15+Таблица3[[#This Row],[ф6 *X^2]]))&lt;0.01,1,2))</f>
        <v>1</v>
      </c>
      <c r="AO18" s="507">
        <f>IF(L15=Таблица3[[#This Row],[ф7 *Х^3]],0,IF(ABS((L15-Таблица3[[#This Row],[ф7 *Х^3]])/(L15+Таблица3[[#This Row],[ф7 *Х^3]]))&lt;0.01,1,2))</f>
        <v>0</v>
      </c>
    </row>
    <row r="19" spans="1:41" x14ac:dyDescent="0.35">
      <c r="A19" s="387" t="s">
        <v>150</v>
      </c>
      <c r="B19" s="387" t="s">
        <v>69</v>
      </c>
      <c r="C19" s="502">
        <v>298</v>
      </c>
      <c r="D19" s="502">
        <v>500.00009999999997</v>
      </c>
      <c r="E19" s="503">
        <v>-4.22</v>
      </c>
      <c r="F19" s="503">
        <v>173.5</v>
      </c>
      <c r="G19" s="503">
        <v>43.04</v>
      </c>
      <c r="H19" s="503">
        <v>-5.8149999999999999E-4</v>
      </c>
      <c r="I19" s="503">
        <v>1.2090000000000001</v>
      </c>
      <c r="J19" s="503">
        <v>-209.7</v>
      </c>
      <c r="K19" s="503">
        <v>1383</v>
      </c>
      <c r="L19" s="503">
        <v>0</v>
      </c>
      <c r="M19" s="521">
        <f t="shared" si="1"/>
        <v>1</v>
      </c>
      <c r="O19" s="387" t="s">
        <v>76</v>
      </c>
      <c r="P19" s="387" t="s">
        <v>65</v>
      </c>
      <c r="Q19" s="502">
        <v>298.14999999999998</v>
      </c>
      <c r="R19" s="502">
        <v>2000</v>
      </c>
      <c r="S19" s="387">
        <v>1.157</v>
      </c>
      <c r="T19" s="387">
        <v>55.30301</v>
      </c>
      <c r="U19" s="387">
        <v>6.9866000000000001</v>
      </c>
      <c r="V19" s="387">
        <v>-1.7438999999999999E-4</v>
      </c>
      <c r="W19" s="387">
        <v>0.22003</v>
      </c>
      <c r="X19" s="387">
        <v>3.0068000000000001E-2</v>
      </c>
      <c r="Y19" s="387">
        <v>0</v>
      </c>
      <c r="Z19" s="387">
        <v>0</v>
      </c>
      <c r="AA19" s="502">
        <v>1</v>
      </c>
      <c r="AC19" s="388" t="str">
        <f t="shared" si="2"/>
        <v>Ga2Se</v>
      </c>
      <c r="AD19" s="507" t="str">
        <f>Таблица3[[#This Row],[Вещество]]</f>
        <v>Ga2Se</v>
      </c>
      <c r="AE19" s="507">
        <f>IF(B16=Таблица3[[#This Row],[Фаза]],0,2)</f>
        <v>0</v>
      </c>
      <c r="AF19" s="507">
        <f>IF(C16=Таблица3[[#This Row],[To]],0,IF(ABS((C16-Таблица3[[#This Row],[To]])/(C16+Таблица3[[#This Row],[To]]))&lt;0.01,1,2))</f>
        <v>0</v>
      </c>
      <c r="AG19" s="507">
        <f>IF(D16=Таблица3[[#This Row],[T]],0,IF(ABS((D16-Таблица3[[#This Row],[T]])/(D16+Таблица3[[#This Row],[T]]))&lt;0.01,1,2))</f>
        <v>0</v>
      </c>
      <c r="AH19" s="507">
        <f>IF(E16=Таблица3[[#This Row],[ho]],0,IF(ABS((E16-Таблица3[[#This Row],[ho]])/(E16+Таблица3[[#This Row],[ho]]))&lt;0.01,1,2))</f>
        <v>0</v>
      </c>
      <c r="AI19" s="507">
        <f>IF(F16=Таблица3[[#This Row],[ф1]],0,IF(ABS((F16-Таблица3[[#This Row],[ф1]])/(F16+Таблица3[[#This Row],[ф1]]))&lt;0.01,1,2))</f>
        <v>0</v>
      </c>
      <c r="AJ19" s="507">
        <f>IF(G16=Таблица3[[#This Row],[ф2 *lnX]],0,IF(ABS((G16-Таблица3[[#This Row],[ф2 *lnX]])/(G16+Таблица3[[#This Row],[ф2 *lnX]]))&lt;0.01,1,2))</f>
        <v>0</v>
      </c>
      <c r="AK19" s="507">
        <f>IF(H16=Таблица3[[#This Row],[ф3 *X^(-2)]],0,IF(ABS((H16-Таблица3[[#This Row],[ф3 *X^(-2)]])/(H16+Таблица3[[#This Row],[ф3 *X^(-2)]]))&lt;0.01,1,2))</f>
        <v>0</v>
      </c>
      <c r="AL19" s="507">
        <f>IF(I16=Таблица3[[#This Row],[ф4 *X^(-1)]],0,IF(ABS((I16-Таблица3[[#This Row],[ф4 *X^(-1)]])/(I16+Таблица3[[#This Row],[ф4 *X^(-1)]]))&lt;0.01,1,2))</f>
        <v>0</v>
      </c>
      <c r="AM19" s="507">
        <f>IF(J16=Таблица3[[#This Row],[ф5 *X]],0,IF(ABS((J16-Таблица3[[#This Row],[ф5 *X]])/(J16+Таблица3[[#This Row],[ф5 *X]]))&lt;0.01,1,2))</f>
        <v>0</v>
      </c>
      <c r="AN19" s="507">
        <f>IF(K16=Таблица3[[#This Row],[ф6 *X^2]],0,IF(ABS((K16-Таблица3[[#This Row],[ф6 *X^2]])/(K16+Таблица3[[#This Row],[ф6 *X^2]]))&lt;0.01,1,2))</f>
        <v>0</v>
      </c>
      <c r="AO19" s="507">
        <f>IF(L16=Таблица3[[#This Row],[ф7 *Х^3]],0,IF(ABS((L16-Таблица3[[#This Row],[ф7 *Х^3]])/(L16+Таблица3[[#This Row],[ф7 *Х^3]]))&lt;0.01,1,2))</f>
        <v>0</v>
      </c>
    </row>
    <row r="20" spans="1:41" x14ac:dyDescent="0.35">
      <c r="A20" s="387" t="s">
        <v>153</v>
      </c>
      <c r="B20" s="387" t="s">
        <v>69</v>
      </c>
      <c r="C20" s="502">
        <v>298.14999999999998</v>
      </c>
      <c r="D20" s="502">
        <v>500.00009999999997</v>
      </c>
      <c r="E20" s="503">
        <v>-4.78</v>
      </c>
      <c r="F20" s="503">
        <v>149.5</v>
      </c>
      <c r="G20" s="503">
        <v>36.279989999999998</v>
      </c>
      <c r="H20" s="503">
        <v>0</v>
      </c>
      <c r="I20" s="503">
        <v>1.137</v>
      </c>
      <c r="J20" s="503">
        <v>62.190010000000001</v>
      </c>
      <c r="K20" s="503">
        <v>0</v>
      </c>
      <c r="L20" s="503">
        <v>0</v>
      </c>
      <c r="M20" s="521">
        <f t="shared" si="1"/>
        <v>1</v>
      </c>
      <c r="O20" s="387" t="s">
        <v>76</v>
      </c>
      <c r="P20" s="387" t="s">
        <v>69</v>
      </c>
      <c r="Q20" s="502">
        <v>298.14999999999998</v>
      </c>
      <c r="R20" s="502">
        <v>398</v>
      </c>
      <c r="S20" s="387">
        <v>-2.2040892416862103</v>
      </c>
      <c r="T20" s="387">
        <v>13.586866317878405</v>
      </c>
      <c r="U20" s="387">
        <v>0</v>
      </c>
      <c r="V20" s="387">
        <v>0</v>
      </c>
      <c r="W20" s="387">
        <v>0</v>
      </c>
      <c r="X20" s="387">
        <v>0</v>
      </c>
      <c r="Y20" s="387">
        <v>0</v>
      </c>
      <c r="Z20" s="387">
        <v>0</v>
      </c>
      <c r="AA20" s="502">
        <v>1</v>
      </c>
      <c r="AC20" s="388" t="str">
        <f t="shared" si="2"/>
        <v>Ga2Se</v>
      </c>
      <c r="AD20" s="507" t="str">
        <f>Таблица3[[#This Row],[Вещество]]</f>
        <v>Ga2Se</v>
      </c>
      <c r="AE20" s="507">
        <f>IF(B17=Таблица3[[#This Row],[Фаза]],0,2)</f>
        <v>0</v>
      </c>
      <c r="AF20" s="507">
        <f>IF(C17=Таблица3[[#This Row],[To]],0,IF(ABS((C17-Таблица3[[#This Row],[To]])/(C17+Таблица3[[#This Row],[To]]))&lt;0.01,1,2))</f>
        <v>0</v>
      </c>
      <c r="AG20" s="507">
        <f>IF(D17=Таблица3[[#This Row],[T]],0,IF(ABS((D17-Таблица3[[#This Row],[T]])/(D17+Таблица3[[#This Row],[T]]))&lt;0.01,1,2))</f>
        <v>0</v>
      </c>
      <c r="AH20" s="507">
        <f>IF(E17=Таблица3[[#This Row],[ho]],0,IF(ABS((E17-Таблица3[[#This Row],[ho]])/(E17+Таблица3[[#This Row],[ho]]))&lt;0.01,1,2))</f>
        <v>1</v>
      </c>
      <c r="AI20" s="507">
        <f>IF(F17=Таблица3[[#This Row],[ф1]],0,IF(ABS((F17-Таблица3[[#This Row],[ф1]])/(F17+Таблица3[[#This Row],[ф1]]))&lt;0.01,1,2))</f>
        <v>1</v>
      </c>
      <c r="AJ20" s="507">
        <f>IF(G17=Таблица3[[#This Row],[ф2 *lnX]],0,IF(ABS((G17-Таблица3[[#This Row],[ф2 *lnX]])/(G17+Таблица3[[#This Row],[ф2 *lnX]]))&lt;0.01,1,2))</f>
        <v>0</v>
      </c>
      <c r="AK20" s="507">
        <f>IF(H17=Таблица3[[#This Row],[ф3 *X^(-2)]],0,IF(ABS((H17-Таблица3[[#This Row],[ф3 *X^(-2)]])/(H17+Таблица3[[#This Row],[ф3 *X^(-2)]]))&lt;0.01,1,2))</f>
        <v>0</v>
      </c>
      <c r="AL20" s="507">
        <f>IF(I17=Таблица3[[#This Row],[ф4 *X^(-1)]],0,IF(ABS((I17-Таблица3[[#This Row],[ф4 *X^(-1)]])/(I17+Таблица3[[#This Row],[ф4 *X^(-1)]]))&lt;0.01,1,2))</f>
        <v>0</v>
      </c>
      <c r="AM20" s="507">
        <f>IF(J17=Таблица3[[#This Row],[ф5 *X]],0,IF(ABS((J17-Таблица3[[#This Row],[ф5 *X]])/(J17+Таблица3[[#This Row],[ф5 *X]]))&lt;0.01,1,2))</f>
        <v>0</v>
      </c>
      <c r="AN20" s="507">
        <f>IF(K17=Таблица3[[#This Row],[ф6 *X^2]],0,IF(ABS((K17-Таблица3[[#This Row],[ф6 *X^2]])/(K17+Таблица3[[#This Row],[ф6 *X^2]]))&lt;0.01,1,2))</f>
        <v>0</v>
      </c>
      <c r="AO20" s="507">
        <f>IF(L17=Таблица3[[#This Row],[ф7 *Х^3]],0,IF(ABS((L17-Таблица3[[#This Row],[ф7 *Х^3]])/(L17+Таблица3[[#This Row],[ф7 *Х^3]]))&lt;0.01,1,2))</f>
        <v>0</v>
      </c>
    </row>
    <row r="21" spans="1:41" x14ac:dyDescent="0.35">
      <c r="A21" s="387" t="s">
        <v>68</v>
      </c>
      <c r="B21" s="387" t="s">
        <v>65</v>
      </c>
      <c r="C21" s="502">
        <v>298.14999999999998</v>
      </c>
      <c r="D21" s="502">
        <v>1500</v>
      </c>
      <c r="E21" s="503">
        <v>4.3829390000000004</v>
      </c>
      <c r="F21" s="503">
        <v>34.862279999999998</v>
      </c>
      <c r="G21" s="503">
        <v>5.530119</v>
      </c>
      <c r="H21" s="503">
        <v>-3.3787839999999998E-4</v>
      </c>
      <c r="I21" s="503">
        <v>8.1663529999999998E-2</v>
      </c>
      <c r="J21" s="503">
        <v>-21.130780000000001</v>
      </c>
      <c r="K21" s="503">
        <v>36.52984</v>
      </c>
      <c r="L21" s="503">
        <v>-31.421589999999998</v>
      </c>
      <c r="M21" s="521">
        <f t="shared" si="1"/>
        <v>1</v>
      </c>
      <c r="O21" s="387" t="s">
        <v>77</v>
      </c>
      <c r="P21" s="387" t="s">
        <v>69</v>
      </c>
      <c r="Q21" s="519">
        <v>150</v>
      </c>
      <c r="R21" s="502">
        <v>1278</v>
      </c>
      <c r="S21" s="387">
        <v>-4.9166999999999996</v>
      </c>
      <c r="T21" s="387">
        <v>52.323990000000002</v>
      </c>
      <c r="U21" s="387">
        <v>12.715999999999999</v>
      </c>
      <c r="V21" s="387">
        <v>0</v>
      </c>
      <c r="W21" s="387">
        <v>0.39800999999999997</v>
      </c>
      <c r="X21" s="387">
        <v>21.234000000000002</v>
      </c>
      <c r="Y21" s="387">
        <v>0</v>
      </c>
      <c r="Z21" s="387">
        <v>0</v>
      </c>
      <c r="AA21" s="502">
        <v>1</v>
      </c>
      <c r="AC21" s="388" t="str">
        <f t="shared" ref="AC21:AC41" si="3">A18</f>
        <v>Ga2Se3</v>
      </c>
      <c r="AD21" s="507" t="str">
        <f>Таблица3[[#This Row],[Вещество]]</f>
        <v>Ga2Se3</v>
      </c>
      <c r="AE21" s="507">
        <f>IF(B18=Таблица3[[#This Row],[Фаза]],0,2)</f>
        <v>0</v>
      </c>
      <c r="AF21" s="507">
        <f>IF(C18=Таблица3[[#This Row],[To]],0,IF(ABS((C18-Таблица3[[#This Row],[To]])/(C18+Таблица3[[#This Row],[To]]))&lt;0.01,1,2))</f>
        <v>2</v>
      </c>
      <c r="AG21" s="507">
        <f>IF(D18=Таблица3[[#This Row],[T]],0,IF(ABS((D18-Таблица3[[#This Row],[T]])/(D18+Таблица3[[#This Row],[T]]))&lt;0.01,1,2))</f>
        <v>0</v>
      </c>
      <c r="AH21" s="507">
        <f>IF(E18=Таблица3[[#This Row],[ho]],0,IF(ABS((E18-Таблица3[[#This Row],[ho]])/(E18+Таблица3[[#This Row],[ho]]))&lt;0.01,1,2))</f>
        <v>0</v>
      </c>
      <c r="AI21" s="507">
        <f>IF(F18=Таблица3[[#This Row],[ф1]],0,IF(ABS((F18-Таблица3[[#This Row],[ф1]])/(F18+Таблица3[[#This Row],[ф1]]))&lt;0.01,1,2))</f>
        <v>0</v>
      </c>
      <c r="AJ21" s="507">
        <f>IF(G18=Таблица3[[#This Row],[ф2 *lnX]],0,IF(ABS((G18-Таблица3[[#This Row],[ф2 *lnX]])/(G18+Таблица3[[#This Row],[ф2 *lnX]]))&lt;0.01,1,2))</f>
        <v>0</v>
      </c>
      <c r="AK21" s="507">
        <f>IF(H18=Таблица3[[#This Row],[ф3 *X^(-2)]],0,IF(ABS((H18-Таблица3[[#This Row],[ф3 *X^(-2)]])/(H18+Таблица3[[#This Row],[ф3 *X^(-2)]]))&lt;0.01,1,2))</f>
        <v>0</v>
      </c>
      <c r="AL21" s="507">
        <f>IF(I18=Таблица3[[#This Row],[ф4 *X^(-1)]],0,IF(ABS((I18-Таблица3[[#This Row],[ф4 *X^(-1)]])/(I18+Таблица3[[#This Row],[ф4 *X^(-1)]]))&lt;0.01,1,2))</f>
        <v>0</v>
      </c>
      <c r="AM21" s="507">
        <f>IF(J18=Таблица3[[#This Row],[ф5 *X]],0,IF(ABS((J18-Таблица3[[#This Row],[ф5 *X]])/(J18+Таблица3[[#This Row],[ф5 *X]]))&lt;0.01,1,2))</f>
        <v>0</v>
      </c>
      <c r="AN21" s="507">
        <f>IF(K18=Таблица3[[#This Row],[ф6 *X^2]],0,IF(ABS((K18-Таблица3[[#This Row],[ф6 *X^2]])/(K18+Таблица3[[#This Row],[ф6 *X^2]]))&lt;0.01,1,2))</f>
        <v>0</v>
      </c>
      <c r="AO21" s="507">
        <f>IF(L18=Таблица3[[#This Row],[ф7 *Х^3]],0,IF(ABS((L18-Таблица3[[#This Row],[ф7 *Х^3]])/(L18+Таблица3[[#This Row],[ф7 *Х^3]]))&lt;0.01,1,2))</f>
        <v>0</v>
      </c>
    </row>
    <row r="22" spans="1:41" x14ac:dyDescent="0.35">
      <c r="A22" s="387" t="s">
        <v>68</v>
      </c>
      <c r="B22" s="387" t="s">
        <v>65</v>
      </c>
      <c r="C22" s="502">
        <v>1500</v>
      </c>
      <c r="D22" s="502">
        <v>6000</v>
      </c>
      <c r="E22" s="503">
        <v>4.3829390000000004</v>
      </c>
      <c r="F22" s="503">
        <v>26.704419999999999</v>
      </c>
      <c r="G22" s="503">
        <v>1.8358589999999999</v>
      </c>
      <c r="H22" s="503">
        <v>3.9919220000000002E-3</v>
      </c>
      <c r="I22" s="503">
        <v>-0.2011674</v>
      </c>
      <c r="J22" s="503">
        <v>2.865237</v>
      </c>
      <c r="K22" s="503">
        <v>-1.920703</v>
      </c>
      <c r="L22" s="503">
        <v>0.6292025</v>
      </c>
      <c r="M22" s="521">
        <f t="shared" si="1"/>
        <v>1</v>
      </c>
      <c r="O22" s="387" t="s">
        <v>150</v>
      </c>
      <c r="P22" s="387" t="s">
        <v>69</v>
      </c>
      <c r="Q22" s="502">
        <v>298.14999999999998</v>
      </c>
      <c r="R22" s="502">
        <v>500</v>
      </c>
      <c r="S22" s="387">
        <v>-4.2169772565999155</v>
      </c>
      <c r="T22" s="387">
        <v>173.46465690608315</v>
      </c>
      <c r="U22" s="387">
        <v>43.040515244452465</v>
      </c>
      <c r="V22" s="387">
        <v>-5.8145408623489088E-4</v>
      </c>
      <c r="W22" s="387">
        <v>1.2092059634692278</v>
      </c>
      <c r="X22" s="387">
        <v>-209.66923014011661</v>
      </c>
      <c r="Y22" s="387">
        <v>1383.1599414677171</v>
      </c>
      <c r="Z22" s="387">
        <v>0</v>
      </c>
      <c r="AA22" s="502">
        <v>1</v>
      </c>
      <c r="AC22" s="388" t="str">
        <f t="shared" si="3"/>
        <v>Ga4Ge1Se8</v>
      </c>
      <c r="AD22" s="507" t="str">
        <f>Таблица3[[#This Row],[Вещество]]</f>
        <v>Ga4Ge1Se8</v>
      </c>
      <c r="AE22" s="507">
        <f>IF(B19=Таблица3[[#This Row],[Фаза]],0,2)</f>
        <v>0</v>
      </c>
      <c r="AF22" s="507">
        <f>IF(C19=Таблица3[[#This Row],[To]],0,IF(ABS((C19-Таблица3[[#This Row],[To]])/(C19+Таблица3[[#This Row],[To]]))&lt;0.01,1,2))</f>
        <v>1</v>
      </c>
      <c r="AG22" s="507">
        <f>IF(D19=Таблица3[[#This Row],[T]],0,IF(ABS((D19-Таблица3[[#This Row],[T]])/(D19+Таблица3[[#This Row],[T]]))&lt;0.01,1,2))</f>
        <v>1</v>
      </c>
      <c r="AH22" s="507">
        <f>IF(E19=Таблица3[[#This Row],[ho]],0,IF(ABS((E19-Таблица3[[#This Row],[ho]])/(E19+Таблица3[[#This Row],[ho]]))&lt;0.01,1,2))</f>
        <v>1</v>
      </c>
      <c r="AI22" s="507">
        <f>IF(F19=Таблица3[[#This Row],[ф1]],0,IF(ABS((F19-Таблица3[[#This Row],[ф1]])/(F19+Таблица3[[#This Row],[ф1]]))&lt;0.01,1,2))</f>
        <v>1</v>
      </c>
      <c r="AJ22" s="507">
        <f>IF(G19=Таблица3[[#This Row],[ф2 *lnX]],0,IF(ABS((G19-Таблица3[[#This Row],[ф2 *lnX]])/(G19+Таблица3[[#This Row],[ф2 *lnX]]))&lt;0.01,1,2))</f>
        <v>1</v>
      </c>
      <c r="AK22" s="507">
        <f>IF(H19=Таблица3[[#This Row],[ф3 *X^(-2)]],0,IF(ABS((H19-Таблица3[[#This Row],[ф3 *X^(-2)]])/(H19+Таблица3[[#This Row],[ф3 *X^(-2)]]))&lt;0.01,1,2))</f>
        <v>1</v>
      </c>
      <c r="AL22" s="507">
        <f>IF(I19=Таблица3[[#This Row],[ф4 *X^(-1)]],0,IF(ABS((I19-Таблица3[[#This Row],[ф4 *X^(-1)]])/(I19+Таблица3[[#This Row],[ф4 *X^(-1)]]))&lt;0.01,1,2))</f>
        <v>1</v>
      </c>
      <c r="AM22" s="507">
        <f>IF(J19=Таблица3[[#This Row],[ф5 *X]],0,IF(ABS((J19-Таблица3[[#This Row],[ф5 *X]])/(J19+Таблица3[[#This Row],[ф5 *X]]))&lt;0.01,1,2))</f>
        <v>1</v>
      </c>
      <c r="AN22" s="507">
        <f>IF(K19=Таблица3[[#This Row],[ф6 *X^2]],0,IF(ABS((K19-Таблица3[[#This Row],[ф6 *X^2]])/(K19+Таблица3[[#This Row],[ф6 *X^2]]))&lt;0.01,1,2))</f>
        <v>1</v>
      </c>
      <c r="AO22" s="507">
        <f>IF(L19=Таблица3[[#This Row],[ф7 *Х^3]],0,IF(ABS((L19-Таблица3[[#This Row],[ф7 *Х^3]])/(L19+Таблица3[[#This Row],[ф7 *Х^3]]))&lt;0.01,1,2))</f>
        <v>0</v>
      </c>
    </row>
    <row r="23" spans="1:41" x14ac:dyDescent="0.35">
      <c r="A23" s="387" t="s">
        <v>68</v>
      </c>
      <c r="B23" s="387" t="s">
        <v>65</v>
      </c>
      <c r="C23" s="502">
        <v>6000</v>
      </c>
      <c r="D23" s="502">
        <v>10000</v>
      </c>
      <c r="E23" s="503">
        <v>4.3829390000000004</v>
      </c>
      <c r="F23" s="503">
        <v>30.185140000000001</v>
      </c>
      <c r="G23" s="503">
        <v>6.3430540000000004</v>
      </c>
      <c r="H23" s="503">
        <v>-9.5135109999999995E-2</v>
      </c>
      <c r="I23" s="503">
        <v>1.2754369999999999</v>
      </c>
      <c r="J23" s="503">
        <v>-4.2694150000000004</v>
      </c>
      <c r="K23" s="503">
        <v>1.041687</v>
      </c>
      <c r="L23" s="503">
        <v>-6.3588229999999996E-2</v>
      </c>
      <c r="M23" s="521">
        <f t="shared" si="1"/>
        <v>1</v>
      </c>
      <c r="O23" s="387" t="s">
        <v>153</v>
      </c>
      <c r="P23" s="387" t="s">
        <v>69</v>
      </c>
      <c r="Q23" s="502">
        <v>298.14999999999998</v>
      </c>
      <c r="R23" s="502">
        <v>500</v>
      </c>
      <c r="S23" s="387">
        <v>-4.7827597329965723</v>
      </c>
      <c r="T23" s="387">
        <v>149.54186000000001</v>
      </c>
      <c r="U23" s="387">
        <v>36.280518000000001</v>
      </c>
      <c r="V23" s="387">
        <v>0</v>
      </c>
      <c r="W23" s="387">
        <v>1.1370024000000001</v>
      </c>
      <c r="X23" s="387">
        <v>62.192578000000005</v>
      </c>
      <c r="Y23" s="387">
        <v>0</v>
      </c>
      <c r="Z23" s="387">
        <v>0</v>
      </c>
      <c r="AA23" s="502">
        <v>1</v>
      </c>
      <c r="AC23" s="388" t="str">
        <f t="shared" si="3"/>
        <v>Ga4Ge2Se8</v>
      </c>
      <c r="AD23" s="507" t="str">
        <f>Таблица3[[#This Row],[Вещество]]</f>
        <v>Ga4Ge2Se8</v>
      </c>
      <c r="AE23" s="507">
        <f>IF(B20=Таблица3[[#This Row],[Фаза]],0,2)</f>
        <v>0</v>
      </c>
      <c r="AF23" s="507">
        <f>IF(C20=Таблица3[[#This Row],[To]],0,IF(ABS((C20-Таблица3[[#This Row],[To]])/(C20+Таблица3[[#This Row],[To]]))&lt;0.01,1,2))</f>
        <v>0</v>
      </c>
      <c r="AG23" s="507">
        <f>IF(D20=Таблица3[[#This Row],[T]],0,IF(ABS((D20-Таблица3[[#This Row],[T]])/(D20+Таблица3[[#This Row],[T]]))&lt;0.01,1,2))</f>
        <v>1</v>
      </c>
      <c r="AH23" s="507">
        <f>IF(E20=Таблица3[[#This Row],[ho]],0,IF(ABS((E20-Таблица3[[#This Row],[ho]])/(E20+Таблица3[[#This Row],[ho]]))&lt;0.01,1,2))</f>
        <v>1</v>
      </c>
      <c r="AI23" s="507">
        <f>IF(F20=Таблица3[[#This Row],[ф1]],0,IF(ABS((F20-Таблица3[[#This Row],[ф1]])/(F20+Таблица3[[#This Row],[ф1]]))&lt;0.01,1,2))</f>
        <v>1</v>
      </c>
      <c r="AJ23" s="507">
        <f>IF(G20=Таблица3[[#This Row],[ф2 *lnX]],0,IF(ABS((G20-Таблица3[[#This Row],[ф2 *lnX]])/(G20+Таблица3[[#This Row],[ф2 *lnX]]))&lt;0.01,1,2))</f>
        <v>1</v>
      </c>
      <c r="AK23" s="507">
        <f>IF(H20=Таблица3[[#This Row],[ф3 *X^(-2)]],0,IF(ABS((H20-Таблица3[[#This Row],[ф3 *X^(-2)]])/(H20+Таблица3[[#This Row],[ф3 *X^(-2)]]))&lt;0.01,1,2))</f>
        <v>0</v>
      </c>
      <c r="AL23" s="507">
        <f>IF(I20=Таблица3[[#This Row],[ф4 *X^(-1)]],0,IF(ABS((I20-Таблица3[[#This Row],[ф4 *X^(-1)]])/(I20+Таблица3[[#This Row],[ф4 *X^(-1)]]))&lt;0.01,1,2))</f>
        <v>1</v>
      </c>
      <c r="AM23" s="507">
        <f>IF(J20=Таблица3[[#This Row],[ф5 *X]],0,IF(ABS((J20-Таблица3[[#This Row],[ф5 *X]])/(J20+Таблица3[[#This Row],[ф5 *X]]))&lt;0.01,1,2))</f>
        <v>1</v>
      </c>
      <c r="AN23" s="507">
        <f>IF(K20=Таблица3[[#This Row],[ф6 *X^2]],0,IF(ABS((K20-Таблица3[[#This Row],[ф6 *X^2]])/(K20+Таблица3[[#This Row],[ф6 *X^2]]))&lt;0.01,1,2))</f>
        <v>0</v>
      </c>
      <c r="AO23" s="507">
        <f>IF(L20=Таблица3[[#This Row],[ф7 *Х^3]],0,IF(ABS((L20-Таблица3[[#This Row],[ф7 *Х^3]])/(L20+Таблица3[[#This Row],[ф7 *Х^3]]))&lt;0.01,1,2))</f>
        <v>0</v>
      </c>
    </row>
    <row r="24" spans="1:41" x14ac:dyDescent="0.35">
      <c r="A24" s="387" t="s">
        <v>68</v>
      </c>
      <c r="B24" s="387" t="s">
        <v>61</v>
      </c>
      <c r="C24" s="502">
        <v>1211.4000000000001</v>
      </c>
      <c r="D24" s="502">
        <v>4900</v>
      </c>
      <c r="E24" s="503">
        <v>-5.5760690000000002E-2</v>
      </c>
      <c r="F24" s="503">
        <v>15.395060000000001</v>
      </c>
      <c r="G24" s="503">
        <v>3.319661</v>
      </c>
      <c r="H24" s="503">
        <v>0</v>
      </c>
      <c r="I24" s="503">
        <v>-0.38367639999999997</v>
      </c>
      <c r="J24" s="503">
        <v>0</v>
      </c>
      <c r="K24" s="503">
        <v>0</v>
      </c>
      <c r="L24" s="503">
        <v>0</v>
      </c>
      <c r="M24" s="521">
        <f t="shared" si="1"/>
        <v>1</v>
      </c>
      <c r="O24" s="387" t="s">
        <v>68</v>
      </c>
      <c r="P24" s="387" t="s">
        <v>65</v>
      </c>
      <c r="Q24" s="502">
        <v>298.14999999999998</v>
      </c>
      <c r="R24" s="502">
        <v>1500</v>
      </c>
      <c r="S24" s="387">
        <v>4.3829390000000004</v>
      </c>
      <c r="T24" s="387">
        <v>34.862279999999998</v>
      </c>
      <c r="U24" s="387">
        <v>5.530119</v>
      </c>
      <c r="V24" s="387">
        <v>-3.3787839999999998E-4</v>
      </c>
      <c r="W24" s="387">
        <v>8.1663529999999998E-2</v>
      </c>
      <c r="X24" s="387">
        <v>-21.130780000000001</v>
      </c>
      <c r="Y24" s="387">
        <v>36.52984</v>
      </c>
      <c r="Z24" s="387">
        <v>-31.421589999999998</v>
      </c>
      <c r="AA24" s="502">
        <v>1</v>
      </c>
      <c r="AC24" s="388" t="str">
        <f t="shared" si="3"/>
        <v>Ge</v>
      </c>
      <c r="AD24" s="507" t="str">
        <f>Таблица3[[#This Row],[Вещество]]</f>
        <v>Ge</v>
      </c>
      <c r="AE24" s="507">
        <f>IF(B21=Таблица3[[#This Row],[Фаза]],0,2)</f>
        <v>0</v>
      </c>
      <c r="AF24" s="507">
        <f>IF(C21=Таблица3[[#This Row],[To]],0,IF(ABS((C21-Таблица3[[#This Row],[To]])/(C21+Таблица3[[#This Row],[To]]))&lt;0.01,1,2))</f>
        <v>0</v>
      </c>
      <c r="AG24" s="507">
        <f>IF(D21=Таблица3[[#This Row],[T]],0,IF(ABS((D21-Таблица3[[#This Row],[T]])/(D21+Таблица3[[#This Row],[T]]))&lt;0.01,1,2))</f>
        <v>0</v>
      </c>
      <c r="AH24" s="507">
        <f>IF(E21=Таблица3[[#This Row],[ho]],0,IF(ABS((E21-Таблица3[[#This Row],[ho]])/(E21+Таблица3[[#This Row],[ho]]))&lt;0.01,1,2))</f>
        <v>0</v>
      </c>
      <c r="AI24" s="507">
        <f>IF(F21=Таблица3[[#This Row],[ф1]],0,IF(ABS((F21-Таблица3[[#This Row],[ф1]])/(F21+Таблица3[[#This Row],[ф1]]))&lt;0.01,1,2))</f>
        <v>0</v>
      </c>
      <c r="AJ24" s="507">
        <f>IF(G21=Таблица3[[#This Row],[ф2 *lnX]],0,IF(ABS((G21-Таблица3[[#This Row],[ф2 *lnX]])/(G21+Таблица3[[#This Row],[ф2 *lnX]]))&lt;0.01,1,2))</f>
        <v>0</v>
      </c>
      <c r="AK24" s="507">
        <f>IF(H21=Таблица3[[#This Row],[ф3 *X^(-2)]],0,IF(ABS((H21-Таблица3[[#This Row],[ф3 *X^(-2)]])/(H21+Таблица3[[#This Row],[ф3 *X^(-2)]]))&lt;0.01,1,2))</f>
        <v>0</v>
      </c>
      <c r="AL24" s="507">
        <f>IF(I21=Таблица3[[#This Row],[ф4 *X^(-1)]],0,IF(ABS((I21-Таблица3[[#This Row],[ф4 *X^(-1)]])/(I21+Таблица3[[#This Row],[ф4 *X^(-1)]]))&lt;0.01,1,2))</f>
        <v>0</v>
      </c>
      <c r="AM24" s="507">
        <f>IF(J21=Таблица3[[#This Row],[ф5 *X]],0,IF(ABS((J21-Таблица3[[#This Row],[ф5 *X]])/(J21+Таблица3[[#This Row],[ф5 *X]]))&lt;0.01,1,2))</f>
        <v>0</v>
      </c>
      <c r="AN24" s="507">
        <f>IF(K21=Таблица3[[#This Row],[ф6 *X^2]],0,IF(ABS((K21-Таблица3[[#This Row],[ф6 *X^2]])/(K21+Таблица3[[#This Row],[ф6 *X^2]]))&lt;0.01,1,2))</f>
        <v>0</v>
      </c>
      <c r="AO24" s="507">
        <f>IF(L21=Таблица3[[#This Row],[ф7 *Х^3]],0,IF(ABS((L21-Таблица3[[#This Row],[ф7 *Х^3]])/(L21+Таблица3[[#This Row],[ф7 *Х^3]]))&lt;0.01,1,2))</f>
        <v>0</v>
      </c>
    </row>
    <row r="25" spans="1:41" x14ac:dyDescent="0.35">
      <c r="A25" s="387" t="s">
        <v>68</v>
      </c>
      <c r="B25" s="387" t="s">
        <v>69</v>
      </c>
      <c r="C25" s="502">
        <v>298.14999999999998</v>
      </c>
      <c r="D25" s="502">
        <v>1211.4000000000001</v>
      </c>
      <c r="E25" s="503">
        <v>-5.5760690000000002E-2</v>
      </c>
      <c r="F25" s="503">
        <v>10.808619999999999</v>
      </c>
      <c r="G25" s="503">
        <v>2.898209</v>
      </c>
      <c r="H25" s="503">
        <v>-9.4357770000000004E-5</v>
      </c>
      <c r="I25" s="503">
        <v>3.8575789999999999E-2</v>
      </c>
      <c r="J25" s="503">
        <v>1.796346</v>
      </c>
      <c r="K25" s="503">
        <v>0</v>
      </c>
      <c r="L25" s="503">
        <v>0</v>
      </c>
      <c r="M25" s="521">
        <f t="shared" si="1"/>
        <v>1</v>
      </c>
      <c r="O25" s="387" t="s">
        <v>68</v>
      </c>
      <c r="P25" s="387" t="s">
        <v>65</v>
      </c>
      <c r="Q25" s="502">
        <v>1500</v>
      </c>
      <c r="R25" s="502">
        <v>6000</v>
      </c>
      <c r="S25" s="387">
        <v>4.3829390000000004</v>
      </c>
      <c r="T25" s="387">
        <v>26.704419999999999</v>
      </c>
      <c r="U25" s="387">
        <v>1.8358589999999999</v>
      </c>
      <c r="V25" s="387">
        <v>3.9919220000000002E-3</v>
      </c>
      <c r="W25" s="387">
        <v>-0.2011674</v>
      </c>
      <c r="X25" s="387">
        <v>2.865237</v>
      </c>
      <c r="Y25" s="387">
        <v>-1.920703</v>
      </c>
      <c r="Z25" s="387">
        <v>0.6292025</v>
      </c>
      <c r="AA25" s="502">
        <v>1</v>
      </c>
      <c r="AC25" s="388" t="str">
        <f t="shared" si="3"/>
        <v>Ge</v>
      </c>
      <c r="AD25" s="507" t="str">
        <f>Таблица3[[#This Row],[Вещество]]</f>
        <v>Ge</v>
      </c>
      <c r="AE25" s="507">
        <f>IF(B22=Таблица3[[#This Row],[Фаза]],0,2)</f>
        <v>0</v>
      </c>
      <c r="AF25" s="507">
        <f>IF(C22=Таблица3[[#This Row],[To]],0,IF(ABS((C22-Таблица3[[#This Row],[To]])/(C22+Таблица3[[#This Row],[To]]))&lt;0.01,1,2))</f>
        <v>0</v>
      </c>
      <c r="AG25" s="507">
        <f>IF(D22=Таблица3[[#This Row],[T]],0,IF(ABS((D22-Таблица3[[#This Row],[T]])/(D22+Таблица3[[#This Row],[T]]))&lt;0.01,1,2))</f>
        <v>0</v>
      </c>
      <c r="AH25" s="507">
        <f>IF(E22=Таблица3[[#This Row],[ho]],0,IF(ABS((E22-Таблица3[[#This Row],[ho]])/(E22+Таблица3[[#This Row],[ho]]))&lt;0.01,1,2))</f>
        <v>0</v>
      </c>
      <c r="AI25" s="507">
        <f>IF(F22=Таблица3[[#This Row],[ф1]],0,IF(ABS((F22-Таблица3[[#This Row],[ф1]])/(F22+Таблица3[[#This Row],[ф1]]))&lt;0.01,1,2))</f>
        <v>0</v>
      </c>
      <c r="AJ25" s="507">
        <f>IF(G22=Таблица3[[#This Row],[ф2 *lnX]],0,IF(ABS((G22-Таблица3[[#This Row],[ф2 *lnX]])/(G22+Таблица3[[#This Row],[ф2 *lnX]]))&lt;0.01,1,2))</f>
        <v>0</v>
      </c>
      <c r="AK25" s="507">
        <f>IF(H22=Таблица3[[#This Row],[ф3 *X^(-2)]],0,IF(ABS((H22-Таблица3[[#This Row],[ф3 *X^(-2)]])/(H22+Таблица3[[#This Row],[ф3 *X^(-2)]]))&lt;0.01,1,2))</f>
        <v>0</v>
      </c>
      <c r="AL25" s="507">
        <f>IF(I22=Таблица3[[#This Row],[ф4 *X^(-1)]],0,IF(ABS((I22-Таблица3[[#This Row],[ф4 *X^(-1)]])/(I22+Таблица3[[#This Row],[ф4 *X^(-1)]]))&lt;0.01,1,2))</f>
        <v>0</v>
      </c>
      <c r="AM25" s="507">
        <f>IF(J22=Таблица3[[#This Row],[ф5 *X]],0,IF(ABS((J22-Таблица3[[#This Row],[ф5 *X]])/(J22+Таблица3[[#This Row],[ф5 *X]]))&lt;0.01,1,2))</f>
        <v>0</v>
      </c>
      <c r="AN25" s="507">
        <f>IF(K22=Таблица3[[#This Row],[ф6 *X^2]],0,IF(ABS((K22-Таблица3[[#This Row],[ф6 *X^2]])/(K22+Таблица3[[#This Row],[ф6 *X^2]]))&lt;0.01,1,2))</f>
        <v>0</v>
      </c>
      <c r="AO25" s="507">
        <f>IF(L22=Таблица3[[#This Row],[ф7 *Х^3]],0,IF(ABS((L22-Таблица3[[#This Row],[ф7 *Х^3]])/(L22+Таблица3[[#This Row],[ф7 *Х^3]]))&lt;0.01,1,2))</f>
        <v>0</v>
      </c>
    </row>
    <row r="26" spans="1:41" x14ac:dyDescent="0.35">
      <c r="A26" s="387" t="s">
        <v>68</v>
      </c>
      <c r="B26" s="387" t="s">
        <v>158</v>
      </c>
      <c r="C26" s="502">
        <v>298.14999999999998</v>
      </c>
      <c r="D26" s="502">
        <v>1211.4000000000001</v>
      </c>
      <c r="E26" s="503">
        <v>-5.5760690000000002E-2</v>
      </c>
      <c r="F26" s="503">
        <v>10.808619999999999</v>
      </c>
      <c r="G26" s="503">
        <v>2.898209</v>
      </c>
      <c r="H26" s="503">
        <v>-9.4357770000000004E-5</v>
      </c>
      <c r="I26" s="503">
        <v>3.8575789999999999E-2</v>
      </c>
      <c r="J26" s="503">
        <v>1.796346</v>
      </c>
      <c r="K26" s="503">
        <v>0</v>
      </c>
      <c r="L26" s="503">
        <v>0</v>
      </c>
      <c r="M26" s="521">
        <f t="shared" si="1"/>
        <v>1</v>
      </c>
      <c r="O26" s="387" t="s">
        <v>68</v>
      </c>
      <c r="P26" s="387" t="s">
        <v>65</v>
      </c>
      <c r="Q26" s="502">
        <v>6000</v>
      </c>
      <c r="R26" s="502">
        <v>10000</v>
      </c>
      <c r="S26" s="387">
        <v>4.3829390000000004</v>
      </c>
      <c r="T26" s="387">
        <v>30.185140000000001</v>
      </c>
      <c r="U26" s="387">
        <v>6.3430540000000004</v>
      </c>
      <c r="V26" s="387">
        <v>-9.5135109999999995E-2</v>
      </c>
      <c r="W26" s="387">
        <v>1.2754369999999999</v>
      </c>
      <c r="X26" s="387">
        <v>-4.2694150000000004</v>
      </c>
      <c r="Y26" s="387">
        <v>1.041687</v>
      </c>
      <c r="Z26" s="387">
        <v>-6.3588229999999996E-2</v>
      </c>
      <c r="AA26" s="502">
        <v>1</v>
      </c>
      <c r="AC26" s="388" t="str">
        <f t="shared" si="3"/>
        <v>Ge</v>
      </c>
      <c r="AD26" s="507" t="str">
        <f>Таблица3[[#This Row],[Вещество]]</f>
        <v>Ge</v>
      </c>
      <c r="AE26" s="507">
        <f>IF(B23=Таблица3[[#This Row],[Фаза]],0,2)</f>
        <v>0</v>
      </c>
      <c r="AF26" s="507">
        <f>IF(C23=Таблица3[[#This Row],[To]],0,IF(ABS((C23-Таблица3[[#This Row],[To]])/(C23+Таблица3[[#This Row],[To]]))&lt;0.01,1,2))</f>
        <v>0</v>
      </c>
      <c r="AG26" s="507">
        <f>IF(D23=Таблица3[[#This Row],[T]],0,IF(ABS((D23-Таблица3[[#This Row],[T]])/(D23+Таблица3[[#This Row],[T]]))&lt;0.01,1,2))</f>
        <v>0</v>
      </c>
      <c r="AH26" s="507">
        <f>IF(E23=Таблица3[[#This Row],[ho]],0,IF(ABS((E23-Таблица3[[#This Row],[ho]])/(E23+Таблица3[[#This Row],[ho]]))&lt;0.01,1,2))</f>
        <v>0</v>
      </c>
      <c r="AI26" s="507">
        <f>IF(F23=Таблица3[[#This Row],[ф1]],0,IF(ABS((F23-Таблица3[[#This Row],[ф1]])/(F23+Таблица3[[#This Row],[ф1]]))&lt;0.01,1,2))</f>
        <v>0</v>
      </c>
      <c r="AJ26" s="507">
        <f>IF(G23=Таблица3[[#This Row],[ф2 *lnX]],0,IF(ABS((G23-Таблица3[[#This Row],[ф2 *lnX]])/(G23+Таблица3[[#This Row],[ф2 *lnX]]))&lt;0.01,1,2))</f>
        <v>0</v>
      </c>
      <c r="AK26" s="507">
        <f>IF(H23=Таблица3[[#This Row],[ф3 *X^(-2)]],0,IF(ABS((H23-Таблица3[[#This Row],[ф3 *X^(-2)]])/(H23+Таблица3[[#This Row],[ф3 *X^(-2)]]))&lt;0.01,1,2))</f>
        <v>0</v>
      </c>
      <c r="AL26" s="507">
        <f>IF(I23=Таблица3[[#This Row],[ф4 *X^(-1)]],0,IF(ABS((I23-Таблица3[[#This Row],[ф4 *X^(-1)]])/(I23+Таблица3[[#This Row],[ф4 *X^(-1)]]))&lt;0.01,1,2))</f>
        <v>0</v>
      </c>
      <c r="AM26" s="507">
        <f>IF(J23=Таблица3[[#This Row],[ф5 *X]],0,IF(ABS((J23-Таблица3[[#This Row],[ф5 *X]])/(J23+Таблица3[[#This Row],[ф5 *X]]))&lt;0.01,1,2))</f>
        <v>0</v>
      </c>
      <c r="AN26" s="507">
        <f>IF(K23=Таблица3[[#This Row],[ф6 *X^2]],0,IF(ABS((K23-Таблица3[[#This Row],[ф6 *X^2]])/(K23+Таблица3[[#This Row],[ф6 *X^2]]))&lt;0.01,1,2))</f>
        <v>0</v>
      </c>
      <c r="AO26" s="507">
        <f>IF(L23=Таблица3[[#This Row],[ф7 *Х^3]],0,IF(ABS((L23-Таблица3[[#This Row],[ф7 *Х^3]])/(L23+Таблица3[[#This Row],[ф7 *Х^3]]))&lt;0.01,1,2))</f>
        <v>0</v>
      </c>
    </row>
    <row r="27" spans="1:41" x14ac:dyDescent="0.35">
      <c r="A27" s="387" t="s">
        <v>107</v>
      </c>
      <c r="B27" s="387" t="s">
        <v>65</v>
      </c>
      <c r="C27" s="502">
        <v>298.14999999999998</v>
      </c>
      <c r="D27" s="502">
        <v>1500</v>
      </c>
      <c r="E27" s="503">
        <v>5.674709</v>
      </c>
      <c r="F27" s="503">
        <v>49.524940000000001</v>
      </c>
      <c r="G27" s="503">
        <v>7.0513279999999998</v>
      </c>
      <c r="H27" s="503">
        <v>-1.341195E-5</v>
      </c>
      <c r="I27" s="503">
        <v>5.245814E-2</v>
      </c>
      <c r="J27" s="503">
        <v>-24.580100000000002</v>
      </c>
      <c r="K27" s="503">
        <v>62.099780000000003</v>
      </c>
      <c r="L27" s="503">
        <v>-81.046109999999999</v>
      </c>
      <c r="M27" s="521">
        <f t="shared" si="1"/>
        <v>1</v>
      </c>
      <c r="O27" s="387" t="s">
        <v>68</v>
      </c>
      <c r="P27" s="387" t="s">
        <v>61</v>
      </c>
      <c r="Q27" s="502">
        <v>1211.4000000000001</v>
      </c>
      <c r="R27" s="502">
        <v>4900</v>
      </c>
      <c r="S27" s="387">
        <v>-5.5760690000000002E-2</v>
      </c>
      <c r="T27" s="387">
        <v>15.395060000000001</v>
      </c>
      <c r="U27" s="387">
        <v>3.319661</v>
      </c>
      <c r="V27" s="387">
        <v>0</v>
      </c>
      <c r="W27" s="387">
        <v>-0.38367639999999997</v>
      </c>
      <c r="X27" s="387">
        <v>0</v>
      </c>
      <c r="Y27" s="387">
        <v>0</v>
      </c>
      <c r="Z27" s="387">
        <v>0</v>
      </c>
      <c r="AA27" s="502">
        <v>1</v>
      </c>
      <c r="AC27" s="388" t="str">
        <f t="shared" si="3"/>
        <v>Ge</v>
      </c>
      <c r="AD27" s="507" t="str">
        <f>Таблица3[[#This Row],[Вещество]]</f>
        <v>Ge</v>
      </c>
      <c r="AE27" s="507">
        <f>IF(B24=Таблица3[[#This Row],[Фаза]],0,2)</f>
        <v>0</v>
      </c>
      <c r="AF27" s="507">
        <f>IF(C24=Таблица3[[#This Row],[To]],0,IF(ABS((C24-Таблица3[[#This Row],[To]])/(C24+Таблица3[[#This Row],[To]]))&lt;0.01,1,2))</f>
        <v>0</v>
      </c>
      <c r="AG27" s="507">
        <f>IF(D24=Таблица3[[#This Row],[T]],0,IF(ABS((D24-Таблица3[[#This Row],[T]])/(D24+Таблица3[[#This Row],[T]]))&lt;0.01,1,2))</f>
        <v>0</v>
      </c>
      <c r="AH27" s="507">
        <f>IF(E24=Таблица3[[#This Row],[ho]],0,IF(ABS((E24-Таблица3[[#This Row],[ho]])/(E24+Таблица3[[#This Row],[ho]]))&lt;0.01,1,2))</f>
        <v>0</v>
      </c>
      <c r="AI27" s="507">
        <f>IF(F24=Таблица3[[#This Row],[ф1]],0,IF(ABS((F24-Таблица3[[#This Row],[ф1]])/(F24+Таблица3[[#This Row],[ф1]]))&lt;0.01,1,2))</f>
        <v>0</v>
      </c>
      <c r="AJ27" s="507">
        <f>IF(G24=Таблица3[[#This Row],[ф2 *lnX]],0,IF(ABS((G24-Таблица3[[#This Row],[ф2 *lnX]])/(G24+Таблица3[[#This Row],[ф2 *lnX]]))&lt;0.01,1,2))</f>
        <v>0</v>
      </c>
      <c r="AK27" s="507">
        <f>IF(H24=Таблица3[[#This Row],[ф3 *X^(-2)]],0,IF(ABS((H24-Таблица3[[#This Row],[ф3 *X^(-2)]])/(H24+Таблица3[[#This Row],[ф3 *X^(-2)]]))&lt;0.01,1,2))</f>
        <v>0</v>
      </c>
      <c r="AL27" s="507">
        <f>IF(I24=Таблица3[[#This Row],[ф4 *X^(-1)]],0,IF(ABS((I24-Таблица3[[#This Row],[ф4 *X^(-1)]])/(I24+Таблица3[[#This Row],[ф4 *X^(-1)]]))&lt;0.01,1,2))</f>
        <v>0</v>
      </c>
      <c r="AM27" s="507">
        <f>IF(J24=Таблица3[[#This Row],[ф5 *X]],0,IF(ABS((J24-Таблица3[[#This Row],[ф5 *X]])/(J24+Таблица3[[#This Row],[ф5 *X]]))&lt;0.01,1,2))</f>
        <v>0</v>
      </c>
      <c r="AN27" s="507">
        <f>IF(K24=Таблица3[[#This Row],[ф6 *X^2]],0,IF(ABS((K24-Таблица3[[#This Row],[ф6 *X^2]])/(K24+Таблица3[[#This Row],[ф6 *X^2]]))&lt;0.01,1,2))</f>
        <v>0</v>
      </c>
      <c r="AO27" s="507">
        <f>IF(L24=Таблица3[[#This Row],[ф7 *Х^3]],0,IF(ABS((L24-Таблица3[[#This Row],[ф7 *Х^3]])/(L24+Таблица3[[#This Row],[ф7 *Х^3]]))&lt;0.01,1,2))</f>
        <v>0</v>
      </c>
    </row>
    <row r="28" spans="1:41" x14ac:dyDescent="0.35">
      <c r="A28" s="387" t="s">
        <v>107</v>
      </c>
      <c r="B28" s="387" t="s">
        <v>65</v>
      </c>
      <c r="C28" s="502">
        <v>1500</v>
      </c>
      <c r="D28" s="502">
        <v>6000</v>
      </c>
      <c r="E28" s="503">
        <v>5.674709</v>
      </c>
      <c r="F28" s="503">
        <v>40.162990000000001</v>
      </c>
      <c r="G28" s="503">
        <v>2.7510140000000001</v>
      </c>
      <c r="H28" s="503">
        <v>7.8054969999999998E-3</v>
      </c>
      <c r="I28" s="503">
        <v>-0.32734089999999999</v>
      </c>
      <c r="J28" s="503">
        <v>6.01546</v>
      </c>
      <c r="K28" s="503">
        <v>-3.5431430000000002</v>
      </c>
      <c r="L28" s="503">
        <v>0.75900279999999998</v>
      </c>
      <c r="M28" s="521">
        <f t="shared" si="1"/>
        <v>1</v>
      </c>
      <c r="O28" s="387" t="s">
        <v>68</v>
      </c>
      <c r="P28" s="387" t="s">
        <v>69</v>
      </c>
      <c r="Q28" s="502">
        <v>298.14999999999998</v>
      </c>
      <c r="R28" s="502">
        <v>1211.4000000000001</v>
      </c>
      <c r="S28" s="387">
        <v>-5.5760690000000002E-2</v>
      </c>
      <c r="T28" s="387">
        <v>10.808619999999999</v>
      </c>
      <c r="U28" s="387">
        <v>2.898209</v>
      </c>
      <c r="V28" s="387">
        <v>-9.4357770000000004E-5</v>
      </c>
      <c r="W28" s="387">
        <v>3.8575789999999999E-2</v>
      </c>
      <c r="X28" s="387">
        <v>1.796346</v>
      </c>
      <c r="Y28" s="387">
        <v>0</v>
      </c>
      <c r="Z28" s="387">
        <v>0</v>
      </c>
      <c r="AA28" s="502">
        <v>1</v>
      </c>
      <c r="AC28" s="388" t="str">
        <f t="shared" si="3"/>
        <v>Ge</v>
      </c>
      <c r="AD28" s="507" t="str">
        <f>Таблица3[[#This Row],[Вещество]]</f>
        <v>Ge</v>
      </c>
      <c r="AE28" s="507">
        <f>IF(B25=Таблица3[[#This Row],[Фаза]],0,2)</f>
        <v>0</v>
      </c>
      <c r="AF28" s="507">
        <f>IF(C25=Таблица3[[#This Row],[To]],0,IF(ABS((C25-Таблица3[[#This Row],[To]])/(C25+Таблица3[[#This Row],[To]]))&lt;0.01,1,2))</f>
        <v>0</v>
      </c>
      <c r="AG28" s="507">
        <f>IF(D25=Таблица3[[#This Row],[T]],0,IF(ABS((D25-Таблица3[[#This Row],[T]])/(D25+Таблица3[[#This Row],[T]]))&lt;0.01,1,2))</f>
        <v>0</v>
      </c>
      <c r="AH28" s="507">
        <f>IF(E25=Таблица3[[#This Row],[ho]],0,IF(ABS((E25-Таблица3[[#This Row],[ho]])/(E25+Таблица3[[#This Row],[ho]]))&lt;0.01,1,2))</f>
        <v>0</v>
      </c>
      <c r="AI28" s="507">
        <f>IF(F25=Таблица3[[#This Row],[ф1]],0,IF(ABS((F25-Таблица3[[#This Row],[ф1]])/(F25+Таблица3[[#This Row],[ф1]]))&lt;0.01,1,2))</f>
        <v>0</v>
      </c>
      <c r="AJ28" s="507">
        <f>IF(G25=Таблица3[[#This Row],[ф2 *lnX]],0,IF(ABS((G25-Таблица3[[#This Row],[ф2 *lnX]])/(G25+Таблица3[[#This Row],[ф2 *lnX]]))&lt;0.01,1,2))</f>
        <v>0</v>
      </c>
      <c r="AK28" s="507">
        <f>IF(H25=Таблица3[[#This Row],[ф3 *X^(-2)]],0,IF(ABS((H25-Таблица3[[#This Row],[ф3 *X^(-2)]])/(H25+Таблица3[[#This Row],[ф3 *X^(-2)]]))&lt;0.01,1,2))</f>
        <v>0</v>
      </c>
      <c r="AL28" s="507">
        <f>IF(I25=Таблица3[[#This Row],[ф4 *X^(-1)]],0,IF(ABS((I25-Таблица3[[#This Row],[ф4 *X^(-1)]])/(I25+Таблица3[[#This Row],[ф4 *X^(-1)]]))&lt;0.01,1,2))</f>
        <v>0</v>
      </c>
      <c r="AM28" s="507">
        <f>IF(J25=Таблица3[[#This Row],[ф5 *X]],0,IF(ABS((J25-Таблица3[[#This Row],[ф5 *X]])/(J25+Таблица3[[#This Row],[ф5 *X]]))&lt;0.01,1,2))</f>
        <v>0</v>
      </c>
      <c r="AN28" s="507">
        <f>IF(K25=Таблица3[[#This Row],[ф6 *X^2]],0,IF(ABS((K25-Таблица3[[#This Row],[ф6 *X^2]])/(K25+Таблица3[[#This Row],[ф6 *X^2]]))&lt;0.01,1,2))</f>
        <v>0</v>
      </c>
      <c r="AO28" s="507">
        <f>IF(L25=Таблица3[[#This Row],[ф7 *Х^3]],0,IF(ABS((L25-Таблица3[[#This Row],[ф7 *Х^3]])/(L25+Таблица3[[#This Row],[ф7 *Х^3]]))&lt;0.01,1,2))</f>
        <v>0</v>
      </c>
    </row>
    <row r="29" spans="1:41" x14ac:dyDescent="0.35">
      <c r="A29" s="387" t="s">
        <v>157</v>
      </c>
      <c r="B29" s="387" t="s">
        <v>69</v>
      </c>
      <c r="C29" s="502">
        <v>298.14999999999998</v>
      </c>
      <c r="D29" s="502">
        <v>500.00009999999997</v>
      </c>
      <c r="E29" s="503">
        <v>-2.95</v>
      </c>
      <c r="F29" s="503">
        <v>113.7</v>
      </c>
      <c r="G29" s="503">
        <v>28.46</v>
      </c>
      <c r="H29" s="503">
        <v>-5.8149999999999999E-4</v>
      </c>
      <c r="I29" s="503">
        <v>0.75419999999999998</v>
      </c>
      <c r="J29" s="503">
        <v>-232.4</v>
      </c>
      <c r="K29" s="503">
        <v>1383</v>
      </c>
      <c r="L29" s="503">
        <v>0</v>
      </c>
      <c r="M29" s="521">
        <f t="shared" si="1"/>
        <v>1</v>
      </c>
      <c r="O29" s="387" t="s">
        <v>68</v>
      </c>
      <c r="P29" s="387" t="s">
        <v>158</v>
      </c>
      <c r="Q29" s="502">
        <v>298.14999999999998</v>
      </c>
      <c r="R29" s="502">
        <v>1211.4000000000001</v>
      </c>
      <c r="S29" s="387">
        <v>-5.5760690000000002E-2</v>
      </c>
      <c r="T29" s="387">
        <v>10.808619999999999</v>
      </c>
      <c r="U29" s="387">
        <v>2.898209</v>
      </c>
      <c r="V29" s="387">
        <v>-9.4357770000000004E-5</v>
      </c>
      <c r="W29" s="387">
        <v>3.8575789999999999E-2</v>
      </c>
      <c r="X29" s="387">
        <v>1.796346</v>
      </c>
      <c r="Y29" s="387">
        <v>0</v>
      </c>
      <c r="Z29" s="387">
        <v>0</v>
      </c>
      <c r="AA29" s="502">
        <v>1</v>
      </c>
      <c r="AC29" s="388" t="str">
        <f t="shared" si="3"/>
        <v>Ge</v>
      </c>
      <c r="AD29" s="507" t="str">
        <f>Таблица3[[#This Row],[Вещество]]</f>
        <v>Ge</v>
      </c>
      <c r="AE29" s="507">
        <f>IF(B26=Таблица3[[#This Row],[Фаза]],0,2)</f>
        <v>0</v>
      </c>
      <c r="AF29" s="507">
        <f>IF(C26=Таблица3[[#This Row],[To]],0,IF(ABS((C26-Таблица3[[#This Row],[To]])/(C26+Таблица3[[#This Row],[To]]))&lt;0.01,1,2))</f>
        <v>0</v>
      </c>
      <c r="AG29" s="507">
        <f>IF(D26=Таблица3[[#This Row],[T]],0,IF(ABS((D26-Таблица3[[#This Row],[T]])/(D26+Таблица3[[#This Row],[T]]))&lt;0.01,1,2))</f>
        <v>0</v>
      </c>
      <c r="AH29" s="507">
        <f>IF(E26=Таблица3[[#This Row],[ho]],0,IF(ABS((E26-Таблица3[[#This Row],[ho]])/(E26+Таблица3[[#This Row],[ho]]))&lt;0.01,1,2))</f>
        <v>0</v>
      </c>
      <c r="AI29" s="507">
        <f>IF(F26=Таблица3[[#This Row],[ф1]],0,IF(ABS((F26-Таблица3[[#This Row],[ф1]])/(F26+Таблица3[[#This Row],[ф1]]))&lt;0.01,1,2))</f>
        <v>0</v>
      </c>
      <c r="AJ29" s="507">
        <f>IF(G26=Таблица3[[#This Row],[ф2 *lnX]],0,IF(ABS((G26-Таблица3[[#This Row],[ф2 *lnX]])/(G26+Таблица3[[#This Row],[ф2 *lnX]]))&lt;0.01,1,2))</f>
        <v>0</v>
      </c>
      <c r="AK29" s="507">
        <f>IF(H26=Таблица3[[#This Row],[ф3 *X^(-2)]],0,IF(ABS((H26-Таблица3[[#This Row],[ф3 *X^(-2)]])/(H26+Таблица3[[#This Row],[ф3 *X^(-2)]]))&lt;0.01,1,2))</f>
        <v>0</v>
      </c>
      <c r="AL29" s="507">
        <f>IF(I26=Таблица3[[#This Row],[ф4 *X^(-1)]],0,IF(ABS((I26-Таблица3[[#This Row],[ф4 *X^(-1)]])/(I26+Таблица3[[#This Row],[ф4 *X^(-1)]]))&lt;0.01,1,2))</f>
        <v>0</v>
      </c>
      <c r="AM29" s="507">
        <f>IF(J26=Таблица3[[#This Row],[ф5 *X]],0,IF(ABS((J26-Таблица3[[#This Row],[ф5 *X]])/(J26+Таблица3[[#This Row],[ф5 *X]]))&lt;0.01,1,2))</f>
        <v>0</v>
      </c>
      <c r="AN29" s="507">
        <f>IF(K26=Таблица3[[#This Row],[ф6 *X^2]],0,IF(ABS((K26-Таблица3[[#This Row],[ф6 *X^2]])/(K26+Таблица3[[#This Row],[ф6 *X^2]]))&lt;0.01,1,2))</f>
        <v>0</v>
      </c>
      <c r="AO29" s="507">
        <f>IF(L26=Таблица3[[#This Row],[ф7 *Х^3]],0,IF(ABS((L26-Таблица3[[#This Row],[ф7 *Х^3]])/(L26+Таблица3[[#This Row],[ф7 *Х^3]]))&lt;0.01,1,2))</f>
        <v>0</v>
      </c>
    </row>
    <row r="30" spans="1:41" x14ac:dyDescent="0.35">
      <c r="A30" s="387" t="s">
        <v>156</v>
      </c>
      <c r="B30" s="387" t="s">
        <v>69</v>
      </c>
      <c r="C30" s="502">
        <v>298.14999999999998</v>
      </c>
      <c r="D30" s="502">
        <v>500.00009999999997</v>
      </c>
      <c r="E30" s="503">
        <v>-3.78</v>
      </c>
      <c r="F30" s="503">
        <v>136.19999999999999</v>
      </c>
      <c r="G30" s="503">
        <v>33.880000000000003</v>
      </c>
      <c r="H30" s="503">
        <v>-5.8149999999999999E-4</v>
      </c>
      <c r="I30" s="503">
        <v>0.92469999999999997</v>
      </c>
      <c r="J30" s="503">
        <v>-222.6</v>
      </c>
      <c r="K30" s="503">
        <v>1383</v>
      </c>
      <c r="L30" s="503">
        <v>0</v>
      </c>
      <c r="M30" s="521">
        <f t="shared" si="1"/>
        <v>1</v>
      </c>
      <c r="O30" s="387" t="s">
        <v>107</v>
      </c>
      <c r="P30" s="387" t="s">
        <v>65</v>
      </c>
      <c r="Q30" s="502">
        <v>298.14999999999998</v>
      </c>
      <c r="R30" s="502">
        <v>1500</v>
      </c>
      <c r="S30" s="387">
        <v>5.674709</v>
      </c>
      <c r="T30" s="387">
        <v>49.524940000000001</v>
      </c>
      <c r="U30" s="387">
        <v>7.0513279999999998</v>
      </c>
      <c r="V30" s="387">
        <v>-1.341195E-5</v>
      </c>
      <c r="W30" s="387">
        <v>5.245814E-2</v>
      </c>
      <c r="X30" s="387">
        <v>-24.580100000000002</v>
      </c>
      <c r="Y30" s="387">
        <v>62.099780000000003</v>
      </c>
      <c r="Z30" s="387">
        <v>-81.046109999999999</v>
      </c>
      <c r="AA30" s="502">
        <v>1</v>
      </c>
      <c r="AC30" s="388" t="str">
        <f t="shared" si="3"/>
        <v>Ge2</v>
      </c>
      <c r="AD30" s="507" t="str">
        <f>Таблица3[[#This Row],[Вещество]]</f>
        <v>Ge2</v>
      </c>
      <c r="AE30" s="507">
        <f>IF(B27=Таблица3[[#This Row],[Фаза]],0,2)</f>
        <v>0</v>
      </c>
      <c r="AF30" s="507">
        <f>IF(C27=Таблица3[[#This Row],[To]],0,IF(ABS((C27-Таблица3[[#This Row],[To]])/(C27+Таблица3[[#This Row],[To]]))&lt;0.01,1,2))</f>
        <v>0</v>
      </c>
      <c r="AG30" s="507">
        <f>IF(D27=Таблица3[[#This Row],[T]],0,IF(ABS((D27-Таблица3[[#This Row],[T]])/(D27+Таблица3[[#This Row],[T]]))&lt;0.01,1,2))</f>
        <v>0</v>
      </c>
      <c r="AH30" s="507">
        <f>IF(E27=Таблица3[[#This Row],[ho]],0,IF(ABS((E27-Таблица3[[#This Row],[ho]])/(E27+Таблица3[[#This Row],[ho]]))&lt;0.01,1,2))</f>
        <v>0</v>
      </c>
      <c r="AI30" s="507">
        <f>IF(F27=Таблица3[[#This Row],[ф1]],0,IF(ABS((F27-Таблица3[[#This Row],[ф1]])/(F27+Таблица3[[#This Row],[ф1]]))&lt;0.01,1,2))</f>
        <v>0</v>
      </c>
      <c r="AJ30" s="507">
        <f>IF(G27=Таблица3[[#This Row],[ф2 *lnX]],0,IF(ABS((G27-Таблица3[[#This Row],[ф2 *lnX]])/(G27+Таблица3[[#This Row],[ф2 *lnX]]))&lt;0.01,1,2))</f>
        <v>0</v>
      </c>
      <c r="AK30" s="507">
        <f>IF(H27=Таблица3[[#This Row],[ф3 *X^(-2)]],0,IF(ABS((H27-Таблица3[[#This Row],[ф3 *X^(-2)]])/(H27+Таблица3[[#This Row],[ф3 *X^(-2)]]))&lt;0.01,1,2))</f>
        <v>0</v>
      </c>
      <c r="AL30" s="507">
        <f>IF(I27=Таблица3[[#This Row],[ф4 *X^(-1)]],0,IF(ABS((I27-Таблица3[[#This Row],[ф4 *X^(-1)]])/(I27+Таблица3[[#This Row],[ф4 *X^(-1)]]))&lt;0.01,1,2))</f>
        <v>0</v>
      </c>
      <c r="AM30" s="507">
        <f>IF(J27=Таблица3[[#This Row],[ф5 *X]],0,IF(ABS((J27-Таблица3[[#This Row],[ф5 *X]])/(J27+Таблица3[[#This Row],[ф5 *X]]))&lt;0.01,1,2))</f>
        <v>0</v>
      </c>
      <c r="AN30" s="507">
        <f>IF(K27=Таблица3[[#This Row],[ф6 *X^2]],0,IF(ABS((K27-Таблица3[[#This Row],[ф6 *X^2]])/(K27+Таблица3[[#This Row],[ф6 *X^2]]))&lt;0.01,1,2))</f>
        <v>0</v>
      </c>
      <c r="AO30" s="507">
        <f>IF(L27=Таблица3[[#This Row],[ф7 *Х^3]],0,IF(ABS((L27-Таблица3[[#This Row],[ф7 *Х^3]])/(L27+Таблица3[[#This Row],[ф7 *Х^3]]))&lt;0.01,1,2))</f>
        <v>0</v>
      </c>
    </row>
    <row r="31" spans="1:41" x14ac:dyDescent="0.35">
      <c r="A31" s="387" t="s">
        <v>87</v>
      </c>
      <c r="B31" s="387" t="s">
        <v>65</v>
      </c>
      <c r="C31" s="502">
        <v>298.14999999999998</v>
      </c>
      <c r="D31" s="502">
        <v>2000</v>
      </c>
      <c r="E31" s="503">
        <v>1.2677</v>
      </c>
      <c r="F31" s="503">
        <v>11.071</v>
      </c>
      <c r="G31" s="503">
        <v>4.4489000000000001</v>
      </c>
      <c r="H31" s="503">
        <v>-1.0823999999999999E-4</v>
      </c>
      <c r="I31" s="503">
        <v>0.13999</v>
      </c>
      <c r="J31" s="503">
        <v>0.10223</v>
      </c>
      <c r="K31" s="503">
        <v>0</v>
      </c>
      <c r="L31" s="503">
        <v>0</v>
      </c>
      <c r="M31" s="521">
        <f t="shared" si="1"/>
        <v>1</v>
      </c>
      <c r="O31" s="387" t="s">
        <v>107</v>
      </c>
      <c r="P31" s="387" t="s">
        <v>65</v>
      </c>
      <c r="Q31" s="502">
        <v>1500</v>
      </c>
      <c r="R31" s="502">
        <v>6000</v>
      </c>
      <c r="S31" s="387">
        <v>5.674709</v>
      </c>
      <c r="T31" s="387">
        <v>40.162990000000001</v>
      </c>
      <c r="U31" s="387">
        <v>2.7510140000000001</v>
      </c>
      <c r="V31" s="387">
        <v>7.8054969999999998E-3</v>
      </c>
      <c r="W31" s="387">
        <v>-0.32734089999999999</v>
      </c>
      <c r="X31" s="387">
        <v>6.01546</v>
      </c>
      <c r="Y31" s="387">
        <v>-3.5431430000000002</v>
      </c>
      <c r="Z31" s="387">
        <v>0.75900279999999998</v>
      </c>
      <c r="AA31" s="502">
        <v>1</v>
      </c>
      <c r="AC31" s="388" t="str">
        <f t="shared" si="3"/>
        <v>Ge2</v>
      </c>
      <c r="AD31" s="507" t="str">
        <f>Таблица3[[#This Row],[Вещество]]</f>
        <v>Ge2</v>
      </c>
      <c r="AE31" s="507">
        <f>IF(B28=Таблица3[[#This Row],[Фаза]],0,2)</f>
        <v>0</v>
      </c>
      <c r="AF31" s="507">
        <f>IF(C28=Таблица3[[#This Row],[To]],0,IF(ABS((C28-Таблица3[[#This Row],[To]])/(C28+Таблица3[[#This Row],[To]]))&lt;0.01,1,2))</f>
        <v>0</v>
      </c>
      <c r="AG31" s="507">
        <f>IF(D28=Таблица3[[#This Row],[T]],0,IF(ABS((D28-Таблица3[[#This Row],[T]])/(D28+Таблица3[[#This Row],[T]]))&lt;0.01,1,2))</f>
        <v>0</v>
      </c>
      <c r="AH31" s="507">
        <f>IF(E28=Таблица3[[#This Row],[ho]],0,IF(ABS((E28-Таблица3[[#This Row],[ho]])/(E28+Таблица3[[#This Row],[ho]]))&lt;0.01,1,2))</f>
        <v>0</v>
      </c>
      <c r="AI31" s="507">
        <f>IF(F28=Таблица3[[#This Row],[ф1]],0,IF(ABS((F28-Таблица3[[#This Row],[ф1]])/(F28+Таблица3[[#This Row],[ф1]]))&lt;0.01,1,2))</f>
        <v>0</v>
      </c>
      <c r="AJ31" s="507">
        <f>IF(G28=Таблица3[[#This Row],[ф2 *lnX]],0,IF(ABS((G28-Таблица3[[#This Row],[ф2 *lnX]])/(G28+Таблица3[[#This Row],[ф2 *lnX]]))&lt;0.01,1,2))</f>
        <v>0</v>
      </c>
      <c r="AK31" s="507">
        <f>IF(H28=Таблица3[[#This Row],[ф3 *X^(-2)]],0,IF(ABS((H28-Таблица3[[#This Row],[ф3 *X^(-2)]])/(H28+Таблица3[[#This Row],[ф3 *X^(-2)]]))&lt;0.01,1,2))</f>
        <v>0</v>
      </c>
      <c r="AL31" s="507">
        <f>IF(I28=Таблица3[[#This Row],[ф4 *X^(-1)]],0,IF(ABS((I28-Таблица3[[#This Row],[ф4 *X^(-1)]])/(I28+Таблица3[[#This Row],[ф4 *X^(-1)]]))&lt;0.01,1,2))</f>
        <v>0</v>
      </c>
      <c r="AM31" s="507">
        <f>IF(J28=Таблица3[[#This Row],[ф5 *X]],0,IF(ABS((J28-Таблица3[[#This Row],[ф5 *X]])/(J28+Таблица3[[#This Row],[ф5 *X]]))&lt;0.01,1,2))</f>
        <v>0</v>
      </c>
      <c r="AN31" s="507">
        <f>IF(K28=Таблица3[[#This Row],[ф6 *X^2]],0,IF(ABS((K28-Таблица3[[#This Row],[ф6 *X^2]])/(K28+Таблица3[[#This Row],[ф6 *X^2]]))&lt;0.01,1,2))</f>
        <v>0</v>
      </c>
      <c r="AO31" s="507">
        <f>IF(L28=Таблица3[[#This Row],[ф7 *Х^3]],0,IF(ABS((L28-Таблица3[[#This Row],[ф7 *Х^3]])/(L28+Таблица3[[#This Row],[ф7 *Х^3]]))&lt;0.01,1,2))</f>
        <v>0</v>
      </c>
    </row>
    <row r="32" spans="1:41" x14ac:dyDescent="0.35">
      <c r="A32" s="387" t="s">
        <v>87</v>
      </c>
      <c r="B32" s="387" t="s">
        <v>69</v>
      </c>
      <c r="C32" s="502">
        <v>298.14999999999998</v>
      </c>
      <c r="D32" s="502">
        <v>947.99990000000003</v>
      </c>
      <c r="E32" s="503">
        <v>-0.82987549999999999</v>
      </c>
      <c r="F32" s="503">
        <v>22.446940000000001</v>
      </c>
      <c r="G32" s="503">
        <v>5.4242590000000002</v>
      </c>
      <c r="H32" s="503">
        <v>0</v>
      </c>
      <c r="I32" s="503">
        <v>0.17049120000000001</v>
      </c>
      <c r="J32" s="503">
        <v>9.8622890000000005</v>
      </c>
      <c r="K32" s="503">
        <v>0</v>
      </c>
      <c r="L32" s="503">
        <v>0</v>
      </c>
      <c r="M32" s="521">
        <f t="shared" si="1"/>
        <v>1</v>
      </c>
      <c r="O32" s="387" t="s">
        <v>157</v>
      </c>
      <c r="P32" s="387" t="s">
        <v>69</v>
      </c>
      <c r="Q32" s="502">
        <v>298.14999999999998</v>
      </c>
      <c r="R32" s="502">
        <v>500</v>
      </c>
      <c r="S32" s="387">
        <v>-2.9538579229057667</v>
      </c>
      <c r="T32" s="387">
        <v>113.71055690608316</v>
      </c>
      <c r="U32" s="387">
        <v>28.457033244452461</v>
      </c>
      <c r="V32" s="387">
        <v>-5.8145408623489088E-4</v>
      </c>
      <c r="W32" s="387">
        <v>0.75416836346922789</v>
      </c>
      <c r="X32" s="387">
        <v>-232.41265214011662</v>
      </c>
      <c r="Y32" s="387">
        <v>1383.1599414677171</v>
      </c>
      <c r="Z32" s="387">
        <v>0</v>
      </c>
      <c r="AA32" s="502">
        <v>1</v>
      </c>
      <c r="AC32" s="388" t="str">
        <f t="shared" si="3"/>
        <v>Ge3Se4</v>
      </c>
      <c r="AD32" s="507" t="str">
        <f>Таблица3[[#This Row],[Вещество]]</f>
        <v>Ge3Se4</v>
      </c>
      <c r="AE32" s="507">
        <f>IF(B29=Таблица3[[#This Row],[Фаза]],0,2)</f>
        <v>0</v>
      </c>
      <c r="AF32" s="507">
        <f>IF(C29=Таблица3[[#This Row],[To]],0,IF(ABS((C29-Таблица3[[#This Row],[To]])/(C29+Таблица3[[#This Row],[To]]))&lt;0.01,1,2))</f>
        <v>0</v>
      </c>
      <c r="AG32" s="507">
        <f>IF(D29=Таблица3[[#This Row],[T]],0,IF(ABS((D29-Таблица3[[#This Row],[T]])/(D29+Таблица3[[#This Row],[T]]))&lt;0.01,1,2))</f>
        <v>1</v>
      </c>
      <c r="AH32" s="507">
        <f>IF(E29=Таблица3[[#This Row],[ho]],0,IF(ABS((E29-Таблица3[[#This Row],[ho]])/(E29+Таблица3[[#This Row],[ho]]))&lt;0.01,1,2))</f>
        <v>1</v>
      </c>
      <c r="AI32" s="507">
        <f>IF(F29=Таблица3[[#This Row],[ф1]],0,IF(ABS((F29-Таблица3[[#This Row],[ф1]])/(F29+Таблица3[[#This Row],[ф1]]))&lt;0.01,1,2))</f>
        <v>1</v>
      </c>
      <c r="AJ32" s="507">
        <f>IF(G29=Таблица3[[#This Row],[ф2 *lnX]],0,IF(ABS((G29-Таблица3[[#This Row],[ф2 *lnX]])/(G29+Таблица3[[#This Row],[ф2 *lnX]]))&lt;0.01,1,2))</f>
        <v>1</v>
      </c>
      <c r="AK32" s="507">
        <f>IF(H29=Таблица3[[#This Row],[ф3 *X^(-2)]],0,IF(ABS((H29-Таблица3[[#This Row],[ф3 *X^(-2)]])/(H29+Таблица3[[#This Row],[ф3 *X^(-2)]]))&lt;0.01,1,2))</f>
        <v>1</v>
      </c>
      <c r="AL32" s="507">
        <f>IF(I29=Таблица3[[#This Row],[ф4 *X^(-1)]],0,IF(ABS((I29-Таблица3[[#This Row],[ф4 *X^(-1)]])/(I29+Таблица3[[#This Row],[ф4 *X^(-1)]]))&lt;0.01,1,2))</f>
        <v>1</v>
      </c>
      <c r="AM32" s="507">
        <f>IF(J29=Таблица3[[#This Row],[ф5 *X]],0,IF(ABS((J29-Таблица3[[#This Row],[ф5 *X]])/(J29+Таблица3[[#This Row],[ф5 *X]]))&lt;0.01,1,2))</f>
        <v>1</v>
      </c>
      <c r="AN32" s="507">
        <f>IF(K29=Таблица3[[#This Row],[ф6 *X^2]],0,IF(ABS((K29-Таблица3[[#This Row],[ф6 *X^2]])/(K29+Таблица3[[#This Row],[ф6 *X^2]]))&lt;0.01,1,2))</f>
        <v>1</v>
      </c>
      <c r="AO32" s="507">
        <f>IF(L29=Таблица3[[#This Row],[ф7 *Х^3]],0,IF(ABS((L29-Таблица3[[#This Row],[ф7 *Х^3]])/(L29+Таблица3[[#This Row],[ф7 *Х^3]]))&lt;0.01,1,2))</f>
        <v>0</v>
      </c>
    </row>
    <row r="33" spans="1:41" x14ac:dyDescent="0.35">
      <c r="A33" s="387" t="s">
        <v>88</v>
      </c>
      <c r="B33" s="387" t="s">
        <v>69</v>
      </c>
      <c r="C33" s="502">
        <v>298.14999999999998</v>
      </c>
      <c r="D33" s="502">
        <v>1013</v>
      </c>
      <c r="E33" s="503">
        <v>-1.3591</v>
      </c>
      <c r="F33" s="503">
        <v>31.553999999999998</v>
      </c>
      <c r="G33" s="503">
        <v>7.5639000000000003</v>
      </c>
      <c r="H33" s="503">
        <v>0</v>
      </c>
      <c r="I33" s="503">
        <v>0.24035000000000001</v>
      </c>
      <c r="J33" s="503">
        <v>16.681999999999999</v>
      </c>
      <c r="K33" s="503">
        <v>0</v>
      </c>
      <c r="L33" s="503">
        <v>0</v>
      </c>
      <c r="M33" s="521">
        <f t="shared" si="1"/>
        <v>1</v>
      </c>
      <c r="O33" s="387" t="s">
        <v>156</v>
      </c>
      <c r="P33" s="387" t="s">
        <v>69</v>
      </c>
      <c r="Q33" s="502">
        <v>298.14999999999998</v>
      </c>
      <c r="R33" s="502">
        <v>500</v>
      </c>
      <c r="S33" s="387">
        <v>-3.7810713933489688</v>
      </c>
      <c r="T33" s="387">
        <v>136.15749690608317</v>
      </c>
      <c r="U33" s="387">
        <v>33.881292244452467</v>
      </c>
      <c r="V33" s="387">
        <v>-5.8145408623489088E-4</v>
      </c>
      <c r="W33" s="387">
        <v>0.92465956346922784</v>
      </c>
      <c r="X33" s="387">
        <v>-222.55036314011662</v>
      </c>
      <c r="Y33" s="387">
        <v>1383.1599414677171</v>
      </c>
      <c r="Z33" s="387">
        <v>0</v>
      </c>
      <c r="AA33" s="502">
        <v>1</v>
      </c>
      <c r="AC33" s="388" t="str">
        <f t="shared" si="3"/>
        <v>Ge4Se5</v>
      </c>
      <c r="AD33" s="507" t="str">
        <f>Таблица3[[#This Row],[Вещество]]</f>
        <v>Ge4Se5</v>
      </c>
      <c r="AE33" s="507">
        <f>IF(B30=Таблица3[[#This Row],[Фаза]],0,2)</f>
        <v>0</v>
      </c>
      <c r="AF33" s="507">
        <f>IF(C30=Таблица3[[#This Row],[To]],0,IF(ABS((C30-Таблица3[[#This Row],[To]])/(C30+Таблица3[[#This Row],[To]]))&lt;0.01,1,2))</f>
        <v>0</v>
      </c>
      <c r="AG33" s="507">
        <f>IF(D30=Таблица3[[#This Row],[T]],0,IF(ABS((D30-Таблица3[[#This Row],[T]])/(D30+Таблица3[[#This Row],[T]]))&lt;0.01,1,2))</f>
        <v>1</v>
      </c>
      <c r="AH33" s="507">
        <f>IF(E30=Таблица3[[#This Row],[ho]],0,IF(ABS((E30-Таблица3[[#This Row],[ho]])/(E30+Таблица3[[#This Row],[ho]]))&lt;0.01,1,2))</f>
        <v>1</v>
      </c>
      <c r="AI33" s="507">
        <f>IF(F30=Таблица3[[#This Row],[ф1]],0,IF(ABS((F30-Таблица3[[#This Row],[ф1]])/(F30+Таблица3[[#This Row],[ф1]]))&lt;0.01,1,2))</f>
        <v>1</v>
      </c>
      <c r="AJ33" s="507">
        <f>IF(G30=Таблица3[[#This Row],[ф2 *lnX]],0,IF(ABS((G30-Таблица3[[#This Row],[ф2 *lnX]])/(G30+Таблица3[[#This Row],[ф2 *lnX]]))&lt;0.01,1,2))</f>
        <v>1</v>
      </c>
      <c r="AK33" s="507">
        <f>IF(H30=Таблица3[[#This Row],[ф3 *X^(-2)]],0,IF(ABS((H30-Таблица3[[#This Row],[ф3 *X^(-2)]])/(H30+Таблица3[[#This Row],[ф3 *X^(-2)]]))&lt;0.01,1,2))</f>
        <v>1</v>
      </c>
      <c r="AL33" s="507">
        <f>IF(I30=Таблица3[[#This Row],[ф4 *X^(-1)]],0,IF(ABS((I30-Таблица3[[#This Row],[ф4 *X^(-1)]])/(I30+Таблица3[[#This Row],[ф4 *X^(-1)]]))&lt;0.01,1,2))</f>
        <v>1</v>
      </c>
      <c r="AM33" s="507">
        <f>IF(J30=Таблица3[[#This Row],[ф5 *X]],0,IF(ABS((J30-Таблица3[[#This Row],[ф5 *X]])/(J30+Таблица3[[#This Row],[ф5 *X]]))&lt;0.01,1,2))</f>
        <v>1</v>
      </c>
      <c r="AN33" s="507">
        <f>IF(K30=Таблица3[[#This Row],[ф6 *X^2]],0,IF(ABS((K30-Таблица3[[#This Row],[ф6 *X^2]])/(K30+Таблица3[[#This Row],[ф6 *X^2]]))&lt;0.01,1,2))</f>
        <v>1</v>
      </c>
      <c r="AO33" s="507">
        <f>IF(L30=Таблица3[[#This Row],[ф7 *Х^3]],0,IF(ABS((L30-Таблица3[[#This Row],[ф7 *Х^3]])/(L30+Таблица3[[#This Row],[ф7 *Х^3]]))&lt;0.01,1,2))</f>
        <v>0</v>
      </c>
    </row>
    <row r="34" spans="1:41" x14ac:dyDescent="0.35">
      <c r="A34" s="387" t="s">
        <v>88</v>
      </c>
      <c r="B34" s="387" t="s">
        <v>69</v>
      </c>
      <c r="C34" s="502">
        <v>298.14999999999998</v>
      </c>
      <c r="D34" s="502">
        <v>350</v>
      </c>
      <c r="E34" s="503">
        <v>-1.3591</v>
      </c>
      <c r="F34" s="503">
        <v>68.819999999999993</v>
      </c>
      <c r="G34" s="503">
        <v>17.670000000000002</v>
      </c>
      <c r="H34" s="503">
        <v>-5.8149999999999999E-4</v>
      </c>
      <c r="I34" s="503">
        <v>0.41320000000000001</v>
      </c>
      <c r="J34" s="503">
        <v>-252.1001</v>
      </c>
      <c r="K34" s="503">
        <v>1383</v>
      </c>
      <c r="L34" s="503">
        <v>0</v>
      </c>
      <c r="M34" s="521">
        <f t="shared" si="1"/>
        <v>1</v>
      </c>
      <c r="O34" s="387" t="s">
        <v>87</v>
      </c>
      <c r="P34" s="387" t="s">
        <v>65</v>
      </c>
      <c r="Q34" s="502">
        <v>298.14999999999998</v>
      </c>
      <c r="R34" s="502">
        <v>2000</v>
      </c>
      <c r="S34" s="387">
        <v>1.2677</v>
      </c>
      <c r="T34" s="387">
        <v>11.071</v>
      </c>
      <c r="U34" s="387">
        <v>4.4489000000000001</v>
      </c>
      <c r="V34" s="387">
        <v>-1.0823999999999999E-4</v>
      </c>
      <c r="W34" s="387">
        <v>0.13999</v>
      </c>
      <c r="X34" s="387">
        <v>0.10223</v>
      </c>
      <c r="Y34" s="387">
        <v>0</v>
      </c>
      <c r="Z34" s="387">
        <v>0</v>
      </c>
      <c r="AA34" s="502">
        <v>1</v>
      </c>
      <c r="AC34" s="388" t="str">
        <f t="shared" si="3"/>
        <v>GeSe</v>
      </c>
      <c r="AD34" s="507" t="str">
        <f>Таблица3[[#This Row],[Вещество]]</f>
        <v>GeSe</v>
      </c>
      <c r="AE34" s="507">
        <f>IF(B31=Таблица3[[#This Row],[Фаза]],0,2)</f>
        <v>0</v>
      </c>
      <c r="AF34" s="507">
        <f>IF(C31=Таблица3[[#This Row],[To]],0,IF(ABS((C31-Таблица3[[#This Row],[To]])/(C31+Таблица3[[#This Row],[To]]))&lt;0.01,1,2))</f>
        <v>0</v>
      </c>
      <c r="AG34" s="507">
        <f>IF(D31=Таблица3[[#This Row],[T]],0,IF(ABS((D31-Таблица3[[#This Row],[T]])/(D31+Таблица3[[#This Row],[T]]))&lt;0.01,1,2))</f>
        <v>0</v>
      </c>
      <c r="AH34" s="507">
        <f>IF(E31=Таблица3[[#This Row],[ho]],0,IF(ABS((E31-Таблица3[[#This Row],[ho]])/(E31+Таблица3[[#This Row],[ho]]))&lt;0.01,1,2))</f>
        <v>0</v>
      </c>
      <c r="AI34" s="507">
        <f>IF(F31=Таблица3[[#This Row],[ф1]],0,IF(ABS((F31-Таблица3[[#This Row],[ф1]])/(F31+Таблица3[[#This Row],[ф1]]))&lt;0.01,1,2))</f>
        <v>0</v>
      </c>
      <c r="AJ34" s="507">
        <f>IF(G31=Таблица3[[#This Row],[ф2 *lnX]],0,IF(ABS((G31-Таблица3[[#This Row],[ф2 *lnX]])/(G31+Таблица3[[#This Row],[ф2 *lnX]]))&lt;0.01,1,2))</f>
        <v>0</v>
      </c>
      <c r="AK34" s="507">
        <f>IF(H31=Таблица3[[#This Row],[ф3 *X^(-2)]],0,IF(ABS((H31-Таблица3[[#This Row],[ф3 *X^(-2)]])/(H31+Таблица3[[#This Row],[ф3 *X^(-2)]]))&lt;0.01,1,2))</f>
        <v>0</v>
      </c>
      <c r="AL34" s="507">
        <f>IF(I31=Таблица3[[#This Row],[ф4 *X^(-1)]],0,IF(ABS((I31-Таблица3[[#This Row],[ф4 *X^(-1)]])/(I31+Таблица3[[#This Row],[ф4 *X^(-1)]]))&lt;0.01,1,2))</f>
        <v>0</v>
      </c>
      <c r="AM34" s="507">
        <f>IF(J31=Таблица3[[#This Row],[ф5 *X]],0,IF(ABS((J31-Таблица3[[#This Row],[ф5 *X]])/(J31+Таблица3[[#This Row],[ф5 *X]]))&lt;0.01,1,2))</f>
        <v>0</v>
      </c>
      <c r="AN34" s="507">
        <f>IF(K31=Таблица3[[#This Row],[ф6 *X^2]],0,IF(ABS((K31-Таблица3[[#This Row],[ф6 *X^2]])/(K31+Таблица3[[#This Row],[ф6 *X^2]]))&lt;0.01,1,2))</f>
        <v>0</v>
      </c>
      <c r="AO34" s="507">
        <f>IF(L31=Таблица3[[#This Row],[ф7 *Х^3]],0,IF(ABS((L31-Таблица3[[#This Row],[ф7 *Х^3]])/(L31+Таблица3[[#This Row],[ф7 *Х^3]]))&lt;0.01,1,2))</f>
        <v>0</v>
      </c>
    </row>
    <row r="35" spans="1:41" x14ac:dyDescent="0.35">
      <c r="A35" s="387" t="s">
        <v>88</v>
      </c>
      <c r="B35" s="387" t="s">
        <v>69</v>
      </c>
      <c r="C35" s="502">
        <v>350</v>
      </c>
      <c r="D35" s="502">
        <v>420</v>
      </c>
      <c r="E35" s="503">
        <v>-1.359</v>
      </c>
      <c r="F35" s="503">
        <v>12.05</v>
      </c>
      <c r="G35" s="503">
        <v>1.762</v>
      </c>
      <c r="H35" s="503">
        <v>0</v>
      </c>
      <c r="I35" s="503">
        <v>0.14510000000000001</v>
      </c>
      <c r="J35" s="503">
        <v>105.7</v>
      </c>
      <c r="K35" s="503">
        <v>0</v>
      </c>
      <c r="L35" s="503">
        <v>0</v>
      </c>
      <c r="M35" s="521">
        <f t="shared" si="1"/>
        <v>1</v>
      </c>
      <c r="O35" s="387" t="s">
        <v>87</v>
      </c>
      <c r="P35" s="387" t="s">
        <v>69</v>
      </c>
      <c r="Q35" s="502">
        <v>298.14999999999998</v>
      </c>
      <c r="R35" s="502">
        <v>947.99990000000003</v>
      </c>
      <c r="S35" s="387">
        <v>-0.82987549999999999</v>
      </c>
      <c r="T35" s="387">
        <v>22.446940000000001</v>
      </c>
      <c r="U35" s="387">
        <v>5.4242590000000002</v>
      </c>
      <c r="V35" s="387">
        <v>0</v>
      </c>
      <c r="W35" s="387">
        <v>0.17049120000000001</v>
      </c>
      <c r="X35" s="387">
        <v>9.8622890000000005</v>
      </c>
      <c r="Y35" s="387">
        <v>0</v>
      </c>
      <c r="Z35" s="387">
        <v>0</v>
      </c>
      <c r="AA35" s="502">
        <v>1</v>
      </c>
      <c r="AC35" s="388" t="str">
        <f t="shared" si="3"/>
        <v>GeSe</v>
      </c>
      <c r="AD35" s="507" t="str">
        <f>Таблица3[[#This Row],[Вещество]]</f>
        <v>GeSe</v>
      </c>
      <c r="AE35" s="507">
        <f>IF(B32=Таблица3[[#This Row],[Фаза]],0,2)</f>
        <v>0</v>
      </c>
      <c r="AF35" s="507">
        <f>IF(C32=Таблица3[[#This Row],[To]],0,IF(ABS((C32-Таблица3[[#This Row],[To]])/(C32+Таблица3[[#This Row],[To]]))&lt;0.01,1,2))</f>
        <v>0</v>
      </c>
      <c r="AG35" s="507">
        <f>IF(D32=Таблица3[[#This Row],[T]],0,IF(ABS((D32-Таблица3[[#This Row],[T]])/(D32+Таблица3[[#This Row],[T]]))&lt;0.01,1,2))</f>
        <v>0</v>
      </c>
      <c r="AH35" s="507">
        <f>IF(E32=Таблица3[[#This Row],[ho]],0,IF(ABS((E32-Таблица3[[#This Row],[ho]])/(E32+Таблица3[[#This Row],[ho]]))&lt;0.01,1,2))</f>
        <v>0</v>
      </c>
      <c r="AI35" s="507">
        <f>IF(F32=Таблица3[[#This Row],[ф1]],0,IF(ABS((F32-Таблица3[[#This Row],[ф1]])/(F32+Таблица3[[#This Row],[ф1]]))&lt;0.01,1,2))</f>
        <v>0</v>
      </c>
      <c r="AJ35" s="507">
        <f>IF(G32=Таблица3[[#This Row],[ф2 *lnX]],0,IF(ABS((G32-Таблица3[[#This Row],[ф2 *lnX]])/(G32+Таблица3[[#This Row],[ф2 *lnX]]))&lt;0.01,1,2))</f>
        <v>0</v>
      </c>
      <c r="AK35" s="507">
        <f>IF(H32=Таблица3[[#This Row],[ф3 *X^(-2)]],0,IF(ABS((H32-Таблица3[[#This Row],[ф3 *X^(-2)]])/(H32+Таблица3[[#This Row],[ф3 *X^(-2)]]))&lt;0.01,1,2))</f>
        <v>0</v>
      </c>
      <c r="AL35" s="507">
        <f>IF(I32=Таблица3[[#This Row],[ф4 *X^(-1)]],0,IF(ABS((I32-Таблица3[[#This Row],[ф4 *X^(-1)]])/(I32+Таблица3[[#This Row],[ф4 *X^(-1)]]))&lt;0.01,1,2))</f>
        <v>0</v>
      </c>
      <c r="AM35" s="507">
        <f>IF(J32=Таблица3[[#This Row],[ф5 *X]],0,IF(ABS((J32-Таблица3[[#This Row],[ф5 *X]])/(J32+Таблица3[[#This Row],[ф5 *X]]))&lt;0.01,1,2))</f>
        <v>0</v>
      </c>
      <c r="AN35" s="507">
        <f>IF(K32=Таблица3[[#This Row],[ф6 *X^2]],0,IF(ABS((K32-Таблица3[[#This Row],[ф6 *X^2]])/(K32+Таблица3[[#This Row],[ф6 *X^2]]))&lt;0.01,1,2))</f>
        <v>0</v>
      </c>
      <c r="AO35" s="507">
        <f>IF(L32=Таблица3[[#This Row],[ф7 *Х^3]],0,IF(ABS((L32-Таблица3[[#This Row],[ф7 *Х^3]])/(L32+Таблица3[[#This Row],[ф7 *Х^3]]))&lt;0.01,1,2))</f>
        <v>0</v>
      </c>
    </row>
    <row r="36" spans="1:41" x14ac:dyDescent="0.35">
      <c r="A36" s="387" t="s">
        <v>88</v>
      </c>
      <c r="B36" s="387" t="s">
        <v>69</v>
      </c>
      <c r="C36" s="502">
        <v>420</v>
      </c>
      <c r="D36" s="502">
        <v>450</v>
      </c>
      <c r="E36" s="503">
        <v>-1.359</v>
      </c>
      <c r="F36" s="503">
        <v>38.770000000000003</v>
      </c>
      <c r="G36" s="503">
        <v>9.9830000000000005</v>
      </c>
      <c r="H36" s="503">
        <v>0</v>
      </c>
      <c r="I36" s="503">
        <v>0.3039</v>
      </c>
      <c r="J36" s="503">
        <v>0</v>
      </c>
      <c r="K36" s="503">
        <v>0</v>
      </c>
      <c r="L36" s="503">
        <v>0</v>
      </c>
      <c r="M36" s="521">
        <f t="shared" si="1"/>
        <v>1</v>
      </c>
      <c r="O36" s="387" t="s">
        <v>88</v>
      </c>
      <c r="P36" s="387" t="s">
        <v>69</v>
      </c>
      <c r="Q36" s="502">
        <v>298.14999999999998</v>
      </c>
      <c r="R36" s="502">
        <v>1013</v>
      </c>
      <c r="S36" s="387">
        <v>-1.3591</v>
      </c>
      <c r="T36" s="387">
        <v>31.553999999999998</v>
      </c>
      <c r="U36" s="387">
        <v>7.5639000000000003</v>
      </c>
      <c r="V36" s="387">
        <v>0</v>
      </c>
      <c r="W36" s="387">
        <v>0.24035000000000001</v>
      </c>
      <c r="X36" s="387">
        <v>16.681999999999999</v>
      </c>
      <c r="Y36" s="387">
        <v>0</v>
      </c>
      <c r="Z36" s="387">
        <v>0</v>
      </c>
      <c r="AA36" s="502">
        <v>1</v>
      </c>
      <c r="AC36" s="388" t="str">
        <f t="shared" si="3"/>
        <v>GeSe2</v>
      </c>
      <c r="AD36" s="507" t="str">
        <f>Таблица3[[#This Row],[Вещество]]</f>
        <v>GeSe2</v>
      </c>
      <c r="AE36" s="507">
        <f>IF(B33=Таблица3[[#This Row],[Фаза]],0,2)</f>
        <v>0</v>
      </c>
      <c r="AF36" s="507">
        <f>IF(C33=Таблица3[[#This Row],[To]],0,IF(ABS((C33-Таблица3[[#This Row],[To]])/(C33+Таблица3[[#This Row],[To]]))&lt;0.01,1,2))</f>
        <v>0</v>
      </c>
      <c r="AG36" s="507">
        <f>IF(D33=Таблица3[[#This Row],[T]],0,IF(ABS((D33-Таблица3[[#This Row],[T]])/(D33+Таблица3[[#This Row],[T]]))&lt;0.01,1,2))</f>
        <v>0</v>
      </c>
      <c r="AH36" s="507">
        <f>IF(E33=Таблица3[[#This Row],[ho]],0,IF(ABS((E33-Таблица3[[#This Row],[ho]])/(E33+Таблица3[[#This Row],[ho]]))&lt;0.01,1,2))</f>
        <v>0</v>
      </c>
      <c r="AI36" s="507">
        <f>IF(F33=Таблица3[[#This Row],[ф1]],0,IF(ABS((F33-Таблица3[[#This Row],[ф1]])/(F33+Таблица3[[#This Row],[ф1]]))&lt;0.01,1,2))</f>
        <v>0</v>
      </c>
      <c r="AJ36" s="507">
        <f>IF(G33=Таблица3[[#This Row],[ф2 *lnX]],0,IF(ABS((G33-Таблица3[[#This Row],[ф2 *lnX]])/(G33+Таблица3[[#This Row],[ф2 *lnX]]))&lt;0.01,1,2))</f>
        <v>0</v>
      </c>
      <c r="AK36" s="507">
        <f>IF(H33=Таблица3[[#This Row],[ф3 *X^(-2)]],0,IF(ABS((H33-Таблица3[[#This Row],[ф3 *X^(-2)]])/(H33+Таблица3[[#This Row],[ф3 *X^(-2)]]))&lt;0.01,1,2))</f>
        <v>0</v>
      </c>
      <c r="AL36" s="507">
        <f>IF(I33=Таблица3[[#This Row],[ф4 *X^(-1)]],0,IF(ABS((I33-Таблица3[[#This Row],[ф4 *X^(-1)]])/(I33+Таблица3[[#This Row],[ф4 *X^(-1)]]))&lt;0.01,1,2))</f>
        <v>0</v>
      </c>
      <c r="AM36" s="507">
        <f>IF(J33=Таблица3[[#This Row],[ф5 *X]],0,IF(ABS((J33-Таблица3[[#This Row],[ф5 *X]])/(J33+Таблица3[[#This Row],[ф5 *X]]))&lt;0.01,1,2))</f>
        <v>0</v>
      </c>
      <c r="AN36" s="507">
        <f>IF(K33=Таблица3[[#This Row],[ф6 *X^2]],0,IF(ABS((K33-Таблица3[[#This Row],[ф6 *X^2]])/(K33+Таблица3[[#This Row],[ф6 *X^2]]))&lt;0.01,1,2))</f>
        <v>0</v>
      </c>
      <c r="AO36" s="507">
        <f>IF(L33=Таблица3[[#This Row],[ф7 *Х^3]],0,IF(ABS((L33-Таблица3[[#This Row],[ф7 *Х^3]])/(L33+Таблица3[[#This Row],[ф7 *Х^3]]))&lt;0.01,1,2))</f>
        <v>0</v>
      </c>
    </row>
    <row r="37" spans="1:41" x14ac:dyDescent="0.35">
      <c r="A37" s="387" t="s">
        <v>88</v>
      </c>
      <c r="B37" s="387" t="s">
        <v>69</v>
      </c>
      <c r="C37" s="502">
        <v>450</v>
      </c>
      <c r="D37" s="502">
        <v>899.99990000000003</v>
      </c>
      <c r="E37" s="503">
        <v>-1.359</v>
      </c>
      <c r="F37" s="503">
        <v>18.36</v>
      </c>
      <c r="G37" s="503">
        <v>2.0299999999999998</v>
      </c>
      <c r="H37" s="503">
        <v>2.7360000000000002E-3</v>
      </c>
      <c r="I37" s="503">
        <v>-6.5769999999999995E-2</v>
      </c>
      <c r="J37" s="503">
        <v>61.46</v>
      </c>
      <c r="K37" s="503">
        <v>-80.110010000000003</v>
      </c>
      <c r="L37" s="503">
        <v>0</v>
      </c>
      <c r="M37" s="521">
        <f t="shared" si="1"/>
        <v>1</v>
      </c>
      <c r="O37" s="387" t="s">
        <v>88</v>
      </c>
      <c r="P37" s="387" t="s">
        <v>69</v>
      </c>
      <c r="Q37" s="502">
        <v>298.14999999999998</v>
      </c>
      <c r="R37" s="502">
        <v>350</v>
      </c>
      <c r="S37" s="387">
        <v>-1.3586866317878405</v>
      </c>
      <c r="T37" s="387">
        <v>68.816676906083146</v>
      </c>
      <c r="U37" s="387">
        <v>17.608515244452462</v>
      </c>
      <c r="V37" s="387">
        <v>-5.8145408623489088E-4</v>
      </c>
      <c r="W37" s="387">
        <v>0.41318596346922787</v>
      </c>
      <c r="X37" s="387">
        <v>-252.13723014011663</v>
      </c>
      <c r="Y37" s="387">
        <v>1383.1599414677171</v>
      </c>
      <c r="Z37" s="387">
        <v>0</v>
      </c>
      <c r="AA37" s="502">
        <v>1</v>
      </c>
      <c r="AC37" s="388" t="str">
        <f t="shared" si="3"/>
        <v>GeSe2</v>
      </c>
      <c r="AD37" s="507" t="str">
        <f>Таблица3[[#This Row],[Вещество]]</f>
        <v>GeSe2</v>
      </c>
      <c r="AE37" s="507">
        <f>IF(B34=Таблица3[[#This Row],[Фаза]],0,2)</f>
        <v>0</v>
      </c>
      <c r="AF37" s="507">
        <f>IF(C34=Таблица3[[#This Row],[To]],0,IF(ABS((C34-Таблица3[[#This Row],[To]])/(C34+Таблица3[[#This Row],[To]]))&lt;0.01,1,2))</f>
        <v>0</v>
      </c>
      <c r="AG37" s="507">
        <f>IF(D34=Таблица3[[#This Row],[T]],0,IF(ABS((D34-Таблица3[[#This Row],[T]])/(D34+Таблица3[[#This Row],[T]]))&lt;0.01,1,2))</f>
        <v>0</v>
      </c>
      <c r="AH37" s="507">
        <f>IF(E34=Таблица3[[#This Row],[ho]],0,IF(ABS((E34-Таблица3[[#This Row],[ho]])/(E34+Таблица3[[#This Row],[ho]]))&lt;0.01,1,2))</f>
        <v>1</v>
      </c>
      <c r="AI37" s="507">
        <f>IF(F34=Таблица3[[#This Row],[ф1]],0,IF(ABS((F34-Таблица3[[#This Row],[ф1]])/(F34+Таблица3[[#This Row],[ф1]]))&lt;0.01,1,2))</f>
        <v>1</v>
      </c>
      <c r="AJ37" s="507">
        <f>IF(G34=Таблица3[[#This Row],[ф2 *lnX]],0,IF(ABS((G34-Таблица3[[#This Row],[ф2 *lnX]])/(G34+Таблица3[[#This Row],[ф2 *lnX]]))&lt;0.01,1,2))</f>
        <v>1</v>
      </c>
      <c r="AK37" s="507">
        <f>IF(H34=Таблица3[[#This Row],[ф3 *X^(-2)]],0,IF(ABS((H34-Таблица3[[#This Row],[ф3 *X^(-2)]])/(H34+Таблица3[[#This Row],[ф3 *X^(-2)]]))&lt;0.01,1,2))</f>
        <v>1</v>
      </c>
      <c r="AL37" s="507">
        <f>IF(I34=Таблица3[[#This Row],[ф4 *X^(-1)]],0,IF(ABS((I34-Таблица3[[#This Row],[ф4 *X^(-1)]])/(I34+Таблица3[[#This Row],[ф4 *X^(-1)]]))&lt;0.01,1,2))</f>
        <v>1</v>
      </c>
      <c r="AM37" s="507">
        <f>IF(J34=Таблица3[[#This Row],[ф5 *X]],0,IF(ABS((J34-Таблица3[[#This Row],[ф5 *X]])/(J34+Таблица3[[#This Row],[ф5 *X]]))&lt;0.01,1,2))</f>
        <v>1</v>
      </c>
      <c r="AN37" s="507">
        <f>IF(K34=Таблица3[[#This Row],[ф6 *X^2]],0,IF(ABS((K34-Таблица3[[#This Row],[ф6 *X^2]])/(K34+Таблица3[[#This Row],[ф6 *X^2]]))&lt;0.01,1,2))</f>
        <v>1</v>
      </c>
      <c r="AO37" s="507">
        <f>IF(L34=Таблица3[[#This Row],[ф7 *Х^3]],0,IF(ABS((L34-Таблица3[[#This Row],[ф7 *Х^3]])/(L34+Таблица3[[#This Row],[ф7 *Х^3]]))&lt;0.01,1,2))</f>
        <v>0</v>
      </c>
    </row>
    <row r="38" spans="1:41" x14ac:dyDescent="0.35">
      <c r="A38" s="387" t="s">
        <v>70</v>
      </c>
      <c r="B38" s="387" t="s">
        <v>65</v>
      </c>
      <c r="C38" s="502">
        <v>298.14999999999998</v>
      </c>
      <c r="D38" s="502">
        <v>1500</v>
      </c>
      <c r="E38" s="503">
        <v>2.783115</v>
      </c>
      <c r="F38" s="503">
        <v>25.378499999999999</v>
      </c>
      <c r="G38" s="503">
        <v>1.797085</v>
      </c>
      <c r="H38" s="503">
        <v>1.090393E-4</v>
      </c>
      <c r="I38" s="503">
        <v>-2.1003919999999999E-2</v>
      </c>
      <c r="J38" s="503">
        <v>9.1604179999999999</v>
      </c>
      <c r="K38" s="503">
        <v>-16.28604</v>
      </c>
      <c r="L38" s="503">
        <v>12.30222</v>
      </c>
      <c r="M38" s="521">
        <f t="shared" si="1"/>
        <v>1</v>
      </c>
      <c r="O38" s="387" t="s">
        <v>88</v>
      </c>
      <c r="P38" s="387" t="s">
        <v>69</v>
      </c>
      <c r="Q38" s="502">
        <v>350</v>
      </c>
      <c r="R38" s="502">
        <v>420</v>
      </c>
      <c r="S38" s="387">
        <v>-1.3586866317878405</v>
      </c>
      <c r="T38" s="387">
        <v>12.046908589131874</v>
      </c>
      <c r="U38" s="387">
        <v>1.7622226231282696</v>
      </c>
      <c r="V38" s="387">
        <v>0</v>
      </c>
      <c r="W38" s="387">
        <v>0.14511938535984314</v>
      </c>
      <c r="X38" s="387">
        <v>105.72854651512418</v>
      </c>
      <c r="Y38" s="387">
        <v>0</v>
      </c>
      <c r="Z38" s="387">
        <v>0</v>
      </c>
      <c r="AA38" s="502">
        <v>1</v>
      </c>
      <c r="AC38" s="388" t="str">
        <f t="shared" si="3"/>
        <v>GeSe2</v>
      </c>
      <c r="AD38" s="507" t="str">
        <f>Таблица3[[#This Row],[Вещество]]</f>
        <v>GeSe2</v>
      </c>
      <c r="AE38" s="507">
        <f>IF(B35=Таблица3[[#This Row],[Фаза]],0,2)</f>
        <v>0</v>
      </c>
      <c r="AF38" s="507">
        <f>IF(C35=Таблица3[[#This Row],[To]],0,IF(ABS((C35-Таблица3[[#This Row],[To]])/(C35+Таблица3[[#This Row],[To]]))&lt;0.01,1,2))</f>
        <v>0</v>
      </c>
      <c r="AG38" s="507">
        <f>IF(D35=Таблица3[[#This Row],[T]],0,IF(ABS((D35-Таблица3[[#This Row],[T]])/(D35+Таблица3[[#This Row],[T]]))&lt;0.01,1,2))</f>
        <v>0</v>
      </c>
      <c r="AH38" s="507">
        <f>IF(E35=Таблица3[[#This Row],[ho]],0,IF(ABS((E35-Таблица3[[#This Row],[ho]])/(E35+Таблица3[[#This Row],[ho]]))&lt;0.01,1,2))</f>
        <v>1</v>
      </c>
      <c r="AI38" s="507">
        <f>IF(F35=Таблица3[[#This Row],[ф1]],0,IF(ABS((F35-Таблица3[[#This Row],[ф1]])/(F35+Таблица3[[#This Row],[ф1]]))&lt;0.01,1,2))</f>
        <v>1</v>
      </c>
      <c r="AJ38" s="507">
        <f>IF(G35=Таблица3[[#This Row],[ф2 *lnX]],0,IF(ABS((G35-Таблица3[[#This Row],[ф2 *lnX]])/(G35+Таблица3[[#This Row],[ф2 *lnX]]))&lt;0.01,1,2))</f>
        <v>1</v>
      </c>
      <c r="AK38" s="507">
        <f>IF(H35=Таблица3[[#This Row],[ф3 *X^(-2)]],0,IF(ABS((H35-Таблица3[[#This Row],[ф3 *X^(-2)]])/(H35+Таблица3[[#This Row],[ф3 *X^(-2)]]))&lt;0.01,1,2))</f>
        <v>0</v>
      </c>
      <c r="AL38" s="507">
        <f>IF(I35=Таблица3[[#This Row],[ф4 *X^(-1)]],0,IF(ABS((I35-Таблица3[[#This Row],[ф4 *X^(-1)]])/(I35+Таблица3[[#This Row],[ф4 *X^(-1)]]))&lt;0.01,1,2))</f>
        <v>1</v>
      </c>
      <c r="AM38" s="507">
        <f>IF(J35=Таблица3[[#This Row],[ф5 *X]],0,IF(ABS((J35-Таблица3[[#This Row],[ф5 *X]])/(J35+Таблица3[[#This Row],[ф5 *X]]))&lt;0.01,1,2))</f>
        <v>1</v>
      </c>
      <c r="AN38" s="507">
        <f>IF(K35=Таблица3[[#This Row],[ф6 *X^2]],0,IF(ABS((K35-Таблица3[[#This Row],[ф6 *X^2]])/(K35+Таблица3[[#This Row],[ф6 *X^2]]))&lt;0.01,1,2))</f>
        <v>0</v>
      </c>
      <c r="AO38" s="507">
        <f>IF(L35=Таблица3[[#This Row],[ф7 *Х^3]],0,IF(ABS((L35-Таблица3[[#This Row],[ф7 *Х^3]])/(L35+Таблица3[[#This Row],[ф7 *Х^3]]))&lt;0.01,1,2))</f>
        <v>0</v>
      </c>
    </row>
    <row r="39" spans="1:41" ht="21.75" thickBot="1" x14ac:dyDescent="0.4">
      <c r="A39" s="387" t="s">
        <v>70</v>
      </c>
      <c r="B39" s="387" t="s">
        <v>65</v>
      </c>
      <c r="C39" s="502">
        <v>1500</v>
      </c>
      <c r="D39" s="502">
        <v>10000</v>
      </c>
      <c r="E39" s="503">
        <v>2.783115</v>
      </c>
      <c r="F39" s="503">
        <v>27.619869999999999</v>
      </c>
      <c r="G39" s="503">
        <v>2.4307400000000001</v>
      </c>
      <c r="H39" s="503">
        <v>2.4488410000000002E-3</v>
      </c>
      <c r="I39" s="503">
        <v>-5.4265309999999997E-2</v>
      </c>
      <c r="J39" s="503">
        <v>0.91438399999999997</v>
      </c>
      <c r="K39" s="503">
        <v>-0.4321508</v>
      </c>
      <c r="L39" s="503">
        <v>8.956944E-2</v>
      </c>
      <c r="M39" s="522">
        <f>AA42</f>
        <v>1</v>
      </c>
      <c r="O39" s="387" t="s">
        <v>88</v>
      </c>
      <c r="P39" s="387" t="s">
        <v>69</v>
      </c>
      <c r="Q39" s="502">
        <v>420</v>
      </c>
      <c r="R39" s="502">
        <v>450</v>
      </c>
      <c r="S39" s="387">
        <v>-1.3586866317878405</v>
      </c>
      <c r="T39" s="387">
        <v>38.768510038576053</v>
      </c>
      <c r="U39" s="387">
        <v>9.9832822178122544</v>
      </c>
      <c r="V39" s="387">
        <v>0</v>
      </c>
      <c r="W39" s="387">
        <v>0.30389873228389108</v>
      </c>
      <c r="X39" s="387">
        <v>0</v>
      </c>
      <c r="Y39" s="387">
        <v>0</v>
      </c>
      <c r="Z39" s="387">
        <v>0</v>
      </c>
      <c r="AA39" s="502">
        <v>1</v>
      </c>
      <c r="AC39" s="388" t="str">
        <f t="shared" si="3"/>
        <v>GeSe2</v>
      </c>
      <c r="AD39" s="507" t="str">
        <f>Таблица3[[#This Row],[Вещество]]</f>
        <v>GeSe2</v>
      </c>
      <c r="AE39" s="507">
        <f>IF(B36=Таблица3[[#This Row],[Фаза]],0,2)</f>
        <v>0</v>
      </c>
      <c r="AF39" s="507">
        <f>IF(C36=Таблица3[[#This Row],[To]],0,IF(ABS((C36-Таблица3[[#This Row],[To]])/(C36+Таблица3[[#This Row],[To]]))&lt;0.01,1,2))</f>
        <v>0</v>
      </c>
      <c r="AG39" s="507">
        <f>IF(D36=Таблица3[[#This Row],[T]],0,IF(ABS((D36-Таблица3[[#This Row],[T]])/(D36+Таблица3[[#This Row],[T]]))&lt;0.01,1,2))</f>
        <v>0</v>
      </c>
      <c r="AH39" s="507">
        <f>IF(E36=Таблица3[[#This Row],[ho]],0,IF(ABS((E36-Таблица3[[#This Row],[ho]])/(E36+Таблица3[[#This Row],[ho]]))&lt;0.01,1,2))</f>
        <v>1</v>
      </c>
      <c r="AI39" s="507">
        <f>IF(F36=Таблица3[[#This Row],[ф1]],0,IF(ABS((F36-Таблица3[[#This Row],[ф1]])/(F36+Таблица3[[#This Row],[ф1]]))&lt;0.01,1,2))</f>
        <v>1</v>
      </c>
      <c r="AJ39" s="507">
        <f>IF(G36=Таблица3[[#This Row],[ф2 *lnX]],0,IF(ABS((G36-Таблица3[[#This Row],[ф2 *lnX]])/(G36+Таблица3[[#This Row],[ф2 *lnX]]))&lt;0.01,1,2))</f>
        <v>1</v>
      </c>
      <c r="AK39" s="507">
        <f>IF(H36=Таблица3[[#This Row],[ф3 *X^(-2)]],0,IF(ABS((H36-Таблица3[[#This Row],[ф3 *X^(-2)]])/(H36+Таблица3[[#This Row],[ф3 *X^(-2)]]))&lt;0.01,1,2))</f>
        <v>0</v>
      </c>
      <c r="AL39" s="507">
        <f>IF(I36=Таблица3[[#This Row],[ф4 *X^(-1)]],0,IF(ABS((I36-Таблица3[[#This Row],[ф4 *X^(-1)]])/(I36+Таблица3[[#This Row],[ф4 *X^(-1)]]))&lt;0.01,1,2))</f>
        <v>1</v>
      </c>
      <c r="AM39" s="507">
        <f>IF(J36=Таблица3[[#This Row],[ф5 *X]],0,IF(ABS((J36-Таблица3[[#This Row],[ф5 *X]])/(J36+Таблица3[[#This Row],[ф5 *X]]))&lt;0.01,1,2))</f>
        <v>0</v>
      </c>
      <c r="AN39" s="507">
        <f>IF(K36=Таблица3[[#This Row],[ф6 *X^2]],0,IF(ABS((K36-Таблица3[[#This Row],[ф6 *X^2]])/(K36+Таблица3[[#This Row],[ф6 *X^2]]))&lt;0.01,1,2))</f>
        <v>0</v>
      </c>
      <c r="AO39" s="507">
        <f>IF(L36=Таблица3[[#This Row],[ф7 *Х^3]],0,IF(ABS((L36-Таблица3[[#This Row],[ф7 *Х^3]])/(L36+Таблица3[[#This Row],[ф7 *Х^3]]))&lt;0.01,1,2))</f>
        <v>0</v>
      </c>
    </row>
    <row r="40" spans="1:41" x14ac:dyDescent="0.35">
      <c r="A40" s="388" t="s">
        <v>70</v>
      </c>
      <c r="B40" s="388" t="s">
        <v>61</v>
      </c>
      <c r="C40" s="513">
        <v>494.00009999999997</v>
      </c>
      <c r="D40" s="513">
        <v>1000</v>
      </c>
      <c r="E40" s="514">
        <v>7.4080010000000002E-2</v>
      </c>
      <c r="F40" s="514">
        <v>23.32</v>
      </c>
      <c r="G40" s="514">
        <v>6.3019999999999996</v>
      </c>
      <c r="H40" s="514">
        <v>0</v>
      </c>
      <c r="I40" s="514">
        <v>0.19220000000000001</v>
      </c>
      <c r="J40" s="514">
        <v>-29.83</v>
      </c>
      <c r="K40" s="514">
        <v>64.95</v>
      </c>
      <c r="L40" s="514">
        <v>0</v>
      </c>
      <c r="M40" s="520">
        <f>AA44</f>
        <v>1</v>
      </c>
      <c r="O40" s="387" t="s">
        <v>88</v>
      </c>
      <c r="P40" s="387" t="s">
        <v>69</v>
      </c>
      <c r="Q40" s="502">
        <v>450</v>
      </c>
      <c r="R40" s="502">
        <v>900</v>
      </c>
      <c r="S40" s="387">
        <v>-1.3586866317878405</v>
      </c>
      <c r="T40" s="387">
        <v>18.364758562217371</v>
      </c>
      <c r="U40" s="387">
        <v>2.0299476817607793</v>
      </c>
      <c r="V40" s="387">
        <v>2.736243911239401E-3</v>
      </c>
      <c r="W40" s="387">
        <v>-6.5765806573927721E-2</v>
      </c>
      <c r="X40" s="387">
        <v>61.455288953033858</v>
      </c>
      <c r="Y40" s="387">
        <v>-80.11305550544229</v>
      </c>
      <c r="Z40" s="387">
        <v>0</v>
      </c>
      <c r="AA40" s="502">
        <v>1</v>
      </c>
      <c r="AC40" s="388" t="str">
        <f t="shared" si="3"/>
        <v>GeSe2</v>
      </c>
      <c r="AD40" s="507" t="str">
        <f>Таблица3[[#This Row],[Вещество]]</f>
        <v>GeSe2</v>
      </c>
      <c r="AE40" s="507">
        <f>IF(B37=Таблица3[[#This Row],[Фаза]],0,2)</f>
        <v>0</v>
      </c>
      <c r="AF40" s="507">
        <f>IF(C37=Таблица3[[#This Row],[To]],0,IF(ABS((C37-Таблица3[[#This Row],[To]])/(C37+Таблица3[[#This Row],[To]]))&lt;0.01,1,2))</f>
        <v>0</v>
      </c>
      <c r="AG40" s="507">
        <f>IF(D37=Таблица3[[#This Row],[T]],0,IF(ABS((D37-Таблица3[[#This Row],[T]])/(D37+Таблица3[[#This Row],[T]]))&lt;0.01,1,2))</f>
        <v>1</v>
      </c>
      <c r="AH40" s="507">
        <f>IF(E37=Таблица3[[#This Row],[ho]],0,IF(ABS((E37-Таблица3[[#This Row],[ho]])/(E37+Таблица3[[#This Row],[ho]]))&lt;0.01,1,2))</f>
        <v>1</v>
      </c>
      <c r="AI40" s="507">
        <f>IF(F37=Таблица3[[#This Row],[ф1]],0,IF(ABS((F37-Таблица3[[#This Row],[ф1]])/(F37+Таблица3[[#This Row],[ф1]]))&lt;0.01,1,2))</f>
        <v>1</v>
      </c>
      <c r="AJ40" s="507">
        <f>IF(G37=Таблица3[[#This Row],[ф2 *lnX]],0,IF(ABS((G37-Таблица3[[#This Row],[ф2 *lnX]])/(G37+Таблица3[[#This Row],[ф2 *lnX]]))&lt;0.01,1,2))</f>
        <v>1</v>
      </c>
      <c r="AK40" s="507">
        <f>IF(H37=Таблица3[[#This Row],[ф3 *X^(-2)]],0,IF(ABS((H37-Таблица3[[#This Row],[ф3 *X^(-2)]])/(H37+Таблица3[[#This Row],[ф3 *X^(-2)]]))&lt;0.01,1,2))</f>
        <v>1</v>
      </c>
      <c r="AL40" s="507">
        <f>IF(I37=Таблица3[[#This Row],[ф4 *X^(-1)]],0,IF(ABS((I37-Таблица3[[#This Row],[ф4 *X^(-1)]])/(I37+Таблица3[[#This Row],[ф4 *X^(-1)]]))&lt;0.01,1,2))</f>
        <v>1</v>
      </c>
      <c r="AM40" s="507">
        <f>IF(J37=Таблица3[[#This Row],[ф5 *X]],0,IF(ABS((J37-Таблица3[[#This Row],[ф5 *X]])/(J37+Таблица3[[#This Row],[ф5 *X]]))&lt;0.01,1,2))</f>
        <v>1</v>
      </c>
      <c r="AN40" s="507">
        <f>IF(K37=Таблица3[[#This Row],[ф6 *X^2]],0,IF(ABS((K37-Таблица3[[#This Row],[ф6 *X^2]])/(K37+Таблица3[[#This Row],[ф6 *X^2]]))&lt;0.01,1,2))</f>
        <v>1</v>
      </c>
      <c r="AO40" s="507">
        <f>IF(L37=Таблица3[[#This Row],[ф7 *Х^3]],0,IF(ABS((L37-Таблица3[[#This Row],[ф7 *Х^3]])/(L37+Таблица3[[#This Row],[ф7 *Х^3]]))&lt;0.01,1,2))</f>
        <v>0</v>
      </c>
    </row>
    <row r="41" spans="1:41" x14ac:dyDescent="0.35">
      <c r="A41" s="388" t="s">
        <v>70</v>
      </c>
      <c r="B41" s="388" t="s">
        <v>61</v>
      </c>
      <c r="C41" s="513">
        <v>1000</v>
      </c>
      <c r="D41" s="513">
        <v>1800</v>
      </c>
      <c r="E41" s="514">
        <v>7.4080010000000002E-2</v>
      </c>
      <c r="F41" s="514">
        <v>16.62</v>
      </c>
      <c r="G41" s="514">
        <v>4.2460000000000004</v>
      </c>
      <c r="H41" s="514">
        <v>0</v>
      </c>
      <c r="I41" s="514">
        <v>0.15490000000000001</v>
      </c>
      <c r="J41" s="514">
        <v>0</v>
      </c>
      <c r="K41" s="514">
        <v>0</v>
      </c>
      <c r="L41" s="514">
        <v>0</v>
      </c>
      <c r="M41" s="521">
        <f t="shared" ref="M41:M61" si="4">AA45</f>
        <v>1</v>
      </c>
      <c r="O41" s="387" t="s">
        <v>70</v>
      </c>
      <c r="P41" s="387" t="s">
        <v>65</v>
      </c>
      <c r="Q41" s="502">
        <v>298.14999999999998</v>
      </c>
      <c r="R41" s="502">
        <v>1500</v>
      </c>
      <c r="S41" s="387">
        <v>2.783115</v>
      </c>
      <c r="T41" s="387">
        <v>25.378499999999999</v>
      </c>
      <c r="U41" s="387">
        <v>1.797085</v>
      </c>
      <c r="V41" s="387">
        <v>1.090393E-4</v>
      </c>
      <c r="W41" s="387">
        <v>-2.1003919999999999E-2</v>
      </c>
      <c r="X41" s="387">
        <v>9.1604179999999999</v>
      </c>
      <c r="Y41" s="387">
        <v>-16.28604</v>
      </c>
      <c r="Z41" s="387">
        <v>12.30222</v>
      </c>
      <c r="AA41" s="502">
        <v>1</v>
      </c>
      <c r="AC41" s="388" t="str">
        <f t="shared" si="3"/>
        <v>Se</v>
      </c>
      <c r="AD41" s="507" t="str">
        <f>Таблица3[[#This Row],[Вещество]]</f>
        <v>Se</v>
      </c>
      <c r="AE41" s="507">
        <f>IF(B38=Таблица3[[#This Row],[Фаза]],0,2)</f>
        <v>0</v>
      </c>
      <c r="AF41" s="507">
        <f>IF(C38=Таблица3[[#This Row],[To]],0,IF(ABS((C38-Таблица3[[#This Row],[To]])/(C38+Таблица3[[#This Row],[To]]))&lt;0.01,1,2))</f>
        <v>0</v>
      </c>
      <c r="AG41" s="507">
        <f>IF(D38=Таблица3[[#This Row],[T]],0,IF(ABS((D38-Таблица3[[#This Row],[T]])/(D38+Таблица3[[#This Row],[T]]))&lt;0.01,1,2))</f>
        <v>0</v>
      </c>
      <c r="AH41" s="507">
        <f>IF(E38=Таблица3[[#This Row],[ho]],0,IF(ABS((E38-Таблица3[[#This Row],[ho]])/(E38+Таблица3[[#This Row],[ho]]))&lt;0.01,1,2))</f>
        <v>0</v>
      </c>
      <c r="AI41" s="507">
        <f>IF(F38=Таблица3[[#This Row],[ф1]],0,IF(ABS((F38-Таблица3[[#This Row],[ф1]])/(F38+Таблица3[[#This Row],[ф1]]))&lt;0.01,1,2))</f>
        <v>0</v>
      </c>
      <c r="AJ41" s="507">
        <f>IF(G38=Таблица3[[#This Row],[ф2 *lnX]],0,IF(ABS((G38-Таблица3[[#This Row],[ф2 *lnX]])/(G38+Таблица3[[#This Row],[ф2 *lnX]]))&lt;0.01,1,2))</f>
        <v>0</v>
      </c>
      <c r="AK41" s="507">
        <f>IF(H38=Таблица3[[#This Row],[ф3 *X^(-2)]],0,IF(ABS((H38-Таблица3[[#This Row],[ф3 *X^(-2)]])/(H38+Таблица3[[#This Row],[ф3 *X^(-2)]]))&lt;0.01,1,2))</f>
        <v>0</v>
      </c>
      <c r="AL41" s="507">
        <f>IF(I38=Таблица3[[#This Row],[ф4 *X^(-1)]],0,IF(ABS((I38-Таблица3[[#This Row],[ф4 *X^(-1)]])/(I38+Таблица3[[#This Row],[ф4 *X^(-1)]]))&lt;0.01,1,2))</f>
        <v>0</v>
      </c>
      <c r="AM41" s="507">
        <f>IF(J38=Таблица3[[#This Row],[ф5 *X]],0,IF(ABS((J38-Таблица3[[#This Row],[ф5 *X]])/(J38+Таблица3[[#This Row],[ф5 *X]]))&lt;0.01,1,2))</f>
        <v>0</v>
      </c>
      <c r="AN41" s="507">
        <f>IF(K38=Таблица3[[#This Row],[ф6 *X^2]],0,IF(ABS((K38-Таблица3[[#This Row],[ф6 *X^2]])/(K38+Таблица3[[#This Row],[ф6 *X^2]]))&lt;0.01,1,2))</f>
        <v>0</v>
      </c>
      <c r="AO41" s="507">
        <f>IF(L38=Таблица3[[#This Row],[ф7 *Х^3]],0,IF(ABS((L38-Таблица3[[#This Row],[ф7 *Х^3]])/(L38+Таблица3[[#This Row],[ф7 *Х^3]]))&lt;0.01,1,2))</f>
        <v>0</v>
      </c>
    </row>
    <row r="42" spans="1:41" x14ac:dyDescent="0.35">
      <c r="A42" s="388" t="s">
        <v>70</v>
      </c>
      <c r="B42" s="388" t="s">
        <v>69</v>
      </c>
      <c r="C42" s="513">
        <v>298.14999999999998</v>
      </c>
      <c r="D42" s="513">
        <v>494.3</v>
      </c>
      <c r="E42" s="514">
        <v>-6.6260929999999996E-2</v>
      </c>
      <c r="F42" s="514">
        <v>10.212899999999999</v>
      </c>
      <c r="G42" s="514">
        <v>2.3373539999999999</v>
      </c>
      <c r="H42" s="514">
        <v>0</v>
      </c>
      <c r="I42" s="514">
        <v>1.4182739999999999E-2</v>
      </c>
      <c r="J42" s="514">
        <v>13.63707</v>
      </c>
      <c r="K42" s="514">
        <v>-25.78952</v>
      </c>
      <c r="L42" s="514">
        <v>0</v>
      </c>
      <c r="M42" s="521">
        <f t="shared" si="4"/>
        <v>1</v>
      </c>
      <c r="O42" s="387" t="s">
        <v>70</v>
      </c>
      <c r="P42" s="387" t="s">
        <v>65</v>
      </c>
      <c r="Q42" s="502">
        <v>1500</v>
      </c>
      <c r="R42" s="502">
        <v>10000</v>
      </c>
      <c r="S42" s="387">
        <v>2.783115</v>
      </c>
      <c r="T42" s="387">
        <v>27.619869999999999</v>
      </c>
      <c r="U42" s="387">
        <v>2.4307400000000001</v>
      </c>
      <c r="V42" s="387">
        <v>2.4488410000000002E-3</v>
      </c>
      <c r="W42" s="387">
        <v>-5.4265309999999997E-2</v>
      </c>
      <c r="X42" s="387">
        <v>0.91438399999999997</v>
      </c>
      <c r="Y42" s="387">
        <v>-0.4321508</v>
      </c>
      <c r="Z42" s="387">
        <v>8.956944E-2</v>
      </c>
      <c r="AA42" s="502">
        <v>1</v>
      </c>
      <c r="AC42" s="388" t="str">
        <f>A39</f>
        <v>Se</v>
      </c>
      <c r="AD42" s="507" t="str">
        <f>Таблица3[[#This Row],[Вещество]]</f>
        <v>Se</v>
      </c>
      <c r="AE42" s="507">
        <f>IF(B39=Таблица3[[#This Row],[Фаза]],0,2)</f>
        <v>0</v>
      </c>
      <c r="AF42" s="507">
        <f>IF(C39=Таблица3[[#This Row],[To]],0,IF(ABS((C39-Таблица3[[#This Row],[To]])/(C39+Таблица3[[#This Row],[To]]))&lt;0.01,1,2))</f>
        <v>0</v>
      </c>
      <c r="AG42" s="507">
        <f>IF(D39=Таблица3[[#This Row],[T]],0,IF(ABS((D39-Таблица3[[#This Row],[T]])/(D39+Таблица3[[#This Row],[T]]))&lt;0.01,1,2))</f>
        <v>0</v>
      </c>
      <c r="AH42" s="507">
        <f>IF(E39=Таблица3[[#This Row],[ho]],0,IF(ABS((E39-Таблица3[[#This Row],[ho]])/(E39+Таблица3[[#This Row],[ho]]))&lt;0.01,1,2))</f>
        <v>0</v>
      </c>
      <c r="AI42" s="507">
        <f>IF(F39=Таблица3[[#This Row],[ф1]],0,IF(ABS((F39-Таблица3[[#This Row],[ф1]])/(F39+Таблица3[[#This Row],[ф1]]))&lt;0.01,1,2))</f>
        <v>0</v>
      </c>
      <c r="AJ42" s="507">
        <f>IF(G39=Таблица3[[#This Row],[ф2 *lnX]],0,IF(ABS((G39-Таблица3[[#This Row],[ф2 *lnX]])/(G39+Таблица3[[#This Row],[ф2 *lnX]]))&lt;0.01,1,2))</f>
        <v>0</v>
      </c>
      <c r="AK42" s="507">
        <f>IF(H39=Таблица3[[#This Row],[ф3 *X^(-2)]],0,IF(ABS((H39-Таблица3[[#This Row],[ф3 *X^(-2)]])/(H39+Таблица3[[#This Row],[ф3 *X^(-2)]]))&lt;0.01,1,2))</f>
        <v>0</v>
      </c>
      <c r="AL42" s="507">
        <f>IF(I39=Таблица3[[#This Row],[ф4 *X^(-1)]],0,IF(ABS((I39-Таблица3[[#This Row],[ф4 *X^(-1)]])/(I39+Таблица3[[#This Row],[ф4 *X^(-1)]]))&lt;0.01,1,2))</f>
        <v>0</v>
      </c>
      <c r="AM42" s="507">
        <f>IF(J39=Таблица3[[#This Row],[ф5 *X]],0,IF(ABS((J39-Таблица3[[#This Row],[ф5 *X]])/(J39+Таблица3[[#This Row],[ф5 *X]]))&lt;0.01,1,2))</f>
        <v>0</v>
      </c>
      <c r="AN42" s="507">
        <f>IF(K39=Таблица3[[#This Row],[ф6 *X^2]],0,IF(ABS((K39-Таблица3[[#This Row],[ф6 *X^2]])/(K39+Таблица3[[#This Row],[ф6 *X^2]]))&lt;0.01,1,2))</f>
        <v>0</v>
      </c>
      <c r="AO42" s="507">
        <f>IF(L39=Таблица3[[#This Row],[ф7 *Х^3]],0,IF(ABS((L39-Таблица3[[#This Row],[ф7 *Х^3]])/(L39+Таблица3[[#This Row],[ф7 *Х^3]]))&lt;0.01,1,2))</f>
        <v>0</v>
      </c>
    </row>
    <row r="43" spans="1:41" x14ac:dyDescent="0.35">
      <c r="A43" s="388" t="s">
        <v>70</v>
      </c>
      <c r="B43" s="388" t="s">
        <v>69</v>
      </c>
      <c r="C43" s="513">
        <v>494.3</v>
      </c>
      <c r="D43" s="513">
        <v>1000</v>
      </c>
      <c r="E43" s="514">
        <v>-6.6260929999999996E-2</v>
      </c>
      <c r="F43" s="514">
        <v>23.305810000000001</v>
      </c>
      <c r="G43" s="514">
        <v>6.3044700000000002</v>
      </c>
      <c r="H43" s="514">
        <v>0</v>
      </c>
      <c r="I43" s="514">
        <v>5.1929419999999997E-2</v>
      </c>
      <c r="J43" s="514">
        <v>-29.829440000000002</v>
      </c>
      <c r="K43" s="514">
        <v>65.022059999999996</v>
      </c>
      <c r="L43" s="514">
        <v>0</v>
      </c>
      <c r="M43" s="521">
        <f t="shared" si="4"/>
        <v>1</v>
      </c>
      <c r="O43" s="518" t="s">
        <v>70</v>
      </c>
      <c r="P43" s="518" t="s">
        <v>61</v>
      </c>
      <c r="Q43" s="519">
        <v>493.00009999999997</v>
      </c>
      <c r="R43" s="519">
        <v>957.00009999999997</v>
      </c>
      <c r="S43" s="518">
        <v>0</v>
      </c>
      <c r="T43" s="518">
        <v>16.690000000000001</v>
      </c>
      <c r="U43" s="518">
        <v>4.2279999999999998</v>
      </c>
      <c r="V43" s="518">
        <v>0</v>
      </c>
      <c r="W43" s="518">
        <v>7.2510000000000005E-2</v>
      </c>
      <c r="X43" s="518">
        <v>0</v>
      </c>
      <c r="Y43" s="518">
        <v>0</v>
      </c>
      <c r="Z43" s="518">
        <v>0</v>
      </c>
    </row>
    <row r="44" spans="1:41" x14ac:dyDescent="0.35">
      <c r="A44" s="388" t="s">
        <v>70</v>
      </c>
      <c r="B44" s="388" t="s">
        <v>69</v>
      </c>
      <c r="C44" s="513">
        <v>1000</v>
      </c>
      <c r="D44" s="513">
        <v>1800</v>
      </c>
      <c r="E44" s="514">
        <v>-6.6260929999999996E-2</v>
      </c>
      <c r="F44" s="514">
        <v>16.601150000000001</v>
      </c>
      <c r="G44" s="514">
        <v>4.2397850000000004</v>
      </c>
      <c r="H44" s="514">
        <v>0</v>
      </c>
      <c r="I44" s="514">
        <v>1.3699609999999999E-2</v>
      </c>
      <c r="J44" s="514">
        <v>0</v>
      </c>
      <c r="K44" s="514">
        <v>0</v>
      </c>
      <c r="L44" s="514">
        <v>0</v>
      </c>
      <c r="M44" s="521">
        <f t="shared" si="4"/>
        <v>1</v>
      </c>
      <c r="O44" s="388" t="s">
        <v>70</v>
      </c>
      <c r="P44" s="388" t="s">
        <v>61</v>
      </c>
      <c r="Q44" s="513">
        <v>494.00009999999997</v>
      </c>
      <c r="R44" s="513">
        <v>1000</v>
      </c>
      <c r="S44" s="388">
        <v>7.4080010000000002E-2</v>
      </c>
      <c r="T44" s="388">
        <v>23.32</v>
      </c>
      <c r="U44" s="388">
        <v>6.3019999999999996</v>
      </c>
      <c r="V44" s="388">
        <v>0</v>
      </c>
      <c r="W44" s="388">
        <v>0.19220000000000001</v>
      </c>
      <c r="X44" s="388">
        <v>-29.83</v>
      </c>
      <c r="Y44" s="388">
        <v>64.95</v>
      </c>
      <c r="Z44" s="388">
        <v>0</v>
      </c>
      <c r="AA44" s="502">
        <v>1</v>
      </c>
      <c r="AC44" s="388" t="str">
        <f t="shared" ref="AC44:AC64" si="5">A40</f>
        <v>Se</v>
      </c>
      <c r="AD44" s="507" t="str">
        <f>Таблица3[[#This Row],[Вещество]]</f>
        <v>Se</v>
      </c>
      <c r="AE44" s="507">
        <f>IF(B40=Таблица3[[#This Row],[Фаза]],0,2)</f>
        <v>0</v>
      </c>
      <c r="AF44" s="507">
        <f>IF(C40=Таблица3[[#This Row],[To]],0,IF(ABS((C40-Таблица3[[#This Row],[To]])/(C40+Таблица3[[#This Row],[To]]))&lt;0.01,1,2))</f>
        <v>0</v>
      </c>
      <c r="AG44" s="507">
        <f>IF(D40=Таблица3[[#This Row],[T]],0,IF(ABS((D40-Таблица3[[#This Row],[T]])/(D40+Таблица3[[#This Row],[T]]))&lt;0.01,1,2))</f>
        <v>0</v>
      </c>
      <c r="AH44" s="507">
        <f>IF(E40=Таблица3[[#This Row],[ho]],0,IF(ABS((E40-Таблица3[[#This Row],[ho]])/(E40+Таблица3[[#This Row],[ho]]))&lt;0.01,1,2))</f>
        <v>0</v>
      </c>
      <c r="AI44" s="507">
        <f>IF(F40=Таблица3[[#This Row],[ф1]],0,IF(ABS((F40-Таблица3[[#This Row],[ф1]])/(F40+Таблица3[[#This Row],[ф1]]))&lt;0.01,1,2))</f>
        <v>0</v>
      </c>
      <c r="AJ44" s="507">
        <f>IF(G40=Таблица3[[#This Row],[ф2 *lnX]],0,IF(ABS((G40-Таблица3[[#This Row],[ф2 *lnX]])/(G40+Таблица3[[#This Row],[ф2 *lnX]]))&lt;0.01,1,2))</f>
        <v>0</v>
      </c>
      <c r="AK44" s="507">
        <f>IF(H40=Таблица3[[#This Row],[ф3 *X^(-2)]],0,IF(ABS((H40-Таблица3[[#This Row],[ф3 *X^(-2)]])/(H40+Таблица3[[#This Row],[ф3 *X^(-2)]]))&lt;0.01,1,2))</f>
        <v>0</v>
      </c>
      <c r="AL44" s="507">
        <f>IF(I40=Таблица3[[#This Row],[ф4 *X^(-1)]],0,IF(ABS((I40-Таблица3[[#This Row],[ф4 *X^(-1)]])/(I40+Таблица3[[#This Row],[ф4 *X^(-1)]]))&lt;0.01,1,2))</f>
        <v>0</v>
      </c>
      <c r="AM44" s="507">
        <f>IF(J40=Таблица3[[#This Row],[ф5 *X]],0,IF(ABS((J40-Таблица3[[#This Row],[ф5 *X]])/(J40+Таблица3[[#This Row],[ф5 *X]]))&lt;0.01,1,2))</f>
        <v>0</v>
      </c>
      <c r="AN44" s="507">
        <f>IF(K40=Таблица3[[#This Row],[ф6 *X^2]],0,IF(ABS((K40-Таблица3[[#This Row],[ф6 *X^2]])/(K40+Таблица3[[#This Row],[ф6 *X^2]]))&lt;0.01,1,2))</f>
        <v>0</v>
      </c>
      <c r="AO44" s="507">
        <f>IF(L40=Таблица3[[#This Row],[ф7 *Х^3]],0,IF(ABS((L40-Таблица3[[#This Row],[ф7 *Х^3]])/(L40+Таблица3[[#This Row],[ф7 *Х^3]]))&lt;0.01,1,2))</f>
        <v>0</v>
      </c>
    </row>
    <row r="45" spans="1:41" x14ac:dyDescent="0.35">
      <c r="A45" s="515" t="s">
        <v>113</v>
      </c>
      <c r="B45" s="515" t="s">
        <v>162</v>
      </c>
      <c r="C45" s="516">
        <v>298.14999999999998</v>
      </c>
      <c r="D45" s="516">
        <v>398</v>
      </c>
      <c r="E45" s="517">
        <v>6.0389989999999998E-2</v>
      </c>
      <c r="F45" s="517">
        <v>14.03</v>
      </c>
      <c r="G45" s="517">
        <v>3.2650000000000001</v>
      </c>
      <c r="H45" s="517">
        <v>0</v>
      </c>
      <c r="I45" s="517">
        <v>9.7360000000000002E-2</v>
      </c>
      <c r="J45" s="517">
        <v>0</v>
      </c>
      <c r="K45" s="517">
        <v>0</v>
      </c>
      <c r="L45" s="517">
        <v>0</v>
      </c>
      <c r="M45" s="521">
        <f t="shared" si="4"/>
        <v>1</v>
      </c>
      <c r="O45" s="388" t="s">
        <v>70</v>
      </c>
      <c r="P45" s="388" t="s">
        <v>61</v>
      </c>
      <c r="Q45" s="513">
        <v>1000</v>
      </c>
      <c r="R45" s="513">
        <v>1800</v>
      </c>
      <c r="S45" s="388">
        <v>7.4080010000000002E-2</v>
      </c>
      <c r="T45" s="388">
        <v>16.62</v>
      </c>
      <c r="U45" s="388">
        <v>4.2460000000000004</v>
      </c>
      <c r="V45" s="388">
        <v>0</v>
      </c>
      <c r="W45" s="388">
        <v>0.15490000000000001</v>
      </c>
      <c r="X45" s="388">
        <v>0</v>
      </c>
      <c r="Y45" s="388">
        <v>0</v>
      </c>
      <c r="Z45" s="388">
        <v>0</v>
      </c>
      <c r="AA45" s="502">
        <v>1</v>
      </c>
      <c r="AC45" s="388" t="str">
        <f t="shared" si="5"/>
        <v>Se</v>
      </c>
      <c r="AD45" s="507" t="str">
        <f>Таблица3[[#This Row],[Вещество]]</f>
        <v>Se</v>
      </c>
      <c r="AE45" s="507">
        <f>IF(B41=Таблица3[[#This Row],[Фаза]],0,2)</f>
        <v>0</v>
      </c>
      <c r="AF45" s="507">
        <f>IF(C41=Таблица3[[#This Row],[To]],0,IF(ABS((C41-Таблица3[[#This Row],[To]])/(C41+Таблица3[[#This Row],[To]]))&lt;0.01,1,2))</f>
        <v>0</v>
      </c>
      <c r="AG45" s="507">
        <f>IF(D41=Таблица3[[#This Row],[T]],0,IF(ABS((D41-Таблица3[[#This Row],[T]])/(D41+Таблица3[[#This Row],[T]]))&lt;0.01,1,2))</f>
        <v>0</v>
      </c>
      <c r="AH45" s="507">
        <f>IF(E41=Таблица3[[#This Row],[ho]],0,IF(ABS((E41-Таблица3[[#This Row],[ho]])/(E41+Таблица3[[#This Row],[ho]]))&lt;0.01,1,2))</f>
        <v>0</v>
      </c>
      <c r="AI45" s="507">
        <f>IF(F41=Таблица3[[#This Row],[ф1]],0,IF(ABS((F41-Таблица3[[#This Row],[ф1]])/(F41+Таблица3[[#This Row],[ф1]]))&lt;0.01,1,2))</f>
        <v>0</v>
      </c>
      <c r="AJ45" s="507">
        <f>IF(G41=Таблица3[[#This Row],[ф2 *lnX]],0,IF(ABS((G41-Таблица3[[#This Row],[ф2 *lnX]])/(G41+Таблица3[[#This Row],[ф2 *lnX]]))&lt;0.01,1,2))</f>
        <v>0</v>
      </c>
      <c r="AK45" s="507">
        <f>IF(H41=Таблица3[[#This Row],[ф3 *X^(-2)]],0,IF(ABS((H41-Таблица3[[#This Row],[ф3 *X^(-2)]])/(H41+Таблица3[[#This Row],[ф3 *X^(-2)]]))&lt;0.01,1,2))</f>
        <v>0</v>
      </c>
      <c r="AL45" s="507">
        <f>IF(I41=Таблица3[[#This Row],[ф4 *X^(-1)]],0,IF(ABS((I41-Таблица3[[#This Row],[ф4 *X^(-1)]])/(I41+Таблица3[[#This Row],[ф4 *X^(-1)]]))&lt;0.01,1,2))</f>
        <v>0</v>
      </c>
      <c r="AM45" s="507">
        <f>IF(J41=Таблица3[[#This Row],[ф5 *X]],0,IF(ABS((J41-Таблица3[[#This Row],[ф5 *X]])/(J41+Таблица3[[#This Row],[ф5 *X]]))&lt;0.01,1,2))</f>
        <v>0</v>
      </c>
      <c r="AN45" s="507">
        <f>IF(K41=Таблица3[[#This Row],[ф6 *X^2]],0,IF(ABS((K41-Таблица3[[#This Row],[ф6 *X^2]])/(K41+Таблица3[[#This Row],[ф6 *X^2]]))&lt;0.01,1,2))</f>
        <v>0</v>
      </c>
      <c r="AO45" s="507">
        <f>IF(L41=Таблица3[[#This Row],[ф7 *Х^3]],0,IF(ABS((L41-Таблица3[[#This Row],[ф7 *Х^3]])/(L41+Таблица3[[#This Row],[ф7 *Х^3]]))&lt;0.01,1,2))</f>
        <v>0</v>
      </c>
    </row>
    <row r="46" spans="1:41" x14ac:dyDescent="0.35">
      <c r="A46" s="515" t="s">
        <v>114</v>
      </c>
      <c r="B46" s="515" t="s">
        <v>163</v>
      </c>
      <c r="C46" s="516">
        <v>298.14999999999998</v>
      </c>
      <c r="D46" s="516">
        <v>413.00009999999997</v>
      </c>
      <c r="E46" s="517">
        <v>0.1077</v>
      </c>
      <c r="F46" s="517">
        <v>54.85</v>
      </c>
      <c r="G46" s="517">
        <v>12.93</v>
      </c>
      <c r="H46" s="517">
        <v>-2.6350000000000001E-4</v>
      </c>
      <c r="I46" s="517">
        <v>0.40429999999999999</v>
      </c>
      <c r="J46" s="517">
        <v>-5.4480000000000004</v>
      </c>
      <c r="K46" s="517">
        <v>114.404554292702</v>
      </c>
      <c r="L46" s="517">
        <v>0</v>
      </c>
      <c r="M46" s="521">
        <f t="shared" si="4"/>
        <v>1</v>
      </c>
      <c r="O46" s="388" t="s">
        <v>70</v>
      </c>
      <c r="P46" s="388" t="s">
        <v>69</v>
      </c>
      <c r="Q46" s="513">
        <v>298.14999999999998</v>
      </c>
      <c r="R46" s="513">
        <v>494.3</v>
      </c>
      <c r="S46" s="388">
        <v>-6.6260929999999996E-2</v>
      </c>
      <c r="T46" s="388">
        <v>10.212899999999999</v>
      </c>
      <c r="U46" s="388">
        <v>2.3373539999999999</v>
      </c>
      <c r="V46" s="388">
        <v>0</v>
      </c>
      <c r="W46" s="388">
        <v>1.4182739999999999E-2</v>
      </c>
      <c r="X46" s="388">
        <v>13.63707</v>
      </c>
      <c r="Y46" s="388">
        <v>-25.78952</v>
      </c>
      <c r="Z46" s="388">
        <v>0</v>
      </c>
      <c r="AA46" s="502">
        <v>1</v>
      </c>
      <c r="AC46" s="388" t="str">
        <f t="shared" si="5"/>
        <v>Se</v>
      </c>
      <c r="AD46" s="507" t="str">
        <f>Таблица3[[#This Row],[Вещество]]</f>
        <v>Se</v>
      </c>
      <c r="AE46" s="507">
        <f>IF(B42=Таблица3[[#This Row],[Фаза]],0,2)</f>
        <v>0</v>
      </c>
      <c r="AF46" s="507">
        <f>IF(C42=Таблица3[[#This Row],[To]],0,IF(ABS((C42-Таблица3[[#This Row],[To]])/(C42+Таблица3[[#This Row],[To]]))&lt;0.01,1,2))</f>
        <v>0</v>
      </c>
      <c r="AG46" s="507">
        <f>IF(D42=Таблица3[[#This Row],[T]],0,IF(ABS((D42-Таблица3[[#This Row],[T]])/(D42+Таблица3[[#This Row],[T]]))&lt;0.01,1,2))</f>
        <v>0</v>
      </c>
      <c r="AH46" s="507">
        <f>IF(E42=Таблица3[[#This Row],[ho]],0,IF(ABS((E42-Таблица3[[#This Row],[ho]])/(E42+Таблица3[[#This Row],[ho]]))&lt;0.01,1,2))</f>
        <v>0</v>
      </c>
      <c r="AI46" s="507">
        <f>IF(F42=Таблица3[[#This Row],[ф1]],0,IF(ABS((F42-Таблица3[[#This Row],[ф1]])/(F42+Таблица3[[#This Row],[ф1]]))&lt;0.01,1,2))</f>
        <v>0</v>
      </c>
      <c r="AJ46" s="507">
        <f>IF(G42=Таблица3[[#This Row],[ф2 *lnX]],0,IF(ABS((G42-Таблица3[[#This Row],[ф2 *lnX]])/(G42+Таблица3[[#This Row],[ф2 *lnX]]))&lt;0.01,1,2))</f>
        <v>0</v>
      </c>
      <c r="AK46" s="507">
        <f>IF(H42=Таблица3[[#This Row],[ф3 *X^(-2)]],0,IF(ABS((H42-Таблица3[[#This Row],[ф3 *X^(-2)]])/(H42+Таблица3[[#This Row],[ф3 *X^(-2)]]))&lt;0.01,1,2))</f>
        <v>0</v>
      </c>
      <c r="AL46" s="507">
        <f>IF(I42=Таблица3[[#This Row],[ф4 *X^(-1)]],0,IF(ABS((I42-Таблица3[[#This Row],[ф4 *X^(-1)]])/(I42+Таблица3[[#This Row],[ф4 *X^(-1)]]))&lt;0.01,1,2))</f>
        <v>0</v>
      </c>
      <c r="AM46" s="507">
        <f>IF(J42=Таблица3[[#This Row],[ф5 *X]],0,IF(ABS((J42-Таблица3[[#This Row],[ф5 *X]])/(J42+Таблица3[[#This Row],[ф5 *X]]))&lt;0.01,1,2))</f>
        <v>0</v>
      </c>
      <c r="AN46" s="507">
        <f>IF(K42=Таблица3[[#This Row],[ф6 *X^2]],0,IF(ABS((K42-Таблица3[[#This Row],[ф6 *X^2]])/(K42+Таблица3[[#This Row],[ф6 *X^2]]))&lt;0.01,1,2))</f>
        <v>0</v>
      </c>
      <c r="AO46" s="507">
        <f>IF(L42=Таблица3[[#This Row],[ф7 *Х^3]],0,IF(ABS((L42-Таблица3[[#This Row],[ф7 *Х^3]])/(L42+Таблица3[[#This Row],[ф7 *Х^3]]))&lt;0.01,1,2))</f>
        <v>0</v>
      </c>
    </row>
    <row r="47" spans="1:41" x14ac:dyDescent="0.35">
      <c r="A47" s="515" t="s">
        <v>115</v>
      </c>
      <c r="B47" s="515" t="s">
        <v>164</v>
      </c>
      <c r="C47" s="516">
        <v>298.14999999999998</v>
      </c>
      <c r="D47" s="516">
        <v>398</v>
      </c>
      <c r="E47" s="517">
        <v>0.1963</v>
      </c>
      <c r="F47" s="517">
        <v>18.559999999999999</v>
      </c>
      <c r="G47" s="517">
        <v>4.8810000000000002</v>
      </c>
      <c r="H47" s="517">
        <v>0</v>
      </c>
      <c r="I47" s="517">
        <v>0.14549999999999999</v>
      </c>
      <c r="J47" s="517">
        <v>0</v>
      </c>
      <c r="K47" s="517">
        <v>0</v>
      </c>
      <c r="L47" s="517">
        <v>0</v>
      </c>
      <c r="M47" s="521">
        <f t="shared" si="4"/>
        <v>1</v>
      </c>
      <c r="O47" s="388" t="s">
        <v>70</v>
      </c>
      <c r="P47" s="388" t="s">
        <v>69</v>
      </c>
      <c r="Q47" s="513">
        <v>494.3</v>
      </c>
      <c r="R47" s="513">
        <v>1000</v>
      </c>
      <c r="S47" s="388">
        <v>-6.6260929999999996E-2</v>
      </c>
      <c r="T47" s="388">
        <v>23.305810000000001</v>
      </c>
      <c r="U47" s="388">
        <v>6.3044700000000002</v>
      </c>
      <c r="V47" s="388">
        <v>0</v>
      </c>
      <c r="W47" s="388">
        <v>5.1929419999999997E-2</v>
      </c>
      <c r="X47" s="388">
        <v>-29.829440000000002</v>
      </c>
      <c r="Y47" s="388">
        <v>65.022059999999996</v>
      </c>
      <c r="Z47" s="388">
        <v>0</v>
      </c>
      <c r="AA47" s="502">
        <v>1</v>
      </c>
      <c r="AC47" s="388" t="str">
        <f t="shared" si="5"/>
        <v>Se</v>
      </c>
      <c r="AD47" s="507" t="str">
        <f>Таблица3[[#This Row],[Вещество]]</f>
        <v>Se</v>
      </c>
      <c r="AE47" s="507">
        <f>IF(B43=Таблица3[[#This Row],[Фаза]],0,2)</f>
        <v>0</v>
      </c>
      <c r="AF47" s="507">
        <f>IF(C43=Таблица3[[#This Row],[To]],0,IF(ABS((C43-Таблица3[[#This Row],[To]])/(C43+Таблица3[[#This Row],[To]]))&lt;0.01,1,2))</f>
        <v>0</v>
      </c>
      <c r="AG47" s="507">
        <f>IF(D43=Таблица3[[#This Row],[T]],0,IF(ABS((D43-Таблица3[[#This Row],[T]])/(D43+Таблица3[[#This Row],[T]]))&lt;0.01,1,2))</f>
        <v>0</v>
      </c>
      <c r="AH47" s="507">
        <f>IF(E43=Таблица3[[#This Row],[ho]],0,IF(ABS((E43-Таблица3[[#This Row],[ho]])/(E43+Таблица3[[#This Row],[ho]]))&lt;0.01,1,2))</f>
        <v>0</v>
      </c>
      <c r="AI47" s="507">
        <f>IF(F43=Таблица3[[#This Row],[ф1]],0,IF(ABS((F43-Таблица3[[#This Row],[ф1]])/(F43+Таблица3[[#This Row],[ф1]]))&lt;0.01,1,2))</f>
        <v>0</v>
      </c>
      <c r="AJ47" s="507">
        <f>IF(G43=Таблица3[[#This Row],[ф2 *lnX]],0,IF(ABS((G43-Таблица3[[#This Row],[ф2 *lnX]])/(G43+Таблица3[[#This Row],[ф2 *lnX]]))&lt;0.01,1,2))</f>
        <v>0</v>
      </c>
      <c r="AK47" s="507">
        <f>IF(H43=Таблица3[[#This Row],[ф3 *X^(-2)]],0,IF(ABS((H43-Таблица3[[#This Row],[ф3 *X^(-2)]])/(H43+Таблица3[[#This Row],[ф3 *X^(-2)]]))&lt;0.01,1,2))</f>
        <v>0</v>
      </c>
      <c r="AL47" s="507">
        <f>IF(I43=Таблица3[[#This Row],[ф4 *X^(-1)]],0,IF(ABS((I43-Таблица3[[#This Row],[ф4 *X^(-1)]])/(I43+Таблица3[[#This Row],[ф4 *X^(-1)]]))&lt;0.01,1,2))</f>
        <v>0</v>
      </c>
      <c r="AM47" s="507">
        <f>IF(J43=Таблица3[[#This Row],[ф5 *X]],0,IF(ABS((J43-Таблица3[[#This Row],[ф5 *X]])/(J43+Таблица3[[#This Row],[ф5 *X]]))&lt;0.01,1,2))</f>
        <v>0</v>
      </c>
      <c r="AN47" s="507">
        <f>IF(K43=Таблица3[[#This Row],[ф6 *X^2]],0,IF(ABS((K43-Таблица3[[#This Row],[ф6 *X^2]])/(K43+Таблица3[[#This Row],[ф6 *X^2]]))&lt;0.01,1,2))</f>
        <v>0</v>
      </c>
      <c r="AO47" s="507">
        <f>IF(L43=Таблица3[[#This Row],[ф7 *Х^3]],0,IF(ABS((L43-Таблица3[[#This Row],[ф7 *Х^3]])/(L43+Таблица3[[#This Row],[ф7 *Х^3]]))&lt;0.01,1,2))</f>
        <v>0</v>
      </c>
    </row>
    <row r="48" spans="1:41" x14ac:dyDescent="0.35">
      <c r="A48" s="388" t="s">
        <v>100</v>
      </c>
      <c r="B48" s="388" t="s">
        <v>65</v>
      </c>
      <c r="C48" s="513">
        <v>298.14999999999998</v>
      </c>
      <c r="D48" s="513">
        <v>1500</v>
      </c>
      <c r="E48" s="514">
        <v>1.6083639999999999</v>
      </c>
      <c r="F48" s="514">
        <v>46.654719999999998</v>
      </c>
      <c r="G48" s="514">
        <v>6.370749</v>
      </c>
      <c r="H48" s="514">
        <v>-1.7220000000000001E-4</v>
      </c>
      <c r="I48" s="514">
        <v>6.049562E-2</v>
      </c>
      <c r="J48" s="514">
        <v>-20.810030000000001</v>
      </c>
      <c r="K48" s="514">
        <v>56.994140000000002</v>
      </c>
      <c r="L48" s="514">
        <v>-73.985680000000002</v>
      </c>
      <c r="M48" s="521">
        <f t="shared" si="4"/>
        <v>1</v>
      </c>
      <c r="O48" s="388" t="s">
        <v>70</v>
      </c>
      <c r="P48" s="388" t="s">
        <v>69</v>
      </c>
      <c r="Q48" s="513">
        <v>1000</v>
      </c>
      <c r="R48" s="513">
        <v>1800</v>
      </c>
      <c r="S48" s="388">
        <v>-6.6260929999999996E-2</v>
      </c>
      <c r="T48" s="388">
        <v>16.601150000000001</v>
      </c>
      <c r="U48" s="388">
        <v>4.2397850000000004</v>
      </c>
      <c r="V48" s="388">
        <v>0</v>
      </c>
      <c r="W48" s="388">
        <v>1.3699609999999999E-2</v>
      </c>
      <c r="X48" s="388">
        <v>0</v>
      </c>
      <c r="Y48" s="388">
        <v>0</v>
      </c>
      <c r="Z48" s="388">
        <v>0</v>
      </c>
      <c r="AA48" s="502">
        <v>1</v>
      </c>
      <c r="AC48" s="388" t="str">
        <f t="shared" si="5"/>
        <v>Se</v>
      </c>
      <c r="AD48" s="507" t="str">
        <f>Таблица3[[#This Row],[Вещество]]</f>
        <v>Se</v>
      </c>
      <c r="AE48" s="507">
        <f>IF(B44=Таблица3[[#This Row],[Фаза]],0,2)</f>
        <v>0</v>
      </c>
      <c r="AF48" s="507">
        <f>IF(C44=Таблица3[[#This Row],[To]],0,IF(ABS((C44-Таблица3[[#This Row],[To]])/(C44+Таблица3[[#This Row],[To]]))&lt;0.01,1,2))</f>
        <v>0</v>
      </c>
      <c r="AG48" s="507">
        <f>IF(D44=Таблица3[[#This Row],[T]],0,IF(ABS((D44-Таблица3[[#This Row],[T]])/(D44+Таблица3[[#This Row],[T]]))&lt;0.01,1,2))</f>
        <v>0</v>
      </c>
      <c r="AH48" s="507">
        <f>IF(E44=Таблица3[[#This Row],[ho]],0,IF(ABS((E44-Таблица3[[#This Row],[ho]])/(E44+Таблица3[[#This Row],[ho]]))&lt;0.01,1,2))</f>
        <v>0</v>
      </c>
      <c r="AI48" s="507">
        <f>IF(F44=Таблица3[[#This Row],[ф1]],0,IF(ABS((F44-Таблица3[[#This Row],[ф1]])/(F44+Таблица3[[#This Row],[ф1]]))&lt;0.01,1,2))</f>
        <v>0</v>
      </c>
      <c r="AJ48" s="507">
        <f>IF(G44=Таблица3[[#This Row],[ф2 *lnX]],0,IF(ABS((G44-Таблица3[[#This Row],[ф2 *lnX]])/(G44+Таблица3[[#This Row],[ф2 *lnX]]))&lt;0.01,1,2))</f>
        <v>0</v>
      </c>
      <c r="AK48" s="507">
        <f>IF(H44=Таблица3[[#This Row],[ф3 *X^(-2)]],0,IF(ABS((H44-Таблица3[[#This Row],[ф3 *X^(-2)]])/(H44+Таблица3[[#This Row],[ф3 *X^(-2)]]))&lt;0.01,1,2))</f>
        <v>0</v>
      </c>
      <c r="AL48" s="507">
        <f>IF(I44=Таблица3[[#This Row],[ф4 *X^(-1)]],0,IF(ABS((I44-Таблица3[[#This Row],[ф4 *X^(-1)]])/(I44+Таблица3[[#This Row],[ф4 *X^(-1)]]))&lt;0.01,1,2))</f>
        <v>0</v>
      </c>
      <c r="AM48" s="507">
        <f>IF(J44=Таблица3[[#This Row],[ф5 *X]],0,IF(ABS((J44-Таблица3[[#This Row],[ф5 *X]])/(J44+Таблица3[[#This Row],[ф5 *X]]))&lt;0.01,1,2))</f>
        <v>0</v>
      </c>
      <c r="AN48" s="507">
        <f>IF(K44=Таблица3[[#This Row],[ф6 *X^2]],0,IF(ABS((K44-Таблица3[[#This Row],[ф6 *X^2]])/(K44+Таблица3[[#This Row],[ф6 *X^2]]))&lt;0.01,1,2))</f>
        <v>0</v>
      </c>
      <c r="AO48" s="507">
        <f>IF(L44=Таблица3[[#This Row],[ф7 *Х^3]],0,IF(ABS((L44-Таблица3[[#This Row],[ф7 *Х^3]])/(L44+Таблица3[[#This Row],[ф7 *Х^3]]))&lt;0.01,1,2))</f>
        <v>0</v>
      </c>
    </row>
    <row r="49" spans="1:41" x14ac:dyDescent="0.35">
      <c r="A49" s="388" t="s">
        <v>100</v>
      </c>
      <c r="B49" s="388" t="s">
        <v>65</v>
      </c>
      <c r="C49" s="513">
        <v>1500</v>
      </c>
      <c r="D49" s="513">
        <v>6000</v>
      </c>
      <c r="E49" s="514">
        <v>1.6083639999999999</v>
      </c>
      <c r="F49" s="514">
        <v>41.393599999999999</v>
      </c>
      <c r="G49" s="514">
        <v>4.6638549999999999</v>
      </c>
      <c r="H49" s="514">
        <v>-1.334432E-3</v>
      </c>
      <c r="I49" s="514">
        <v>3.6780319999999998E-2</v>
      </c>
      <c r="J49" s="514">
        <v>0.98545360000000004</v>
      </c>
      <c r="K49" s="514">
        <v>-0.13838919999999999</v>
      </c>
      <c r="L49" s="514">
        <v>-0.2247374</v>
      </c>
      <c r="M49" s="521">
        <f t="shared" si="4"/>
        <v>1</v>
      </c>
      <c r="O49" s="515" t="s">
        <v>113</v>
      </c>
      <c r="P49" s="515" t="s">
        <v>69</v>
      </c>
      <c r="Q49" s="516">
        <v>298.14999999999998</v>
      </c>
      <c r="R49" s="516">
        <v>398</v>
      </c>
      <c r="S49" s="515">
        <v>6.0388477960190028E-2</v>
      </c>
      <c r="T49" s="515">
        <v>14.027300531776039</v>
      </c>
      <c r="U49" s="515">
        <v>3.265379758253653</v>
      </c>
      <c r="V49" s="515">
        <v>0</v>
      </c>
      <c r="W49" s="515">
        <v>9.7357297492332656E-2</v>
      </c>
      <c r="X49" s="515">
        <v>0</v>
      </c>
      <c r="Y49" s="515">
        <v>0</v>
      </c>
      <c r="Z49" s="515">
        <v>0</v>
      </c>
      <c r="AA49" s="502">
        <v>1</v>
      </c>
      <c r="AC49" s="388" t="str">
        <f t="shared" si="5"/>
        <v>Se[A]</v>
      </c>
      <c r="AD49" s="507" t="str">
        <f>Таблица3[[#This Row],[Вещество]]</f>
        <v>Se[A]</v>
      </c>
      <c r="AE49" s="507">
        <f>IF(B45=Таблица3[[#This Row],[Фаза]],0,2)</f>
        <v>2</v>
      </c>
      <c r="AF49" s="507">
        <f>IF(C45=Таблица3[[#This Row],[To]],0,IF(ABS((C45-Таблица3[[#This Row],[To]])/(C45+Таблица3[[#This Row],[To]]))&lt;0.01,1,2))</f>
        <v>0</v>
      </c>
      <c r="AG49" s="507">
        <f>IF(D45=Таблица3[[#This Row],[T]],0,IF(ABS((D45-Таблица3[[#This Row],[T]])/(D45+Таблица3[[#This Row],[T]]))&lt;0.01,1,2))</f>
        <v>0</v>
      </c>
      <c r="AH49" s="507">
        <f>IF(E45=Таблица3[[#This Row],[ho]],0,IF(ABS((E45-Таблица3[[#This Row],[ho]])/(E45+Таблица3[[#This Row],[ho]]))&lt;0.01,1,2))</f>
        <v>1</v>
      </c>
      <c r="AI49" s="507">
        <f>IF(F45=Таблица3[[#This Row],[ф1]],0,IF(ABS((F45-Таблица3[[#This Row],[ф1]])/(F45+Таблица3[[#This Row],[ф1]]))&lt;0.01,1,2))</f>
        <v>1</v>
      </c>
      <c r="AJ49" s="507">
        <f>IF(G45=Таблица3[[#This Row],[ф2 *lnX]],0,IF(ABS((G45-Таблица3[[#This Row],[ф2 *lnX]])/(G45+Таблица3[[#This Row],[ф2 *lnX]]))&lt;0.01,1,2))</f>
        <v>1</v>
      </c>
      <c r="AK49" s="507">
        <f>IF(H45=Таблица3[[#This Row],[ф3 *X^(-2)]],0,IF(ABS((H45-Таблица3[[#This Row],[ф3 *X^(-2)]])/(H45+Таблица3[[#This Row],[ф3 *X^(-2)]]))&lt;0.01,1,2))</f>
        <v>0</v>
      </c>
      <c r="AL49" s="507">
        <f>IF(I45=Таблица3[[#This Row],[ф4 *X^(-1)]],0,IF(ABS((I45-Таблица3[[#This Row],[ф4 *X^(-1)]])/(I45+Таблица3[[#This Row],[ф4 *X^(-1)]]))&lt;0.01,1,2))</f>
        <v>1</v>
      </c>
      <c r="AM49" s="507">
        <f>IF(J45=Таблица3[[#This Row],[ф5 *X]],0,IF(ABS((J45-Таблица3[[#This Row],[ф5 *X]])/(J45+Таблица3[[#This Row],[ф5 *X]]))&lt;0.01,1,2))</f>
        <v>0</v>
      </c>
      <c r="AN49" s="507">
        <f>IF(K45=Таблица3[[#This Row],[ф6 *X^2]],0,IF(ABS((K45-Таблица3[[#This Row],[ф6 *X^2]])/(K45+Таблица3[[#This Row],[ф6 *X^2]]))&lt;0.01,1,2))</f>
        <v>0</v>
      </c>
      <c r="AO49" s="507">
        <f>IF(L45=Таблица3[[#This Row],[ф7 *Х^3]],0,IF(ABS((L45-Таблица3[[#This Row],[ф7 *Х^3]])/(L45+Таблица3[[#This Row],[ф7 *Х^3]]))&lt;0.01,1,2))</f>
        <v>0</v>
      </c>
    </row>
    <row r="50" spans="1:41" x14ac:dyDescent="0.35">
      <c r="A50" s="388" t="s">
        <v>101</v>
      </c>
      <c r="B50" s="388" t="s">
        <v>65</v>
      </c>
      <c r="C50" s="513">
        <v>298.14999999999998</v>
      </c>
      <c r="D50" s="513">
        <v>1500</v>
      </c>
      <c r="E50" s="514">
        <v>1.9782420000000001</v>
      </c>
      <c r="F50" s="514">
        <v>54.51784</v>
      </c>
      <c r="G50" s="514">
        <v>6.89046</v>
      </c>
      <c r="H50" s="514">
        <v>-1.736525E-4</v>
      </c>
      <c r="I50" s="514">
        <v>5.6347979999999999E-2</v>
      </c>
      <c r="J50" s="514">
        <v>1.1843140000000001</v>
      </c>
      <c r="K50" s="514">
        <v>-3.094471</v>
      </c>
      <c r="L50" s="514">
        <v>4.1616710000000001</v>
      </c>
      <c r="M50" s="521">
        <f t="shared" si="4"/>
        <v>1</v>
      </c>
      <c r="O50" s="515" t="s">
        <v>114</v>
      </c>
      <c r="P50" s="515" t="s">
        <v>69</v>
      </c>
      <c r="Q50" s="516">
        <v>298.14999999999998</v>
      </c>
      <c r="R50" s="516">
        <v>413</v>
      </c>
      <c r="S50" s="515">
        <v>0.10769138252450537</v>
      </c>
      <c r="T50" s="515">
        <v>54.853251742343801</v>
      </c>
      <c r="U50" s="515">
        <v>12.931625473570268</v>
      </c>
      <c r="V50" s="515">
        <v>-2.6345540922484819E-4</v>
      </c>
      <c r="W50" s="515">
        <v>0.40426080105349993</v>
      </c>
      <c r="X50" s="515">
        <v>-5.4483131878044384</v>
      </c>
      <c r="Y50" s="515">
        <v>114.4045542927015</v>
      </c>
      <c r="Z50" s="515">
        <v>0</v>
      </c>
      <c r="AA50" s="502">
        <v>1</v>
      </c>
      <c r="AC50" s="388" t="str">
        <f t="shared" si="5"/>
        <v>Se[M]</v>
      </c>
      <c r="AD50" s="507" t="str">
        <f>Таблица3[[#This Row],[Вещество]]</f>
        <v>Se[M]</v>
      </c>
      <c r="AE50" s="507">
        <f>IF(B46=Таблица3[[#This Row],[Фаза]],0,2)</f>
        <v>2</v>
      </c>
      <c r="AF50" s="507">
        <f>IF(C46=Таблица3[[#This Row],[To]],0,IF(ABS((C46-Таблица3[[#This Row],[To]])/(C46+Таблица3[[#This Row],[To]]))&lt;0.01,1,2))</f>
        <v>0</v>
      </c>
      <c r="AG50" s="507">
        <f>IF(D46=Таблица3[[#This Row],[T]],0,IF(ABS((D46-Таблица3[[#This Row],[T]])/(D46+Таблица3[[#This Row],[T]]))&lt;0.01,1,2))</f>
        <v>1</v>
      </c>
      <c r="AH50" s="507">
        <f>IF(E46=Таблица3[[#This Row],[ho]],0,IF(ABS((E46-Таблица3[[#This Row],[ho]])/(E46+Таблица3[[#This Row],[ho]]))&lt;0.01,1,2))</f>
        <v>1</v>
      </c>
      <c r="AI50" s="507">
        <f>IF(F46=Таблица3[[#This Row],[ф1]],0,IF(ABS((F46-Таблица3[[#This Row],[ф1]])/(F46+Таблица3[[#This Row],[ф1]]))&lt;0.01,1,2))</f>
        <v>1</v>
      </c>
      <c r="AJ50" s="507">
        <f>IF(G46=Таблица3[[#This Row],[ф2 *lnX]],0,IF(ABS((G46-Таблица3[[#This Row],[ф2 *lnX]])/(G46+Таблица3[[#This Row],[ф2 *lnX]]))&lt;0.01,1,2))</f>
        <v>1</v>
      </c>
      <c r="AK50" s="507">
        <f>IF(H46=Таблица3[[#This Row],[ф3 *X^(-2)]],0,IF(ABS((H46-Таблица3[[#This Row],[ф3 *X^(-2)]])/(H46+Таблица3[[#This Row],[ф3 *X^(-2)]]))&lt;0.01,1,2))</f>
        <v>1</v>
      </c>
      <c r="AL50" s="507">
        <f>IF(I46=Таблица3[[#This Row],[ф4 *X^(-1)]],0,IF(ABS((I46-Таблица3[[#This Row],[ф4 *X^(-1)]])/(I46+Таблица3[[#This Row],[ф4 *X^(-1)]]))&lt;0.01,1,2))</f>
        <v>1</v>
      </c>
      <c r="AM50" s="507">
        <f>IF(J46=Таблица3[[#This Row],[ф5 *X]],0,IF(ABS((J46-Таблица3[[#This Row],[ф5 *X]])/(J46+Таблица3[[#This Row],[ф5 *X]]))&lt;0.01,1,2))</f>
        <v>1</v>
      </c>
      <c r="AN50" s="507">
        <f>IF(K46=Таблица3[[#This Row],[ф6 *X^2]],0,IF(ABS((K46-Таблица3[[#This Row],[ф6 *X^2]])/(K46+Таблица3[[#This Row],[ф6 *X^2]]))&lt;0.01,1,2))</f>
        <v>0</v>
      </c>
      <c r="AO50" s="507">
        <f>IF(L46=Таблица3[[#This Row],[ф7 *Х^3]],0,IF(ABS((L46-Таблица3[[#This Row],[ф7 *Х^3]])/(L46+Таблица3[[#This Row],[ф7 *Х^3]]))&lt;0.01,1,2))</f>
        <v>0</v>
      </c>
    </row>
    <row r="51" spans="1:41" x14ac:dyDescent="0.35">
      <c r="A51" s="388" t="s">
        <v>101</v>
      </c>
      <c r="B51" s="388" t="s">
        <v>65</v>
      </c>
      <c r="C51" s="513">
        <v>1500</v>
      </c>
      <c r="D51" s="513">
        <v>6000</v>
      </c>
      <c r="E51" s="514">
        <v>1.9782420000000001</v>
      </c>
      <c r="F51" s="514">
        <v>54.816650000000003</v>
      </c>
      <c r="G51" s="514">
        <v>7.0000840000000002</v>
      </c>
      <c r="H51" s="514">
        <v>-2.193664E-4</v>
      </c>
      <c r="I51" s="514">
        <v>6.1325909999999997E-2</v>
      </c>
      <c r="J51" s="514">
        <v>3.7539989999999998E-4</v>
      </c>
      <c r="K51" s="514">
        <v>-1.8322499999999999E-4</v>
      </c>
      <c r="L51" s="514">
        <v>4.3410669999999999E-5</v>
      </c>
      <c r="M51" s="521">
        <f t="shared" si="4"/>
        <v>1</v>
      </c>
      <c r="O51" s="515" t="s">
        <v>115</v>
      </c>
      <c r="P51" s="515" t="s">
        <v>69</v>
      </c>
      <c r="Q51" s="516">
        <v>298.14999999999998</v>
      </c>
      <c r="R51" s="516">
        <v>398</v>
      </c>
      <c r="S51" s="515">
        <v>0.1962595465752601</v>
      </c>
      <c r="T51" s="515">
        <v>18.555499584494658</v>
      </c>
      <c r="U51" s="515">
        <v>4.881231583378435</v>
      </c>
      <c r="V51" s="515">
        <v>0</v>
      </c>
      <c r="W51" s="515">
        <v>0.14553391965842802</v>
      </c>
      <c r="X51" s="515">
        <v>0</v>
      </c>
      <c r="Y51" s="515">
        <v>0</v>
      </c>
      <c r="Z51" s="515">
        <v>0</v>
      </c>
      <c r="AA51" s="502">
        <v>1</v>
      </c>
      <c r="AC51" s="388" t="str">
        <f t="shared" si="5"/>
        <v>Se[R]</v>
      </c>
      <c r="AD51" s="507" t="str">
        <f>Таблица3[[#This Row],[Вещество]]</f>
        <v>Se[R]</v>
      </c>
      <c r="AE51" s="507">
        <f>IF(B47=Таблица3[[#This Row],[Фаза]],0,2)</f>
        <v>2</v>
      </c>
      <c r="AF51" s="507">
        <f>IF(C47=Таблица3[[#This Row],[To]],0,IF(ABS((C47-Таблица3[[#This Row],[To]])/(C47+Таблица3[[#This Row],[To]]))&lt;0.01,1,2))</f>
        <v>0</v>
      </c>
      <c r="AG51" s="507">
        <f>IF(D47=Таблица3[[#This Row],[T]],0,IF(ABS((D47-Таблица3[[#This Row],[T]])/(D47+Таблица3[[#This Row],[T]]))&lt;0.01,1,2))</f>
        <v>0</v>
      </c>
      <c r="AH51" s="507">
        <f>IF(E47=Таблица3[[#This Row],[ho]],0,IF(ABS((E47-Таблица3[[#This Row],[ho]])/(E47+Таблица3[[#This Row],[ho]]))&lt;0.01,1,2))</f>
        <v>1</v>
      </c>
      <c r="AI51" s="507">
        <f>IF(F47=Таблица3[[#This Row],[ф1]],0,IF(ABS((F47-Таблица3[[#This Row],[ф1]])/(F47+Таблица3[[#This Row],[ф1]]))&lt;0.01,1,2))</f>
        <v>1</v>
      </c>
      <c r="AJ51" s="507">
        <f>IF(G47=Таблица3[[#This Row],[ф2 *lnX]],0,IF(ABS((G47-Таблица3[[#This Row],[ф2 *lnX]])/(G47+Таблица3[[#This Row],[ф2 *lnX]]))&lt;0.01,1,2))</f>
        <v>1</v>
      </c>
      <c r="AK51" s="507">
        <f>IF(H47=Таблица3[[#This Row],[ф3 *X^(-2)]],0,IF(ABS((H47-Таблица3[[#This Row],[ф3 *X^(-2)]])/(H47+Таблица3[[#This Row],[ф3 *X^(-2)]]))&lt;0.01,1,2))</f>
        <v>0</v>
      </c>
      <c r="AL51" s="507">
        <f>IF(I47=Таблица3[[#This Row],[ф4 *X^(-1)]],0,IF(ABS((I47-Таблица3[[#This Row],[ф4 *X^(-1)]])/(I47+Таблица3[[#This Row],[ф4 *X^(-1)]]))&lt;0.01,1,2))</f>
        <v>1</v>
      </c>
      <c r="AM51" s="507">
        <f>IF(J47=Таблица3[[#This Row],[ф5 *X]],0,IF(ABS((J47-Таблица3[[#This Row],[ф5 *X]])/(J47+Таблица3[[#This Row],[ф5 *X]]))&lt;0.01,1,2))</f>
        <v>0</v>
      </c>
      <c r="AN51" s="507">
        <f>IF(K47=Таблица3[[#This Row],[ф6 *X^2]],0,IF(ABS((K47-Таблица3[[#This Row],[ф6 *X^2]])/(K47+Таблица3[[#This Row],[ф6 *X^2]]))&lt;0.01,1,2))</f>
        <v>0</v>
      </c>
      <c r="AO51" s="507">
        <f>IF(L47=Таблица3[[#This Row],[ф7 *Х^3]],0,IF(ABS((L47-Таблица3[[#This Row],[ф7 *Х^3]])/(L47+Таблица3[[#This Row],[ф7 *Х^3]]))&lt;0.01,1,2))</f>
        <v>0</v>
      </c>
    </row>
    <row r="52" spans="1:41" x14ac:dyDescent="0.35">
      <c r="A52" s="388" t="s">
        <v>102</v>
      </c>
      <c r="B52" s="388" t="s">
        <v>65</v>
      </c>
      <c r="C52" s="513">
        <v>298.14999999999998</v>
      </c>
      <c r="D52" s="513">
        <v>1500</v>
      </c>
      <c r="E52" s="514">
        <v>1.7796749999999999</v>
      </c>
      <c r="F52" s="514">
        <v>65.627989999999997</v>
      </c>
      <c r="G52" s="514">
        <v>9.8077830000000006</v>
      </c>
      <c r="H52" s="514">
        <v>-2.9475889999999998E-4</v>
      </c>
      <c r="I52" s="514">
        <v>0.1005359</v>
      </c>
      <c r="J52" s="514">
        <v>2.0750869999999999</v>
      </c>
      <c r="K52" s="514">
        <v>-5.417872</v>
      </c>
      <c r="L52" s="514">
        <v>7.2822940000000003</v>
      </c>
      <c r="M52" s="521">
        <f t="shared" si="4"/>
        <v>1</v>
      </c>
      <c r="O52" s="388" t="s">
        <v>100</v>
      </c>
      <c r="P52" s="388" t="s">
        <v>65</v>
      </c>
      <c r="Q52" s="513">
        <v>298.14999999999998</v>
      </c>
      <c r="R52" s="513">
        <v>1500</v>
      </c>
      <c r="S52" s="388">
        <v>1.6083639999999999</v>
      </c>
      <c r="T52" s="388">
        <v>46.654719999999998</v>
      </c>
      <c r="U52" s="388">
        <v>6.370749</v>
      </c>
      <c r="V52" s="388">
        <v>-1.7220000000000001E-4</v>
      </c>
      <c r="W52" s="388">
        <v>6.049562E-2</v>
      </c>
      <c r="X52" s="388">
        <v>-20.810030000000001</v>
      </c>
      <c r="Y52" s="388">
        <v>56.994140000000002</v>
      </c>
      <c r="Z52" s="388">
        <v>-73.985680000000002</v>
      </c>
      <c r="AA52" s="502">
        <v>1</v>
      </c>
      <c r="AC52" s="388" t="str">
        <f t="shared" si="5"/>
        <v>Se2</v>
      </c>
      <c r="AD52" s="507" t="str">
        <f>Таблица3[[#This Row],[Вещество]]</f>
        <v>Se2</v>
      </c>
      <c r="AE52" s="507">
        <f>IF(B48=Таблица3[[#This Row],[Фаза]],0,2)</f>
        <v>0</v>
      </c>
      <c r="AF52" s="507">
        <f>IF(C48=Таблица3[[#This Row],[To]],0,IF(ABS((C48-Таблица3[[#This Row],[To]])/(C48+Таблица3[[#This Row],[To]]))&lt;0.01,1,2))</f>
        <v>0</v>
      </c>
      <c r="AG52" s="507">
        <f>IF(D48=Таблица3[[#This Row],[T]],0,IF(ABS((D48-Таблица3[[#This Row],[T]])/(D48+Таблица3[[#This Row],[T]]))&lt;0.01,1,2))</f>
        <v>0</v>
      </c>
      <c r="AH52" s="507">
        <f>IF(E48=Таблица3[[#This Row],[ho]],0,IF(ABS((E48-Таблица3[[#This Row],[ho]])/(E48+Таблица3[[#This Row],[ho]]))&lt;0.01,1,2))</f>
        <v>0</v>
      </c>
      <c r="AI52" s="507">
        <f>IF(F48=Таблица3[[#This Row],[ф1]],0,IF(ABS((F48-Таблица3[[#This Row],[ф1]])/(F48+Таблица3[[#This Row],[ф1]]))&lt;0.01,1,2))</f>
        <v>0</v>
      </c>
      <c r="AJ52" s="507">
        <f>IF(G48=Таблица3[[#This Row],[ф2 *lnX]],0,IF(ABS((G48-Таблица3[[#This Row],[ф2 *lnX]])/(G48+Таблица3[[#This Row],[ф2 *lnX]]))&lt;0.01,1,2))</f>
        <v>0</v>
      </c>
      <c r="AK52" s="507">
        <f>IF(H48=Таблица3[[#This Row],[ф3 *X^(-2)]],0,IF(ABS((H48-Таблица3[[#This Row],[ф3 *X^(-2)]])/(H48+Таблица3[[#This Row],[ф3 *X^(-2)]]))&lt;0.01,1,2))</f>
        <v>0</v>
      </c>
      <c r="AL52" s="507">
        <f>IF(I48=Таблица3[[#This Row],[ф4 *X^(-1)]],0,IF(ABS((I48-Таблица3[[#This Row],[ф4 *X^(-1)]])/(I48+Таблица3[[#This Row],[ф4 *X^(-1)]]))&lt;0.01,1,2))</f>
        <v>0</v>
      </c>
      <c r="AM52" s="507">
        <f>IF(J48=Таблица3[[#This Row],[ф5 *X]],0,IF(ABS((J48-Таблица3[[#This Row],[ф5 *X]])/(J48+Таблица3[[#This Row],[ф5 *X]]))&lt;0.01,1,2))</f>
        <v>0</v>
      </c>
      <c r="AN52" s="507">
        <f>IF(K48=Таблица3[[#This Row],[ф6 *X^2]],0,IF(ABS((K48-Таблица3[[#This Row],[ф6 *X^2]])/(K48+Таблица3[[#This Row],[ф6 *X^2]]))&lt;0.01,1,2))</f>
        <v>0</v>
      </c>
      <c r="AO52" s="507">
        <f>IF(L48=Таблица3[[#This Row],[ф7 *Х^3]],0,IF(ABS((L48-Таблица3[[#This Row],[ф7 *Х^3]])/(L48+Таблица3[[#This Row],[ф7 *Х^3]]))&lt;0.01,1,2))</f>
        <v>0</v>
      </c>
    </row>
    <row r="53" spans="1:41" x14ac:dyDescent="0.35">
      <c r="A53" s="388" t="s">
        <v>102</v>
      </c>
      <c r="B53" s="388" t="s">
        <v>65</v>
      </c>
      <c r="C53" s="513">
        <v>1500</v>
      </c>
      <c r="D53" s="513">
        <v>6000</v>
      </c>
      <c r="E53" s="514">
        <v>1.7796749999999999</v>
      </c>
      <c r="F53" s="514">
        <v>66.151300000000006</v>
      </c>
      <c r="G53" s="514">
        <v>9.9996779999999994</v>
      </c>
      <c r="H53" s="514">
        <v>-3.7359040000000001E-4</v>
      </c>
      <c r="I53" s="514">
        <v>0.1092219</v>
      </c>
      <c r="J53" s="514">
        <v>1.8328540000000001E-3</v>
      </c>
      <c r="K53" s="514">
        <v>-1.155547E-3</v>
      </c>
      <c r="L53" s="514">
        <v>3.7609010000000002E-4</v>
      </c>
      <c r="M53" s="521">
        <f t="shared" si="4"/>
        <v>1</v>
      </c>
      <c r="O53" s="388" t="s">
        <v>100</v>
      </c>
      <c r="P53" s="388" t="s">
        <v>65</v>
      </c>
      <c r="Q53" s="513">
        <v>1500</v>
      </c>
      <c r="R53" s="513">
        <v>6000</v>
      </c>
      <c r="S53" s="388">
        <v>1.6083639999999999</v>
      </c>
      <c r="T53" s="388">
        <v>41.393599999999999</v>
      </c>
      <c r="U53" s="388">
        <v>4.6638549999999999</v>
      </c>
      <c r="V53" s="388">
        <v>-1.334432E-3</v>
      </c>
      <c r="W53" s="388">
        <v>3.6780319999999998E-2</v>
      </c>
      <c r="X53" s="388">
        <v>0.98545360000000004</v>
      </c>
      <c r="Y53" s="388">
        <v>-0.13838919999999999</v>
      </c>
      <c r="Z53" s="388">
        <v>-0.2247374</v>
      </c>
      <c r="AA53" s="502">
        <v>1</v>
      </c>
      <c r="AC53" s="388" t="str">
        <f t="shared" si="5"/>
        <v>Se2</v>
      </c>
      <c r="AD53" s="507" t="str">
        <f>Таблица3[[#This Row],[Вещество]]</f>
        <v>Se2</v>
      </c>
      <c r="AE53" s="507">
        <f>IF(B49=Таблица3[[#This Row],[Фаза]],0,2)</f>
        <v>0</v>
      </c>
      <c r="AF53" s="507">
        <f>IF(C49=Таблица3[[#This Row],[To]],0,IF(ABS((C49-Таблица3[[#This Row],[To]])/(C49+Таблица3[[#This Row],[To]]))&lt;0.01,1,2))</f>
        <v>0</v>
      </c>
      <c r="AG53" s="507">
        <f>IF(D49=Таблица3[[#This Row],[T]],0,IF(ABS((D49-Таблица3[[#This Row],[T]])/(D49+Таблица3[[#This Row],[T]]))&lt;0.01,1,2))</f>
        <v>0</v>
      </c>
      <c r="AH53" s="507">
        <f>IF(E49=Таблица3[[#This Row],[ho]],0,IF(ABS((E49-Таблица3[[#This Row],[ho]])/(E49+Таблица3[[#This Row],[ho]]))&lt;0.01,1,2))</f>
        <v>0</v>
      </c>
      <c r="AI53" s="507">
        <f>IF(F49=Таблица3[[#This Row],[ф1]],0,IF(ABS((F49-Таблица3[[#This Row],[ф1]])/(F49+Таблица3[[#This Row],[ф1]]))&lt;0.01,1,2))</f>
        <v>0</v>
      </c>
      <c r="AJ53" s="507">
        <f>IF(G49=Таблица3[[#This Row],[ф2 *lnX]],0,IF(ABS((G49-Таблица3[[#This Row],[ф2 *lnX]])/(G49+Таблица3[[#This Row],[ф2 *lnX]]))&lt;0.01,1,2))</f>
        <v>0</v>
      </c>
      <c r="AK53" s="507">
        <f>IF(H49=Таблица3[[#This Row],[ф3 *X^(-2)]],0,IF(ABS((H49-Таблица3[[#This Row],[ф3 *X^(-2)]])/(H49+Таблица3[[#This Row],[ф3 *X^(-2)]]))&lt;0.01,1,2))</f>
        <v>0</v>
      </c>
      <c r="AL53" s="507">
        <f>IF(I49=Таблица3[[#This Row],[ф4 *X^(-1)]],0,IF(ABS((I49-Таблица3[[#This Row],[ф4 *X^(-1)]])/(I49+Таблица3[[#This Row],[ф4 *X^(-1)]]))&lt;0.01,1,2))</f>
        <v>0</v>
      </c>
      <c r="AM53" s="507">
        <f>IF(J49=Таблица3[[#This Row],[ф5 *X]],0,IF(ABS((J49-Таблица3[[#This Row],[ф5 *X]])/(J49+Таблица3[[#This Row],[ф5 *X]]))&lt;0.01,1,2))</f>
        <v>0</v>
      </c>
      <c r="AN53" s="507">
        <f>IF(K49=Таблица3[[#This Row],[ф6 *X^2]],0,IF(ABS((K49-Таблица3[[#This Row],[ф6 *X^2]])/(K49+Таблица3[[#This Row],[ф6 *X^2]]))&lt;0.01,1,2))</f>
        <v>0</v>
      </c>
      <c r="AO53" s="507">
        <f>IF(L49=Таблица3[[#This Row],[ф7 *Х^3]],0,IF(ABS((L49-Таблица3[[#This Row],[ф7 *Х^3]])/(L49+Таблица3[[#This Row],[ф7 *Х^3]]))&lt;0.01,1,2))</f>
        <v>0</v>
      </c>
    </row>
    <row r="54" spans="1:41" x14ac:dyDescent="0.35">
      <c r="A54" s="388" t="s">
        <v>103</v>
      </c>
      <c r="B54" s="388" t="s">
        <v>65</v>
      </c>
      <c r="C54" s="513">
        <v>298.14999999999998</v>
      </c>
      <c r="D54" s="513">
        <v>1500</v>
      </c>
      <c r="E54" s="514">
        <v>1.593137</v>
      </c>
      <c r="F54" s="514">
        <v>82.10181</v>
      </c>
      <c r="G54" s="514">
        <v>12.889200000000001</v>
      </c>
      <c r="H54" s="514">
        <v>-2.7534359999999998E-4</v>
      </c>
      <c r="I54" s="514">
        <v>0.11292489999999999</v>
      </c>
      <c r="J54" s="514">
        <v>1.2045049999999999</v>
      </c>
      <c r="K54" s="514">
        <v>-3.1549330000000002</v>
      </c>
      <c r="L54" s="514">
        <v>4.2508710000000001</v>
      </c>
      <c r="M54" s="521">
        <f t="shared" si="4"/>
        <v>1</v>
      </c>
      <c r="O54" s="388" t="s">
        <v>101</v>
      </c>
      <c r="P54" s="388" t="s">
        <v>65</v>
      </c>
      <c r="Q54" s="513">
        <v>298.14999999999998</v>
      </c>
      <c r="R54" s="513">
        <v>1500</v>
      </c>
      <c r="S54" s="388">
        <v>1.9782420000000001</v>
      </c>
      <c r="T54" s="388">
        <v>54.51784</v>
      </c>
      <c r="U54" s="388">
        <v>6.89046</v>
      </c>
      <c r="V54" s="388">
        <v>-1.736525E-4</v>
      </c>
      <c r="W54" s="388">
        <v>5.6347979999999999E-2</v>
      </c>
      <c r="X54" s="388">
        <v>1.1843140000000001</v>
      </c>
      <c r="Y54" s="388">
        <v>-3.094471</v>
      </c>
      <c r="Z54" s="388">
        <v>4.1616710000000001</v>
      </c>
      <c r="AA54" s="502">
        <v>1</v>
      </c>
      <c r="AC54" s="388" t="str">
        <f t="shared" si="5"/>
        <v>Se3</v>
      </c>
      <c r="AD54" s="507" t="str">
        <f>Таблица3[[#This Row],[Вещество]]</f>
        <v>Se3</v>
      </c>
      <c r="AE54" s="507">
        <f>IF(B50=Таблица3[[#This Row],[Фаза]],0,2)</f>
        <v>0</v>
      </c>
      <c r="AF54" s="507">
        <f>IF(C50=Таблица3[[#This Row],[To]],0,IF(ABS((C50-Таблица3[[#This Row],[To]])/(C50+Таблица3[[#This Row],[To]]))&lt;0.01,1,2))</f>
        <v>0</v>
      </c>
      <c r="AG54" s="507">
        <f>IF(D50=Таблица3[[#This Row],[T]],0,IF(ABS((D50-Таблица3[[#This Row],[T]])/(D50+Таблица3[[#This Row],[T]]))&lt;0.01,1,2))</f>
        <v>0</v>
      </c>
      <c r="AH54" s="507">
        <f>IF(E50=Таблица3[[#This Row],[ho]],0,IF(ABS((E50-Таблица3[[#This Row],[ho]])/(E50+Таблица3[[#This Row],[ho]]))&lt;0.01,1,2))</f>
        <v>0</v>
      </c>
      <c r="AI54" s="507">
        <f>IF(F50=Таблица3[[#This Row],[ф1]],0,IF(ABS((F50-Таблица3[[#This Row],[ф1]])/(F50+Таблица3[[#This Row],[ф1]]))&lt;0.01,1,2))</f>
        <v>0</v>
      </c>
      <c r="AJ54" s="507">
        <f>IF(G50=Таблица3[[#This Row],[ф2 *lnX]],0,IF(ABS((G50-Таблица3[[#This Row],[ф2 *lnX]])/(G50+Таблица3[[#This Row],[ф2 *lnX]]))&lt;0.01,1,2))</f>
        <v>0</v>
      </c>
      <c r="AK54" s="507">
        <f>IF(H50=Таблица3[[#This Row],[ф3 *X^(-2)]],0,IF(ABS((H50-Таблица3[[#This Row],[ф3 *X^(-2)]])/(H50+Таблица3[[#This Row],[ф3 *X^(-2)]]))&lt;0.01,1,2))</f>
        <v>0</v>
      </c>
      <c r="AL54" s="507">
        <f>IF(I50=Таблица3[[#This Row],[ф4 *X^(-1)]],0,IF(ABS((I50-Таблица3[[#This Row],[ф4 *X^(-1)]])/(I50+Таблица3[[#This Row],[ф4 *X^(-1)]]))&lt;0.01,1,2))</f>
        <v>0</v>
      </c>
      <c r="AM54" s="507">
        <f>IF(J50=Таблица3[[#This Row],[ф5 *X]],0,IF(ABS((J50-Таблица3[[#This Row],[ф5 *X]])/(J50+Таблица3[[#This Row],[ф5 *X]]))&lt;0.01,1,2))</f>
        <v>0</v>
      </c>
      <c r="AN54" s="507">
        <f>IF(K50=Таблица3[[#This Row],[ф6 *X^2]],0,IF(ABS((K50-Таблица3[[#This Row],[ф6 *X^2]])/(K50+Таблица3[[#This Row],[ф6 *X^2]]))&lt;0.01,1,2))</f>
        <v>0</v>
      </c>
      <c r="AO54" s="507">
        <f>IF(L50=Таблица3[[#This Row],[ф7 *Х^3]],0,IF(ABS((L50-Таблица3[[#This Row],[ф7 *Х^3]])/(L50+Таблица3[[#This Row],[ф7 *Х^3]]))&lt;0.01,1,2))</f>
        <v>0</v>
      </c>
    </row>
    <row r="55" spans="1:41" x14ac:dyDescent="0.35">
      <c r="A55" s="388" t="s">
        <v>103</v>
      </c>
      <c r="B55" s="388" t="s">
        <v>65</v>
      </c>
      <c r="C55" s="513">
        <v>1500</v>
      </c>
      <c r="D55" s="513">
        <v>6000</v>
      </c>
      <c r="E55" s="514">
        <v>1.593137</v>
      </c>
      <c r="F55" s="514">
        <v>82.404619999999994</v>
      </c>
      <c r="G55" s="514">
        <v>12.999980000000001</v>
      </c>
      <c r="H55" s="514">
        <v>-3.1975439999999998E-4</v>
      </c>
      <c r="I55" s="514">
        <v>0.117897</v>
      </c>
      <c r="J55" s="514">
        <v>1.496076E-3</v>
      </c>
      <c r="K55" s="514">
        <v>-1.046272E-3</v>
      </c>
      <c r="L55" s="514">
        <v>3.8618760000000001E-4</v>
      </c>
      <c r="M55" s="521">
        <f t="shared" si="4"/>
        <v>1</v>
      </c>
      <c r="O55" s="388" t="s">
        <v>101</v>
      </c>
      <c r="P55" s="388" t="s">
        <v>65</v>
      </c>
      <c r="Q55" s="513">
        <v>1500</v>
      </c>
      <c r="R55" s="513">
        <v>6000</v>
      </c>
      <c r="S55" s="388">
        <v>1.9782420000000001</v>
      </c>
      <c r="T55" s="388">
        <v>54.816650000000003</v>
      </c>
      <c r="U55" s="388">
        <v>7.0000840000000002</v>
      </c>
      <c r="V55" s="388">
        <v>-2.193664E-4</v>
      </c>
      <c r="W55" s="388">
        <v>6.1325909999999997E-2</v>
      </c>
      <c r="X55" s="388">
        <v>3.7539989999999998E-4</v>
      </c>
      <c r="Y55" s="388">
        <v>-1.8322499999999999E-4</v>
      </c>
      <c r="Z55" s="388">
        <v>4.3410669999999999E-5</v>
      </c>
      <c r="AA55" s="502">
        <v>1</v>
      </c>
      <c r="AC55" s="388" t="str">
        <f t="shared" si="5"/>
        <v>Se3</v>
      </c>
      <c r="AD55" s="507" t="str">
        <f>Таблица3[[#This Row],[Вещество]]</f>
        <v>Se3</v>
      </c>
      <c r="AE55" s="507">
        <f>IF(B51=Таблица3[[#This Row],[Фаза]],0,2)</f>
        <v>0</v>
      </c>
      <c r="AF55" s="507">
        <f>IF(C51=Таблица3[[#This Row],[To]],0,IF(ABS((C51-Таблица3[[#This Row],[To]])/(C51+Таблица3[[#This Row],[To]]))&lt;0.01,1,2))</f>
        <v>0</v>
      </c>
      <c r="AG55" s="507">
        <f>IF(D51=Таблица3[[#This Row],[T]],0,IF(ABS((D51-Таблица3[[#This Row],[T]])/(D51+Таблица3[[#This Row],[T]]))&lt;0.01,1,2))</f>
        <v>0</v>
      </c>
      <c r="AH55" s="507">
        <f>IF(E51=Таблица3[[#This Row],[ho]],0,IF(ABS((E51-Таблица3[[#This Row],[ho]])/(E51+Таблица3[[#This Row],[ho]]))&lt;0.01,1,2))</f>
        <v>0</v>
      </c>
      <c r="AI55" s="507">
        <f>IF(F51=Таблица3[[#This Row],[ф1]],0,IF(ABS((F51-Таблица3[[#This Row],[ф1]])/(F51+Таблица3[[#This Row],[ф1]]))&lt;0.01,1,2))</f>
        <v>0</v>
      </c>
      <c r="AJ55" s="507">
        <f>IF(G51=Таблица3[[#This Row],[ф2 *lnX]],0,IF(ABS((G51-Таблица3[[#This Row],[ф2 *lnX]])/(G51+Таблица3[[#This Row],[ф2 *lnX]]))&lt;0.01,1,2))</f>
        <v>0</v>
      </c>
      <c r="AK55" s="507">
        <f>IF(H51=Таблица3[[#This Row],[ф3 *X^(-2)]],0,IF(ABS((H51-Таблица3[[#This Row],[ф3 *X^(-2)]])/(H51+Таблица3[[#This Row],[ф3 *X^(-2)]]))&lt;0.01,1,2))</f>
        <v>0</v>
      </c>
      <c r="AL55" s="507">
        <f>IF(I51=Таблица3[[#This Row],[ф4 *X^(-1)]],0,IF(ABS((I51-Таблица3[[#This Row],[ф4 *X^(-1)]])/(I51+Таблица3[[#This Row],[ф4 *X^(-1)]]))&lt;0.01,1,2))</f>
        <v>0</v>
      </c>
      <c r="AM55" s="507">
        <f>IF(J51=Таблица3[[#This Row],[ф5 *X]],0,IF(ABS((J51-Таблица3[[#This Row],[ф5 *X]])/(J51+Таблица3[[#This Row],[ф5 *X]]))&lt;0.01,1,2))</f>
        <v>0</v>
      </c>
      <c r="AN55" s="507">
        <f>IF(K51=Таблица3[[#This Row],[ф6 *X^2]],0,IF(ABS((K51-Таблица3[[#This Row],[ф6 *X^2]])/(K51+Таблица3[[#This Row],[ф6 *X^2]]))&lt;0.01,1,2))</f>
        <v>0</v>
      </c>
      <c r="AO55" s="507">
        <f>IF(L51=Таблица3[[#This Row],[ф7 *Х^3]],0,IF(ABS((L51-Таблица3[[#This Row],[ф7 *Х^3]])/(L51+Таблица3[[#This Row],[ф7 *Х^3]]))&lt;0.01,1,2))</f>
        <v>0</v>
      </c>
    </row>
    <row r="56" spans="1:41" x14ac:dyDescent="0.35">
      <c r="A56" s="388" t="s">
        <v>104</v>
      </c>
      <c r="B56" s="388" t="s">
        <v>65</v>
      </c>
      <c r="C56" s="513">
        <v>298.14999999999998</v>
      </c>
      <c r="D56" s="513">
        <v>1500</v>
      </c>
      <c r="E56" s="514">
        <v>1.310376</v>
      </c>
      <c r="F56" s="514">
        <v>92.080410000000001</v>
      </c>
      <c r="G56" s="514">
        <v>15.90657</v>
      </c>
      <c r="H56" s="514">
        <v>-3.1941130000000002E-4</v>
      </c>
      <c r="I56" s="514">
        <v>0.14695030000000001</v>
      </c>
      <c r="J56" s="514">
        <v>1.017784</v>
      </c>
      <c r="K56" s="514">
        <v>-2.6653210000000001</v>
      </c>
      <c r="L56" s="514">
        <v>3.5898659999999998</v>
      </c>
      <c r="M56" s="521">
        <f t="shared" si="4"/>
        <v>1</v>
      </c>
      <c r="O56" s="388" t="s">
        <v>102</v>
      </c>
      <c r="P56" s="388" t="s">
        <v>65</v>
      </c>
      <c r="Q56" s="513">
        <v>298.14999999999998</v>
      </c>
      <c r="R56" s="513">
        <v>1500</v>
      </c>
      <c r="S56" s="388">
        <v>1.7796749999999999</v>
      </c>
      <c r="T56" s="388">
        <v>65.627989999999997</v>
      </c>
      <c r="U56" s="388">
        <v>9.8077830000000006</v>
      </c>
      <c r="V56" s="388">
        <v>-2.9475889999999998E-4</v>
      </c>
      <c r="W56" s="388">
        <v>0.1005359</v>
      </c>
      <c r="X56" s="388">
        <v>2.0750869999999999</v>
      </c>
      <c r="Y56" s="388">
        <v>-5.417872</v>
      </c>
      <c r="Z56" s="388">
        <v>7.2822940000000003</v>
      </c>
      <c r="AA56" s="502">
        <v>1</v>
      </c>
      <c r="AC56" s="388" t="str">
        <f t="shared" si="5"/>
        <v>Se4</v>
      </c>
      <c r="AD56" s="507" t="str">
        <f>Таблица3[[#This Row],[Вещество]]</f>
        <v>Se4</v>
      </c>
      <c r="AE56" s="507">
        <f>IF(B52=Таблица3[[#This Row],[Фаза]],0,2)</f>
        <v>0</v>
      </c>
      <c r="AF56" s="507">
        <f>IF(C52=Таблица3[[#This Row],[To]],0,IF(ABS((C52-Таблица3[[#This Row],[To]])/(C52+Таблица3[[#This Row],[To]]))&lt;0.01,1,2))</f>
        <v>0</v>
      </c>
      <c r="AG56" s="507">
        <f>IF(D52=Таблица3[[#This Row],[T]],0,IF(ABS((D52-Таблица3[[#This Row],[T]])/(D52+Таблица3[[#This Row],[T]]))&lt;0.01,1,2))</f>
        <v>0</v>
      </c>
      <c r="AH56" s="507">
        <f>IF(E52=Таблица3[[#This Row],[ho]],0,IF(ABS((E52-Таблица3[[#This Row],[ho]])/(E52+Таблица3[[#This Row],[ho]]))&lt;0.01,1,2))</f>
        <v>0</v>
      </c>
      <c r="AI56" s="507">
        <f>IF(F52=Таблица3[[#This Row],[ф1]],0,IF(ABS((F52-Таблица3[[#This Row],[ф1]])/(F52+Таблица3[[#This Row],[ф1]]))&lt;0.01,1,2))</f>
        <v>0</v>
      </c>
      <c r="AJ56" s="507">
        <f>IF(G52=Таблица3[[#This Row],[ф2 *lnX]],0,IF(ABS((G52-Таблица3[[#This Row],[ф2 *lnX]])/(G52+Таблица3[[#This Row],[ф2 *lnX]]))&lt;0.01,1,2))</f>
        <v>0</v>
      </c>
      <c r="AK56" s="507">
        <f>IF(H52=Таблица3[[#This Row],[ф3 *X^(-2)]],0,IF(ABS((H52-Таблица3[[#This Row],[ф3 *X^(-2)]])/(H52+Таблица3[[#This Row],[ф3 *X^(-2)]]))&lt;0.01,1,2))</f>
        <v>0</v>
      </c>
      <c r="AL56" s="507">
        <f>IF(I52=Таблица3[[#This Row],[ф4 *X^(-1)]],0,IF(ABS((I52-Таблица3[[#This Row],[ф4 *X^(-1)]])/(I52+Таблица3[[#This Row],[ф4 *X^(-1)]]))&lt;0.01,1,2))</f>
        <v>0</v>
      </c>
      <c r="AM56" s="507">
        <f>IF(J52=Таблица3[[#This Row],[ф5 *X]],0,IF(ABS((J52-Таблица3[[#This Row],[ф5 *X]])/(J52+Таблица3[[#This Row],[ф5 *X]]))&lt;0.01,1,2))</f>
        <v>0</v>
      </c>
      <c r="AN56" s="507">
        <f>IF(K52=Таблица3[[#This Row],[ф6 *X^2]],0,IF(ABS((K52-Таблица3[[#This Row],[ф6 *X^2]])/(K52+Таблица3[[#This Row],[ф6 *X^2]]))&lt;0.01,1,2))</f>
        <v>0</v>
      </c>
      <c r="AO56" s="507">
        <f>IF(L52=Таблица3[[#This Row],[ф7 *Х^3]],0,IF(ABS((L52-Таблица3[[#This Row],[ф7 *Х^3]])/(L52+Таблица3[[#This Row],[ф7 *Х^3]]))&lt;0.01,1,2))</f>
        <v>0</v>
      </c>
    </row>
    <row r="57" spans="1:41" x14ac:dyDescent="0.35">
      <c r="A57" s="388" t="s">
        <v>104</v>
      </c>
      <c r="B57" s="388" t="s">
        <v>65</v>
      </c>
      <c r="C57" s="513">
        <v>1500</v>
      </c>
      <c r="D57" s="513">
        <v>6000</v>
      </c>
      <c r="E57" s="514">
        <v>1.310376</v>
      </c>
      <c r="F57" s="514">
        <v>92.335269999999994</v>
      </c>
      <c r="G57" s="514">
        <v>15.99952</v>
      </c>
      <c r="H57" s="514">
        <v>-3.5474159999999999E-4</v>
      </c>
      <c r="I57" s="514">
        <v>0.151062</v>
      </c>
      <c r="J57" s="514">
        <v>3.4559289999999999E-3</v>
      </c>
      <c r="K57" s="514">
        <v>-2.5853989999999999E-3</v>
      </c>
      <c r="L57" s="514">
        <v>9.828650999999999E-4</v>
      </c>
      <c r="M57" s="521">
        <f t="shared" si="4"/>
        <v>1</v>
      </c>
      <c r="O57" s="388" t="s">
        <v>102</v>
      </c>
      <c r="P57" s="388" t="s">
        <v>65</v>
      </c>
      <c r="Q57" s="513">
        <v>1500</v>
      </c>
      <c r="R57" s="513">
        <v>6000</v>
      </c>
      <c r="S57" s="388">
        <v>1.7796749999999999</v>
      </c>
      <c r="T57" s="388">
        <v>66.151300000000006</v>
      </c>
      <c r="U57" s="388">
        <v>9.9996779999999994</v>
      </c>
      <c r="V57" s="388">
        <v>-3.7359040000000001E-4</v>
      </c>
      <c r="W57" s="388">
        <v>0.1092219</v>
      </c>
      <c r="X57" s="388">
        <v>1.8328540000000001E-3</v>
      </c>
      <c r="Y57" s="388">
        <v>-1.155547E-3</v>
      </c>
      <c r="Z57" s="388">
        <v>3.7609010000000002E-4</v>
      </c>
      <c r="AA57" s="502">
        <v>1</v>
      </c>
      <c r="AC57" s="388" t="str">
        <f t="shared" si="5"/>
        <v>Se4</v>
      </c>
      <c r="AD57" s="507" t="str">
        <f>Таблица3[[#This Row],[Вещество]]</f>
        <v>Se4</v>
      </c>
      <c r="AE57" s="507">
        <f>IF(B53=Таблица3[[#This Row],[Фаза]],0,2)</f>
        <v>0</v>
      </c>
      <c r="AF57" s="507">
        <f>IF(C53=Таблица3[[#This Row],[To]],0,IF(ABS((C53-Таблица3[[#This Row],[To]])/(C53+Таблица3[[#This Row],[To]]))&lt;0.01,1,2))</f>
        <v>0</v>
      </c>
      <c r="AG57" s="507">
        <f>IF(D53=Таблица3[[#This Row],[T]],0,IF(ABS((D53-Таблица3[[#This Row],[T]])/(D53+Таблица3[[#This Row],[T]]))&lt;0.01,1,2))</f>
        <v>0</v>
      </c>
      <c r="AH57" s="507">
        <f>IF(E53=Таблица3[[#This Row],[ho]],0,IF(ABS((E53-Таблица3[[#This Row],[ho]])/(E53+Таблица3[[#This Row],[ho]]))&lt;0.01,1,2))</f>
        <v>0</v>
      </c>
      <c r="AI57" s="507">
        <f>IF(F53=Таблица3[[#This Row],[ф1]],0,IF(ABS((F53-Таблица3[[#This Row],[ф1]])/(F53+Таблица3[[#This Row],[ф1]]))&lt;0.01,1,2))</f>
        <v>0</v>
      </c>
      <c r="AJ57" s="507">
        <f>IF(G53=Таблица3[[#This Row],[ф2 *lnX]],0,IF(ABS((G53-Таблица3[[#This Row],[ф2 *lnX]])/(G53+Таблица3[[#This Row],[ф2 *lnX]]))&lt;0.01,1,2))</f>
        <v>0</v>
      </c>
      <c r="AK57" s="507">
        <f>IF(H53=Таблица3[[#This Row],[ф3 *X^(-2)]],0,IF(ABS((H53-Таблица3[[#This Row],[ф3 *X^(-2)]])/(H53+Таблица3[[#This Row],[ф3 *X^(-2)]]))&lt;0.01,1,2))</f>
        <v>0</v>
      </c>
      <c r="AL57" s="507">
        <f>IF(I53=Таблица3[[#This Row],[ф4 *X^(-1)]],0,IF(ABS((I53-Таблица3[[#This Row],[ф4 *X^(-1)]])/(I53+Таблица3[[#This Row],[ф4 *X^(-1)]]))&lt;0.01,1,2))</f>
        <v>0</v>
      </c>
      <c r="AM57" s="507">
        <f>IF(J53=Таблица3[[#This Row],[ф5 *X]],0,IF(ABS((J53-Таблица3[[#This Row],[ф5 *X]])/(J53+Таблица3[[#This Row],[ф5 *X]]))&lt;0.01,1,2))</f>
        <v>0</v>
      </c>
      <c r="AN57" s="507">
        <f>IF(K53=Таблица3[[#This Row],[ф6 *X^2]],0,IF(ABS((K53-Таблица3[[#This Row],[ф6 *X^2]])/(K53+Таблица3[[#This Row],[ф6 *X^2]]))&lt;0.01,1,2))</f>
        <v>0</v>
      </c>
      <c r="AO57" s="507">
        <f>IF(L53=Таблица3[[#This Row],[ф7 *Х^3]],0,IF(ABS((L53-Таблица3[[#This Row],[ф7 *Х^3]])/(L53+Таблица3[[#This Row],[ф7 *Х^3]]))&lt;0.01,1,2))</f>
        <v>0</v>
      </c>
    </row>
    <row r="58" spans="1:41" x14ac:dyDescent="0.35">
      <c r="A58" s="388" t="s">
        <v>105</v>
      </c>
      <c r="B58" s="388" t="s">
        <v>65</v>
      </c>
      <c r="C58" s="513">
        <v>298.14999999999998</v>
      </c>
      <c r="D58" s="513">
        <v>1500</v>
      </c>
      <c r="E58" s="514">
        <v>1.3764209999999999</v>
      </c>
      <c r="F58" s="514">
        <v>106.2873</v>
      </c>
      <c r="G58" s="514">
        <v>18.87481</v>
      </c>
      <c r="H58" s="514">
        <v>-3.9471889999999999E-4</v>
      </c>
      <c r="I58" s="514">
        <v>0.18061250000000001</v>
      </c>
      <c r="J58" s="514">
        <v>1.363551</v>
      </c>
      <c r="K58" s="514">
        <v>-3.5720109999999998</v>
      </c>
      <c r="L58" s="514">
        <v>4.8116719999999997</v>
      </c>
      <c r="M58" s="521">
        <f t="shared" si="4"/>
        <v>1</v>
      </c>
      <c r="O58" s="388" t="s">
        <v>103</v>
      </c>
      <c r="P58" s="388" t="s">
        <v>65</v>
      </c>
      <c r="Q58" s="513">
        <v>298.14999999999998</v>
      </c>
      <c r="R58" s="513">
        <v>1500</v>
      </c>
      <c r="S58" s="388">
        <v>1.593137</v>
      </c>
      <c r="T58" s="388">
        <v>82.10181</v>
      </c>
      <c r="U58" s="388">
        <v>12.889200000000001</v>
      </c>
      <c r="V58" s="388">
        <v>-2.7534359999999998E-4</v>
      </c>
      <c r="W58" s="388">
        <v>0.11292489999999999</v>
      </c>
      <c r="X58" s="388">
        <v>1.2045049999999999</v>
      </c>
      <c r="Y58" s="388">
        <v>-3.1549330000000002</v>
      </c>
      <c r="Z58" s="388">
        <v>4.2508710000000001</v>
      </c>
      <c r="AA58" s="502">
        <v>1</v>
      </c>
      <c r="AC58" s="388" t="str">
        <f t="shared" si="5"/>
        <v>Se5</v>
      </c>
      <c r="AD58" s="507" t="str">
        <f>Таблица3[[#This Row],[Вещество]]</f>
        <v>Se5</v>
      </c>
      <c r="AE58" s="507">
        <f>IF(B54=Таблица3[[#This Row],[Фаза]],0,2)</f>
        <v>0</v>
      </c>
      <c r="AF58" s="507">
        <f>IF(C54=Таблица3[[#This Row],[To]],0,IF(ABS((C54-Таблица3[[#This Row],[To]])/(C54+Таблица3[[#This Row],[To]]))&lt;0.01,1,2))</f>
        <v>0</v>
      </c>
      <c r="AG58" s="507">
        <f>IF(D54=Таблица3[[#This Row],[T]],0,IF(ABS((D54-Таблица3[[#This Row],[T]])/(D54+Таблица3[[#This Row],[T]]))&lt;0.01,1,2))</f>
        <v>0</v>
      </c>
      <c r="AH58" s="507">
        <f>IF(E54=Таблица3[[#This Row],[ho]],0,IF(ABS((E54-Таблица3[[#This Row],[ho]])/(E54+Таблица3[[#This Row],[ho]]))&lt;0.01,1,2))</f>
        <v>0</v>
      </c>
      <c r="AI58" s="507">
        <f>IF(F54=Таблица3[[#This Row],[ф1]],0,IF(ABS((F54-Таблица3[[#This Row],[ф1]])/(F54+Таблица3[[#This Row],[ф1]]))&lt;0.01,1,2))</f>
        <v>0</v>
      </c>
      <c r="AJ58" s="507">
        <f>IF(G54=Таблица3[[#This Row],[ф2 *lnX]],0,IF(ABS((G54-Таблица3[[#This Row],[ф2 *lnX]])/(G54+Таблица3[[#This Row],[ф2 *lnX]]))&lt;0.01,1,2))</f>
        <v>0</v>
      </c>
      <c r="AK58" s="507">
        <f>IF(H54=Таблица3[[#This Row],[ф3 *X^(-2)]],0,IF(ABS((H54-Таблица3[[#This Row],[ф3 *X^(-2)]])/(H54+Таблица3[[#This Row],[ф3 *X^(-2)]]))&lt;0.01,1,2))</f>
        <v>0</v>
      </c>
      <c r="AL58" s="507">
        <f>IF(I54=Таблица3[[#This Row],[ф4 *X^(-1)]],0,IF(ABS((I54-Таблица3[[#This Row],[ф4 *X^(-1)]])/(I54+Таблица3[[#This Row],[ф4 *X^(-1)]]))&lt;0.01,1,2))</f>
        <v>0</v>
      </c>
      <c r="AM58" s="507">
        <f>IF(J54=Таблица3[[#This Row],[ф5 *X]],0,IF(ABS((J54-Таблица3[[#This Row],[ф5 *X]])/(J54+Таблица3[[#This Row],[ф5 *X]]))&lt;0.01,1,2))</f>
        <v>0</v>
      </c>
      <c r="AN58" s="507">
        <f>IF(K54=Таблица3[[#This Row],[ф6 *X^2]],0,IF(ABS((K54-Таблица3[[#This Row],[ф6 *X^2]])/(K54+Таблица3[[#This Row],[ф6 *X^2]]))&lt;0.01,1,2))</f>
        <v>0</v>
      </c>
      <c r="AO58" s="507">
        <f>IF(L54=Таблица3[[#This Row],[ф7 *Х^3]],0,IF(ABS((L54-Таблица3[[#This Row],[ф7 *Х^3]])/(L54+Таблица3[[#This Row],[ф7 *Х^3]]))&lt;0.01,1,2))</f>
        <v>0</v>
      </c>
    </row>
    <row r="59" spans="1:41" x14ac:dyDescent="0.35">
      <c r="A59" s="388" t="s">
        <v>105</v>
      </c>
      <c r="B59" s="388" t="s">
        <v>65</v>
      </c>
      <c r="C59" s="513">
        <v>1500</v>
      </c>
      <c r="D59" s="513">
        <v>6000</v>
      </c>
      <c r="E59" s="514">
        <v>1.3764209999999999</v>
      </c>
      <c r="F59" s="514">
        <v>106.6301</v>
      </c>
      <c r="G59" s="514">
        <v>19.000219999999999</v>
      </c>
      <c r="H59" s="514">
        <v>-4.455711E-4</v>
      </c>
      <c r="I59" s="514">
        <v>0.18625030000000001</v>
      </c>
      <c r="J59" s="514">
        <v>1.466539E-3</v>
      </c>
      <c r="K59" s="514">
        <v>-9.910276E-4</v>
      </c>
      <c r="L59" s="514">
        <v>3.4599259999999998E-4</v>
      </c>
      <c r="M59" s="521">
        <f t="shared" si="4"/>
        <v>1</v>
      </c>
      <c r="O59" s="388" t="s">
        <v>103</v>
      </c>
      <c r="P59" s="388" t="s">
        <v>65</v>
      </c>
      <c r="Q59" s="513">
        <v>1500</v>
      </c>
      <c r="R59" s="513">
        <v>6000</v>
      </c>
      <c r="S59" s="388">
        <v>1.593137</v>
      </c>
      <c r="T59" s="388">
        <v>82.404619999999994</v>
      </c>
      <c r="U59" s="388">
        <v>12.999980000000001</v>
      </c>
      <c r="V59" s="388">
        <v>-3.1975439999999998E-4</v>
      </c>
      <c r="W59" s="388">
        <v>0.117897</v>
      </c>
      <c r="X59" s="388">
        <v>1.496076E-3</v>
      </c>
      <c r="Y59" s="388">
        <v>-1.046272E-3</v>
      </c>
      <c r="Z59" s="388">
        <v>3.8618760000000001E-4</v>
      </c>
      <c r="AA59" s="502">
        <v>1</v>
      </c>
      <c r="AC59" s="388" t="str">
        <f t="shared" si="5"/>
        <v>Se5</v>
      </c>
      <c r="AD59" s="507" t="str">
        <f>Таблица3[[#This Row],[Вещество]]</f>
        <v>Se5</v>
      </c>
      <c r="AE59" s="507">
        <f>IF(B55=Таблица3[[#This Row],[Фаза]],0,2)</f>
        <v>0</v>
      </c>
      <c r="AF59" s="507">
        <f>IF(C55=Таблица3[[#This Row],[To]],0,IF(ABS((C55-Таблица3[[#This Row],[To]])/(C55+Таблица3[[#This Row],[To]]))&lt;0.01,1,2))</f>
        <v>0</v>
      </c>
      <c r="AG59" s="507">
        <f>IF(D55=Таблица3[[#This Row],[T]],0,IF(ABS((D55-Таблица3[[#This Row],[T]])/(D55+Таблица3[[#This Row],[T]]))&lt;0.01,1,2))</f>
        <v>0</v>
      </c>
      <c r="AH59" s="507">
        <f>IF(E55=Таблица3[[#This Row],[ho]],0,IF(ABS((E55-Таблица3[[#This Row],[ho]])/(E55+Таблица3[[#This Row],[ho]]))&lt;0.01,1,2))</f>
        <v>0</v>
      </c>
      <c r="AI59" s="507">
        <f>IF(F55=Таблица3[[#This Row],[ф1]],0,IF(ABS((F55-Таблица3[[#This Row],[ф1]])/(F55+Таблица3[[#This Row],[ф1]]))&lt;0.01,1,2))</f>
        <v>0</v>
      </c>
      <c r="AJ59" s="507">
        <f>IF(G55=Таблица3[[#This Row],[ф2 *lnX]],0,IF(ABS((G55-Таблица3[[#This Row],[ф2 *lnX]])/(G55+Таблица3[[#This Row],[ф2 *lnX]]))&lt;0.01,1,2))</f>
        <v>0</v>
      </c>
      <c r="AK59" s="507">
        <f>IF(H55=Таблица3[[#This Row],[ф3 *X^(-2)]],0,IF(ABS((H55-Таблица3[[#This Row],[ф3 *X^(-2)]])/(H55+Таблица3[[#This Row],[ф3 *X^(-2)]]))&lt;0.01,1,2))</f>
        <v>0</v>
      </c>
      <c r="AL59" s="507">
        <f>IF(I55=Таблица3[[#This Row],[ф4 *X^(-1)]],0,IF(ABS((I55-Таблица3[[#This Row],[ф4 *X^(-1)]])/(I55+Таблица3[[#This Row],[ф4 *X^(-1)]]))&lt;0.01,1,2))</f>
        <v>0</v>
      </c>
      <c r="AM59" s="507">
        <f>IF(J55=Таблица3[[#This Row],[ф5 *X]],0,IF(ABS((J55-Таблица3[[#This Row],[ф5 *X]])/(J55+Таблица3[[#This Row],[ф5 *X]]))&lt;0.01,1,2))</f>
        <v>0</v>
      </c>
      <c r="AN59" s="507">
        <f>IF(K55=Таблица3[[#This Row],[ф6 *X^2]],0,IF(ABS((K55-Таблица3[[#This Row],[ф6 *X^2]])/(K55+Таблица3[[#This Row],[ф6 *X^2]]))&lt;0.01,1,2))</f>
        <v>0</v>
      </c>
      <c r="AO59" s="507">
        <f>IF(L55=Таблица3[[#This Row],[ф7 *Х^3]],0,IF(ABS((L55-Таблица3[[#This Row],[ф7 *Х^3]])/(L55+Таблица3[[#This Row],[ф7 *Х^3]]))&lt;0.01,1,2))</f>
        <v>0</v>
      </c>
    </row>
    <row r="60" spans="1:41" x14ac:dyDescent="0.35">
      <c r="A60" s="388" t="s">
        <v>106</v>
      </c>
      <c r="B60" s="388" t="s">
        <v>65</v>
      </c>
      <c r="C60" s="513">
        <v>298.14999999999998</v>
      </c>
      <c r="D60" s="513">
        <v>1500</v>
      </c>
      <c r="E60" s="514">
        <v>1.4184099999999999</v>
      </c>
      <c r="F60" s="514">
        <v>118.3836</v>
      </c>
      <c r="G60" s="514">
        <v>21.846499999999999</v>
      </c>
      <c r="H60" s="514">
        <v>-4.55196E-4</v>
      </c>
      <c r="I60" s="514">
        <v>0.2049985</v>
      </c>
      <c r="J60" s="514">
        <v>1.669807</v>
      </c>
      <c r="K60" s="514">
        <v>-4.3705270000000001</v>
      </c>
      <c r="L60" s="514">
        <v>5.8827660000000002</v>
      </c>
      <c r="M60" s="521">
        <f t="shared" si="4"/>
        <v>1</v>
      </c>
      <c r="O60" s="388" t="s">
        <v>104</v>
      </c>
      <c r="P60" s="388" t="s">
        <v>65</v>
      </c>
      <c r="Q60" s="513">
        <v>298.14999999999998</v>
      </c>
      <c r="R60" s="513">
        <v>1500</v>
      </c>
      <c r="S60" s="388">
        <v>1.310376</v>
      </c>
      <c r="T60" s="388">
        <v>92.080410000000001</v>
      </c>
      <c r="U60" s="388">
        <v>15.90657</v>
      </c>
      <c r="V60" s="388">
        <v>-3.1941130000000002E-4</v>
      </c>
      <c r="W60" s="388">
        <v>0.14695030000000001</v>
      </c>
      <c r="X60" s="388">
        <v>1.017784</v>
      </c>
      <c r="Y60" s="388">
        <v>-2.6653210000000001</v>
      </c>
      <c r="Z60" s="388">
        <v>3.5898659999999998</v>
      </c>
      <c r="AA60" s="502">
        <v>1</v>
      </c>
      <c r="AC60" s="388" t="str">
        <f t="shared" si="5"/>
        <v>Se6</v>
      </c>
      <c r="AD60" s="507" t="str">
        <f>Таблица3[[#This Row],[Вещество]]</f>
        <v>Se6</v>
      </c>
      <c r="AE60" s="507">
        <f>IF(B56=Таблица3[[#This Row],[Фаза]],0,2)</f>
        <v>0</v>
      </c>
      <c r="AF60" s="507">
        <f>IF(C56=Таблица3[[#This Row],[To]],0,IF(ABS((C56-Таблица3[[#This Row],[To]])/(C56+Таблица3[[#This Row],[To]]))&lt;0.01,1,2))</f>
        <v>0</v>
      </c>
      <c r="AG60" s="507">
        <f>IF(D56=Таблица3[[#This Row],[T]],0,IF(ABS((D56-Таблица3[[#This Row],[T]])/(D56+Таблица3[[#This Row],[T]]))&lt;0.01,1,2))</f>
        <v>0</v>
      </c>
      <c r="AH60" s="507">
        <f>IF(E56=Таблица3[[#This Row],[ho]],0,IF(ABS((E56-Таблица3[[#This Row],[ho]])/(E56+Таблица3[[#This Row],[ho]]))&lt;0.01,1,2))</f>
        <v>0</v>
      </c>
      <c r="AI60" s="507">
        <f>IF(F56=Таблица3[[#This Row],[ф1]],0,IF(ABS((F56-Таблица3[[#This Row],[ф1]])/(F56+Таблица3[[#This Row],[ф1]]))&lt;0.01,1,2))</f>
        <v>0</v>
      </c>
      <c r="AJ60" s="507">
        <f>IF(G56=Таблица3[[#This Row],[ф2 *lnX]],0,IF(ABS((G56-Таблица3[[#This Row],[ф2 *lnX]])/(G56+Таблица3[[#This Row],[ф2 *lnX]]))&lt;0.01,1,2))</f>
        <v>0</v>
      </c>
      <c r="AK60" s="507">
        <f>IF(H56=Таблица3[[#This Row],[ф3 *X^(-2)]],0,IF(ABS((H56-Таблица3[[#This Row],[ф3 *X^(-2)]])/(H56+Таблица3[[#This Row],[ф3 *X^(-2)]]))&lt;0.01,1,2))</f>
        <v>0</v>
      </c>
      <c r="AL60" s="507">
        <f>IF(I56=Таблица3[[#This Row],[ф4 *X^(-1)]],0,IF(ABS((I56-Таблица3[[#This Row],[ф4 *X^(-1)]])/(I56+Таблица3[[#This Row],[ф4 *X^(-1)]]))&lt;0.01,1,2))</f>
        <v>0</v>
      </c>
      <c r="AM60" s="507">
        <f>IF(J56=Таблица3[[#This Row],[ф5 *X]],0,IF(ABS((J56-Таблица3[[#This Row],[ф5 *X]])/(J56+Таблица3[[#This Row],[ф5 *X]]))&lt;0.01,1,2))</f>
        <v>0</v>
      </c>
      <c r="AN60" s="507">
        <f>IF(K56=Таблица3[[#This Row],[ф6 *X^2]],0,IF(ABS((K56-Таблица3[[#This Row],[ф6 *X^2]])/(K56+Таблица3[[#This Row],[ф6 *X^2]]))&lt;0.01,1,2))</f>
        <v>0</v>
      </c>
      <c r="AO60" s="507">
        <f>IF(L56=Таблица3[[#This Row],[ф7 *Х^3]],0,IF(ABS((L56-Таблица3[[#This Row],[ф7 *Х^3]])/(L56+Таблица3[[#This Row],[ф7 *Х^3]]))&lt;0.01,1,2))</f>
        <v>0</v>
      </c>
    </row>
    <row r="61" spans="1:41" ht="21.75" thickBot="1" x14ac:dyDescent="0.4">
      <c r="A61" s="388" t="s">
        <v>106</v>
      </c>
      <c r="B61" s="388" t="s">
        <v>65</v>
      </c>
      <c r="C61" s="513">
        <v>1500</v>
      </c>
      <c r="D61" s="513">
        <v>6000</v>
      </c>
      <c r="E61" s="514">
        <v>1.4184099999999999</v>
      </c>
      <c r="F61" s="514">
        <v>118.80549999999999</v>
      </c>
      <c r="G61" s="514">
        <v>22.001380000000001</v>
      </c>
      <c r="H61" s="514">
        <v>-5.2171050000000005E-4</v>
      </c>
      <c r="I61" s="514">
        <v>0.21207509999999999</v>
      </c>
      <c r="J61" s="514">
        <v>-2.09779E-3</v>
      </c>
      <c r="K61" s="514">
        <v>1.840469E-3</v>
      </c>
      <c r="L61" s="514">
        <v>-7.697003E-4</v>
      </c>
      <c r="M61" s="522">
        <f t="shared" si="4"/>
        <v>1</v>
      </c>
      <c r="O61" s="388" t="s">
        <v>104</v>
      </c>
      <c r="P61" s="388" t="s">
        <v>65</v>
      </c>
      <c r="Q61" s="513">
        <v>1500</v>
      </c>
      <c r="R61" s="513">
        <v>6000</v>
      </c>
      <c r="S61" s="388">
        <v>1.310376</v>
      </c>
      <c r="T61" s="388">
        <v>92.335269999999994</v>
      </c>
      <c r="U61" s="388">
        <v>15.99952</v>
      </c>
      <c r="V61" s="388">
        <v>-3.5474159999999999E-4</v>
      </c>
      <c r="W61" s="388">
        <v>0.151062</v>
      </c>
      <c r="X61" s="388">
        <v>3.4559289999999999E-3</v>
      </c>
      <c r="Y61" s="388">
        <v>-2.5853989999999999E-3</v>
      </c>
      <c r="Z61" s="388">
        <v>9.828650999999999E-4</v>
      </c>
      <c r="AA61" s="502">
        <v>1</v>
      </c>
      <c r="AC61" s="388" t="str">
        <f t="shared" si="5"/>
        <v>Se6</v>
      </c>
      <c r="AD61" s="507" t="str">
        <f>Таблица3[[#This Row],[Вещество]]</f>
        <v>Se6</v>
      </c>
      <c r="AE61" s="507">
        <f>IF(B57=Таблица3[[#This Row],[Фаза]],0,2)</f>
        <v>0</v>
      </c>
      <c r="AF61" s="507">
        <f>IF(C57=Таблица3[[#This Row],[To]],0,IF(ABS((C57-Таблица3[[#This Row],[To]])/(C57+Таблица3[[#This Row],[To]]))&lt;0.01,1,2))</f>
        <v>0</v>
      </c>
      <c r="AG61" s="507">
        <f>IF(D57=Таблица3[[#This Row],[T]],0,IF(ABS((D57-Таблица3[[#This Row],[T]])/(D57+Таблица3[[#This Row],[T]]))&lt;0.01,1,2))</f>
        <v>0</v>
      </c>
      <c r="AH61" s="507">
        <f>IF(E57=Таблица3[[#This Row],[ho]],0,IF(ABS((E57-Таблица3[[#This Row],[ho]])/(E57+Таблица3[[#This Row],[ho]]))&lt;0.01,1,2))</f>
        <v>0</v>
      </c>
      <c r="AI61" s="507">
        <f>IF(F57=Таблица3[[#This Row],[ф1]],0,IF(ABS((F57-Таблица3[[#This Row],[ф1]])/(F57+Таблица3[[#This Row],[ф1]]))&lt;0.01,1,2))</f>
        <v>0</v>
      </c>
      <c r="AJ61" s="507">
        <f>IF(G57=Таблица3[[#This Row],[ф2 *lnX]],0,IF(ABS((G57-Таблица3[[#This Row],[ф2 *lnX]])/(G57+Таблица3[[#This Row],[ф2 *lnX]]))&lt;0.01,1,2))</f>
        <v>0</v>
      </c>
      <c r="AK61" s="507">
        <f>IF(H57=Таблица3[[#This Row],[ф3 *X^(-2)]],0,IF(ABS((H57-Таблица3[[#This Row],[ф3 *X^(-2)]])/(H57+Таблица3[[#This Row],[ф3 *X^(-2)]]))&lt;0.01,1,2))</f>
        <v>0</v>
      </c>
      <c r="AL61" s="507">
        <f>IF(I57=Таблица3[[#This Row],[ф4 *X^(-1)]],0,IF(ABS((I57-Таблица3[[#This Row],[ф4 *X^(-1)]])/(I57+Таблица3[[#This Row],[ф4 *X^(-1)]]))&lt;0.01,1,2))</f>
        <v>0</v>
      </c>
      <c r="AM61" s="507">
        <f>IF(J57=Таблица3[[#This Row],[ф5 *X]],0,IF(ABS((J57-Таблица3[[#This Row],[ф5 *X]])/(J57+Таблица3[[#This Row],[ф5 *X]]))&lt;0.01,1,2))</f>
        <v>0</v>
      </c>
      <c r="AN61" s="507">
        <f>IF(K57=Таблица3[[#This Row],[ф6 *X^2]],0,IF(ABS((K57-Таблица3[[#This Row],[ф6 *X^2]])/(K57+Таблица3[[#This Row],[ф6 *X^2]]))&lt;0.01,1,2))</f>
        <v>0</v>
      </c>
      <c r="AO61" s="507">
        <f>IF(L57=Таблица3[[#This Row],[ф7 *Х^3]],0,IF(ABS((L57-Таблица3[[#This Row],[ф7 *Х^3]])/(L57+Таблица3[[#This Row],[ф7 *Х^3]]))&lt;0.01,1,2))</f>
        <v>0</v>
      </c>
    </row>
    <row r="62" spans="1:41" x14ac:dyDescent="0.35">
      <c r="O62" s="388" t="s">
        <v>105</v>
      </c>
      <c r="P62" s="388" t="s">
        <v>65</v>
      </c>
      <c r="Q62" s="513">
        <v>298.14999999999998</v>
      </c>
      <c r="R62" s="513">
        <v>1500</v>
      </c>
      <c r="S62" s="388">
        <v>1.3764209999999999</v>
      </c>
      <c r="T62" s="388">
        <v>106.2873</v>
      </c>
      <c r="U62" s="388">
        <v>18.87481</v>
      </c>
      <c r="V62" s="388">
        <v>-3.9471889999999999E-4</v>
      </c>
      <c r="W62" s="388">
        <v>0.18061250000000001</v>
      </c>
      <c r="X62" s="388">
        <v>1.363551</v>
      </c>
      <c r="Y62" s="388">
        <v>-3.5720109999999998</v>
      </c>
      <c r="Z62" s="388">
        <v>4.8116719999999997</v>
      </c>
      <c r="AA62" s="502">
        <v>1</v>
      </c>
      <c r="AC62" s="388" t="str">
        <f t="shared" si="5"/>
        <v>Se7</v>
      </c>
      <c r="AD62" s="507" t="str">
        <f>Таблица3[[#This Row],[Вещество]]</f>
        <v>Se7</v>
      </c>
      <c r="AE62" s="507">
        <f>IF(B58=Таблица3[[#This Row],[Фаза]],0,2)</f>
        <v>0</v>
      </c>
      <c r="AF62" s="507">
        <f>IF(C58=Таблица3[[#This Row],[To]],0,IF(ABS((C58-Таблица3[[#This Row],[To]])/(C58+Таблица3[[#This Row],[To]]))&lt;0.01,1,2))</f>
        <v>0</v>
      </c>
      <c r="AG62" s="507">
        <f>IF(D58=Таблица3[[#This Row],[T]],0,IF(ABS((D58-Таблица3[[#This Row],[T]])/(D58+Таблица3[[#This Row],[T]]))&lt;0.01,1,2))</f>
        <v>0</v>
      </c>
      <c r="AH62" s="507">
        <f>IF(E58=Таблица3[[#This Row],[ho]],0,IF(ABS((E58-Таблица3[[#This Row],[ho]])/(E58+Таблица3[[#This Row],[ho]]))&lt;0.01,1,2))</f>
        <v>0</v>
      </c>
      <c r="AI62" s="507">
        <f>IF(F58=Таблица3[[#This Row],[ф1]],0,IF(ABS((F58-Таблица3[[#This Row],[ф1]])/(F58+Таблица3[[#This Row],[ф1]]))&lt;0.01,1,2))</f>
        <v>0</v>
      </c>
      <c r="AJ62" s="507">
        <f>IF(G58=Таблица3[[#This Row],[ф2 *lnX]],0,IF(ABS((G58-Таблица3[[#This Row],[ф2 *lnX]])/(G58+Таблица3[[#This Row],[ф2 *lnX]]))&lt;0.01,1,2))</f>
        <v>0</v>
      </c>
      <c r="AK62" s="507">
        <f>IF(H58=Таблица3[[#This Row],[ф3 *X^(-2)]],0,IF(ABS((H58-Таблица3[[#This Row],[ф3 *X^(-2)]])/(H58+Таблица3[[#This Row],[ф3 *X^(-2)]]))&lt;0.01,1,2))</f>
        <v>0</v>
      </c>
      <c r="AL62" s="507">
        <f>IF(I58=Таблица3[[#This Row],[ф4 *X^(-1)]],0,IF(ABS((I58-Таблица3[[#This Row],[ф4 *X^(-1)]])/(I58+Таблица3[[#This Row],[ф4 *X^(-1)]]))&lt;0.01,1,2))</f>
        <v>0</v>
      </c>
      <c r="AM62" s="507">
        <f>IF(J58=Таблица3[[#This Row],[ф5 *X]],0,IF(ABS((J58-Таблица3[[#This Row],[ф5 *X]])/(J58+Таблица3[[#This Row],[ф5 *X]]))&lt;0.01,1,2))</f>
        <v>0</v>
      </c>
      <c r="AN62" s="507">
        <f>IF(K58=Таблица3[[#This Row],[ф6 *X^2]],0,IF(ABS((K58-Таблица3[[#This Row],[ф6 *X^2]])/(K58+Таблица3[[#This Row],[ф6 *X^2]]))&lt;0.01,1,2))</f>
        <v>0</v>
      </c>
      <c r="AO62" s="507">
        <f>IF(L58=Таблица3[[#This Row],[ф7 *Х^3]],0,IF(ABS((L58-Таблица3[[#This Row],[ф7 *Х^3]])/(L58+Таблица3[[#This Row],[ф7 *Х^3]]))&lt;0.01,1,2))</f>
        <v>0</v>
      </c>
    </row>
    <row r="63" spans="1:41" x14ac:dyDescent="0.35">
      <c r="O63" s="388" t="s">
        <v>105</v>
      </c>
      <c r="P63" s="388" t="s">
        <v>65</v>
      </c>
      <c r="Q63" s="513">
        <v>1500</v>
      </c>
      <c r="R63" s="513">
        <v>6000</v>
      </c>
      <c r="S63" s="388">
        <v>1.3764209999999999</v>
      </c>
      <c r="T63" s="388">
        <v>106.6301</v>
      </c>
      <c r="U63" s="388">
        <v>19.000219999999999</v>
      </c>
      <c r="V63" s="388">
        <v>-4.455711E-4</v>
      </c>
      <c r="W63" s="388">
        <v>0.18625030000000001</v>
      </c>
      <c r="X63" s="388">
        <v>1.466539E-3</v>
      </c>
      <c r="Y63" s="388">
        <v>-9.910276E-4</v>
      </c>
      <c r="Z63" s="388">
        <v>3.4599259999999998E-4</v>
      </c>
      <c r="AA63" s="502">
        <v>1</v>
      </c>
      <c r="AC63" s="388" t="str">
        <f t="shared" si="5"/>
        <v>Se7</v>
      </c>
      <c r="AD63" s="507" t="str">
        <f>Таблица3[[#This Row],[Вещество]]</f>
        <v>Se7</v>
      </c>
      <c r="AE63" s="507">
        <f>IF(B59=Таблица3[[#This Row],[Фаза]],0,2)</f>
        <v>0</v>
      </c>
      <c r="AF63" s="507">
        <f>IF(C59=Таблица3[[#This Row],[To]],0,IF(ABS((C59-Таблица3[[#This Row],[To]])/(C59+Таблица3[[#This Row],[To]]))&lt;0.01,1,2))</f>
        <v>0</v>
      </c>
      <c r="AG63" s="507">
        <f>IF(D59=Таблица3[[#This Row],[T]],0,IF(ABS((D59-Таблица3[[#This Row],[T]])/(D59+Таблица3[[#This Row],[T]]))&lt;0.01,1,2))</f>
        <v>0</v>
      </c>
      <c r="AH63" s="507">
        <f>IF(E59=Таблица3[[#This Row],[ho]],0,IF(ABS((E59-Таблица3[[#This Row],[ho]])/(E59+Таблица3[[#This Row],[ho]]))&lt;0.01,1,2))</f>
        <v>0</v>
      </c>
      <c r="AI63" s="507">
        <f>IF(F59=Таблица3[[#This Row],[ф1]],0,IF(ABS((F59-Таблица3[[#This Row],[ф1]])/(F59+Таблица3[[#This Row],[ф1]]))&lt;0.01,1,2))</f>
        <v>0</v>
      </c>
      <c r="AJ63" s="507">
        <f>IF(G59=Таблица3[[#This Row],[ф2 *lnX]],0,IF(ABS((G59-Таблица3[[#This Row],[ф2 *lnX]])/(G59+Таблица3[[#This Row],[ф2 *lnX]]))&lt;0.01,1,2))</f>
        <v>0</v>
      </c>
      <c r="AK63" s="507">
        <f>IF(H59=Таблица3[[#This Row],[ф3 *X^(-2)]],0,IF(ABS((H59-Таблица3[[#This Row],[ф3 *X^(-2)]])/(H59+Таблица3[[#This Row],[ф3 *X^(-2)]]))&lt;0.01,1,2))</f>
        <v>0</v>
      </c>
      <c r="AL63" s="507">
        <f>IF(I59=Таблица3[[#This Row],[ф4 *X^(-1)]],0,IF(ABS((I59-Таблица3[[#This Row],[ф4 *X^(-1)]])/(I59+Таблица3[[#This Row],[ф4 *X^(-1)]]))&lt;0.01,1,2))</f>
        <v>0</v>
      </c>
      <c r="AM63" s="507">
        <f>IF(J59=Таблица3[[#This Row],[ф5 *X]],0,IF(ABS((J59-Таблица3[[#This Row],[ф5 *X]])/(J59+Таблица3[[#This Row],[ф5 *X]]))&lt;0.01,1,2))</f>
        <v>0</v>
      </c>
      <c r="AN63" s="507">
        <f>IF(K59=Таблица3[[#This Row],[ф6 *X^2]],0,IF(ABS((K59-Таблица3[[#This Row],[ф6 *X^2]])/(K59+Таблица3[[#This Row],[ф6 *X^2]]))&lt;0.01,1,2))</f>
        <v>0</v>
      </c>
      <c r="AO63" s="507">
        <f>IF(L59=Таблица3[[#This Row],[ф7 *Х^3]],0,IF(ABS((L59-Таблица3[[#This Row],[ф7 *Х^3]])/(L59+Таблица3[[#This Row],[ф7 *Х^3]]))&lt;0.01,1,2))</f>
        <v>0</v>
      </c>
    </row>
    <row r="64" spans="1:41" x14ac:dyDescent="0.35">
      <c r="O64" s="388" t="s">
        <v>106</v>
      </c>
      <c r="P64" s="388" t="s">
        <v>65</v>
      </c>
      <c r="Q64" s="513">
        <v>298.14999999999998</v>
      </c>
      <c r="R64" s="513">
        <v>1500</v>
      </c>
      <c r="S64" s="388">
        <v>1.4184099999999999</v>
      </c>
      <c r="T64" s="388">
        <v>118.3836</v>
      </c>
      <c r="U64" s="388">
        <v>21.846499999999999</v>
      </c>
      <c r="V64" s="388">
        <v>-4.55196E-4</v>
      </c>
      <c r="W64" s="388">
        <v>0.2049985</v>
      </c>
      <c r="X64" s="388">
        <v>1.669807</v>
      </c>
      <c r="Y64" s="388">
        <v>-4.3705270000000001</v>
      </c>
      <c r="Z64" s="388">
        <v>5.8827660000000002</v>
      </c>
      <c r="AA64" s="502">
        <v>1</v>
      </c>
      <c r="AC64" s="388" t="str">
        <f t="shared" si="5"/>
        <v>Se8</v>
      </c>
      <c r="AD64" s="507" t="str">
        <f>Таблица3[[#This Row],[Вещество]]</f>
        <v>Se8</v>
      </c>
      <c r="AE64" s="507">
        <f>IF(B60=Таблица3[[#This Row],[Фаза]],0,2)</f>
        <v>0</v>
      </c>
      <c r="AF64" s="507">
        <f>IF(C60=Таблица3[[#This Row],[To]],0,IF(ABS((C60-Таблица3[[#This Row],[To]])/(C60+Таблица3[[#This Row],[To]]))&lt;0.01,1,2))</f>
        <v>0</v>
      </c>
      <c r="AG64" s="507">
        <f>IF(D60=Таблица3[[#This Row],[T]],0,IF(ABS((D60-Таблица3[[#This Row],[T]])/(D60+Таблица3[[#This Row],[T]]))&lt;0.01,1,2))</f>
        <v>0</v>
      </c>
      <c r="AH64" s="507">
        <f>IF(E60=Таблица3[[#This Row],[ho]],0,IF(ABS((E60-Таблица3[[#This Row],[ho]])/(E60+Таблица3[[#This Row],[ho]]))&lt;0.01,1,2))</f>
        <v>0</v>
      </c>
      <c r="AI64" s="507">
        <f>IF(F60=Таблица3[[#This Row],[ф1]],0,IF(ABS((F60-Таблица3[[#This Row],[ф1]])/(F60+Таблица3[[#This Row],[ф1]]))&lt;0.01,1,2))</f>
        <v>0</v>
      </c>
      <c r="AJ64" s="507">
        <f>IF(G60=Таблица3[[#This Row],[ф2 *lnX]],0,IF(ABS((G60-Таблица3[[#This Row],[ф2 *lnX]])/(G60+Таблица3[[#This Row],[ф2 *lnX]]))&lt;0.01,1,2))</f>
        <v>0</v>
      </c>
      <c r="AK64" s="507">
        <f>IF(H60=Таблица3[[#This Row],[ф3 *X^(-2)]],0,IF(ABS((H60-Таблица3[[#This Row],[ф3 *X^(-2)]])/(H60+Таблица3[[#This Row],[ф3 *X^(-2)]]))&lt;0.01,1,2))</f>
        <v>0</v>
      </c>
      <c r="AL64" s="507">
        <f>IF(I60=Таблица3[[#This Row],[ф4 *X^(-1)]],0,IF(ABS((I60-Таблица3[[#This Row],[ф4 *X^(-1)]])/(I60+Таблица3[[#This Row],[ф4 *X^(-1)]]))&lt;0.01,1,2))</f>
        <v>0</v>
      </c>
      <c r="AM64" s="507">
        <f>IF(J60=Таблица3[[#This Row],[ф5 *X]],0,IF(ABS((J60-Таблица3[[#This Row],[ф5 *X]])/(J60+Таблица3[[#This Row],[ф5 *X]]))&lt;0.01,1,2))</f>
        <v>0</v>
      </c>
      <c r="AN64" s="507">
        <f>IF(K60=Таблица3[[#This Row],[ф6 *X^2]],0,IF(ABS((K60-Таблица3[[#This Row],[ф6 *X^2]])/(K60+Таблица3[[#This Row],[ф6 *X^2]]))&lt;0.01,1,2))</f>
        <v>0</v>
      </c>
      <c r="AO64" s="507">
        <f>IF(L60=Таблица3[[#This Row],[ф7 *Х^3]],0,IF(ABS((L60-Таблица3[[#This Row],[ф7 *Х^3]])/(L60+Таблица3[[#This Row],[ф7 *Х^3]]))&lt;0.01,1,2))</f>
        <v>0</v>
      </c>
    </row>
    <row r="65" spans="4:41" x14ac:dyDescent="0.35">
      <c r="O65" s="388" t="s">
        <v>106</v>
      </c>
      <c r="P65" s="388" t="s">
        <v>65</v>
      </c>
      <c r="Q65" s="513">
        <v>1500</v>
      </c>
      <c r="R65" s="513">
        <v>6000</v>
      </c>
      <c r="S65" s="388">
        <v>1.4184099999999999</v>
      </c>
      <c r="T65" s="388">
        <v>118.80549999999999</v>
      </c>
      <c r="U65" s="388">
        <v>22.001380000000001</v>
      </c>
      <c r="V65" s="388">
        <v>-5.2171050000000005E-4</v>
      </c>
      <c r="W65" s="388">
        <v>0.21207509999999999</v>
      </c>
      <c r="X65" s="388">
        <v>-2.09779E-3</v>
      </c>
      <c r="Y65" s="388">
        <v>1.840469E-3</v>
      </c>
      <c r="Z65" s="388">
        <v>-7.697003E-4</v>
      </c>
      <c r="AA65" s="502">
        <v>1</v>
      </c>
      <c r="AC65" s="388" t="str">
        <f>A61</f>
        <v>Se8</v>
      </c>
      <c r="AD65" s="507" t="str">
        <f>Таблица3[[#This Row],[Вещество]]</f>
        <v>Se8</v>
      </c>
      <c r="AE65" s="507">
        <f>IF(B61=Таблица3[[#This Row],[Фаза]],0,2)</f>
        <v>0</v>
      </c>
      <c r="AF65" s="507">
        <f>IF(C61=Таблица3[[#This Row],[To]],0,IF(ABS((C61-Таблица3[[#This Row],[To]])/(C61+Таблица3[[#This Row],[To]]))&lt;0.01,1,2))</f>
        <v>0</v>
      </c>
      <c r="AG65" s="507">
        <f>IF(D61=Таблица3[[#This Row],[T]],0,IF(ABS((D61-Таблица3[[#This Row],[T]])/(D61+Таблица3[[#This Row],[T]]))&lt;0.01,1,2))</f>
        <v>0</v>
      </c>
      <c r="AH65" s="507">
        <f>IF(E61=Таблица3[[#This Row],[ho]],0,IF(ABS((E61-Таблица3[[#This Row],[ho]])/(E61+Таблица3[[#This Row],[ho]]))&lt;0.01,1,2))</f>
        <v>0</v>
      </c>
      <c r="AI65" s="507">
        <f>IF(F61=Таблица3[[#This Row],[ф1]],0,IF(ABS((F61-Таблица3[[#This Row],[ф1]])/(F61+Таблица3[[#This Row],[ф1]]))&lt;0.01,1,2))</f>
        <v>0</v>
      </c>
      <c r="AJ65" s="507">
        <f>IF(G61=Таблица3[[#This Row],[ф2 *lnX]],0,IF(ABS((G61-Таблица3[[#This Row],[ф2 *lnX]])/(G61+Таблица3[[#This Row],[ф2 *lnX]]))&lt;0.01,1,2))</f>
        <v>0</v>
      </c>
      <c r="AK65" s="507">
        <f>IF(H61=Таблица3[[#This Row],[ф3 *X^(-2)]],0,IF(ABS((H61-Таблица3[[#This Row],[ф3 *X^(-2)]])/(H61+Таблица3[[#This Row],[ф3 *X^(-2)]]))&lt;0.01,1,2))</f>
        <v>0</v>
      </c>
      <c r="AL65" s="507">
        <f>IF(I61=Таблица3[[#This Row],[ф4 *X^(-1)]],0,IF(ABS((I61-Таблица3[[#This Row],[ф4 *X^(-1)]])/(I61+Таблица3[[#This Row],[ф4 *X^(-1)]]))&lt;0.01,1,2))</f>
        <v>0</v>
      </c>
      <c r="AM65" s="507">
        <f>IF(J61=Таблица3[[#This Row],[ф5 *X]],0,IF(ABS((J61-Таблица3[[#This Row],[ф5 *X]])/(J61+Таблица3[[#This Row],[ф5 *X]]))&lt;0.01,1,2))</f>
        <v>0</v>
      </c>
      <c r="AN65" s="507">
        <f>IF(K61=Таблица3[[#This Row],[ф6 *X^2]],0,IF(ABS((K61-Таблица3[[#This Row],[ф6 *X^2]])/(K61+Таблица3[[#This Row],[ф6 *X^2]]))&lt;0.01,1,2))</f>
        <v>0</v>
      </c>
      <c r="AO65" s="507">
        <f>IF(L61=Таблица3[[#This Row],[ф7 *Х^3]],0,IF(ABS((L61-Таблица3[[#This Row],[ф7 *Х^3]])/(L61+Таблица3[[#This Row],[ф7 *Х^3]]))&lt;0.01,1,2))</f>
        <v>0</v>
      </c>
    </row>
    <row r="66" spans="4:41" x14ac:dyDescent="0.35">
      <c r="D66" s="512"/>
    </row>
  </sheetData>
  <mergeCells count="2">
    <mergeCell ref="A1:L1"/>
    <mergeCell ref="O1:Z1"/>
  </mergeCells>
  <phoneticPr fontId="25" type="noConversion"/>
  <conditionalFormatting sqref="AD44:AO1048576 AD43 AD12:AO42 AD3:AO3 AE10:AO10 AE8:AO8 AD4:AD11 AE3:AO6">
    <cfRule type="expression" dxfId="7" priority="4">
      <formula>AD3=2</formula>
    </cfRule>
    <cfRule type="expression" dxfId="6" priority="5">
      <formula>AD3=1</formula>
    </cfRule>
  </conditionalFormatting>
  <conditionalFormatting sqref="AA1:AA71">
    <cfRule type="expression" dxfId="5" priority="3">
      <formula>AA1=1</formula>
    </cfRule>
  </conditionalFormatting>
  <conditionalFormatting sqref="M1:M1048576">
    <cfRule type="expression" dxfId="4" priority="1">
      <formula>M1=1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9"/>
  <dimension ref="A1:Z279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F8" sqref="F8:N9"/>
    </sheetView>
  </sheetViews>
  <sheetFormatPr defaultRowHeight="23.25" outlineLevelCol="1" x14ac:dyDescent="0.35"/>
  <cols>
    <col min="1" max="1" width="10.26953125" style="193" bestFit="1" customWidth="1"/>
    <col min="2" max="2" width="1.6328125" style="193" customWidth="1"/>
    <col min="3" max="3" width="11.7265625" style="130" customWidth="1"/>
    <col min="4" max="4" width="2.90625" customWidth="1"/>
    <col min="5" max="6" width="8.81640625" bestFit="1" customWidth="1"/>
    <col min="7" max="9" width="11.81640625" customWidth="1" outlineLevel="1"/>
    <col min="10" max="10" width="11.36328125" customWidth="1" outlineLevel="1"/>
    <col min="11" max="14" width="11.81640625" customWidth="1" outlineLevel="1"/>
    <col min="15" max="15" width="3" style="307" customWidth="1"/>
    <col min="16" max="16" width="6.453125" customWidth="1"/>
    <col min="17" max="17" width="10.1796875" bestFit="1" customWidth="1"/>
    <col min="18" max="19" width="10.54296875" bestFit="1" customWidth="1"/>
    <col min="20" max="21" width="11.1796875" bestFit="1" customWidth="1"/>
    <col min="22" max="22" width="10.54296875" bestFit="1" customWidth="1"/>
    <col min="23" max="23" width="11.1796875" bestFit="1" customWidth="1"/>
  </cols>
  <sheetData>
    <row r="1" spans="1:16" ht="22.5" thickTop="1" thickBot="1" x14ac:dyDescent="0.4">
      <c r="A1"/>
      <c r="B1" s="192"/>
      <c r="C1" s="428" t="s">
        <v>117</v>
      </c>
      <c r="D1" s="428" t="s">
        <v>108</v>
      </c>
      <c r="E1" s="428" t="s">
        <v>84</v>
      </c>
      <c r="F1" s="428" t="s">
        <v>86</v>
      </c>
      <c r="G1" s="429" t="s">
        <v>41</v>
      </c>
      <c r="H1" s="429" t="s">
        <v>42</v>
      </c>
      <c r="I1" s="429" t="s">
        <v>43</v>
      </c>
      <c r="J1" s="429" t="s">
        <v>44</v>
      </c>
      <c r="K1" s="429" t="s">
        <v>45</v>
      </c>
      <c r="L1" s="429" t="s">
        <v>46</v>
      </c>
      <c r="M1" s="429" t="s">
        <v>47</v>
      </c>
      <c r="N1" s="429" t="s">
        <v>48</v>
      </c>
      <c r="O1" s="430">
        <f>COUNTA(O2:O281)</f>
        <v>63</v>
      </c>
      <c r="P1" s="383" t="s">
        <v>118</v>
      </c>
    </row>
    <row r="2" spans="1:16" ht="24" thickTop="1" x14ac:dyDescent="0.35">
      <c r="A2"/>
      <c r="B2" s="192"/>
      <c r="C2" s="393" t="s">
        <v>75</v>
      </c>
      <c r="D2" s="394" t="s">
        <v>65</v>
      </c>
      <c r="E2" s="395">
        <v>298.14999999999998</v>
      </c>
      <c r="F2" s="396">
        <v>1500</v>
      </c>
      <c r="G2" s="397">
        <v>3.192504</v>
      </c>
      <c r="H2" s="397">
        <v>33.995229999999999</v>
      </c>
      <c r="I2" s="397">
        <v>5.1932309999999999</v>
      </c>
      <c r="J2" s="397">
        <v>-4.8091060000000002E-4</v>
      </c>
      <c r="K2" s="397">
        <v>9.1439489999999998E-2</v>
      </c>
      <c r="L2" s="397">
        <v>-21.466670000000001</v>
      </c>
      <c r="M2" s="397">
        <v>42.981879999999997</v>
      </c>
      <c r="N2" s="397">
        <v>-45.813839999999999</v>
      </c>
      <c r="O2" s="308">
        <v>1</v>
      </c>
      <c r="P2" s="360"/>
    </row>
    <row r="3" spans="1:16" x14ac:dyDescent="0.35">
      <c r="A3"/>
      <c r="B3" s="192"/>
      <c r="C3" s="398" t="s">
        <v>75</v>
      </c>
      <c r="D3" s="363" t="s">
        <v>65</v>
      </c>
      <c r="E3" s="302">
        <v>1500</v>
      </c>
      <c r="F3" s="303">
        <v>6000</v>
      </c>
      <c r="G3" s="399">
        <v>3.192504</v>
      </c>
      <c r="H3" s="399">
        <v>27.29757</v>
      </c>
      <c r="I3" s="399">
        <v>2.370241</v>
      </c>
      <c r="J3" s="399">
        <v>2.138671E-3</v>
      </c>
      <c r="K3" s="399">
        <v>-9.5885429999999994E-2</v>
      </c>
      <c r="L3" s="399">
        <v>0.51440149999999996</v>
      </c>
      <c r="M3" s="399">
        <v>-0.49555690000000002</v>
      </c>
      <c r="N3" s="399">
        <v>0.24712329999999999</v>
      </c>
      <c r="O3" s="309">
        <v>1</v>
      </c>
      <c r="P3" s="360"/>
    </row>
    <row r="4" spans="1:16" ht="24" thickBot="1" x14ac:dyDescent="0.4">
      <c r="A4"/>
      <c r="B4" s="192"/>
      <c r="C4" s="398" t="s">
        <v>75</v>
      </c>
      <c r="D4" s="363" t="s">
        <v>65</v>
      </c>
      <c r="E4" s="302">
        <v>6000</v>
      </c>
      <c r="F4" s="303">
        <v>10000</v>
      </c>
      <c r="G4" s="399">
        <v>3.192504</v>
      </c>
      <c r="H4" s="399">
        <v>31.29327</v>
      </c>
      <c r="I4" s="399">
        <v>7.3013729999999999</v>
      </c>
      <c r="J4" s="399">
        <v>-9.3193609999999996E-2</v>
      </c>
      <c r="K4" s="399">
        <v>1.4353830000000001</v>
      </c>
      <c r="L4" s="399">
        <v>-7.4299809999999997</v>
      </c>
      <c r="M4" s="399">
        <v>2.6981959999999998</v>
      </c>
      <c r="N4" s="399">
        <v>-0.43421900000000002</v>
      </c>
      <c r="O4" s="310">
        <v>1</v>
      </c>
      <c r="P4" s="360"/>
    </row>
    <row r="5" spans="1:16" x14ac:dyDescent="0.35">
      <c r="A5"/>
      <c r="B5" s="192"/>
      <c r="C5" s="441" t="s">
        <v>75</v>
      </c>
      <c r="D5" s="444" t="s">
        <v>61</v>
      </c>
      <c r="E5" s="404">
        <v>302.91000000000003</v>
      </c>
      <c r="F5" s="405">
        <v>700</v>
      </c>
      <c r="G5" s="406">
        <v>6.7231944193878151E-2</v>
      </c>
      <c r="H5" s="406">
        <v>15.161939633818086</v>
      </c>
      <c r="I5" s="406">
        <v>3.1356064706236091</v>
      </c>
      <c r="J5" s="406">
        <v>1.4228155631727706E-4</v>
      </c>
      <c r="K5" s="406">
        <v>8.3943884453347564E-2</v>
      </c>
      <c r="L5" s="406">
        <v>-0.18461723495098922</v>
      </c>
      <c r="M5" s="406">
        <v>0.49311443863130677</v>
      </c>
      <c r="N5" s="437">
        <v>0</v>
      </c>
      <c r="O5" s="455">
        <v>4</v>
      </c>
      <c r="P5" s="456">
        <v>0</v>
      </c>
    </row>
    <row r="6" spans="1:16" ht="24" thickBot="1" x14ac:dyDescent="0.4">
      <c r="A6"/>
      <c r="B6" s="192"/>
      <c r="C6" s="442" t="s">
        <v>75</v>
      </c>
      <c r="D6" s="398" t="s">
        <v>61</v>
      </c>
      <c r="E6" s="302">
        <v>303</v>
      </c>
      <c r="F6" s="303">
        <v>699.99990000000003</v>
      </c>
      <c r="G6" s="364">
        <v>0</v>
      </c>
      <c r="H6" s="364">
        <v>14.61</v>
      </c>
      <c r="I6" s="364">
        <v>2.9321999999999999</v>
      </c>
      <c r="J6" s="364">
        <v>1.8641999999999999E-4</v>
      </c>
      <c r="K6" s="364">
        <v>9.2508020000000007E-3</v>
      </c>
      <c r="L6" s="364">
        <v>1.3771</v>
      </c>
      <c r="M6" s="364">
        <v>0</v>
      </c>
      <c r="N6" s="438">
        <v>0</v>
      </c>
      <c r="O6" s="372">
        <v>2</v>
      </c>
      <c r="P6" s="301">
        <v>1</v>
      </c>
    </row>
    <row r="7" spans="1:16" ht="24" thickBot="1" x14ac:dyDescent="0.4">
      <c r="A7"/>
      <c r="B7" s="192"/>
      <c r="C7" s="443" t="s">
        <v>75</v>
      </c>
      <c r="D7" s="445" t="s">
        <v>61</v>
      </c>
      <c r="E7" s="446">
        <v>700</v>
      </c>
      <c r="F7" s="447">
        <v>4000</v>
      </c>
      <c r="G7" s="413">
        <v>6.7231944193878151E-2</v>
      </c>
      <c r="H7" s="413">
        <v>15.161231791276917</v>
      </c>
      <c r="I7" s="413">
        <v>3.1353659269950085</v>
      </c>
      <c r="J7" s="413">
        <v>1.4252209994587768E-4</v>
      </c>
      <c r="K7" s="413">
        <v>8.3930978142227303E-2</v>
      </c>
      <c r="L7" s="413">
        <v>-0.18100908052197964</v>
      </c>
      <c r="M7" s="413">
        <v>0.48309178743961351</v>
      </c>
      <c r="N7" s="440">
        <v>0</v>
      </c>
      <c r="O7" s="457">
        <v>4</v>
      </c>
      <c r="P7" s="456">
        <v>0</v>
      </c>
    </row>
    <row r="8" spans="1:16" ht="24" thickBot="1" x14ac:dyDescent="0.4">
      <c r="A8"/>
      <c r="B8" s="192"/>
      <c r="C8" s="402" t="s">
        <v>75</v>
      </c>
      <c r="D8" s="369" t="s">
        <v>69</v>
      </c>
      <c r="E8" s="304">
        <v>298.14999999999998</v>
      </c>
      <c r="F8" s="305">
        <v>302.92</v>
      </c>
      <c r="G8" s="370">
        <v>-6.7018670000000002E-2</v>
      </c>
      <c r="H8" s="370">
        <v>-1611406</v>
      </c>
      <c r="I8" s="370">
        <v>-370772.3</v>
      </c>
      <c r="J8" s="370">
        <v>0</v>
      </c>
      <c r="K8" s="370">
        <v>-2763.64</v>
      </c>
      <c r="L8" s="370">
        <v>18653810</v>
      </c>
      <c r="M8" s="370">
        <v>-208550600</v>
      </c>
      <c r="N8" s="370">
        <v>1165804000</v>
      </c>
      <c r="O8" s="373">
        <v>1</v>
      </c>
      <c r="P8" s="361" t="s">
        <v>119</v>
      </c>
    </row>
    <row r="9" spans="1:16" x14ac:dyDescent="0.35">
      <c r="A9"/>
      <c r="B9" s="192"/>
      <c r="C9" s="407" t="s">
        <v>75</v>
      </c>
      <c r="D9" s="403" t="s">
        <v>69</v>
      </c>
      <c r="E9" s="404">
        <v>298.14999999999998</v>
      </c>
      <c r="F9" s="405">
        <v>302.91000000000003</v>
      </c>
      <c r="G9" s="406">
        <v>0</v>
      </c>
      <c r="H9" s="406">
        <v>-158.39844524532509</v>
      </c>
      <c r="I9" s="406">
        <v>-46.311022911780618</v>
      </c>
      <c r="J9" s="406">
        <v>3.9413674905285946E-3</v>
      </c>
      <c r="K9" s="406">
        <v>-0.93301705784567912</v>
      </c>
      <c r="L9" s="406">
        <v>1042.105358109327</v>
      </c>
      <c r="M9" s="406">
        <v>-4041.5078076452774</v>
      </c>
      <c r="N9" s="406">
        <v>0</v>
      </c>
      <c r="O9" s="460">
        <v>4</v>
      </c>
      <c r="P9" s="300"/>
    </row>
    <row r="10" spans="1:16" ht="24" thickBot="1" x14ac:dyDescent="0.4">
      <c r="A10"/>
      <c r="B10" s="192"/>
      <c r="C10" s="402" t="s">
        <v>75</v>
      </c>
      <c r="D10" s="369" t="s">
        <v>69</v>
      </c>
      <c r="E10" s="304">
        <v>302.92</v>
      </c>
      <c r="F10" s="305">
        <v>4000</v>
      </c>
      <c r="G10" s="370">
        <v>-6.7018670000000002E-2</v>
      </c>
      <c r="H10" s="370">
        <v>15.167669999999999</v>
      </c>
      <c r="I10" s="370">
        <v>3.135516</v>
      </c>
      <c r="J10" s="370">
        <v>1.4234849999999999E-4</v>
      </c>
      <c r="K10" s="370">
        <v>-5.0186000000000001E-2</v>
      </c>
      <c r="L10" s="370">
        <v>-0.18101780000000001</v>
      </c>
      <c r="M10" s="370">
        <v>0.48311500000000002</v>
      </c>
      <c r="N10" s="370">
        <v>0</v>
      </c>
      <c r="O10" s="373">
        <v>1</v>
      </c>
      <c r="P10" s="361" t="s">
        <v>119</v>
      </c>
    </row>
    <row r="11" spans="1:16" x14ac:dyDescent="0.35">
      <c r="A11"/>
      <c r="B11" s="192"/>
      <c r="C11" s="393" t="s">
        <v>109</v>
      </c>
      <c r="D11" s="394" t="s">
        <v>65</v>
      </c>
      <c r="E11" s="395">
        <v>298.14999999999998</v>
      </c>
      <c r="F11" s="396">
        <v>1100</v>
      </c>
      <c r="G11" s="397">
        <v>5.2149859999999997</v>
      </c>
      <c r="H11" s="397">
        <v>41.701000000000001</v>
      </c>
      <c r="I11" s="397">
        <v>4.0561670000000003</v>
      </c>
      <c r="J11" s="397">
        <v>2.357301E-5</v>
      </c>
      <c r="K11" s="397">
        <v>0.12889</v>
      </c>
      <c r="L11" s="397">
        <v>11.272</v>
      </c>
      <c r="M11" s="397">
        <v>-9.1847989999999999</v>
      </c>
      <c r="N11" s="397">
        <v>0</v>
      </c>
      <c r="O11" s="432">
        <v>1</v>
      </c>
      <c r="P11" s="166"/>
    </row>
    <row r="12" spans="1:16" ht="24" thickBot="1" x14ac:dyDescent="0.4">
      <c r="A12"/>
      <c r="B12" s="191"/>
      <c r="C12" s="402" t="s">
        <v>109</v>
      </c>
      <c r="D12" s="369" t="s">
        <v>65</v>
      </c>
      <c r="E12" s="304">
        <v>1100</v>
      </c>
      <c r="F12" s="305">
        <v>2500</v>
      </c>
      <c r="G12" s="426">
        <v>5.2149859999999997</v>
      </c>
      <c r="H12" s="426">
        <v>43.677999999999997</v>
      </c>
      <c r="I12" s="426">
        <v>4.8509000000000002</v>
      </c>
      <c r="J12" s="426">
        <v>-3.7446989999999998E-4</v>
      </c>
      <c r="K12" s="426">
        <v>0.1716596</v>
      </c>
      <c r="L12" s="426">
        <v>5.0346000000000002</v>
      </c>
      <c r="M12" s="426">
        <v>-0.32273000000000002</v>
      </c>
      <c r="N12" s="426">
        <v>0</v>
      </c>
      <c r="O12" s="312">
        <v>1</v>
      </c>
      <c r="P12" s="166"/>
    </row>
    <row r="13" spans="1:16" ht="24" thickBot="1" x14ac:dyDescent="0.4">
      <c r="A13"/>
      <c r="B13" s="191"/>
      <c r="C13" s="427" t="s">
        <v>76</v>
      </c>
      <c r="D13" s="421" t="s">
        <v>65</v>
      </c>
      <c r="E13" s="422">
        <v>298.14999999999998</v>
      </c>
      <c r="F13" s="423">
        <v>2000</v>
      </c>
      <c r="G13" s="424">
        <v>1.157</v>
      </c>
      <c r="H13" s="424">
        <v>55.30301</v>
      </c>
      <c r="I13" s="424">
        <v>6.9866000000000001</v>
      </c>
      <c r="J13" s="424">
        <v>-1.7438999999999999E-4</v>
      </c>
      <c r="K13" s="424">
        <v>0.22003</v>
      </c>
      <c r="L13" s="424">
        <v>3.0068000000000001E-2</v>
      </c>
      <c r="M13" s="424">
        <v>0</v>
      </c>
      <c r="N13" s="424">
        <v>0</v>
      </c>
      <c r="O13" s="362">
        <v>1</v>
      </c>
      <c r="P13" s="301"/>
    </row>
    <row r="14" spans="1:16" ht="24" thickBot="1" x14ac:dyDescent="0.4">
      <c r="A14"/>
      <c r="B14" s="191"/>
      <c r="C14" s="416" t="s">
        <v>76</v>
      </c>
      <c r="D14" s="417" t="s">
        <v>69</v>
      </c>
      <c r="E14" s="418">
        <v>298.14999999999998</v>
      </c>
      <c r="F14" s="419">
        <v>398</v>
      </c>
      <c r="G14" s="414">
        <v>-2.2040892416862103</v>
      </c>
      <c r="H14" s="414">
        <v>13.586866317878405</v>
      </c>
      <c r="I14" s="414">
        <v>0</v>
      </c>
      <c r="J14" s="414">
        <v>0</v>
      </c>
      <c r="K14" s="414">
        <v>0</v>
      </c>
      <c r="L14" s="414">
        <v>0</v>
      </c>
      <c r="M14" s="414">
        <v>0</v>
      </c>
      <c r="N14" s="414">
        <v>0</v>
      </c>
      <c r="O14" s="461">
        <v>4</v>
      </c>
      <c r="P14" s="300"/>
    </row>
    <row r="15" spans="1:16" ht="24" thickBot="1" x14ac:dyDescent="0.4">
      <c r="A15"/>
      <c r="B15" s="191"/>
      <c r="C15" s="433" t="s">
        <v>77</v>
      </c>
      <c r="D15" s="421" t="s">
        <v>69</v>
      </c>
      <c r="E15" s="422">
        <v>150</v>
      </c>
      <c r="F15" s="423">
        <v>1278</v>
      </c>
      <c r="G15" s="434">
        <v>-4.9166999999999996</v>
      </c>
      <c r="H15" s="434">
        <v>52.323990000000002</v>
      </c>
      <c r="I15" s="434">
        <v>12.715999999999999</v>
      </c>
      <c r="J15" s="434">
        <v>0</v>
      </c>
      <c r="K15" s="434">
        <v>0.39800999999999997</v>
      </c>
      <c r="L15" s="434">
        <v>21.234000000000002</v>
      </c>
      <c r="M15" s="434">
        <v>0</v>
      </c>
      <c r="N15" s="434">
        <v>0</v>
      </c>
      <c r="O15" s="435">
        <v>2</v>
      </c>
      <c r="P15" s="301"/>
    </row>
    <row r="16" spans="1:16" x14ac:dyDescent="0.35">
      <c r="A16"/>
      <c r="B16" s="191"/>
      <c r="C16" s="393" t="s">
        <v>68</v>
      </c>
      <c r="D16" s="394" t="s">
        <v>65</v>
      </c>
      <c r="E16" s="395">
        <v>298.14999999999998</v>
      </c>
      <c r="F16" s="396">
        <v>1500</v>
      </c>
      <c r="G16" s="397">
        <v>4.3829390000000004</v>
      </c>
      <c r="H16" s="397">
        <v>34.862279999999998</v>
      </c>
      <c r="I16" s="397">
        <v>5.530119</v>
      </c>
      <c r="J16" s="397">
        <v>-3.3787839999999998E-4</v>
      </c>
      <c r="K16" s="397">
        <v>8.1663529999999998E-2</v>
      </c>
      <c r="L16" s="397">
        <v>-21.130780000000001</v>
      </c>
      <c r="M16" s="397">
        <v>36.52984</v>
      </c>
      <c r="N16" s="397">
        <v>-31.421589999999998</v>
      </c>
      <c r="O16" s="432">
        <v>1</v>
      </c>
      <c r="P16" s="166"/>
    </row>
    <row r="17" spans="1:26" x14ac:dyDescent="0.35">
      <c r="A17"/>
      <c r="B17" s="191"/>
      <c r="C17" s="398" t="s">
        <v>68</v>
      </c>
      <c r="D17" s="363" t="s">
        <v>65</v>
      </c>
      <c r="E17" s="302">
        <v>1500</v>
      </c>
      <c r="F17" s="303">
        <v>6000</v>
      </c>
      <c r="G17" s="399">
        <v>4.3829390000000004</v>
      </c>
      <c r="H17" s="399">
        <v>26.704419999999999</v>
      </c>
      <c r="I17" s="399">
        <v>1.8358589999999999</v>
      </c>
      <c r="J17" s="399">
        <v>3.9919220000000002E-3</v>
      </c>
      <c r="K17" s="399">
        <v>-0.2011674</v>
      </c>
      <c r="L17" s="399">
        <v>2.865237</v>
      </c>
      <c r="M17" s="399">
        <v>-1.920703</v>
      </c>
      <c r="N17" s="399">
        <v>0.6292025</v>
      </c>
      <c r="O17" s="311">
        <v>1</v>
      </c>
      <c r="P17" s="166"/>
    </row>
    <row r="18" spans="1:26" ht="24" thickBot="1" x14ac:dyDescent="0.4">
      <c r="A18"/>
      <c r="B18" s="191"/>
      <c r="C18" s="402" t="s">
        <v>68</v>
      </c>
      <c r="D18" s="369" t="s">
        <v>65</v>
      </c>
      <c r="E18" s="304">
        <v>6000</v>
      </c>
      <c r="F18" s="305">
        <v>10000</v>
      </c>
      <c r="G18" s="426">
        <v>4.3829390000000004</v>
      </c>
      <c r="H18" s="426">
        <v>30.185140000000001</v>
      </c>
      <c r="I18" s="426">
        <v>6.3430540000000004</v>
      </c>
      <c r="J18" s="426">
        <v>-9.5135109999999995E-2</v>
      </c>
      <c r="K18" s="426">
        <v>1.2754369999999999</v>
      </c>
      <c r="L18" s="426">
        <v>-4.2694150000000004</v>
      </c>
      <c r="M18" s="426">
        <v>1.041687</v>
      </c>
      <c r="N18" s="426">
        <v>-6.3588229999999996E-2</v>
      </c>
      <c r="O18" s="312">
        <v>1</v>
      </c>
      <c r="P18" s="166"/>
    </row>
    <row r="19" spans="1:26" ht="24" thickBot="1" x14ac:dyDescent="0.4">
      <c r="A19"/>
      <c r="B19" s="191"/>
      <c r="C19" s="427" t="s">
        <v>68</v>
      </c>
      <c r="D19" s="421" t="s">
        <v>61</v>
      </c>
      <c r="E19" s="422">
        <v>1211.4000000000001</v>
      </c>
      <c r="F19" s="423">
        <v>4900</v>
      </c>
      <c r="G19" s="434">
        <v>-5.5760690000000002E-2</v>
      </c>
      <c r="H19" s="434">
        <v>15.395060000000001</v>
      </c>
      <c r="I19" s="434">
        <v>3.319661</v>
      </c>
      <c r="J19" s="434">
        <v>0</v>
      </c>
      <c r="K19" s="434">
        <v>-0.38367639999999997</v>
      </c>
      <c r="L19" s="434">
        <v>0</v>
      </c>
      <c r="M19" s="434">
        <v>0</v>
      </c>
      <c r="N19" s="434">
        <v>0</v>
      </c>
      <c r="O19" s="458">
        <v>1</v>
      </c>
      <c r="P19" s="301"/>
    </row>
    <row r="20" spans="1:26" ht="24" thickBot="1" x14ac:dyDescent="0.4">
      <c r="A20"/>
      <c r="B20" s="191"/>
      <c r="C20" s="427" t="s">
        <v>68</v>
      </c>
      <c r="D20" s="421" t="s">
        <v>69</v>
      </c>
      <c r="E20" s="422">
        <v>298.14999999999998</v>
      </c>
      <c r="F20" s="423">
        <v>1211.4000000000001</v>
      </c>
      <c r="G20" s="434">
        <v>-5.5760690000000002E-2</v>
      </c>
      <c r="H20" s="434">
        <v>10.808619999999999</v>
      </c>
      <c r="I20" s="434">
        <v>2.898209</v>
      </c>
      <c r="J20" s="434">
        <v>-9.4357770000000004E-5</v>
      </c>
      <c r="K20" s="434">
        <v>3.8575789999999999E-2</v>
      </c>
      <c r="L20" s="434">
        <v>1.796346</v>
      </c>
      <c r="M20" s="434">
        <v>0</v>
      </c>
      <c r="N20" s="434">
        <v>0</v>
      </c>
      <c r="O20" s="362">
        <v>1</v>
      </c>
      <c r="P20" s="166"/>
    </row>
    <row r="21" spans="1:26" x14ac:dyDescent="0.35">
      <c r="A21"/>
      <c r="B21" s="191"/>
      <c r="C21" s="393" t="s">
        <v>107</v>
      </c>
      <c r="D21" s="394" t="s">
        <v>65</v>
      </c>
      <c r="E21" s="395">
        <v>298.14999999999998</v>
      </c>
      <c r="F21" s="396">
        <v>1500</v>
      </c>
      <c r="G21" s="397">
        <v>5.674709</v>
      </c>
      <c r="H21" s="397">
        <v>49.524940000000001</v>
      </c>
      <c r="I21" s="397">
        <v>7.0513279999999998</v>
      </c>
      <c r="J21" s="397">
        <v>-1.341195E-5</v>
      </c>
      <c r="K21" s="397">
        <v>5.245814E-2</v>
      </c>
      <c r="L21" s="397">
        <v>-24.580100000000002</v>
      </c>
      <c r="M21" s="397">
        <v>62.099780000000003</v>
      </c>
      <c r="N21" s="397">
        <v>-81.046109999999999</v>
      </c>
      <c r="O21" s="308">
        <v>1</v>
      </c>
      <c r="P21" s="360"/>
    </row>
    <row r="22" spans="1:26" ht="24" thickBot="1" x14ac:dyDescent="0.4">
      <c r="A22"/>
      <c r="B22" s="191"/>
      <c r="C22" s="402" t="s">
        <v>107</v>
      </c>
      <c r="D22" s="369" t="s">
        <v>65</v>
      </c>
      <c r="E22" s="304">
        <v>1500</v>
      </c>
      <c r="F22" s="305">
        <v>6000</v>
      </c>
      <c r="G22" s="426">
        <v>5.674709</v>
      </c>
      <c r="H22" s="426">
        <v>40.162990000000001</v>
      </c>
      <c r="I22" s="426">
        <v>2.7510140000000001</v>
      </c>
      <c r="J22" s="426">
        <v>7.8054969999999998E-3</v>
      </c>
      <c r="K22" s="426">
        <v>-0.32734089999999999</v>
      </c>
      <c r="L22" s="426">
        <v>6.01546</v>
      </c>
      <c r="M22" s="426">
        <v>-3.5431430000000002</v>
      </c>
      <c r="N22" s="426">
        <v>0.75900279999999998</v>
      </c>
      <c r="O22" s="310">
        <v>1</v>
      </c>
      <c r="P22" s="360"/>
    </row>
    <row r="23" spans="1:26" ht="24" thickBot="1" x14ac:dyDescent="0.4">
      <c r="A23"/>
      <c r="B23" s="191"/>
      <c r="C23" s="427" t="s">
        <v>87</v>
      </c>
      <c r="D23" s="421" t="s">
        <v>65</v>
      </c>
      <c r="E23" s="422">
        <v>298.14999999999998</v>
      </c>
      <c r="F23" s="423">
        <v>2000</v>
      </c>
      <c r="G23" s="424">
        <v>1.2677</v>
      </c>
      <c r="H23" s="424">
        <v>11.071</v>
      </c>
      <c r="I23" s="424">
        <v>4.4489000000000001</v>
      </c>
      <c r="J23" s="424">
        <v>-1.0823999999999999E-4</v>
      </c>
      <c r="K23" s="424">
        <v>0.13999</v>
      </c>
      <c r="L23" s="424">
        <v>0.10223</v>
      </c>
      <c r="M23" s="424">
        <v>0</v>
      </c>
      <c r="N23" s="424">
        <v>0</v>
      </c>
      <c r="O23" s="362">
        <v>1</v>
      </c>
      <c r="P23" s="166"/>
    </row>
    <row r="24" spans="1:26" ht="24" thickBot="1" x14ac:dyDescent="0.4">
      <c r="A24"/>
      <c r="B24" s="191"/>
      <c r="C24" s="402" t="s">
        <v>87</v>
      </c>
      <c r="D24" s="369" t="s">
        <v>69</v>
      </c>
      <c r="E24" s="304">
        <v>298.14999999999998</v>
      </c>
      <c r="F24" s="305">
        <v>947.99990000000003</v>
      </c>
      <c r="G24" s="370">
        <v>-0.82987549999999999</v>
      </c>
      <c r="H24" s="370">
        <v>22.446940000000001</v>
      </c>
      <c r="I24" s="370">
        <v>5.4242590000000002</v>
      </c>
      <c r="J24" s="370">
        <v>0</v>
      </c>
      <c r="K24" s="370">
        <v>0.17049120000000001</v>
      </c>
      <c r="L24" s="370">
        <v>9.8622890000000005</v>
      </c>
      <c r="M24" s="370">
        <v>0</v>
      </c>
      <c r="N24" s="370">
        <v>0</v>
      </c>
      <c r="O24" s="312">
        <v>1</v>
      </c>
      <c r="P24" s="360"/>
    </row>
    <row r="25" spans="1:26" ht="24" thickBot="1" x14ac:dyDescent="0.4">
      <c r="A25"/>
      <c r="B25" s="191"/>
      <c r="C25" s="393" t="s">
        <v>88</v>
      </c>
      <c r="D25" s="394" t="s">
        <v>69</v>
      </c>
      <c r="E25" s="395">
        <v>298.14999999999998</v>
      </c>
      <c r="F25" s="396">
        <v>1013</v>
      </c>
      <c r="G25" s="410">
        <v>-1.3591</v>
      </c>
      <c r="H25" s="410">
        <v>31.553999999999998</v>
      </c>
      <c r="I25" s="410">
        <v>7.5639000000000003</v>
      </c>
      <c r="J25" s="410">
        <v>0</v>
      </c>
      <c r="K25" s="410">
        <v>0.24035000000000001</v>
      </c>
      <c r="L25" s="410">
        <v>16.681999999999999</v>
      </c>
      <c r="M25" s="410">
        <v>0</v>
      </c>
      <c r="N25" s="410">
        <v>0</v>
      </c>
      <c r="O25" s="371">
        <v>2</v>
      </c>
      <c r="P25" s="361" t="s">
        <v>119</v>
      </c>
    </row>
    <row r="26" spans="1:26" x14ac:dyDescent="0.35">
      <c r="A26"/>
      <c r="B26" s="191"/>
      <c r="C26" s="450" t="s">
        <v>88</v>
      </c>
      <c r="D26" s="444" t="s">
        <v>69</v>
      </c>
      <c r="E26" s="453">
        <v>298.14999999999998</v>
      </c>
      <c r="F26" s="454">
        <v>350</v>
      </c>
      <c r="G26" s="406">
        <v>-1.3586866317878405</v>
      </c>
      <c r="H26" s="406">
        <v>68.816676906083146</v>
      </c>
      <c r="I26" s="406">
        <v>17.608515244452462</v>
      </c>
      <c r="J26" s="406">
        <v>-5.8145408623489088E-4</v>
      </c>
      <c r="K26" s="406">
        <v>0.41318596346922787</v>
      </c>
      <c r="L26" s="406">
        <v>-252.13723014011663</v>
      </c>
      <c r="M26" s="406">
        <v>1383.1599414677171</v>
      </c>
      <c r="N26" s="406">
        <v>0</v>
      </c>
      <c r="O26" s="367" t="s">
        <v>120</v>
      </c>
      <c r="P26" s="300"/>
    </row>
    <row r="27" spans="1:26" x14ac:dyDescent="0.35">
      <c r="A27"/>
      <c r="B27" s="191"/>
      <c r="C27" s="451" t="s">
        <v>88</v>
      </c>
      <c r="D27" s="452" t="s">
        <v>69</v>
      </c>
      <c r="E27" s="420">
        <v>350</v>
      </c>
      <c r="F27" s="448">
        <v>420</v>
      </c>
      <c r="G27" s="401">
        <v>-1.3586866317878405</v>
      </c>
      <c r="H27" s="401">
        <v>12.046908589131874</v>
      </c>
      <c r="I27" s="401">
        <v>1.7622226231282696</v>
      </c>
      <c r="J27" s="401">
        <v>0</v>
      </c>
      <c r="K27" s="401">
        <v>0.14511938535984314</v>
      </c>
      <c r="L27" s="401">
        <v>105.72854651512418</v>
      </c>
      <c r="M27" s="401">
        <v>0</v>
      </c>
      <c r="N27" s="401">
        <v>0</v>
      </c>
      <c r="O27" s="368" t="s">
        <v>120</v>
      </c>
      <c r="P27" s="300"/>
    </row>
    <row r="28" spans="1:26" x14ac:dyDescent="0.35">
      <c r="A28"/>
      <c r="B28" s="191"/>
      <c r="C28" s="451" t="s">
        <v>88</v>
      </c>
      <c r="D28" s="452" t="s">
        <v>69</v>
      </c>
      <c r="E28" s="420">
        <v>420</v>
      </c>
      <c r="F28" s="448">
        <v>450</v>
      </c>
      <c r="G28" s="401">
        <v>-1.3586866317878405</v>
      </c>
      <c r="H28" s="401">
        <v>38.768510038576053</v>
      </c>
      <c r="I28" s="401">
        <v>9.9832822178122544</v>
      </c>
      <c r="J28" s="401">
        <v>0</v>
      </c>
      <c r="K28" s="401">
        <v>0.30389873228389108</v>
      </c>
      <c r="L28" s="401">
        <v>0</v>
      </c>
      <c r="M28" s="401">
        <v>0</v>
      </c>
      <c r="N28" s="401">
        <v>0</v>
      </c>
      <c r="O28" s="449" t="s">
        <v>120</v>
      </c>
      <c r="P28" s="300"/>
      <c r="Q28" s="122"/>
      <c r="R28" s="122"/>
      <c r="S28" s="122"/>
      <c r="T28" s="122"/>
      <c r="U28" s="122"/>
      <c r="V28" s="122"/>
      <c r="W28" s="122"/>
      <c r="X28" s="122"/>
      <c r="Y28" s="122"/>
      <c r="Z28" s="122"/>
    </row>
    <row r="29" spans="1:26" ht="24" thickBot="1" x14ac:dyDescent="0.4">
      <c r="A29"/>
      <c r="B29" s="191"/>
      <c r="C29" s="439" t="s">
        <v>88</v>
      </c>
      <c r="D29" s="445" t="s">
        <v>69</v>
      </c>
      <c r="E29" s="411">
        <v>450</v>
      </c>
      <c r="F29" s="412">
        <v>900</v>
      </c>
      <c r="G29" s="413">
        <v>-1.3586866317878405</v>
      </c>
      <c r="H29" s="413">
        <v>18.364758562217371</v>
      </c>
      <c r="I29" s="413">
        <v>2.0299476817607793</v>
      </c>
      <c r="J29" s="413">
        <v>2.736243911239401E-3</v>
      </c>
      <c r="K29" s="413">
        <v>-6.5765806573927721E-2</v>
      </c>
      <c r="L29" s="413">
        <v>61.455288953033858</v>
      </c>
      <c r="M29" s="413">
        <v>-80.11305550544229</v>
      </c>
      <c r="N29" s="413">
        <v>0</v>
      </c>
      <c r="O29" s="314" t="s">
        <v>120</v>
      </c>
      <c r="P29" s="300"/>
    </row>
    <row r="30" spans="1:26" x14ac:dyDescent="0.35">
      <c r="A30"/>
      <c r="B30" s="191"/>
      <c r="C30" s="436" t="s">
        <v>70</v>
      </c>
      <c r="D30" s="394" t="s">
        <v>65</v>
      </c>
      <c r="E30" s="395">
        <v>298.14999999999998</v>
      </c>
      <c r="F30" s="396">
        <v>1500</v>
      </c>
      <c r="G30" s="397">
        <v>2.783115</v>
      </c>
      <c r="H30" s="397">
        <v>25.378499999999999</v>
      </c>
      <c r="I30" s="397">
        <v>1.797085</v>
      </c>
      <c r="J30" s="397">
        <v>1.090393E-4</v>
      </c>
      <c r="K30" s="397">
        <v>-2.1003919999999999E-2</v>
      </c>
      <c r="L30" s="397">
        <v>9.1604179999999999</v>
      </c>
      <c r="M30" s="397">
        <v>-16.28604</v>
      </c>
      <c r="N30" s="397">
        <v>12.30222</v>
      </c>
      <c r="O30" s="432">
        <v>1</v>
      </c>
      <c r="P30" s="360"/>
    </row>
    <row r="31" spans="1:26" ht="24" thickBot="1" x14ac:dyDescent="0.4">
      <c r="C31" s="425" t="s">
        <v>70</v>
      </c>
      <c r="D31" s="369" t="s">
        <v>65</v>
      </c>
      <c r="E31" s="304">
        <v>1500</v>
      </c>
      <c r="F31" s="305">
        <v>10000</v>
      </c>
      <c r="G31" s="426">
        <v>2.783115</v>
      </c>
      <c r="H31" s="426">
        <v>27.619869999999999</v>
      </c>
      <c r="I31" s="426">
        <v>2.4307400000000001</v>
      </c>
      <c r="J31" s="426">
        <v>2.4488410000000002E-3</v>
      </c>
      <c r="K31" s="426">
        <v>-5.4265309999999997E-2</v>
      </c>
      <c r="L31" s="426">
        <v>0.91438399999999997</v>
      </c>
      <c r="M31" s="426">
        <v>-0.4321508</v>
      </c>
      <c r="N31" s="426">
        <v>8.956944E-2</v>
      </c>
      <c r="O31" s="312">
        <v>1</v>
      </c>
      <c r="P31" s="360"/>
    </row>
    <row r="32" spans="1:26" ht="24" thickBot="1" x14ac:dyDescent="0.4">
      <c r="C32" s="402" t="s">
        <v>70</v>
      </c>
      <c r="D32" s="369" t="s">
        <v>61</v>
      </c>
      <c r="E32" s="304">
        <v>493.00009999999997</v>
      </c>
      <c r="F32" s="305">
        <v>957.00009999999997</v>
      </c>
      <c r="G32" s="370">
        <v>0</v>
      </c>
      <c r="H32" s="370">
        <v>16.690000000000001</v>
      </c>
      <c r="I32" s="370">
        <v>4.2279999999999998</v>
      </c>
      <c r="J32" s="370">
        <v>0</v>
      </c>
      <c r="K32" s="370">
        <v>7.2510000000000005E-2</v>
      </c>
      <c r="L32" s="370">
        <v>0</v>
      </c>
      <c r="M32" s="370">
        <v>0</v>
      </c>
      <c r="N32" s="370">
        <v>0</v>
      </c>
      <c r="O32" s="459">
        <v>2</v>
      </c>
      <c r="P32" s="301">
        <v>1</v>
      </c>
    </row>
    <row r="33" spans="1:16" x14ac:dyDescent="0.35">
      <c r="C33" s="415" t="s">
        <v>70</v>
      </c>
      <c r="D33" s="363" t="s">
        <v>69</v>
      </c>
      <c r="E33" s="302">
        <v>298.14999999999998</v>
      </c>
      <c r="F33" s="303">
        <v>494.3</v>
      </c>
      <c r="G33" s="364">
        <v>-6.6260929999999996E-2</v>
      </c>
      <c r="H33" s="364">
        <v>10.212899999999999</v>
      </c>
      <c r="I33" s="364">
        <v>2.3373539999999999</v>
      </c>
      <c r="J33" s="364">
        <v>0</v>
      </c>
      <c r="K33" s="364">
        <v>1.4182739999999999E-2</v>
      </c>
      <c r="L33" s="364">
        <v>13.63707</v>
      </c>
      <c r="M33" s="364">
        <v>-25.78952</v>
      </c>
      <c r="N33" s="364">
        <v>0</v>
      </c>
      <c r="O33" s="366" t="s">
        <v>145</v>
      </c>
      <c r="P33" s="360"/>
    </row>
    <row r="34" spans="1:16" x14ac:dyDescent="0.35">
      <c r="C34" s="415" t="s">
        <v>70</v>
      </c>
      <c r="D34" s="363" t="s">
        <v>69</v>
      </c>
      <c r="E34" s="302">
        <v>494.3</v>
      </c>
      <c r="F34" s="303">
        <v>1000</v>
      </c>
      <c r="G34" s="364">
        <v>-6.6260929999999996E-2</v>
      </c>
      <c r="H34" s="364">
        <v>23.305810000000001</v>
      </c>
      <c r="I34" s="364">
        <v>6.3044700000000002</v>
      </c>
      <c r="J34" s="364">
        <v>0</v>
      </c>
      <c r="K34" s="364">
        <v>5.1929419999999997E-2</v>
      </c>
      <c r="L34" s="364">
        <v>-29.829440000000002</v>
      </c>
      <c r="M34" s="364">
        <v>65.022059999999996</v>
      </c>
      <c r="N34" s="364">
        <v>0</v>
      </c>
      <c r="O34" s="366">
        <v>1</v>
      </c>
      <c r="P34" s="360"/>
    </row>
    <row r="35" spans="1:16" ht="24" thickBot="1" x14ac:dyDescent="0.4">
      <c r="C35" s="415" t="s">
        <v>70</v>
      </c>
      <c r="D35" s="363" t="s">
        <v>69</v>
      </c>
      <c r="E35" s="302">
        <v>1000</v>
      </c>
      <c r="F35" s="303">
        <v>1800</v>
      </c>
      <c r="G35" s="364">
        <v>-6.6260929999999996E-2</v>
      </c>
      <c r="H35" s="364">
        <v>16.601150000000001</v>
      </c>
      <c r="I35" s="364">
        <v>4.2397850000000004</v>
      </c>
      <c r="J35" s="364">
        <v>0</v>
      </c>
      <c r="K35" s="364">
        <v>1.3699609999999999E-2</v>
      </c>
      <c r="L35" s="364">
        <v>0</v>
      </c>
      <c r="M35" s="364">
        <v>0</v>
      </c>
      <c r="N35" s="364">
        <v>0</v>
      </c>
      <c r="O35" s="366">
        <v>1</v>
      </c>
      <c r="P35" s="360"/>
    </row>
    <row r="36" spans="1:16" ht="24" thickBot="1" x14ac:dyDescent="0.4">
      <c r="C36" s="416" t="s">
        <v>113</v>
      </c>
      <c r="D36" s="417" t="s">
        <v>69</v>
      </c>
      <c r="E36" s="418">
        <v>298.14999999999998</v>
      </c>
      <c r="F36" s="419">
        <v>398</v>
      </c>
      <c r="G36" s="414">
        <v>6.0388477960190028E-2</v>
      </c>
      <c r="H36" s="414">
        <v>14.027300531776039</v>
      </c>
      <c r="I36" s="414">
        <v>3.265379758253653</v>
      </c>
      <c r="J36" s="414">
        <v>0</v>
      </c>
      <c r="K36" s="414">
        <v>9.7357297492332656E-2</v>
      </c>
      <c r="L36" s="414">
        <v>0</v>
      </c>
      <c r="M36" s="414">
        <v>0</v>
      </c>
      <c r="N36" s="414">
        <v>0</v>
      </c>
      <c r="O36" s="431" t="s">
        <v>120</v>
      </c>
      <c r="P36" s="166"/>
    </row>
    <row r="37" spans="1:16" s="161" customFormat="1" ht="24" thickBot="1" x14ac:dyDescent="0.4">
      <c r="A37" s="194"/>
      <c r="B37" s="194"/>
      <c r="C37" s="416" t="s">
        <v>114</v>
      </c>
      <c r="D37" s="417" t="s">
        <v>69</v>
      </c>
      <c r="E37" s="418">
        <v>298</v>
      </c>
      <c r="F37" s="419">
        <v>413</v>
      </c>
      <c r="G37" s="414">
        <v>0.10769138252450537</v>
      </c>
      <c r="H37" s="414">
        <v>54.853251742343801</v>
      </c>
      <c r="I37" s="414">
        <v>12.931625473570268</v>
      </c>
      <c r="J37" s="414">
        <v>-2.6345540922484819E-4</v>
      </c>
      <c r="K37" s="414">
        <v>0.40426080105349993</v>
      </c>
      <c r="L37" s="414">
        <v>-5.4483131878044384</v>
      </c>
      <c r="M37" s="414">
        <v>114.4045542927015</v>
      </c>
      <c r="N37" s="414">
        <v>0</v>
      </c>
      <c r="O37" s="313" t="s">
        <v>120</v>
      </c>
      <c r="P37" s="300"/>
    </row>
    <row r="38" spans="1:16" s="161" customFormat="1" ht="24" thickBot="1" x14ac:dyDescent="0.4">
      <c r="A38" s="194"/>
      <c r="B38" s="194"/>
      <c r="C38" s="408" t="s">
        <v>115</v>
      </c>
      <c r="D38" s="400" t="s">
        <v>69</v>
      </c>
      <c r="E38" s="420">
        <v>298.14999999999998</v>
      </c>
      <c r="F38" s="409">
        <v>398</v>
      </c>
      <c r="G38" s="401">
        <v>0.1962595465752601</v>
      </c>
      <c r="H38" s="401">
        <v>18.555499584494658</v>
      </c>
      <c r="I38" s="401">
        <v>4.881231583378435</v>
      </c>
      <c r="J38" s="401">
        <v>0</v>
      </c>
      <c r="K38" s="401">
        <v>0.14553391965842802</v>
      </c>
      <c r="L38" s="401">
        <v>0</v>
      </c>
      <c r="M38" s="401">
        <v>0</v>
      </c>
      <c r="N38" s="401">
        <v>0</v>
      </c>
      <c r="O38" s="365" t="s">
        <v>120</v>
      </c>
      <c r="P38" s="300"/>
    </row>
    <row r="39" spans="1:16" s="161" customFormat="1" x14ac:dyDescent="0.35">
      <c r="A39" s="194"/>
      <c r="B39" s="194"/>
      <c r="C39" s="436" t="s">
        <v>100</v>
      </c>
      <c r="D39" s="393" t="s">
        <v>65</v>
      </c>
      <c r="E39" s="395">
        <v>298.14999999999998</v>
      </c>
      <c r="F39" s="396">
        <v>1500</v>
      </c>
      <c r="G39" s="397">
        <v>1.6083639999999999</v>
      </c>
      <c r="H39" s="397">
        <v>46.654719999999998</v>
      </c>
      <c r="I39" s="397">
        <v>6.370749</v>
      </c>
      <c r="J39" s="397">
        <v>-1.7220000000000001E-4</v>
      </c>
      <c r="K39" s="397">
        <v>6.049562E-2</v>
      </c>
      <c r="L39" s="397">
        <v>-20.810030000000001</v>
      </c>
      <c r="M39" s="397">
        <v>56.994140000000002</v>
      </c>
      <c r="N39" s="397">
        <v>-73.985680000000002</v>
      </c>
      <c r="O39" s="432">
        <v>1</v>
      </c>
      <c r="P39" s="360"/>
    </row>
    <row r="40" spans="1:16" s="161" customFormat="1" ht="24" thickBot="1" x14ac:dyDescent="0.4">
      <c r="A40" s="194"/>
      <c r="B40" s="194"/>
      <c r="C40" s="415" t="s">
        <v>100</v>
      </c>
      <c r="D40" s="398" t="s">
        <v>65</v>
      </c>
      <c r="E40" s="302">
        <v>1500</v>
      </c>
      <c r="F40" s="303">
        <v>6000</v>
      </c>
      <c r="G40" s="399">
        <v>1.6083639999999999</v>
      </c>
      <c r="H40" s="399">
        <v>41.393599999999999</v>
      </c>
      <c r="I40" s="399">
        <v>4.6638549999999999</v>
      </c>
      <c r="J40" s="399">
        <v>-1.334432E-3</v>
      </c>
      <c r="K40" s="399">
        <v>3.6780319999999998E-2</v>
      </c>
      <c r="L40" s="399">
        <v>0.98545360000000004</v>
      </c>
      <c r="M40" s="399">
        <v>-0.13838919999999999</v>
      </c>
      <c r="N40" s="399">
        <v>-0.2247374</v>
      </c>
      <c r="O40" s="311">
        <v>1</v>
      </c>
      <c r="P40" s="360"/>
    </row>
    <row r="41" spans="1:16" x14ac:dyDescent="0.35">
      <c r="C41" s="485" t="s">
        <v>101</v>
      </c>
      <c r="D41" s="393" t="s">
        <v>65</v>
      </c>
      <c r="E41" s="395">
        <v>298.14999999999998</v>
      </c>
      <c r="F41" s="396">
        <v>1500</v>
      </c>
      <c r="G41" s="397">
        <v>1.9782420000000001</v>
      </c>
      <c r="H41" s="397">
        <v>54.51784</v>
      </c>
      <c r="I41" s="397">
        <v>6.89046</v>
      </c>
      <c r="J41" s="397">
        <v>-1.736525E-4</v>
      </c>
      <c r="K41" s="397">
        <v>5.6347979999999999E-2</v>
      </c>
      <c r="L41" s="397">
        <v>1.1843140000000001</v>
      </c>
      <c r="M41" s="397">
        <v>-3.094471</v>
      </c>
      <c r="N41" s="397">
        <v>4.1616710000000001</v>
      </c>
      <c r="O41" s="432">
        <v>1</v>
      </c>
      <c r="P41" s="360"/>
    </row>
    <row r="42" spans="1:16" ht="24" thickBot="1" x14ac:dyDescent="0.4">
      <c r="C42" s="486" t="s">
        <v>101</v>
      </c>
      <c r="D42" s="398" t="s">
        <v>65</v>
      </c>
      <c r="E42" s="302">
        <v>1500</v>
      </c>
      <c r="F42" s="303">
        <v>6000</v>
      </c>
      <c r="G42" s="399">
        <v>1.9782420000000001</v>
      </c>
      <c r="H42" s="399">
        <v>54.816650000000003</v>
      </c>
      <c r="I42" s="399">
        <v>7.0000840000000002</v>
      </c>
      <c r="J42" s="399">
        <v>-2.193664E-4</v>
      </c>
      <c r="K42" s="399">
        <v>6.1325909999999997E-2</v>
      </c>
      <c r="L42" s="399">
        <v>3.7539989999999998E-4</v>
      </c>
      <c r="M42" s="399">
        <v>-1.8322499999999999E-4</v>
      </c>
      <c r="N42" s="399">
        <v>4.3410669999999999E-5</v>
      </c>
      <c r="O42" s="311">
        <v>1</v>
      </c>
      <c r="P42" s="360"/>
    </row>
    <row r="43" spans="1:16" x14ac:dyDescent="0.35">
      <c r="C43" s="485" t="s">
        <v>102</v>
      </c>
      <c r="D43" s="393" t="s">
        <v>65</v>
      </c>
      <c r="E43" s="395">
        <v>298.14999999999998</v>
      </c>
      <c r="F43" s="396">
        <v>1500</v>
      </c>
      <c r="G43" s="397">
        <v>1.7796749999999999</v>
      </c>
      <c r="H43" s="397">
        <v>65.627989999999997</v>
      </c>
      <c r="I43" s="397">
        <v>9.8077830000000006</v>
      </c>
      <c r="J43" s="397">
        <v>-2.9475889999999998E-4</v>
      </c>
      <c r="K43" s="397">
        <v>0.1005359</v>
      </c>
      <c r="L43" s="397">
        <v>2.0750869999999999</v>
      </c>
      <c r="M43" s="397">
        <v>-5.417872</v>
      </c>
      <c r="N43" s="397">
        <v>7.2822940000000003</v>
      </c>
      <c r="O43" s="432">
        <v>1</v>
      </c>
      <c r="P43" s="360"/>
    </row>
    <row r="44" spans="1:16" ht="24" thickBot="1" x14ac:dyDescent="0.4">
      <c r="C44" s="304" t="s">
        <v>102</v>
      </c>
      <c r="D44" s="402" t="s">
        <v>65</v>
      </c>
      <c r="E44" s="304">
        <v>1500</v>
      </c>
      <c r="F44" s="305">
        <v>6000</v>
      </c>
      <c r="G44" s="426">
        <v>1.7796749999999999</v>
      </c>
      <c r="H44" s="426">
        <v>66.151300000000006</v>
      </c>
      <c r="I44" s="426">
        <v>9.9996779999999994</v>
      </c>
      <c r="J44" s="426">
        <v>-3.7359040000000001E-4</v>
      </c>
      <c r="K44" s="426">
        <v>0.1092219</v>
      </c>
      <c r="L44" s="426">
        <v>1.8328540000000001E-3</v>
      </c>
      <c r="M44" s="426">
        <v>-1.155547E-3</v>
      </c>
      <c r="N44" s="426">
        <v>3.7609010000000002E-4</v>
      </c>
      <c r="O44" s="312">
        <v>1</v>
      </c>
      <c r="P44" s="360"/>
    </row>
    <row r="45" spans="1:16" x14ac:dyDescent="0.35">
      <c r="C45" s="398" t="s">
        <v>103</v>
      </c>
      <c r="D45" s="363" t="s">
        <v>65</v>
      </c>
      <c r="E45" s="302">
        <v>298.14999999999998</v>
      </c>
      <c r="F45" s="303">
        <v>1500</v>
      </c>
      <c r="G45" s="399">
        <v>1.593137</v>
      </c>
      <c r="H45" s="399">
        <v>82.10181</v>
      </c>
      <c r="I45" s="399">
        <v>12.889200000000001</v>
      </c>
      <c r="J45" s="399">
        <v>-2.7534359999999998E-4</v>
      </c>
      <c r="K45" s="399">
        <v>0.11292489999999999</v>
      </c>
      <c r="L45" s="399">
        <v>1.2045049999999999</v>
      </c>
      <c r="M45" s="399">
        <v>-3.1549330000000002</v>
      </c>
      <c r="N45" s="399">
        <v>4.2508710000000001</v>
      </c>
      <c r="O45" s="309">
        <v>1</v>
      </c>
      <c r="P45" s="360"/>
    </row>
    <row r="46" spans="1:16" ht="24" thickBot="1" x14ac:dyDescent="0.4">
      <c r="C46" s="398" t="s">
        <v>103</v>
      </c>
      <c r="D46" s="363" t="s">
        <v>65</v>
      </c>
      <c r="E46" s="302">
        <v>1500</v>
      </c>
      <c r="F46" s="303">
        <v>6000</v>
      </c>
      <c r="G46" s="399">
        <v>1.593137</v>
      </c>
      <c r="H46" s="399">
        <v>82.404619999999994</v>
      </c>
      <c r="I46" s="399">
        <v>12.999980000000001</v>
      </c>
      <c r="J46" s="399">
        <v>-3.1975439999999998E-4</v>
      </c>
      <c r="K46" s="399">
        <v>0.117897</v>
      </c>
      <c r="L46" s="399">
        <v>1.496076E-3</v>
      </c>
      <c r="M46" s="399">
        <v>-1.046272E-3</v>
      </c>
      <c r="N46" s="399">
        <v>3.8618760000000001E-4</v>
      </c>
      <c r="O46" s="309">
        <v>1</v>
      </c>
      <c r="P46" s="360"/>
    </row>
    <row r="47" spans="1:16" x14ac:dyDescent="0.35">
      <c r="C47" s="395" t="s">
        <v>104</v>
      </c>
      <c r="D47" s="393" t="s">
        <v>65</v>
      </c>
      <c r="E47" s="395">
        <v>298.14999999999998</v>
      </c>
      <c r="F47" s="396">
        <v>1500</v>
      </c>
      <c r="G47" s="397">
        <v>1.310376</v>
      </c>
      <c r="H47" s="397">
        <v>92.080410000000001</v>
      </c>
      <c r="I47" s="397">
        <v>15.90657</v>
      </c>
      <c r="J47" s="397">
        <v>-3.1941130000000002E-4</v>
      </c>
      <c r="K47" s="397">
        <v>0.14695030000000001</v>
      </c>
      <c r="L47" s="397">
        <v>1.017784</v>
      </c>
      <c r="M47" s="397">
        <v>-2.6653210000000001</v>
      </c>
      <c r="N47" s="397">
        <v>3.5898659999999998</v>
      </c>
      <c r="O47" s="432">
        <v>1</v>
      </c>
      <c r="P47" s="360"/>
    </row>
    <row r="48" spans="1:16" ht="24" thickBot="1" x14ac:dyDescent="0.4">
      <c r="C48" s="302" t="s">
        <v>104</v>
      </c>
      <c r="D48" s="398" t="s">
        <v>65</v>
      </c>
      <c r="E48" s="302">
        <v>1500</v>
      </c>
      <c r="F48" s="303">
        <v>6000</v>
      </c>
      <c r="G48" s="399">
        <v>1.310376</v>
      </c>
      <c r="H48" s="399">
        <v>92.335269999999994</v>
      </c>
      <c r="I48" s="399">
        <v>15.99952</v>
      </c>
      <c r="J48" s="399">
        <v>-3.5474159999999999E-4</v>
      </c>
      <c r="K48" s="399">
        <v>0.151062</v>
      </c>
      <c r="L48" s="399">
        <v>3.4559289999999999E-3</v>
      </c>
      <c r="M48" s="399">
        <v>-2.5853989999999999E-3</v>
      </c>
      <c r="N48" s="399">
        <v>9.828650999999999E-4</v>
      </c>
      <c r="O48" s="311">
        <v>1</v>
      </c>
      <c r="P48" s="360"/>
    </row>
    <row r="49" spans="3:16" x14ac:dyDescent="0.35">
      <c r="C49" s="395" t="s">
        <v>105</v>
      </c>
      <c r="D49" s="393" t="s">
        <v>65</v>
      </c>
      <c r="E49" s="395">
        <v>298.14999999999998</v>
      </c>
      <c r="F49" s="396">
        <v>1500</v>
      </c>
      <c r="G49" s="397">
        <v>1.3764209999999999</v>
      </c>
      <c r="H49" s="397">
        <v>106.2873</v>
      </c>
      <c r="I49" s="397">
        <v>18.87481</v>
      </c>
      <c r="J49" s="397">
        <v>-3.9471889999999999E-4</v>
      </c>
      <c r="K49" s="397">
        <v>0.18061250000000001</v>
      </c>
      <c r="L49" s="397">
        <v>1.363551</v>
      </c>
      <c r="M49" s="397">
        <v>-3.5720109999999998</v>
      </c>
      <c r="N49" s="397">
        <v>4.8116719999999997</v>
      </c>
      <c r="O49" s="432">
        <v>1</v>
      </c>
      <c r="P49" s="360"/>
    </row>
    <row r="50" spans="3:16" ht="24" thickBot="1" x14ac:dyDescent="0.4">
      <c r="C50" s="302" t="s">
        <v>105</v>
      </c>
      <c r="D50" s="398" t="s">
        <v>65</v>
      </c>
      <c r="E50" s="302">
        <v>1500</v>
      </c>
      <c r="F50" s="303">
        <v>6000</v>
      </c>
      <c r="G50" s="399">
        <v>1.3764209999999999</v>
      </c>
      <c r="H50" s="399">
        <v>106.6301</v>
      </c>
      <c r="I50" s="399">
        <v>19.000219999999999</v>
      </c>
      <c r="J50" s="399">
        <v>-4.455711E-4</v>
      </c>
      <c r="K50" s="399">
        <v>0.18625030000000001</v>
      </c>
      <c r="L50" s="399">
        <v>1.466539E-3</v>
      </c>
      <c r="M50" s="399">
        <v>-9.910276E-4</v>
      </c>
      <c r="N50" s="399">
        <v>3.4599259999999998E-4</v>
      </c>
      <c r="O50" s="311">
        <v>1</v>
      </c>
      <c r="P50" s="360"/>
    </row>
    <row r="51" spans="3:16" x14ac:dyDescent="0.35">
      <c r="C51" s="395" t="s">
        <v>106</v>
      </c>
      <c r="D51" s="394" t="s">
        <v>65</v>
      </c>
      <c r="E51" s="395">
        <v>298.14999999999998</v>
      </c>
      <c r="F51" s="396">
        <v>1500</v>
      </c>
      <c r="G51" s="397">
        <v>1.4184099999999999</v>
      </c>
      <c r="H51" s="397">
        <v>118.3836</v>
      </c>
      <c r="I51" s="397">
        <v>21.846499999999999</v>
      </c>
      <c r="J51" s="397">
        <v>-4.55196E-4</v>
      </c>
      <c r="K51" s="397">
        <v>0.2049985</v>
      </c>
      <c r="L51" s="397">
        <v>1.669807</v>
      </c>
      <c r="M51" s="397">
        <v>-4.3705270000000001</v>
      </c>
      <c r="N51" s="397">
        <v>5.8827660000000002</v>
      </c>
      <c r="O51" s="432">
        <v>1</v>
      </c>
      <c r="P51" s="360"/>
    </row>
    <row r="52" spans="3:16" ht="24" thickBot="1" x14ac:dyDescent="0.4">
      <c r="C52" s="304" t="s">
        <v>106</v>
      </c>
      <c r="D52" s="369" t="s">
        <v>65</v>
      </c>
      <c r="E52" s="304">
        <v>1500</v>
      </c>
      <c r="F52" s="305">
        <v>6000</v>
      </c>
      <c r="G52" s="426">
        <v>1.4184099999999999</v>
      </c>
      <c r="H52" s="426">
        <v>118.80549999999999</v>
      </c>
      <c r="I52" s="426">
        <v>22.001380000000001</v>
      </c>
      <c r="J52" s="426">
        <v>-5.2171050000000005E-4</v>
      </c>
      <c r="K52" s="426">
        <v>0.21207509999999999</v>
      </c>
      <c r="L52" s="426">
        <v>-2.09779E-3</v>
      </c>
      <c r="M52" s="426">
        <v>1.840469E-3</v>
      </c>
      <c r="N52" s="426">
        <v>-7.697003E-4</v>
      </c>
      <c r="O52" s="312">
        <v>1</v>
      </c>
      <c r="P52" s="360"/>
    </row>
    <row r="53" spans="3:16" x14ac:dyDescent="0.35">
      <c r="C53" s="462" t="s">
        <v>149</v>
      </c>
      <c r="D53" s="469" t="s">
        <v>69</v>
      </c>
      <c r="E53" s="462">
        <v>298.14999999999998</v>
      </c>
      <c r="F53" s="467">
        <v>500</v>
      </c>
      <c r="G53" s="347">
        <v>-2.3913798664982862</v>
      </c>
      <c r="H53" s="347">
        <v>74.770930000000007</v>
      </c>
      <c r="I53" s="347">
        <v>18.140259</v>
      </c>
      <c r="J53" s="347">
        <v>0</v>
      </c>
      <c r="K53" s="347">
        <v>0.56850120000000004</v>
      </c>
      <c r="L53" s="347">
        <v>31.096289000000002</v>
      </c>
      <c r="M53" s="347">
        <v>0</v>
      </c>
      <c r="N53" s="347">
        <v>0</v>
      </c>
      <c r="O53" s="463">
        <v>3</v>
      </c>
      <c r="P53" s="301"/>
    </row>
    <row r="54" spans="3:16" x14ac:dyDescent="0.35">
      <c r="C54" s="462" t="s">
        <v>150</v>
      </c>
      <c r="D54" s="469" t="s">
        <v>69</v>
      </c>
      <c r="E54" s="462">
        <v>298.14999999999998</v>
      </c>
      <c r="F54" s="467">
        <v>500</v>
      </c>
      <c r="G54" s="347">
        <v>-4.2169772565999155</v>
      </c>
      <c r="H54" s="347">
        <v>173.46465690608315</v>
      </c>
      <c r="I54" s="347">
        <v>43.040515244452465</v>
      </c>
      <c r="J54" s="347">
        <v>-5.8145408623489088E-4</v>
      </c>
      <c r="K54" s="347">
        <v>1.2092059634692278</v>
      </c>
      <c r="L54" s="347">
        <v>-209.66923014011661</v>
      </c>
      <c r="M54" s="347">
        <v>1383.1599414677171</v>
      </c>
      <c r="N54" s="347">
        <v>0</v>
      </c>
      <c r="O54" s="463">
        <v>3</v>
      </c>
      <c r="P54" s="301"/>
    </row>
    <row r="55" spans="3:16" x14ac:dyDescent="0.35">
      <c r="C55" s="462" t="s">
        <v>151</v>
      </c>
      <c r="D55" s="469" t="s">
        <v>69</v>
      </c>
      <c r="E55" s="462">
        <v>298.14999999999998</v>
      </c>
      <c r="F55" s="467">
        <v>500</v>
      </c>
      <c r="G55" s="347">
        <v>-1.8108390642852847</v>
      </c>
      <c r="H55" s="347">
        <v>71.793803453041576</v>
      </c>
      <c r="I55" s="347">
        <v>17.874387122226231</v>
      </c>
      <c r="J55" s="347">
        <v>-2.9072704311744544E-4</v>
      </c>
      <c r="K55" s="347">
        <v>0.49084358173461395</v>
      </c>
      <c r="L55" s="347">
        <v>-110.52047057005831</v>
      </c>
      <c r="M55" s="347">
        <v>691.57997073385854</v>
      </c>
      <c r="N55" s="347">
        <v>0</v>
      </c>
      <c r="O55" s="463">
        <v>3</v>
      </c>
      <c r="P55" s="301"/>
    </row>
    <row r="56" spans="3:16" x14ac:dyDescent="0.35">
      <c r="C56" s="471" t="s">
        <v>152</v>
      </c>
      <c r="D56" s="469" t="s">
        <v>69</v>
      </c>
      <c r="E56" s="462">
        <v>298.14999999999998</v>
      </c>
      <c r="F56" s="467">
        <v>500</v>
      </c>
      <c r="G56" s="347">
        <v>-39.271554633471638</v>
      </c>
      <c r="H56" s="347">
        <v>1630.5742035912474</v>
      </c>
      <c r="I56" s="347">
        <v>409.0716136667869</v>
      </c>
      <c r="J56" s="347">
        <v>-8.7218112935233631E-3</v>
      </c>
      <c r="K56" s="347">
        <v>10.745207452038418</v>
      </c>
      <c r="L56" s="347">
        <v>-3527.9541171017495</v>
      </c>
      <c r="M56" s="347">
        <v>20747.399122015755</v>
      </c>
      <c r="N56" s="347">
        <v>0</v>
      </c>
      <c r="O56" s="463">
        <v>3</v>
      </c>
      <c r="P56" s="166"/>
    </row>
    <row r="57" spans="3:16" x14ac:dyDescent="0.35">
      <c r="C57" s="462" t="s">
        <v>153</v>
      </c>
      <c r="D57" s="469" t="s">
        <v>69</v>
      </c>
      <c r="E57" s="462">
        <v>298.14999999999998</v>
      </c>
      <c r="F57" s="467">
        <v>500</v>
      </c>
      <c r="G57" s="347">
        <v>-4.7827597329965723</v>
      </c>
      <c r="H57" s="347">
        <v>149.54186000000001</v>
      </c>
      <c r="I57" s="347">
        <v>36.280518000000001</v>
      </c>
      <c r="J57" s="347">
        <v>0</v>
      </c>
      <c r="K57" s="347">
        <v>1.1370024000000001</v>
      </c>
      <c r="L57" s="347">
        <v>62.192578000000005</v>
      </c>
      <c r="M57" s="347">
        <v>0</v>
      </c>
      <c r="N57" s="347">
        <v>0</v>
      </c>
      <c r="O57" s="463">
        <v>3</v>
      </c>
      <c r="P57" s="166"/>
    </row>
    <row r="58" spans="3:16" x14ac:dyDescent="0.35">
      <c r="C58" s="462" t="s">
        <v>154</v>
      </c>
      <c r="D58" s="469" t="s">
        <v>69</v>
      </c>
      <c r="E58" s="462">
        <v>298.14999999999998</v>
      </c>
      <c r="F58" s="467">
        <v>500</v>
      </c>
      <c r="G58" s="347">
        <v>-5.3441197185639542</v>
      </c>
      <c r="H58" s="347">
        <v>188.48148690608318</v>
      </c>
      <c r="I58" s="347">
        <v>46.597292244452468</v>
      </c>
      <c r="J58" s="347">
        <v>-5.8145408623489088E-4</v>
      </c>
      <c r="K58" s="347">
        <v>1.3226695634692278</v>
      </c>
      <c r="L58" s="347">
        <v>-201.31636314011661</v>
      </c>
      <c r="M58" s="347">
        <v>1383.1599414677171</v>
      </c>
      <c r="N58" s="347">
        <v>0</v>
      </c>
      <c r="O58" s="463">
        <v>3</v>
      </c>
      <c r="P58" s="166"/>
    </row>
    <row r="59" spans="3:16" x14ac:dyDescent="0.35">
      <c r="C59" s="462" t="s">
        <v>155</v>
      </c>
      <c r="D59" s="469" t="s">
        <v>69</v>
      </c>
      <c r="E59" s="462">
        <v>298.14999999999998</v>
      </c>
      <c r="F59" s="467">
        <v>500</v>
      </c>
      <c r="G59" s="347">
        <v>-4.8580355403211248</v>
      </c>
      <c r="H59" s="347">
        <v>212.40428381216631</v>
      </c>
      <c r="I59" s="347">
        <v>53.357289488904925</v>
      </c>
      <c r="J59" s="347">
        <v>-1.1629081724697818E-3</v>
      </c>
      <c r="K59" s="347">
        <v>1.3948731269384558</v>
      </c>
      <c r="L59" s="347">
        <v>-473.1781712802333</v>
      </c>
      <c r="M59" s="347">
        <v>2766.3198829354342</v>
      </c>
      <c r="N59" s="347">
        <v>0</v>
      </c>
      <c r="O59" s="463">
        <v>3</v>
      </c>
      <c r="P59" s="166"/>
    </row>
    <row r="60" spans="3:16" x14ac:dyDescent="0.35">
      <c r="C60" s="462" t="s">
        <v>156</v>
      </c>
      <c r="D60" s="469" t="s">
        <v>69</v>
      </c>
      <c r="E60" s="462">
        <v>298.14999999999998</v>
      </c>
      <c r="F60" s="467">
        <v>500</v>
      </c>
      <c r="G60" s="347">
        <v>-3.7810713933489688</v>
      </c>
      <c r="H60" s="347">
        <v>136.15749690608317</v>
      </c>
      <c r="I60" s="347">
        <v>33.881292244452467</v>
      </c>
      <c r="J60" s="347">
        <v>-5.8145408623489088E-4</v>
      </c>
      <c r="K60" s="347">
        <v>0.92465956346922784</v>
      </c>
      <c r="L60" s="347">
        <v>-222.55036314011662</v>
      </c>
      <c r="M60" s="347">
        <v>1383.1599414677171</v>
      </c>
      <c r="N60" s="347">
        <v>0</v>
      </c>
      <c r="O60" s="463">
        <v>3</v>
      </c>
      <c r="P60" s="166"/>
    </row>
    <row r="61" spans="3:16" ht="24" thickBot="1" x14ac:dyDescent="0.4">
      <c r="C61" s="464" t="s">
        <v>157</v>
      </c>
      <c r="D61" s="470" t="s">
        <v>69</v>
      </c>
      <c r="E61" s="464">
        <v>298.14999999999998</v>
      </c>
      <c r="F61" s="468">
        <v>500</v>
      </c>
      <c r="G61" s="465">
        <v>-2.9538579229057667</v>
      </c>
      <c r="H61" s="465">
        <v>113.71055690608316</v>
      </c>
      <c r="I61" s="465">
        <v>28.457033244452461</v>
      </c>
      <c r="J61" s="465">
        <v>-5.8145408623489088E-4</v>
      </c>
      <c r="K61" s="465">
        <v>0.75416836346922789</v>
      </c>
      <c r="L61" s="465">
        <v>-232.41265214011662</v>
      </c>
      <c r="M61" s="465">
        <v>1383.1599414677171</v>
      </c>
      <c r="N61" s="465">
        <v>0</v>
      </c>
      <c r="O61" s="466">
        <v>3</v>
      </c>
      <c r="P61" s="166"/>
    </row>
    <row r="62" spans="3:16" ht="24" thickBot="1" x14ac:dyDescent="0.4">
      <c r="C62" s="40" t="s">
        <v>68</v>
      </c>
      <c r="D62" s="472" t="s">
        <v>158</v>
      </c>
      <c r="E62" s="40">
        <v>298.14999999999998</v>
      </c>
      <c r="F62" s="473">
        <v>1211.4000000000001</v>
      </c>
      <c r="G62" s="479">
        <v>-5.5760690000000002E-2</v>
      </c>
      <c r="H62" s="480">
        <v>10.808619999999999</v>
      </c>
      <c r="I62" s="480">
        <v>2.898209</v>
      </c>
      <c r="J62" s="480">
        <v>-9.4357770000000004E-5</v>
      </c>
      <c r="K62" s="480">
        <v>3.8575789999999999E-2</v>
      </c>
      <c r="L62" s="480">
        <v>1.796346</v>
      </c>
      <c r="M62" s="480">
        <v>0</v>
      </c>
      <c r="N62" s="480">
        <v>0</v>
      </c>
      <c r="O62" s="458" t="s">
        <v>145</v>
      </c>
      <c r="P62" s="166"/>
    </row>
    <row r="63" spans="3:16" x14ac:dyDescent="0.35">
      <c r="C63" s="1" t="s">
        <v>70</v>
      </c>
      <c r="D63" s="475" t="s">
        <v>61</v>
      </c>
      <c r="E63" s="1">
        <v>494.00009999999997</v>
      </c>
      <c r="F63" s="477">
        <v>1000</v>
      </c>
      <c r="G63" s="481">
        <v>7.4080010000000002E-2</v>
      </c>
      <c r="H63" s="482">
        <v>23.32</v>
      </c>
      <c r="I63" s="482">
        <v>6.3019999999999996</v>
      </c>
      <c r="J63" s="482">
        <v>0</v>
      </c>
      <c r="K63" s="482">
        <v>0.19220000000000001</v>
      </c>
      <c r="L63" s="482">
        <v>-29.83</v>
      </c>
      <c r="M63" s="482">
        <v>64.95</v>
      </c>
      <c r="N63" s="482">
        <v>0</v>
      </c>
      <c r="O63" s="474" t="s">
        <v>145</v>
      </c>
      <c r="P63" s="166">
        <v>0</v>
      </c>
    </row>
    <row r="64" spans="3:16" ht="24" thickBot="1" x14ac:dyDescent="0.4">
      <c r="C64" s="34" t="s">
        <v>70</v>
      </c>
      <c r="D64" s="476" t="s">
        <v>61</v>
      </c>
      <c r="E64" s="34">
        <v>1000</v>
      </c>
      <c r="F64" s="478">
        <v>1800</v>
      </c>
      <c r="G64" s="483">
        <v>7.4080010000000002E-2</v>
      </c>
      <c r="H64" s="484">
        <v>16.62</v>
      </c>
      <c r="I64" s="484">
        <v>4.2460000000000004</v>
      </c>
      <c r="J64" s="484">
        <v>0</v>
      </c>
      <c r="K64" s="484">
        <v>0.15490000000000001</v>
      </c>
      <c r="L64" s="484">
        <v>0</v>
      </c>
      <c r="M64" s="484">
        <v>0</v>
      </c>
      <c r="N64" s="484">
        <v>0</v>
      </c>
      <c r="O64" s="459" t="s">
        <v>145</v>
      </c>
      <c r="P64" s="166">
        <v>0</v>
      </c>
    </row>
    <row r="65" spans="3:16" x14ac:dyDescent="0.35">
      <c r="C65" s="158"/>
      <c r="D65" s="158"/>
      <c r="E65" s="158"/>
      <c r="F65" s="158"/>
      <c r="G65" s="348"/>
      <c r="H65" s="348"/>
      <c r="I65" s="348"/>
      <c r="J65" s="348"/>
      <c r="K65" s="348"/>
      <c r="L65" s="348"/>
      <c r="M65" s="348"/>
      <c r="N65" s="348"/>
      <c r="P65" s="166"/>
    </row>
    <row r="66" spans="3:16" x14ac:dyDescent="0.35">
      <c r="C66" s="158"/>
      <c r="D66" s="158"/>
      <c r="E66" s="158"/>
      <c r="F66" s="158"/>
      <c r="G66" s="348"/>
      <c r="H66" s="348"/>
      <c r="I66" s="348"/>
      <c r="J66" s="348"/>
      <c r="K66" s="348"/>
      <c r="L66" s="348"/>
      <c r="M66" s="348"/>
      <c r="N66" s="348"/>
      <c r="P66" s="166"/>
    </row>
    <row r="67" spans="3:16" x14ac:dyDescent="0.35">
      <c r="C67" s="158"/>
      <c r="D67" s="158"/>
      <c r="E67" s="158"/>
      <c r="F67" s="158"/>
      <c r="G67" s="348"/>
      <c r="H67" s="348"/>
      <c r="I67" s="348"/>
      <c r="J67" s="348"/>
      <c r="K67" s="348"/>
      <c r="L67" s="348"/>
      <c r="M67" s="348"/>
      <c r="N67" s="348"/>
      <c r="P67" s="166"/>
    </row>
    <row r="68" spans="3:16" x14ac:dyDescent="0.35">
      <c r="C68" s="158"/>
      <c r="D68" s="158"/>
      <c r="E68" s="158"/>
      <c r="F68" s="158"/>
      <c r="G68" s="348"/>
      <c r="H68" s="348"/>
      <c r="I68" s="348"/>
      <c r="J68" s="348"/>
      <c r="K68" s="348"/>
      <c r="L68" s="348"/>
      <c r="M68" s="348"/>
      <c r="N68" s="348"/>
      <c r="P68" s="166"/>
    </row>
    <row r="69" spans="3:16" x14ac:dyDescent="0.35">
      <c r="C69" s="158"/>
      <c r="D69" s="158"/>
      <c r="E69" s="158"/>
      <c r="F69" s="158"/>
      <c r="G69" s="348"/>
      <c r="H69" s="348"/>
      <c r="I69" s="348"/>
      <c r="J69" s="348"/>
      <c r="K69" s="348"/>
      <c r="L69" s="348"/>
      <c r="M69" s="348"/>
      <c r="N69" s="348"/>
      <c r="P69" s="166"/>
    </row>
    <row r="70" spans="3:16" x14ac:dyDescent="0.35">
      <c r="C70" s="158"/>
      <c r="D70" s="158"/>
      <c r="E70" s="158"/>
      <c r="F70" s="158"/>
      <c r="G70" s="348"/>
      <c r="H70" s="348"/>
      <c r="I70" s="348"/>
      <c r="J70" s="348"/>
      <c r="K70" s="348"/>
      <c r="L70" s="348"/>
      <c r="M70" s="348"/>
      <c r="N70" s="348"/>
      <c r="P70" s="166"/>
    </row>
    <row r="71" spans="3:16" x14ac:dyDescent="0.35">
      <c r="C71" s="158"/>
      <c r="D71" s="158"/>
      <c r="E71" s="158"/>
      <c r="F71" s="158"/>
      <c r="G71" s="348"/>
      <c r="H71" s="348"/>
      <c r="I71" s="348"/>
      <c r="J71" s="348"/>
      <c r="K71" s="348"/>
      <c r="L71" s="348"/>
      <c r="M71" s="348"/>
      <c r="N71" s="348"/>
      <c r="P71" s="166"/>
    </row>
    <row r="72" spans="3:16" x14ac:dyDescent="0.35">
      <c r="C72" s="158"/>
      <c r="D72" s="158"/>
      <c r="E72" s="158"/>
      <c r="F72" s="158"/>
      <c r="G72" s="348"/>
      <c r="H72" s="348"/>
      <c r="I72" s="348"/>
      <c r="J72" s="348"/>
      <c r="K72" s="348"/>
      <c r="L72" s="348"/>
      <c r="M72" s="348"/>
      <c r="N72" s="348"/>
      <c r="P72" s="166"/>
    </row>
    <row r="73" spans="3:16" x14ac:dyDescent="0.35">
      <c r="C73" s="158"/>
      <c r="D73" s="158"/>
      <c r="E73" s="158"/>
      <c r="F73" s="158"/>
      <c r="G73" s="348"/>
      <c r="H73" s="348"/>
      <c r="I73" s="348"/>
      <c r="J73" s="348"/>
      <c r="K73" s="348"/>
      <c r="L73" s="348"/>
      <c r="M73" s="348"/>
      <c r="N73" s="348"/>
      <c r="P73" s="166"/>
    </row>
    <row r="74" spans="3:16" x14ac:dyDescent="0.35">
      <c r="C74" s="158"/>
      <c r="D74" s="158"/>
      <c r="E74" s="158"/>
      <c r="F74" s="158"/>
      <c r="G74" s="348"/>
      <c r="H74" s="348"/>
      <c r="I74" s="348"/>
      <c r="J74" s="348"/>
      <c r="K74" s="348"/>
      <c r="L74" s="348"/>
      <c r="M74" s="348"/>
      <c r="N74" s="348"/>
      <c r="P74" s="166"/>
    </row>
    <row r="75" spans="3:16" x14ac:dyDescent="0.35">
      <c r="C75" s="158"/>
      <c r="D75" s="158"/>
      <c r="E75" s="158"/>
      <c r="F75" s="158"/>
      <c r="G75" s="348"/>
      <c r="H75" s="348"/>
      <c r="I75" s="348"/>
      <c r="J75" s="348"/>
      <c r="K75" s="348"/>
      <c r="L75" s="348"/>
      <c r="M75" s="348"/>
      <c r="N75" s="348"/>
      <c r="P75" s="166"/>
    </row>
    <row r="76" spans="3:16" x14ac:dyDescent="0.35">
      <c r="C76" s="158"/>
      <c r="D76" s="158"/>
      <c r="E76" s="158"/>
      <c r="F76" s="158"/>
      <c r="G76" s="348"/>
      <c r="H76" s="348"/>
      <c r="I76" s="348"/>
      <c r="J76" s="348"/>
      <c r="K76" s="348"/>
      <c r="L76" s="348"/>
      <c r="M76" s="348"/>
      <c r="N76" s="348"/>
      <c r="P76" s="166"/>
    </row>
    <row r="77" spans="3:16" x14ac:dyDescent="0.35">
      <c r="C77" s="158"/>
      <c r="D77" s="158"/>
      <c r="E77" s="158"/>
      <c r="F77" s="158"/>
      <c r="G77" s="348"/>
      <c r="H77" s="348"/>
      <c r="I77" s="348"/>
      <c r="J77" s="348"/>
      <c r="K77" s="348"/>
      <c r="L77" s="348"/>
      <c r="M77" s="348"/>
      <c r="N77" s="348"/>
      <c r="P77" s="166"/>
    </row>
    <row r="78" spans="3:16" x14ac:dyDescent="0.35">
      <c r="C78" s="158"/>
      <c r="D78" s="158"/>
      <c r="E78" s="158"/>
      <c r="F78" s="158"/>
      <c r="G78" s="348"/>
      <c r="H78" s="348"/>
      <c r="I78" s="348"/>
      <c r="J78" s="348"/>
      <c r="K78" s="348"/>
      <c r="L78" s="348"/>
      <c r="M78" s="348"/>
      <c r="N78" s="348"/>
      <c r="P78" s="166"/>
    </row>
    <row r="79" spans="3:16" x14ac:dyDescent="0.35">
      <c r="C79" s="158"/>
      <c r="D79" s="158"/>
      <c r="E79" s="158"/>
      <c r="F79" s="158"/>
      <c r="G79" s="348"/>
      <c r="H79" s="348"/>
      <c r="I79" s="348"/>
      <c r="J79" s="348"/>
      <c r="K79" s="348"/>
      <c r="L79" s="348"/>
      <c r="M79" s="348"/>
      <c r="N79" s="348"/>
      <c r="P79" s="166"/>
    </row>
    <row r="80" spans="3:16" x14ac:dyDescent="0.35">
      <c r="C80" s="158"/>
      <c r="D80" s="158"/>
      <c r="E80" s="158"/>
      <c r="F80" s="158"/>
      <c r="G80" s="348"/>
      <c r="H80" s="348"/>
      <c r="I80" s="348"/>
      <c r="J80" s="348"/>
      <c r="K80" s="348"/>
      <c r="L80" s="348"/>
      <c r="M80" s="348"/>
      <c r="N80" s="348"/>
      <c r="P80" s="166"/>
    </row>
    <row r="81" spans="3:16" x14ac:dyDescent="0.35">
      <c r="C81" s="158"/>
      <c r="D81" s="158"/>
      <c r="E81" s="158"/>
      <c r="F81" s="158"/>
      <c r="G81" s="348"/>
      <c r="H81" s="348"/>
      <c r="I81" s="348"/>
      <c r="J81" s="348"/>
      <c r="K81" s="348"/>
      <c r="L81" s="348"/>
      <c r="M81" s="348"/>
      <c r="N81" s="348"/>
      <c r="P81" s="166"/>
    </row>
    <row r="82" spans="3:16" x14ac:dyDescent="0.35">
      <c r="C82" s="158"/>
      <c r="D82" s="158"/>
      <c r="E82" s="158"/>
      <c r="F82" s="158"/>
      <c r="G82" s="348"/>
      <c r="H82" s="348"/>
      <c r="I82" s="348"/>
      <c r="J82" s="348"/>
      <c r="K82" s="348"/>
      <c r="L82" s="348"/>
      <c r="M82" s="348"/>
      <c r="N82" s="348"/>
      <c r="P82" s="166"/>
    </row>
    <row r="83" spans="3:16" x14ac:dyDescent="0.35">
      <c r="C83" s="158"/>
      <c r="D83" s="158"/>
      <c r="E83" s="158"/>
      <c r="F83" s="158"/>
      <c r="G83" s="348"/>
      <c r="H83" s="348"/>
      <c r="I83" s="348"/>
      <c r="J83" s="348"/>
      <c r="K83" s="348"/>
      <c r="L83" s="348"/>
      <c r="M83" s="348"/>
      <c r="N83" s="348"/>
      <c r="P83" s="166"/>
    </row>
    <row r="84" spans="3:16" x14ac:dyDescent="0.35">
      <c r="C84" s="158"/>
      <c r="D84" s="158"/>
      <c r="E84" s="158"/>
      <c r="F84" s="158"/>
      <c r="G84" s="348"/>
      <c r="H84" s="348"/>
      <c r="I84" s="348"/>
      <c r="J84" s="348"/>
      <c r="K84" s="348"/>
      <c r="L84" s="348"/>
      <c r="M84" s="348"/>
      <c r="N84" s="348"/>
      <c r="P84" s="166"/>
    </row>
    <row r="85" spans="3:16" x14ac:dyDescent="0.35">
      <c r="C85" s="158"/>
      <c r="D85" s="158"/>
      <c r="E85" s="158"/>
      <c r="F85" s="158"/>
      <c r="G85" s="348"/>
      <c r="H85" s="348"/>
      <c r="I85" s="348"/>
      <c r="J85" s="348"/>
      <c r="K85" s="348"/>
      <c r="L85" s="348"/>
      <c r="M85" s="348"/>
      <c r="N85" s="348"/>
      <c r="P85" s="166"/>
    </row>
    <row r="86" spans="3:16" x14ac:dyDescent="0.35">
      <c r="C86" s="158"/>
      <c r="D86" s="158"/>
      <c r="E86" s="158"/>
      <c r="F86" s="158"/>
      <c r="G86" s="348"/>
      <c r="H86" s="348"/>
      <c r="I86" s="348"/>
      <c r="J86" s="348"/>
      <c r="K86" s="348"/>
      <c r="L86" s="348"/>
      <c r="M86" s="348"/>
      <c r="N86" s="348"/>
      <c r="P86" s="166"/>
    </row>
    <row r="87" spans="3:16" x14ac:dyDescent="0.35">
      <c r="C87" s="158"/>
      <c r="D87" s="158"/>
      <c r="E87" s="158"/>
      <c r="F87" s="158"/>
      <c r="G87" s="348"/>
      <c r="H87" s="348"/>
      <c r="I87" s="348"/>
      <c r="J87" s="348"/>
      <c r="K87" s="348"/>
      <c r="L87" s="348"/>
      <c r="M87" s="348"/>
      <c r="N87" s="348"/>
      <c r="P87" s="166"/>
    </row>
    <row r="88" spans="3:16" x14ac:dyDescent="0.35">
      <c r="C88" s="158"/>
      <c r="D88" s="158"/>
      <c r="E88" s="158"/>
      <c r="F88" s="158"/>
      <c r="G88" s="348"/>
      <c r="H88" s="348"/>
      <c r="I88" s="348"/>
      <c r="J88" s="348"/>
      <c r="K88" s="348"/>
      <c r="L88" s="348"/>
      <c r="M88" s="348"/>
      <c r="N88" s="348"/>
      <c r="P88" s="166"/>
    </row>
    <row r="89" spans="3:16" x14ac:dyDescent="0.35">
      <c r="C89" s="158"/>
      <c r="D89" s="158"/>
      <c r="E89" s="158"/>
      <c r="F89" s="158"/>
      <c r="G89" s="348"/>
      <c r="H89" s="348"/>
      <c r="I89" s="348"/>
      <c r="J89" s="348"/>
      <c r="K89" s="348"/>
      <c r="L89" s="348"/>
      <c r="M89" s="348"/>
      <c r="N89" s="348"/>
      <c r="P89" s="166"/>
    </row>
    <row r="90" spans="3:16" x14ac:dyDescent="0.35">
      <c r="C90" s="158"/>
      <c r="D90" s="158"/>
      <c r="E90" s="158"/>
      <c r="F90" s="158"/>
      <c r="G90" s="348"/>
      <c r="H90" s="348"/>
      <c r="I90" s="348"/>
      <c r="J90" s="348"/>
      <c r="K90" s="348"/>
      <c r="L90" s="348"/>
      <c r="M90" s="348"/>
      <c r="N90" s="348"/>
      <c r="P90" s="166"/>
    </row>
    <row r="91" spans="3:16" x14ac:dyDescent="0.35">
      <c r="C91" s="158"/>
      <c r="D91" s="158"/>
      <c r="E91" s="158"/>
      <c r="F91" s="158"/>
      <c r="G91" s="348"/>
      <c r="H91" s="348"/>
      <c r="I91" s="348"/>
      <c r="J91" s="348"/>
      <c r="K91" s="348"/>
      <c r="L91" s="348"/>
      <c r="M91" s="348"/>
      <c r="N91" s="348"/>
      <c r="P91" s="166"/>
    </row>
    <row r="92" spans="3:16" x14ac:dyDescent="0.35">
      <c r="C92" s="158"/>
      <c r="D92" s="158"/>
      <c r="E92" s="158"/>
      <c r="F92" s="158"/>
      <c r="G92" s="348"/>
      <c r="H92" s="348"/>
      <c r="I92" s="348"/>
      <c r="J92" s="348"/>
      <c r="K92" s="348"/>
      <c r="L92" s="348"/>
      <c r="M92" s="348"/>
      <c r="N92" s="348"/>
      <c r="P92" s="166"/>
    </row>
    <row r="93" spans="3:16" x14ac:dyDescent="0.35">
      <c r="C93" s="158"/>
      <c r="D93" s="158"/>
      <c r="E93" s="158"/>
      <c r="F93" s="158"/>
      <c r="G93" s="348"/>
      <c r="H93" s="348"/>
      <c r="I93" s="348"/>
      <c r="J93" s="348"/>
      <c r="K93" s="348"/>
      <c r="L93" s="348"/>
      <c r="M93" s="348"/>
      <c r="N93" s="348"/>
      <c r="P93" s="166"/>
    </row>
    <row r="94" spans="3:16" x14ac:dyDescent="0.35">
      <c r="C94" s="158"/>
      <c r="D94" s="158"/>
      <c r="E94" s="158"/>
      <c r="F94" s="158"/>
      <c r="G94" s="348"/>
      <c r="H94" s="348"/>
      <c r="I94" s="348"/>
      <c r="J94" s="348"/>
      <c r="K94" s="348"/>
      <c r="L94" s="348"/>
      <c r="M94" s="348"/>
      <c r="N94" s="348"/>
      <c r="P94" s="166"/>
    </row>
    <row r="95" spans="3:16" x14ac:dyDescent="0.35">
      <c r="C95" s="158"/>
      <c r="D95" s="158"/>
      <c r="E95" s="158"/>
      <c r="F95" s="158"/>
      <c r="G95" s="348"/>
      <c r="H95" s="348"/>
      <c r="I95" s="348"/>
      <c r="J95" s="348"/>
      <c r="K95" s="348"/>
      <c r="L95" s="348"/>
      <c r="M95" s="348"/>
      <c r="N95" s="348"/>
      <c r="P95" s="166"/>
    </row>
    <row r="96" spans="3:16" x14ac:dyDescent="0.35">
      <c r="C96" s="158"/>
      <c r="D96" s="158"/>
      <c r="E96" s="158"/>
      <c r="F96" s="158"/>
      <c r="G96" s="348"/>
      <c r="H96" s="348"/>
      <c r="I96" s="348"/>
      <c r="J96" s="348"/>
      <c r="K96" s="348"/>
      <c r="L96" s="348"/>
      <c r="M96" s="348"/>
      <c r="N96" s="348"/>
      <c r="P96" s="166"/>
    </row>
    <row r="97" spans="3:16" x14ac:dyDescent="0.35">
      <c r="C97" s="158"/>
      <c r="D97" s="158"/>
      <c r="E97" s="158"/>
      <c r="F97" s="158"/>
      <c r="G97" s="348"/>
      <c r="H97" s="348"/>
      <c r="I97" s="348"/>
      <c r="J97" s="348"/>
      <c r="K97" s="348"/>
      <c r="L97" s="348"/>
      <c r="M97" s="348"/>
      <c r="N97" s="348"/>
      <c r="P97" s="166"/>
    </row>
    <row r="98" spans="3:16" x14ac:dyDescent="0.35">
      <c r="C98" s="158"/>
      <c r="D98" s="158"/>
      <c r="E98" s="158"/>
      <c r="F98" s="158"/>
      <c r="G98" s="348"/>
      <c r="H98" s="348"/>
      <c r="I98" s="348"/>
      <c r="J98" s="348"/>
      <c r="K98" s="348"/>
      <c r="L98" s="348"/>
      <c r="M98" s="348"/>
      <c r="N98" s="348"/>
      <c r="P98" s="166"/>
    </row>
    <row r="99" spans="3:16" x14ac:dyDescent="0.35">
      <c r="C99" s="158"/>
      <c r="D99" s="158"/>
      <c r="E99" s="158"/>
      <c r="F99" s="158"/>
      <c r="G99" s="348"/>
      <c r="H99" s="348"/>
      <c r="I99" s="348"/>
      <c r="J99" s="348"/>
      <c r="K99" s="348"/>
      <c r="L99" s="348"/>
      <c r="M99" s="348"/>
      <c r="N99" s="348"/>
      <c r="P99" s="166"/>
    </row>
    <row r="100" spans="3:16" x14ac:dyDescent="0.35">
      <c r="C100" s="158"/>
      <c r="D100" s="158"/>
      <c r="E100" s="158"/>
      <c r="F100" s="158"/>
      <c r="G100" s="348"/>
      <c r="H100" s="348"/>
      <c r="I100" s="348"/>
      <c r="J100" s="348"/>
      <c r="K100" s="348"/>
      <c r="L100" s="348"/>
      <c r="M100" s="348"/>
      <c r="N100" s="348"/>
      <c r="P100" s="166"/>
    </row>
    <row r="101" spans="3:16" x14ac:dyDescent="0.35">
      <c r="C101" s="158"/>
      <c r="D101" s="158"/>
      <c r="E101" s="158"/>
      <c r="F101" s="158"/>
      <c r="G101" s="348"/>
      <c r="H101" s="348"/>
      <c r="I101" s="348"/>
      <c r="J101" s="348"/>
      <c r="K101" s="348"/>
      <c r="L101" s="348"/>
      <c r="M101" s="348"/>
      <c r="N101" s="348"/>
      <c r="P101" s="166"/>
    </row>
    <row r="102" spans="3:16" x14ac:dyDescent="0.35">
      <c r="C102" s="158"/>
      <c r="D102" s="158"/>
      <c r="E102" s="158"/>
      <c r="F102" s="158"/>
      <c r="G102" s="348"/>
      <c r="H102" s="348"/>
      <c r="I102" s="348"/>
      <c r="J102" s="348"/>
      <c r="K102" s="348"/>
      <c r="L102" s="348"/>
      <c r="M102" s="348"/>
      <c r="N102" s="348"/>
      <c r="P102" s="166"/>
    </row>
    <row r="103" spans="3:16" x14ac:dyDescent="0.35">
      <c r="C103" s="158"/>
      <c r="D103" s="158"/>
      <c r="E103" s="158"/>
      <c r="F103" s="158"/>
      <c r="G103" s="348"/>
      <c r="H103" s="348"/>
      <c r="I103" s="348"/>
      <c r="J103" s="348"/>
      <c r="K103" s="348"/>
      <c r="L103" s="348"/>
      <c r="M103" s="348"/>
      <c r="N103" s="348"/>
    </row>
    <row r="104" spans="3:16" x14ac:dyDescent="0.35">
      <c r="C104" s="158"/>
      <c r="D104" s="158"/>
      <c r="E104" s="158"/>
      <c r="F104" s="158"/>
      <c r="G104" s="348"/>
      <c r="H104" s="348"/>
      <c r="I104" s="348"/>
      <c r="J104" s="348"/>
      <c r="K104" s="348"/>
      <c r="L104" s="348"/>
      <c r="M104" s="348"/>
      <c r="N104" s="348"/>
    </row>
    <row r="105" spans="3:16" x14ac:dyDescent="0.35">
      <c r="C105" s="158"/>
      <c r="D105" s="158"/>
      <c r="E105" s="158"/>
      <c r="F105" s="158"/>
      <c r="G105" s="348"/>
      <c r="H105" s="348"/>
      <c r="I105" s="348"/>
      <c r="J105" s="348"/>
      <c r="K105" s="348"/>
      <c r="L105" s="348"/>
      <c r="M105" s="348"/>
      <c r="N105" s="348"/>
    </row>
    <row r="106" spans="3:16" x14ac:dyDescent="0.35">
      <c r="C106" s="158"/>
      <c r="D106" s="158"/>
      <c r="E106" s="158"/>
      <c r="F106" s="158"/>
      <c r="G106" s="348"/>
      <c r="H106" s="348"/>
      <c r="I106" s="348"/>
      <c r="J106" s="348"/>
      <c r="K106" s="348"/>
      <c r="L106" s="348"/>
      <c r="M106" s="348"/>
      <c r="N106" s="348"/>
    </row>
    <row r="107" spans="3:16" x14ac:dyDescent="0.35">
      <c r="C107" s="158"/>
      <c r="D107" s="158"/>
      <c r="E107" s="158"/>
      <c r="F107" s="158"/>
      <c r="G107" s="348"/>
      <c r="H107" s="348"/>
      <c r="I107" s="348"/>
      <c r="J107" s="348"/>
      <c r="K107" s="348"/>
      <c r="L107" s="348"/>
      <c r="M107" s="348"/>
      <c r="N107" s="348"/>
    </row>
    <row r="108" spans="3:16" x14ac:dyDescent="0.35">
      <c r="C108" s="158"/>
      <c r="D108" s="158"/>
      <c r="E108" s="158"/>
      <c r="F108" s="158"/>
      <c r="G108" s="348"/>
      <c r="H108" s="348"/>
      <c r="I108" s="348"/>
      <c r="J108" s="348"/>
      <c r="K108" s="348"/>
      <c r="L108" s="348"/>
      <c r="M108" s="348"/>
      <c r="N108" s="348"/>
    </row>
    <row r="109" spans="3:16" x14ac:dyDescent="0.35">
      <c r="C109" s="158"/>
      <c r="D109" s="158"/>
      <c r="E109" s="158"/>
      <c r="F109" s="158"/>
      <c r="G109" s="348"/>
      <c r="H109" s="348"/>
      <c r="I109" s="348"/>
      <c r="J109" s="348"/>
      <c r="K109" s="348"/>
      <c r="L109" s="348"/>
      <c r="M109" s="348"/>
      <c r="N109" s="348"/>
    </row>
    <row r="110" spans="3:16" x14ac:dyDescent="0.35">
      <c r="C110" s="158"/>
      <c r="D110" s="158"/>
      <c r="E110" s="158"/>
      <c r="F110" s="158"/>
      <c r="G110" s="348"/>
      <c r="H110" s="348"/>
      <c r="I110" s="348"/>
      <c r="J110" s="348"/>
      <c r="K110" s="348"/>
      <c r="L110" s="348"/>
      <c r="M110" s="348"/>
      <c r="N110" s="348"/>
    </row>
    <row r="111" spans="3:16" x14ac:dyDescent="0.35">
      <c r="C111" s="158"/>
      <c r="D111" s="158"/>
      <c r="E111" s="158"/>
      <c r="F111" s="158"/>
      <c r="G111" s="348"/>
      <c r="H111" s="348"/>
      <c r="I111" s="348"/>
      <c r="J111" s="348"/>
      <c r="K111" s="348"/>
      <c r="L111" s="348"/>
      <c r="M111" s="348"/>
      <c r="N111" s="348"/>
    </row>
    <row r="112" spans="3:16" x14ac:dyDescent="0.35">
      <c r="C112" s="158"/>
      <c r="D112" s="158"/>
      <c r="E112" s="158"/>
      <c r="F112" s="158"/>
      <c r="G112" s="348"/>
      <c r="H112" s="348"/>
      <c r="I112" s="348"/>
      <c r="J112" s="348"/>
      <c r="K112" s="348"/>
      <c r="L112" s="348"/>
      <c r="M112" s="348"/>
      <c r="N112" s="348"/>
    </row>
    <row r="113" spans="3:14" x14ac:dyDescent="0.35">
      <c r="C113" s="158"/>
      <c r="D113" s="158"/>
      <c r="E113" s="158"/>
      <c r="F113" s="158"/>
      <c r="G113" s="348"/>
      <c r="H113" s="348"/>
      <c r="I113" s="348"/>
      <c r="J113" s="348"/>
      <c r="K113" s="348"/>
      <c r="L113" s="348"/>
      <c r="M113" s="348"/>
      <c r="N113" s="348"/>
    </row>
    <row r="114" spans="3:14" x14ac:dyDescent="0.35">
      <c r="C114" s="158"/>
      <c r="D114" s="158"/>
      <c r="E114" s="158"/>
      <c r="F114" s="158"/>
      <c r="G114" s="348"/>
      <c r="H114" s="348"/>
      <c r="I114" s="348"/>
      <c r="J114" s="348"/>
      <c r="K114" s="348"/>
      <c r="L114" s="348"/>
      <c r="M114" s="348"/>
      <c r="N114" s="348"/>
    </row>
    <row r="115" spans="3:14" x14ac:dyDescent="0.35">
      <c r="C115" s="158"/>
      <c r="D115" s="158"/>
      <c r="E115" s="158"/>
      <c r="F115" s="158"/>
      <c r="G115" s="348"/>
      <c r="H115" s="348"/>
      <c r="I115" s="348"/>
      <c r="J115" s="348"/>
      <c r="K115" s="348"/>
      <c r="L115" s="348"/>
      <c r="M115" s="348"/>
      <c r="N115" s="348"/>
    </row>
    <row r="116" spans="3:14" x14ac:dyDescent="0.35">
      <c r="C116" s="158"/>
      <c r="D116" s="158"/>
      <c r="E116" s="158"/>
      <c r="F116" s="158"/>
      <c r="G116" s="348"/>
      <c r="H116" s="348"/>
      <c r="I116" s="348"/>
      <c r="J116" s="348"/>
      <c r="K116" s="348"/>
      <c r="L116" s="348"/>
      <c r="M116" s="348"/>
      <c r="N116" s="348"/>
    </row>
    <row r="117" spans="3:14" x14ac:dyDescent="0.35">
      <c r="C117" s="158"/>
      <c r="D117" s="158"/>
      <c r="E117" s="158"/>
      <c r="F117" s="158"/>
      <c r="G117" s="348"/>
      <c r="H117" s="348"/>
      <c r="I117" s="348"/>
      <c r="J117" s="348"/>
      <c r="K117" s="348"/>
      <c r="L117" s="348"/>
      <c r="M117" s="348"/>
      <c r="N117" s="348"/>
    </row>
    <row r="118" spans="3:14" x14ac:dyDescent="0.35">
      <c r="C118" s="158"/>
      <c r="D118" s="158"/>
      <c r="E118" s="158"/>
      <c r="F118" s="158"/>
      <c r="G118" s="348"/>
      <c r="H118" s="348"/>
      <c r="I118" s="348"/>
      <c r="J118" s="348"/>
      <c r="K118" s="348"/>
      <c r="L118" s="348"/>
      <c r="M118" s="348"/>
      <c r="N118" s="348"/>
    </row>
    <row r="119" spans="3:14" x14ac:dyDescent="0.35">
      <c r="C119" s="158"/>
      <c r="D119" s="158"/>
      <c r="E119" s="158"/>
      <c r="F119" s="158"/>
      <c r="G119" s="348"/>
      <c r="H119" s="348"/>
      <c r="I119" s="348"/>
      <c r="J119" s="348"/>
      <c r="K119" s="348"/>
      <c r="L119" s="348"/>
      <c r="M119" s="348"/>
      <c r="N119" s="348"/>
    </row>
    <row r="120" spans="3:14" x14ac:dyDescent="0.35">
      <c r="C120" s="158"/>
      <c r="D120" s="158"/>
      <c r="E120" s="158"/>
      <c r="F120" s="158"/>
      <c r="G120" s="348"/>
      <c r="H120" s="348"/>
      <c r="I120" s="348"/>
      <c r="J120" s="348"/>
      <c r="K120" s="348"/>
      <c r="L120" s="348"/>
      <c r="M120" s="348"/>
      <c r="N120" s="348"/>
    </row>
    <row r="121" spans="3:14" x14ac:dyDescent="0.35">
      <c r="C121" s="158"/>
      <c r="D121" s="158"/>
      <c r="E121" s="158"/>
      <c r="F121" s="158"/>
      <c r="G121" s="348"/>
      <c r="H121" s="348"/>
      <c r="I121" s="348"/>
      <c r="J121" s="348"/>
      <c r="K121" s="348"/>
      <c r="L121" s="348"/>
      <c r="M121" s="348"/>
      <c r="N121" s="348"/>
    </row>
    <row r="122" spans="3:14" x14ac:dyDescent="0.35">
      <c r="C122" s="158"/>
      <c r="D122" s="158"/>
      <c r="E122" s="158"/>
      <c r="F122" s="158"/>
      <c r="G122" s="348"/>
      <c r="H122" s="348"/>
      <c r="I122" s="348"/>
      <c r="J122" s="348"/>
      <c r="K122" s="348"/>
      <c r="L122" s="348"/>
      <c r="M122" s="348"/>
      <c r="N122" s="348"/>
    </row>
    <row r="123" spans="3:14" x14ac:dyDescent="0.35">
      <c r="C123" s="158"/>
      <c r="D123" s="158"/>
      <c r="E123" s="158"/>
      <c r="F123" s="158"/>
      <c r="G123" s="348"/>
      <c r="H123" s="348"/>
      <c r="I123" s="348"/>
      <c r="J123" s="348"/>
      <c r="K123" s="348"/>
      <c r="L123" s="348"/>
      <c r="M123" s="348"/>
      <c r="N123" s="348"/>
    </row>
    <row r="124" spans="3:14" x14ac:dyDescent="0.35">
      <c r="C124" s="158"/>
      <c r="D124" s="158"/>
      <c r="E124" s="158"/>
      <c r="F124" s="158"/>
      <c r="G124" s="348"/>
      <c r="H124" s="348"/>
      <c r="I124" s="348"/>
      <c r="J124" s="348"/>
      <c r="K124" s="348"/>
      <c r="L124" s="348"/>
      <c r="M124" s="348"/>
      <c r="N124" s="348"/>
    </row>
    <row r="125" spans="3:14" x14ac:dyDescent="0.35">
      <c r="C125" s="158"/>
      <c r="D125" s="158"/>
      <c r="E125" s="158"/>
      <c r="F125" s="158"/>
      <c r="G125" s="348"/>
      <c r="H125" s="348"/>
      <c r="I125" s="348"/>
      <c r="J125" s="348"/>
      <c r="K125" s="348"/>
      <c r="L125" s="348"/>
      <c r="M125" s="348"/>
      <c r="N125" s="348"/>
    </row>
    <row r="126" spans="3:14" x14ac:dyDescent="0.35">
      <c r="C126" s="158"/>
      <c r="D126" s="158"/>
      <c r="E126" s="158"/>
      <c r="F126" s="158"/>
      <c r="G126" s="348"/>
      <c r="H126" s="348"/>
      <c r="I126" s="348"/>
      <c r="J126" s="348"/>
      <c r="K126" s="348"/>
      <c r="L126" s="348"/>
      <c r="M126" s="348"/>
      <c r="N126" s="348"/>
    </row>
    <row r="127" spans="3:14" x14ac:dyDescent="0.35">
      <c r="C127" s="158"/>
      <c r="D127" s="158"/>
      <c r="E127" s="158"/>
      <c r="F127" s="158"/>
      <c r="G127" s="348"/>
      <c r="H127" s="348"/>
      <c r="I127" s="348"/>
      <c r="J127" s="348"/>
      <c r="K127" s="348"/>
      <c r="L127" s="348"/>
      <c r="M127" s="348"/>
      <c r="N127" s="348"/>
    </row>
    <row r="128" spans="3:14" x14ac:dyDescent="0.35">
      <c r="C128" s="158"/>
      <c r="D128" s="158"/>
      <c r="E128" s="158"/>
      <c r="F128" s="158"/>
      <c r="G128" s="348"/>
      <c r="H128" s="348"/>
      <c r="I128" s="348"/>
      <c r="J128" s="348"/>
      <c r="K128" s="348"/>
      <c r="L128" s="348"/>
      <c r="M128" s="348"/>
      <c r="N128" s="348"/>
    </row>
    <row r="129" spans="3:14" x14ac:dyDescent="0.35">
      <c r="C129" s="158"/>
      <c r="D129" s="158"/>
      <c r="E129" s="158"/>
      <c r="F129" s="158"/>
      <c r="G129" s="348"/>
      <c r="H129" s="348"/>
      <c r="I129" s="348"/>
      <c r="J129" s="348"/>
      <c r="K129" s="348"/>
      <c r="L129" s="348"/>
      <c r="M129" s="348"/>
      <c r="N129" s="348"/>
    </row>
    <row r="130" spans="3:14" x14ac:dyDescent="0.35">
      <c r="C130" s="158"/>
      <c r="D130" s="158"/>
      <c r="E130" s="158"/>
      <c r="F130" s="158"/>
      <c r="G130" s="348"/>
      <c r="H130" s="348"/>
      <c r="I130" s="348"/>
      <c r="J130" s="348"/>
      <c r="K130" s="348"/>
      <c r="L130" s="348"/>
      <c r="M130" s="348"/>
      <c r="N130" s="348"/>
    </row>
    <row r="131" spans="3:14" x14ac:dyDescent="0.35">
      <c r="C131" s="158"/>
      <c r="D131" s="158"/>
      <c r="E131" s="158"/>
      <c r="F131" s="158"/>
      <c r="G131" s="348"/>
      <c r="H131" s="348"/>
      <c r="I131" s="348"/>
      <c r="J131" s="348"/>
      <c r="K131" s="348"/>
      <c r="L131" s="348"/>
      <c r="M131" s="348"/>
      <c r="N131" s="348"/>
    </row>
    <row r="132" spans="3:14" x14ac:dyDescent="0.35">
      <c r="C132" s="158"/>
      <c r="D132" s="158"/>
      <c r="E132" s="158"/>
      <c r="F132" s="158"/>
      <c r="G132" s="348"/>
      <c r="H132" s="348"/>
      <c r="I132" s="348"/>
      <c r="J132" s="348"/>
      <c r="K132" s="348"/>
      <c r="L132" s="348"/>
      <c r="M132" s="348"/>
      <c r="N132" s="348"/>
    </row>
    <row r="133" spans="3:14" x14ac:dyDescent="0.35">
      <c r="C133" s="158"/>
      <c r="D133" s="158"/>
      <c r="E133" s="158"/>
      <c r="F133" s="158"/>
      <c r="G133" s="348"/>
      <c r="H133" s="348"/>
      <c r="I133" s="348"/>
      <c r="J133" s="348"/>
      <c r="K133" s="348"/>
      <c r="L133" s="348"/>
      <c r="M133" s="348"/>
      <c r="N133" s="348"/>
    </row>
    <row r="134" spans="3:14" x14ac:dyDescent="0.35">
      <c r="C134" s="158"/>
      <c r="D134" s="158"/>
      <c r="E134" s="158"/>
      <c r="F134" s="158"/>
      <c r="G134" s="348"/>
      <c r="H134" s="348"/>
      <c r="I134" s="348"/>
      <c r="J134" s="348"/>
      <c r="K134" s="348"/>
      <c r="L134" s="348"/>
      <c r="M134" s="348"/>
      <c r="N134" s="348"/>
    </row>
    <row r="135" spans="3:14" x14ac:dyDescent="0.35">
      <c r="C135" s="158"/>
      <c r="D135" s="158"/>
      <c r="E135" s="158"/>
      <c r="F135" s="158"/>
      <c r="G135" s="348"/>
      <c r="H135" s="348"/>
      <c r="I135" s="348"/>
      <c r="J135" s="348"/>
      <c r="K135" s="348"/>
      <c r="L135" s="348"/>
      <c r="M135" s="348"/>
      <c r="N135" s="348"/>
    </row>
    <row r="136" spans="3:14" x14ac:dyDescent="0.35">
      <c r="C136" s="158"/>
      <c r="D136" s="158"/>
      <c r="E136" s="158"/>
      <c r="F136" s="158"/>
      <c r="G136" s="348"/>
      <c r="H136" s="348"/>
      <c r="I136" s="348"/>
      <c r="J136" s="348"/>
      <c r="K136" s="348"/>
      <c r="L136" s="348"/>
      <c r="M136" s="348"/>
      <c r="N136" s="348"/>
    </row>
    <row r="137" spans="3:14" x14ac:dyDescent="0.35">
      <c r="C137" s="158"/>
      <c r="D137" s="158"/>
      <c r="E137" s="158"/>
      <c r="F137" s="158"/>
      <c r="G137" s="348"/>
      <c r="H137" s="348"/>
      <c r="I137" s="348"/>
      <c r="J137" s="348"/>
      <c r="K137" s="348"/>
      <c r="L137" s="348"/>
      <c r="M137" s="348"/>
      <c r="N137" s="348"/>
    </row>
    <row r="138" spans="3:14" x14ac:dyDescent="0.35">
      <c r="C138" s="158"/>
      <c r="D138" s="158"/>
      <c r="E138" s="158"/>
      <c r="F138" s="158"/>
      <c r="G138" s="348"/>
      <c r="H138" s="348"/>
      <c r="I138" s="348"/>
      <c r="J138" s="348"/>
      <c r="K138" s="348"/>
      <c r="L138" s="348"/>
      <c r="M138" s="348"/>
      <c r="N138" s="348"/>
    </row>
    <row r="139" spans="3:14" x14ac:dyDescent="0.35">
      <c r="C139" s="158"/>
      <c r="D139" s="158"/>
      <c r="E139" s="158"/>
      <c r="F139" s="158"/>
      <c r="G139" s="348"/>
      <c r="H139" s="348"/>
      <c r="I139" s="348"/>
      <c r="J139" s="348"/>
      <c r="K139" s="348"/>
      <c r="L139" s="348"/>
      <c r="M139" s="348"/>
      <c r="N139" s="348"/>
    </row>
    <row r="140" spans="3:14" x14ac:dyDescent="0.35">
      <c r="C140" s="158"/>
      <c r="D140" s="158"/>
      <c r="E140" s="158"/>
      <c r="F140" s="158"/>
      <c r="G140" s="348"/>
      <c r="H140" s="348"/>
      <c r="I140" s="348"/>
      <c r="J140" s="348"/>
      <c r="K140" s="348"/>
      <c r="L140" s="348"/>
      <c r="M140" s="348"/>
      <c r="N140" s="348"/>
    </row>
    <row r="141" spans="3:14" x14ac:dyDescent="0.35">
      <c r="C141" s="158"/>
      <c r="D141" s="158"/>
      <c r="E141" s="158"/>
      <c r="F141" s="158"/>
      <c r="G141" s="348"/>
      <c r="H141" s="348"/>
      <c r="I141" s="348"/>
      <c r="J141" s="348"/>
      <c r="K141" s="348"/>
      <c r="L141" s="348"/>
      <c r="M141" s="348"/>
      <c r="N141" s="348"/>
    </row>
    <row r="142" spans="3:14" x14ac:dyDescent="0.35">
      <c r="C142" s="158"/>
      <c r="D142" s="158"/>
      <c r="E142" s="158"/>
      <c r="F142" s="158"/>
      <c r="G142" s="348"/>
      <c r="H142" s="348"/>
      <c r="I142" s="348"/>
      <c r="J142" s="348"/>
      <c r="K142" s="348"/>
      <c r="L142" s="348"/>
      <c r="M142" s="348"/>
      <c r="N142" s="348"/>
    </row>
    <row r="143" spans="3:14" x14ac:dyDescent="0.35">
      <c r="C143" s="158"/>
      <c r="D143" s="158"/>
      <c r="E143" s="158"/>
      <c r="F143" s="158"/>
      <c r="G143" s="348"/>
      <c r="H143" s="348"/>
      <c r="I143" s="348"/>
      <c r="J143" s="348"/>
      <c r="K143" s="348"/>
      <c r="L143" s="348"/>
      <c r="M143" s="348"/>
      <c r="N143" s="348"/>
    </row>
    <row r="144" spans="3:14" x14ac:dyDescent="0.35">
      <c r="C144" s="158"/>
      <c r="D144" s="158"/>
      <c r="E144" s="158"/>
      <c r="F144" s="158"/>
      <c r="G144" s="348"/>
      <c r="H144" s="348"/>
      <c r="I144" s="348"/>
      <c r="J144" s="348"/>
      <c r="K144" s="348"/>
      <c r="L144" s="348"/>
      <c r="M144" s="348"/>
      <c r="N144" s="348"/>
    </row>
    <row r="145" spans="3:14" x14ac:dyDescent="0.35">
      <c r="C145" s="158"/>
      <c r="D145" s="158"/>
      <c r="E145" s="158"/>
      <c r="F145" s="158"/>
      <c r="G145" s="348"/>
      <c r="H145" s="348"/>
      <c r="I145" s="348"/>
      <c r="J145" s="348"/>
      <c r="K145" s="348"/>
      <c r="L145" s="348"/>
      <c r="M145" s="348"/>
      <c r="N145" s="348"/>
    </row>
    <row r="146" spans="3:14" x14ac:dyDescent="0.35">
      <c r="C146" s="158"/>
      <c r="D146" s="158"/>
      <c r="E146" s="158"/>
      <c r="F146" s="158"/>
      <c r="G146" s="348"/>
      <c r="H146" s="348"/>
      <c r="I146" s="348"/>
      <c r="J146" s="348"/>
      <c r="K146" s="348"/>
      <c r="L146" s="348"/>
      <c r="M146" s="348"/>
      <c r="N146" s="348"/>
    </row>
    <row r="147" spans="3:14" x14ac:dyDescent="0.35">
      <c r="C147" s="158"/>
      <c r="D147" s="158"/>
      <c r="E147" s="158"/>
      <c r="F147" s="158"/>
      <c r="G147" s="348"/>
      <c r="H147" s="348"/>
      <c r="I147" s="348"/>
      <c r="J147" s="348"/>
      <c r="K147" s="348"/>
      <c r="L147" s="348"/>
      <c r="M147" s="348"/>
      <c r="N147" s="348"/>
    </row>
    <row r="148" spans="3:14" x14ac:dyDescent="0.35">
      <c r="C148" s="158"/>
      <c r="D148" s="158"/>
      <c r="E148" s="158"/>
      <c r="F148" s="158"/>
      <c r="G148" s="348"/>
      <c r="H148" s="348"/>
      <c r="I148" s="348"/>
      <c r="J148" s="348"/>
      <c r="K148" s="348"/>
      <c r="L148" s="348"/>
      <c r="M148" s="348"/>
      <c r="N148" s="348"/>
    </row>
    <row r="149" spans="3:14" x14ac:dyDescent="0.35">
      <c r="C149" s="158"/>
      <c r="D149" s="158"/>
      <c r="E149" s="158"/>
      <c r="F149" s="158"/>
      <c r="G149" s="348"/>
      <c r="H149" s="348"/>
      <c r="I149" s="348"/>
      <c r="J149" s="348"/>
      <c r="K149" s="348"/>
      <c r="L149" s="348"/>
      <c r="M149" s="348"/>
      <c r="N149" s="348"/>
    </row>
    <row r="150" spans="3:14" x14ac:dyDescent="0.35">
      <c r="C150" s="158"/>
      <c r="D150" s="158"/>
      <c r="E150" s="158"/>
      <c r="F150" s="158"/>
      <c r="G150" s="348"/>
      <c r="H150" s="348"/>
      <c r="I150" s="348"/>
      <c r="J150" s="348"/>
      <c r="K150" s="348"/>
      <c r="L150" s="348"/>
      <c r="M150" s="348"/>
      <c r="N150" s="348"/>
    </row>
    <row r="151" spans="3:14" x14ac:dyDescent="0.35">
      <c r="C151" s="158"/>
      <c r="D151" s="158"/>
      <c r="E151" s="158"/>
      <c r="F151" s="158"/>
      <c r="G151" s="348"/>
      <c r="H151" s="348"/>
      <c r="I151" s="348"/>
      <c r="J151" s="348"/>
      <c r="K151" s="348"/>
      <c r="L151" s="348"/>
      <c r="M151" s="348"/>
      <c r="N151" s="348"/>
    </row>
    <row r="152" spans="3:14" x14ac:dyDescent="0.35">
      <c r="C152" s="158"/>
      <c r="D152" s="158"/>
      <c r="E152" s="158"/>
      <c r="F152" s="158"/>
      <c r="G152" s="348"/>
      <c r="H152" s="348"/>
      <c r="I152" s="348"/>
      <c r="J152" s="348"/>
      <c r="K152" s="348"/>
      <c r="L152" s="348"/>
      <c r="M152" s="348"/>
      <c r="N152" s="348"/>
    </row>
    <row r="153" spans="3:14" x14ac:dyDescent="0.35">
      <c r="C153" s="158"/>
      <c r="D153" s="158"/>
      <c r="E153" s="158"/>
      <c r="F153" s="158"/>
      <c r="G153" s="348"/>
      <c r="H153" s="348"/>
      <c r="I153" s="348"/>
      <c r="J153" s="348"/>
      <c r="K153" s="348"/>
      <c r="L153" s="348"/>
      <c r="M153" s="348"/>
      <c r="N153" s="348"/>
    </row>
    <row r="154" spans="3:14" x14ac:dyDescent="0.35">
      <c r="C154" s="158"/>
      <c r="D154" s="158"/>
      <c r="E154" s="158"/>
      <c r="F154" s="158"/>
      <c r="G154" s="348"/>
      <c r="H154" s="348"/>
      <c r="I154" s="348"/>
      <c r="J154" s="348"/>
      <c r="K154" s="348"/>
      <c r="L154" s="348"/>
      <c r="M154" s="348"/>
      <c r="N154" s="348"/>
    </row>
    <row r="155" spans="3:14" x14ac:dyDescent="0.35">
      <c r="C155" s="158"/>
      <c r="D155" s="158"/>
      <c r="E155" s="158"/>
      <c r="F155" s="158"/>
      <c r="G155" s="348"/>
      <c r="H155" s="348"/>
      <c r="I155" s="348"/>
      <c r="J155" s="348"/>
      <c r="K155" s="348"/>
      <c r="L155" s="348"/>
      <c r="M155" s="348"/>
      <c r="N155" s="348"/>
    </row>
    <row r="156" spans="3:14" x14ac:dyDescent="0.35">
      <c r="C156" s="158"/>
      <c r="D156" s="158"/>
      <c r="E156" s="158"/>
      <c r="F156" s="158"/>
      <c r="G156" s="348"/>
      <c r="H156" s="348"/>
      <c r="I156" s="348"/>
      <c r="J156" s="348"/>
      <c r="K156" s="348"/>
      <c r="L156" s="348"/>
      <c r="M156" s="348"/>
      <c r="N156" s="348"/>
    </row>
    <row r="157" spans="3:14" x14ac:dyDescent="0.35">
      <c r="C157" s="158"/>
      <c r="D157" s="158"/>
      <c r="E157" s="158"/>
      <c r="F157" s="158"/>
      <c r="G157" s="348"/>
      <c r="H157" s="348"/>
      <c r="I157" s="348"/>
      <c r="J157" s="348"/>
      <c r="K157" s="348"/>
      <c r="L157" s="348"/>
      <c r="M157" s="348"/>
      <c r="N157" s="348"/>
    </row>
    <row r="158" spans="3:14" x14ac:dyDescent="0.35">
      <c r="C158" s="158"/>
      <c r="D158" s="158"/>
      <c r="E158" s="158"/>
      <c r="F158" s="158"/>
      <c r="G158" s="348"/>
      <c r="H158" s="348"/>
      <c r="I158" s="348"/>
      <c r="J158" s="348"/>
      <c r="K158" s="348"/>
      <c r="L158" s="348"/>
      <c r="M158" s="348"/>
      <c r="N158" s="348"/>
    </row>
    <row r="159" spans="3:14" x14ac:dyDescent="0.35">
      <c r="C159" s="158"/>
      <c r="D159" s="158"/>
      <c r="E159" s="158"/>
      <c r="F159" s="158"/>
      <c r="G159" s="348"/>
      <c r="H159" s="348"/>
      <c r="I159" s="348"/>
      <c r="J159" s="348"/>
      <c r="K159" s="348"/>
      <c r="L159" s="348"/>
      <c r="M159" s="348"/>
      <c r="N159" s="348"/>
    </row>
    <row r="160" spans="3:14" x14ac:dyDescent="0.35">
      <c r="C160" s="158"/>
      <c r="D160" s="158"/>
      <c r="E160" s="158"/>
      <c r="F160" s="158"/>
      <c r="G160" s="348"/>
      <c r="H160" s="348"/>
      <c r="I160" s="348"/>
      <c r="J160" s="348"/>
      <c r="K160" s="348"/>
      <c r="L160" s="348"/>
      <c r="M160" s="348"/>
      <c r="N160" s="348"/>
    </row>
    <row r="161" spans="3:14" x14ac:dyDescent="0.35">
      <c r="C161" s="158"/>
      <c r="D161" s="158"/>
      <c r="E161" s="158"/>
      <c r="F161" s="158"/>
      <c r="G161" s="348"/>
      <c r="H161" s="348"/>
      <c r="I161" s="348"/>
      <c r="J161" s="348"/>
      <c r="K161" s="348"/>
      <c r="L161" s="348"/>
      <c r="M161" s="348"/>
      <c r="N161" s="348"/>
    </row>
    <row r="162" spans="3:14" x14ac:dyDescent="0.35">
      <c r="C162" s="158"/>
      <c r="D162" s="158"/>
      <c r="E162" s="158"/>
      <c r="F162" s="158"/>
      <c r="G162" s="348"/>
      <c r="H162" s="348"/>
      <c r="I162" s="348"/>
      <c r="J162" s="348"/>
      <c r="K162" s="348"/>
      <c r="L162" s="348"/>
      <c r="M162" s="348"/>
      <c r="N162" s="348"/>
    </row>
    <row r="163" spans="3:14" x14ac:dyDescent="0.35">
      <c r="C163" s="158"/>
      <c r="D163" s="158"/>
      <c r="E163" s="158"/>
      <c r="F163" s="158"/>
      <c r="G163" s="348"/>
      <c r="H163" s="348"/>
      <c r="I163" s="348"/>
      <c r="J163" s="348"/>
      <c r="K163" s="348"/>
      <c r="L163" s="348"/>
      <c r="M163" s="348"/>
      <c r="N163" s="348"/>
    </row>
    <row r="164" spans="3:14" x14ac:dyDescent="0.35">
      <c r="C164" s="158"/>
      <c r="D164" s="158"/>
      <c r="E164" s="158"/>
      <c r="F164" s="158"/>
      <c r="G164" s="348"/>
      <c r="H164" s="348"/>
      <c r="I164" s="348"/>
      <c r="J164" s="348"/>
      <c r="K164" s="348"/>
      <c r="L164" s="348"/>
      <c r="M164" s="348"/>
      <c r="N164" s="348"/>
    </row>
    <row r="165" spans="3:14" x14ac:dyDescent="0.35">
      <c r="C165" s="158"/>
      <c r="D165" s="158"/>
      <c r="E165" s="158"/>
      <c r="F165" s="158"/>
      <c r="G165" s="348"/>
      <c r="H165" s="348"/>
      <c r="I165" s="348"/>
      <c r="J165" s="348"/>
      <c r="K165" s="348"/>
      <c r="L165" s="348"/>
      <c r="M165" s="348"/>
      <c r="N165" s="348"/>
    </row>
    <row r="166" spans="3:14" x14ac:dyDescent="0.35">
      <c r="C166" s="158"/>
      <c r="D166" s="158"/>
      <c r="E166" s="158"/>
      <c r="F166" s="158"/>
      <c r="G166" s="348"/>
      <c r="H166" s="348"/>
      <c r="I166" s="348"/>
      <c r="J166" s="348"/>
      <c r="K166" s="348"/>
      <c r="L166" s="348"/>
      <c r="M166" s="348"/>
      <c r="N166" s="348"/>
    </row>
    <row r="167" spans="3:14" x14ac:dyDescent="0.35">
      <c r="C167" s="158"/>
      <c r="D167" s="158"/>
      <c r="E167" s="158"/>
      <c r="F167" s="158"/>
      <c r="G167" s="348"/>
      <c r="H167" s="348"/>
      <c r="I167" s="348"/>
      <c r="J167" s="348"/>
      <c r="K167" s="348"/>
      <c r="L167" s="348"/>
      <c r="M167" s="348"/>
      <c r="N167" s="348"/>
    </row>
    <row r="168" spans="3:14" x14ac:dyDescent="0.35">
      <c r="C168" s="158"/>
      <c r="D168" s="158"/>
      <c r="E168" s="158"/>
      <c r="F168" s="158"/>
      <c r="G168" s="348"/>
      <c r="H168" s="348"/>
      <c r="I168" s="348"/>
      <c r="J168" s="348"/>
      <c r="K168" s="348"/>
      <c r="L168" s="348"/>
      <c r="M168" s="348"/>
      <c r="N168" s="348"/>
    </row>
    <row r="169" spans="3:14" x14ac:dyDescent="0.35">
      <c r="C169" s="158"/>
      <c r="D169" s="158"/>
      <c r="E169" s="158"/>
      <c r="F169" s="158"/>
      <c r="G169" s="348"/>
      <c r="H169" s="348"/>
      <c r="I169" s="348"/>
      <c r="J169" s="348"/>
      <c r="K169" s="348"/>
      <c r="L169" s="348"/>
      <c r="M169" s="348"/>
      <c r="N169" s="348"/>
    </row>
    <row r="170" spans="3:14" x14ac:dyDescent="0.35">
      <c r="C170" s="158"/>
      <c r="D170" s="158"/>
      <c r="E170" s="158"/>
      <c r="F170" s="158"/>
      <c r="G170" s="348"/>
      <c r="H170" s="348"/>
      <c r="I170" s="348"/>
      <c r="J170" s="348"/>
      <c r="K170" s="348"/>
      <c r="L170" s="348"/>
      <c r="M170" s="348"/>
      <c r="N170" s="348"/>
    </row>
    <row r="171" spans="3:14" x14ac:dyDescent="0.35">
      <c r="C171" s="158"/>
      <c r="D171" s="158"/>
      <c r="E171" s="158"/>
      <c r="F171" s="158"/>
      <c r="G171" s="348"/>
      <c r="H171" s="348"/>
      <c r="I171" s="348"/>
      <c r="J171" s="348"/>
      <c r="K171" s="348"/>
      <c r="L171" s="348"/>
      <c r="M171" s="348"/>
      <c r="N171" s="348"/>
    </row>
    <row r="172" spans="3:14" x14ac:dyDescent="0.35">
      <c r="C172" s="158"/>
      <c r="D172" s="158"/>
      <c r="E172" s="158"/>
      <c r="F172" s="158"/>
      <c r="G172" s="348"/>
      <c r="H172" s="348"/>
      <c r="I172" s="348"/>
      <c r="J172" s="348"/>
      <c r="K172" s="348"/>
      <c r="L172" s="348"/>
      <c r="M172" s="348"/>
      <c r="N172" s="348"/>
    </row>
    <row r="173" spans="3:14" x14ac:dyDescent="0.35">
      <c r="C173" s="158"/>
      <c r="D173" s="158"/>
      <c r="E173" s="158"/>
      <c r="F173" s="158"/>
      <c r="G173" s="348"/>
      <c r="H173" s="348"/>
      <c r="I173" s="348"/>
      <c r="J173" s="348"/>
      <c r="K173" s="348"/>
      <c r="L173" s="348"/>
      <c r="M173" s="348"/>
      <c r="N173" s="348"/>
    </row>
    <row r="174" spans="3:14" x14ac:dyDescent="0.35">
      <c r="C174" s="158"/>
      <c r="D174" s="158"/>
      <c r="E174" s="158"/>
      <c r="F174" s="158"/>
      <c r="G174" s="348"/>
      <c r="H174" s="348"/>
      <c r="I174" s="348"/>
      <c r="J174" s="348"/>
      <c r="K174" s="348"/>
      <c r="L174" s="348"/>
      <c r="M174" s="348"/>
      <c r="N174" s="348"/>
    </row>
    <row r="175" spans="3:14" x14ac:dyDescent="0.35">
      <c r="C175" s="158"/>
      <c r="D175" s="158"/>
      <c r="E175" s="158"/>
      <c r="F175" s="158"/>
      <c r="G175" s="348"/>
      <c r="H175" s="348"/>
      <c r="I175" s="348"/>
      <c r="J175" s="348"/>
      <c r="K175" s="348"/>
      <c r="L175" s="348"/>
      <c r="M175" s="348"/>
      <c r="N175" s="348"/>
    </row>
    <row r="176" spans="3:14" x14ac:dyDescent="0.35">
      <c r="C176" s="158"/>
      <c r="D176" s="158"/>
      <c r="E176" s="158"/>
      <c r="F176" s="158"/>
      <c r="G176" s="348"/>
      <c r="H176" s="348"/>
      <c r="I176" s="348"/>
      <c r="J176" s="348"/>
      <c r="K176" s="348"/>
      <c r="L176" s="348"/>
      <c r="M176" s="348"/>
      <c r="N176" s="348"/>
    </row>
    <row r="177" spans="3:14" x14ac:dyDescent="0.35">
      <c r="C177" s="158"/>
      <c r="D177" s="158"/>
      <c r="E177" s="158"/>
      <c r="F177" s="158"/>
      <c r="G177" s="348"/>
      <c r="H177" s="348"/>
      <c r="I177" s="348"/>
      <c r="J177" s="348"/>
      <c r="K177" s="348"/>
      <c r="L177" s="348"/>
      <c r="M177" s="348"/>
      <c r="N177" s="348"/>
    </row>
    <row r="178" spans="3:14" x14ac:dyDescent="0.35">
      <c r="C178" s="158"/>
      <c r="D178" s="158"/>
      <c r="E178" s="158"/>
      <c r="F178" s="158"/>
      <c r="G178" s="348"/>
      <c r="H178" s="348"/>
      <c r="I178" s="348"/>
      <c r="J178" s="348"/>
      <c r="K178" s="348"/>
      <c r="L178" s="348"/>
      <c r="M178" s="348"/>
      <c r="N178" s="348"/>
    </row>
    <row r="179" spans="3:14" x14ac:dyDescent="0.35">
      <c r="C179" s="158"/>
      <c r="D179" s="158"/>
      <c r="E179" s="158"/>
      <c r="F179" s="158"/>
      <c r="G179" s="348"/>
      <c r="H179" s="348"/>
      <c r="I179" s="348"/>
      <c r="J179" s="348"/>
      <c r="K179" s="348"/>
      <c r="L179" s="348"/>
      <c r="M179" s="348"/>
      <c r="N179" s="348"/>
    </row>
    <row r="180" spans="3:14" x14ac:dyDescent="0.35">
      <c r="C180" s="158"/>
      <c r="D180" s="158"/>
      <c r="E180" s="158"/>
      <c r="F180" s="158"/>
      <c r="G180" s="348"/>
      <c r="H180" s="348"/>
      <c r="I180" s="348"/>
      <c r="J180" s="348"/>
      <c r="K180" s="348"/>
      <c r="L180" s="348"/>
      <c r="M180" s="348"/>
      <c r="N180" s="348"/>
    </row>
    <row r="181" spans="3:14" x14ac:dyDescent="0.35">
      <c r="C181" s="158"/>
      <c r="D181" s="158"/>
      <c r="E181" s="158"/>
      <c r="F181" s="158"/>
      <c r="G181" s="348"/>
      <c r="H181" s="348"/>
      <c r="I181" s="348"/>
      <c r="J181" s="348"/>
      <c r="K181" s="348"/>
      <c r="L181" s="348"/>
      <c r="M181" s="348"/>
      <c r="N181" s="348"/>
    </row>
    <row r="182" spans="3:14" x14ac:dyDescent="0.35">
      <c r="C182" s="158"/>
      <c r="D182" s="158"/>
      <c r="E182" s="158"/>
      <c r="F182" s="158"/>
      <c r="G182" s="348"/>
      <c r="H182" s="348"/>
      <c r="I182" s="348"/>
      <c r="J182" s="348"/>
      <c r="K182" s="348"/>
      <c r="L182" s="348"/>
      <c r="M182" s="348"/>
      <c r="N182" s="348"/>
    </row>
    <row r="183" spans="3:14" x14ac:dyDescent="0.35">
      <c r="C183" s="158"/>
      <c r="D183" s="158"/>
      <c r="E183" s="158"/>
      <c r="F183" s="158"/>
      <c r="G183" s="348"/>
      <c r="H183" s="348"/>
      <c r="I183" s="348"/>
      <c r="J183" s="348"/>
      <c r="K183" s="348"/>
      <c r="L183" s="348"/>
      <c r="M183" s="348"/>
      <c r="N183" s="348"/>
    </row>
    <row r="184" spans="3:14" x14ac:dyDescent="0.35">
      <c r="C184" s="158"/>
      <c r="D184" s="158"/>
      <c r="E184" s="158"/>
      <c r="F184" s="158"/>
      <c r="G184" s="348"/>
      <c r="H184" s="348"/>
      <c r="I184" s="348"/>
      <c r="J184" s="348"/>
      <c r="K184" s="348"/>
      <c r="L184" s="348"/>
      <c r="M184" s="348"/>
      <c r="N184" s="348"/>
    </row>
    <row r="185" spans="3:14" x14ac:dyDescent="0.35">
      <c r="C185" s="158"/>
      <c r="D185" s="158"/>
      <c r="E185" s="158"/>
      <c r="F185" s="158"/>
      <c r="G185" s="348"/>
      <c r="H185" s="348"/>
      <c r="I185" s="348"/>
      <c r="J185" s="348"/>
      <c r="K185" s="348"/>
      <c r="L185" s="348"/>
      <c r="M185" s="348"/>
      <c r="N185" s="348"/>
    </row>
    <row r="186" spans="3:14" x14ac:dyDescent="0.35">
      <c r="C186" s="158"/>
      <c r="D186" s="158"/>
      <c r="E186" s="158"/>
      <c r="F186" s="158"/>
      <c r="G186" s="348"/>
      <c r="H186" s="348"/>
      <c r="I186" s="348"/>
      <c r="J186" s="348"/>
      <c r="K186" s="348"/>
      <c r="L186" s="348"/>
      <c r="M186" s="348"/>
      <c r="N186" s="348"/>
    </row>
    <row r="187" spans="3:14" x14ac:dyDescent="0.35">
      <c r="C187" s="158"/>
      <c r="D187" s="158"/>
      <c r="E187" s="158"/>
      <c r="F187" s="158"/>
      <c r="G187" s="348"/>
      <c r="H187" s="348"/>
      <c r="I187" s="348"/>
      <c r="J187" s="348"/>
      <c r="K187" s="348"/>
      <c r="L187" s="348"/>
      <c r="M187" s="348"/>
      <c r="N187" s="348"/>
    </row>
    <row r="188" spans="3:14" x14ac:dyDescent="0.35">
      <c r="C188" s="158"/>
      <c r="D188" s="158"/>
      <c r="E188" s="158"/>
      <c r="F188" s="158"/>
      <c r="G188" s="348"/>
      <c r="H188" s="348"/>
      <c r="I188" s="348"/>
      <c r="J188" s="348"/>
      <c r="K188" s="348"/>
      <c r="L188" s="348"/>
      <c r="M188" s="348"/>
      <c r="N188" s="348"/>
    </row>
    <row r="189" spans="3:14" x14ac:dyDescent="0.35">
      <c r="C189" s="158"/>
      <c r="D189" s="158"/>
      <c r="E189" s="158"/>
      <c r="F189" s="158"/>
      <c r="G189" s="348"/>
      <c r="H189" s="348"/>
      <c r="I189" s="348"/>
      <c r="J189" s="348"/>
      <c r="K189" s="348"/>
      <c r="L189" s="348"/>
      <c r="M189" s="348"/>
      <c r="N189" s="348"/>
    </row>
    <row r="190" spans="3:14" x14ac:dyDescent="0.35">
      <c r="C190" s="158"/>
      <c r="D190" s="158"/>
      <c r="E190" s="158"/>
      <c r="F190" s="158"/>
      <c r="G190" s="348"/>
      <c r="H190" s="348"/>
      <c r="I190" s="348"/>
      <c r="J190" s="348"/>
      <c r="K190" s="348"/>
      <c r="L190" s="348"/>
      <c r="M190" s="348"/>
      <c r="N190" s="348"/>
    </row>
    <row r="191" spans="3:14" x14ac:dyDescent="0.35">
      <c r="C191" s="158"/>
      <c r="D191" s="158"/>
      <c r="E191" s="158"/>
      <c r="F191" s="158"/>
      <c r="G191" s="348"/>
      <c r="H191" s="348"/>
      <c r="I191" s="348"/>
      <c r="J191" s="348"/>
      <c r="K191" s="348"/>
      <c r="L191" s="348"/>
      <c r="M191" s="348"/>
      <c r="N191" s="348"/>
    </row>
    <row r="192" spans="3:14" x14ac:dyDescent="0.35">
      <c r="C192" s="158"/>
      <c r="D192" s="158"/>
      <c r="E192" s="158"/>
      <c r="F192" s="158"/>
      <c r="G192" s="348"/>
      <c r="H192" s="348"/>
      <c r="I192" s="348"/>
      <c r="J192" s="348"/>
      <c r="K192" s="348"/>
      <c r="L192" s="348"/>
      <c r="M192" s="348"/>
      <c r="N192" s="348"/>
    </row>
    <row r="193" spans="3:14" x14ac:dyDescent="0.35">
      <c r="C193" s="158"/>
      <c r="D193" s="158"/>
      <c r="E193" s="158"/>
      <c r="F193" s="158"/>
      <c r="G193" s="348"/>
      <c r="H193" s="348"/>
      <c r="I193" s="348"/>
      <c r="J193" s="348"/>
      <c r="K193" s="348"/>
      <c r="L193" s="348"/>
      <c r="M193" s="348"/>
      <c r="N193" s="348"/>
    </row>
    <row r="194" spans="3:14" x14ac:dyDescent="0.35">
      <c r="C194" s="158"/>
      <c r="D194" s="158"/>
      <c r="E194" s="158"/>
      <c r="F194" s="158"/>
      <c r="G194" s="348"/>
      <c r="H194" s="348"/>
      <c r="I194" s="348"/>
      <c r="J194" s="348"/>
      <c r="K194" s="348"/>
      <c r="L194" s="348"/>
      <c r="M194" s="348"/>
      <c r="N194" s="348"/>
    </row>
    <row r="195" spans="3:14" x14ac:dyDescent="0.35">
      <c r="C195" s="158"/>
      <c r="D195" s="158"/>
      <c r="E195" s="158"/>
      <c r="F195" s="158"/>
      <c r="G195" s="348"/>
      <c r="H195" s="348"/>
      <c r="I195" s="348"/>
      <c r="J195" s="348"/>
      <c r="K195" s="348"/>
      <c r="L195" s="348"/>
      <c r="M195" s="348"/>
      <c r="N195" s="348"/>
    </row>
    <row r="196" spans="3:14" x14ac:dyDescent="0.35">
      <c r="C196" s="158"/>
      <c r="D196" s="158"/>
      <c r="E196" s="158"/>
      <c r="F196" s="158"/>
      <c r="G196" s="348"/>
      <c r="H196" s="348"/>
      <c r="I196" s="348"/>
      <c r="J196" s="348"/>
      <c r="K196" s="348"/>
      <c r="L196" s="348"/>
      <c r="M196" s="348"/>
      <c r="N196" s="348"/>
    </row>
    <row r="197" spans="3:14" x14ac:dyDescent="0.35">
      <c r="C197" s="158"/>
      <c r="D197" s="158"/>
      <c r="E197" s="158"/>
      <c r="F197" s="158"/>
      <c r="G197" s="348"/>
      <c r="H197" s="348"/>
      <c r="I197" s="348"/>
      <c r="J197" s="348"/>
      <c r="K197" s="348"/>
      <c r="L197" s="348"/>
      <c r="M197" s="348"/>
      <c r="N197" s="348"/>
    </row>
    <row r="198" spans="3:14" x14ac:dyDescent="0.35">
      <c r="C198" s="158"/>
      <c r="D198" s="158"/>
      <c r="E198" s="158"/>
      <c r="F198" s="158"/>
      <c r="G198" s="348"/>
      <c r="H198" s="348"/>
      <c r="I198" s="348"/>
      <c r="J198" s="348"/>
      <c r="K198" s="348"/>
      <c r="L198" s="348"/>
      <c r="M198" s="348"/>
      <c r="N198" s="348"/>
    </row>
    <row r="199" spans="3:14" x14ac:dyDescent="0.35">
      <c r="C199" s="158"/>
      <c r="D199" s="158"/>
      <c r="E199" s="158"/>
      <c r="F199" s="158"/>
      <c r="G199" s="348"/>
      <c r="H199" s="348"/>
      <c r="I199" s="348"/>
      <c r="J199" s="348"/>
      <c r="K199" s="348"/>
      <c r="L199" s="348"/>
      <c r="M199" s="348"/>
      <c r="N199" s="348"/>
    </row>
    <row r="200" spans="3:14" x14ac:dyDescent="0.35">
      <c r="C200" s="158"/>
      <c r="D200" s="158"/>
      <c r="E200" s="158"/>
      <c r="F200" s="158"/>
      <c r="G200" s="348"/>
      <c r="H200" s="348"/>
      <c r="I200" s="348"/>
      <c r="J200" s="348"/>
      <c r="K200" s="348"/>
      <c r="L200" s="348"/>
      <c r="M200" s="348"/>
      <c r="N200" s="348"/>
    </row>
    <row r="201" spans="3:14" x14ac:dyDescent="0.35">
      <c r="C201" s="158"/>
      <c r="D201" s="158"/>
      <c r="E201" s="158"/>
      <c r="F201" s="158"/>
      <c r="G201" s="348"/>
      <c r="H201" s="348"/>
      <c r="I201" s="348"/>
      <c r="J201" s="348"/>
      <c r="K201" s="348"/>
      <c r="L201" s="348"/>
      <c r="M201" s="348"/>
      <c r="N201" s="348"/>
    </row>
    <row r="202" spans="3:14" x14ac:dyDescent="0.35">
      <c r="C202" s="158"/>
      <c r="D202" s="158"/>
      <c r="E202" s="158"/>
      <c r="F202" s="158"/>
      <c r="G202" s="158"/>
      <c r="H202" s="158"/>
      <c r="I202" s="158"/>
      <c r="J202" s="158"/>
      <c r="K202" s="158"/>
      <c r="L202" s="158"/>
      <c r="M202" s="158"/>
      <c r="N202" s="158"/>
    </row>
    <row r="203" spans="3:14" x14ac:dyDescent="0.35">
      <c r="C203" s="158"/>
      <c r="D203" s="158"/>
      <c r="E203" s="158"/>
      <c r="F203" s="158"/>
      <c r="G203" s="158"/>
      <c r="H203" s="158"/>
      <c r="I203" s="158"/>
      <c r="J203" s="158"/>
      <c r="K203" s="158"/>
      <c r="L203" s="158"/>
      <c r="M203" s="158"/>
      <c r="N203" s="158"/>
    </row>
    <row r="204" spans="3:14" x14ac:dyDescent="0.35">
      <c r="C204" s="158"/>
      <c r="D204" s="158"/>
      <c r="E204" s="158"/>
      <c r="F204" s="158"/>
      <c r="G204" s="158"/>
      <c r="H204" s="158"/>
      <c r="I204" s="158"/>
      <c r="J204" s="158"/>
      <c r="K204" s="158"/>
      <c r="L204" s="158"/>
      <c r="M204" s="158"/>
      <c r="N204" s="158"/>
    </row>
    <row r="205" spans="3:14" x14ac:dyDescent="0.35">
      <c r="C205" s="158"/>
      <c r="D205" s="158"/>
      <c r="E205" s="158"/>
      <c r="F205" s="158"/>
      <c r="G205" s="158"/>
      <c r="H205" s="158"/>
      <c r="I205" s="158"/>
      <c r="J205" s="158"/>
      <c r="K205" s="158"/>
      <c r="L205" s="158"/>
      <c r="M205" s="158"/>
      <c r="N205" s="158"/>
    </row>
    <row r="206" spans="3:14" x14ac:dyDescent="0.35">
      <c r="C206" s="158"/>
      <c r="D206" s="158"/>
      <c r="E206" s="158"/>
      <c r="F206" s="158"/>
      <c r="G206" s="158"/>
      <c r="H206" s="158"/>
      <c r="I206" s="158"/>
      <c r="J206" s="158"/>
      <c r="K206" s="158"/>
      <c r="L206" s="158"/>
      <c r="M206" s="158"/>
      <c r="N206" s="158"/>
    </row>
    <row r="207" spans="3:14" x14ac:dyDescent="0.35">
      <c r="C207" s="158"/>
      <c r="D207" s="158"/>
      <c r="E207" s="158"/>
      <c r="F207" s="158"/>
      <c r="G207" s="158"/>
      <c r="H207" s="158"/>
      <c r="I207" s="158"/>
      <c r="J207" s="158"/>
      <c r="K207" s="158"/>
      <c r="L207" s="158"/>
      <c r="M207" s="158"/>
      <c r="N207" s="158"/>
    </row>
    <row r="208" spans="3:14" x14ac:dyDescent="0.35">
      <c r="C208" s="158"/>
      <c r="D208" s="158"/>
      <c r="E208" s="158"/>
      <c r="F208" s="158"/>
      <c r="G208" s="158"/>
      <c r="H208" s="158"/>
      <c r="I208" s="158"/>
      <c r="J208" s="158"/>
      <c r="K208" s="158"/>
      <c r="L208" s="158"/>
      <c r="M208" s="158"/>
      <c r="N208" s="158"/>
    </row>
    <row r="209" spans="3:14" x14ac:dyDescent="0.35">
      <c r="C209" s="158"/>
      <c r="D209" s="158"/>
      <c r="E209" s="158"/>
      <c r="F209" s="158"/>
      <c r="G209" s="158"/>
      <c r="H209" s="158"/>
      <c r="I209" s="158"/>
      <c r="J209" s="158"/>
      <c r="K209" s="158"/>
      <c r="L209" s="158"/>
      <c r="M209" s="158"/>
      <c r="N209" s="158"/>
    </row>
    <row r="210" spans="3:14" x14ac:dyDescent="0.35">
      <c r="C210" s="158"/>
      <c r="D210" s="158"/>
      <c r="E210" s="158"/>
      <c r="F210" s="158"/>
      <c r="G210" s="158"/>
      <c r="H210" s="158"/>
      <c r="I210" s="158"/>
      <c r="J210" s="158"/>
      <c r="K210" s="158"/>
      <c r="L210" s="158"/>
      <c r="M210" s="158"/>
      <c r="N210" s="158"/>
    </row>
    <row r="211" spans="3:14" x14ac:dyDescent="0.35">
      <c r="C211" s="158"/>
      <c r="D211" s="158"/>
      <c r="E211" s="158"/>
      <c r="F211" s="158"/>
      <c r="G211" s="158"/>
      <c r="H211" s="158"/>
      <c r="I211" s="158"/>
      <c r="J211" s="158"/>
      <c r="K211" s="158"/>
      <c r="L211" s="158"/>
      <c r="M211" s="158"/>
      <c r="N211" s="158"/>
    </row>
    <row r="212" spans="3:14" x14ac:dyDescent="0.35">
      <c r="C212" s="158"/>
      <c r="D212" s="158"/>
      <c r="E212" s="158"/>
      <c r="F212" s="158"/>
      <c r="G212" s="158"/>
      <c r="H212" s="158"/>
      <c r="I212" s="158"/>
      <c r="J212" s="158"/>
      <c r="K212" s="158"/>
      <c r="L212" s="158"/>
      <c r="M212" s="158"/>
      <c r="N212" s="158"/>
    </row>
    <row r="213" spans="3:14" x14ac:dyDescent="0.35">
      <c r="C213" s="158"/>
      <c r="D213" s="158"/>
      <c r="E213" s="158"/>
      <c r="F213" s="158"/>
      <c r="G213" s="158"/>
      <c r="H213" s="158"/>
      <c r="I213" s="158"/>
      <c r="J213" s="158"/>
      <c r="K213" s="158"/>
      <c r="L213" s="158"/>
      <c r="M213" s="158"/>
      <c r="N213" s="158"/>
    </row>
    <row r="214" spans="3:14" x14ac:dyDescent="0.35">
      <c r="C214" s="158"/>
      <c r="D214" s="158"/>
      <c r="E214" s="158"/>
      <c r="F214" s="158"/>
      <c r="G214" s="158"/>
      <c r="H214" s="158"/>
      <c r="I214" s="158"/>
      <c r="J214" s="158"/>
      <c r="K214" s="158"/>
      <c r="L214" s="158"/>
      <c r="M214" s="158"/>
      <c r="N214" s="158"/>
    </row>
    <row r="215" spans="3:14" x14ac:dyDescent="0.35">
      <c r="C215" s="158"/>
      <c r="D215" s="158"/>
      <c r="E215" s="158"/>
      <c r="F215" s="158"/>
      <c r="G215" s="158"/>
      <c r="H215" s="158"/>
      <c r="I215" s="158"/>
      <c r="J215" s="158"/>
      <c r="K215" s="158"/>
      <c r="L215" s="158"/>
      <c r="M215" s="158"/>
      <c r="N215" s="158"/>
    </row>
    <row r="216" spans="3:14" x14ac:dyDescent="0.35">
      <c r="C216" s="158"/>
      <c r="D216" s="158"/>
      <c r="E216" s="158"/>
      <c r="F216" s="158"/>
      <c r="G216" s="158"/>
      <c r="H216" s="158"/>
      <c r="I216" s="158"/>
      <c r="J216" s="158"/>
      <c r="K216" s="158"/>
      <c r="L216" s="158"/>
      <c r="M216" s="158"/>
      <c r="N216" s="158"/>
    </row>
    <row r="217" spans="3:14" x14ac:dyDescent="0.35">
      <c r="C217" s="158"/>
      <c r="D217" s="158"/>
      <c r="E217" s="158"/>
      <c r="F217" s="158"/>
      <c r="G217" s="158"/>
      <c r="H217" s="158"/>
      <c r="I217" s="158"/>
      <c r="J217" s="158"/>
      <c r="K217" s="158"/>
      <c r="L217" s="158"/>
      <c r="M217" s="158"/>
      <c r="N217" s="158"/>
    </row>
    <row r="218" spans="3:14" x14ac:dyDescent="0.35">
      <c r="C218" s="158"/>
      <c r="D218" s="158"/>
      <c r="E218" s="158"/>
      <c r="F218" s="158"/>
      <c r="G218" s="158"/>
      <c r="H218" s="158"/>
      <c r="I218" s="158"/>
      <c r="J218" s="158"/>
      <c r="K218" s="158"/>
      <c r="L218" s="158"/>
      <c r="M218" s="158"/>
      <c r="N218" s="158"/>
    </row>
    <row r="219" spans="3:14" x14ac:dyDescent="0.35">
      <c r="C219" s="158"/>
      <c r="D219" s="158"/>
      <c r="E219" s="158"/>
      <c r="F219" s="158"/>
      <c r="G219" s="158"/>
      <c r="H219" s="158"/>
      <c r="I219" s="158"/>
      <c r="J219" s="158"/>
      <c r="K219" s="158"/>
      <c r="L219" s="158"/>
      <c r="M219" s="158"/>
      <c r="N219" s="158"/>
    </row>
    <row r="220" spans="3:14" x14ac:dyDescent="0.35">
      <c r="C220" s="158"/>
      <c r="D220" s="158"/>
      <c r="E220" s="158"/>
      <c r="F220" s="158"/>
      <c r="G220" s="158"/>
      <c r="H220" s="158"/>
      <c r="I220" s="158"/>
      <c r="J220" s="158"/>
      <c r="K220" s="158"/>
      <c r="L220" s="158"/>
      <c r="M220" s="158"/>
      <c r="N220" s="158"/>
    </row>
    <row r="221" spans="3:14" x14ac:dyDescent="0.35">
      <c r="C221" s="158"/>
      <c r="D221" s="158"/>
      <c r="E221" s="158"/>
      <c r="F221" s="158"/>
      <c r="G221" s="158"/>
      <c r="H221" s="158"/>
      <c r="I221" s="158"/>
      <c r="J221" s="158"/>
      <c r="K221" s="158"/>
      <c r="L221" s="158"/>
      <c r="M221" s="158"/>
      <c r="N221" s="158"/>
    </row>
    <row r="222" spans="3:14" x14ac:dyDescent="0.35">
      <c r="C222" s="158"/>
      <c r="D222" s="158"/>
      <c r="E222" s="158"/>
      <c r="F222" s="158"/>
      <c r="G222" s="158"/>
      <c r="H222" s="158"/>
      <c r="I222" s="158"/>
      <c r="J222" s="158"/>
      <c r="K222" s="158"/>
      <c r="L222" s="158"/>
      <c r="M222" s="158"/>
      <c r="N222" s="158"/>
    </row>
    <row r="223" spans="3:14" x14ac:dyDescent="0.35">
      <c r="C223" s="158"/>
      <c r="D223" s="158"/>
      <c r="E223" s="158"/>
      <c r="F223" s="158"/>
      <c r="G223" s="158"/>
      <c r="H223" s="158"/>
      <c r="I223" s="158"/>
      <c r="J223" s="158"/>
      <c r="K223" s="158"/>
      <c r="L223" s="158"/>
      <c r="M223" s="158"/>
      <c r="N223" s="158"/>
    </row>
    <row r="224" spans="3:14" x14ac:dyDescent="0.35">
      <c r="C224" s="158"/>
      <c r="D224" s="158"/>
      <c r="E224" s="158"/>
      <c r="F224" s="158"/>
      <c r="G224" s="158"/>
      <c r="H224" s="158"/>
      <c r="I224" s="158"/>
      <c r="J224" s="158"/>
      <c r="K224" s="158"/>
      <c r="L224" s="158"/>
      <c r="M224" s="158"/>
      <c r="N224" s="158"/>
    </row>
    <row r="225" spans="3:14" x14ac:dyDescent="0.35">
      <c r="C225" s="158"/>
      <c r="D225" s="158"/>
      <c r="E225" s="158"/>
      <c r="F225" s="158"/>
      <c r="G225" s="158"/>
      <c r="H225" s="158"/>
      <c r="I225" s="158"/>
      <c r="J225" s="158"/>
      <c r="K225" s="158"/>
      <c r="L225" s="158"/>
      <c r="M225" s="158"/>
      <c r="N225" s="158"/>
    </row>
    <row r="226" spans="3:14" x14ac:dyDescent="0.35">
      <c r="C226" s="158"/>
      <c r="D226" s="158"/>
      <c r="E226" s="158"/>
      <c r="F226" s="158"/>
      <c r="G226" s="158"/>
      <c r="H226" s="158"/>
      <c r="I226" s="158"/>
      <c r="J226" s="158"/>
      <c r="K226" s="158"/>
      <c r="L226" s="158"/>
      <c r="M226" s="158"/>
      <c r="N226" s="158"/>
    </row>
    <row r="227" spans="3:14" x14ac:dyDescent="0.35">
      <c r="C227" s="158"/>
      <c r="D227" s="158"/>
      <c r="E227" s="158"/>
      <c r="F227" s="158"/>
      <c r="G227" s="158"/>
      <c r="H227" s="158"/>
      <c r="I227" s="158"/>
      <c r="J227" s="158"/>
      <c r="K227" s="158"/>
      <c r="L227" s="158"/>
      <c r="M227" s="158"/>
      <c r="N227" s="158"/>
    </row>
    <row r="228" spans="3:14" x14ac:dyDescent="0.35">
      <c r="C228" s="158"/>
      <c r="D228" s="158"/>
      <c r="E228" s="158"/>
      <c r="F228" s="158"/>
      <c r="G228" s="158"/>
      <c r="H228" s="158"/>
      <c r="I228" s="158"/>
      <c r="J228" s="158"/>
      <c r="K228" s="158"/>
      <c r="L228" s="158"/>
      <c r="M228" s="158"/>
      <c r="N228" s="158"/>
    </row>
    <row r="229" spans="3:14" x14ac:dyDescent="0.35">
      <c r="C229" s="158"/>
      <c r="D229" s="158"/>
      <c r="E229" s="158"/>
      <c r="F229" s="158"/>
      <c r="G229" s="158"/>
      <c r="H229" s="158"/>
      <c r="I229" s="158"/>
      <c r="J229" s="158"/>
      <c r="K229" s="158"/>
      <c r="L229" s="158"/>
      <c r="M229" s="158"/>
      <c r="N229" s="158"/>
    </row>
    <row r="230" spans="3:14" x14ac:dyDescent="0.35">
      <c r="C230" s="158"/>
      <c r="D230" s="158"/>
      <c r="E230" s="158"/>
      <c r="F230" s="158"/>
      <c r="G230" s="158"/>
      <c r="H230" s="158"/>
      <c r="I230" s="158"/>
      <c r="J230" s="158"/>
      <c r="K230" s="158"/>
      <c r="L230" s="158"/>
      <c r="M230" s="158"/>
      <c r="N230" s="158"/>
    </row>
    <row r="231" spans="3:14" x14ac:dyDescent="0.35">
      <c r="C231" s="158"/>
      <c r="D231" s="158"/>
      <c r="E231" s="158"/>
      <c r="F231" s="158"/>
      <c r="G231" s="158"/>
      <c r="H231" s="158"/>
      <c r="I231" s="158"/>
      <c r="J231" s="158"/>
      <c r="K231" s="158"/>
      <c r="L231" s="158"/>
      <c r="M231" s="158"/>
      <c r="N231" s="158"/>
    </row>
    <row r="232" spans="3:14" x14ac:dyDescent="0.35">
      <c r="C232" s="158"/>
      <c r="D232" s="158"/>
      <c r="E232" s="158"/>
      <c r="F232" s="158"/>
      <c r="G232" s="158"/>
      <c r="H232" s="158"/>
      <c r="I232" s="158"/>
      <c r="J232" s="158"/>
      <c r="K232" s="158"/>
      <c r="L232" s="158"/>
      <c r="M232" s="158"/>
      <c r="N232" s="158"/>
    </row>
    <row r="233" spans="3:14" x14ac:dyDescent="0.35">
      <c r="C233" s="158"/>
      <c r="D233" s="158"/>
      <c r="E233" s="158"/>
      <c r="F233" s="158"/>
      <c r="G233" s="158"/>
      <c r="H233" s="158"/>
      <c r="I233" s="158"/>
      <c r="J233" s="158"/>
      <c r="K233" s="158"/>
      <c r="L233" s="158"/>
      <c r="M233" s="158"/>
      <c r="N233" s="158"/>
    </row>
    <row r="234" spans="3:14" x14ac:dyDescent="0.35">
      <c r="C234" s="158"/>
      <c r="D234" s="158"/>
      <c r="E234" s="158"/>
      <c r="F234" s="158"/>
      <c r="G234" s="158"/>
      <c r="H234" s="158"/>
      <c r="I234" s="158"/>
      <c r="J234" s="158"/>
      <c r="K234" s="158"/>
      <c r="L234" s="158"/>
      <c r="M234" s="158"/>
      <c r="N234" s="158"/>
    </row>
    <row r="235" spans="3:14" x14ac:dyDescent="0.35">
      <c r="C235" s="158"/>
      <c r="D235" s="158"/>
      <c r="E235" s="158"/>
      <c r="F235" s="158"/>
      <c r="G235" s="158"/>
      <c r="H235" s="158"/>
      <c r="I235" s="158"/>
      <c r="J235" s="158"/>
      <c r="K235" s="158"/>
      <c r="L235" s="158"/>
      <c r="M235" s="158"/>
      <c r="N235" s="158"/>
    </row>
    <row r="236" spans="3:14" x14ac:dyDescent="0.35">
      <c r="C236" s="158"/>
      <c r="D236" s="158"/>
      <c r="E236" s="158"/>
      <c r="F236" s="158"/>
      <c r="G236" s="158"/>
      <c r="H236" s="158"/>
      <c r="I236" s="158"/>
      <c r="J236" s="158"/>
      <c r="K236" s="158"/>
      <c r="L236" s="158"/>
      <c r="M236" s="158"/>
      <c r="N236" s="158"/>
    </row>
    <row r="237" spans="3:14" x14ac:dyDescent="0.35">
      <c r="C237" s="158"/>
      <c r="D237" s="158"/>
      <c r="E237" s="158"/>
      <c r="F237" s="158"/>
      <c r="G237" s="158"/>
      <c r="H237" s="158"/>
      <c r="I237" s="158"/>
      <c r="J237" s="158"/>
      <c r="K237" s="158"/>
      <c r="L237" s="158"/>
      <c r="M237" s="158"/>
      <c r="N237" s="158"/>
    </row>
    <row r="238" spans="3:14" x14ac:dyDescent="0.35">
      <c r="C238" s="158"/>
      <c r="D238" s="158"/>
      <c r="E238" s="158"/>
      <c r="F238" s="158"/>
      <c r="G238" s="158"/>
      <c r="H238" s="158"/>
      <c r="I238" s="158"/>
      <c r="J238" s="158"/>
      <c r="K238" s="158"/>
      <c r="L238" s="158"/>
      <c r="M238" s="158"/>
      <c r="N238" s="158"/>
    </row>
    <row r="239" spans="3:14" x14ac:dyDescent="0.35">
      <c r="C239" s="158"/>
      <c r="D239" s="158"/>
      <c r="E239" s="158"/>
      <c r="F239" s="158"/>
      <c r="G239" s="158"/>
      <c r="H239" s="158"/>
      <c r="I239" s="158"/>
      <c r="J239" s="158"/>
      <c r="K239" s="158"/>
      <c r="L239" s="158"/>
      <c r="M239" s="158"/>
      <c r="N239" s="158"/>
    </row>
    <row r="240" spans="3:14" x14ac:dyDescent="0.35">
      <c r="C240" s="158"/>
      <c r="D240" s="158"/>
      <c r="E240" s="158"/>
      <c r="F240" s="158"/>
      <c r="G240" s="158"/>
      <c r="H240" s="158"/>
      <c r="I240" s="158"/>
      <c r="J240" s="158"/>
      <c r="K240" s="158"/>
      <c r="L240" s="158"/>
      <c r="M240" s="158"/>
      <c r="N240" s="158"/>
    </row>
    <row r="241" spans="3:14" x14ac:dyDescent="0.35">
      <c r="C241" s="158"/>
      <c r="D241" s="158"/>
      <c r="E241" s="158"/>
      <c r="F241" s="158"/>
      <c r="G241" s="158"/>
      <c r="H241" s="158"/>
      <c r="I241" s="158"/>
      <c r="J241" s="158"/>
      <c r="K241" s="158"/>
      <c r="L241" s="158"/>
      <c r="M241" s="158"/>
      <c r="N241" s="158"/>
    </row>
    <row r="242" spans="3:14" x14ac:dyDescent="0.35">
      <c r="C242" s="158"/>
      <c r="D242" s="158"/>
      <c r="E242" s="158"/>
      <c r="F242" s="158"/>
      <c r="G242" s="158"/>
      <c r="H242" s="158"/>
      <c r="I242" s="158"/>
      <c r="J242" s="158"/>
      <c r="K242" s="158"/>
      <c r="L242" s="158"/>
      <c r="M242" s="158"/>
      <c r="N242" s="158"/>
    </row>
    <row r="243" spans="3:14" x14ac:dyDescent="0.35">
      <c r="C243" s="158"/>
      <c r="D243" s="158"/>
      <c r="E243" s="158"/>
      <c r="F243" s="158"/>
      <c r="G243" s="158"/>
      <c r="H243" s="158"/>
      <c r="I243" s="158"/>
      <c r="J243" s="158"/>
      <c r="K243" s="158"/>
      <c r="L243" s="158"/>
      <c r="M243" s="158"/>
      <c r="N243" s="158"/>
    </row>
    <row r="244" spans="3:14" x14ac:dyDescent="0.35">
      <c r="C244" s="158"/>
      <c r="D244" s="158"/>
      <c r="E244" s="158"/>
      <c r="F244" s="158"/>
      <c r="G244" s="158"/>
      <c r="H244" s="158"/>
      <c r="I244" s="158"/>
      <c r="J244" s="158"/>
      <c r="K244" s="158"/>
      <c r="L244" s="158"/>
      <c r="M244" s="158"/>
      <c r="N244" s="158"/>
    </row>
    <row r="245" spans="3:14" x14ac:dyDescent="0.35">
      <c r="C245" s="158"/>
      <c r="D245" s="158"/>
      <c r="E245" s="158"/>
      <c r="F245" s="158"/>
      <c r="G245" s="158"/>
      <c r="H245" s="158"/>
      <c r="I245" s="158"/>
      <c r="J245" s="158"/>
      <c r="K245" s="158"/>
      <c r="L245" s="158"/>
      <c r="M245" s="158"/>
      <c r="N245" s="158"/>
    </row>
    <row r="246" spans="3:14" x14ac:dyDescent="0.35">
      <c r="C246" s="158"/>
      <c r="D246" s="158"/>
      <c r="E246" s="158"/>
      <c r="F246" s="158"/>
      <c r="G246" s="158"/>
      <c r="H246" s="158"/>
      <c r="I246" s="158"/>
      <c r="J246" s="158"/>
      <c r="K246" s="158"/>
      <c r="L246" s="158"/>
      <c r="M246" s="158"/>
      <c r="N246" s="158"/>
    </row>
    <row r="247" spans="3:14" x14ac:dyDescent="0.35">
      <c r="C247" s="158"/>
      <c r="D247" s="158"/>
      <c r="E247" s="158"/>
      <c r="F247" s="158"/>
      <c r="G247" s="158"/>
      <c r="H247" s="158"/>
      <c r="I247" s="158"/>
      <c r="J247" s="158"/>
      <c r="K247" s="158"/>
      <c r="L247" s="158"/>
      <c r="M247" s="158"/>
      <c r="N247" s="158"/>
    </row>
    <row r="248" spans="3:14" x14ac:dyDescent="0.35">
      <c r="C248" s="158"/>
      <c r="D248" s="158"/>
      <c r="E248" s="158"/>
      <c r="F248" s="158"/>
      <c r="G248" s="158"/>
      <c r="H248" s="158"/>
      <c r="I248" s="158"/>
      <c r="J248" s="158"/>
      <c r="K248" s="158"/>
      <c r="L248" s="158"/>
      <c r="M248" s="158"/>
      <c r="N248" s="158"/>
    </row>
    <row r="249" spans="3:14" x14ac:dyDescent="0.35">
      <c r="C249" s="158"/>
      <c r="D249" s="158"/>
      <c r="E249" s="158"/>
      <c r="F249" s="158"/>
      <c r="G249" s="158"/>
      <c r="H249" s="158"/>
      <c r="I249" s="158"/>
      <c r="J249" s="158"/>
      <c r="K249" s="158"/>
      <c r="L249" s="158"/>
      <c r="M249" s="158"/>
      <c r="N249" s="158"/>
    </row>
    <row r="250" spans="3:14" x14ac:dyDescent="0.35">
      <c r="C250" s="158"/>
      <c r="D250" s="158"/>
      <c r="E250" s="158"/>
      <c r="F250" s="158"/>
      <c r="G250" s="158"/>
      <c r="H250" s="158"/>
      <c r="I250" s="158"/>
      <c r="J250" s="158"/>
      <c r="K250" s="158"/>
      <c r="L250" s="158"/>
      <c r="M250" s="158"/>
      <c r="N250" s="158"/>
    </row>
    <row r="251" spans="3:14" x14ac:dyDescent="0.35">
      <c r="C251" s="158"/>
      <c r="D251" s="158"/>
      <c r="E251" s="158"/>
      <c r="F251" s="158"/>
      <c r="G251" s="158"/>
      <c r="H251" s="158"/>
      <c r="I251" s="158"/>
      <c r="J251" s="158"/>
      <c r="K251" s="158"/>
      <c r="L251" s="158"/>
      <c r="M251" s="158"/>
      <c r="N251" s="158"/>
    </row>
    <row r="252" spans="3:14" x14ac:dyDescent="0.35">
      <c r="C252" s="158"/>
      <c r="D252" s="158"/>
      <c r="E252" s="158"/>
      <c r="F252" s="158"/>
      <c r="G252" s="158"/>
      <c r="H252" s="158"/>
      <c r="I252" s="158"/>
      <c r="J252" s="158"/>
      <c r="K252" s="158"/>
      <c r="L252" s="158"/>
      <c r="M252" s="158"/>
      <c r="N252" s="158"/>
    </row>
    <row r="253" spans="3:14" x14ac:dyDescent="0.35">
      <c r="C253" s="158"/>
      <c r="D253" s="158"/>
      <c r="E253" s="158"/>
      <c r="F253" s="158"/>
      <c r="G253" s="158"/>
      <c r="H253" s="158"/>
      <c r="I253" s="158"/>
      <c r="J253" s="158"/>
      <c r="K253" s="158"/>
      <c r="L253" s="158"/>
      <c r="M253" s="158"/>
      <c r="N253" s="158"/>
    </row>
    <row r="254" spans="3:14" x14ac:dyDescent="0.35">
      <c r="C254" s="158"/>
      <c r="D254" s="158"/>
      <c r="E254" s="158"/>
      <c r="F254" s="158"/>
      <c r="G254" s="158"/>
      <c r="H254" s="158"/>
      <c r="I254" s="158"/>
      <c r="J254" s="158"/>
      <c r="K254" s="158"/>
      <c r="L254" s="158"/>
      <c r="M254" s="158"/>
      <c r="N254" s="158"/>
    </row>
    <row r="255" spans="3:14" x14ac:dyDescent="0.35">
      <c r="C255" s="158"/>
      <c r="D255" s="158"/>
      <c r="E255" s="158"/>
      <c r="F255" s="158"/>
      <c r="G255" s="158"/>
      <c r="H255" s="158"/>
      <c r="I255" s="158"/>
      <c r="J255" s="158"/>
      <c r="K255" s="158"/>
      <c r="L255" s="158"/>
      <c r="M255" s="158"/>
      <c r="N255" s="158"/>
    </row>
    <row r="256" spans="3:14" x14ac:dyDescent="0.35">
      <c r="C256" s="158"/>
      <c r="D256" s="158"/>
      <c r="E256" s="158"/>
      <c r="F256" s="158"/>
      <c r="G256" s="158"/>
      <c r="H256" s="158"/>
      <c r="I256" s="158"/>
      <c r="J256" s="158"/>
      <c r="K256" s="158"/>
      <c r="L256" s="158"/>
      <c r="M256" s="158"/>
      <c r="N256" s="158"/>
    </row>
    <row r="257" spans="3:14" x14ac:dyDescent="0.35">
      <c r="C257" s="158"/>
      <c r="D257" s="158"/>
      <c r="E257" s="158"/>
      <c r="F257" s="158"/>
      <c r="G257" s="158"/>
      <c r="H257" s="158"/>
      <c r="I257" s="158"/>
      <c r="J257" s="158"/>
      <c r="K257" s="158"/>
      <c r="L257" s="158"/>
      <c r="M257" s="158"/>
      <c r="N257" s="158"/>
    </row>
    <row r="258" spans="3:14" x14ac:dyDescent="0.35">
      <c r="C258" s="158"/>
      <c r="D258" s="158"/>
      <c r="E258" s="158"/>
      <c r="F258" s="158"/>
      <c r="G258" s="158"/>
      <c r="H258" s="158"/>
      <c r="I258" s="158"/>
      <c r="J258" s="158"/>
      <c r="K258" s="158"/>
      <c r="L258" s="158"/>
      <c r="M258" s="158"/>
      <c r="N258" s="158"/>
    </row>
    <row r="259" spans="3:14" x14ac:dyDescent="0.35">
      <c r="C259" s="158"/>
      <c r="D259" s="158"/>
      <c r="E259" s="158"/>
      <c r="F259" s="158"/>
      <c r="G259" s="158"/>
      <c r="H259" s="158"/>
      <c r="I259" s="158"/>
      <c r="J259" s="158"/>
      <c r="K259" s="158"/>
      <c r="L259" s="158"/>
      <c r="M259" s="158"/>
      <c r="N259" s="158"/>
    </row>
    <row r="260" spans="3:14" x14ac:dyDescent="0.35">
      <c r="C260" s="158"/>
      <c r="D260" s="158"/>
      <c r="E260" s="158"/>
      <c r="F260" s="158"/>
      <c r="G260" s="158"/>
      <c r="H260" s="158"/>
      <c r="I260" s="158"/>
      <c r="J260" s="158"/>
      <c r="K260" s="158"/>
      <c r="L260" s="158"/>
      <c r="M260" s="158"/>
      <c r="N260" s="158"/>
    </row>
    <row r="261" spans="3:14" x14ac:dyDescent="0.35">
      <c r="C261" s="158"/>
      <c r="D261" s="158"/>
      <c r="E261" s="158"/>
      <c r="F261" s="158"/>
      <c r="G261" s="158"/>
      <c r="H261" s="158"/>
      <c r="I261" s="158"/>
      <c r="J261" s="158"/>
      <c r="K261" s="158"/>
      <c r="L261" s="158"/>
      <c r="M261" s="158"/>
      <c r="N261" s="158"/>
    </row>
    <row r="262" spans="3:14" x14ac:dyDescent="0.35">
      <c r="C262" s="158"/>
      <c r="D262" s="158"/>
      <c r="E262" s="158"/>
      <c r="F262" s="158"/>
      <c r="G262" s="158"/>
      <c r="H262" s="158"/>
      <c r="I262" s="158"/>
      <c r="J262" s="158"/>
      <c r="K262" s="158"/>
      <c r="L262" s="158"/>
      <c r="M262" s="158"/>
      <c r="N262" s="158"/>
    </row>
    <row r="263" spans="3:14" x14ac:dyDescent="0.35">
      <c r="C263" s="158"/>
      <c r="D263" s="158"/>
      <c r="E263" s="158"/>
      <c r="F263" s="158"/>
      <c r="G263" s="158"/>
      <c r="H263" s="158"/>
      <c r="I263" s="158"/>
      <c r="J263" s="158"/>
      <c r="K263" s="158"/>
      <c r="L263" s="158"/>
      <c r="M263" s="158"/>
      <c r="N263" s="158"/>
    </row>
    <row r="264" spans="3:14" x14ac:dyDescent="0.35">
      <c r="C264" s="158"/>
      <c r="D264" s="158"/>
      <c r="E264" s="158"/>
      <c r="F264" s="158"/>
      <c r="G264" s="158"/>
      <c r="H264" s="158"/>
      <c r="I264" s="158"/>
      <c r="J264" s="158"/>
      <c r="K264" s="158"/>
      <c r="L264" s="158"/>
      <c r="M264" s="158"/>
      <c r="N264" s="158"/>
    </row>
    <row r="265" spans="3:14" x14ac:dyDescent="0.35">
      <c r="C265" s="158"/>
      <c r="D265" s="158"/>
      <c r="E265" s="158"/>
      <c r="F265" s="158"/>
      <c r="G265" s="158"/>
      <c r="H265" s="158"/>
      <c r="I265" s="158"/>
      <c r="J265" s="158"/>
      <c r="K265" s="158"/>
      <c r="L265" s="158"/>
      <c r="M265" s="158"/>
      <c r="N265" s="158"/>
    </row>
    <row r="266" spans="3:14" x14ac:dyDescent="0.35">
      <c r="C266" s="158"/>
      <c r="D266" s="158"/>
      <c r="E266" s="158"/>
      <c r="F266" s="158"/>
      <c r="G266" s="158"/>
      <c r="H266" s="158"/>
      <c r="I266" s="158"/>
      <c r="J266" s="158"/>
      <c r="K266" s="158"/>
      <c r="L266" s="158"/>
      <c r="M266" s="158"/>
      <c r="N266" s="158"/>
    </row>
    <row r="267" spans="3:14" x14ac:dyDescent="0.35">
      <c r="C267" s="158"/>
      <c r="D267" s="158"/>
      <c r="E267" s="158"/>
      <c r="F267" s="158"/>
      <c r="G267" s="158"/>
      <c r="H267" s="158"/>
      <c r="I267" s="158"/>
      <c r="J267" s="158"/>
      <c r="K267" s="158"/>
      <c r="L267" s="158"/>
      <c r="M267" s="158"/>
      <c r="N267" s="158"/>
    </row>
    <row r="268" spans="3:14" x14ac:dyDescent="0.35">
      <c r="C268" s="158"/>
      <c r="D268" s="158"/>
      <c r="E268" s="158"/>
      <c r="F268" s="158"/>
      <c r="G268" s="158"/>
      <c r="H268" s="158"/>
      <c r="I268" s="158"/>
      <c r="J268" s="158"/>
      <c r="K268" s="158"/>
      <c r="L268" s="158"/>
      <c r="M268" s="158"/>
      <c r="N268" s="158"/>
    </row>
    <row r="269" spans="3:14" x14ac:dyDescent="0.35">
      <c r="C269" s="158"/>
      <c r="D269" s="158"/>
      <c r="E269" s="158"/>
      <c r="F269" s="158"/>
      <c r="G269" s="158"/>
      <c r="H269" s="158"/>
      <c r="I269" s="158"/>
      <c r="J269" s="158"/>
      <c r="K269" s="158"/>
      <c r="L269" s="158"/>
      <c r="M269" s="158"/>
      <c r="N269" s="158"/>
    </row>
    <row r="270" spans="3:14" x14ac:dyDescent="0.35">
      <c r="C270" s="158"/>
      <c r="D270" s="158"/>
      <c r="E270" s="158"/>
      <c r="F270" s="158"/>
      <c r="G270" s="158"/>
      <c r="H270" s="158"/>
      <c r="I270" s="158"/>
      <c r="J270" s="158"/>
      <c r="K270" s="158"/>
      <c r="L270" s="158"/>
      <c r="M270" s="158"/>
      <c r="N270" s="158"/>
    </row>
    <row r="271" spans="3:14" x14ac:dyDescent="0.35">
      <c r="C271" s="158"/>
      <c r="D271" s="158"/>
      <c r="E271" s="158"/>
      <c r="F271" s="158"/>
      <c r="G271" s="158"/>
      <c r="H271" s="158"/>
      <c r="I271" s="158"/>
      <c r="J271" s="158"/>
      <c r="K271" s="158"/>
      <c r="L271" s="158"/>
      <c r="M271" s="158"/>
      <c r="N271" s="158"/>
    </row>
    <row r="272" spans="3:14" x14ac:dyDescent="0.35">
      <c r="C272" s="158"/>
      <c r="D272" s="158"/>
      <c r="E272" s="158"/>
      <c r="F272" s="158"/>
      <c r="G272" s="158"/>
      <c r="H272" s="158"/>
      <c r="I272" s="158"/>
      <c r="J272" s="158"/>
      <c r="K272" s="158"/>
      <c r="L272" s="158"/>
      <c r="M272" s="158"/>
      <c r="N272" s="158"/>
    </row>
    <row r="273" spans="3:14" x14ac:dyDescent="0.35">
      <c r="C273" s="158"/>
      <c r="D273" s="158"/>
      <c r="E273" s="158"/>
      <c r="F273" s="158"/>
      <c r="G273" s="158"/>
      <c r="H273" s="158"/>
      <c r="I273" s="158"/>
      <c r="J273" s="158"/>
      <c r="K273" s="158"/>
      <c r="L273" s="158"/>
      <c r="M273" s="158"/>
      <c r="N273" s="158"/>
    </row>
    <row r="274" spans="3:14" x14ac:dyDescent="0.35">
      <c r="C274" s="158"/>
      <c r="D274" s="158"/>
      <c r="E274" s="158"/>
      <c r="F274" s="158"/>
      <c r="G274" s="158"/>
      <c r="H274" s="158"/>
      <c r="I274" s="158"/>
      <c r="J274" s="158"/>
      <c r="K274" s="158"/>
      <c r="L274" s="158"/>
      <c r="M274" s="158"/>
      <c r="N274" s="158"/>
    </row>
    <row r="275" spans="3:14" x14ac:dyDescent="0.35">
      <c r="C275" s="158"/>
      <c r="D275" s="158"/>
      <c r="E275" s="158"/>
      <c r="F275" s="158"/>
      <c r="G275" s="158"/>
      <c r="H275" s="158"/>
      <c r="I275" s="158"/>
      <c r="J275" s="158"/>
      <c r="K275" s="158"/>
      <c r="L275" s="158"/>
      <c r="M275" s="158"/>
      <c r="N275" s="158"/>
    </row>
    <row r="276" spans="3:14" x14ac:dyDescent="0.35">
      <c r="C276" s="158"/>
      <c r="D276" s="158"/>
      <c r="E276" s="158"/>
      <c r="F276" s="158"/>
      <c r="G276" s="158"/>
      <c r="H276" s="158"/>
      <c r="I276" s="158"/>
      <c r="J276" s="158"/>
      <c r="K276" s="158"/>
      <c r="L276" s="158"/>
      <c r="M276" s="158"/>
      <c r="N276" s="158"/>
    </row>
    <row r="277" spans="3:14" x14ac:dyDescent="0.35">
      <c r="C277" s="158"/>
      <c r="D277" s="158"/>
      <c r="E277" s="158"/>
      <c r="F277" s="158"/>
      <c r="G277" s="158"/>
      <c r="H277" s="158"/>
      <c r="I277" s="158"/>
      <c r="J277" s="158"/>
      <c r="K277" s="158"/>
      <c r="L277" s="158"/>
      <c r="M277" s="158"/>
      <c r="N277" s="158"/>
    </row>
    <row r="278" spans="3:14" x14ac:dyDescent="0.35">
      <c r="C278" s="158"/>
      <c r="D278" s="158"/>
      <c r="E278" s="158"/>
      <c r="F278" s="158"/>
      <c r="G278" s="158"/>
      <c r="H278" s="158"/>
      <c r="I278" s="158"/>
      <c r="J278" s="158"/>
      <c r="K278" s="158"/>
      <c r="L278" s="158"/>
      <c r="M278" s="158"/>
      <c r="N278" s="158"/>
    </row>
    <row r="279" spans="3:14" x14ac:dyDescent="0.35">
      <c r="C279" s="158"/>
      <c r="D279" s="158"/>
      <c r="E279" s="158"/>
      <c r="F279" s="158"/>
      <c r="G279" s="158"/>
      <c r="H279" s="158"/>
      <c r="I279" s="158"/>
      <c r="J279" s="158"/>
      <c r="K279" s="158"/>
      <c r="L279" s="158"/>
      <c r="M279" s="158"/>
      <c r="N279" s="158"/>
    </row>
  </sheetData>
  <autoFilter ref="C1:P64" xr:uid="{00000000-0009-0000-0000-000003000000}"/>
  <conditionalFormatting sqref="O65:O1048576 O1:O63">
    <cfRule type="cellIs" dxfId="3" priority="1" operator="equal">
      <formula>3</formula>
    </cfRule>
    <cfRule type="cellIs" dxfId="2" priority="5" operator="equal">
      <formula>2</formula>
    </cfRule>
    <cfRule type="cellIs" dxfId="1" priority="6" operator="equal">
      <formula>4</formula>
    </cfRule>
    <cfRule type="cellIs" dxfId="0" priority="7" operator="equal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6" r:id="rId4" name="Button 12">
              <controlPr defaultSize="0" print="0" autoFill="0" autoPict="0" macro="[0]!Sorting">
                <anchor moveWithCells="1" sizeWithCells="1">
                  <from>
                    <xdr:col>16</xdr:col>
                    <xdr:colOff>190500</xdr:colOff>
                    <xdr:row>0</xdr:row>
                    <xdr:rowOff>66675</xdr:rowOff>
                  </from>
                  <to>
                    <xdr:col>17</xdr:col>
                    <xdr:colOff>885825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10">
    <tabColor theme="1" tint="4.9989318521683403E-2"/>
  </sheetPr>
  <dimension ref="A1:BJ323"/>
  <sheetViews>
    <sheetView zoomScale="70" zoomScaleNormal="70" workbookViewId="0">
      <selection activeCell="E7" sqref="E7"/>
    </sheetView>
  </sheetViews>
  <sheetFormatPr defaultRowHeight="21" x14ac:dyDescent="0.35"/>
  <cols>
    <col min="1" max="1" width="1.6328125" style="181" customWidth="1"/>
    <col min="2" max="15" width="11.6328125" style="130" customWidth="1"/>
    <col min="16" max="16" width="2.7265625" style="130" customWidth="1"/>
    <col min="17" max="24" width="11.6328125" style="130" hidden="1" customWidth="1"/>
    <col min="25" max="25" width="2.54296875" style="130" hidden="1" customWidth="1"/>
    <col min="26" max="40" width="11.6328125" style="130" hidden="1" customWidth="1"/>
    <col min="41" max="41" width="2.54296875" style="130" customWidth="1"/>
    <col min="42" max="57" width="11.6328125" style="130" customWidth="1"/>
    <col min="58" max="60" width="8.7265625" style="130"/>
    <col min="61" max="61" width="8.6328125" style="130" customWidth="1"/>
    <col min="62" max="62" width="12.81640625" style="130" bestFit="1" customWidth="1"/>
    <col min="63" max="63" width="10.26953125" style="130" bestFit="1" customWidth="1"/>
    <col min="64" max="67" width="8.6328125" style="130" customWidth="1"/>
    <col min="68" max="68" width="10.7265625" style="130" bestFit="1" customWidth="1"/>
    <col min="69" max="70" width="8.6328125" style="130" customWidth="1"/>
    <col min="71" max="16384" width="8.7265625" style="130"/>
  </cols>
  <sheetData>
    <row r="1" spans="2:62" ht="24.95" customHeight="1" thickBot="1" x14ac:dyDescent="0.4">
      <c r="B1" s="134" t="s">
        <v>92</v>
      </c>
      <c r="C1" s="135">
        <v>300</v>
      </c>
      <c r="D1" s="581" t="s">
        <v>75</v>
      </c>
      <c r="E1" s="582" t="s">
        <v>130</v>
      </c>
      <c r="F1" s="583"/>
      <c r="G1" s="583"/>
      <c r="H1" s="583"/>
      <c r="I1" s="583"/>
      <c r="J1" s="583"/>
      <c r="K1" s="583"/>
      <c r="L1" s="584"/>
    </row>
    <row r="2" spans="2:62" ht="24.95" customHeight="1" thickBot="1" x14ac:dyDescent="0.4">
      <c r="B2" s="65" t="s">
        <v>93</v>
      </c>
      <c r="C2" s="66">
        <v>700</v>
      </c>
      <c r="D2" s="581"/>
      <c r="E2" s="131" t="s">
        <v>41</v>
      </c>
      <c r="F2" s="132" t="s">
        <v>42</v>
      </c>
      <c r="G2" s="132" t="s">
        <v>43</v>
      </c>
      <c r="H2" s="132" t="s">
        <v>44</v>
      </c>
      <c r="I2" s="132" t="s">
        <v>45</v>
      </c>
      <c r="J2" s="132" t="s">
        <v>46</v>
      </c>
      <c r="K2" s="132" t="s">
        <v>47</v>
      </c>
      <c r="L2" s="133" t="s">
        <v>48</v>
      </c>
      <c r="AZ2" s="585"/>
    </row>
    <row r="3" spans="2:62" ht="24.95" customHeight="1" x14ac:dyDescent="0.35">
      <c r="B3" s="343">
        <v>8.3145000000000007</v>
      </c>
      <c r="E3" s="344">
        <v>-1.45285946238499</v>
      </c>
      <c r="F3" s="345">
        <v>35.019106518894404</v>
      </c>
      <c r="G3" s="344">
        <v>4.6006374406157917</v>
      </c>
      <c r="H3" s="345">
        <v>-4.0038486980576099E-4</v>
      </c>
      <c r="I3" s="344">
        <v>-4.623892060383076</v>
      </c>
      <c r="J3" s="345">
        <v>-11.739731793854109</v>
      </c>
      <c r="K3" s="344">
        <v>8.9722773468037751</v>
      </c>
      <c r="L3" s="345">
        <v>0</v>
      </c>
      <c r="AP3" s="336"/>
      <c r="AZ3" s="585"/>
    </row>
    <row r="4" spans="2:62" ht="24.95" customHeight="1" thickBot="1" x14ac:dyDescent="0.4">
      <c r="B4" s="138"/>
    </row>
    <row r="5" spans="2:62" ht="24.95" customHeight="1" thickBot="1" x14ac:dyDescent="0.45">
      <c r="B5" s="580" t="s">
        <v>146</v>
      </c>
      <c r="C5" s="580"/>
      <c r="D5" s="140"/>
      <c r="E5" s="586" t="s">
        <v>129</v>
      </c>
      <c r="F5" s="587"/>
      <c r="G5" s="587"/>
      <c r="H5" s="587"/>
      <c r="I5" s="587"/>
      <c r="J5" s="587"/>
      <c r="K5" s="587"/>
      <c r="L5" s="588"/>
    </row>
    <row r="6" spans="2:62" ht="24.95" customHeight="1" thickBot="1" x14ac:dyDescent="0.4">
      <c r="B6" s="355" t="s">
        <v>147</v>
      </c>
      <c r="C6" s="356" t="s">
        <v>148</v>
      </c>
      <c r="D6" s="140"/>
      <c r="E6" s="131" t="s">
        <v>41</v>
      </c>
      <c r="F6" s="132" t="s">
        <v>42</v>
      </c>
      <c r="G6" s="132" t="s">
        <v>43</v>
      </c>
      <c r="H6" s="132" t="s">
        <v>44</v>
      </c>
      <c r="I6" s="132" t="s">
        <v>45</v>
      </c>
      <c r="J6" s="132" t="s">
        <v>46</v>
      </c>
      <c r="K6" s="132" t="s">
        <v>47</v>
      </c>
      <c r="L6" s="133" t="s">
        <v>48</v>
      </c>
      <c r="N6" s="274"/>
      <c r="O6" s="274"/>
      <c r="P6" s="274"/>
      <c r="Q6" s="274"/>
      <c r="R6" s="274"/>
      <c r="S6" s="274"/>
      <c r="T6" s="274"/>
      <c r="BJ6" s="123"/>
    </row>
    <row r="7" spans="2:62" ht="24.95" customHeight="1" thickTop="1" x14ac:dyDescent="0.35">
      <c r="B7" s="358">
        <f>SUM(AP47:AS47)</f>
        <v>-1244.3896503601059</v>
      </c>
      <c r="C7" s="357">
        <f>SUM(AT47:AW47)</f>
        <v>-1484.5152915601925</v>
      </c>
      <c r="E7" s="346">
        <v>3.192504</v>
      </c>
      <c r="F7" s="347">
        <v>33.995229999999999</v>
      </c>
      <c r="G7" s="346">
        <v>5.1932309999999999</v>
      </c>
      <c r="H7" s="347">
        <v>-4.8091060000000002E-4</v>
      </c>
      <c r="I7" s="346">
        <v>9.1439489999999998E-2</v>
      </c>
      <c r="J7" s="347">
        <v>-21.466670000000001</v>
      </c>
      <c r="K7" s="346">
        <v>42.981879999999997</v>
      </c>
      <c r="L7" s="347">
        <v>-45.813839999999999</v>
      </c>
    </row>
    <row r="8" spans="2:62" ht="24.95" customHeight="1" thickBot="1" x14ac:dyDescent="0.4">
      <c r="B8" s="138"/>
    </row>
    <row r="9" spans="2:62" ht="24.95" customHeight="1" thickBot="1" x14ac:dyDescent="0.4">
      <c r="B9" s="139"/>
      <c r="E9" s="589">
        <v>2</v>
      </c>
      <c r="F9" s="590"/>
      <c r="G9" s="590"/>
      <c r="H9" s="590"/>
      <c r="I9" s="590"/>
      <c r="J9" s="590"/>
      <c r="K9" s="590"/>
      <c r="L9" s="591"/>
      <c r="U9" s="126"/>
      <c r="V9" s="126"/>
      <c r="W9" s="126"/>
      <c r="X9" s="126"/>
      <c r="Y9" s="126"/>
      <c r="Z9" s="126"/>
      <c r="AA9" s="126"/>
      <c r="AB9" s="126"/>
    </row>
    <row r="10" spans="2:62" ht="24.95" customHeight="1" thickBot="1" x14ac:dyDescent="0.4">
      <c r="B10" s="139"/>
      <c r="D10" s="130" t="s">
        <v>94</v>
      </c>
      <c r="E10" s="136">
        <v>0</v>
      </c>
      <c r="F10" s="136">
        <v>1</v>
      </c>
      <c r="G10" s="136" t="s">
        <v>89</v>
      </c>
      <c r="H10" s="136">
        <v>2</v>
      </c>
      <c r="I10" s="136">
        <v>3</v>
      </c>
      <c r="J10" s="136"/>
      <c r="K10" s="136"/>
      <c r="L10" s="136"/>
    </row>
    <row r="11" spans="2:62" ht="24.95" customHeight="1" thickTop="1" x14ac:dyDescent="0.35">
      <c r="B11" s="139"/>
      <c r="D11" s="130" t="s">
        <v>90</v>
      </c>
      <c r="E11" s="124">
        <v>-6657.6530000000002</v>
      </c>
      <c r="F11" s="125">
        <v>92.539694999999995</v>
      </c>
      <c r="G11" s="126">
        <v>-19.14</v>
      </c>
      <c r="H11" s="126">
        <v>-1.2295E-2</v>
      </c>
      <c r="I11" s="126">
        <v>2.6766599999999999E-6</v>
      </c>
      <c r="J11" s="126"/>
      <c r="K11" s="126"/>
      <c r="L11" s="126"/>
    </row>
    <row r="12" spans="2:62" ht="24.95" customHeight="1" x14ac:dyDescent="0.35">
      <c r="B12" s="139"/>
      <c r="E12" s="130">
        <v>-398698</v>
      </c>
      <c r="F12" s="130">
        <f>E12/8.3145/10000</f>
        <v>-4.7952131817908468</v>
      </c>
    </row>
    <row r="13" spans="2:62" ht="24.95" customHeight="1" x14ac:dyDescent="0.35">
      <c r="B13" s="139"/>
    </row>
    <row r="14" spans="2:62" ht="24.95" customHeight="1" x14ac:dyDescent="0.35">
      <c r="B14" s="139"/>
    </row>
    <row r="15" spans="2:62" ht="24.95" customHeight="1" x14ac:dyDescent="0.35">
      <c r="B15" s="139"/>
    </row>
    <row r="16" spans="2:62" ht="24.95" customHeight="1" x14ac:dyDescent="0.35">
      <c r="B16" s="139"/>
    </row>
    <row r="17" spans="2:2" ht="24.95" customHeight="1" x14ac:dyDescent="0.35">
      <c r="B17" s="139"/>
    </row>
    <row r="18" spans="2:2" ht="24.95" customHeight="1" x14ac:dyDescent="0.35">
      <c r="B18" s="139"/>
    </row>
    <row r="19" spans="2:2" ht="24.95" customHeight="1" x14ac:dyDescent="0.35">
      <c r="B19" s="139"/>
    </row>
    <row r="20" spans="2:2" ht="24.95" customHeight="1" x14ac:dyDescent="0.35">
      <c r="B20" s="139"/>
    </row>
    <row r="21" spans="2:2" ht="24.95" customHeight="1" x14ac:dyDescent="0.35">
      <c r="B21" s="139"/>
    </row>
    <row r="22" spans="2:2" ht="24.95" customHeight="1" x14ac:dyDescent="0.35">
      <c r="B22" s="139"/>
    </row>
    <row r="23" spans="2:2" ht="24.95" customHeight="1" x14ac:dyDescent="0.35">
      <c r="B23" s="139"/>
    </row>
    <row r="24" spans="2:2" ht="24.95" customHeight="1" x14ac:dyDescent="0.35">
      <c r="B24" s="139"/>
    </row>
    <row r="25" spans="2:2" ht="24.95" customHeight="1" x14ac:dyDescent="0.35">
      <c r="B25" s="139"/>
    </row>
    <row r="26" spans="2:2" ht="24.95" customHeight="1" x14ac:dyDescent="0.35">
      <c r="B26" s="139"/>
    </row>
    <row r="27" spans="2:2" ht="24.95" customHeight="1" x14ac:dyDescent="0.35">
      <c r="B27" s="139"/>
    </row>
    <row r="28" spans="2:2" ht="24.95" customHeight="1" x14ac:dyDescent="0.35">
      <c r="B28" s="139"/>
    </row>
    <row r="29" spans="2:2" ht="24.95" customHeight="1" x14ac:dyDescent="0.35">
      <c r="B29" s="139"/>
    </row>
    <row r="30" spans="2:2" ht="24.95" customHeight="1" x14ac:dyDescent="0.35">
      <c r="B30" s="139"/>
    </row>
    <row r="31" spans="2:2" ht="24.95" customHeight="1" x14ac:dyDescent="0.35">
      <c r="B31" s="139"/>
    </row>
    <row r="32" spans="2:2" ht="24.95" customHeight="1" x14ac:dyDescent="0.35">
      <c r="B32" s="139"/>
    </row>
    <row r="33" spans="1:49" ht="24.95" customHeight="1" x14ac:dyDescent="0.35">
      <c r="B33" s="139"/>
    </row>
    <row r="34" spans="1:49" ht="24.95" customHeight="1" x14ac:dyDescent="0.35">
      <c r="B34" s="139"/>
    </row>
    <row r="35" spans="1:49" ht="24.95" customHeight="1" x14ac:dyDescent="0.35">
      <c r="B35" s="139"/>
    </row>
    <row r="36" spans="1:49" ht="24.95" customHeight="1" x14ac:dyDescent="0.35">
      <c r="B36" s="139"/>
    </row>
    <row r="37" spans="1:49" ht="24.95" customHeight="1" x14ac:dyDescent="0.35">
      <c r="B37" s="139"/>
    </row>
    <row r="38" spans="1:49" ht="24.95" customHeight="1" x14ac:dyDescent="0.35">
      <c r="B38" s="139"/>
    </row>
    <row r="39" spans="1:49" ht="24.95" customHeight="1" x14ac:dyDescent="0.35">
      <c r="B39" s="139"/>
    </row>
    <row r="40" spans="1:49" ht="24.95" customHeight="1" x14ac:dyDescent="0.35">
      <c r="B40" s="139"/>
      <c r="E40" s="354"/>
      <c r="F40" s="354"/>
      <c r="G40" s="354"/>
      <c r="H40" s="354"/>
      <c r="I40" s="354"/>
      <c r="J40" s="354"/>
      <c r="K40" s="354"/>
      <c r="L40" s="354"/>
    </row>
    <row r="41" spans="1:49" ht="24.95" customHeight="1" x14ac:dyDescent="0.35">
      <c r="B41" s="139"/>
      <c r="F41" s="353"/>
    </row>
    <row r="43" spans="1:49" x14ac:dyDescent="0.35">
      <c r="C43" s="129"/>
    </row>
    <row r="47" spans="1:49" ht="21.75" thickBot="1" x14ac:dyDescent="0.4">
      <c r="D47" s="128"/>
      <c r="Q47" s="579" t="s">
        <v>140</v>
      </c>
      <c r="R47" s="579"/>
      <c r="S47" s="579"/>
      <c r="T47" s="579"/>
      <c r="U47" s="579"/>
      <c r="V47" s="579"/>
      <c r="W47" s="579"/>
      <c r="X47" s="579"/>
      <c r="Z47" s="352" t="s">
        <v>139</v>
      </c>
      <c r="AA47" s="352"/>
      <c r="AB47" s="352"/>
      <c r="AC47" s="352"/>
      <c r="AD47" s="352"/>
      <c r="AE47" s="352"/>
      <c r="AF47" s="352"/>
      <c r="AG47" s="352"/>
      <c r="AP47" s="140">
        <f>SUM(AP49:AP327)/1000</f>
        <v>-0.33559575818890131</v>
      </c>
      <c r="AQ47" s="140">
        <f t="shared" ref="AQ47:AS47" si="0">SUM(AQ49:AQ327)</f>
        <v>-1818.0139085342339</v>
      </c>
      <c r="AR47" s="140">
        <f t="shared" si="0"/>
        <v>573.40720800143845</v>
      </c>
      <c r="AS47" s="140">
        <f t="shared" si="0"/>
        <v>0.55264593087857961</v>
      </c>
      <c r="AT47" s="140">
        <f>SUM(AT49:AT327)/AT49</f>
        <v>-1694.2233443409568</v>
      </c>
      <c r="AU47" s="140">
        <f t="shared" ref="AU47:AV47" si="1">SUM(AU49:AU327)/AU49</f>
        <v>75.045130131475602</v>
      </c>
      <c r="AV47" s="140">
        <f t="shared" si="1"/>
        <v>134.6629226492887</v>
      </c>
      <c r="AW47" s="140">
        <f>SUM(AW49:AW327)</f>
        <v>0</v>
      </c>
    </row>
    <row r="48" spans="1:49" ht="24.75" thickTop="1" thickBot="1" x14ac:dyDescent="0.4">
      <c r="A48" s="341"/>
      <c r="B48" s="342" t="s">
        <v>91</v>
      </c>
      <c r="C48" s="342">
        <f>COUNTA(A50:A321)</f>
        <v>74</v>
      </c>
      <c r="D48" s="350" t="s">
        <v>180</v>
      </c>
      <c r="E48" s="350" t="s">
        <v>181</v>
      </c>
      <c r="F48" s="350" t="s">
        <v>177</v>
      </c>
      <c r="G48" s="350" t="s">
        <v>182</v>
      </c>
      <c r="H48" s="342" t="s">
        <v>178</v>
      </c>
      <c r="I48" s="342" t="s">
        <v>184</v>
      </c>
      <c r="J48" s="342" t="s">
        <v>179</v>
      </c>
      <c r="K48" s="342" t="s">
        <v>183</v>
      </c>
      <c r="L48" s="349" t="s">
        <v>135</v>
      </c>
      <c r="M48" s="349" t="s">
        <v>136</v>
      </c>
      <c r="N48" s="349" t="s">
        <v>137</v>
      </c>
      <c r="O48" s="349" t="s">
        <v>138</v>
      </c>
      <c r="Q48" s="351">
        <f t="shared" ref="Q48:X48" si="2">E10</f>
        <v>0</v>
      </c>
      <c r="R48" s="351">
        <f t="shared" si="2"/>
        <v>1</v>
      </c>
      <c r="S48" s="351" t="str">
        <f t="shared" si="2"/>
        <v>п</v>
      </c>
      <c r="T48" s="351">
        <f t="shared" si="2"/>
        <v>2</v>
      </c>
      <c r="U48" s="351">
        <f t="shared" si="2"/>
        <v>3</v>
      </c>
      <c r="V48" s="351">
        <f t="shared" si="2"/>
        <v>0</v>
      </c>
      <c r="W48" s="351">
        <f t="shared" si="2"/>
        <v>0</v>
      </c>
      <c r="X48" s="351">
        <f t="shared" si="2"/>
        <v>0</v>
      </c>
      <c r="Z48" s="342">
        <f t="shared" ref="Z48:AG48" si="3">E10</f>
        <v>0</v>
      </c>
      <c r="AA48" s="342">
        <f t="shared" si="3"/>
        <v>1</v>
      </c>
      <c r="AB48" s="342" t="str">
        <f t="shared" si="3"/>
        <v>п</v>
      </c>
      <c r="AC48" s="342">
        <f t="shared" si="3"/>
        <v>2</v>
      </c>
      <c r="AD48" s="342">
        <f t="shared" si="3"/>
        <v>3</v>
      </c>
      <c r="AE48" s="342">
        <f t="shared" si="3"/>
        <v>0</v>
      </c>
      <c r="AF48" s="342">
        <f t="shared" si="3"/>
        <v>0</v>
      </c>
      <c r="AG48" s="342">
        <f t="shared" si="3"/>
        <v>0</v>
      </c>
      <c r="AP48" s="342" t="s">
        <v>131</v>
      </c>
      <c r="AQ48" s="342" t="s">
        <v>133</v>
      </c>
      <c r="AR48" s="342" t="s">
        <v>132</v>
      </c>
      <c r="AS48" s="342" t="s">
        <v>134</v>
      </c>
      <c r="AT48" s="359" t="s">
        <v>142</v>
      </c>
      <c r="AU48" s="359" t="s">
        <v>141</v>
      </c>
      <c r="AV48" s="359" t="s">
        <v>143</v>
      </c>
      <c r="AW48" s="359" t="s">
        <v>144</v>
      </c>
    </row>
    <row r="49" spans="1:50" x14ac:dyDescent="0.35">
      <c r="B49" s="64">
        <f>$C$1</f>
        <v>300</v>
      </c>
      <c r="C49" s="115">
        <f t="shared" ref="C49" si="4">B49/10000</f>
        <v>0.03</v>
      </c>
      <c r="D49" s="340">
        <f>10*$B$3*(C49*$G$3-$H$3*2/C49+$J$3*C49^2+$K$3*2*C49^3+$L$3*3*C49^4-$I$3+$E$3)</f>
        <v>276.51223269388424</v>
      </c>
      <c r="E49" s="137">
        <f>$B$3*($F$3+$G$3+$G$3*LN(C49)-$H$3/C49^2+$J$3*2*C49+$K$3*3*C49^2+$L$3*4*C49^3)</f>
        <v>193.32921735195248</v>
      </c>
      <c r="F49" s="127">
        <f>($E$3-C49*($F$3+$G$3*LN(C49)+$H$3*C49^(-2)+$I$3*C49^(-1)+$J$3*C49+$K$3*C49^2+$L$3*C49^3))*$B$3*10</f>
        <v>218.51346748829849</v>
      </c>
      <c r="G49" s="137">
        <f>$B$3*($G$3+2*$H$3*C49^(-2)+2*$J$3*C49+ 6*$K$3*C49^2+ 12*$L$3*C49^3)</f>
        <v>25.400462222222227</v>
      </c>
      <c r="H49" s="340">
        <f>10*$B$3*(C49*$G$7-$H$7*2/C49+$J$7*C49^2+$K$7*2*C49^3+$L$7*3*C49^4-$I$7+$E$7)</f>
        <v>272.03479523354935</v>
      </c>
      <c r="I49" s="137">
        <f t="shared" ref="I49:I80" si="5">$B$3*($F$7+$G$7+$G$7*LN(C49)-$H$7/C49^2+$J$7*2*C49+$K$7*3*C49^2+$L$7*4*C49^3)</f>
        <v>169.07987989568622</v>
      </c>
      <c r="J49" s="127">
        <f>($E$7-C49*($F$7+$G$7*LN(C49)+$H$7*C49^(-2)+$I$7*C49^(-1)+$J$7*C49+$K$7*C49^2+$L$7*C49^3))*$B$3*10</f>
        <v>221.31083126484344</v>
      </c>
      <c r="K49" s="137">
        <f t="shared" ref="K49:K80" si="6">$B$3*($G$7+2*$H$7*C49^(-2)+2*$J$7*C49+ 6*$K$7*C49^2+ 12*$L$7*C49^3)</f>
        <v>25.390812164789015</v>
      </c>
      <c r="L49" s="137">
        <f>N49+M49*B49</f>
        <v>46.357360000005428</v>
      </c>
      <c r="M49" s="137">
        <f>-SUM(Q49:X49)</f>
        <v>42.425003364919704</v>
      </c>
      <c r="N49" s="125">
        <f>SUM(Z49:AG49)</f>
        <v>-12681.143649475905</v>
      </c>
      <c r="O49" s="125"/>
      <c r="Q49" s="130">
        <f t="shared" ref="Q49:Q80" si="7">IF( OR( E$10="д",E$10="l"),E$11/$B49,  IF( OR( E$10="g",E$10="п"),E$11*(LN($B49)+1),  $B49^(E$10-1)*E$10*E$11))</f>
        <v>0</v>
      </c>
      <c r="R49" s="130">
        <f t="shared" ref="R49:R80" si="8">IF( OR( F$10="д",F$10="l"),F$11/$B49,  IF( OR( F$10="g",F$10="п"),F$11*(LN($B49)+1),  $B49^(F$10-1)*F$10*F$11))</f>
        <v>92.539694999999995</v>
      </c>
      <c r="S49" s="130">
        <f t="shared" ref="S49:S80" si="9">IF( OR( G$10="д",G$10="l"),G$11/$B49,  IF( OR( G$10="g",G$10="п"),G$11*(LN($B49)+1),  $B49^(G$10-1)*G$10*G$11))</f>
        <v>-128.3103965649197</v>
      </c>
      <c r="T49" s="130">
        <f t="shared" ref="T49:T80" si="10">IF( OR( H$10="д",H$10="l"),H$11/$B49,  IF( OR( H$10="g",H$10="п"),H$11*(LN($B49)+1),  $B49^(H$10-1)*H$10*H$11))</f>
        <v>-7.3770000000000007</v>
      </c>
      <c r="U49" s="130">
        <f t="shared" ref="U49:U80" si="11">IF( OR( I$10="д",I$10="l"),I$11/$B49,  IF( OR( I$10="g",I$10="п"),I$11*(LN($B49)+1),  $B49^(I$10-1)*I$10*I$11))</f>
        <v>0.72269819999999996</v>
      </c>
      <c r="V49" s="130">
        <f t="shared" ref="V49:V80" si="12">IF( OR( J$10="д",J$10="l"),J$11/$B49,  IF( OR( J$10="g",J$10="п"),J$11*(LN($B49)+1),  $B49^(J$10-1)*J$10*J$11))</f>
        <v>0</v>
      </c>
      <c r="W49" s="130">
        <f t="shared" ref="W49:W80" si="13">IF( OR( K$10="д",K$10="l"),K$11/$B49,  IF( OR( K$10="g",K$10="п"),K$11*(LN($B49)+1),  $B49^(K$10-1)*K$10*K$11))</f>
        <v>0</v>
      </c>
      <c r="X49" s="130">
        <f t="shared" ref="X49:X80" si="14">IF( OR( L$10="д",L$10="l"),L$11/$B49,  IF( OR( L$10="g",L$10="п"),L$11*(LN($B49)+1),  $B49^(L$10-1)*L$10*L$11))</f>
        <v>0</v>
      </c>
      <c r="Z49" s="130">
        <f t="shared" ref="Z49:Z80" si="15">IF( OR( E$10="д",E$10="l"),E$11*LN($B49),  IF( OR( E$10="g",E$10="п"),E$11*$B49*LN($B49),  ($B49^E$10)*E$11))</f>
        <v>-6657.6530000000002</v>
      </c>
      <c r="AA49" s="130">
        <f t="shared" ref="AA49:AA80" si="16">IF( OR( F$10="д",F$10="l"),F$11*LN($B49),  IF( OR( F$10="g",F$10="п"),F$11*$B49*LN($B49),  ($B49^F$10)*F$11))</f>
        <v>27761.908499999998</v>
      </c>
      <c r="AB49" s="130">
        <f t="shared" ref="AB49:AB80" si="17">IF( OR( G$10="д",G$10="l"),G$11*LN($B49),  IF( OR( G$10="g",G$10="п"),G$11*$B49*LN($B49),  ($B49^G$10)*G$11))</f>
        <v>-32751.118969475905</v>
      </c>
      <c r="AC49" s="130">
        <f t="shared" ref="AC49:AC80" si="18">IF( OR( H$10="д",H$10="l"),H$11*LN($B49),  IF( OR( H$10="g",H$10="п"),H$11*$B49*LN($B49),  ($B49^H$10)*H$11))</f>
        <v>-1106.55</v>
      </c>
      <c r="AD49" s="130">
        <f t="shared" ref="AD49:AD80" si="19">IF( OR( I$10="д",I$10="l"),I$11*LN($B49),  IF( OR( I$10="g",I$10="п"),I$11*$B49*LN($B49),  ($B49^I$10)*I$11))</f>
        <v>72.269819999999996</v>
      </c>
      <c r="AE49" s="130">
        <f t="shared" ref="AE49:AE80" si="20">IF( OR( J$10="д",J$10="l"),J$11*LN($B49),  IF( OR( J$10="g",J$10="п"),J$11*$B49*LN($B49),  ($B49^J$10)*J$11))</f>
        <v>0</v>
      </c>
      <c r="AF49" s="130">
        <f t="shared" ref="AF49:AF80" si="21">IF( OR( K$10="д",K$10="l"),K$11*LN($B49),  IF( OR( K$10="g",K$10="п"),K$11*$B49*LN($B49),  ($B49^K$10)*K$11))</f>
        <v>0</v>
      </c>
      <c r="AG49" s="130">
        <f t="shared" ref="AG49:AG80" si="22">IF( OR( L$10="д",L$10="l"),L$11*LN($B49),  IF( OR( L$10="g",L$10="п"),L$11*$B49*LN($B49),  ($B49^L$10)*L$11))</f>
        <v>0</v>
      </c>
      <c r="AP49" s="125">
        <f>(H49-D49)</f>
        <v>-4.4774374603348974</v>
      </c>
      <c r="AQ49" s="125">
        <f>(I49-E49)</f>
        <v>-24.249337456266261</v>
      </c>
      <c r="AR49" s="125">
        <f>(J49-F49)</f>
        <v>2.7973637765449553</v>
      </c>
      <c r="AS49" s="125">
        <f>K49-G49</f>
        <v>-9.6500574332125666E-3</v>
      </c>
      <c r="AT49" s="125">
        <f>H49-L49</f>
        <v>225.67743523354392</v>
      </c>
      <c r="AU49" s="127">
        <f>I49-M49</f>
        <v>126.65487653076651</v>
      </c>
      <c r="AV49" s="125">
        <f>J49-N49</f>
        <v>12902.454480740749</v>
      </c>
      <c r="AX49" s="67"/>
    </row>
    <row r="50" spans="1:50" hidden="1" x14ac:dyDescent="0.35">
      <c r="A50" s="181" t="s">
        <v>128</v>
      </c>
      <c r="B50" s="64">
        <f t="shared" ref="B50:B81" si="23">B49+($C$2-$C$1)/$C$48</f>
        <v>305.40540540540542</v>
      </c>
      <c r="C50" s="115">
        <f t="shared" ref="C50:C52" si="24">B50/10000</f>
        <v>3.0540540540540541E-2</v>
      </c>
      <c r="D50" s="340">
        <f t="shared" ref="D50:D113" si="25">10*$B$3*(C50*$G$3-$H$3*2/C50+$J$3*C50^2+$K$3*2*C50^3+$L$3*3*C50^4-$I$3+$E$3)</f>
        <v>276.64999451092353</v>
      </c>
      <c r="E50" s="137">
        <f>$B$3*($F$3+$G$3+$G$3*LN(C50)-$H$3/C50^2+$J$3*2*C50+$K$3*3*C50^2+$L$3*4*C50^3)</f>
        <v>193.78433096665327</v>
      </c>
      <c r="F50" s="127">
        <f t="shared" ref="F50:F113" si="26">($E$3-C50*($F$3+$G$3*LN(C50)+$H$3*C50^(-2)+$I$3*C50^(-1)+$J$3*C50+$K$3*C50^2+$L$3*C50^3))*$B$3*10</f>
        <v>217.46721235083743</v>
      </c>
      <c r="G50" s="137">
        <f>$B$3*($G$3+2*$H$3*C50^(-2)+2*$J$3*C50+ 6*$K$3*C50^2+ 12*$L$3*C50^3)</f>
        <v>25.569136258115996</v>
      </c>
      <c r="H50" s="340">
        <f t="shared" ref="H50:H113" si="27">10*$B$3*(C50*$G$7-$H$7*2/C50+$J$7*C50^2+$K$7*2*C50^3+$L$7*3*C50^4-$I$7+$E$7)</f>
        <v>272.17254229337931</v>
      </c>
      <c r="I50" s="137">
        <f t="shared" si="5"/>
        <v>169.53494439893149</v>
      </c>
      <c r="J50" s="127">
        <f t="shared" ref="J50:J113" si="28">($E$7-C50*($F$7+$G$7*LN(C50)+$H$7*C50^(-2)+$I$7*C50^(-1)+$J$7*C50+$K$7*C50^2+$L$7*C50^3))*$B$3*10</f>
        <v>220.39565386884078</v>
      </c>
      <c r="K50" s="137">
        <f t="shared" si="6"/>
        <v>25.572984882136144</v>
      </c>
      <c r="L50" s="137">
        <f t="shared" ref="L50:L52" si="29">N50+M50*B50</f>
        <v>182.09716251673672</v>
      </c>
      <c r="M50" s="137">
        <f t="shared" ref="M50:M52" si="30">-SUM(Q50:X50)</f>
        <v>42.873439279267743</v>
      </c>
      <c r="N50" s="125">
        <f>SUM(Z50:AG50)</f>
        <v>-12911.682941692061</v>
      </c>
      <c r="O50" s="125"/>
      <c r="Q50" s="130">
        <f t="shared" si="7"/>
        <v>0</v>
      </c>
      <c r="R50" s="130">
        <f t="shared" si="8"/>
        <v>92.539694999999995</v>
      </c>
      <c r="S50" s="130">
        <f t="shared" si="9"/>
        <v>-128.65219136195583</v>
      </c>
      <c r="T50" s="130">
        <f t="shared" si="10"/>
        <v>-7.5099189189189195</v>
      </c>
      <c r="U50" s="130">
        <f t="shared" si="11"/>
        <v>0.7489760016070125</v>
      </c>
      <c r="V50" s="130">
        <f t="shared" si="12"/>
        <v>0</v>
      </c>
      <c r="W50" s="130">
        <f t="shared" si="13"/>
        <v>0</v>
      </c>
      <c r="X50" s="130">
        <f t="shared" si="14"/>
        <v>0</v>
      </c>
      <c r="Z50" s="130">
        <f t="shared" si="15"/>
        <v>-6657.6530000000002</v>
      </c>
      <c r="AA50" s="130">
        <f t="shared" si="16"/>
        <v>28262.123067567569</v>
      </c>
      <c r="AB50" s="130">
        <f t="shared" si="17"/>
        <v>-33445.615199732456</v>
      </c>
      <c r="AC50" s="130">
        <f t="shared" si="18"/>
        <v>-1146.7849159970783</v>
      </c>
      <c r="AD50" s="130">
        <f t="shared" si="19"/>
        <v>76.247106469903073</v>
      </c>
      <c r="AE50" s="130">
        <f t="shared" si="20"/>
        <v>0</v>
      </c>
      <c r="AF50" s="130">
        <f t="shared" si="21"/>
        <v>0</v>
      </c>
      <c r="AG50" s="130">
        <f t="shared" si="22"/>
        <v>0</v>
      </c>
      <c r="AP50" s="125">
        <f t="shared" ref="AP50:AP113" si="31">(H50-D50)</f>
        <v>-4.4774522175442257</v>
      </c>
      <c r="AQ50" s="125">
        <f>I50-E50</f>
        <v>-24.249386567721785</v>
      </c>
      <c r="AR50" s="125">
        <f t="shared" ref="AR50:AR113" si="32">(J50-F50)</f>
        <v>2.9284415180033534</v>
      </c>
      <c r="AS50" s="125">
        <f>K50-G50</f>
        <v>3.8486240201471844E-3</v>
      </c>
      <c r="AT50" s="125">
        <f t="shared" ref="AT50:AT52" si="33">H50-L50</f>
        <v>90.075379776642592</v>
      </c>
      <c r="AU50" s="127">
        <f t="shared" ref="AU50:AU52" si="34">I50-M50</f>
        <v>126.66150511966374</v>
      </c>
      <c r="AV50" s="125">
        <f>J50-N50</f>
        <v>13132.078595560903</v>
      </c>
      <c r="AX50" s="67"/>
    </row>
    <row r="51" spans="1:50" hidden="1" x14ac:dyDescent="0.35">
      <c r="A51" s="181" t="s">
        <v>128</v>
      </c>
      <c r="B51" s="64">
        <f t="shared" si="23"/>
        <v>310.81081081081084</v>
      </c>
      <c r="C51" s="115">
        <f t="shared" si="24"/>
        <v>3.1081081081081083E-2</v>
      </c>
      <c r="D51" s="340">
        <f t="shared" si="25"/>
        <v>276.78863207809803</v>
      </c>
      <c r="E51" s="137">
        <f>$B$3*($F$3+$G$3+$G$3*LN(C51)-$H$3/C51^2+$J$3*2*C51+$K$3*3*C51^2+$L$3*4*C51^3)</f>
        <v>194.23430255339019</v>
      </c>
      <c r="F51" s="127">
        <f t="shared" si="26"/>
        <v>216.41851101420642</v>
      </c>
      <c r="G51" s="137">
        <f>$B$3*($G$3+2*$H$3*C51^(-2)+2*$J$3*C51+ 6*$K$3*C51^2+ 12*$L$3*C51^3)</f>
        <v>25.724648180270396</v>
      </c>
      <c r="H51" s="340">
        <f t="shared" si="27"/>
        <v>272.31123270650443</v>
      </c>
      <c r="I51" s="137">
        <f t="shared" si="5"/>
        <v>169.98508721152857</v>
      </c>
      <c r="J51" s="127">
        <f t="shared" si="28"/>
        <v>219.4780299245428</v>
      </c>
      <c r="K51" s="137">
        <f t="shared" si="6"/>
        <v>25.740042429181091</v>
      </c>
      <c r="L51" s="137">
        <f t="shared" si="29"/>
        <v>318.26882486723298</v>
      </c>
      <c r="M51" s="137">
        <f t="shared" si="30"/>
        <v>43.315409236840779</v>
      </c>
      <c r="N51" s="125">
        <f>SUM(Z51:AG51)</f>
        <v>-13144.628640637335</v>
      </c>
      <c r="O51" s="125"/>
      <c r="Q51" s="130">
        <f t="shared" si="7"/>
        <v>0</v>
      </c>
      <c r="R51" s="130">
        <f t="shared" si="8"/>
        <v>92.539694999999995</v>
      </c>
      <c r="S51" s="130">
        <f t="shared" si="9"/>
        <v>-128.98798944867423</v>
      </c>
      <c r="T51" s="130">
        <f t="shared" si="10"/>
        <v>-7.6428378378378383</v>
      </c>
      <c r="U51" s="130">
        <f t="shared" si="11"/>
        <v>0.77572304967129302</v>
      </c>
      <c r="V51" s="130">
        <f t="shared" si="12"/>
        <v>0</v>
      </c>
      <c r="W51" s="130">
        <f t="shared" si="13"/>
        <v>0</v>
      </c>
      <c r="X51" s="130">
        <f t="shared" si="14"/>
        <v>0</v>
      </c>
      <c r="Z51" s="130">
        <f t="shared" si="15"/>
        <v>-6657.6530000000002</v>
      </c>
      <c r="AA51" s="130">
        <f t="shared" si="16"/>
        <v>28762.337635135136</v>
      </c>
      <c r="AB51" s="130">
        <f t="shared" si="17"/>
        <v>-34141.94266647983</v>
      </c>
      <c r="AC51" s="130">
        <f t="shared" si="18"/>
        <v>-1187.7383126369616</v>
      </c>
      <c r="AD51" s="130">
        <f t="shared" si="19"/>
        <v>80.367703344323161</v>
      </c>
      <c r="AE51" s="130">
        <f t="shared" si="20"/>
        <v>0</v>
      </c>
      <c r="AF51" s="130">
        <f t="shared" si="21"/>
        <v>0</v>
      </c>
      <c r="AG51" s="130">
        <f t="shared" si="22"/>
        <v>0</v>
      </c>
      <c r="AP51" s="125">
        <f t="shared" si="31"/>
        <v>-4.4773993715936058</v>
      </c>
      <c r="AQ51" s="125">
        <f>I51-E51</f>
        <v>-24.249215341861628</v>
      </c>
      <c r="AR51" s="125">
        <f t="shared" si="32"/>
        <v>3.0595189103363793</v>
      </c>
      <c r="AS51" s="125">
        <f>K51-G51</f>
        <v>1.5394248910695296E-2</v>
      </c>
      <c r="AT51" s="125">
        <f t="shared" si="33"/>
        <v>-45.957592160728552</v>
      </c>
      <c r="AU51" s="127">
        <f t="shared" si="34"/>
        <v>126.66967797468779</v>
      </c>
      <c r="AV51" s="125">
        <f>J51-N51</f>
        <v>13364.106670561878</v>
      </c>
      <c r="AX51" s="67"/>
    </row>
    <row r="52" spans="1:50" hidden="1" x14ac:dyDescent="0.35">
      <c r="A52" s="181" t="s">
        <v>128</v>
      </c>
      <c r="B52" s="64">
        <f t="shared" si="23"/>
        <v>316.21621621621625</v>
      </c>
      <c r="C52" s="115">
        <f t="shared" si="24"/>
        <v>3.1621621621621625E-2</v>
      </c>
      <c r="D52" s="340">
        <f t="shared" si="25"/>
        <v>276.92807674418191</v>
      </c>
      <c r="E52" s="137">
        <f>$B$3*($F$3+$G$3+$G$3*LN(C52)-$H$3/C52^2+$J$3*2*C52+$K$3*3*C52^2+$L$3*4*C52^3)</f>
        <v>194.67909042363704</v>
      </c>
      <c r="F52" s="127">
        <f t="shared" si="26"/>
        <v>215.36739139400481</v>
      </c>
      <c r="G52" s="137">
        <f>$B$3*($G$3+2*$H$3*C52^(-2)+2*$J$3*C52+ 6*$K$3*C52^2+ 12*$L$3*C52^3)</f>
        <v>25.867907955706659</v>
      </c>
      <c r="H52" s="340">
        <f t="shared" si="27"/>
        <v>272.45078775479288</v>
      </c>
      <c r="I52" s="137">
        <f t="shared" si="5"/>
        <v>170.4302269296457</v>
      </c>
      <c r="J52" s="127">
        <f t="shared" si="28"/>
        <v>218.55798626622925</v>
      </c>
      <c r="K52" s="137">
        <f t="shared" si="6"/>
        <v>25.893073454633495</v>
      </c>
      <c r="L52" s="137">
        <f t="shared" si="29"/>
        <v>454.86727411683569</v>
      </c>
      <c r="M52" s="137">
        <f t="shared" si="30"/>
        <v>43.751120036394596</v>
      </c>
      <c r="N52" s="125">
        <f>SUM(Z52:AG52)</f>
        <v>-13379.946359013349</v>
      </c>
      <c r="O52" s="125"/>
      <c r="Q52" s="130">
        <f t="shared" si="7"/>
        <v>0</v>
      </c>
      <c r="R52" s="130">
        <f t="shared" si="8"/>
        <v>92.539694999999995</v>
      </c>
      <c r="S52" s="130">
        <f t="shared" si="9"/>
        <v>-129.31799762383068</v>
      </c>
      <c r="T52" s="130">
        <f t="shared" si="10"/>
        <v>-7.775756756756758</v>
      </c>
      <c r="U52" s="130">
        <f t="shared" si="11"/>
        <v>0.80293934419284163</v>
      </c>
      <c r="V52" s="130">
        <f t="shared" si="12"/>
        <v>0</v>
      </c>
      <c r="W52" s="130">
        <f t="shared" si="13"/>
        <v>0</v>
      </c>
      <c r="X52" s="130">
        <f t="shared" si="14"/>
        <v>0</v>
      </c>
      <c r="Z52" s="130">
        <f t="shared" si="15"/>
        <v>-6657.6530000000002</v>
      </c>
      <c r="AA52" s="130">
        <f t="shared" si="16"/>
        <v>29262.552202702704</v>
      </c>
      <c r="AB52" s="130">
        <f t="shared" si="17"/>
        <v>-34840.069518887001</v>
      </c>
      <c r="AC52" s="130">
        <f t="shared" si="18"/>
        <v>-1229.4101899196496</v>
      </c>
      <c r="AD52" s="130">
        <f t="shared" si="19"/>
        <v>84.634147090596827</v>
      </c>
      <c r="AE52" s="130">
        <f t="shared" si="20"/>
        <v>0</v>
      </c>
      <c r="AF52" s="130">
        <f t="shared" si="21"/>
        <v>0</v>
      </c>
      <c r="AG52" s="130">
        <f t="shared" si="22"/>
        <v>0</v>
      </c>
      <c r="AP52" s="125">
        <f t="shared" si="31"/>
        <v>-4.4772889893890238</v>
      </c>
      <c r="AQ52" s="125">
        <f>I52-E52</f>
        <v>-24.248863493991337</v>
      </c>
      <c r="AR52" s="125">
        <f t="shared" si="32"/>
        <v>3.1905948722244375</v>
      </c>
      <c r="AS52" s="125">
        <f>K52-G52</f>
        <v>2.5165498926835284E-2</v>
      </c>
      <c r="AT52" s="125">
        <f t="shared" si="33"/>
        <v>-182.4164863620428</v>
      </c>
      <c r="AU52" s="127">
        <f t="shared" si="34"/>
        <v>126.6791068932511</v>
      </c>
      <c r="AV52" s="125">
        <f>J52-N52</f>
        <v>13598.504345279578</v>
      </c>
      <c r="AX52" s="67"/>
    </row>
    <row r="53" spans="1:50" hidden="1" x14ac:dyDescent="0.35">
      <c r="A53" s="181" t="s">
        <v>128</v>
      </c>
      <c r="B53" s="64">
        <f t="shared" si="23"/>
        <v>321.62162162162167</v>
      </c>
      <c r="C53" s="115">
        <f t="shared" ref="C53:C116" si="35">B53/10000</f>
        <v>3.2162162162162167E-2</v>
      </c>
      <c r="D53" s="340">
        <f t="shared" si="25"/>
        <v>277.06826456820681</v>
      </c>
      <c r="E53" s="137">
        <f t="shared" ref="E53:E116" si="36">$B$3*($F$3+$G$3+$G$3*LN(C53)-$H$3/C53^2+$J$3*2*C53+$K$3*3*C53^2+$L$3*4*C53^3)</f>
        <v>195.11866978159898</v>
      </c>
      <c r="F53" s="127">
        <f t="shared" si="26"/>
        <v>214.3138815843952</v>
      </c>
      <c r="G53" s="137">
        <f t="shared" ref="G53:G116" si="37">$B$3*($G$3+2*$H$3*C53^(-2)+2*$J$3*C53+ 6*$K$3*C53^2+ 12*$L$3*C53^3)</f>
        <v>25.999749731853903</v>
      </c>
      <c r="H53" s="340">
        <f t="shared" si="27"/>
        <v>272.59113435428731</v>
      </c>
      <c r="I53" s="137">
        <f t="shared" si="5"/>
        <v>170.87030395948921</v>
      </c>
      <c r="J53" s="127">
        <f t="shared" si="28"/>
        <v>217.63555010785694</v>
      </c>
      <c r="K53" s="137">
        <f t="shared" si="6"/>
        <v>26.033075538712975</v>
      </c>
      <c r="L53" s="137">
        <f t="shared" ref="L53:L116" si="38">N53+M53*B53</f>
        <v>591.88743733086085</v>
      </c>
      <c r="M53" s="137">
        <f t="shared" ref="M53:M116" si="39">-SUM(Q53:X53)</f>
        <v>44.180767960460308</v>
      </c>
      <c r="N53" s="125">
        <f t="shared" ref="N53:N116" si="40">SUM(Z53:AG53)</f>
        <v>-13617.60279860097</v>
      </c>
      <c r="O53" s="125"/>
      <c r="Q53" s="130">
        <f t="shared" si="7"/>
        <v>0</v>
      </c>
      <c r="R53" s="130">
        <f t="shared" si="8"/>
        <v>92.539694999999995</v>
      </c>
      <c r="S53" s="130">
        <f t="shared" si="9"/>
        <v>-129.64241216995629</v>
      </c>
      <c r="T53" s="130">
        <f t="shared" si="10"/>
        <v>-7.9086756756756769</v>
      </c>
      <c r="U53" s="130">
        <f t="shared" si="11"/>
        <v>0.83062488517165833</v>
      </c>
      <c r="V53" s="130">
        <f t="shared" si="12"/>
        <v>0</v>
      </c>
      <c r="W53" s="130">
        <f t="shared" si="13"/>
        <v>0</v>
      </c>
      <c r="X53" s="130">
        <f t="shared" si="14"/>
        <v>0</v>
      </c>
      <c r="Z53" s="130">
        <f t="shared" si="15"/>
        <v>-6657.6530000000002</v>
      </c>
      <c r="AA53" s="130">
        <f t="shared" si="16"/>
        <v>29762.766770270275</v>
      </c>
      <c r="AB53" s="130">
        <f t="shared" si="17"/>
        <v>-35539.964995202165</v>
      </c>
      <c r="AC53" s="130">
        <f t="shared" si="18"/>
        <v>-1271.8005478451428</v>
      </c>
      <c r="AD53" s="130">
        <f t="shared" si="19"/>
        <v>89.048974176060682</v>
      </c>
      <c r="AE53" s="130">
        <f t="shared" si="20"/>
        <v>0</v>
      </c>
      <c r="AF53" s="130">
        <f t="shared" si="21"/>
        <v>0</v>
      </c>
      <c r="AG53" s="130">
        <f t="shared" si="22"/>
        <v>0</v>
      </c>
      <c r="AP53" s="125">
        <f t="shared" si="31"/>
        <v>-4.4771302139195086</v>
      </c>
      <c r="AQ53" s="125">
        <f t="shared" ref="AQ53:AQ116" si="41">I53-E53</f>
        <v>-24.248365822109776</v>
      </c>
      <c r="AR53" s="125">
        <f t="shared" si="32"/>
        <v>3.3216685234617387</v>
      </c>
      <c r="AS53" s="125">
        <f t="shared" ref="AS53:AS116" si="42">K53-G53</f>
        <v>3.3325806859071605E-2</v>
      </c>
      <c r="AT53" s="125">
        <f t="shared" ref="AT53:AT116" si="43">H53-L53</f>
        <v>-319.29630297657354</v>
      </c>
      <c r="AU53" s="127">
        <f t="shared" ref="AU53:AU116" si="44">I53-M53</f>
        <v>126.68953599902889</v>
      </c>
      <c r="AV53" s="125">
        <f t="shared" ref="AV53:AV116" si="45">J53-N53</f>
        <v>13835.238348708826</v>
      </c>
      <c r="AX53" s="67"/>
    </row>
    <row r="54" spans="1:50" hidden="1" x14ac:dyDescent="0.35">
      <c r="A54" s="181" t="s">
        <v>128</v>
      </c>
      <c r="B54" s="64">
        <f t="shared" si="23"/>
        <v>327.02702702702709</v>
      </c>
      <c r="C54" s="115">
        <f t="shared" si="35"/>
        <v>3.2702702702702709E-2</v>
      </c>
      <c r="D54" s="340">
        <f t="shared" si="25"/>
        <v>277.20913593018457</v>
      </c>
      <c r="E54" s="137">
        <f t="shared" si="36"/>
        <v>195.55303039730026</v>
      </c>
      <c r="F54" s="127">
        <f t="shared" si="26"/>
        <v>213.25800977322962</v>
      </c>
      <c r="G54" s="137">
        <f t="shared" si="37"/>
        <v>26.120939292983792</v>
      </c>
      <c r="H54" s="340">
        <f t="shared" si="27"/>
        <v>272.73220458763512</v>
      </c>
      <c r="I54" s="137">
        <f t="shared" si="5"/>
        <v>171.30527762106772</v>
      </c>
      <c r="J54" s="127">
        <f t="shared" si="28"/>
        <v>216.71074893317785</v>
      </c>
      <c r="K54" s="137">
        <f t="shared" si="6"/>
        <v>26.160964149227897</v>
      </c>
      <c r="L54" s="137">
        <f t="shared" si="38"/>
        <v>729.32424157463538</v>
      </c>
      <c r="M54" s="137">
        <f t="shared" si="39"/>
        <v>44.604539476510105</v>
      </c>
      <c r="N54" s="125">
        <f t="shared" si="40"/>
        <v>-13857.565695338131</v>
      </c>
      <c r="O54" s="125"/>
      <c r="Q54" s="130">
        <f t="shared" si="7"/>
        <v>0</v>
      </c>
      <c r="R54" s="130">
        <f t="shared" si="8"/>
        <v>92.539694999999995</v>
      </c>
      <c r="S54" s="130">
        <f t="shared" si="9"/>
        <v>-129.96141955452325</v>
      </c>
      <c r="T54" s="130">
        <f t="shared" si="10"/>
        <v>-8.0415945945945957</v>
      </c>
      <c r="U54" s="130">
        <f t="shared" si="11"/>
        <v>0.85877967260774313</v>
      </c>
      <c r="V54" s="130">
        <f t="shared" si="12"/>
        <v>0</v>
      </c>
      <c r="W54" s="130">
        <f t="shared" si="13"/>
        <v>0</v>
      </c>
      <c r="X54" s="130">
        <f t="shared" si="14"/>
        <v>0</v>
      </c>
      <c r="Z54" s="130">
        <f t="shared" si="15"/>
        <v>-6657.6530000000002</v>
      </c>
      <c r="AA54" s="130">
        <f t="shared" si="16"/>
        <v>30262.981337837842</v>
      </c>
      <c r="AB54" s="130">
        <f t="shared" si="17"/>
        <v>-36241.599367830582</v>
      </c>
      <c r="AC54" s="130">
        <f t="shared" si="18"/>
        <v>-1314.9093864134409</v>
      </c>
      <c r="AD54" s="130">
        <f t="shared" si="19"/>
        <v>93.614721068051281</v>
      </c>
      <c r="AE54" s="130">
        <f t="shared" si="20"/>
        <v>0</v>
      </c>
      <c r="AF54" s="130">
        <f t="shared" si="21"/>
        <v>0</v>
      </c>
      <c r="AG54" s="130">
        <f t="shared" si="22"/>
        <v>0</v>
      </c>
      <c r="AP54" s="125">
        <f t="shared" si="31"/>
        <v>-4.4769313425494488</v>
      </c>
      <c r="AQ54" s="125">
        <f t="shared" si="41"/>
        <v>-24.247752776232545</v>
      </c>
      <c r="AR54" s="125">
        <f t="shared" si="32"/>
        <v>3.4527391599482371</v>
      </c>
      <c r="AS54" s="125">
        <f t="shared" si="42"/>
        <v>4.0024856244105678E-2</v>
      </c>
      <c r="AT54" s="125">
        <f t="shared" si="43"/>
        <v>-456.59203698700026</v>
      </c>
      <c r="AU54" s="127">
        <f t="shared" si="44"/>
        <v>126.70073814455762</v>
      </c>
      <c r="AV54" s="125">
        <f t="shared" si="45"/>
        <v>14074.276444271309</v>
      </c>
      <c r="AX54" s="67"/>
    </row>
    <row r="55" spans="1:50" hidden="1" x14ac:dyDescent="0.35">
      <c r="A55" s="181" t="s">
        <v>128</v>
      </c>
      <c r="B55" s="64">
        <f t="shared" si="23"/>
        <v>332.43243243243251</v>
      </c>
      <c r="C55" s="115">
        <f t="shared" si="35"/>
        <v>3.3243243243243251E-2</v>
      </c>
      <c r="D55" s="340">
        <f t="shared" si="25"/>
        <v>277.35063517980768</v>
      </c>
      <c r="E55" s="137">
        <f t="shared" si="36"/>
        <v>195.98217458564582</v>
      </c>
      <c r="F55" s="127">
        <f t="shared" si="26"/>
        <v>212.1998041689038</v>
      </c>
      <c r="G55" s="137">
        <f t="shared" si="37"/>
        <v>26.232180674944452</v>
      </c>
      <c r="H55" s="340">
        <f t="shared" si="27"/>
        <v>272.87393528213607</v>
      </c>
      <c r="I55" s="137">
        <f t="shared" si="5"/>
        <v>171.73512362777393</v>
      </c>
      <c r="J55" s="127">
        <f t="shared" si="28"/>
        <v>215.78361040047068</v>
      </c>
      <c r="K55" s="137">
        <f t="shared" si="6"/>
        <v>26.277580586670016</v>
      </c>
      <c r="L55" s="137">
        <f t="shared" si="38"/>
        <v>867.1726139134953</v>
      </c>
      <c r="M55" s="137">
        <f t="shared" si="39"/>
        <v>45.022611880642124</v>
      </c>
      <c r="N55" s="125">
        <f t="shared" si="40"/>
        <v>-14099.8037680297</v>
      </c>
      <c r="O55" s="125"/>
      <c r="Q55" s="130">
        <f t="shared" si="7"/>
        <v>0</v>
      </c>
      <c r="R55" s="130">
        <f t="shared" si="8"/>
        <v>92.539694999999995</v>
      </c>
      <c r="S55" s="130">
        <f t="shared" si="9"/>
        <v>-130.2751970736297</v>
      </c>
      <c r="T55" s="130">
        <f t="shared" si="10"/>
        <v>-8.1745135135135154</v>
      </c>
      <c r="U55" s="130">
        <f t="shared" si="11"/>
        <v>0.88740370650109612</v>
      </c>
      <c r="V55" s="130">
        <f t="shared" si="12"/>
        <v>0</v>
      </c>
      <c r="W55" s="130">
        <f t="shared" si="13"/>
        <v>0</v>
      </c>
      <c r="X55" s="130">
        <f t="shared" si="14"/>
        <v>0</v>
      </c>
      <c r="Z55" s="130">
        <f t="shared" si="15"/>
        <v>-6657.6530000000002</v>
      </c>
      <c r="AA55" s="130">
        <f t="shared" si="16"/>
        <v>30763.19590540541</v>
      </c>
      <c r="AB55" s="130">
        <f t="shared" si="17"/>
        <v>-36944.943892044474</v>
      </c>
      <c r="AC55" s="130">
        <f t="shared" si="18"/>
        <v>-1358.7367056245441</v>
      </c>
      <c r="AD55" s="130">
        <f t="shared" si="19"/>
        <v>98.33392423390525</v>
      </c>
      <c r="AE55" s="130">
        <f t="shared" si="20"/>
        <v>0</v>
      </c>
      <c r="AF55" s="130">
        <f t="shared" si="21"/>
        <v>0</v>
      </c>
      <c r="AG55" s="130">
        <f t="shared" si="22"/>
        <v>0</v>
      </c>
      <c r="AP55" s="125">
        <f t="shared" si="31"/>
        <v>-4.4766998976716081</v>
      </c>
      <c r="AQ55" s="125">
        <f t="shared" si="41"/>
        <v>-24.247050957871892</v>
      </c>
      <c r="AR55" s="125">
        <f t="shared" si="32"/>
        <v>3.5838062315668822</v>
      </c>
      <c r="AS55" s="125">
        <f t="shared" si="42"/>
        <v>4.5399911725564124E-2</v>
      </c>
      <c r="AT55" s="125">
        <f t="shared" si="43"/>
        <v>-594.29867863135928</v>
      </c>
      <c r="AU55" s="127">
        <f t="shared" si="44"/>
        <v>126.7125117471318</v>
      </c>
      <c r="AV55" s="125">
        <f t="shared" si="45"/>
        <v>14315.587378430171</v>
      </c>
      <c r="AX55" s="67"/>
    </row>
    <row r="56" spans="1:50" hidden="1" x14ac:dyDescent="0.35">
      <c r="A56" s="181" t="s">
        <v>128</v>
      </c>
      <c r="B56" s="64">
        <f t="shared" si="23"/>
        <v>337.83783783783792</v>
      </c>
      <c r="C56" s="115">
        <f t="shared" si="35"/>
        <v>3.3783783783783793E-2</v>
      </c>
      <c r="D56" s="340">
        <f t="shared" si="25"/>
        <v>277.4927103188752</v>
      </c>
      <c r="E56" s="137">
        <f t="shared" si="36"/>
        <v>196.40611544914407</v>
      </c>
      <c r="F56" s="127">
        <f t="shared" si="26"/>
        <v>211.13929293740745</v>
      </c>
      <c r="G56" s="137">
        <f t="shared" si="37"/>
        <v>26.334122045054787</v>
      </c>
      <c r="H56" s="340">
        <f t="shared" si="27"/>
        <v>273.01626762829653</v>
      </c>
      <c r="I56" s="137">
        <f t="shared" si="5"/>
        <v>172.15983189015876</v>
      </c>
      <c r="J56" s="127">
        <f t="shared" si="28"/>
        <v>214.85416225999961</v>
      </c>
      <c r="K56" s="137">
        <f t="shared" si="6"/>
        <v>26.383699046677915</v>
      </c>
      <c r="L56" s="137">
        <f t="shared" si="38"/>
        <v>1005.4274814127584</v>
      </c>
      <c r="M56" s="137">
        <f t="shared" si="39"/>
        <v>45.435153889348392</v>
      </c>
      <c r="N56" s="125">
        <f t="shared" si="40"/>
        <v>-14344.286670394134</v>
      </c>
      <c r="O56" s="125"/>
      <c r="Q56" s="130">
        <f t="shared" si="7"/>
        <v>0</v>
      </c>
      <c r="R56" s="130">
        <f t="shared" si="8"/>
        <v>92.539694999999995</v>
      </c>
      <c r="S56" s="130">
        <f t="shared" si="9"/>
        <v>-130.58391344376767</v>
      </c>
      <c r="T56" s="130">
        <f t="shared" si="10"/>
        <v>-8.3074324324324351</v>
      </c>
      <c r="U56" s="130">
        <f t="shared" si="11"/>
        <v>0.91649698685171688</v>
      </c>
      <c r="V56" s="130">
        <f t="shared" si="12"/>
        <v>0</v>
      </c>
      <c r="W56" s="130">
        <f t="shared" si="13"/>
        <v>0</v>
      </c>
      <c r="X56" s="130">
        <f t="shared" si="14"/>
        <v>0</v>
      </c>
      <c r="Z56" s="130">
        <f t="shared" si="15"/>
        <v>-6657.6530000000002</v>
      </c>
      <c r="AA56" s="130">
        <f t="shared" si="16"/>
        <v>31263.410472972981</v>
      </c>
      <c r="AB56" s="130">
        <f t="shared" si="17"/>
        <v>-37649.970758029624</v>
      </c>
      <c r="AC56" s="130">
        <f t="shared" si="18"/>
        <v>-1403.2825054784521</v>
      </c>
      <c r="AD56" s="130">
        <f t="shared" si="19"/>
        <v>103.20912014095913</v>
      </c>
      <c r="AE56" s="130">
        <f t="shared" si="20"/>
        <v>0</v>
      </c>
      <c r="AF56" s="130">
        <f t="shared" si="21"/>
        <v>0</v>
      </c>
      <c r="AG56" s="130">
        <f t="shared" si="22"/>
        <v>0</v>
      </c>
      <c r="AP56" s="125">
        <f t="shared" si="31"/>
        <v>-4.476442690578665</v>
      </c>
      <c r="AQ56" s="125">
        <f t="shared" si="41"/>
        <v>-24.246283558985311</v>
      </c>
      <c r="AR56" s="125">
        <f t="shared" si="32"/>
        <v>3.7148693225921647</v>
      </c>
      <c r="AS56" s="125">
        <f t="shared" si="42"/>
        <v>4.9577001623127614E-2</v>
      </c>
      <c r="AT56" s="125">
        <f t="shared" si="43"/>
        <v>-732.41121378446189</v>
      </c>
      <c r="AU56" s="127">
        <f t="shared" si="44"/>
        <v>126.72467800081037</v>
      </c>
      <c r="AV56" s="125">
        <f t="shared" si="45"/>
        <v>14559.140832654135</v>
      </c>
      <c r="AX56" s="67"/>
    </row>
    <row r="57" spans="1:50" hidden="1" x14ac:dyDescent="0.35">
      <c r="A57" s="181" t="s">
        <v>128</v>
      </c>
      <c r="B57" s="64">
        <f t="shared" si="23"/>
        <v>343.24324324324334</v>
      </c>
      <c r="C57" s="115">
        <f t="shared" si="35"/>
        <v>3.4324324324324335E-2</v>
      </c>
      <c r="D57" s="340">
        <f t="shared" si="25"/>
        <v>277.63531271372506</v>
      </c>
      <c r="E57" s="137">
        <f t="shared" si="36"/>
        <v>196.82487534825611</v>
      </c>
      <c r="F57" s="127">
        <f t="shared" si="26"/>
        <v>210.07650414824252</v>
      </c>
      <c r="G57" s="137">
        <f t="shared" si="37"/>
        <v>26.427360938996188</v>
      </c>
      <c r="H57" s="340">
        <f t="shared" si="27"/>
        <v>273.15914683442668</v>
      </c>
      <c r="I57" s="137">
        <f t="shared" si="5"/>
        <v>172.57940459990084</v>
      </c>
      <c r="J57" s="127">
        <f t="shared" si="28"/>
        <v>213.92243228256874</v>
      </c>
      <c r="K57" s="137">
        <f t="shared" si="6"/>
        <v>26.480032910176561</v>
      </c>
      <c r="L57" s="137">
        <f t="shared" si="38"/>
        <v>1144.0837711377444</v>
      </c>
      <c r="M57" s="137">
        <f t="shared" si="39"/>
        <v>45.842326184310821</v>
      </c>
      <c r="N57" s="125">
        <f t="shared" si="40"/>
        <v>-14590.984946179758</v>
      </c>
      <c r="O57" s="125"/>
      <c r="Q57" s="130">
        <f t="shared" si="7"/>
        <v>0</v>
      </c>
      <c r="R57" s="130">
        <f t="shared" si="8"/>
        <v>92.539694999999995</v>
      </c>
      <c r="S57" s="130">
        <f t="shared" si="9"/>
        <v>-130.88772934661907</v>
      </c>
      <c r="T57" s="130">
        <f t="shared" si="10"/>
        <v>-8.4403513513513548</v>
      </c>
      <c r="U57" s="130">
        <f t="shared" si="11"/>
        <v>0.94605951365960617</v>
      </c>
      <c r="V57" s="130">
        <f t="shared" si="12"/>
        <v>0</v>
      </c>
      <c r="W57" s="130">
        <f t="shared" si="13"/>
        <v>0</v>
      </c>
      <c r="X57" s="130">
        <f t="shared" si="14"/>
        <v>0</v>
      </c>
      <c r="Z57" s="130">
        <f t="shared" si="15"/>
        <v>-6657.6530000000002</v>
      </c>
      <c r="AA57" s="130">
        <f t="shared" si="16"/>
        <v>31763.625040540548</v>
      </c>
      <c r="AB57" s="130">
        <f t="shared" si="17"/>
        <v>-38356.653046001687</v>
      </c>
      <c r="AC57" s="130">
        <f t="shared" si="18"/>
        <v>-1448.5467859751652</v>
      </c>
      <c r="AD57" s="130">
        <f t="shared" si="19"/>
        <v>108.24284525654954</v>
      </c>
      <c r="AE57" s="130">
        <f t="shared" si="20"/>
        <v>0</v>
      </c>
      <c r="AF57" s="130">
        <f t="shared" si="21"/>
        <v>0</v>
      </c>
      <c r="AG57" s="130">
        <f t="shared" si="22"/>
        <v>0</v>
      </c>
      <c r="AP57" s="125">
        <f t="shared" si="31"/>
        <v>-4.4761658792983781</v>
      </c>
      <c r="AQ57" s="125">
        <f t="shared" si="41"/>
        <v>-24.245470748355274</v>
      </c>
      <c r="AR57" s="125">
        <f t="shared" si="32"/>
        <v>3.8459281343262148</v>
      </c>
      <c r="AS57" s="125">
        <f t="shared" si="42"/>
        <v>5.2671971180373589E-2</v>
      </c>
      <c r="AT57" s="125">
        <f t="shared" si="43"/>
        <v>-870.92462430331773</v>
      </c>
      <c r="AU57" s="127">
        <f t="shared" si="44"/>
        <v>126.73707841559002</v>
      </c>
      <c r="AV57" s="125">
        <f t="shared" si="45"/>
        <v>14804.907378462327</v>
      </c>
      <c r="AX57" s="67"/>
    </row>
    <row r="58" spans="1:50" hidden="1" x14ac:dyDescent="0.35">
      <c r="A58" s="181" t="s">
        <v>128</v>
      </c>
      <c r="B58" s="64">
        <f t="shared" si="23"/>
        <v>348.64864864864876</v>
      </c>
      <c r="C58" s="115">
        <f t="shared" si="35"/>
        <v>3.4864864864864877E-2</v>
      </c>
      <c r="D58" s="340">
        <f t="shared" si="25"/>
        <v>277.77839683441726</v>
      </c>
      <c r="E58" s="137">
        <f t="shared" si="36"/>
        <v>197.23848456861131</v>
      </c>
      <c r="F58" s="127">
        <f t="shared" si="26"/>
        <v>209.01146572806351</v>
      </c>
      <c r="G58" s="137">
        <f t="shared" si="37"/>
        <v>26.512448933825301</v>
      </c>
      <c r="H58" s="340">
        <f t="shared" si="27"/>
        <v>273.30252181336743</v>
      </c>
      <c r="I58" s="137">
        <f t="shared" si="5"/>
        <v>172.99385455638844</v>
      </c>
      <c r="J58" s="127">
        <f t="shared" si="28"/>
        <v>212.98844819776167</v>
      </c>
      <c r="K58" s="137">
        <f t="shared" si="6"/>
        <v>26.567240356230286</v>
      </c>
      <c r="L58" s="137">
        <f t="shared" si="38"/>
        <v>1283.1364101537947</v>
      </c>
      <c r="M58" s="137">
        <f t="shared" si="39"/>
        <v>46.244281914629532</v>
      </c>
      <c r="N58" s="125">
        <f t="shared" si="40"/>
        <v>-14839.869987108939</v>
      </c>
      <c r="O58" s="125"/>
      <c r="Q58" s="130">
        <f t="shared" si="7"/>
        <v>0</v>
      </c>
      <c r="R58" s="130">
        <f t="shared" si="8"/>
        <v>92.539694999999995</v>
      </c>
      <c r="S58" s="130">
        <f t="shared" si="9"/>
        <v>-131.18679793128402</v>
      </c>
      <c r="T58" s="130">
        <f t="shared" si="10"/>
        <v>-8.5732702702702728</v>
      </c>
      <c r="U58" s="130">
        <f t="shared" si="11"/>
        <v>0.97609128692476321</v>
      </c>
      <c r="V58" s="130">
        <f t="shared" si="12"/>
        <v>0</v>
      </c>
      <c r="W58" s="130">
        <f t="shared" si="13"/>
        <v>0</v>
      </c>
      <c r="X58" s="130">
        <f t="shared" si="14"/>
        <v>0</v>
      </c>
      <c r="Z58" s="130">
        <f t="shared" si="15"/>
        <v>-6657.6530000000002</v>
      </c>
      <c r="AA58" s="130">
        <f t="shared" si="16"/>
        <v>32263.839608108115</v>
      </c>
      <c r="AB58" s="130">
        <f t="shared" si="17"/>
        <v>-39064.964684150385</v>
      </c>
      <c r="AC58" s="130">
        <f t="shared" si="18"/>
        <v>-1494.5295471146833</v>
      </c>
      <c r="AD58" s="130">
        <f t="shared" si="19"/>
        <v>113.43763604801305</v>
      </c>
      <c r="AE58" s="130">
        <f t="shared" si="20"/>
        <v>0</v>
      </c>
      <c r="AF58" s="130">
        <f t="shared" si="21"/>
        <v>0</v>
      </c>
      <c r="AG58" s="130">
        <f t="shared" si="22"/>
        <v>0</v>
      </c>
      <c r="AP58" s="125">
        <f t="shared" si="31"/>
        <v>-4.4758750210498306</v>
      </c>
      <c r="AQ58" s="125">
        <f t="shared" si="41"/>
        <v>-24.244630012222871</v>
      </c>
      <c r="AR58" s="125">
        <f t="shared" si="32"/>
        <v>3.9769824696981573</v>
      </c>
      <c r="AS58" s="125">
        <f t="shared" si="42"/>
        <v>5.4791422404985468E-2</v>
      </c>
      <c r="AT58" s="125">
        <f t="shared" si="43"/>
        <v>-1009.8338883404273</v>
      </c>
      <c r="AU58" s="127">
        <f t="shared" si="44"/>
        <v>126.7495726417589</v>
      </c>
      <c r="AV58" s="125">
        <f t="shared" si="45"/>
        <v>15052.858435306702</v>
      </c>
      <c r="AX58" s="67"/>
    </row>
    <row r="59" spans="1:50" hidden="1" x14ac:dyDescent="0.35">
      <c r="A59" s="181" t="s">
        <v>128</v>
      </c>
      <c r="B59" s="64">
        <f t="shared" si="23"/>
        <v>354.05405405405418</v>
      </c>
      <c r="C59" s="115">
        <f t="shared" si="35"/>
        <v>3.5405405405405418E-2</v>
      </c>
      <c r="D59" s="340">
        <f t="shared" si="25"/>
        <v>277.9219200178083</v>
      </c>
      <c r="E59" s="137">
        <f t="shared" si="36"/>
        <v>197.64698015877542</v>
      </c>
      <c r="F59" s="127">
        <f t="shared" si="26"/>
        <v>207.94420542105269</v>
      </c>
      <c r="G59" s="137">
        <f t="shared" si="37"/>
        <v>26.589895825444493</v>
      </c>
      <c r="H59" s="340">
        <f t="shared" si="27"/>
        <v>273.44634489791491</v>
      </c>
      <c r="I59" s="137">
        <f t="shared" si="5"/>
        <v>173.40320370373925</v>
      </c>
      <c r="J59" s="127">
        <f t="shared" si="28"/>
        <v>212.05223764064502</v>
      </c>
      <c r="K59" s="137">
        <f t="shared" si="6"/>
        <v>26.645929379689427</v>
      </c>
      <c r="L59" s="137">
        <f t="shared" si="38"/>
        <v>1422.5803255262381</v>
      </c>
      <c r="M59" s="137">
        <f t="shared" si="39"/>
        <v>46.64116716041368</v>
      </c>
      <c r="N59" s="125">
        <f t="shared" si="40"/>
        <v>-15090.913993431042</v>
      </c>
      <c r="O59" s="125"/>
      <c r="Q59" s="130">
        <f t="shared" si="7"/>
        <v>0</v>
      </c>
      <c r="R59" s="130">
        <f t="shared" si="8"/>
        <v>92.539694999999995</v>
      </c>
      <c r="S59" s="130">
        <f t="shared" si="9"/>
        <v>-131.48126527787167</v>
      </c>
      <c r="T59" s="130">
        <f t="shared" si="10"/>
        <v>-8.7061891891891925</v>
      </c>
      <c r="U59" s="130">
        <f t="shared" si="11"/>
        <v>1.0065923066471882</v>
      </c>
      <c r="V59" s="130">
        <f t="shared" si="12"/>
        <v>0</v>
      </c>
      <c r="W59" s="130">
        <f t="shared" si="13"/>
        <v>0</v>
      </c>
      <c r="X59" s="130">
        <f t="shared" si="14"/>
        <v>0</v>
      </c>
      <c r="Z59" s="130">
        <f t="shared" si="15"/>
        <v>-6657.6530000000002</v>
      </c>
      <c r="AA59" s="130">
        <f t="shared" si="16"/>
        <v>32764.054175675687</v>
      </c>
      <c r="AB59" s="130">
        <f t="shared" si="17"/>
        <v>-39774.88040919241</v>
      </c>
      <c r="AC59" s="130">
        <f t="shared" si="18"/>
        <v>-1541.2307888970063</v>
      </c>
      <c r="AD59" s="130">
        <f t="shared" si="19"/>
        <v>118.79602898268624</v>
      </c>
      <c r="AE59" s="130">
        <f t="shared" si="20"/>
        <v>0</v>
      </c>
      <c r="AF59" s="130">
        <f t="shared" si="21"/>
        <v>0</v>
      </c>
      <c r="AG59" s="130">
        <f t="shared" si="22"/>
        <v>0</v>
      </c>
      <c r="AP59" s="125">
        <f t="shared" si="31"/>
        <v>-4.4755751198933922</v>
      </c>
      <c r="AQ59" s="125">
        <f t="shared" si="41"/>
        <v>-24.243776455036169</v>
      </c>
      <c r="AR59" s="125">
        <f t="shared" si="32"/>
        <v>4.1080322195923316</v>
      </c>
      <c r="AS59" s="125">
        <f t="shared" si="42"/>
        <v>5.6033554244933725E-2</v>
      </c>
      <c r="AT59" s="125">
        <f t="shared" si="43"/>
        <v>-1149.1339806283231</v>
      </c>
      <c r="AU59" s="127">
        <f t="shared" si="44"/>
        <v>126.76203654332556</v>
      </c>
      <c r="AV59" s="125">
        <f t="shared" si="45"/>
        <v>15302.966231071687</v>
      </c>
      <c r="AX59" s="67"/>
    </row>
    <row r="60" spans="1:50" hidden="1" x14ac:dyDescent="0.35">
      <c r="A60" s="181" t="s">
        <v>128</v>
      </c>
      <c r="B60" s="64">
        <f t="shared" si="23"/>
        <v>359.45945945945959</v>
      </c>
      <c r="C60" s="115">
        <f t="shared" si="35"/>
        <v>3.594594594594596E-2</v>
      </c>
      <c r="D60" s="340">
        <f t="shared" si="25"/>
        <v>278.06584225200299</v>
      </c>
      <c r="E60" s="137">
        <f t="shared" si="36"/>
        <v>198.05040491601221</v>
      </c>
      <c r="F60" s="127">
        <f t="shared" si="26"/>
        <v>206.87475075516608</v>
      </c>
      <c r="G60" s="137">
        <f t="shared" si="37"/>
        <v>26.66017336968855</v>
      </c>
      <c r="H60" s="340">
        <f t="shared" si="27"/>
        <v>273.59057158192007</v>
      </c>
      <c r="I60" s="137">
        <f t="shared" si="5"/>
        <v>173.80748185065485</v>
      </c>
      <c r="J60" s="127">
        <f t="shared" si="28"/>
        <v>211.11382810587384</v>
      </c>
      <c r="K60" s="137">
        <f t="shared" si="6"/>
        <v>26.716662284687462</v>
      </c>
      <c r="L60" s="137">
        <f t="shared" si="38"/>
        <v>1562.4104443203796</v>
      </c>
      <c r="M60" s="137">
        <f t="shared" si="39"/>
        <v>47.033121361247225</v>
      </c>
      <c r="N60" s="125">
        <f t="shared" si="40"/>
        <v>-15344.089936884709</v>
      </c>
      <c r="O60" s="125"/>
      <c r="Q60" s="130">
        <f t="shared" si="7"/>
        <v>0</v>
      </c>
      <c r="R60" s="130">
        <f t="shared" si="8"/>
        <v>92.539694999999995</v>
      </c>
      <c r="S60" s="130">
        <f t="shared" si="9"/>
        <v>-131.77127082596598</v>
      </c>
      <c r="T60" s="130">
        <f t="shared" si="10"/>
        <v>-8.8391081081081122</v>
      </c>
      <c r="U60" s="130">
        <f t="shared" si="11"/>
        <v>1.0375625728268818</v>
      </c>
      <c r="V60" s="130">
        <f t="shared" si="12"/>
        <v>0</v>
      </c>
      <c r="W60" s="130">
        <f t="shared" si="13"/>
        <v>0</v>
      </c>
      <c r="X60" s="130">
        <f t="shared" si="14"/>
        <v>0</v>
      </c>
      <c r="Z60" s="130">
        <f t="shared" si="15"/>
        <v>-6657.6530000000002</v>
      </c>
      <c r="AA60" s="130">
        <f t="shared" si="16"/>
        <v>33264.26874324325</v>
      </c>
      <c r="AB60" s="130">
        <f t="shared" si="17"/>
        <v>-40486.375729333733</v>
      </c>
      <c r="AC60" s="130">
        <f t="shared" si="18"/>
        <v>-1588.6505113221342</v>
      </c>
      <c r="AD60" s="130">
        <f t="shared" si="19"/>
        <v>124.3205605279057</v>
      </c>
      <c r="AE60" s="130">
        <f t="shared" si="20"/>
        <v>0</v>
      </c>
      <c r="AF60" s="130">
        <f t="shared" si="21"/>
        <v>0</v>
      </c>
      <c r="AG60" s="130">
        <f t="shared" si="22"/>
        <v>0</v>
      </c>
      <c r="AP60" s="125">
        <f t="shared" si="31"/>
        <v>-4.4752706700829208</v>
      </c>
      <c r="AQ60" s="125">
        <f t="shared" si="41"/>
        <v>-24.24292306535736</v>
      </c>
      <c r="AR60" s="125">
        <f t="shared" si="32"/>
        <v>4.2390773507077597</v>
      </c>
      <c r="AS60" s="125">
        <f t="shared" si="42"/>
        <v>5.6488914998912065E-2</v>
      </c>
      <c r="AT60" s="125">
        <f t="shared" si="43"/>
        <v>-1288.8198727384595</v>
      </c>
      <c r="AU60" s="127">
        <f t="shared" si="44"/>
        <v>126.77436048940763</v>
      </c>
      <c r="AV60" s="125">
        <f t="shared" si="45"/>
        <v>15555.203764990583</v>
      </c>
      <c r="AX60" s="67"/>
    </row>
    <row r="61" spans="1:50" hidden="1" x14ac:dyDescent="0.35">
      <c r="A61" s="181" t="s">
        <v>128</v>
      </c>
      <c r="B61" s="64">
        <f t="shared" si="23"/>
        <v>364.86486486486501</v>
      </c>
      <c r="C61" s="115">
        <f t="shared" si="35"/>
        <v>3.6486486486486502E-2</v>
      </c>
      <c r="D61" s="340">
        <f t="shared" si="25"/>
        <v>278.21012597996508</v>
      </c>
      <c r="E61" s="137">
        <f t="shared" si="36"/>
        <v>198.44880650066122</v>
      </c>
      <c r="F61" s="127">
        <f t="shared" si="26"/>
        <v>205.80312901350754</v>
      </c>
      <c r="G61" s="137">
        <f t="shared" si="37"/>
        <v>26.723718638358083</v>
      </c>
      <c r="H61" s="340">
        <f t="shared" si="27"/>
        <v>273.73516028440241</v>
      </c>
      <c r="I61" s="137">
        <f t="shared" si="5"/>
        <v>174.20672554938028</v>
      </c>
      <c r="J61" s="127">
        <f t="shared" si="28"/>
        <v>210.17324690827712</v>
      </c>
      <c r="K61" s="137">
        <f t="shared" si="6"/>
        <v>26.77995971564259</v>
      </c>
      <c r="L61" s="137">
        <f t="shared" si="38"/>
        <v>1702.6216936015626</v>
      </c>
      <c r="M61" s="137">
        <f t="shared" si="39"/>
        <v>47.420277712676352</v>
      </c>
      <c r="N61" s="125">
        <f t="shared" si="40"/>
        <v>-15599.371525888466</v>
      </c>
      <c r="O61" s="125"/>
      <c r="Q61" s="130">
        <f t="shared" si="7"/>
        <v>0</v>
      </c>
      <c r="R61" s="130">
        <f t="shared" si="8"/>
        <v>92.539694999999995</v>
      </c>
      <c r="S61" s="130">
        <f t="shared" si="9"/>
        <v>-132.05694777111316</v>
      </c>
      <c r="T61" s="130">
        <f t="shared" si="10"/>
        <v>-8.9720270270270301</v>
      </c>
      <c r="U61" s="130">
        <f t="shared" si="11"/>
        <v>1.0690020854638431</v>
      </c>
      <c r="V61" s="130">
        <f t="shared" si="12"/>
        <v>0</v>
      </c>
      <c r="W61" s="130">
        <f t="shared" si="13"/>
        <v>0</v>
      </c>
      <c r="X61" s="130">
        <f t="shared" si="14"/>
        <v>0</v>
      </c>
      <c r="Z61" s="130">
        <f t="shared" si="15"/>
        <v>-6657.6530000000002</v>
      </c>
      <c r="AA61" s="130">
        <f t="shared" si="16"/>
        <v>33764.483310810821</v>
      </c>
      <c r="AB61" s="130">
        <f t="shared" si="17"/>
        <v>-41199.426889460228</v>
      </c>
      <c r="AC61" s="130">
        <f t="shared" si="18"/>
        <v>-1636.7887143900673</v>
      </c>
      <c r="AD61" s="130">
        <f t="shared" si="19"/>
        <v>130.01376715100798</v>
      </c>
      <c r="AE61" s="130">
        <f t="shared" si="20"/>
        <v>0</v>
      </c>
      <c r="AF61" s="130">
        <f t="shared" si="21"/>
        <v>0</v>
      </c>
      <c r="AG61" s="130">
        <f t="shared" si="22"/>
        <v>0</v>
      </c>
      <c r="AP61" s="125">
        <f t="shared" si="31"/>
        <v>-4.4749656955626733</v>
      </c>
      <c r="AQ61" s="125">
        <f t="shared" si="41"/>
        <v>-24.24208095128094</v>
      </c>
      <c r="AR61" s="125">
        <f t="shared" si="32"/>
        <v>4.370117894769578</v>
      </c>
      <c r="AS61" s="125">
        <f t="shared" si="42"/>
        <v>5.6241077284507668E-2</v>
      </c>
      <c r="AT61" s="125">
        <f t="shared" si="43"/>
        <v>-1428.8865333171602</v>
      </c>
      <c r="AU61" s="127">
        <f t="shared" si="44"/>
        <v>126.78644783670393</v>
      </c>
      <c r="AV61" s="125">
        <f t="shared" si="45"/>
        <v>15809.544772796742</v>
      </c>
      <c r="AX61" s="67"/>
    </row>
    <row r="62" spans="1:50" hidden="1" x14ac:dyDescent="0.35">
      <c r="A62" s="181" t="s">
        <v>128</v>
      </c>
      <c r="B62" s="64">
        <f t="shared" si="23"/>
        <v>370.27027027027043</v>
      </c>
      <c r="C62" s="115">
        <f t="shared" si="35"/>
        <v>3.7027027027027044E-2</v>
      </c>
      <c r="D62" s="340">
        <f t="shared" si="25"/>
        <v>278.35473592033094</v>
      </c>
      <c r="E62" s="137">
        <f t="shared" si="36"/>
        <v>198.84223666245327</v>
      </c>
      <c r="F62" s="127">
        <f t="shared" si="26"/>
        <v>204.7293672101793</v>
      </c>
      <c r="G62" s="137">
        <f t="shared" si="37"/>
        <v>26.780937034836015</v>
      </c>
      <c r="H62" s="340">
        <f t="shared" si="27"/>
        <v>273.88007213432479</v>
      </c>
      <c r="I62" s="137">
        <f t="shared" si="5"/>
        <v>174.60097711332773</v>
      </c>
      <c r="J62" s="127">
        <f t="shared" si="28"/>
        <v>209.23052114911962</v>
      </c>
      <c r="K62" s="137">
        <f t="shared" si="6"/>
        <v>26.836304279377426</v>
      </c>
      <c r="L62" s="137">
        <f t="shared" si="38"/>
        <v>1843.2090004351285</v>
      </c>
      <c r="M62" s="137">
        <f t="shared" si="39"/>
        <v>47.80276353353981</v>
      </c>
      <c r="N62" s="125">
        <f t="shared" si="40"/>
        <v>-15856.733172794486</v>
      </c>
      <c r="O62" s="125"/>
      <c r="Q62" s="130">
        <f t="shared" si="7"/>
        <v>0</v>
      </c>
      <c r="R62" s="130">
        <f t="shared" si="8"/>
        <v>92.539694999999995</v>
      </c>
      <c r="S62" s="130">
        <f t="shared" si="9"/>
        <v>-132.33842343215193</v>
      </c>
      <c r="T62" s="130">
        <f t="shared" si="10"/>
        <v>-9.1049459459459499</v>
      </c>
      <c r="U62" s="130">
        <f t="shared" si="11"/>
        <v>1.1009108445580724</v>
      </c>
      <c r="V62" s="130">
        <f t="shared" si="12"/>
        <v>0</v>
      </c>
      <c r="W62" s="130">
        <f t="shared" si="13"/>
        <v>0</v>
      </c>
      <c r="X62" s="130">
        <f t="shared" si="14"/>
        <v>0</v>
      </c>
      <c r="Z62" s="130">
        <f t="shared" si="15"/>
        <v>-6657.6530000000002</v>
      </c>
      <c r="AA62" s="130">
        <f t="shared" si="16"/>
        <v>34264.697878378392</v>
      </c>
      <c r="AB62" s="130">
        <f t="shared" si="17"/>
        <v>-41914.010838391405</v>
      </c>
      <c r="AC62" s="130">
        <f t="shared" si="18"/>
        <v>-1685.6453981008049</v>
      </c>
      <c r="AD62" s="130">
        <f t="shared" si="19"/>
        <v>135.8781853193297</v>
      </c>
      <c r="AE62" s="130">
        <f t="shared" si="20"/>
        <v>0</v>
      </c>
      <c r="AF62" s="130">
        <f t="shared" si="21"/>
        <v>0</v>
      </c>
      <c r="AG62" s="130">
        <f t="shared" si="22"/>
        <v>0</v>
      </c>
      <c r="AP62" s="125">
        <f t="shared" si="31"/>
        <v>-4.4746637860061469</v>
      </c>
      <c r="AQ62" s="125">
        <f t="shared" si="41"/>
        <v>-24.241259549125544</v>
      </c>
      <c r="AR62" s="125">
        <f t="shared" si="32"/>
        <v>4.5011539389403197</v>
      </c>
      <c r="AS62" s="125">
        <f t="shared" si="42"/>
        <v>5.5367244541411509E-2</v>
      </c>
      <c r="AT62" s="125">
        <f t="shared" si="43"/>
        <v>-1569.3289283008037</v>
      </c>
      <c r="AU62" s="127">
        <f t="shared" si="44"/>
        <v>126.79821357978793</v>
      </c>
      <c r="AV62" s="125">
        <f t="shared" si="45"/>
        <v>16065.963693943606</v>
      </c>
      <c r="AX62" s="67"/>
    </row>
    <row r="63" spans="1:50" hidden="1" x14ac:dyDescent="0.35">
      <c r="A63" s="181" t="s">
        <v>128</v>
      </c>
      <c r="B63" s="64">
        <f t="shared" si="23"/>
        <v>375.67567567567585</v>
      </c>
      <c r="C63" s="115">
        <f t="shared" si="35"/>
        <v>3.7567567567567586E-2</v>
      </c>
      <c r="D63" s="340">
        <f t="shared" si="25"/>
        <v>278.49963890369213</v>
      </c>
      <c r="E63" s="137">
        <f t="shared" si="36"/>
        <v>199.2307505643814</v>
      </c>
      <c r="F63" s="127">
        <f t="shared" si="26"/>
        <v>203.65349207004613</v>
      </c>
      <c r="G63" s="137">
        <f t="shared" si="37"/>
        <v>26.832205008185689</v>
      </c>
      <c r="H63" s="340">
        <f t="shared" si="27"/>
        <v>274.02527077394905</v>
      </c>
      <c r="I63" s="137">
        <f t="shared" si="5"/>
        <v>174.99028375572442</v>
      </c>
      <c r="J63" s="127">
        <f t="shared" si="28"/>
        <v>208.28567768733902</v>
      </c>
      <c r="K63" s="137">
        <f t="shared" si="6"/>
        <v>26.88614380507871</v>
      </c>
      <c r="L63" s="137">
        <f t="shared" si="38"/>
        <v>1984.1672918863642</v>
      </c>
      <c r="M63" s="137">
        <f t="shared" si="39"/>
        <v>48.180700606678371</v>
      </c>
      <c r="N63" s="125">
        <f t="shared" si="40"/>
        <v>-16116.149963054979</v>
      </c>
      <c r="O63" s="125"/>
      <c r="Q63" s="130">
        <f t="shared" si="7"/>
        <v>0</v>
      </c>
      <c r="R63" s="130">
        <f t="shared" si="8"/>
        <v>92.539694999999995</v>
      </c>
      <c r="S63" s="130">
        <f t="shared" si="9"/>
        <v>-132.61581959192307</v>
      </c>
      <c r="T63" s="130">
        <f t="shared" si="10"/>
        <v>-9.2378648648648696</v>
      </c>
      <c r="U63" s="130">
        <f t="shared" si="11"/>
        <v>1.1332888501095699</v>
      </c>
      <c r="V63" s="130">
        <f t="shared" si="12"/>
        <v>0</v>
      </c>
      <c r="W63" s="130">
        <f t="shared" si="13"/>
        <v>0</v>
      </c>
      <c r="X63" s="130">
        <f t="shared" si="14"/>
        <v>0</v>
      </c>
      <c r="Z63" s="130">
        <f t="shared" si="15"/>
        <v>-6657.6530000000002</v>
      </c>
      <c r="AA63" s="130">
        <f t="shared" si="16"/>
        <v>34764.912445945956</v>
      </c>
      <c r="AB63" s="130">
        <f t="shared" si="17"/>
        <v>-42630.105198046796</v>
      </c>
      <c r="AC63" s="130">
        <f t="shared" si="18"/>
        <v>-1735.2205624543476</v>
      </c>
      <c r="AD63" s="130">
        <f t="shared" si="19"/>
        <v>141.91635150020747</v>
      </c>
      <c r="AE63" s="130">
        <f t="shared" si="20"/>
        <v>0</v>
      </c>
      <c r="AF63" s="130">
        <f t="shared" si="21"/>
        <v>0</v>
      </c>
      <c r="AG63" s="130">
        <f t="shared" si="22"/>
        <v>0</v>
      </c>
      <c r="AP63" s="125">
        <f t="shared" si="31"/>
        <v>-4.474368129743084</v>
      </c>
      <c r="AQ63" s="125">
        <f t="shared" si="41"/>
        <v>-24.240466808656976</v>
      </c>
      <c r="AR63" s="125">
        <f t="shared" si="32"/>
        <v>4.6321856172928904</v>
      </c>
      <c r="AS63" s="125">
        <f t="shared" si="42"/>
        <v>5.393879689302139E-2</v>
      </c>
      <c r="AT63" s="125">
        <f t="shared" si="43"/>
        <v>-1710.142021112415</v>
      </c>
      <c r="AU63" s="127">
        <f t="shared" si="44"/>
        <v>126.80958314904605</v>
      </c>
      <c r="AV63" s="125">
        <f t="shared" si="45"/>
        <v>16324.435640742318</v>
      </c>
      <c r="AX63" s="67"/>
    </row>
    <row r="64" spans="1:50" hidden="1" x14ac:dyDescent="0.35">
      <c r="A64" s="181" t="s">
        <v>128</v>
      </c>
      <c r="B64" s="64">
        <f t="shared" si="23"/>
        <v>381.08108108108127</v>
      </c>
      <c r="C64" s="115">
        <f t="shared" si="35"/>
        <v>3.8108108108108128E-2</v>
      </c>
      <c r="D64" s="340">
        <f t="shared" si="25"/>
        <v>278.64480372281093</v>
      </c>
      <c r="E64" s="137">
        <f t="shared" si="36"/>
        <v>199.61440619170517</v>
      </c>
      <c r="F64" s="127">
        <f t="shared" si="26"/>
        <v>202.57553001191786</v>
      </c>
      <c r="G64" s="137">
        <f t="shared" si="37"/>
        <v>26.877872499698999</v>
      </c>
      <c r="H64" s="340">
        <f t="shared" si="27"/>
        <v>274.17072217892741</v>
      </c>
      <c r="I64" s="137">
        <f t="shared" si="5"/>
        <v>175.37469683403236</v>
      </c>
      <c r="J64" s="127">
        <f t="shared" si="28"/>
        <v>207.33874311514742</v>
      </c>
      <c r="K64" s="137">
        <f t="shared" si="6"/>
        <v>26.929894282897255</v>
      </c>
      <c r="L64" s="137">
        <f t="shared" si="38"/>
        <v>2125.4914950206421</v>
      </c>
      <c r="M64" s="137">
        <f t="shared" si="39"/>
        <v>48.554205495305219</v>
      </c>
      <c r="N64" s="125">
        <f t="shared" si="40"/>
        <v>-16377.597626163248</v>
      </c>
      <c r="O64" s="125"/>
      <c r="Q64" s="130">
        <f t="shared" si="7"/>
        <v>0</v>
      </c>
      <c r="R64" s="130">
        <f t="shared" si="8"/>
        <v>92.539694999999995</v>
      </c>
      <c r="S64" s="130">
        <f t="shared" si="9"/>
        <v>-132.88925281363976</v>
      </c>
      <c r="T64" s="130">
        <f t="shared" si="10"/>
        <v>-9.3707837837837893</v>
      </c>
      <c r="U64" s="130">
        <f t="shared" si="11"/>
        <v>1.1661361021183356</v>
      </c>
      <c r="V64" s="130">
        <f t="shared" si="12"/>
        <v>0</v>
      </c>
      <c r="W64" s="130">
        <f t="shared" si="13"/>
        <v>0</v>
      </c>
      <c r="X64" s="130">
        <f t="shared" si="14"/>
        <v>0</v>
      </c>
      <c r="Z64" s="130">
        <f t="shared" si="15"/>
        <v>-6657.6530000000002</v>
      </c>
      <c r="AA64" s="130">
        <f t="shared" si="16"/>
        <v>35265.127013513527</v>
      </c>
      <c r="AB64" s="130">
        <f t="shared" si="17"/>
        <v>-43347.68823438706</v>
      </c>
      <c r="AC64" s="130">
        <f t="shared" si="18"/>
        <v>-1785.5142074506957</v>
      </c>
      <c r="AD64" s="130">
        <f t="shared" si="19"/>
        <v>148.13080216097785</v>
      </c>
      <c r="AE64" s="130">
        <f t="shared" si="20"/>
        <v>0</v>
      </c>
      <c r="AF64" s="130">
        <f t="shared" si="21"/>
        <v>0</v>
      </c>
      <c r="AG64" s="130">
        <f t="shared" si="22"/>
        <v>0</v>
      </c>
      <c r="AP64" s="125">
        <f t="shared" si="31"/>
        <v>-4.4740815438835284</v>
      </c>
      <c r="AQ64" s="125">
        <f t="shared" si="41"/>
        <v>-24.239709357672808</v>
      </c>
      <c r="AR64" s="125">
        <f t="shared" si="32"/>
        <v>4.7632131032295604</v>
      </c>
      <c r="AS64" s="125">
        <f t="shared" si="42"/>
        <v>5.2021783198256344E-2</v>
      </c>
      <c r="AT64" s="125">
        <f t="shared" si="43"/>
        <v>-1851.3207728417146</v>
      </c>
      <c r="AU64" s="127">
        <f t="shared" si="44"/>
        <v>126.82049133872715</v>
      </c>
      <c r="AV64" s="125">
        <f t="shared" si="45"/>
        <v>16584.936369278395</v>
      </c>
      <c r="AX64" s="67"/>
    </row>
    <row r="65" spans="1:50" hidden="1" x14ac:dyDescent="0.35">
      <c r="A65" s="181" t="s">
        <v>128</v>
      </c>
      <c r="B65" s="64">
        <f t="shared" si="23"/>
        <v>386.48648648648668</v>
      </c>
      <c r="C65" s="115">
        <f t="shared" si="35"/>
        <v>3.864864864864867E-2</v>
      </c>
      <c r="D65" s="340">
        <f t="shared" si="25"/>
        <v>278.79020099540617</v>
      </c>
      <c r="E65" s="137">
        <f t="shared" si="36"/>
        <v>199.99326383533679</v>
      </c>
      <c r="F65" s="127">
        <f t="shared" si="26"/>
        <v>201.49550713472183</v>
      </c>
      <c r="G65" s="137">
        <f t="shared" si="37"/>
        <v>26.918265151617913</v>
      </c>
      <c r="H65" s="340">
        <f t="shared" si="27"/>
        <v>274.31639449349063</v>
      </c>
      <c r="I65" s="137">
        <f t="shared" si="5"/>
        <v>175.75427118693028</v>
      </c>
      <c r="J65" s="127">
        <f t="shared" si="28"/>
        <v>206.38974373746078</v>
      </c>
      <c r="K65" s="137">
        <f t="shared" si="6"/>
        <v>26.967942516889263</v>
      </c>
      <c r="L65" s="137">
        <f t="shared" si="38"/>
        <v>2267.1765369032546</v>
      </c>
      <c r="M65" s="137">
        <f t="shared" si="39"/>
        <v>48.923389837094611</v>
      </c>
      <c r="N65" s="125">
        <f t="shared" si="40"/>
        <v>-16641.052508244131</v>
      </c>
      <c r="O65" s="125"/>
      <c r="Q65" s="130">
        <f t="shared" si="7"/>
        <v>0</v>
      </c>
      <c r="R65" s="130">
        <f t="shared" si="8"/>
        <v>92.539694999999995</v>
      </c>
      <c r="S65" s="130">
        <f t="shared" si="9"/>
        <v>-133.15883473497627</v>
      </c>
      <c r="T65" s="130">
        <f t="shared" si="10"/>
        <v>-9.5037027027027072</v>
      </c>
      <c r="U65" s="130">
        <f t="shared" si="11"/>
        <v>1.1994526005843695</v>
      </c>
      <c r="V65" s="130">
        <f t="shared" si="12"/>
        <v>0</v>
      </c>
      <c r="W65" s="130">
        <f t="shared" si="13"/>
        <v>0</v>
      </c>
      <c r="X65" s="130">
        <f t="shared" si="14"/>
        <v>0</v>
      </c>
      <c r="Z65" s="130">
        <f t="shared" si="15"/>
        <v>-6657.6530000000002</v>
      </c>
      <c r="AA65" s="130">
        <f t="shared" si="16"/>
        <v>35765.341581081098</v>
      </c>
      <c r="AB65" s="130">
        <f t="shared" si="17"/>
        <v>-44066.73883000436</v>
      </c>
      <c r="AC65" s="130">
        <f t="shared" si="18"/>
        <v>-1836.5263330898488</v>
      </c>
      <c r="AD65" s="130">
        <f t="shared" si="19"/>
        <v>154.52407376897739</v>
      </c>
      <c r="AE65" s="130">
        <f t="shared" si="20"/>
        <v>0</v>
      </c>
      <c r="AF65" s="130">
        <f t="shared" si="21"/>
        <v>0</v>
      </c>
      <c r="AG65" s="130">
        <f t="shared" si="22"/>
        <v>0</v>
      </c>
      <c r="AP65" s="125">
        <f t="shared" si="31"/>
        <v>-4.4738065019155329</v>
      </c>
      <c r="AQ65" s="125">
        <f t="shared" si="41"/>
        <v>-24.238992648406509</v>
      </c>
      <c r="AR65" s="125">
        <f t="shared" si="32"/>
        <v>4.8942366027389426</v>
      </c>
      <c r="AS65" s="125">
        <f t="shared" si="42"/>
        <v>4.9677365271350027E-2</v>
      </c>
      <c r="AT65" s="125">
        <f t="shared" si="43"/>
        <v>-1992.860142409764</v>
      </c>
      <c r="AU65" s="127">
        <f t="shared" si="44"/>
        <v>126.83088134983566</v>
      </c>
      <c r="AV65" s="125">
        <f t="shared" si="45"/>
        <v>16847.442251981593</v>
      </c>
      <c r="AX65" s="67"/>
    </row>
    <row r="66" spans="1:50" hidden="1" x14ac:dyDescent="0.35">
      <c r="A66" s="181" t="s">
        <v>128</v>
      </c>
      <c r="B66" s="64">
        <f t="shared" si="23"/>
        <v>391.8918918918921</v>
      </c>
      <c r="C66" s="115">
        <f t="shared" si="35"/>
        <v>3.9189189189189212E-2</v>
      </c>
      <c r="D66" s="340">
        <f t="shared" si="25"/>
        <v>278.93580303829339</v>
      </c>
      <c r="E66" s="137">
        <f t="shared" si="36"/>
        <v>200.36738564029088</v>
      </c>
      <c r="F66" s="127">
        <f t="shared" si="26"/>
        <v>200.41344920628745</v>
      </c>
      <c r="G66" s="137">
        <f t="shared" si="37"/>
        <v>26.953686304088581</v>
      </c>
      <c r="H66" s="340">
        <f t="shared" si="27"/>
        <v>274.46225787927654</v>
      </c>
      <c r="I66" s="137">
        <f t="shared" si="5"/>
        <v>176.12906455239724</v>
      </c>
      <c r="J66" s="127">
        <f t="shared" si="28"/>
        <v>205.4387055546884</v>
      </c>
      <c r="K66" s="137">
        <f t="shared" si="6"/>
        <v>27.000648523599509</v>
      </c>
      <c r="L66" s="137">
        <f t="shared" si="38"/>
        <v>2409.2173445995395</v>
      </c>
      <c r="M66" s="137">
        <f t="shared" si="39"/>
        <v>49.288360617845385</v>
      </c>
      <c r="N66" s="125">
        <f t="shared" si="40"/>
        <v>-16906.491546177716</v>
      </c>
      <c r="O66" s="125"/>
      <c r="Q66" s="130">
        <f t="shared" si="7"/>
        <v>0</v>
      </c>
      <c r="R66" s="130">
        <f t="shared" si="8"/>
        <v>92.539694999999995</v>
      </c>
      <c r="S66" s="130">
        <f t="shared" si="9"/>
        <v>-133.42467234173142</v>
      </c>
      <c r="T66" s="130">
        <f t="shared" si="10"/>
        <v>-9.6366216216216269</v>
      </c>
      <c r="U66" s="130">
        <f t="shared" si="11"/>
        <v>1.233238345507671</v>
      </c>
      <c r="V66" s="130">
        <f t="shared" si="12"/>
        <v>0</v>
      </c>
      <c r="W66" s="130">
        <f t="shared" si="13"/>
        <v>0</v>
      </c>
      <c r="X66" s="130">
        <f t="shared" si="14"/>
        <v>0</v>
      </c>
      <c r="Z66" s="130">
        <f t="shared" si="15"/>
        <v>-6657.6530000000002</v>
      </c>
      <c r="AA66" s="130">
        <f t="shared" si="16"/>
        <v>36265.556148648669</v>
      </c>
      <c r="AB66" s="130">
        <f t="shared" si="17"/>
        <v>-44787.236458246123</v>
      </c>
      <c r="AC66" s="130">
        <f t="shared" si="18"/>
        <v>-1888.2569393718061</v>
      </c>
      <c r="AD66" s="130">
        <f t="shared" si="19"/>
        <v>161.09870279154271</v>
      </c>
      <c r="AE66" s="130">
        <f t="shared" si="20"/>
        <v>0</v>
      </c>
      <c r="AF66" s="130">
        <f t="shared" si="21"/>
        <v>0</v>
      </c>
      <c r="AG66" s="130">
        <f t="shared" si="22"/>
        <v>0</v>
      </c>
      <c r="AP66" s="125">
        <f t="shared" si="31"/>
        <v>-4.4735451590168509</v>
      </c>
      <c r="AQ66" s="125">
        <f t="shared" si="41"/>
        <v>-24.238321087893638</v>
      </c>
      <c r="AR66" s="125">
        <f t="shared" si="32"/>
        <v>5.0252563484009443</v>
      </c>
      <c r="AS66" s="125">
        <f t="shared" si="42"/>
        <v>4.6962219510927383E-2</v>
      </c>
      <c r="AT66" s="125">
        <f t="shared" si="43"/>
        <v>-2134.7550867202631</v>
      </c>
      <c r="AU66" s="127">
        <f t="shared" si="44"/>
        <v>126.84070393455185</v>
      </c>
      <c r="AV66" s="125">
        <f t="shared" si="45"/>
        <v>17111.930251732403</v>
      </c>
      <c r="AX66" s="67"/>
    </row>
    <row r="67" spans="1:50" hidden="1" x14ac:dyDescent="0.35">
      <c r="A67" s="181" t="s">
        <v>128</v>
      </c>
      <c r="B67" s="64">
        <f t="shared" si="23"/>
        <v>397.29729729729752</v>
      </c>
      <c r="C67" s="115">
        <f t="shared" si="35"/>
        <v>3.9729729729729754E-2</v>
      </c>
      <c r="D67" s="340">
        <f t="shared" si="25"/>
        <v>279.08158375180091</v>
      </c>
      <c r="E67" s="137">
        <f t="shared" si="36"/>
        <v>200.73683521110863</v>
      </c>
      <c r="F67" s="127">
        <f t="shared" si="26"/>
        <v>199.32938165441445</v>
      </c>
      <c r="G67" s="137">
        <f t="shared" si="37"/>
        <v>26.984418803238558</v>
      </c>
      <c r="H67" s="340">
        <f t="shared" si="27"/>
        <v>274.60828437649826</v>
      </c>
      <c r="I67" s="137">
        <f t="shared" si="5"/>
        <v>176.49913705693783</v>
      </c>
      <c r="J67" s="127">
        <f t="shared" si="28"/>
        <v>204.48565424847158</v>
      </c>
      <c r="K67" s="137">
        <f t="shared" si="6"/>
        <v>27.028347703780479</v>
      </c>
      <c r="L67" s="137">
        <f t="shared" si="38"/>
        <v>2551.6088451748292</v>
      </c>
      <c r="M67" s="137">
        <f t="shared" si="39"/>
        <v>49.649220426398962</v>
      </c>
      <c r="N67" s="125">
        <f t="shared" si="40"/>
        <v>-17173.892243151255</v>
      </c>
      <c r="O67" s="125"/>
      <c r="Q67" s="130">
        <f t="shared" si="7"/>
        <v>0</v>
      </c>
      <c r="R67" s="130">
        <f t="shared" si="8"/>
        <v>92.539694999999995</v>
      </c>
      <c r="S67" s="130">
        <f t="shared" si="9"/>
        <v>-133.68686822274665</v>
      </c>
      <c r="T67" s="130">
        <f t="shared" si="10"/>
        <v>-9.7695405405405467</v>
      </c>
      <c r="U67" s="130">
        <f t="shared" si="11"/>
        <v>1.2674933368882411</v>
      </c>
      <c r="V67" s="130">
        <f t="shared" si="12"/>
        <v>0</v>
      </c>
      <c r="W67" s="130">
        <f t="shared" si="13"/>
        <v>0</v>
      </c>
      <c r="X67" s="130">
        <f t="shared" si="14"/>
        <v>0</v>
      </c>
      <c r="Z67" s="130">
        <f t="shared" si="15"/>
        <v>-6657.6530000000002</v>
      </c>
      <c r="AA67" s="130">
        <f t="shared" si="16"/>
        <v>36765.770716216233</v>
      </c>
      <c r="AB67" s="130">
        <f t="shared" si="17"/>
        <v>-45509.161158766932</v>
      </c>
      <c r="AC67" s="130">
        <f t="shared" si="18"/>
        <v>-1940.7060262965692</v>
      </c>
      <c r="AD67" s="130">
        <f t="shared" si="19"/>
        <v>167.85722569601037</v>
      </c>
      <c r="AE67" s="130">
        <f t="shared" si="20"/>
        <v>0</v>
      </c>
      <c r="AF67" s="130">
        <f t="shared" si="21"/>
        <v>0</v>
      </c>
      <c r="AG67" s="130">
        <f t="shared" si="22"/>
        <v>0</v>
      </c>
      <c r="AP67" s="125">
        <f t="shared" si="31"/>
        <v>-4.4732993753026449</v>
      </c>
      <c r="AQ67" s="125">
        <f t="shared" si="41"/>
        <v>-24.237698154170801</v>
      </c>
      <c r="AR67" s="125">
        <f t="shared" si="32"/>
        <v>5.1562725940571283</v>
      </c>
      <c r="AS67" s="125">
        <f t="shared" si="42"/>
        <v>4.3928900541921223E-2</v>
      </c>
      <c r="AT67" s="125">
        <f t="shared" si="43"/>
        <v>-2277.0005607983308</v>
      </c>
      <c r="AU67" s="127">
        <f t="shared" si="44"/>
        <v>126.84991663053887</v>
      </c>
      <c r="AV67" s="125">
        <f t="shared" si="45"/>
        <v>17378.377897399725</v>
      </c>
      <c r="AX67" s="67"/>
    </row>
    <row r="68" spans="1:50" hidden="1" x14ac:dyDescent="0.35">
      <c r="A68" s="181" t="s">
        <v>128</v>
      </c>
      <c r="B68" s="64">
        <f t="shared" si="23"/>
        <v>402.70270270270294</v>
      </c>
      <c r="C68" s="115">
        <f t="shared" si="35"/>
        <v>4.0270270270270296E-2</v>
      </c>
      <c r="D68" s="340">
        <f t="shared" si="25"/>
        <v>279.22751851349324</v>
      </c>
      <c r="E68" s="137">
        <f t="shared" si="36"/>
        <v>201.10167726722204</v>
      </c>
      <c r="F68" s="127">
        <f t="shared" si="26"/>
        <v>198.24332955993614</v>
      </c>
      <c r="G68" s="137">
        <f t="shared" si="37"/>
        <v>27.010726640521106</v>
      </c>
      <c r="H68" s="340">
        <f t="shared" si="27"/>
        <v>274.75444777629428</v>
      </c>
      <c r="I68" s="137">
        <f t="shared" si="5"/>
        <v>176.86455076728095</v>
      </c>
      <c r="J68" s="127">
        <f t="shared" si="28"/>
        <v>203.5306151700108</v>
      </c>
      <c r="K68" s="137">
        <f t="shared" si="6"/>
        <v>27.051352811443</v>
      </c>
      <c r="L68" s="137">
        <f t="shared" si="38"/>
        <v>2694.3459656944397</v>
      </c>
      <c r="M68" s="137">
        <f t="shared" si="39"/>
        <v>50.006067692331108</v>
      </c>
      <c r="N68" s="125">
        <f t="shared" si="40"/>
        <v>-17443.232645541611</v>
      </c>
      <c r="O68" s="125"/>
      <c r="Q68" s="130">
        <f t="shared" si="7"/>
        <v>0</v>
      </c>
      <c r="R68" s="130">
        <f t="shared" si="8"/>
        <v>92.539694999999995</v>
      </c>
      <c r="S68" s="130">
        <f t="shared" si="9"/>
        <v>-133.94552080759772</v>
      </c>
      <c r="T68" s="130">
        <f t="shared" si="10"/>
        <v>-9.9024594594594664</v>
      </c>
      <c r="U68" s="130">
        <f t="shared" si="11"/>
        <v>1.3022175747260789</v>
      </c>
      <c r="V68" s="130">
        <f t="shared" si="12"/>
        <v>0</v>
      </c>
      <c r="W68" s="130">
        <f t="shared" si="13"/>
        <v>0</v>
      </c>
      <c r="X68" s="130">
        <f t="shared" si="14"/>
        <v>0</v>
      </c>
      <c r="Z68" s="130">
        <f t="shared" si="15"/>
        <v>-6657.6530000000002</v>
      </c>
      <c r="AA68" s="130">
        <f t="shared" si="16"/>
        <v>37265.985283783804</v>
      </c>
      <c r="AB68" s="130">
        <f t="shared" si="17"/>
        <v>-46232.493514410999</v>
      </c>
      <c r="AC68" s="130">
        <f t="shared" si="18"/>
        <v>-1993.8735938641366</v>
      </c>
      <c r="AD68" s="130">
        <f t="shared" si="19"/>
        <v>174.80217894971699</v>
      </c>
      <c r="AE68" s="130">
        <f t="shared" si="20"/>
        <v>0</v>
      </c>
      <c r="AF68" s="130">
        <f t="shared" si="21"/>
        <v>0</v>
      </c>
      <c r="AG68" s="130">
        <f t="shared" si="22"/>
        <v>0</v>
      </c>
      <c r="AP68" s="125">
        <f t="shared" si="31"/>
        <v>-4.4730707371989524</v>
      </c>
      <c r="AQ68" s="125">
        <f t="shared" si="41"/>
        <v>-24.237126499941098</v>
      </c>
      <c r="AR68" s="125">
        <f t="shared" si="32"/>
        <v>5.2872856100746617</v>
      </c>
      <c r="AS68" s="125">
        <f t="shared" si="42"/>
        <v>4.0626170921893134E-2</v>
      </c>
      <c r="AT68" s="125">
        <f t="shared" si="43"/>
        <v>-2419.5915179181452</v>
      </c>
      <c r="AU68" s="127">
        <f t="shared" si="44"/>
        <v>126.85848307494985</v>
      </c>
      <c r="AV68" s="125">
        <f t="shared" si="45"/>
        <v>17646.763260711621</v>
      </c>
      <c r="AX68" s="67"/>
    </row>
    <row r="69" spans="1:50" hidden="1" x14ac:dyDescent="0.35">
      <c r="A69" s="181" t="s">
        <v>128</v>
      </c>
      <c r="B69" s="64">
        <f t="shared" si="23"/>
        <v>408.10810810810835</v>
      </c>
      <c r="C69" s="115">
        <f t="shared" si="35"/>
        <v>4.0810810810810838E-2</v>
      </c>
      <c r="D69" s="340">
        <f t="shared" si="25"/>
        <v>279.37358408034089</v>
      </c>
      <c r="E69" s="137">
        <f t="shared" si="36"/>
        <v>201.4619773421326</v>
      </c>
      <c r="F69" s="127">
        <f t="shared" si="26"/>
        <v>197.15531765152451</v>
      </c>
      <c r="G69" s="137">
        <f t="shared" si="37"/>
        <v>27.032856441085581</v>
      </c>
      <c r="H69" s="340">
        <f t="shared" si="27"/>
        <v>274.90072350322203</v>
      </c>
      <c r="I69" s="137">
        <f t="shared" si="5"/>
        <v>177.22536929699615</v>
      </c>
      <c r="J69" s="127">
        <f t="shared" si="28"/>
        <v>202.57361333066405</v>
      </c>
      <c r="K69" s="137">
        <f t="shared" si="6"/>
        <v>27.06995574156883</v>
      </c>
      <c r="L69" s="137">
        <f t="shared" si="38"/>
        <v>2837.4236332237197</v>
      </c>
      <c r="M69" s="137">
        <f t="shared" si="39"/>
        <v>50.358996907796502</v>
      </c>
      <c r="N69" s="125">
        <f t="shared" si="40"/>
        <v>-17714.49132103919</v>
      </c>
      <c r="O69" s="125"/>
      <c r="Q69" s="130">
        <f t="shared" si="7"/>
        <v>0</v>
      </c>
      <c r="R69" s="130">
        <f t="shared" si="8"/>
        <v>92.539694999999995</v>
      </c>
      <c r="S69" s="130">
        <f t="shared" si="9"/>
        <v>-134.2007245884393</v>
      </c>
      <c r="T69" s="130">
        <f t="shared" si="10"/>
        <v>-10.035378378378384</v>
      </c>
      <c r="U69" s="130">
        <f t="shared" si="11"/>
        <v>1.3374110590211847</v>
      </c>
      <c r="V69" s="130">
        <f t="shared" si="12"/>
        <v>0</v>
      </c>
      <c r="W69" s="130">
        <f t="shared" si="13"/>
        <v>0</v>
      </c>
      <c r="X69" s="130">
        <f t="shared" si="14"/>
        <v>0</v>
      </c>
      <c r="Z69" s="130">
        <f t="shared" si="15"/>
        <v>-6657.6530000000002</v>
      </c>
      <c r="AA69" s="130">
        <f t="shared" si="16"/>
        <v>37766.199851351375</v>
      </c>
      <c r="AB69" s="130">
        <f t="shared" si="17"/>
        <v>-46957.214629336057</v>
      </c>
      <c r="AC69" s="130">
        <f t="shared" si="18"/>
        <v>-2047.7596420745094</v>
      </c>
      <c r="AD69" s="130">
        <f t="shared" si="19"/>
        <v>181.93609901999915</v>
      </c>
      <c r="AE69" s="130">
        <f t="shared" si="20"/>
        <v>0</v>
      </c>
      <c r="AF69" s="130">
        <f t="shared" si="21"/>
        <v>0</v>
      </c>
      <c r="AG69" s="130">
        <f t="shared" si="22"/>
        <v>0</v>
      </c>
      <c r="AP69" s="125">
        <f t="shared" si="31"/>
        <v>-4.4728605771188654</v>
      </c>
      <c r="AQ69" s="125">
        <f t="shared" si="41"/>
        <v>-24.23660804513645</v>
      </c>
      <c r="AR69" s="125">
        <f t="shared" si="32"/>
        <v>5.4182956791395327</v>
      </c>
      <c r="AS69" s="125">
        <f t="shared" si="42"/>
        <v>3.7099300483248498E-2</v>
      </c>
      <c r="AT69" s="125">
        <f t="shared" si="43"/>
        <v>-2562.5229097204974</v>
      </c>
      <c r="AU69" s="127">
        <f t="shared" si="44"/>
        <v>126.86637238919965</v>
      </c>
      <c r="AV69" s="125">
        <f t="shared" si="45"/>
        <v>17917.064934369853</v>
      </c>
      <c r="AX69" s="67"/>
    </row>
    <row r="70" spans="1:50" hidden="1" x14ac:dyDescent="0.35">
      <c r="A70" s="181" t="s">
        <v>128</v>
      </c>
      <c r="B70" s="64">
        <f t="shared" si="23"/>
        <v>413.51351351351377</v>
      </c>
      <c r="C70" s="115">
        <f t="shared" si="35"/>
        <v>4.135135135135138E-2</v>
      </c>
      <c r="D70" s="340">
        <f t="shared" si="25"/>
        <v>279.51975849856348</v>
      </c>
      <c r="E70" s="137">
        <f t="shared" si="36"/>
        <v>201.81780152106447</v>
      </c>
      <c r="F70" s="127">
        <f t="shared" si="26"/>
        <v>196.06537030201514</v>
      </c>
      <c r="G70" s="137">
        <f t="shared" si="37"/>
        <v>27.051038816857329</v>
      </c>
      <c r="H70" s="340">
        <f t="shared" si="27"/>
        <v>275.04708850696875</v>
      </c>
      <c r="I70" s="137">
        <f t="shared" si="5"/>
        <v>177.58165746143135</v>
      </c>
      <c r="J70" s="127">
        <f t="shared" si="28"/>
        <v>201.61467339453895</v>
      </c>
      <c r="K70" s="137">
        <f t="shared" si="6"/>
        <v>27.084429155323079</v>
      </c>
      <c r="L70" s="137">
        <f t="shared" si="38"/>
        <v>2980.8367748279597</v>
      </c>
      <c r="M70" s="137">
        <f t="shared" si="39"/>
        <v>50.708098834776607</v>
      </c>
      <c r="N70" s="125">
        <f t="shared" si="40"/>
        <v>-17987.64733793103</v>
      </c>
      <c r="O70" s="125"/>
      <c r="Q70" s="130">
        <f t="shared" si="7"/>
        <v>0</v>
      </c>
      <c r="R70" s="130">
        <f t="shared" si="8"/>
        <v>92.539694999999995</v>
      </c>
      <c r="S70" s="130">
        <f t="shared" si="9"/>
        <v>-134.45257032725286</v>
      </c>
      <c r="T70" s="130">
        <f t="shared" si="10"/>
        <v>-10.168297297297304</v>
      </c>
      <c r="U70" s="130">
        <f t="shared" si="11"/>
        <v>1.373073789773559</v>
      </c>
      <c r="V70" s="130">
        <f t="shared" si="12"/>
        <v>0</v>
      </c>
      <c r="W70" s="130">
        <f t="shared" si="13"/>
        <v>0</v>
      </c>
      <c r="X70" s="130">
        <f t="shared" si="14"/>
        <v>0</v>
      </c>
      <c r="Z70" s="130">
        <f t="shared" si="15"/>
        <v>-6657.6530000000002</v>
      </c>
      <c r="AA70" s="130">
        <f t="shared" si="16"/>
        <v>38266.414418918939</v>
      </c>
      <c r="AB70" s="130">
        <f t="shared" si="17"/>
        <v>-47683.306108296478</v>
      </c>
      <c r="AC70" s="130">
        <f t="shared" si="18"/>
        <v>-2102.3641709276872</v>
      </c>
      <c r="AD70" s="130">
        <f t="shared" si="19"/>
        <v>189.26152237419339</v>
      </c>
      <c r="AE70" s="130">
        <f t="shared" si="20"/>
        <v>0</v>
      </c>
      <c r="AF70" s="130">
        <f t="shared" si="21"/>
        <v>0</v>
      </c>
      <c r="AG70" s="130">
        <f t="shared" si="22"/>
        <v>0</v>
      </c>
      <c r="AP70" s="125">
        <f t="shared" si="31"/>
        <v>-4.4726699915947279</v>
      </c>
      <c r="AQ70" s="125">
        <f t="shared" si="41"/>
        <v>-24.236144059633119</v>
      </c>
      <c r="AR70" s="125">
        <f t="shared" si="32"/>
        <v>5.5493030925238145</v>
      </c>
      <c r="AS70" s="125">
        <f t="shared" si="42"/>
        <v>3.3390338465750347E-2</v>
      </c>
      <c r="AT70" s="125">
        <f t="shared" si="43"/>
        <v>-2705.7896863209908</v>
      </c>
      <c r="AU70" s="127">
        <f t="shared" si="44"/>
        <v>126.87355862665474</v>
      </c>
      <c r="AV70" s="125">
        <f t="shared" si="45"/>
        <v>18189.262011325569</v>
      </c>
      <c r="AX70" s="67"/>
    </row>
    <row r="71" spans="1:50" hidden="1" x14ac:dyDescent="0.35">
      <c r="A71" s="181" t="s">
        <v>128</v>
      </c>
      <c r="B71" s="64">
        <f t="shared" si="23"/>
        <v>418.91891891891919</v>
      </c>
      <c r="C71" s="115">
        <f t="shared" si="35"/>
        <v>4.1891891891891922E-2</v>
      </c>
      <c r="D71" s="340">
        <f t="shared" si="25"/>
        <v>279.66602102045192</v>
      </c>
      <c r="E71" s="137">
        <f t="shared" si="36"/>
        <v>202.1692162124277</v>
      </c>
      <c r="F71" s="127">
        <f t="shared" si="26"/>
        <v>194.97351152605643</v>
      </c>
      <c r="G71" s="137">
        <f t="shared" si="37"/>
        <v>27.065489598201292</v>
      </c>
      <c r="H71" s="340">
        <f t="shared" si="27"/>
        <v>275.19352116244488</v>
      </c>
      <c r="I71" s="137">
        <f t="shared" si="5"/>
        <v>177.93348097520536</v>
      </c>
      <c r="J71" s="127">
        <f t="shared" si="28"/>
        <v>200.65381967283179</v>
      </c>
      <c r="K71" s="137">
        <f t="shared" si="6"/>
        <v>27.095027959431064</v>
      </c>
      <c r="L71" s="137">
        <f t="shared" si="38"/>
        <v>3124.5803175725123</v>
      </c>
      <c r="M71" s="137">
        <f t="shared" si="39"/>
        <v>51.053460698869031</v>
      </c>
      <c r="N71" s="125">
        <f t="shared" si="40"/>
        <v>-18262.680245467232</v>
      </c>
      <c r="O71" s="125"/>
      <c r="Q71" s="130">
        <f t="shared" si="7"/>
        <v>0</v>
      </c>
      <c r="R71" s="130">
        <f t="shared" si="8"/>
        <v>92.539694999999995</v>
      </c>
      <c r="S71" s="130">
        <f t="shared" si="9"/>
        <v>-134.701145249636</v>
      </c>
      <c r="T71" s="130">
        <f t="shared" si="10"/>
        <v>-10.301216216216224</v>
      </c>
      <c r="U71" s="130">
        <f t="shared" si="11"/>
        <v>1.4092057669832012</v>
      </c>
      <c r="V71" s="130">
        <f t="shared" si="12"/>
        <v>0</v>
      </c>
      <c r="W71" s="130">
        <f t="shared" si="13"/>
        <v>0</v>
      </c>
      <c r="X71" s="130">
        <f t="shared" si="14"/>
        <v>0</v>
      </c>
      <c r="Z71" s="130">
        <f t="shared" si="15"/>
        <v>-6657.6530000000002</v>
      </c>
      <c r="AA71" s="130">
        <f t="shared" si="16"/>
        <v>38766.62898648651</v>
      </c>
      <c r="AB71" s="130">
        <f t="shared" si="17"/>
        <v>-48410.750037009711</v>
      </c>
      <c r="AC71" s="130">
        <f t="shared" si="18"/>
        <v>-2157.6871804236698</v>
      </c>
      <c r="AD71" s="130">
        <f t="shared" si="19"/>
        <v>196.78098547963634</v>
      </c>
      <c r="AE71" s="130">
        <f t="shared" si="20"/>
        <v>0</v>
      </c>
      <c r="AF71" s="130">
        <f t="shared" si="21"/>
        <v>0</v>
      </c>
      <c r="AG71" s="130">
        <f t="shared" si="22"/>
        <v>0</v>
      </c>
      <c r="AP71" s="125">
        <f t="shared" si="31"/>
        <v>-4.4724998580070405</v>
      </c>
      <c r="AQ71" s="125">
        <f t="shared" si="41"/>
        <v>-24.235735237222343</v>
      </c>
      <c r="AR71" s="125">
        <f t="shared" si="32"/>
        <v>5.68030814677536</v>
      </c>
      <c r="AS71" s="125">
        <f t="shared" si="42"/>
        <v>2.9538361229771937E-2</v>
      </c>
      <c r="AT71" s="125">
        <f t="shared" si="43"/>
        <v>-2849.3867964100673</v>
      </c>
      <c r="AU71" s="127">
        <f t="shared" si="44"/>
        <v>126.88002027633632</v>
      </c>
      <c r="AV71" s="125">
        <f t="shared" si="45"/>
        <v>18463.334065140065</v>
      </c>
      <c r="AX71" s="67"/>
    </row>
    <row r="72" spans="1:50" hidden="1" x14ac:dyDescent="0.35">
      <c r="A72" s="181" t="s">
        <v>128</v>
      </c>
      <c r="B72" s="64">
        <f t="shared" si="23"/>
        <v>424.32432432432461</v>
      </c>
      <c r="C72" s="115">
        <f t="shared" si="35"/>
        <v>4.2432432432432464E-2</v>
      </c>
      <c r="D72" s="340">
        <f t="shared" si="25"/>
        <v>279.81235202754897</v>
      </c>
      <c r="E72" s="137">
        <f t="shared" si="36"/>
        <v>202.51628794901367</v>
      </c>
      <c r="F72" s="127">
        <f t="shared" si="26"/>
        <v>193.87976497891333</v>
      </c>
      <c r="G72" s="137">
        <f t="shared" si="37"/>
        <v>27.076410956463079</v>
      </c>
      <c r="H72" s="340">
        <f t="shared" si="27"/>
        <v>275.34000117751464</v>
      </c>
      <c r="I72" s="137">
        <f t="shared" si="5"/>
        <v>178.28090618720859</v>
      </c>
      <c r="J72" s="127">
        <f t="shared" si="28"/>
        <v>199.69107611969895</v>
      </c>
      <c r="K72" s="137">
        <f t="shared" si="6"/>
        <v>27.101990654485657</v>
      </c>
      <c r="L72" s="137">
        <f t="shared" si="38"/>
        <v>3268.6491885227078</v>
      </c>
      <c r="M72" s="137">
        <f t="shared" si="39"/>
        <v>51.395166370653278</v>
      </c>
      <c r="N72" s="125">
        <f t="shared" si="40"/>
        <v>-18539.570055240994</v>
      </c>
      <c r="O72" s="125"/>
      <c r="Q72" s="130">
        <f t="shared" si="7"/>
        <v>0</v>
      </c>
      <c r="R72" s="130">
        <f t="shared" si="8"/>
        <v>92.539694999999995</v>
      </c>
      <c r="S72" s="130">
        <f t="shared" si="9"/>
        <v>-134.94653322616824</v>
      </c>
      <c r="T72" s="130">
        <f t="shared" si="10"/>
        <v>-10.434135135135142</v>
      </c>
      <c r="U72" s="130">
        <f t="shared" si="11"/>
        <v>1.4458069906501114</v>
      </c>
      <c r="V72" s="130">
        <f t="shared" si="12"/>
        <v>0</v>
      </c>
      <c r="W72" s="130">
        <f t="shared" si="13"/>
        <v>0</v>
      </c>
      <c r="X72" s="130">
        <f t="shared" si="14"/>
        <v>0</v>
      </c>
      <c r="Z72" s="130">
        <f t="shared" si="15"/>
        <v>-6657.6530000000002</v>
      </c>
      <c r="AA72" s="130">
        <f t="shared" si="16"/>
        <v>39266.843554054081</v>
      </c>
      <c r="AB72" s="130">
        <f t="shared" si="17"/>
        <v>-49139.528963536286</v>
      </c>
      <c r="AC72" s="130">
        <f t="shared" si="18"/>
        <v>-2213.7286705624574</v>
      </c>
      <c r="AD72" s="130">
        <f t="shared" si="19"/>
        <v>204.49702480366457</v>
      </c>
      <c r="AE72" s="130">
        <f t="shared" si="20"/>
        <v>0</v>
      </c>
      <c r="AF72" s="130">
        <f t="shared" si="21"/>
        <v>0</v>
      </c>
      <c r="AG72" s="130">
        <f t="shared" si="22"/>
        <v>0</v>
      </c>
      <c r="AP72" s="125">
        <f t="shared" si="31"/>
        <v>-4.4723508500343314</v>
      </c>
      <c r="AQ72" s="125">
        <f t="shared" si="41"/>
        <v>-24.235381761805087</v>
      </c>
      <c r="AR72" s="125">
        <f t="shared" si="32"/>
        <v>5.8113111407856195</v>
      </c>
      <c r="AS72" s="125">
        <f t="shared" si="42"/>
        <v>2.5579698022578867E-2</v>
      </c>
      <c r="AT72" s="125">
        <f t="shared" si="43"/>
        <v>-2993.3091873451931</v>
      </c>
      <c r="AU72" s="127">
        <f t="shared" si="44"/>
        <v>126.88573981655531</v>
      </c>
      <c r="AV72" s="125">
        <f t="shared" si="45"/>
        <v>18739.261131360694</v>
      </c>
      <c r="AX72" s="67"/>
    </row>
    <row r="73" spans="1:50" hidden="1" x14ac:dyDescent="0.35">
      <c r="A73" s="181" t="s">
        <v>128</v>
      </c>
      <c r="B73" s="64">
        <f t="shared" si="23"/>
        <v>429.72972972973002</v>
      </c>
      <c r="C73" s="115">
        <f t="shared" si="35"/>
        <v>4.2972972972973006E-2</v>
      </c>
      <c r="D73" s="340">
        <f t="shared" si="25"/>
        <v>279.95873295962673</v>
      </c>
      <c r="E73" s="137">
        <f t="shared" si="36"/>
        <v>202.8590832153541</v>
      </c>
      <c r="F73" s="127">
        <f t="shared" si="26"/>
        <v>192.78415395627181</v>
      </c>
      <c r="G73" s="137">
        <f t="shared" si="37"/>
        <v>27.083992428298334</v>
      </c>
      <c r="H73" s="340">
        <f t="shared" si="27"/>
        <v>275.48650950768939</v>
      </c>
      <c r="I73" s="137">
        <f t="shared" si="5"/>
        <v>178.62399984868802</v>
      </c>
      <c r="J73" s="127">
        <f t="shared" si="28"/>
        <v>198.72646632946928</v>
      </c>
      <c r="K73" s="137">
        <f t="shared" si="6"/>
        <v>27.105540565290685</v>
      </c>
      <c r="L73" s="137">
        <f t="shared" si="38"/>
        <v>3413.0383147438515</v>
      </c>
      <c r="M73" s="137">
        <f t="shared" si="39"/>
        <v>51.733296535576635</v>
      </c>
      <c r="N73" s="125">
        <f t="shared" si="40"/>
        <v>-18818.297223517475</v>
      </c>
      <c r="O73" s="125"/>
      <c r="Q73" s="130">
        <f t="shared" si="7"/>
        <v>0</v>
      </c>
      <c r="R73" s="130">
        <f t="shared" si="8"/>
        <v>92.539694999999995</v>
      </c>
      <c r="S73" s="130">
        <f t="shared" si="9"/>
        <v>-135.18881494229686</v>
      </c>
      <c r="T73" s="130">
        <f t="shared" si="10"/>
        <v>-10.567054054054061</v>
      </c>
      <c r="U73" s="130">
        <f t="shared" si="11"/>
        <v>1.4828774607742896</v>
      </c>
      <c r="V73" s="130">
        <f t="shared" si="12"/>
        <v>0</v>
      </c>
      <c r="W73" s="130">
        <f t="shared" si="13"/>
        <v>0</v>
      </c>
      <c r="X73" s="130">
        <f t="shared" si="14"/>
        <v>0</v>
      </c>
      <c r="Z73" s="130">
        <f t="shared" si="15"/>
        <v>-6657.6530000000002</v>
      </c>
      <c r="AA73" s="130">
        <f t="shared" si="16"/>
        <v>39767.058121621645</v>
      </c>
      <c r="AB73" s="130">
        <f t="shared" si="17"/>
        <v>-49869.625880608684</v>
      </c>
      <c r="AC73" s="130">
        <f t="shared" si="18"/>
        <v>-2270.4886413440499</v>
      </c>
      <c r="AD73" s="130">
        <f t="shared" si="19"/>
        <v>212.41217681361462</v>
      </c>
      <c r="AE73" s="130">
        <f t="shared" si="20"/>
        <v>0</v>
      </c>
      <c r="AF73" s="130">
        <f t="shared" si="21"/>
        <v>0</v>
      </c>
      <c r="AG73" s="130">
        <f t="shared" si="22"/>
        <v>0</v>
      </c>
      <c r="AP73" s="125">
        <f t="shared" si="31"/>
        <v>-4.4722234519373387</v>
      </c>
      <c r="AQ73" s="125">
        <f t="shared" si="41"/>
        <v>-24.235083366666089</v>
      </c>
      <c r="AR73" s="125">
        <f t="shared" si="32"/>
        <v>5.942312373197467</v>
      </c>
      <c r="AS73" s="125">
        <f t="shared" si="42"/>
        <v>2.1548136992350919E-2</v>
      </c>
      <c r="AT73" s="125">
        <f t="shared" si="43"/>
        <v>-3137.5518052361622</v>
      </c>
      <c r="AU73" s="127">
        <f t="shared" si="44"/>
        <v>126.89070331311137</v>
      </c>
      <c r="AV73" s="125">
        <f t="shared" si="45"/>
        <v>19017.023689846945</v>
      </c>
      <c r="AX73" s="67"/>
    </row>
    <row r="74" spans="1:50" hidden="1" x14ac:dyDescent="0.35">
      <c r="A74" s="181" t="s">
        <v>128</v>
      </c>
      <c r="B74" s="64">
        <f t="shared" si="23"/>
        <v>435.13513513513544</v>
      </c>
      <c r="C74" s="115">
        <f t="shared" si="35"/>
        <v>4.3513513513513541E-2</v>
      </c>
      <c r="D74" s="340">
        <f t="shared" si="25"/>
        <v>280.10514624895848</v>
      </c>
      <c r="E74" s="137">
        <f t="shared" si="36"/>
        <v>203.197668298114</v>
      </c>
      <c r="F74" s="127">
        <f t="shared" si="26"/>
        <v>191.68670139491422</v>
      </c>
      <c r="G74" s="137">
        <f t="shared" si="37"/>
        <v>27.088411851489312</v>
      </c>
      <c r="H74" s="340">
        <f t="shared" si="27"/>
        <v>275.63302827718007</v>
      </c>
      <c r="I74" s="137">
        <f t="shared" si="5"/>
        <v>178.9628289105332</v>
      </c>
      <c r="J74" s="127">
        <f t="shared" si="28"/>
        <v>197.76001353502906</v>
      </c>
      <c r="K74" s="137">
        <f t="shared" si="6"/>
        <v>27.10588696488967</v>
      </c>
      <c r="L74" s="137">
        <f t="shared" si="38"/>
        <v>3557.7426233012957</v>
      </c>
      <c r="M74" s="137">
        <f t="shared" si="39"/>
        <v>52.06792885322151</v>
      </c>
      <c r="N74" s="125">
        <f t="shared" si="40"/>
        <v>-19098.842634451863</v>
      </c>
      <c r="O74" s="125"/>
      <c r="Q74" s="130">
        <f t="shared" si="7"/>
        <v>0</v>
      </c>
      <c r="R74" s="130">
        <f t="shared" si="8"/>
        <v>92.539694999999995</v>
      </c>
      <c r="S74" s="130">
        <f t="shared" si="9"/>
        <v>-135.42806805760426</v>
      </c>
      <c r="T74" s="130">
        <f t="shared" si="10"/>
        <v>-10.699972972972981</v>
      </c>
      <c r="U74" s="130">
        <f t="shared" si="11"/>
        <v>1.520417177355736</v>
      </c>
      <c r="V74" s="130">
        <f t="shared" si="12"/>
        <v>0</v>
      </c>
      <c r="W74" s="130">
        <f t="shared" si="13"/>
        <v>0</v>
      </c>
      <c r="X74" s="130">
        <f t="shared" si="14"/>
        <v>0</v>
      </c>
      <c r="Z74" s="130">
        <f t="shared" si="15"/>
        <v>-6657.6530000000002</v>
      </c>
      <c r="AA74" s="130">
        <f t="shared" si="16"/>
        <v>40267.272689189216</v>
      </c>
      <c r="AB74" s="130">
        <f t="shared" si="17"/>
        <v>-50601.024208849456</v>
      </c>
      <c r="AC74" s="130">
        <f t="shared" si="18"/>
        <v>-2327.9670927684474</v>
      </c>
      <c r="AD74" s="130">
        <f t="shared" si="19"/>
        <v>220.52897797682317</v>
      </c>
      <c r="AE74" s="130">
        <f t="shared" si="20"/>
        <v>0</v>
      </c>
      <c r="AF74" s="130">
        <f t="shared" si="21"/>
        <v>0</v>
      </c>
      <c r="AG74" s="130">
        <f t="shared" si="22"/>
        <v>0</v>
      </c>
      <c r="AP74" s="125">
        <f t="shared" si="31"/>
        <v>-4.4721179717784025</v>
      </c>
      <c r="AQ74" s="125">
        <f t="shared" si="41"/>
        <v>-24.234839387580791</v>
      </c>
      <c r="AR74" s="125">
        <f t="shared" si="32"/>
        <v>6.0733121401148367</v>
      </c>
      <c r="AS74" s="125">
        <f t="shared" si="42"/>
        <v>1.7475113400358566E-2</v>
      </c>
      <c r="AT74" s="125">
        <f t="shared" si="43"/>
        <v>-3282.1095950241156</v>
      </c>
      <c r="AU74" s="127">
        <f t="shared" si="44"/>
        <v>126.8949000573117</v>
      </c>
      <c r="AV74" s="125">
        <f t="shared" si="45"/>
        <v>19296.602647986892</v>
      </c>
      <c r="AX74" s="67"/>
    </row>
    <row r="75" spans="1:50" hidden="1" x14ac:dyDescent="0.35">
      <c r="A75" s="181" t="s">
        <v>128</v>
      </c>
      <c r="B75" s="64">
        <f t="shared" si="23"/>
        <v>440.54054054054086</v>
      </c>
      <c r="C75" s="115">
        <f t="shared" si="35"/>
        <v>4.4054054054054083E-2</v>
      </c>
      <c r="D75" s="340">
        <f t="shared" si="25"/>
        <v>280.25157525942888</v>
      </c>
      <c r="E75" s="137">
        <f t="shared" si="36"/>
        <v>203.53210915677465</v>
      </c>
      <c r="F75" s="127">
        <f t="shared" si="26"/>
        <v>190.58742987414692</v>
      </c>
      <c r="G75" s="137">
        <f t="shared" si="37"/>
        <v>27.089836220882873</v>
      </c>
      <c r="H75" s="340">
        <f t="shared" si="27"/>
        <v>275.77954070576129</v>
      </c>
      <c r="I75" s="137">
        <f t="shared" si="5"/>
        <v>179.29746034635443</v>
      </c>
      <c r="J75" s="127">
        <f t="shared" si="28"/>
        <v>196.79174060723213</v>
      </c>
      <c r="K75" s="137">
        <f t="shared" si="6"/>
        <v>27.103226102650762</v>
      </c>
      <c r="L75" s="137">
        <f t="shared" si="38"/>
        <v>3702.7570412603563</v>
      </c>
      <c r="M75" s="137">
        <f t="shared" si="39"/>
        <v>52.399138106740516</v>
      </c>
      <c r="N75" s="125">
        <f t="shared" si="40"/>
        <v>-19381.187584141564</v>
      </c>
      <c r="O75" s="125"/>
      <c r="Q75" s="130">
        <f t="shared" si="7"/>
        <v>0</v>
      </c>
      <c r="R75" s="130">
        <f t="shared" si="8"/>
        <v>92.539694999999995</v>
      </c>
      <c r="S75" s="130">
        <f t="shared" si="9"/>
        <v>-135.66436735524306</v>
      </c>
      <c r="T75" s="130">
        <f t="shared" si="10"/>
        <v>-10.832891891891901</v>
      </c>
      <c r="U75" s="130">
        <f t="shared" si="11"/>
        <v>1.5584261403944508</v>
      </c>
      <c r="V75" s="130">
        <f t="shared" si="12"/>
        <v>0</v>
      </c>
      <c r="W75" s="130">
        <f t="shared" si="13"/>
        <v>0</v>
      </c>
      <c r="X75" s="130">
        <f t="shared" si="14"/>
        <v>0</v>
      </c>
      <c r="Z75" s="130">
        <f t="shared" si="15"/>
        <v>-6657.6530000000002</v>
      </c>
      <c r="AA75" s="130">
        <f t="shared" si="16"/>
        <v>40767.487256756787</v>
      </c>
      <c r="AB75" s="130">
        <f t="shared" si="17"/>
        <v>-51333.70778082333</v>
      </c>
      <c r="AC75" s="130">
        <f t="shared" si="18"/>
        <v>-2386.1640248356498</v>
      </c>
      <c r="AD75" s="130">
        <f t="shared" si="19"/>
        <v>228.8499647606267</v>
      </c>
      <c r="AE75" s="130">
        <f t="shared" si="20"/>
        <v>0</v>
      </c>
      <c r="AF75" s="130">
        <f t="shared" si="21"/>
        <v>0</v>
      </c>
      <c r="AG75" s="130">
        <f t="shared" si="22"/>
        <v>0</v>
      </c>
      <c r="AP75" s="125">
        <f t="shared" si="31"/>
        <v>-4.4720345536675836</v>
      </c>
      <c r="AQ75" s="125">
        <f t="shared" si="41"/>
        <v>-24.234648810420225</v>
      </c>
      <c r="AR75" s="125">
        <f t="shared" si="32"/>
        <v>6.2043107330852081</v>
      </c>
      <c r="AS75" s="125">
        <f t="shared" si="42"/>
        <v>1.3389881767889023E-2</v>
      </c>
      <c r="AT75" s="125">
        <f t="shared" si="43"/>
        <v>-3426.9775005545953</v>
      </c>
      <c r="AU75" s="127">
        <f t="shared" si="44"/>
        <v>126.89832223961392</v>
      </c>
      <c r="AV75" s="125">
        <f t="shared" si="45"/>
        <v>19577.979324748798</v>
      </c>
      <c r="AX75" s="67"/>
    </row>
    <row r="76" spans="1:50" hidden="1" x14ac:dyDescent="0.35">
      <c r="A76" s="181" t="s">
        <v>128</v>
      </c>
      <c r="B76" s="64">
        <f t="shared" si="23"/>
        <v>445.94594594594628</v>
      </c>
      <c r="C76" s="115">
        <f t="shared" si="35"/>
        <v>4.4594594594594625E-2</v>
      </c>
      <c r="D76" s="340">
        <f t="shared" si="25"/>
        <v>280.39800423007256</v>
      </c>
      <c r="E76" s="137">
        <f t="shared" si="36"/>
        <v>203.86247131219432</v>
      </c>
      <c r="F76" s="127">
        <f t="shared" si="26"/>
        <v>189.48636161787766</v>
      </c>
      <c r="G76" s="137">
        <f t="shared" si="37"/>
        <v>27.088422472148277</v>
      </c>
      <c r="H76" s="340">
        <f t="shared" si="27"/>
        <v>275.92603104095457</v>
      </c>
      <c r="I76" s="137">
        <f t="shared" si="5"/>
        <v>179.62796099835083</v>
      </c>
      <c r="J76" s="127">
        <f t="shared" si="28"/>
        <v>195.82167005520344</v>
      </c>
      <c r="K76" s="137">
        <f t="shared" si="6"/>
        <v>27.097742145654536</v>
      </c>
      <c r="L76" s="137">
        <f t="shared" si="38"/>
        <v>3848.0764956863459</v>
      </c>
      <c r="M76" s="137">
        <f t="shared" si="39"/>
        <v>52.726996343179138</v>
      </c>
      <c r="N76" s="125">
        <f t="shared" si="40"/>
        <v>-19665.313765461124</v>
      </c>
      <c r="O76" s="125"/>
      <c r="Q76" s="130">
        <f t="shared" si="7"/>
        <v>0</v>
      </c>
      <c r="R76" s="130">
        <f t="shared" si="8"/>
        <v>92.539694999999995</v>
      </c>
      <c r="S76" s="130">
        <f t="shared" si="9"/>
        <v>-135.89778488225875</v>
      </c>
      <c r="T76" s="130">
        <f t="shared" si="10"/>
        <v>-10.965810810810819</v>
      </c>
      <c r="U76" s="130">
        <f t="shared" si="11"/>
        <v>1.5969043498904334</v>
      </c>
      <c r="V76" s="130">
        <f t="shared" si="12"/>
        <v>0</v>
      </c>
      <c r="W76" s="130">
        <f t="shared" si="13"/>
        <v>0</v>
      </c>
      <c r="X76" s="130">
        <f t="shared" si="14"/>
        <v>0</v>
      </c>
      <c r="Z76" s="130">
        <f t="shared" si="15"/>
        <v>-6657.6530000000002</v>
      </c>
      <c r="AA76" s="130">
        <f t="shared" si="16"/>
        <v>41267.701824324351</v>
      </c>
      <c r="AB76" s="130">
        <f t="shared" si="17"/>
        <v>-52067.660825872183</v>
      </c>
      <c r="AC76" s="130">
        <f t="shared" si="18"/>
        <v>-2445.0794375456576</v>
      </c>
      <c r="AD76" s="130">
        <f t="shared" si="19"/>
        <v>237.37767363236185</v>
      </c>
      <c r="AE76" s="130">
        <f t="shared" si="20"/>
        <v>0</v>
      </c>
      <c r="AF76" s="130">
        <f t="shared" si="21"/>
        <v>0</v>
      </c>
      <c r="AG76" s="130">
        <f t="shared" si="22"/>
        <v>0</v>
      </c>
      <c r="AP76" s="125">
        <f t="shared" si="31"/>
        <v>-4.471973189117989</v>
      </c>
      <c r="AQ76" s="125">
        <f t="shared" si="41"/>
        <v>-24.234510313843487</v>
      </c>
      <c r="AR76" s="125">
        <f t="shared" si="32"/>
        <v>6.3353084373257786</v>
      </c>
      <c r="AS76" s="125">
        <f t="shared" si="42"/>
        <v>9.3196735062583969E-3</v>
      </c>
      <c r="AT76" s="125">
        <f t="shared" si="43"/>
        <v>-3572.1504646453914</v>
      </c>
      <c r="AU76" s="127">
        <f t="shared" si="44"/>
        <v>126.90096465517169</v>
      </c>
      <c r="AV76" s="125">
        <f t="shared" si="45"/>
        <v>19861.135435516328</v>
      </c>
      <c r="AX76" s="67"/>
    </row>
    <row r="77" spans="1:50" hidden="1" x14ac:dyDescent="0.35">
      <c r="A77" s="181" t="s">
        <v>128</v>
      </c>
      <c r="B77" s="64">
        <f t="shared" si="23"/>
        <v>451.3513513513517</v>
      </c>
      <c r="C77" s="115">
        <f t="shared" si="35"/>
        <v>4.5135135135135167E-2</v>
      </c>
      <c r="D77" s="340">
        <f t="shared" si="25"/>
        <v>280.54441822267006</v>
      </c>
      <c r="E77" s="137">
        <f t="shared" si="36"/>
        <v>204.18881975092751</v>
      </c>
      <c r="F77" s="127">
        <f t="shared" si="26"/>
        <v>188.38351849725129</v>
      </c>
      <c r="G77" s="137">
        <f t="shared" si="37"/>
        <v>27.084318200228235</v>
      </c>
      <c r="H77" s="340">
        <f t="shared" si="27"/>
        <v>276.07248449508427</v>
      </c>
      <c r="I77" s="137">
        <f t="shared" si="5"/>
        <v>179.95439744332839</v>
      </c>
      <c r="J77" s="127">
        <f t="shared" si="28"/>
        <v>194.84982402741974</v>
      </c>
      <c r="K77" s="137">
        <f t="shared" si="6"/>
        <v>27.08960804164052</v>
      </c>
      <c r="L77" s="137">
        <f t="shared" si="38"/>
        <v>3993.6959136446058</v>
      </c>
      <c r="M77" s="137">
        <f t="shared" si="39"/>
        <v>53.05157300534438</v>
      </c>
      <c r="N77" s="125">
        <f t="shared" si="40"/>
        <v>-19951.20325363247</v>
      </c>
      <c r="O77" s="125"/>
      <c r="Q77" s="130">
        <f t="shared" si="7"/>
        <v>0</v>
      </c>
      <c r="R77" s="130">
        <f t="shared" si="8"/>
        <v>92.539694999999995</v>
      </c>
      <c r="S77" s="130">
        <f t="shared" si="9"/>
        <v>-136.12839008145832</v>
      </c>
      <c r="T77" s="130">
        <f t="shared" si="10"/>
        <v>-11.098729729729738</v>
      </c>
      <c r="U77" s="130">
        <f t="shared" si="11"/>
        <v>1.6358518058436839</v>
      </c>
      <c r="V77" s="130">
        <f t="shared" si="12"/>
        <v>0</v>
      </c>
      <c r="W77" s="130">
        <f t="shared" si="13"/>
        <v>0</v>
      </c>
      <c r="X77" s="130">
        <f t="shared" si="14"/>
        <v>0</v>
      </c>
      <c r="Z77" s="130">
        <f t="shared" si="15"/>
        <v>-6657.6530000000002</v>
      </c>
      <c r="AA77" s="130">
        <f t="shared" si="16"/>
        <v>41767.916391891922</v>
      </c>
      <c r="AB77" s="130">
        <f t="shared" si="17"/>
        <v>-52802.867955685288</v>
      </c>
      <c r="AC77" s="130">
        <f t="shared" si="18"/>
        <v>-2504.7133308984698</v>
      </c>
      <c r="AD77" s="130">
        <f t="shared" si="19"/>
        <v>246.11464105936525</v>
      </c>
      <c r="AE77" s="130">
        <f t="shared" si="20"/>
        <v>0</v>
      </c>
      <c r="AF77" s="130">
        <f t="shared" si="21"/>
        <v>0</v>
      </c>
      <c r="AG77" s="130">
        <f t="shared" si="22"/>
        <v>0</v>
      </c>
      <c r="AP77" s="125">
        <f t="shared" si="31"/>
        <v>-4.4719337275857924</v>
      </c>
      <c r="AQ77" s="125">
        <f t="shared" si="41"/>
        <v>-24.234422307599118</v>
      </c>
      <c r="AR77" s="125">
        <f t="shared" si="32"/>
        <v>6.4663055301684551</v>
      </c>
      <c r="AS77" s="125">
        <f t="shared" si="42"/>
        <v>5.2898414122850568E-3</v>
      </c>
      <c r="AT77" s="125">
        <f t="shared" si="43"/>
        <v>-3717.6234291495216</v>
      </c>
      <c r="AU77" s="127">
        <f t="shared" si="44"/>
        <v>126.90282443798401</v>
      </c>
      <c r="AV77" s="125">
        <f t="shared" si="45"/>
        <v>20146.05307765989</v>
      </c>
      <c r="AX77" s="67"/>
    </row>
    <row r="78" spans="1:50" hidden="1" x14ac:dyDescent="0.35">
      <c r="A78" s="181" t="s">
        <v>128</v>
      </c>
      <c r="B78" s="64">
        <f t="shared" si="23"/>
        <v>456.75675675675711</v>
      </c>
      <c r="C78" s="115">
        <f t="shared" si="35"/>
        <v>4.5675675675675709E-2</v>
      </c>
      <c r="D78" s="340">
        <f t="shared" si="25"/>
        <v>280.69080307306479</v>
      </c>
      <c r="E78" s="137">
        <f t="shared" si="36"/>
        <v>204.51121884343601</v>
      </c>
      <c r="F78" s="127">
        <f t="shared" si="26"/>
        <v>187.27892203376555</v>
      </c>
      <c r="G78" s="137">
        <f t="shared" si="37"/>
        <v>27.077662318629137</v>
      </c>
      <c r="H78" s="340">
        <f t="shared" si="27"/>
        <v>276.21888718680356</v>
      </c>
      <c r="I78" s="137">
        <f t="shared" si="5"/>
        <v>180.27683587653797</v>
      </c>
      <c r="J78" s="127">
        <f t="shared" si="28"/>
        <v>193.87622431346588</v>
      </c>
      <c r="K78" s="137">
        <f t="shared" si="6"/>
        <v>27.078986310894386</v>
      </c>
      <c r="L78" s="137">
        <f t="shared" si="38"/>
        <v>4139.6102222004811</v>
      </c>
      <c r="M78" s="137">
        <f t="shared" si="39"/>
        <v>53.372935055823717</v>
      </c>
      <c r="N78" s="125">
        <f t="shared" si="40"/>
        <v>-20238.838492486586</v>
      </c>
      <c r="O78" s="125"/>
      <c r="Q78" s="130">
        <f t="shared" si="7"/>
        <v>0</v>
      </c>
      <c r="R78" s="130">
        <f t="shared" si="8"/>
        <v>92.539694999999995</v>
      </c>
      <c r="S78" s="130">
        <f t="shared" si="9"/>
        <v>-136.35624991542926</v>
      </c>
      <c r="T78" s="130">
        <f t="shared" si="10"/>
        <v>-11.231648648648658</v>
      </c>
      <c r="U78" s="130">
        <f t="shared" si="11"/>
        <v>1.6752685082542025</v>
      </c>
      <c r="V78" s="130">
        <f t="shared" si="12"/>
        <v>0</v>
      </c>
      <c r="W78" s="130">
        <f t="shared" si="13"/>
        <v>0</v>
      </c>
      <c r="X78" s="130">
        <f t="shared" si="14"/>
        <v>0</v>
      </c>
      <c r="Z78" s="130">
        <f t="shared" si="15"/>
        <v>-6657.6530000000002</v>
      </c>
      <c r="AA78" s="130">
        <f t="shared" si="16"/>
        <v>42268.130959459493</v>
      </c>
      <c r="AB78" s="130">
        <f t="shared" si="17"/>
        <v>-53539.314150560967</v>
      </c>
      <c r="AC78" s="130">
        <f t="shared" si="18"/>
        <v>-2565.0657048940875</v>
      </c>
      <c r="AD78" s="130">
        <f t="shared" si="19"/>
        <v>255.06340350897341</v>
      </c>
      <c r="AE78" s="130">
        <f t="shared" si="20"/>
        <v>0</v>
      </c>
      <c r="AF78" s="130">
        <f t="shared" si="21"/>
        <v>0</v>
      </c>
      <c r="AG78" s="130">
        <f t="shared" si="22"/>
        <v>0</v>
      </c>
      <c r="AP78" s="125">
        <f t="shared" si="31"/>
        <v>-4.4719158862612289</v>
      </c>
      <c r="AQ78" s="125">
        <f t="shared" si="41"/>
        <v>-24.234382966898039</v>
      </c>
      <c r="AR78" s="125">
        <f t="shared" si="32"/>
        <v>6.5973022797003296</v>
      </c>
      <c r="AS78" s="125">
        <f t="shared" si="42"/>
        <v>1.323992265248819E-3</v>
      </c>
      <c r="AT78" s="125">
        <f t="shared" si="43"/>
        <v>-3863.3913350136777</v>
      </c>
      <c r="AU78" s="127">
        <f t="shared" si="44"/>
        <v>126.90390082071426</v>
      </c>
      <c r="AV78" s="125">
        <f t="shared" si="45"/>
        <v>20432.714716800052</v>
      </c>
      <c r="AX78" s="67"/>
    </row>
    <row r="79" spans="1:50" hidden="1" x14ac:dyDescent="0.35">
      <c r="A79" s="181" t="s">
        <v>128</v>
      </c>
      <c r="B79" s="64">
        <f t="shared" si="23"/>
        <v>462.16216216216253</v>
      </c>
      <c r="C79" s="115">
        <f t="shared" si="35"/>
        <v>4.6216216216216251E-2</v>
      </c>
      <c r="D79" s="340">
        <f t="shared" si="25"/>
        <v>280.83714534589575</v>
      </c>
      <c r="E79" s="137">
        <f t="shared" si="36"/>
        <v>204.82973227454838</v>
      </c>
      <c r="F79" s="127">
        <f t="shared" si="26"/>
        <v>186.17259340279358</v>
      </c>
      <c r="G79" s="137">
        <f t="shared" si="37"/>
        <v>27.068585665053135</v>
      </c>
      <c r="H79" s="340">
        <f t="shared" si="27"/>
        <v>276.3652260867234</v>
      </c>
      <c r="I79" s="137">
        <f t="shared" si="5"/>
        <v>180.59534201127971</v>
      </c>
      <c r="J79" s="127">
        <f t="shared" si="28"/>
        <v>192.90089234637514</v>
      </c>
      <c r="K79" s="137">
        <f t="shared" si="6"/>
        <v>27.066029773685276</v>
      </c>
      <c r="L79" s="137">
        <f t="shared" si="38"/>
        <v>4285.8143484192478</v>
      </c>
      <c r="M79" s="137">
        <f t="shared" si="39"/>
        <v>53.691147093708118</v>
      </c>
      <c r="N79" s="125">
        <f t="shared" si="40"/>
        <v>-20528.202281375605</v>
      </c>
      <c r="O79" s="125"/>
      <c r="Q79" s="130">
        <f t="shared" si="7"/>
        <v>0</v>
      </c>
      <c r="R79" s="130">
        <f t="shared" si="8"/>
        <v>92.539694999999995</v>
      </c>
      <c r="S79" s="130">
        <f t="shared" si="9"/>
        <v>-136.58142898326253</v>
      </c>
      <c r="T79" s="130">
        <f t="shared" si="10"/>
        <v>-11.364567567567576</v>
      </c>
      <c r="U79" s="130">
        <f t="shared" si="11"/>
        <v>1.7151544571219894</v>
      </c>
      <c r="V79" s="130">
        <f t="shared" si="12"/>
        <v>0</v>
      </c>
      <c r="W79" s="130">
        <f t="shared" si="13"/>
        <v>0</v>
      </c>
      <c r="X79" s="130">
        <f t="shared" si="14"/>
        <v>0</v>
      </c>
      <c r="Z79" s="130">
        <f t="shared" si="15"/>
        <v>-6657.6530000000002</v>
      </c>
      <c r="AA79" s="130">
        <f t="shared" si="16"/>
        <v>42768.345527027057</v>
      </c>
      <c r="AB79" s="130">
        <f t="shared" si="17"/>
        <v>-54276.984746318674</v>
      </c>
      <c r="AC79" s="130">
        <f t="shared" si="18"/>
        <v>-2626.1365595325096</v>
      </c>
      <c r="AD79" s="130">
        <f t="shared" si="19"/>
        <v>264.22649744852293</v>
      </c>
      <c r="AE79" s="130">
        <f t="shared" si="20"/>
        <v>0</v>
      </c>
      <c r="AF79" s="130">
        <f t="shared" si="21"/>
        <v>0</v>
      </c>
      <c r="AG79" s="130">
        <f t="shared" si="22"/>
        <v>0</v>
      </c>
      <c r="AP79" s="125">
        <f t="shared" si="31"/>
        <v>-4.4719192591723527</v>
      </c>
      <c r="AQ79" s="125">
        <f t="shared" si="41"/>
        <v>-24.234390263268665</v>
      </c>
      <c r="AR79" s="125">
        <f t="shared" si="32"/>
        <v>6.7282989435815637</v>
      </c>
      <c r="AS79" s="125">
        <f t="shared" si="42"/>
        <v>-2.5558913678587203E-3</v>
      </c>
      <c r="AT79" s="125">
        <f t="shared" si="43"/>
        <v>-4009.4491223325244</v>
      </c>
      <c r="AU79" s="127">
        <f t="shared" si="44"/>
        <v>126.9041949175716</v>
      </c>
      <c r="AV79" s="125">
        <f t="shared" si="45"/>
        <v>20721.103173721978</v>
      </c>
      <c r="AX79" s="67"/>
    </row>
    <row r="80" spans="1:50" hidden="1" x14ac:dyDescent="0.35">
      <c r="A80" s="181" t="s">
        <v>128</v>
      </c>
      <c r="B80" s="64">
        <f t="shared" si="23"/>
        <v>467.56756756756795</v>
      </c>
      <c r="C80" s="115">
        <f t="shared" si="35"/>
        <v>4.6756756756756793E-2</v>
      </c>
      <c r="D80" s="340">
        <f t="shared" si="25"/>
        <v>280.98343229247109</v>
      </c>
      <c r="E80" s="137">
        <f t="shared" si="36"/>
        <v>205.14442298471826</v>
      </c>
      <c r="F80" s="127">
        <f t="shared" si="26"/>
        <v>185.06455343745415</v>
      </c>
      <c r="G80" s="137">
        <f t="shared" si="37"/>
        <v>27.05721155830572</v>
      </c>
      <c r="H80" s="340">
        <f t="shared" si="27"/>
        <v>276.51148896681286</v>
      </c>
      <c r="I80" s="137">
        <f t="shared" si="5"/>
        <v>180.90998099245888</v>
      </c>
      <c r="J80" s="127">
        <f t="shared" si="28"/>
        <v>191.92384920547386</v>
      </c>
      <c r="K80" s="137">
        <f t="shared" si="6"/>
        <v>27.050882219179027</v>
      </c>
      <c r="L80" s="137">
        <f t="shared" si="38"/>
        <v>4432.3032193662948</v>
      </c>
      <c r="M80" s="137">
        <f t="shared" si="39"/>
        <v>54.006271464528581</v>
      </c>
      <c r="N80" s="125">
        <f t="shared" si="40"/>
        <v>-20819.277762697089</v>
      </c>
      <c r="O80" s="125"/>
      <c r="Q80" s="130">
        <f t="shared" si="7"/>
        <v>0</v>
      </c>
      <c r="R80" s="130">
        <f t="shared" si="8"/>
        <v>92.539694999999995</v>
      </c>
      <c r="S80" s="130">
        <f t="shared" si="9"/>
        <v>-136.80398963048913</v>
      </c>
      <c r="T80" s="130">
        <f t="shared" si="10"/>
        <v>-11.497486486486496</v>
      </c>
      <c r="U80" s="130">
        <f t="shared" si="11"/>
        <v>1.7555096524470444</v>
      </c>
      <c r="V80" s="130">
        <f t="shared" si="12"/>
        <v>0</v>
      </c>
      <c r="W80" s="130">
        <f t="shared" si="13"/>
        <v>0</v>
      </c>
      <c r="X80" s="130">
        <f t="shared" si="14"/>
        <v>0</v>
      </c>
      <c r="Z80" s="130">
        <f t="shared" si="15"/>
        <v>-6657.6530000000002</v>
      </c>
      <c r="AA80" s="130">
        <f t="shared" si="16"/>
        <v>43268.560094594628</v>
      </c>
      <c r="AB80" s="130">
        <f t="shared" si="17"/>
        <v>-55015.865421823335</v>
      </c>
      <c r="AC80" s="130">
        <f t="shared" si="18"/>
        <v>-2687.9258948137372</v>
      </c>
      <c r="AD80" s="130">
        <f t="shared" si="19"/>
        <v>273.6064593453504</v>
      </c>
      <c r="AE80" s="130">
        <f t="shared" si="20"/>
        <v>0</v>
      </c>
      <c r="AF80" s="130">
        <f t="shared" si="21"/>
        <v>0</v>
      </c>
      <c r="AG80" s="130">
        <f t="shared" si="22"/>
        <v>0</v>
      </c>
      <c r="AP80" s="125">
        <f t="shared" si="31"/>
        <v>-4.4719433256582306</v>
      </c>
      <c r="AQ80" s="125">
        <f t="shared" si="41"/>
        <v>-24.234441992259377</v>
      </c>
      <c r="AR80" s="125">
        <f t="shared" si="32"/>
        <v>6.859295768019706</v>
      </c>
      <c r="AS80" s="125">
        <f t="shared" si="42"/>
        <v>-6.329339126693867E-3</v>
      </c>
      <c r="AT80" s="125">
        <f t="shared" si="43"/>
        <v>-4155.7917303994818</v>
      </c>
      <c r="AU80" s="127">
        <f t="shared" si="44"/>
        <v>126.9037095279303</v>
      </c>
      <c r="AV80" s="125">
        <f t="shared" si="45"/>
        <v>21011.201611902565</v>
      </c>
      <c r="AX80" s="67"/>
    </row>
    <row r="81" spans="1:50" hidden="1" x14ac:dyDescent="0.35">
      <c r="A81" s="181" t="s">
        <v>128</v>
      </c>
      <c r="B81" s="64">
        <f t="shared" si="23"/>
        <v>472.97297297297337</v>
      </c>
      <c r="C81" s="115">
        <f t="shared" si="35"/>
        <v>4.7297297297297335E-2</v>
      </c>
      <c r="D81" s="340">
        <f t="shared" si="25"/>
        <v>281.1296518115297</v>
      </c>
      <c r="E81" s="137">
        <f t="shared" si="36"/>
        <v>205.45535312080216</v>
      </c>
      <c r="F81" s="127">
        <f t="shared" si="26"/>
        <v>183.95482263277182</v>
      </c>
      <c r="G81" s="137">
        <f t="shared" si="37"/>
        <v>27.043656310907707</v>
      </c>
      <c r="H81" s="340">
        <f t="shared" si="27"/>
        <v>276.65766435326935</v>
      </c>
      <c r="I81" s="137">
        <f t="shared" ref="I81:I112" si="46">$B$3*($F$7+$G$7+$G$7*LN(C81)-$H$7/C81^2+$J$7*2*C81+$K$7*3*C81^2+$L$7*4*C81^3)</f>
        <v>181.22081732248907</v>
      </c>
      <c r="J81" s="127">
        <f t="shared" si="28"/>
        <v>190.94511561965953</v>
      </c>
      <c r="K81" s="137">
        <f t="shared" ref="K81:K112" si="47">$B$3*($G$7+2*$H$7*C81^(-2)+2*$J$7*C81+ 6*$K$7*C81^2+ 12*$L$7*C81^3)</f>
        <v>27.033679021147215</v>
      </c>
      <c r="L81" s="137">
        <f t="shared" si="38"/>
        <v>4579.0717621068979</v>
      </c>
      <c r="M81" s="137">
        <f t="shared" si="39"/>
        <v>54.318368363873731</v>
      </c>
      <c r="N81" s="125">
        <f t="shared" si="40"/>
        <v>-21112.048409995565</v>
      </c>
      <c r="O81" s="125"/>
      <c r="Q81" s="130">
        <f t="shared" ref="Q81:Q112" si="48">IF( OR( E$10="д",E$10="l"),E$11/$B81,  IF( OR( E$10="g",E$10="п"),E$11*(LN($B81)+1),  $B81^(E$10-1)*E$10*E$11))</f>
        <v>0</v>
      </c>
      <c r="R81" s="130">
        <f t="shared" ref="R81:R112" si="49">IF( OR( F$10="д",F$10="l"),F$11/$B81,  IF( OR( F$10="g",F$10="п"),F$11*(LN($B81)+1),  $B81^(F$10-1)*F$10*F$11))</f>
        <v>92.539694999999995</v>
      </c>
      <c r="S81" s="130">
        <f t="shared" ref="S81:S112" si="50">IF( OR( G$10="д",G$10="l"),G$11/$B81,  IF( OR( G$10="g",G$10="п"),G$11*(LN($B81)+1),  $B81^(G$10-1)*G$10*G$11))</f>
        <v>-137.02399205269768</v>
      </c>
      <c r="T81" s="130">
        <f t="shared" ref="T81:T112" si="51">IF( OR( H$10="д",H$10="l"),H$11/$B81,  IF( OR( H$10="g",H$10="п"),H$11*(LN($B81)+1),  $B81^(H$10-1)*H$10*H$11))</f>
        <v>-11.630405405405416</v>
      </c>
      <c r="U81" s="130">
        <f t="shared" ref="U81:U112" si="52">IF( OR( I$10="д",I$10="l"),I$11/$B81,  IF( OR( I$10="g",I$10="п"),I$11*(LN($B81)+1),  $B81^(I$10-1)*I$10*I$11))</f>
        <v>1.7963340942293675</v>
      </c>
      <c r="V81" s="130">
        <f t="shared" ref="V81:V112" si="53">IF( OR( J$10="д",J$10="l"),J$11/$B81,  IF( OR( J$10="g",J$10="п"),J$11*(LN($B81)+1),  $B81^(J$10-1)*J$10*J$11))</f>
        <v>0</v>
      </c>
      <c r="W81" s="130">
        <f t="shared" ref="W81:W112" si="54">IF( OR( K$10="д",K$10="l"),K$11/$B81,  IF( OR( K$10="g",K$10="п"),K$11*(LN($B81)+1),  $B81^(K$10-1)*K$10*K$11))</f>
        <v>0</v>
      </c>
      <c r="X81" s="130">
        <f t="shared" ref="X81:X112" si="55">IF( OR( L$10="д",L$10="l"),L$11/$B81,  IF( OR( L$10="g",L$10="п"),L$11*(LN($B81)+1),  $B81^(L$10-1)*L$10*L$11))</f>
        <v>0</v>
      </c>
      <c r="Z81" s="130">
        <f t="shared" ref="Z81:Z112" si="56">IF( OR( E$10="д",E$10="l"),E$11*LN($B81),  IF( OR( E$10="g",E$10="п"),E$11*$B81*LN($B81),  ($B81^E$10)*E$11))</f>
        <v>-6657.6530000000002</v>
      </c>
      <c r="AA81" s="130">
        <f t="shared" ref="AA81:AA112" si="57">IF( OR( F$10="д",F$10="l"),F$11*LN($B81),  IF( OR( F$10="g",F$10="п"),F$11*$B81*LN($B81),  ($B81^F$10)*F$11))</f>
        <v>43768.774662162199</v>
      </c>
      <c r="AB81" s="130">
        <f t="shared" ref="AB81:AB112" si="58">IF( OR( G$10="д",G$10="l"),G$11*LN($B81),  IF( OR( G$10="g",G$10="п"),G$11*$B81*LN($B81),  ($B81^G$10)*G$11))</f>
        <v>-55755.942187086788</v>
      </c>
      <c r="AC81" s="130">
        <f t="shared" ref="AC81:AC112" si="59">IF( OR( H$10="д",H$10="l"),H$11*LN($B81),  IF( OR( H$10="g",H$10="п"),H$11*$B81*LN($B81),  ($B81^H$10)*H$11))</f>
        <v>-2750.4337107377696</v>
      </c>
      <c r="AD81" s="130">
        <f t="shared" ref="AD81:AD112" si="60">IF( OR( I$10="д",I$10="l"),I$11*LN($B81),  IF( OR( I$10="g",I$10="п"),I$11*$B81*LN($B81),  ($B81^I$10)*I$11))</f>
        <v>283.20582566679241</v>
      </c>
      <c r="AE81" s="130">
        <f t="shared" ref="AE81:AE112" si="61">IF( OR( J$10="д",J$10="l"),J$11*LN($B81),  IF( OR( J$10="g",J$10="п"),J$11*$B81*LN($B81),  ($B81^J$10)*J$11))</f>
        <v>0</v>
      </c>
      <c r="AF81" s="130">
        <f t="shared" ref="AF81:AF112" si="62">IF( OR( K$10="д",K$10="l"),K$11*LN($B81),  IF( OR( K$10="g",K$10="п"),K$11*$B81*LN($B81),  ($B81^K$10)*K$11))</f>
        <v>0</v>
      </c>
      <c r="AG81" s="130">
        <f t="shared" ref="AG81:AG112" si="63">IF( OR( L$10="д",L$10="l"),L$11*LN($B81),  IF( OR( L$10="g",L$10="п"),L$11*$B81*LN($B81),  ($B81^L$10)*L$11))</f>
        <v>0</v>
      </c>
      <c r="AP81" s="125">
        <f t="shared" si="31"/>
        <v>-4.4719874582603438</v>
      </c>
      <c r="AQ81" s="125">
        <f t="shared" si="41"/>
        <v>-24.23453579831309</v>
      </c>
      <c r="AR81" s="125">
        <f t="shared" si="32"/>
        <v>6.9902929868877095</v>
      </c>
      <c r="AS81" s="125">
        <f t="shared" si="42"/>
        <v>-9.9772897604921695E-3</v>
      </c>
      <c r="AT81" s="125">
        <f t="shared" si="43"/>
        <v>-4302.414097753629</v>
      </c>
      <c r="AU81" s="127">
        <f t="shared" si="44"/>
        <v>126.90244895861534</v>
      </c>
      <c r="AV81" s="125">
        <f t="shared" si="45"/>
        <v>21302.993525615224</v>
      </c>
      <c r="AX81" s="67"/>
    </row>
    <row r="82" spans="1:50" hidden="1" x14ac:dyDescent="0.35">
      <c r="A82" s="181" t="s">
        <v>128</v>
      </c>
      <c r="B82" s="64">
        <f t="shared" ref="B82:B113" si="64">B81+($C$2-$C$1)/$C$48</f>
        <v>478.37837837837878</v>
      </c>
      <c r="C82" s="115">
        <f t="shared" si="35"/>
        <v>4.7837837837837877E-2</v>
      </c>
      <c r="D82" s="340">
        <f t="shared" si="25"/>
        <v>281.27579241266295</v>
      </c>
      <c r="E82" s="137">
        <f t="shared" si="36"/>
        <v>205.7625839952278</v>
      </c>
      <c r="F82" s="127">
        <f t="shared" si="26"/>
        <v>182.84342115008104</v>
      </c>
      <c r="G82" s="137">
        <f t="shared" si="37"/>
        <v>27.028029701393127</v>
      </c>
      <c r="H82" s="340">
        <f t="shared" si="27"/>
        <v>276.80374148258403</v>
      </c>
      <c r="I82" s="137">
        <f t="shared" si="46"/>
        <v>181.52791479812421</v>
      </c>
      <c r="J82" s="127">
        <f t="shared" si="28"/>
        <v>189.96471197104884</v>
      </c>
      <c r="K82" s="137">
        <f t="shared" si="47"/>
        <v>27.014547705253815</v>
      </c>
      <c r="L82" s="137">
        <f t="shared" si="38"/>
        <v>4726.1149037064133</v>
      </c>
      <c r="M82" s="137">
        <f t="shared" si="39"/>
        <v>54.627495935120116</v>
      </c>
      <c r="N82" s="125">
        <f t="shared" si="40"/>
        <v>-21406.498016607828</v>
      </c>
      <c r="O82" s="125"/>
      <c r="Q82" s="130">
        <f t="shared" si="48"/>
        <v>0</v>
      </c>
      <c r="R82" s="130">
        <f t="shared" si="49"/>
        <v>92.539694999999995</v>
      </c>
      <c r="S82" s="130">
        <f t="shared" si="50"/>
        <v>-137.24149439326473</v>
      </c>
      <c r="T82" s="130">
        <f t="shared" si="51"/>
        <v>-11.763324324324335</v>
      </c>
      <c r="U82" s="130">
        <f t="shared" si="52"/>
        <v>1.8376277824689586</v>
      </c>
      <c r="V82" s="130">
        <f t="shared" si="53"/>
        <v>0</v>
      </c>
      <c r="W82" s="130">
        <f t="shared" si="54"/>
        <v>0</v>
      </c>
      <c r="X82" s="130">
        <f t="shared" si="55"/>
        <v>0</v>
      </c>
      <c r="Z82" s="130">
        <f t="shared" si="56"/>
        <v>-6657.6530000000002</v>
      </c>
      <c r="AA82" s="130">
        <f t="shared" si="57"/>
        <v>44268.989229729763</v>
      </c>
      <c r="AB82" s="130">
        <f t="shared" si="58"/>
        <v>-56497.201371913172</v>
      </c>
      <c r="AC82" s="130">
        <f t="shared" si="59"/>
        <v>-2813.660007304607</v>
      </c>
      <c r="AD82" s="130">
        <f t="shared" si="60"/>
        <v>293.02713288018555</v>
      </c>
      <c r="AE82" s="130">
        <f t="shared" si="61"/>
        <v>0</v>
      </c>
      <c r="AF82" s="130">
        <f t="shared" si="62"/>
        <v>0</v>
      </c>
      <c r="AG82" s="130">
        <f t="shared" si="63"/>
        <v>0</v>
      </c>
      <c r="AP82" s="125">
        <f t="shared" si="31"/>
        <v>-4.4720509300789217</v>
      </c>
      <c r="AQ82" s="125">
        <f t="shared" si="41"/>
        <v>-24.234669197103585</v>
      </c>
      <c r="AR82" s="125">
        <f t="shared" si="32"/>
        <v>7.1212908209678005</v>
      </c>
      <c r="AS82" s="125">
        <f t="shared" si="42"/>
        <v>-1.3481996139312002E-2</v>
      </c>
      <c r="AT82" s="125">
        <f t="shared" si="43"/>
        <v>-4449.3111622238293</v>
      </c>
      <c r="AU82" s="127">
        <f t="shared" si="44"/>
        <v>126.90041886300409</v>
      </c>
      <c r="AV82" s="125">
        <f t="shared" si="45"/>
        <v>21596.462728578877</v>
      </c>
      <c r="AX82" s="67"/>
    </row>
    <row r="83" spans="1:50" hidden="1" x14ac:dyDescent="0.35">
      <c r="A83" s="181" t="s">
        <v>128</v>
      </c>
      <c r="B83" s="64">
        <f t="shared" si="64"/>
        <v>483.7837837837842</v>
      </c>
      <c r="C83" s="115">
        <f t="shared" si="35"/>
        <v>4.8378378378378419E-2</v>
      </c>
      <c r="D83" s="340">
        <f t="shared" si="25"/>
        <v>281.42184318218938</v>
      </c>
      <c r="E83" s="137">
        <f t="shared" si="36"/>
        <v>206.0661760525542</v>
      </c>
      <c r="F83" s="127">
        <f t="shared" si="26"/>
        <v>181.73036882162918</v>
      </c>
      <c r="G83" s="137">
        <f t="shared" si="37"/>
        <v>27.010435409875804</v>
      </c>
      <c r="H83" s="340">
        <f t="shared" si="27"/>
        <v>276.94971026055276</v>
      </c>
      <c r="I83" s="137">
        <f t="shared" si="46"/>
        <v>181.83133645696265</v>
      </c>
      <c r="J83" s="127">
        <f t="shared" si="28"/>
        <v>188.982658298941</v>
      </c>
      <c r="K83" s="137">
        <f t="shared" si="47"/>
        <v>26.993608472223421</v>
      </c>
      <c r="L83" s="137">
        <f t="shared" si="38"/>
        <v>4873.427571230146</v>
      </c>
      <c r="M83" s="137">
        <f t="shared" si="39"/>
        <v>54.933710361671139</v>
      </c>
      <c r="N83" s="125">
        <f t="shared" si="40"/>
        <v>-21702.61068482159</v>
      </c>
      <c r="O83" s="125"/>
      <c r="Q83" s="130">
        <f t="shared" si="48"/>
        <v>0</v>
      </c>
      <c r="R83" s="130">
        <f t="shared" si="49"/>
        <v>92.539694999999995</v>
      </c>
      <c r="S83" s="130">
        <f t="shared" si="50"/>
        <v>-137.4565528355937</v>
      </c>
      <c r="T83" s="130">
        <f t="shared" si="51"/>
        <v>-11.896243243243253</v>
      </c>
      <c r="U83" s="130">
        <f t="shared" si="52"/>
        <v>1.8793907171658175</v>
      </c>
      <c r="V83" s="130">
        <f t="shared" si="53"/>
        <v>0</v>
      </c>
      <c r="W83" s="130">
        <f t="shared" si="54"/>
        <v>0</v>
      </c>
      <c r="X83" s="130">
        <f t="shared" si="55"/>
        <v>0</v>
      </c>
      <c r="Z83" s="130">
        <f t="shared" si="56"/>
        <v>-6657.6530000000002</v>
      </c>
      <c r="AA83" s="130">
        <f t="shared" si="57"/>
        <v>44769.203797297334</v>
      </c>
      <c r="AB83" s="130">
        <f t="shared" si="58"/>
        <v>-57239.629615057544</v>
      </c>
      <c r="AC83" s="130">
        <f t="shared" si="59"/>
        <v>-2877.6047845142489</v>
      </c>
      <c r="AD83" s="130">
        <f t="shared" si="60"/>
        <v>303.07291745286631</v>
      </c>
      <c r="AE83" s="130">
        <f t="shared" si="61"/>
        <v>0</v>
      </c>
      <c r="AF83" s="130">
        <f t="shared" si="62"/>
        <v>0</v>
      </c>
      <c r="AG83" s="130">
        <f t="shared" si="63"/>
        <v>0</v>
      </c>
      <c r="AP83" s="125">
        <f t="shared" si="31"/>
        <v>-4.4721329216366144</v>
      </c>
      <c r="AQ83" s="125">
        <f t="shared" si="41"/>
        <v>-24.234839595591552</v>
      </c>
      <c r="AR83" s="125">
        <f t="shared" si="32"/>
        <v>7.2522894773118196</v>
      </c>
      <c r="AS83" s="125">
        <f t="shared" si="42"/>
        <v>-1.6826937652382412E-2</v>
      </c>
      <c r="AT83" s="125">
        <f t="shared" si="43"/>
        <v>-4596.4778609695932</v>
      </c>
      <c r="AU83" s="127">
        <f t="shared" si="44"/>
        <v>126.89762609529151</v>
      </c>
      <c r="AV83" s="125">
        <f t="shared" si="45"/>
        <v>21891.59334312053</v>
      </c>
      <c r="AX83" s="67"/>
    </row>
    <row r="84" spans="1:50" hidden="1" x14ac:dyDescent="0.35">
      <c r="A84" s="181" t="s">
        <v>128</v>
      </c>
      <c r="B84" s="64">
        <f t="shared" si="64"/>
        <v>489.18918918918962</v>
      </c>
      <c r="C84" s="115">
        <f t="shared" si="35"/>
        <v>4.891891891891896E-2</v>
      </c>
      <c r="D84" s="340">
        <f t="shared" si="25"/>
        <v>281.56779375129071</v>
      </c>
      <c r="E84" s="137">
        <f t="shared" si="36"/>
        <v>206.36618884254113</v>
      </c>
      <c r="F84" s="127">
        <f t="shared" si="26"/>
        <v>180.61568515534486</v>
      </c>
      <c r="G84" s="137">
        <f t="shared" si="37"/>
        <v>26.990971420113745</v>
      </c>
      <c r="H84" s="340">
        <f t="shared" si="27"/>
        <v>277.09556122400386</v>
      </c>
      <c r="I84" s="137">
        <f t="shared" si="46"/>
        <v>182.13114453251023</v>
      </c>
      <c r="J84" s="127">
        <f t="shared" si="28"/>
        <v>187.99897430404604</v>
      </c>
      <c r="K84" s="137">
        <f t="shared" si="47"/>
        <v>26.970974680769096</v>
      </c>
      <c r="L84" s="137">
        <f t="shared" si="38"/>
        <v>5021.0046917434447</v>
      </c>
      <c r="M84" s="137">
        <f t="shared" si="39"/>
        <v>55.237065954071767</v>
      </c>
      <c r="N84" s="125">
        <f t="shared" si="40"/>
        <v>-22000.370815518712</v>
      </c>
      <c r="O84" s="125"/>
      <c r="Q84" s="130">
        <f t="shared" si="48"/>
        <v>0</v>
      </c>
      <c r="R84" s="130">
        <f t="shared" si="49"/>
        <v>92.539694999999995</v>
      </c>
      <c r="S84" s="130">
        <f t="shared" si="50"/>
        <v>-137.66922169022953</v>
      </c>
      <c r="T84" s="130">
        <f t="shared" si="51"/>
        <v>-12.029162162162173</v>
      </c>
      <c r="U84" s="130">
        <f t="shared" si="52"/>
        <v>1.9216228983199448</v>
      </c>
      <c r="V84" s="130">
        <f t="shared" si="53"/>
        <v>0</v>
      </c>
      <c r="W84" s="130">
        <f t="shared" si="54"/>
        <v>0</v>
      </c>
      <c r="X84" s="130">
        <f t="shared" si="55"/>
        <v>0</v>
      </c>
      <c r="Z84" s="130">
        <f t="shared" si="56"/>
        <v>-6657.6530000000002</v>
      </c>
      <c r="AA84" s="130">
        <f t="shared" si="57"/>
        <v>45269.418364864905</v>
      </c>
      <c r="AB84" s="130">
        <f t="shared" si="58"/>
        <v>-57983.213853869092</v>
      </c>
      <c r="AC84" s="130">
        <f t="shared" si="59"/>
        <v>-2942.2680423666966</v>
      </c>
      <c r="AD84" s="130">
        <f t="shared" si="60"/>
        <v>313.34571585217151</v>
      </c>
      <c r="AE84" s="130">
        <f t="shared" si="61"/>
        <v>0</v>
      </c>
      <c r="AF84" s="130">
        <f t="shared" si="62"/>
        <v>0</v>
      </c>
      <c r="AG84" s="130">
        <f t="shared" si="63"/>
        <v>0</v>
      </c>
      <c r="AP84" s="125">
        <f t="shared" si="31"/>
        <v>-4.4722325272868488</v>
      </c>
      <c r="AQ84" s="125">
        <f t="shared" si="41"/>
        <v>-24.235044310030901</v>
      </c>
      <c r="AR84" s="125">
        <f t="shared" si="32"/>
        <v>7.3832891487011807</v>
      </c>
      <c r="AS84" s="125">
        <f t="shared" si="42"/>
        <v>-1.9996739344648518E-2</v>
      </c>
      <c r="AT84" s="125">
        <f t="shared" si="43"/>
        <v>-4743.9091305194406</v>
      </c>
      <c r="AU84" s="127">
        <f t="shared" si="44"/>
        <v>126.89407857843847</v>
      </c>
      <c r="AV84" s="125">
        <f t="shared" si="45"/>
        <v>22188.369789822758</v>
      </c>
      <c r="AX84" s="67"/>
    </row>
    <row r="85" spans="1:50" hidden="1" x14ac:dyDescent="0.35">
      <c r="A85" s="181" t="s">
        <v>128</v>
      </c>
      <c r="B85" s="64">
        <f t="shared" si="64"/>
        <v>494.59459459459504</v>
      </c>
      <c r="C85" s="115">
        <f t="shared" si="35"/>
        <v>4.9459459459459502E-2</v>
      </c>
      <c r="D85" s="340">
        <f t="shared" si="25"/>
        <v>281.7136342662385</v>
      </c>
      <c r="E85" s="137">
        <f t="shared" si="36"/>
        <v>206.66268099894648</v>
      </c>
      <c r="F85" s="127">
        <f t="shared" si="26"/>
        <v>179.4993893397324</v>
      </c>
      <c r="G85" s="137">
        <f t="shared" si="37"/>
        <v>26.969730390984115</v>
      </c>
      <c r="H85" s="340">
        <f t="shared" si="27"/>
        <v>277.24128550503633</v>
      </c>
      <c r="I85" s="137">
        <f t="shared" si="46"/>
        <v>182.42740041681526</v>
      </c>
      <c r="J85" s="127">
        <f t="shared" si="28"/>
        <v>187.01367935293572</v>
      </c>
      <c r="K85" s="137">
        <f t="shared" si="47"/>
        <v>26.946753293778688</v>
      </c>
      <c r="L85" s="137">
        <f t="shared" si="38"/>
        <v>5168.8411923116182</v>
      </c>
      <c r="M85" s="137">
        <f t="shared" si="39"/>
        <v>55.537615232336179</v>
      </c>
      <c r="N85" s="125">
        <f t="shared" si="40"/>
        <v>-22299.7630982763</v>
      </c>
      <c r="O85" s="125"/>
      <c r="Q85" s="130">
        <f t="shared" si="48"/>
        <v>0</v>
      </c>
      <c r="R85" s="130">
        <f t="shared" si="49"/>
        <v>92.539694999999995</v>
      </c>
      <c r="S85" s="130">
        <f t="shared" si="50"/>
        <v>-137.87955347718642</v>
      </c>
      <c r="T85" s="130">
        <f t="shared" si="51"/>
        <v>-12.162081081081093</v>
      </c>
      <c r="U85" s="130">
        <f t="shared" si="52"/>
        <v>1.9643243259313399</v>
      </c>
      <c r="V85" s="130">
        <f t="shared" si="53"/>
        <v>0</v>
      </c>
      <c r="W85" s="130">
        <f t="shared" si="54"/>
        <v>0</v>
      </c>
      <c r="X85" s="130">
        <f t="shared" si="55"/>
        <v>0</v>
      </c>
      <c r="Z85" s="130">
        <f t="shared" si="56"/>
        <v>-6657.6530000000002</v>
      </c>
      <c r="AA85" s="130">
        <f t="shared" si="57"/>
        <v>45769.632932432469</v>
      </c>
      <c r="AB85" s="130">
        <f t="shared" si="58"/>
        <v>-58727.941314392257</v>
      </c>
      <c r="AC85" s="130">
        <f t="shared" si="59"/>
        <v>-3007.6497808619483</v>
      </c>
      <c r="AD85" s="130">
        <f t="shared" si="60"/>
        <v>323.84806454543741</v>
      </c>
      <c r="AE85" s="130">
        <f t="shared" si="61"/>
        <v>0</v>
      </c>
      <c r="AF85" s="130">
        <f t="shared" si="62"/>
        <v>0</v>
      </c>
      <c r="AG85" s="130">
        <f t="shared" si="63"/>
        <v>0</v>
      </c>
      <c r="AP85" s="125">
        <f t="shared" si="31"/>
        <v>-4.47234876120217</v>
      </c>
      <c r="AQ85" s="125">
        <f t="shared" si="41"/>
        <v>-24.235280582131224</v>
      </c>
      <c r="AR85" s="125">
        <f t="shared" si="32"/>
        <v>7.5142900132033219</v>
      </c>
      <c r="AS85" s="125">
        <f t="shared" si="42"/>
        <v>-2.2977097205426844E-2</v>
      </c>
      <c r="AT85" s="125">
        <f t="shared" si="43"/>
        <v>-4891.5999068065821</v>
      </c>
      <c r="AU85" s="127">
        <f t="shared" si="44"/>
        <v>126.88978518447908</v>
      </c>
      <c r="AV85" s="125">
        <f t="shared" si="45"/>
        <v>22486.776777629235</v>
      </c>
      <c r="AX85" s="67"/>
    </row>
    <row r="86" spans="1:50" hidden="1" x14ac:dyDescent="0.35">
      <c r="A86" s="181" t="s">
        <v>128</v>
      </c>
      <c r="B86" s="64">
        <f t="shared" si="64"/>
        <v>500.00000000000045</v>
      </c>
      <c r="C86" s="115">
        <f t="shared" si="35"/>
        <v>5.0000000000000044E-2</v>
      </c>
      <c r="D86" s="340">
        <f t="shared" si="25"/>
        <v>281.85935536055092</v>
      </c>
      <c r="E86" s="137">
        <f t="shared" si="36"/>
        <v>206.95571022336031</v>
      </c>
      <c r="F86" s="127">
        <f t="shared" si="26"/>
        <v>178.38150024887062</v>
      </c>
      <c r="G86" s="137">
        <f t="shared" si="37"/>
        <v>26.946800000000007</v>
      </c>
      <c r="H86" s="340">
        <f t="shared" si="27"/>
        <v>277.38687479757755</v>
      </c>
      <c r="I86" s="137">
        <f t="shared" si="46"/>
        <v>182.72016462979971</v>
      </c>
      <c r="J86" s="127">
        <f t="shared" si="28"/>
        <v>186.02679248267759</v>
      </c>
      <c r="K86" s="137">
        <f t="shared" si="47"/>
        <v>26.921045290919995</v>
      </c>
      <c r="L86" s="137">
        <f t="shared" si="38"/>
        <v>5316.9320000000116</v>
      </c>
      <c r="M86" s="137">
        <f t="shared" si="39"/>
        <v>55.835409003800777</v>
      </c>
      <c r="N86" s="125">
        <f t="shared" si="40"/>
        <v>-22600.772501900403</v>
      </c>
      <c r="O86" s="125"/>
      <c r="Q86" s="130">
        <f t="shared" si="48"/>
        <v>0</v>
      </c>
      <c r="R86" s="130">
        <f t="shared" si="49"/>
        <v>92.539694999999995</v>
      </c>
      <c r="S86" s="130">
        <f t="shared" si="50"/>
        <v>-138.08759900380076</v>
      </c>
      <c r="T86" s="130">
        <f t="shared" si="51"/>
        <v>-12.295000000000012</v>
      </c>
      <c r="U86" s="130">
        <f t="shared" si="52"/>
        <v>2.0074950000000036</v>
      </c>
      <c r="V86" s="130">
        <f t="shared" si="53"/>
        <v>0</v>
      </c>
      <c r="W86" s="130">
        <f t="shared" si="54"/>
        <v>0</v>
      </c>
      <c r="X86" s="130">
        <f t="shared" si="55"/>
        <v>0</v>
      </c>
      <c r="Z86" s="130">
        <f t="shared" si="56"/>
        <v>-6657.6530000000002</v>
      </c>
      <c r="AA86" s="130">
        <f t="shared" si="57"/>
        <v>46269.84750000004</v>
      </c>
      <c r="AB86" s="130">
        <f t="shared" si="58"/>
        <v>-59473.799501900437</v>
      </c>
      <c r="AC86" s="130">
        <f t="shared" si="59"/>
        <v>-3073.7500000000059</v>
      </c>
      <c r="AD86" s="130">
        <f t="shared" si="60"/>
        <v>334.58250000000089</v>
      </c>
      <c r="AE86" s="130">
        <f t="shared" si="61"/>
        <v>0</v>
      </c>
      <c r="AF86" s="130">
        <f t="shared" si="62"/>
        <v>0</v>
      </c>
      <c r="AG86" s="130">
        <f t="shared" si="63"/>
        <v>0</v>
      </c>
      <c r="AP86" s="125">
        <f t="shared" si="31"/>
        <v>-4.4724805629733737</v>
      </c>
      <c r="AQ86" s="125">
        <f t="shared" si="41"/>
        <v>-24.235545593560602</v>
      </c>
      <c r="AR86" s="125">
        <f t="shared" si="32"/>
        <v>7.6452922338069698</v>
      </c>
      <c r="AS86" s="125">
        <f t="shared" si="42"/>
        <v>-2.5754709080011651E-2</v>
      </c>
      <c r="AT86" s="125">
        <f t="shared" si="43"/>
        <v>-5039.5451252024341</v>
      </c>
      <c r="AU86" s="127">
        <f t="shared" si="44"/>
        <v>126.88475562599893</v>
      </c>
      <c r="AV86" s="125">
        <f t="shared" si="45"/>
        <v>22786.79929438308</v>
      </c>
      <c r="AX86" s="67"/>
    </row>
    <row r="87" spans="1:50" hidden="1" x14ac:dyDescent="0.35">
      <c r="A87" s="181" t="s">
        <v>128</v>
      </c>
      <c r="B87" s="64">
        <f t="shared" si="64"/>
        <v>505.40540540540587</v>
      </c>
      <c r="C87" s="115">
        <f t="shared" si="35"/>
        <v>5.0540540540540586E-2</v>
      </c>
      <c r="D87" s="340">
        <f t="shared" si="25"/>
        <v>282.00494812893714</v>
      </c>
      <c r="E87" s="137">
        <f t="shared" si="36"/>
        <v>207.24533327346234</v>
      </c>
      <c r="F87" s="127">
        <f t="shared" si="26"/>
        <v>177.26203644748441</v>
      </c>
      <c r="G87" s="137">
        <f t="shared" si="37"/>
        <v>26.92226326124813</v>
      </c>
      <c r="H87" s="340">
        <f t="shared" si="27"/>
        <v>277.53232132608645</v>
      </c>
      <c r="I87" s="137">
        <f t="shared" si="46"/>
        <v>183.00949679450861</v>
      </c>
      <c r="J87" s="127">
        <f t="shared" si="28"/>
        <v>185.03833240561846</v>
      </c>
      <c r="K87" s="137">
        <f t="shared" si="47"/>
        <v>26.893946050522345</v>
      </c>
      <c r="L87" s="137">
        <f t="shared" si="38"/>
        <v>5465.2720418739409</v>
      </c>
      <c r="M87" s="137">
        <f t="shared" si="39"/>
        <v>56.130496436791425</v>
      </c>
      <c r="N87" s="125">
        <f t="shared" si="40"/>
        <v>-22903.384265369321</v>
      </c>
      <c r="O87" s="125"/>
      <c r="Q87" s="130">
        <f t="shared" si="48"/>
        <v>0</v>
      </c>
      <c r="R87" s="130">
        <f t="shared" si="49"/>
        <v>92.539694999999995</v>
      </c>
      <c r="S87" s="130">
        <f t="shared" si="50"/>
        <v>-138.29340743839842</v>
      </c>
      <c r="T87" s="130">
        <f t="shared" si="51"/>
        <v>-12.42791891891893</v>
      </c>
      <c r="U87" s="130">
        <f t="shared" si="52"/>
        <v>2.0511349205259353</v>
      </c>
      <c r="V87" s="130">
        <f t="shared" si="53"/>
        <v>0</v>
      </c>
      <c r="W87" s="130">
        <f t="shared" si="54"/>
        <v>0</v>
      </c>
      <c r="X87" s="130">
        <f t="shared" si="55"/>
        <v>0</v>
      </c>
      <c r="Z87" s="130">
        <f t="shared" si="56"/>
        <v>-6657.6530000000002</v>
      </c>
      <c r="AA87" s="130">
        <f t="shared" si="57"/>
        <v>46770.062067567611</v>
      </c>
      <c r="AB87" s="130">
        <f t="shared" si="58"/>
        <v>-60220.776191839264</v>
      </c>
      <c r="AC87" s="130">
        <f t="shared" si="59"/>
        <v>-3140.568699780868</v>
      </c>
      <c r="AD87" s="130">
        <f t="shared" si="60"/>
        <v>345.55155868319838</v>
      </c>
      <c r="AE87" s="130">
        <f t="shared" si="61"/>
        <v>0</v>
      </c>
      <c r="AF87" s="130">
        <f t="shared" si="62"/>
        <v>0</v>
      </c>
      <c r="AG87" s="130">
        <f t="shared" si="63"/>
        <v>0</v>
      </c>
      <c r="AP87" s="125">
        <f t="shared" si="31"/>
        <v>-4.4726268028506979</v>
      </c>
      <c r="AQ87" s="125">
        <f t="shared" si="41"/>
        <v>-24.235836478953729</v>
      </c>
      <c r="AR87" s="125">
        <f t="shared" si="32"/>
        <v>7.7762959581340567</v>
      </c>
      <c r="AS87" s="125">
        <f t="shared" si="42"/>
        <v>-2.8317210725784747E-2</v>
      </c>
      <c r="AT87" s="125">
        <f t="shared" si="43"/>
        <v>-5187.7397205478546</v>
      </c>
      <c r="AU87" s="127">
        <f t="shared" si="44"/>
        <v>126.87900035771719</v>
      </c>
      <c r="AV87" s="125">
        <f t="shared" si="45"/>
        <v>23088.422597774941</v>
      </c>
      <c r="AX87" s="67"/>
    </row>
    <row r="88" spans="1:50" hidden="1" x14ac:dyDescent="0.35">
      <c r="A88" s="181" t="s">
        <v>128</v>
      </c>
      <c r="B88" s="64">
        <f t="shared" si="64"/>
        <v>510.81081081081129</v>
      </c>
      <c r="C88" s="115">
        <f t="shared" si="35"/>
        <v>5.1081081081081128E-2</v>
      </c>
      <c r="D88" s="340">
        <f t="shared" si="25"/>
        <v>282.15040410289566</v>
      </c>
      <c r="E88" s="137">
        <f t="shared" si="36"/>
        <v>207.53160595516081</v>
      </c>
      <c r="F88" s="127">
        <f t="shared" si="26"/>
        <v>176.14101619607024</v>
      </c>
      <c r="G88" s="137">
        <f t="shared" si="37"/>
        <v>26.896198819901389</v>
      </c>
      <c r="H88" s="340">
        <f t="shared" si="27"/>
        <v>277.67761781624461</v>
      </c>
      <c r="I88" s="137">
        <f t="shared" si="46"/>
        <v>183.29545561758775</v>
      </c>
      <c r="J88" s="127">
        <f t="shared" si="28"/>
        <v>184.04831751428753</v>
      </c>
      <c r="K88" s="137">
        <f t="shared" si="47"/>
        <v>26.865545703321729</v>
      </c>
      <c r="L88" s="137">
        <f t="shared" si="38"/>
        <v>5613.8562449987221</v>
      </c>
      <c r="M88" s="137">
        <f t="shared" si="39"/>
        <v>56.422925130371915</v>
      </c>
      <c r="N88" s="125">
        <f t="shared" si="40"/>
        <v>-23207.583889164256</v>
      </c>
      <c r="O88" s="125"/>
      <c r="Q88" s="130">
        <f t="shared" si="48"/>
        <v>0</v>
      </c>
      <c r="R88" s="130">
        <f t="shared" si="49"/>
        <v>92.539694999999995</v>
      </c>
      <c r="S88" s="130">
        <f t="shared" si="50"/>
        <v>-138.4970263800432</v>
      </c>
      <c r="T88" s="130">
        <f t="shared" si="51"/>
        <v>-12.56083783783785</v>
      </c>
      <c r="U88" s="130">
        <f t="shared" si="52"/>
        <v>2.0952440875091347</v>
      </c>
      <c r="V88" s="130">
        <f t="shared" si="53"/>
        <v>0</v>
      </c>
      <c r="W88" s="130">
        <f t="shared" si="54"/>
        <v>0</v>
      </c>
      <c r="X88" s="130">
        <f t="shared" si="55"/>
        <v>0</v>
      </c>
      <c r="Z88" s="130">
        <f t="shared" si="56"/>
        <v>-6657.6530000000002</v>
      </c>
      <c r="AA88" s="130">
        <f t="shared" si="57"/>
        <v>47270.276635135175</v>
      </c>
      <c r="AB88" s="130">
        <f t="shared" si="58"/>
        <v>-60968.859421157264</v>
      </c>
      <c r="AC88" s="130">
        <f t="shared" si="59"/>
        <v>-3208.105880204535</v>
      </c>
      <c r="AD88" s="130">
        <f t="shared" si="60"/>
        <v>356.75777706236647</v>
      </c>
      <c r="AE88" s="130">
        <f t="shared" si="61"/>
        <v>0</v>
      </c>
      <c r="AF88" s="130">
        <f t="shared" si="62"/>
        <v>0</v>
      </c>
      <c r="AG88" s="130">
        <f t="shared" si="63"/>
        <v>0</v>
      </c>
      <c r="AP88" s="125">
        <f t="shared" si="31"/>
        <v>-4.4727862866510577</v>
      </c>
      <c r="AQ88" s="125">
        <f t="shared" si="41"/>
        <v>-24.236150337573065</v>
      </c>
      <c r="AR88" s="125">
        <f t="shared" si="32"/>
        <v>7.9073013182172929</v>
      </c>
      <c r="AS88" s="125">
        <f t="shared" si="42"/>
        <v>-3.0653116579660633E-2</v>
      </c>
      <c r="AT88" s="125">
        <f t="shared" si="43"/>
        <v>-5336.1786271824776</v>
      </c>
      <c r="AU88" s="127">
        <f t="shared" si="44"/>
        <v>126.87253048721584</v>
      </c>
      <c r="AV88" s="125">
        <f t="shared" si="45"/>
        <v>23391.632206678543</v>
      </c>
      <c r="AX88" s="67"/>
    </row>
    <row r="89" spans="1:50" hidden="1" x14ac:dyDescent="0.35">
      <c r="A89" s="181" t="s">
        <v>128</v>
      </c>
      <c r="B89" s="64">
        <f t="shared" si="64"/>
        <v>516.21621621621671</v>
      </c>
      <c r="C89" s="115">
        <f t="shared" si="35"/>
        <v>5.162162162162167E-2</v>
      </c>
      <c r="D89" s="340">
        <f t="shared" si="25"/>
        <v>282.29571522784551</v>
      </c>
      <c r="E89" s="137">
        <f t="shared" si="36"/>
        <v>207.8145831181308</v>
      </c>
      <c r="F89" s="127">
        <f t="shared" si="26"/>
        <v>175.01845745605357</v>
      </c>
      <c r="G89" s="137">
        <f t="shared" si="37"/>
        <v>26.868681225258118</v>
      </c>
      <c r="H89" s="340">
        <f t="shared" si="27"/>
        <v>277.8227574674882</v>
      </c>
      <c r="I89" s="137">
        <f t="shared" si="46"/>
        <v>183.57809887437458</v>
      </c>
      <c r="J89" s="127">
        <f t="shared" si="28"/>
        <v>183.05676588639204</v>
      </c>
      <c r="K89" s="137">
        <f t="shared" si="47"/>
        <v>26.835929460413976</v>
      </c>
      <c r="L89" s="137">
        <f t="shared" si="38"/>
        <v>5762.6795364397185</v>
      </c>
      <c r="M89" s="137">
        <f t="shared" si="39"/>
        <v>56.712741180421304</v>
      </c>
      <c r="N89" s="125">
        <f t="shared" si="40"/>
        <v>-23513.357126966981</v>
      </c>
      <c r="O89" s="125"/>
      <c r="Q89" s="130">
        <f t="shared" si="48"/>
        <v>0</v>
      </c>
      <c r="R89" s="130">
        <f t="shared" si="49"/>
        <v>92.539694999999995</v>
      </c>
      <c r="S89" s="130">
        <f t="shared" si="50"/>
        <v>-138.69850192461413</v>
      </c>
      <c r="T89" s="130">
        <f t="shared" si="51"/>
        <v>-12.69375675675677</v>
      </c>
      <c r="U89" s="130">
        <f t="shared" si="52"/>
        <v>2.1398225009496024</v>
      </c>
      <c r="V89" s="130">
        <f t="shared" si="53"/>
        <v>0</v>
      </c>
      <c r="W89" s="130">
        <f t="shared" si="54"/>
        <v>0</v>
      </c>
      <c r="X89" s="130">
        <f t="shared" si="55"/>
        <v>0</v>
      </c>
      <c r="Z89" s="130">
        <f t="shared" si="56"/>
        <v>-6657.6530000000002</v>
      </c>
      <c r="AA89" s="130">
        <f t="shared" si="57"/>
        <v>47770.491202702746</v>
      </c>
      <c r="AB89" s="130">
        <f t="shared" si="58"/>
        <v>-61718.037480003564</v>
      </c>
      <c r="AC89" s="130">
        <f t="shared" si="59"/>
        <v>-3276.3615412710069</v>
      </c>
      <c r="AD89" s="130">
        <f t="shared" si="60"/>
        <v>368.20369160484182</v>
      </c>
      <c r="AE89" s="130">
        <f t="shared" si="61"/>
        <v>0</v>
      </c>
      <c r="AF89" s="130">
        <f t="shared" si="62"/>
        <v>0</v>
      </c>
      <c r="AG89" s="130">
        <f t="shared" si="63"/>
        <v>0</v>
      </c>
      <c r="AP89" s="125">
        <f t="shared" si="31"/>
        <v>-4.4729577603573034</v>
      </c>
      <c r="AQ89" s="125">
        <f t="shared" si="41"/>
        <v>-24.236484243756223</v>
      </c>
      <c r="AR89" s="125">
        <f t="shared" si="32"/>
        <v>8.0383084303384749</v>
      </c>
      <c r="AS89" s="125">
        <f t="shared" si="42"/>
        <v>-3.2751764844142883E-2</v>
      </c>
      <c r="AT89" s="125">
        <f t="shared" si="43"/>
        <v>-5484.8567789722301</v>
      </c>
      <c r="AU89" s="127">
        <f t="shared" si="44"/>
        <v>126.86535769395327</v>
      </c>
      <c r="AV89" s="125">
        <f t="shared" si="45"/>
        <v>23696.413892853372</v>
      </c>
      <c r="AX89" s="67"/>
    </row>
    <row r="90" spans="1:50" hidden="1" x14ac:dyDescent="0.35">
      <c r="A90" s="181" t="s">
        <v>128</v>
      </c>
      <c r="B90" s="64">
        <f t="shared" si="64"/>
        <v>521.62162162162213</v>
      </c>
      <c r="C90" s="115">
        <f t="shared" si="35"/>
        <v>5.2162162162162212E-2</v>
      </c>
      <c r="D90" s="340">
        <f t="shared" si="25"/>
        <v>282.44087384167977</v>
      </c>
      <c r="E90" s="137">
        <f t="shared" si="36"/>
        <v>208.09431865432532</v>
      </c>
      <c r="F90" s="127">
        <f t="shared" si="26"/>
        <v>173.89437789496401</v>
      </c>
      <c r="G90" s="137">
        <f t="shared" si="37"/>
        <v>26.839781184078934</v>
      </c>
      <c r="H90" s="340">
        <f t="shared" si="27"/>
        <v>277.96773392724799</v>
      </c>
      <c r="I90" s="137">
        <f t="shared" si="46"/>
        <v>183.85748339805806</v>
      </c>
      <c r="J90" s="127">
        <f t="shared" si="28"/>
        <v>182.06369528988247</v>
      </c>
      <c r="K90" s="137">
        <f t="shared" si="47"/>
        <v>26.805177917542874</v>
      </c>
      <c r="L90" s="137">
        <f t="shared" si="38"/>
        <v>5911.7368432622097</v>
      </c>
      <c r="M90" s="137">
        <f t="shared" si="39"/>
        <v>56.999989242269493</v>
      </c>
      <c r="N90" s="125">
        <f t="shared" si="40"/>
        <v>-23820.68997770542</v>
      </c>
      <c r="O90" s="125"/>
      <c r="Q90" s="130">
        <f t="shared" si="48"/>
        <v>0</v>
      </c>
      <c r="R90" s="130">
        <f t="shared" si="49"/>
        <v>92.539694999999995</v>
      </c>
      <c r="S90" s="130">
        <f t="shared" si="50"/>
        <v>-138.89787872744114</v>
      </c>
      <c r="T90" s="130">
        <f t="shared" si="51"/>
        <v>-12.826675675675688</v>
      </c>
      <c r="U90" s="130">
        <f t="shared" si="52"/>
        <v>2.1848701608473382</v>
      </c>
      <c r="V90" s="130">
        <f t="shared" si="53"/>
        <v>0</v>
      </c>
      <c r="W90" s="130">
        <f t="shared" si="54"/>
        <v>0</v>
      </c>
      <c r="X90" s="130">
        <f t="shared" si="55"/>
        <v>0</v>
      </c>
      <c r="Z90" s="130">
        <f t="shared" si="56"/>
        <v>-6657.6530000000002</v>
      </c>
      <c r="AA90" s="130">
        <f t="shared" si="57"/>
        <v>48270.705770270317</v>
      </c>
      <c r="AB90" s="130">
        <f t="shared" si="58"/>
        <v>-62468.298903773415</v>
      </c>
      <c r="AC90" s="130">
        <f t="shared" si="59"/>
        <v>-3345.3356829802842</v>
      </c>
      <c r="AD90" s="130">
        <f t="shared" si="60"/>
        <v>379.89183877796097</v>
      </c>
      <c r="AE90" s="130">
        <f t="shared" si="61"/>
        <v>0</v>
      </c>
      <c r="AF90" s="130">
        <f t="shared" si="62"/>
        <v>0</v>
      </c>
      <c r="AG90" s="130">
        <f t="shared" si="63"/>
        <v>0</v>
      </c>
      <c r="AP90" s="125">
        <f t="shared" si="31"/>
        <v>-4.4731399144317834</v>
      </c>
      <c r="AQ90" s="125">
        <f t="shared" si="41"/>
        <v>-24.236835256267256</v>
      </c>
      <c r="AR90" s="125">
        <f t="shared" si="32"/>
        <v>8.1693173949184654</v>
      </c>
      <c r="AS90" s="125">
        <f t="shared" si="42"/>
        <v>-3.4603266536059607E-2</v>
      </c>
      <c r="AT90" s="125">
        <f t="shared" si="43"/>
        <v>-5633.7691093349622</v>
      </c>
      <c r="AU90" s="127">
        <f t="shared" si="44"/>
        <v>126.85749415578857</v>
      </c>
      <c r="AV90" s="125">
        <f t="shared" si="45"/>
        <v>24002.753672995303</v>
      </c>
      <c r="AX90" s="67"/>
    </row>
    <row r="91" spans="1:50" hidden="1" x14ac:dyDescent="0.35">
      <c r="A91" s="181" t="s">
        <v>128</v>
      </c>
      <c r="B91" s="64">
        <f t="shared" si="64"/>
        <v>527.02702702702754</v>
      </c>
      <c r="C91" s="115">
        <f t="shared" si="35"/>
        <v>5.2702702702702754E-2</v>
      </c>
      <c r="D91" s="340">
        <f t="shared" si="25"/>
        <v>282.58587265463888</v>
      </c>
      <c r="E91" s="137">
        <f t="shared" si="36"/>
        <v>208.37086549908057</v>
      </c>
      <c r="F91" s="127">
        <f t="shared" si="26"/>
        <v>172.76879489160976</v>
      </c>
      <c r="G91" s="137">
        <f t="shared" si="37"/>
        <v>26.809565795829414</v>
      </c>
      <c r="H91" s="340">
        <f t="shared" si="27"/>
        <v>278.11254126677443</v>
      </c>
      <c r="I91" s="137">
        <f t="shared" si="46"/>
        <v>184.13366507242043</v>
      </c>
      <c r="J91" s="127">
        <f t="shared" si="28"/>
        <v>181.06912318806621</v>
      </c>
      <c r="K91" s="137">
        <f t="shared" si="47"/>
        <v>26.773367337655099</v>
      </c>
      <c r="L91" s="137">
        <f t="shared" si="38"/>
        <v>6061.0230925315482</v>
      </c>
      <c r="M91" s="137">
        <f t="shared" si="39"/>
        <v>57.284712590104007</v>
      </c>
      <c r="N91" s="125">
        <f t="shared" si="40"/>
        <v>-24129.568677928703</v>
      </c>
      <c r="O91" s="125"/>
      <c r="Q91" s="130">
        <f t="shared" si="48"/>
        <v>0</v>
      </c>
      <c r="R91" s="130">
        <f t="shared" si="49"/>
        <v>92.539694999999995</v>
      </c>
      <c r="S91" s="130">
        <f t="shared" si="50"/>
        <v>-139.09520006271174</v>
      </c>
      <c r="T91" s="130">
        <f t="shared" si="51"/>
        <v>-12.959594594594607</v>
      </c>
      <c r="U91" s="130">
        <f t="shared" si="52"/>
        <v>2.2303870672023418</v>
      </c>
      <c r="V91" s="130">
        <f t="shared" si="53"/>
        <v>0</v>
      </c>
      <c r="W91" s="130">
        <f t="shared" si="54"/>
        <v>0</v>
      </c>
      <c r="X91" s="130">
        <f t="shared" si="55"/>
        <v>0</v>
      </c>
      <c r="Z91" s="130">
        <f t="shared" si="56"/>
        <v>-6657.6530000000002</v>
      </c>
      <c r="AA91" s="130">
        <f t="shared" si="57"/>
        <v>48770.920337837881</v>
      </c>
      <c r="AB91" s="130">
        <f t="shared" si="58"/>
        <v>-63219.632465483279</v>
      </c>
      <c r="AC91" s="130">
        <f t="shared" si="59"/>
        <v>-3415.028305332366</v>
      </c>
      <c r="AD91" s="130">
        <f t="shared" si="60"/>
        <v>391.82475504906034</v>
      </c>
      <c r="AE91" s="130">
        <f t="shared" si="61"/>
        <v>0</v>
      </c>
      <c r="AF91" s="130">
        <f t="shared" si="62"/>
        <v>0</v>
      </c>
      <c r="AG91" s="130">
        <f t="shared" si="63"/>
        <v>0</v>
      </c>
      <c r="AP91" s="125">
        <f t="shared" si="31"/>
        <v>-4.4733313878644481</v>
      </c>
      <c r="AQ91" s="125">
        <f t="shared" si="41"/>
        <v>-24.237200426660138</v>
      </c>
      <c r="AR91" s="125">
        <f t="shared" si="32"/>
        <v>8.3003282964564562</v>
      </c>
      <c r="AS91" s="125">
        <f t="shared" si="42"/>
        <v>-3.6198458174315107E-2</v>
      </c>
      <c r="AT91" s="125">
        <f t="shared" si="43"/>
        <v>-5782.9105512647739</v>
      </c>
      <c r="AU91" s="127">
        <f t="shared" si="44"/>
        <v>126.84895248231642</v>
      </c>
      <c r="AV91" s="125">
        <f t="shared" si="45"/>
        <v>24310.637801116769</v>
      </c>
      <c r="AX91" s="67"/>
    </row>
    <row r="92" spans="1:50" hidden="1" x14ac:dyDescent="0.35">
      <c r="A92" s="181" t="s">
        <v>128</v>
      </c>
      <c r="B92" s="64">
        <f t="shared" si="64"/>
        <v>532.43243243243296</v>
      </c>
      <c r="C92" s="115">
        <f t="shared" si="35"/>
        <v>5.3243243243243296E-2</v>
      </c>
      <c r="D92" s="340">
        <f t="shared" si="25"/>
        <v>282.73070473040917</v>
      </c>
      <c r="E92" s="137">
        <f t="shared" si="36"/>
        <v>208.64427563447961</v>
      </c>
      <c r="F92" s="127">
        <f t="shared" si="26"/>
        <v>171.64172554124013</v>
      </c>
      <c r="G92" s="137">
        <f t="shared" si="37"/>
        <v>26.778098771290637</v>
      </c>
      <c r="H92" s="340">
        <f t="shared" si="27"/>
        <v>278.2571739584356</v>
      </c>
      <c r="I92" s="137">
        <f t="shared" si="46"/>
        <v>184.40669882773</v>
      </c>
      <c r="J92" s="127">
        <f t="shared" si="28"/>
        <v>180.07306674475217</v>
      </c>
      <c r="K92" s="137">
        <f t="shared" si="47"/>
        <v>26.740569913477803</v>
      </c>
      <c r="L92" s="137">
        <f t="shared" si="38"/>
        <v>6210.5332113130607</v>
      </c>
      <c r="M92" s="137">
        <f t="shared" si="39"/>
        <v>57.566953173345645</v>
      </c>
      <c r="N92" s="125">
        <f t="shared" si="40"/>
        <v>-24439.979694495327</v>
      </c>
      <c r="O92" s="125"/>
      <c r="Q92" s="130">
        <f t="shared" si="48"/>
        <v>0</v>
      </c>
      <c r="R92" s="130">
        <f t="shared" si="49"/>
        <v>92.539694999999995</v>
      </c>
      <c r="S92" s="130">
        <f t="shared" si="50"/>
        <v>-139.29050787984673</v>
      </c>
      <c r="T92" s="130">
        <f t="shared" si="51"/>
        <v>-13.092513513513527</v>
      </c>
      <c r="U92" s="130">
        <f t="shared" si="52"/>
        <v>2.2763732200146136</v>
      </c>
      <c r="V92" s="130">
        <f t="shared" si="53"/>
        <v>0</v>
      </c>
      <c r="W92" s="130">
        <f t="shared" si="54"/>
        <v>0</v>
      </c>
      <c r="X92" s="130">
        <f t="shared" si="55"/>
        <v>0</v>
      </c>
      <c r="Z92" s="130">
        <f t="shared" si="56"/>
        <v>-6657.6530000000002</v>
      </c>
      <c r="AA92" s="130">
        <f t="shared" si="57"/>
        <v>49271.134905405452</v>
      </c>
      <c r="AB92" s="130">
        <f t="shared" si="58"/>
        <v>-63972.027168459004</v>
      </c>
      <c r="AC92" s="130">
        <f t="shared" si="59"/>
        <v>-3485.4394083272527</v>
      </c>
      <c r="AD92" s="130">
        <f t="shared" si="60"/>
        <v>404.00497688547682</v>
      </c>
      <c r="AE92" s="130">
        <f t="shared" si="61"/>
        <v>0</v>
      </c>
      <c r="AF92" s="130">
        <f t="shared" si="62"/>
        <v>0</v>
      </c>
      <c r="AG92" s="130">
        <f t="shared" si="63"/>
        <v>0</v>
      </c>
      <c r="AP92" s="125">
        <f t="shared" si="31"/>
        <v>-4.4735307719735715</v>
      </c>
      <c r="AQ92" s="125">
        <f t="shared" si="41"/>
        <v>-24.237576806749615</v>
      </c>
      <c r="AR92" s="125">
        <f t="shared" si="32"/>
        <v>8.4313412035120336</v>
      </c>
      <c r="AS92" s="125">
        <f t="shared" si="42"/>
        <v>-3.7528857812834104E-2</v>
      </c>
      <c r="AT92" s="125">
        <f t="shared" si="43"/>
        <v>-5932.2760373546253</v>
      </c>
      <c r="AU92" s="127">
        <f t="shared" si="44"/>
        <v>126.83974565438436</v>
      </c>
      <c r="AV92" s="125">
        <f t="shared" si="45"/>
        <v>24620.05276124008</v>
      </c>
      <c r="AX92" s="67"/>
    </row>
    <row r="93" spans="1:50" hidden="1" x14ac:dyDescent="0.35">
      <c r="A93" s="181" t="s">
        <v>128</v>
      </c>
      <c r="B93" s="64">
        <f t="shared" si="64"/>
        <v>537.83783783783838</v>
      </c>
      <c r="C93" s="115">
        <f t="shared" si="35"/>
        <v>5.3783783783783838E-2</v>
      </c>
      <c r="D93" s="340">
        <f t="shared" si="25"/>
        <v>282.87536346836259</v>
      </c>
      <c r="E93" s="137">
        <f t="shared" si="36"/>
        <v>208.91460009467602</v>
      </c>
      <c r="F93" s="127">
        <f t="shared" si="26"/>
        <v>170.51318666068536</v>
      </c>
      <c r="G93" s="137">
        <f t="shared" si="37"/>
        <v>26.745440635867986</v>
      </c>
      <c r="H93" s="340">
        <f t="shared" si="27"/>
        <v>278.40162685438378</v>
      </c>
      <c r="I93" s="137">
        <f t="shared" si="46"/>
        <v>184.67663863939933</v>
      </c>
      <c r="J93" s="127">
        <f t="shared" si="28"/>
        <v>179.07554282940941</v>
      </c>
      <c r="K93" s="137">
        <f t="shared" si="47"/>
        <v>26.70685401171713</v>
      </c>
      <c r="L93" s="137">
        <f t="shared" si="38"/>
        <v>6360.262126672078</v>
      </c>
      <c r="M93" s="137">
        <f t="shared" si="39"/>
        <v>57.846751670176708</v>
      </c>
      <c r="N93" s="125">
        <f t="shared" si="40"/>
        <v>-24751.90971755813</v>
      </c>
      <c r="O93" s="125"/>
      <c r="Q93" s="130">
        <f t="shared" si="48"/>
        <v>0</v>
      </c>
      <c r="R93" s="130">
        <f t="shared" si="49"/>
        <v>92.539694999999995</v>
      </c>
      <c r="S93" s="130">
        <f t="shared" si="50"/>
        <v>-139.48384285702841</v>
      </c>
      <c r="T93" s="130">
        <f t="shared" si="51"/>
        <v>-13.225432432432447</v>
      </c>
      <c r="U93" s="130">
        <f t="shared" si="52"/>
        <v>2.3228286192841536</v>
      </c>
      <c r="V93" s="130">
        <f t="shared" si="53"/>
        <v>0</v>
      </c>
      <c r="W93" s="130">
        <f t="shared" si="54"/>
        <v>0</v>
      </c>
      <c r="X93" s="130">
        <f t="shared" si="55"/>
        <v>0</v>
      </c>
      <c r="Z93" s="130">
        <f t="shared" si="56"/>
        <v>-6657.6530000000002</v>
      </c>
      <c r="AA93" s="130">
        <f t="shared" si="57"/>
        <v>49771.349472973023</v>
      </c>
      <c r="AB93" s="130">
        <f t="shared" si="58"/>
        <v>-64725.472239320756</v>
      </c>
      <c r="AC93" s="130">
        <f t="shared" si="59"/>
        <v>-3556.5689919649453</v>
      </c>
      <c r="AD93" s="130">
        <f t="shared" si="60"/>
        <v>416.43504075454689</v>
      </c>
      <c r="AE93" s="130">
        <f t="shared" si="61"/>
        <v>0</v>
      </c>
      <c r="AF93" s="130">
        <f t="shared" si="62"/>
        <v>0</v>
      </c>
      <c r="AG93" s="130">
        <f t="shared" si="63"/>
        <v>0</v>
      </c>
      <c r="AP93" s="125">
        <f t="shared" si="31"/>
        <v>-4.4737366139788151</v>
      </c>
      <c r="AQ93" s="125">
        <f t="shared" si="41"/>
        <v>-24.23796145527669</v>
      </c>
      <c r="AR93" s="125">
        <f t="shared" si="32"/>
        <v>8.562356168724051</v>
      </c>
      <c r="AS93" s="125">
        <f t="shared" si="42"/>
        <v>-3.8586624150855897E-2</v>
      </c>
      <c r="AT93" s="125">
        <f t="shared" si="43"/>
        <v>-6081.8604998176943</v>
      </c>
      <c r="AU93" s="127">
        <f t="shared" si="44"/>
        <v>126.82988696922263</v>
      </c>
      <c r="AV93" s="125">
        <f t="shared" si="45"/>
        <v>24930.985260387541</v>
      </c>
      <c r="AX93" s="67"/>
    </row>
    <row r="94" spans="1:50" hidden="1" x14ac:dyDescent="0.35">
      <c r="A94" s="181" t="s">
        <v>128</v>
      </c>
      <c r="B94" s="64">
        <f t="shared" si="64"/>
        <v>543.2432432432438</v>
      </c>
      <c r="C94" s="115">
        <f t="shared" si="35"/>
        <v>5.432432432432438E-2</v>
      </c>
      <c r="D94" s="340">
        <f t="shared" si="25"/>
        <v>283.01984258685519</v>
      </c>
      <c r="E94" s="137">
        <f t="shared" si="36"/>
        <v>209.1818889729135</v>
      </c>
      <c r="F94" s="127">
        <f t="shared" si="26"/>
        <v>169.38319479346154</v>
      </c>
      <c r="G94" s="137">
        <f t="shared" si="37"/>
        <v>26.711648918810251</v>
      </c>
      <c r="H94" s="340">
        <f t="shared" si="27"/>
        <v>278.545895166496</v>
      </c>
      <c r="I94" s="137">
        <f t="shared" si="46"/>
        <v>184.94353752906744</v>
      </c>
      <c r="J94" s="127">
        <f t="shared" si="28"/>
        <v>178.0765680223268</v>
      </c>
      <c r="K94" s="137">
        <f t="shared" si="47"/>
        <v>26.672284400333176</v>
      </c>
      <c r="L94" s="137">
        <f t="shared" si="38"/>
        <v>6510.204765673916</v>
      </c>
      <c r="M94" s="137">
        <f t="shared" si="39"/>
        <v>58.124147538392748</v>
      </c>
      <c r="N94" s="125">
        <f t="shared" si="40"/>
        <v>-25065.345653831366</v>
      </c>
      <c r="O94" s="125"/>
      <c r="Q94" s="130">
        <f t="shared" si="48"/>
        <v>0</v>
      </c>
      <c r="R94" s="130">
        <f t="shared" si="49"/>
        <v>92.539694999999995</v>
      </c>
      <c r="S94" s="130">
        <f t="shared" si="50"/>
        <v>-139.67524445205234</v>
      </c>
      <c r="T94" s="130">
        <f t="shared" si="51"/>
        <v>-13.358351351351365</v>
      </c>
      <c r="U94" s="130">
        <f t="shared" si="52"/>
        <v>2.3697532650109618</v>
      </c>
      <c r="V94" s="130">
        <f t="shared" si="53"/>
        <v>0</v>
      </c>
      <c r="W94" s="130">
        <f t="shared" si="54"/>
        <v>0</v>
      </c>
      <c r="X94" s="130">
        <f t="shared" si="55"/>
        <v>0</v>
      </c>
      <c r="Z94" s="130">
        <f t="shared" si="56"/>
        <v>-6657.6530000000002</v>
      </c>
      <c r="AA94" s="130">
        <f t="shared" si="57"/>
        <v>50271.564040540587</v>
      </c>
      <c r="AB94" s="130">
        <f t="shared" si="58"/>
        <v>-65479.957121250118</v>
      </c>
      <c r="AC94" s="130">
        <f t="shared" si="59"/>
        <v>-3628.4170562454424</v>
      </c>
      <c r="AD94" s="130">
        <f t="shared" si="60"/>
        <v>429.11748312360703</v>
      </c>
      <c r="AE94" s="130">
        <f t="shared" si="61"/>
        <v>0</v>
      </c>
      <c r="AF94" s="130">
        <f t="shared" si="62"/>
        <v>0</v>
      </c>
      <c r="AG94" s="130">
        <f t="shared" si="63"/>
        <v>0</v>
      </c>
      <c r="AP94" s="125">
        <f t="shared" si="31"/>
        <v>-4.4739474203591953</v>
      </c>
      <c r="AQ94" s="125">
        <f t="shared" si="41"/>
        <v>-24.238351443846057</v>
      </c>
      <c r="AR94" s="125">
        <f t="shared" si="32"/>
        <v>8.693373228865255</v>
      </c>
      <c r="AS94" s="125">
        <f t="shared" si="42"/>
        <v>-3.936451847707545E-2</v>
      </c>
      <c r="AT94" s="125">
        <f t="shared" si="43"/>
        <v>-6231.65887050742</v>
      </c>
      <c r="AU94" s="127">
        <f t="shared" si="44"/>
        <v>126.81938999067469</v>
      </c>
      <c r="AV94" s="125">
        <f t="shared" si="45"/>
        <v>25243.422221853692</v>
      </c>
      <c r="AX94" s="67"/>
    </row>
    <row r="95" spans="1:50" hidden="1" x14ac:dyDescent="0.35">
      <c r="A95" s="181" t="s">
        <v>128</v>
      </c>
      <c r="B95" s="64">
        <f t="shared" si="64"/>
        <v>548.64864864864921</v>
      </c>
      <c r="C95" s="115">
        <f t="shared" si="35"/>
        <v>5.4864864864864922E-2</v>
      </c>
      <c r="D95" s="340">
        <f t="shared" si="25"/>
        <v>283.16413610751397</v>
      </c>
      <c r="E95" s="137">
        <f t="shared" si="36"/>
        <v>209.44619143000631</v>
      </c>
      <c r="F95" s="127">
        <f t="shared" si="26"/>
        <v>168.25176621483473</v>
      </c>
      <c r="G95" s="137">
        <f t="shared" si="37"/>
        <v>26.67677832944398</v>
      </c>
      <c r="H95" s="340">
        <f t="shared" si="27"/>
        <v>278.68997444750005</v>
      </c>
      <c r="I95" s="137">
        <f t="shared" si="46"/>
        <v>185.20744756780044</v>
      </c>
      <c r="J95" s="127">
        <f t="shared" si="28"/>
        <v>177.07615861976078</v>
      </c>
      <c r="K95" s="137">
        <f t="shared" si="47"/>
        <v>26.63692246021871</v>
      </c>
      <c r="L95" s="137">
        <f t="shared" si="38"/>
        <v>6660.3560553838979</v>
      </c>
      <c r="M95" s="137">
        <f t="shared" si="39"/>
        <v>58.399179063736682</v>
      </c>
      <c r="N95" s="125">
        <f t="shared" si="40"/>
        <v>-25380.274620125721</v>
      </c>
      <c r="O95" s="125"/>
      <c r="Q95" s="130">
        <f t="shared" si="48"/>
        <v>0</v>
      </c>
      <c r="R95" s="130">
        <f t="shared" si="49"/>
        <v>92.539694999999995</v>
      </c>
      <c r="S95" s="130">
        <f t="shared" si="50"/>
        <v>-139.86475095066143</v>
      </c>
      <c r="T95" s="130">
        <f t="shared" si="51"/>
        <v>-13.491270270270284</v>
      </c>
      <c r="U95" s="130">
        <f t="shared" si="52"/>
        <v>2.4171471571950374</v>
      </c>
      <c r="V95" s="130">
        <f t="shared" si="53"/>
        <v>0</v>
      </c>
      <c r="W95" s="130">
        <f t="shared" si="54"/>
        <v>0</v>
      </c>
      <c r="X95" s="130">
        <f t="shared" si="55"/>
        <v>0</v>
      </c>
      <c r="Z95" s="130">
        <f t="shared" si="56"/>
        <v>-6657.6530000000002</v>
      </c>
      <c r="AA95" s="130">
        <f t="shared" si="57"/>
        <v>50771.778608108158</v>
      </c>
      <c r="AB95" s="130">
        <f t="shared" si="58"/>
        <v>-66235.471467525131</v>
      </c>
      <c r="AC95" s="130">
        <f t="shared" si="59"/>
        <v>-3700.9836011687439</v>
      </c>
      <c r="AD95" s="130">
        <f t="shared" si="60"/>
        <v>442.05484045999378</v>
      </c>
      <c r="AE95" s="130">
        <f t="shared" si="61"/>
        <v>0</v>
      </c>
      <c r="AF95" s="130">
        <f t="shared" si="62"/>
        <v>0</v>
      </c>
      <c r="AG95" s="130">
        <f t="shared" si="63"/>
        <v>0</v>
      </c>
      <c r="AP95" s="125">
        <f t="shared" si="31"/>
        <v>-4.4741616600139196</v>
      </c>
      <c r="AQ95" s="125">
        <f t="shared" si="41"/>
        <v>-24.238743862205865</v>
      </c>
      <c r="AR95" s="125">
        <f t="shared" si="32"/>
        <v>8.8243924049260443</v>
      </c>
      <c r="AS95" s="125">
        <f t="shared" si="42"/>
        <v>-3.9855869225270624E-2</v>
      </c>
      <c r="AT95" s="125">
        <f t="shared" si="43"/>
        <v>-6381.6660809363975</v>
      </c>
      <c r="AU95" s="127">
        <f t="shared" si="44"/>
        <v>126.80826850406376</v>
      </c>
      <c r="AV95" s="125">
        <f t="shared" si="45"/>
        <v>25557.350778745484</v>
      </c>
      <c r="AX95" s="67"/>
    </row>
    <row r="96" spans="1:50" hidden="1" x14ac:dyDescent="0.35">
      <c r="A96" s="181" t="s">
        <v>128</v>
      </c>
      <c r="B96" s="64">
        <f t="shared" si="64"/>
        <v>554.05405405405463</v>
      </c>
      <c r="C96" s="115">
        <f t="shared" si="35"/>
        <v>5.5405405405405464E-2</v>
      </c>
      <c r="D96" s="340">
        <f t="shared" si="25"/>
        <v>283.30823834044327</v>
      </c>
      <c r="E96" s="137">
        <f t="shared" si="36"/>
        <v>209.70755570407229</v>
      </c>
      <c r="F96" s="127">
        <f t="shared" si="26"/>
        <v>167.11891693683555</v>
      </c>
      <c r="G96" s="137">
        <f t="shared" si="37"/>
        <v>26.640880921431421</v>
      </c>
      <c r="H96" s="340">
        <f t="shared" si="27"/>
        <v>278.83386057320558</v>
      </c>
      <c r="I96" s="137">
        <f t="shared" si="46"/>
        <v>185.46841988113945</v>
      </c>
      <c r="J96" s="127">
        <f t="shared" si="28"/>
        <v>176.07433063906063</v>
      </c>
      <c r="K96" s="137">
        <f t="shared" si="47"/>
        <v>26.600826382492894</v>
      </c>
      <c r="L96" s="137">
        <f t="shared" si="38"/>
        <v>6810.7109228673762</v>
      </c>
      <c r="M96" s="137">
        <f t="shared" si="39"/>
        <v>58.671883405863589</v>
      </c>
      <c r="N96" s="125">
        <f t="shared" si="40"/>
        <v>-25696.683937138161</v>
      </c>
      <c r="O96" s="125"/>
      <c r="Q96" s="130">
        <f t="shared" si="48"/>
        <v>0</v>
      </c>
      <c r="R96" s="130">
        <f t="shared" si="49"/>
        <v>92.539694999999995</v>
      </c>
      <c r="S96" s="130">
        <f t="shared" si="50"/>
        <v>-140.05239951251076</v>
      </c>
      <c r="T96" s="130">
        <f t="shared" si="51"/>
        <v>-13.624189189189204</v>
      </c>
      <c r="U96" s="130">
        <f t="shared" si="52"/>
        <v>2.465010295836382</v>
      </c>
      <c r="V96" s="130">
        <f t="shared" si="53"/>
        <v>0</v>
      </c>
      <c r="W96" s="130">
        <f t="shared" si="54"/>
        <v>0</v>
      </c>
      <c r="X96" s="130">
        <f t="shared" si="55"/>
        <v>0</v>
      </c>
      <c r="Z96" s="130">
        <f t="shared" si="56"/>
        <v>-6657.6530000000002</v>
      </c>
      <c r="AA96" s="130">
        <f t="shared" si="57"/>
        <v>51271.993175675729</v>
      </c>
      <c r="AB96" s="130">
        <f t="shared" si="58"/>
        <v>-66992.005135310086</v>
      </c>
      <c r="AC96" s="130">
        <f t="shared" si="59"/>
        <v>-3774.2686267348508</v>
      </c>
      <c r="AD96" s="130">
        <f t="shared" si="60"/>
        <v>455.24964923104403</v>
      </c>
      <c r="AE96" s="130">
        <f t="shared" si="61"/>
        <v>0</v>
      </c>
      <c r="AF96" s="130">
        <f t="shared" si="62"/>
        <v>0</v>
      </c>
      <c r="AG96" s="130">
        <f t="shared" si="63"/>
        <v>0</v>
      </c>
      <c r="AP96" s="125">
        <f t="shared" si="31"/>
        <v>-4.4743777672376837</v>
      </c>
      <c r="AQ96" s="125">
        <f t="shared" si="41"/>
        <v>-24.239135822932838</v>
      </c>
      <c r="AR96" s="125">
        <f t="shared" si="32"/>
        <v>8.955413702225087</v>
      </c>
      <c r="AS96" s="125">
        <f t="shared" si="42"/>
        <v>-4.0054538938527173E-2</v>
      </c>
      <c r="AT96" s="125">
        <f t="shared" si="43"/>
        <v>-6531.8770622941702</v>
      </c>
      <c r="AU96" s="127">
        <f t="shared" si="44"/>
        <v>126.79653647527587</v>
      </c>
      <c r="AV96" s="125">
        <f t="shared" si="45"/>
        <v>25872.758267777222</v>
      </c>
      <c r="AX96" s="67"/>
    </row>
    <row r="97" spans="1:50" hidden="1" x14ac:dyDescent="0.35">
      <c r="A97" s="181" t="s">
        <v>128</v>
      </c>
      <c r="B97" s="64">
        <f t="shared" si="64"/>
        <v>559.45945945946005</v>
      </c>
      <c r="C97" s="115">
        <f t="shared" si="35"/>
        <v>5.5945945945946006E-2</v>
      </c>
      <c r="D97" s="340">
        <f t="shared" si="25"/>
        <v>283.4521438702883</v>
      </c>
      <c r="E97" s="137">
        <f t="shared" si="36"/>
        <v>209.96602912133437</v>
      </c>
      <c r="F97" s="127">
        <f t="shared" si="26"/>
        <v>165.98466271321735</v>
      </c>
      <c r="G97" s="137">
        <f t="shared" si="37"/>
        <v>26.604006245973491</v>
      </c>
      <c r="H97" s="340">
        <f t="shared" si="27"/>
        <v>278.97754972576513</v>
      </c>
      <c r="I97" s="137">
        <f t="shared" si="46"/>
        <v>185.72650465575367</v>
      </c>
      <c r="J97" s="127">
        <f t="shared" si="28"/>
        <v>175.07109982376227</v>
      </c>
      <c r="K97" s="137">
        <f t="shared" si="47"/>
        <v>26.564051352516465</v>
      </c>
      <c r="L97" s="137">
        <f t="shared" si="38"/>
        <v>6961.2642951896451</v>
      </c>
      <c r="M97" s="137">
        <f t="shared" si="39"/>
        <v>58.942296642073941</v>
      </c>
      <c r="N97" s="125">
        <f t="shared" si="40"/>
        <v>-26014.561123484189</v>
      </c>
      <c r="O97" s="125"/>
      <c r="Q97" s="130">
        <f t="shared" si="48"/>
        <v>0</v>
      </c>
      <c r="R97" s="130">
        <f t="shared" si="49"/>
        <v>92.539694999999995</v>
      </c>
      <c r="S97" s="130">
        <f t="shared" si="50"/>
        <v>-140.23822621490081</v>
      </c>
      <c r="T97" s="130">
        <f t="shared" si="51"/>
        <v>-13.757108108108124</v>
      </c>
      <c r="U97" s="130">
        <f t="shared" si="52"/>
        <v>2.5133426809349944</v>
      </c>
      <c r="V97" s="130">
        <f t="shared" si="53"/>
        <v>0</v>
      </c>
      <c r="W97" s="130">
        <f t="shared" si="54"/>
        <v>0</v>
      </c>
      <c r="X97" s="130">
        <f t="shared" si="55"/>
        <v>0</v>
      </c>
      <c r="Z97" s="130">
        <f t="shared" si="56"/>
        <v>-6657.6530000000002</v>
      </c>
      <c r="AA97" s="130">
        <f t="shared" si="57"/>
        <v>51772.207743243292</v>
      </c>
      <c r="AB97" s="130">
        <f t="shared" si="58"/>
        <v>-67749.548179687816</v>
      </c>
      <c r="AC97" s="130">
        <f t="shared" si="59"/>
        <v>-3848.2721329437632</v>
      </c>
      <c r="AD97" s="130">
        <f t="shared" si="60"/>
        <v>468.70444590409403</v>
      </c>
      <c r="AE97" s="130">
        <f t="shared" si="61"/>
        <v>0</v>
      </c>
      <c r="AF97" s="130">
        <f t="shared" si="62"/>
        <v>0</v>
      </c>
      <c r="AG97" s="130">
        <f t="shared" si="63"/>
        <v>0</v>
      </c>
      <c r="AP97" s="125">
        <f t="shared" si="31"/>
        <v>-4.4745941445231665</v>
      </c>
      <c r="AQ97" s="125">
        <f t="shared" si="41"/>
        <v>-24.239524465580701</v>
      </c>
      <c r="AR97" s="125">
        <f t="shared" si="32"/>
        <v>9.0864371105449209</v>
      </c>
      <c r="AS97" s="125">
        <f t="shared" si="42"/>
        <v>-3.995489345702552E-2</v>
      </c>
      <c r="AT97" s="125">
        <f t="shared" si="43"/>
        <v>-6682.2867454638799</v>
      </c>
      <c r="AU97" s="127">
        <f t="shared" si="44"/>
        <v>126.78420801367973</v>
      </c>
      <c r="AV97" s="125">
        <f t="shared" si="45"/>
        <v>26189.632223307952</v>
      </c>
      <c r="AX97" s="67"/>
    </row>
    <row r="98" spans="1:50" hidden="1" x14ac:dyDescent="0.35">
      <c r="A98" s="181" t="s">
        <v>128</v>
      </c>
      <c r="B98" s="64">
        <f t="shared" si="64"/>
        <v>564.86486486486547</v>
      </c>
      <c r="C98" s="115">
        <f t="shared" si="35"/>
        <v>5.6486486486486548E-2</v>
      </c>
      <c r="D98" s="340">
        <f t="shared" si="25"/>
        <v>283.59584754309964</v>
      </c>
      <c r="E98" s="137">
        <f t="shared" si="36"/>
        <v>210.22165810782568</v>
      </c>
      <c r="F98" s="127">
        <f t="shared" si="26"/>
        <v>164.84901904435475</v>
      </c>
      <c r="G98" s="137">
        <f t="shared" si="37"/>
        <v>26.566201494799706</v>
      </c>
      <c r="H98" s="340">
        <f t="shared" si="27"/>
        <v>279.12103837789618</v>
      </c>
      <c r="I98" s="137">
        <f t="shared" si="46"/>
        <v>185.98175114748329</v>
      </c>
      <c r="J98" s="127">
        <f t="shared" si="28"/>
        <v>174.06648164864194</v>
      </c>
      <c r="K98" s="137">
        <f t="shared" si="47"/>
        <v>26.526649721639995</v>
      </c>
      <c r="L98" s="137">
        <f t="shared" si="38"/>
        <v>7112.0110994160423</v>
      </c>
      <c r="M98" s="137">
        <f t="shared" si="39"/>
        <v>59.210453808944294</v>
      </c>
      <c r="N98" s="125">
        <f t="shared" si="40"/>
        <v>-26333.893889960636</v>
      </c>
      <c r="O98" s="125"/>
      <c r="Q98" s="130">
        <f t="shared" si="48"/>
        <v>0</v>
      </c>
      <c r="R98" s="130">
        <f t="shared" si="49"/>
        <v>92.539694999999995</v>
      </c>
      <c r="S98" s="130">
        <f t="shared" si="50"/>
        <v>-140.42226609440812</v>
      </c>
      <c r="T98" s="130">
        <f t="shared" si="51"/>
        <v>-13.890027027027042</v>
      </c>
      <c r="U98" s="130">
        <f t="shared" si="52"/>
        <v>2.5621443124908745</v>
      </c>
      <c r="V98" s="130">
        <f t="shared" si="53"/>
        <v>0</v>
      </c>
      <c r="W98" s="130">
        <f t="shared" si="54"/>
        <v>0</v>
      </c>
      <c r="X98" s="130">
        <f t="shared" si="55"/>
        <v>0</v>
      </c>
      <c r="Z98" s="130">
        <f t="shared" si="56"/>
        <v>-6657.6530000000002</v>
      </c>
      <c r="AA98" s="130">
        <f t="shared" si="57"/>
        <v>52272.422310810864</v>
      </c>
      <c r="AB98" s="130">
        <f t="shared" si="58"/>
        <v>-68508.090847922504</v>
      </c>
      <c r="AC98" s="130">
        <f t="shared" si="59"/>
        <v>-3922.9941197954799</v>
      </c>
      <c r="AD98" s="130">
        <f t="shared" si="60"/>
        <v>482.42176694648055</v>
      </c>
      <c r="AE98" s="130">
        <f t="shared" si="61"/>
        <v>0</v>
      </c>
      <c r="AF98" s="130">
        <f t="shared" si="62"/>
        <v>0</v>
      </c>
      <c r="AG98" s="130">
        <f t="shared" si="63"/>
        <v>0</v>
      </c>
      <c r="AP98" s="125">
        <f t="shared" si="31"/>
        <v>-4.4748091652034532</v>
      </c>
      <c r="AQ98" s="125">
        <f t="shared" si="41"/>
        <v>-24.239906960342381</v>
      </c>
      <c r="AR98" s="125">
        <f t="shared" si="32"/>
        <v>9.2174626042871921</v>
      </c>
      <c r="AS98" s="125">
        <f t="shared" si="42"/>
        <v>-3.9551773159711701E-2</v>
      </c>
      <c r="AT98" s="125">
        <f t="shared" si="43"/>
        <v>-6832.8900610381461</v>
      </c>
      <c r="AU98" s="127">
        <f t="shared" si="44"/>
        <v>126.771297338539</v>
      </c>
      <c r="AV98" s="125">
        <f t="shared" si="45"/>
        <v>26507.960371609279</v>
      </c>
      <c r="AX98" s="67"/>
    </row>
    <row r="99" spans="1:50" hidden="1" x14ac:dyDescent="0.35">
      <c r="A99" s="181" t="s">
        <v>128</v>
      </c>
      <c r="B99" s="64">
        <f t="shared" si="64"/>
        <v>570.27027027027088</v>
      </c>
      <c r="C99" s="115">
        <f t="shared" si="35"/>
        <v>5.702702702702709E-2</v>
      </c>
      <c r="D99" s="340">
        <f t="shared" si="25"/>
        <v>283.739344453944</v>
      </c>
      <c r="E99" s="137">
        <f t="shared" si="36"/>
        <v>210.47448820185423</v>
      </c>
      <c r="F99" s="127">
        <f t="shared" si="26"/>
        <v>163.71200118207565</v>
      </c>
      <c r="G99" s="137">
        <f t="shared" si="37"/>
        <v>26.527511633716109</v>
      </c>
      <c r="H99" s="340">
        <f t="shared" si="27"/>
        <v>279.2643232780008</v>
      </c>
      <c r="I99" s="137">
        <f t="shared" si="46"/>
        <v>186.23420769058109</v>
      </c>
      <c r="J99" s="127">
        <f t="shared" si="28"/>
        <v>173.06049132472333</v>
      </c>
      <c r="K99" s="137">
        <f t="shared" si="47"/>
        <v>26.488671167610981</v>
      </c>
      <c r="L99" s="137">
        <f t="shared" si="38"/>
        <v>7262.946262611913</v>
      </c>
      <c r="M99" s="137">
        <f t="shared" si="39"/>
        <v>59.476388941975507</v>
      </c>
      <c r="N99" s="125">
        <f t="shared" si="40"/>
        <v>-26654.670134028209</v>
      </c>
      <c r="O99" s="125"/>
      <c r="Q99" s="130">
        <f t="shared" si="48"/>
        <v>0</v>
      </c>
      <c r="R99" s="130">
        <f t="shared" si="49"/>
        <v>92.539694999999995</v>
      </c>
      <c r="S99" s="130">
        <f t="shared" si="50"/>
        <v>-140.60455318653356</v>
      </c>
      <c r="T99" s="130">
        <f t="shared" si="51"/>
        <v>-14.022945945945962</v>
      </c>
      <c r="U99" s="130">
        <f t="shared" si="52"/>
        <v>2.6114151905040233</v>
      </c>
      <c r="V99" s="130">
        <f t="shared" si="53"/>
        <v>0</v>
      </c>
      <c r="W99" s="130">
        <f t="shared" si="54"/>
        <v>0</v>
      </c>
      <c r="X99" s="130">
        <f t="shared" si="55"/>
        <v>0</v>
      </c>
      <c r="Z99" s="130">
        <f t="shared" si="56"/>
        <v>-6657.6530000000002</v>
      </c>
      <c r="AA99" s="130">
        <f t="shared" si="57"/>
        <v>52772.636878378435</v>
      </c>
      <c r="AB99" s="130">
        <f t="shared" si="58"/>
        <v>-69267.623573942183</v>
      </c>
      <c r="AC99" s="130">
        <f t="shared" si="59"/>
        <v>-3998.4345872900017</v>
      </c>
      <c r="AD99" s="130">
        <f t="shared" si="60"/>
        <v>496.40414882554006</v>
      </c>
      <c r="AE99" s="130">
        <f t="shared" si="61"/>
        <v>0</v>
      </c>
      <c r="AF99" s="130">
        <f t="shared" si="62"/>
        <v>0</v>
      </c>
      <c r="AG99" s="130">
        <f t="shared" si="63"/>
        <v>0</v>
      </c>
      <c r="AP99" s="125">
        <f t="shared" si="31"/>
        <v>-4.4750211759431977</v>
      </c>
      <c r="AQ99" s="125">
        <f t="shared" si="41"/>
        <v>-24.240280511273141</v>
      </c>
      <c r="AR99" s="125">
        <f t="shared" si="32"/>
        <v>9.3484901426476767</v>
      </c>
      <c r="AS99" s="125">
        <f t="shared" si="42"/>
        <v>-3.8840466105128257E-2</v>
      </c>
      <c r="AT99" s="125">
        <f t="shared" si="43"/>
        <v>-6983.6819393339119</v>
      </c>
      <c r="AU99" s="127">
        <f t="shared" si="44"/>
        <v>126.75781874860559</v>
      </c>
      <c r="AV99" s="125">
        <f t="shared" si="45"/>
        <v>26827.730625352931</v>
      </c>
      <c r="AX99" s="67"/>
    </row>
    <row r="100" spans="1:50" hidden="1" x14ac:dyDescent="0.35">
      <c r="A100" s="181" t="s">
        <v>128</v>
      </c>
      <c r="B100" s="64">
        <f t="shared" si="64"/>
        <v>575.6756756756763</v>
      </c>
      <c r="C100" s="115">
        <f t="shared" si="35"/>
        <v>5.7567567567567632E-2</v>
      </c>
      <c r="D100" s="340">
        <f t="shared" si="25"/>
        <v>283.88262993521352</v>
      </c>
      <c r="E100" s="137">
        <f t="shared" si="36"/>
        <v>210.7245640670973</v>
      </c>
      <c r="F100" s="127">
        <f t="shared" si="26"/>
        <v>162.57362413442485</v>
      </c>
      <c r="G100" s="137">
        <f t="shared" si="37"/>
        <v>26.48797952741678</v>
      </c>
      <c r="H100" s="340">
        <f t="shared" si="27"/>
        <v>279.40740143612317</v>
      </c>
      <c r="I100" s="137">
        <f t="shared" si="46"/>
        <v>186.48392170798058</v>
      </c>
      <c r="J100" s="127">
        <f t="shared" si="28"/>
        <v>172.05314380423152</v>
      </c>
      <c r="K100" s="137">
        <f t="shared" si="47"/>
        <v>26.450162844487668</v>
      </c>
      <c r="L100" s="137">
        <f t="shared" si="38"/>
        <v>7414.0647118425586</v>
      </c>
      <c r="M100" s="137">
        <f t="shared" si="39"/>
        <v>59.740135113370485</v>
      </c>
      <c r="N100" s="125">
        <f t="shared" si="40"/>
        <v>-26976.877934503191</v>
      </c>
      <c r="O100" s="125"/>
      <c r="Q100" s="130">
        <f t="shared" si="48"/>
        <v>0</v>
      </c>
      <c r="R100" s="130">
        <f t="shared" si="49"/>
        <v>92.539694999999995</v>
      </c>
      <c r="S100" s="130">
        <f t="shared" si="50"/>
        <v>-140.78512056348004</v>
      </c>
      <c r="T100" s="130">
        <f t="shared" si="51"/>
        <v>-14.155864864864881</v>
      </c>
      <c r="U100" s="130">
        <f t="shared" si="52"/>
        <v>2.6611553149744394</v>
      </c>
      <c r="V100" s="130">
        <f t="shared" si="53"/>
        <v>0</v>
      </c>
      <c r="W100" s="130">
        <f t="shared" si="54"/>
        <v>0</v>
      </c>
      <c r="X100" s="130">
        <f t="shared" si="55"/>
        <v>0</v>
      </c>
      <c r="Z100" s="130">
        <f t="shared" si="56"/>
        <v>-6657.6530000000002</v>
      </c>
      <c r="AA100" s="130">
        <f t="shared" si="57"/>
        <v>53272.851445945998</v>
      </c>
      <c r="AB100" s="130">
        <f t="shared" si="58"/>
        <v>-70028.136973030472</v>
      </c>
      <c r="AC100" s="130">
        <f t="shared" si="59"/>
        <v>-4074.5935354273283</v>
      </c>
      <c r="AD100" s="130">
        <f t="shared" si="60"/>
        <v>510.65412800860923</v>
      </c>
      <c r="AE100" s="130">
        <f t="shared" si="61"/>
        <v>0</v>
      </c>
      <c r="AF100" s="130">
        <f t="shared" si="62"/>
        <v>0</v>
      </c>
      <c r="AG100" s="130">
        <f t="shared" si="63"/>
        <v>0</v>
      </c>
      <c r="AP100" s="125">
        <f t="shared" si="31"/>
        <v>-4.475228499090349</v>
      </c>
      <c r="AQ100" s="125">
        <f t="shared" si="41"/>
        <v>-24.24064235911672</v>
      </c>
      <c r="AR100" s="125">
        <f t="shared" si="32"/>
        <v>9.4795196698066775</v>
      </c>
      <c r="AS100" s="125">
        <f t="shared" si="42"/>
        <v>-3.7816682929111778E-2</v>
      </c>
      <c r="AT100" s="125">
        <f t="shared" si="43"/>
        <v>-7134.6573104064355</v>
      </c>
      <c r="AU100" s="127">
        <f t="shared" si="44"/>
        <v>126.7437865946101</v>
      </c>
      <c r="AV100" s="125">
        <f t="shared" si="45"/>
        <v>27148.931078307422</v>
      </c>
      <c r="AX100" s="67"/>
    </row>
    <row r="101" spans="1:50" hidden="1" x14ac:dyDescent="0.35">
      <c r="A101" s="181" t="s">
        <v>128</v>
      </c>
      <c r="B101" s="64">
        <f t="shared" si="64"/>
        <v>581.08108108108172</v>
      </c>
      <c r="C101" s="115">
        <f t="shared" si="35"/>
        <v>5.8108108108108174E-2</v>
      </c>
      <c r="D101" s="340">
        <f t="shared" si="25"/>
        <v>284.02569954558737</v>
      </c>
      <c r="E101" s="137">
        <f t="shared" si="36"/>
        <v>210.97192950621275</v>
      </c>
      <c r="F101" s="127">
        <f t="shared" si="26"/>
        <v>161.43390267035551</v>
      </c>
      <c r="G101" s="137">
        <f t="shared" si="37"/>
        <v>26.447646056206327</v>
      </c>
      <c r="H101" s="340">
        <f t="shared" si="27"/>
        <v>279.55027011069166</v>
      </c>
      <c r="I101" s="137">
        <f t="shared" si="46"/>
        <v>186.73093972244004</v>
      </c>
      <c r="J101" s="127">
        <f t="shared" si="28"/>
        <v>171.04445378548985</v>
      </c>
      <c r="K101" s="137">
        <f t="shared" si="47"/>
        <v>26.411169522836783</v>
      </c>
      <c r="L101" s="137">
        <f t="shared" si="38"/>
        <v>7565.3613741733061</v>
      </c>
      <c r="M101" s="137">
        <f t="shared" si="39"/>
        <v>60.001724468046788</v>
      </c>
      <c r="N101" s="125">
        <f t="shared" si="40"/>
        <v>-27300.505546448512</v>
      </c>
      <c r="O101" s="125"/>
      <c r="Q101" s="130">
        <f t="shared" si="48"/>
        <v>0</v>
      </c>
      <c r="R101" s="130">
        <f t="shared" si="49"/>
        <v>92.539694999999995</v>
      </c>
      <c r="S101" s="130">
        <f t="shared" si="50"/>
        <v>-140.96400037016511</v>
      </c>
      <c r="T101" s="130">
        <f t="shared" si="51"/>
        <v>-14.288783783783799</v>
      </c>
      <c r="U101" s="130">
        <f t="shared" si="52"/>
        <v>2.7113646859021241</v>
      </c>
      <c r="V101" s="130">
        <f t="shared" si="53"/>
        <v>0</v>
      </c>
      <c r="W101" s="130">
        <f t="shared" si="54"/>
        <v>0</v>
      </c>
      <c r="X101" s="130">
        <f t="shared" si="55"/>
        <v>0</v>
      </c>
      <c r="Z101" s="130">
        <f t="shared" si="56"/>
        <v>-6657.6530000000002</v>
      </c>
      <c r="AA101" s="130">
        <f t="shared" si="57"/>
        <v>53773.066013513569</v>
      </c>
      <c r="AB101" s="130">
        <f t="shared" si="58"/>
        <v>-70789.621836717648</v>
      </c>
      <c r="AC101" s="130">
        <f t="shared" si="59"/>
        <v>-4151.4709642074595</v>
      </c>
      <c r="AD101" s="130">
        <f t="shared" si="60"/>
        <v>525.17424096302466</v>
      </c>
      <c r="AE101" s="130">
        <f t="shared" si="61"/>
        <v>0</v>
      </c>
      <c r="AF101" s="130">
        <f t="shared" si="62"/>
        <v>0</v>
      </c>
      <c r="AG101" s="130">
        <f t="shared" si="63"/>
        <v>0</v>
      </c>
      <c r="AP101" s="125">
        <f t="shared" si="31"/>
        <v>-4.475429434895716</v>
      </c>
      <c r="AQ101" s="125">
        <f t="shared" si="41"/>
        <v>-24.240989783772704</v>
      </c>
      <c r="AR101" s="125">
        <f t="shared" si="32"/>
        <v>9.6105511151343421</v>
      </c>
      <c r="AS101" s="125">
        <f t="shared" si="42"/>
        <v>-3.6476533369544484E-2</v>
      </c>
      <c r="AT101" s="125">
        <f t="shared" si="43"/>
        <v>-7285.8111040626145</v>
      </c>
      <c r="AU101" s="127">
        <f t="shared" si="44"/>
        <v>126.72921525439325</v>
      </c>
      <c r="AV101" s="125">
        <f t="shared" si="45"/>
        <v>27471.550000234001</v>
      </c>
      <c r="AX101" s="67"/>
    </row>
    <row r="102" spans="1:50" hidden="1" x14ac:dyDescent="0.35">
      <c r="A102" s="181" t="s">
        <v>128</v>
      </c>
      <c r="B102" s="64">
        <f t="shared" si="64"/>
        <v>586.48648648648714</v>
      </c>
      <c r="C102" s="115">
        <f t="shared" si="35"/>
        <v>5.8648648648648716E-2</v>
      </c>
      <c r="D102" s="340">
        <f t="shared" si="25"/>
        <v>284.16854905960366</v>
      </c>
      <c r="E102" s="137">
        <f t="shared" si="36"/>
        <v>211.21662747486545</v>
      </c>
      <c r="F102" s="127">
        <f t="shared" si="26"/>
        <v>160.29285132434464</v>
      </c>
      <c r="G102" s="137">
        <f t="shared" si="37"/>
        <v>26.406550225226805</v>
      </c>
      <c r="H102" s="340">
        <f t="shared" si="27"/>
        <v>279.69292679599295</v>
      </c>
      <c r="I102" s="137">
        <f t="shared" si="46"/>
        <v>186.97530736842663</v>
      </c>
      <c r="J102" s="127">
        <f t="shared" si="28"/>
        <v>170.03443571775341</v>
      </c>
      <c r="K102" s="137">
        <f t="shared" si="47"/>
        <v>26.371733720928312</v>
      </c>
      <c r="L102" s="137">
        <f t="shared" si="38"/>
        <v>7716.8311766695115</v>
      </c>
      <c r="M102" s="137">
        <f t="shared" si="39"/>
        <v>60.261188257981679</v>
      </c>
      <c r="N102" s="125">
        <f t="shared" si="40"/>
        <v>-27625.541396254921</v>
      </c>
      <c r="O102" s="125"/>
      <c r="Q102" s="130">
        <f t="shared" si="48"/>
        <v>0</v>
      </c>
      <c r="R102" s="130">
        <f t="shared" si="49"/>
        <v>92.539694999999995</v>
      </c>
      <c r="S102" s="130">
        <f t="shared" si="50"/>
        <v>-141.14122385856604</v>
      </c>
      <c r="T102" s="130">
        <f t="shared" si="51"/>
        <v>-14.421702702702719</v>
      </c>
      <c r="U102" s="130">
        <f t="shared" si="52"/>
        <v>2.762043303287077</v>
      </c>
      <c r="V102" s="130">
        <f t="shared" si="53"/>
        <v>0</v>
      </c>
      <c r="W102" s="130">
        <f t="shared" si="54"/>
        <v>0</v>
      </c>
      <c r="X102" s="130">
        <f t="shared" si="55"/>
        <v>0</v>
      </c>
      <c r="Z102" s="130">
        <f t="shared" si="56"/>
        <v>-6657.6530000000002</v>
      </c>
      <c r="AA102" s="130">
        <f t="shared" si="57"/>
        <v>54273.280581081141</v>
      </c>
      <c r="AB102" s="130">
        <f t="shared" si="58"/>
        <v>-71552.069127861789</v>
      </c>
      <c r="AC102" s="130">
        <f t="shared" si="59"/>
        <v>-4229.0668736303969</v>
      </c>
      <c r="AD102" s="130">
        <f t="shared" si="60"/>
        <v>539.96702415612287</v>
      </c>
      <c r="AE102" s="130">
        <f t="shared" si="61"/>
        <v>0</v>
      </c>
      <c r="AF102" s="130">
        <f t="shared" si="62"/>
        <v>0</v>
      </c>
      <c r="AG102" s="130">
        <f t="shared" si="63"/>
        <v>0</v>
      </c>
      <c r="AP102" s="125">
        <f t="shared" si="31"/>
        <v>-4.4756222636107168</v>
      </c>
      <c r="AQ102" s="125">
        <f t="shared" si="41"/>
        <v>-24.24132010643882</v>
      </c>
      <c r="AR102" s="125">
        <f t="shared" si="32"/>
        <v>9.7415843934087718</v>
      </c>
      <c r="AS102" s="125">
        <f t="shared" si="42"/>
        <v>-3.4816504298493811E-2</v>
      </c>
      <c r="AT102" s="125">
        <f t="shared" si="43"/>
        <v>-7437.1382498735184</v>
      </c>
      <c r="AU102" s="127">
        <f t="shared" si="44"/>
        <v>126.71411911044495</v>
      </c>
      <c r="AV102" s="125">
        <f t="shared" si="45"/>
        <v>27795.575831972674</v>
      </c>
      <c r="AX102" s="67"/>
    </row>
    <row r="103" spans="1:50" hidden="1" x14ac:dyDescent="0.35">
      <c r="A103" s="181" t="s">
        <v>128</v>
      </c>
      <c r="B103" s="64">
        <f t="shared" si="64"/>
        <v>591.89189189189256</v>
      </c>
      <c r="C103" s="115">
        <f t="shared" si="35"/>
        <v>5.9189189189189258E-2</v>
      </c>
      <c r="D103" s="340">
        <f t="shared" si="25"/>
        <v>284.31117445780308</v>
      </c>
      <c r="E103" s="137">
        <f t="shared" si="36"/>
        <v>211.45870009608024</v>
      </c>
      <c r="F103" s="127">
        <f t="shared" si="26"/>
        <v>159.15048440093381</v>
      </c>
      <c r="G103" s="137">
        <f t="shared" si="37"/>
        <v>26.364729266734237</v>
      </c>
      <c r="H103" s="340">
        <f t="shared" si="27"/>
        <v>279.83536921033357</v>
      </c>
      <c r="I103" s="137">
        <f t="shared" si="46"/>
        <v>187.21706940462008</v>
      </c>
      <c r="J103" s="127">
        <f t="shared" si="28"/>
        <v>169.02310380597714</v>
      </c>
      <c r="K103" s="137">
        <f t="shared" si="47"/>
        <v>26.331895827581903</v>
      </c>
      <c r="L103" s="137">
        <f t="shared" si="38"/>
        <v>7868.4690463964798</v>
      </c>
      <c r="M103" s="137">
        <f t="shared" si="39"/>
        <v>60.518556874981819</v>
      </c>
      <c r="N103" s="125">
        <f t="shared" si="40"/>
        <v>-27951.974076903607</v>
      </c>
      <c r="O103" s="125"/>
      <c r="Q103" s="130">
        <f t="shared" si="48"/>
        <v>0</v>
      </c>
      <c r="R103" s="130">
        <f t="shared" si="49"/>
        <v>92.539694999999995</v>
      </c>
      <c r="S103" s="130">
        <f t="shared" si="50"/>
        <v>-141.31682142048948</v>
      </c>
      <c r="T103" s="130">
        <f t="shared" si="51"/>
        <v>-14.554621621621639</v>
      </c>
      <c r="U103" s="130">
        <f t="shared" si="52"/>
        <v>2.8131911671292977</v>
      </c>
      <c r="V103" s="130">
        <f t="shared" si="53"/>
        <v>0</v>
      </c>
      <c r="W103" s="130">
        <f t="shared" si="54"/>
        <v>0</v>
      </c>
      <c r="X103" s="130">
        <f t="shared" si="55"/>
        <v>0</v>
      </c>
      <c r="Z103" s="130">
        <f t="shared" si="56"/>
        <v>-6657.6530000000002</v>
      </c>
      <c r="AA103" s="130">
        <f t="shared" si="57"/>
        <v>54773.495148648704</v>
      </c>
      <c r="AB103" s="130">
        <f t="shared" si="58"/>
        <v>-72315.469975911416</v>
      </c>
      <c r="AC103" s="130">
        <f t="shared" si="59"/>
        <v>-4307.3812636961384</v>
      </c>
      <c r="AD103" s="130">
        <f t="shared" si="60"/>
        <v>555.03501405524048</v>
      </c>
      <c r="AE103" s="130">
        <f t="shared" si="61"/>
        <v>0</v>
      </c>
      <c r="AF103" s="130">
        <f t="shared" si="62"/>
        <v>0</v>
      </c>
      <c r="AG103" s="130">
        <f t="shared" si="63"/>
        <v>0</v>
      </c>
      <c r="AP103" s="125">
        <f t="shared" si="31"/>
        <v>-4.4758052474695091</v>
      </c>
      <c r="AQ103" s="125">
        <f t="shared" si="41"/>
        <v>-24.241630691460159</v>
      </c>
      <c r="AR103" s="125">
        <f t="shared" si="32"/>
        <v>9.8726194050433378</v>
      </c>
      <c r="AS103" s="125">
        <f t="shared" si="42"/>
        <v>-3.2833439152334165E-2</v>
      </c>
      <c r="AT103" s="125">
        <f t="shared" si="43"/>
        <v>-7588.6336771861461</v>
      </c>
      <c r="AU103" s="127">
        <f t="shared" si="44"/>
        <v>126.69851252963826</v>
      </c>
      <c r="AV103" s="125">
        <f t="shared" si="45"/>
        <v>28120.997180709583</v>
      </c>
      <c r="AX103" s="67"/>
    </row>
    <row r="104" spans="1:50" hidden="1" x14ac:dyDescent="0.35">
      <c r="A104" s="181" t="s">
        <v>128</v>
      </c>
      <c r="B104" s="64">
        <f t="shared" si="64"/>
        <v>597.29729729729797</v>
      </c>
      <c r="C104" s="115">
        <f t="shared" si="35"/>
        <v>5.97297297297298E-2</v>
      </c>
      <c r="D104" s="340">
        <f t="shared" si="25"/>
        <v>284.45357191740726</v>
      </c>
      <c r="E104" s="137">
        <f t="shared" si="36"/>
        <v>211.69818867484307</v>
      </c>
      <c r="F104" s="127">
        <f t="shared" si="26"/>
        <v>158.00681597918998</v>
      </c>
      <c r="G104" s="137">
        <f t="shared" si="37"/>
        <v>26.322218735925635</v>
      </c>
      <c r="H104" s="340">
        <f t="shared" si="27"/>
        <v>279.97759528484346</v>
      </c>
      <c r="I104" s="137">
        <f t="shared" si="46"/>
        <v>187.45626972692935</v>
      </c>
      <c r="J104" s="127">
        <f t="shared" si="28"/>
        <v>168.01047201551529</v>
      </c>
      <c r="K104" s="137">
        <f t="shared" si="47"/>
        <v>26.291694217266702</v>
      </c>
      <c r="L104" s="137">
        <f t="shared" si="38"/>
        <v>8020.2699104195563</v>
      </c>
      <c r="M104" s="137">
        <f t="shared" si="39"/>
        <v>60.773859881963219</v>
      </c>
      <c r="N104" s="125">
        <f t="shared" si="40"/>
        <v>-28279.792343401758</v>
      </c>
      <c r="O104" s="125"/>
      <c r="Q104" s="130">
        <f t="shared" si="48"/>
        <v>0</v>
      </c>
      <c r="R104" s="130">
        <f t="shared" si="49"/>
        <v>92.539694999999995</v>
      </c>
      <c r="S104" s="130">
        <f t="shared" si="50"/>
        <v>-141.49082261885144</v>
      </c>
      <c r="T104" s="130">
        <f t="shared" si="51"/>
        <v>-14.687540540540558</v>
      </c>
      <c r="U104" s="130">
        <f t="shared" si="52"/>
        <v>2.8648082774287862</v>
      </c>
      <c r="V104" s="130">
        <f t="shared" si="53"/>
        <v>0</v>
      </c>
      <c r="W104" s="130">
        <f t="shared" si="54"/>
        <v>0</v>
      </c>
      <c r="X104" s="130">
        <f t="shared" si="55"/>
        <v>0</v>
      </c>
      <c r="Z104" s="130">
        <f t="shared" si="56"/>
        <v>-6657.6530000000002</v>
      </c>
      <c r="AA104" s="130">
        <f t="shared" si="57"/>
        <v>55273.709716216275</v>
      </c>
      <c r="AB104" s="130">
        <f t="shared" si="58"/>
        <v>-73079.815672341065</v>
      </c>
      <c r="AC104" s="130">
        <f t="shared" si="59"/>
        <v>-4386.4141344046848</v>
      </c>
      <c r="AD104" s="130">
        <f t="shared" si="60"/>
        <v>570.3807471277139</v>
      </c>
      <c r="AE104" s="130">
        <f t="shared" si="61"/>
        <v>0</v>
      </c>
      <c r="AF104" s="130">
        <f t="shared" si="62"/>
        <v>0</v>
      </c>
      <c r="AG104" s="130">
        <f t="shared" si="63"/>
        <v>0</v>
      </c>
      <c r="AP104" s="125">
        <f t="shared" si="31"/>
        <v>-4.4759766325637997</v>
      </c>
      <c r="AQ104" s="125">
        <f t="shared" si="41"/>
        <v>-24.241918947913717</v>
      </c>
      <c r="AR104" s="125">
        <f t="shared" si="32"/>
        <v>10.00365603632531</v>
      </c>
      <c r="AS104" s="125">
        <f t="shared" si="42"/>
        <v>-3.0524518658932465E-2</v>
      </c>
      <c r="AT104" s="125">
        <f t="shared" si="43"/>
        <v>-7740.2923151347131</v>
      </c>
      <c r="AU104" s="127">
        <f t="shared" si="44"/>
        <v>126.68240984496613</v>
      </c>
      <c r="AV104" s="125">
        <f t="shared" si="45"/>
        <v>28447.802815417272</v>
      </c>
      <c r="AX104" s="67"/>
    </row>
    <row r="105" spans="1:50" hidden="1" x14ac:dyDescent="0.35">
      <c r="A105" s="181" t="s">
        <v>128</v>
      </c>
      <c r="B105" s="64">
        <f t="shared" si="64"/>
        <v>602.70270270270339</v>
      </c>
      <c r="C105" s="115">
        <f t="shared" si="35"/>
        <v>6.0270270270270342E-2</v>
      </c>
      <c r="D105" s="340">
        <f t="shared" si="25"/>
        <v>284.59573780349911</v>
      </c>
      <c r="E105" s="137">
        <f t="shared" si="36"/>
        <v>211.93513371287975</v>
      </c>
      <c r="F105" s="127">
        <f t="shared" si="26"/>
        <v>156.86185991708768</v>
      </c>
      <c r="G105" s="137">
        <f t="shared" si="37"/>
        <v>26.279052600777145</v>
      </c>
      <c r="H105" s="340">
        <f t="shared" si="27"/>
        <v>280.11960315288275</v>
      </c>
      <c r="I105" s="137">
        <f t="shared" si="46"/>
        <v>187.69295138192712</v>
      </c>
      <c r="J105" s="127">
        <f t="shared" si="28"/>
        <v>166.99655407674814</v>
      </c>
      <c r="K105" s="137">
        <f t="shared" si="47"/>
        <v>26.251165358007896</v>
      </c>
      <c r="L105" s="137">
        <f t="shared" si="38"/>
        <v>8172.2286958040204</v>
      </c>
      <c r="M105" s="137">
        <f t="shared" si="39"/>
        <v>61.027126042822246</v>
      </c>
      <c r="N105" s="125">
        <f t="shared" si="40"/>
        <v>-28608.98510838348</v>
      </c>
      <c r="O105" s="125"/>
      <c r="Q105" s="130">
        <f t="shared" si="48"/>
        <v>0</v>
      </c>
      <c r="R105" s="130">
        <f t="shared" si="49"/>
        <v>92.539694999999995</v>
      </c>
      <c r="S105" s="130">
        <f t="shared" si="50"/>
        <v>-141.66325621754831</v>
      </c>
      <c r="T105" s="130">
        <f t="shared" si="51"/>
        <v>-14.820459459459476</v>
      </c>
      <c r="U105" s="130">
        <f t="shared" si="52"/>
        <v>2.9168946341855428</v>
      </c>
      <c r="V105" s="130">
        <f t="shared" si="53"/>
        <v>0</v>
      </c>
      <c r="W105" s="130">
        <f t="shared" si="54"/>
        <v>0</v>
      </c>
      <c r="X105" s="130">
        <f t="shared" si="55"/>
        <v>0</v>
      </c>
      <c r="Z105" s="130">
        <f t="shared" si="56"/>
        <v>-6657.6530000000002</v>
      </c>
      <c r="AA105" s="130">
        <f t="shared" si="57"/>
        <v>55773.924283783846</v>
      </c>
      <c r="AB105" s="130">
        <f t="shared" si="58"/>
        <v>-73845.097666252172</v>
      </c>
      <c r="AC105" s="130">
        <f t="shared" si="59"/>
        <v>-4466.1654857560361</v>
      </c>
      <c r="AD105" s="130">
        <f t="shared" si="60"/>
        <v>586.00675984088014</v>
      </c>
      <c r="AE105" s="130">
        <f t="shared" si="61"/>
        <v>0</v>
      </c>
      <c r="AF105" s="130">
        <f t="shared" si="62"/>
        <v>0</v>
      </c>
      <c r="AG105" s="130">
        <f t="shared" si="63"/>
        <v>0</v>
      </c>
      <c r="AP105" s="125">
        <f t="shared" si="31"/>
        <v>-4.4761346506163591</v>
      </c>
      <c r="AQ105" s="125">
        <f t="shared" si="41"/>
        <v>-24.24218233095263</v>
      </c>
      <c r="AR105" s="125">
        <f t="shared" si="32"/>
        <v>10.134694159660455</v>
      </c>
      <c r="AS105" s="125">
        <f t="shared" si="42"/>
        <v>-2.7887242769249809E-2</v>
      </c>
      <c r="AT105" s="125">
        <f t="shared" si="43"/>
        <v>-7892.1090926511379</v>
      </c>
      <c r="AU105" s="127">
        <f t="shared" si="44"/>
        <v>126.66582533910487</v>
      </c>
      <c r="AV105" s="125">
        <f t="shared" si="45"/>
        <v>28775.981662460228</v>
      </c>
      <c r="AX105" s="67"/>
    </row>
    <row r="106" spans="1:50" hidden="1" x14ac:dyDescent="0.35">
      <c r="A106" s="181" t="s">
        <v>128</v>
      </c>
      <c r="B106" s="64">
        <f t="shared" si="64"/>
        <v>608.10810810810881</v>
      </c>
      <c r="C106" s="115">
        <f t="shared" si="35"/>
        <v>6.0810810810810884E-2</v>
      </c>
      <c r="D106" s="340">
        <f t="shared" si="25"/>
        <v>284.73766866067353</v>
      </c>
      <c r="E106" s="137">
        <f t="shared" si="36"/>
        <v>212.16957492355252</v>
      </c>
      <c r="F106" s="127">
        <f t="shared" si="26"/>
        <v>155.71562985581033</v>
      </c>
      <c r="G106" s="137">
        <f t="shared" si="37"/>
        <v>26.235263326317305</v>
      </c>
      <c r="H106" s="340">
        <f t="shared" si="27"/>
        <v>280.26139114001268</v>
      </c>
      <c r="I106" s="137">
        <f t="shared" si="46"/>
        <v>187.92715658061812</v>
      </c>
      <c r="J106" s="127">
        <f t="shared" si="28"/>
        <v>165.98136348963664</v>
      </c>
      <c r="K106" s="137">
        <f t="shared" si="47"/>
        <v>26.210343912608966</v>
      </c>
      <c r="L106" s="137">
        <f t="shared" si="38"/>
        <v>8324.3403296152574</v>
      </c>
      <c r="M106" s="137">
        <f t="shared" si="39"/>
        <v>61.278383350973087</v>
      </c>
      <c r="N106" s="125">
        <f t="shared" si="40"/>
        <v>-28939.541437868418</v>
      </c>
      <c r="O106" s="125"/>
      <c r="Q106" s="130">
        <f t="shared" si="48"/>
        <v>0</v>
      </c>
      <c r="R106" s="130">
        <f t="shared" si="49"/>
        <v>92.539694999999995</v>
      </c>
      <c r="S106" s="130">
        <f t="shared" si="50"/>
        <v>-141.83415020999425</v>
      </c>
      <c r="T106" s="130">
        <f t="shared" si="51"/>
        <v>-14.953378378378396</v>
      </c>
      <c r="U106" s="130">
        <f t="shared" si="52"/>
        <v>2.9694502373995686</v>
      </c>
      <c r="V106" s="130">
        <f t="shared" si="53"/>
        <v>0</v>
      </c>
      <c r="W106" s="130">
        <f t="shared" si="54"/>
        <v>0</v>
      </c>
      <c r="X106" s="130">
        <f t="shared" si="55"/>
        <v>0</v>
      </c>
      <c r="Z106" s="130">
        <f t="shared" si="56"/>
        <v>-6657.6530000000002</v>
      </c>
      <c r="AA106" s="130">
        <f t="shared" si="57"/>
        <v>56274.13885135141</v>
      </c>
      <c r="AB106" s="130">
        <f t="shared" si="58"/>
        <v>-74611.30756013171</v>
      </c>
      <c r="AC106" s="130">
        <f t="shared" si="59"/>
        <v>-4546.6353177501933</v>
      </c>
      <c r="AD106" s="130">
        <f t="shared" si="60"/>
        <v>601.91558866207538</v>
      </c>
      <c r="AE106" s="130">
        <f t="shared" si="61"/>
        <v>0</v>
      </c>
      <c r="AF106" s="130">
        <f t="shared" si="62"/>
        <v>0</v>
      </c>
      <c r="AG106" s="130">
        <f t="shared" si="63"/>
        <v>0</v>
      </c>
      <c r="AP106" s="125">
        <f t="shared" si="31"/>
        <v>-4.476277520660858</v>
      </c>
      <c r="AQ106" s="125">
        <f t="shared" si="41"/>
        <v>-24.2424183429344</v>
      </c>
      <c r="AR106" s="125">
        <f t="shared" si="32"/>
        <v>10.265733633826301</v>
      </c>
      <c r="AS106" s="125">
        <f t="shared" si="42"/>
        <v>-2.4919413708339277E-2</v>
      </c>
      <c r="AT106" s="125">
        <f t="shared" si="43"/>
        <v>-8044.0789384752443</v>
      </c>
      <c r="AU106" s="127">
        <f t="shared" si="44"/>
        <v>126.64877322964503</v>
      </c>
      <c r="AV106" s="125">
        <f t="shared" si="45"/>
        <v>29105.522801358056</v>
      </c>
      <c r="AX106" s="67"/>
    </row>
    <row r="107" spans="1:50" hidden="1" x14ac:dyDescent="0.35">
      <c r="A107" s="181" t="s">
        <v>128</v>
      </c>
      <c r="B107" s="64">
        <f t="shared" si="64"/>
        <v>613.51351351351423</v>
      </c>
      <c r="C107" s="115">
        <f t="shared" si="35"/>
        <v>6.1351351351351426E-2</v>
      </c>
      <c r="D107" s="340">
        <f t="shared" si="25"/>
        <v>284.87936120512927</v>
      </c>
      <c r="E107" s="137">
        <f t="shared" si="36"/>
        <v>212.40155124681996</v>
      </c>
      <c r="F107" s="127">
        <f t="shared" si="26"/>
        <v>154.56813922397203</v>
      </c>
      <c r="G107" s="137">
        <f t="shared" si="37"/>
        <v>26.190881953725917</v>
      </c>
      <c r="H107" s="340">
        <f t="shared" si="27"/>
        <v>280.40295775449738</v>
      </c>
      <c r="I107" s="137">
        <f t="shared" si="46"/>
        <v>188.15892671246556</v>
      </c>
      <c r="J107" s="127">
        <f t="shared" si="28"/>
        <v>164.96491352820075</v>
      </c>
      <c r="K107" s="137">
        <f t="shared" si="47"/>
        <v>26.169262833659086</v>
      </c>
      <c r="L107" s="137">
        <f t="shared" si="38"/>
        <v>8476.5997389185395</v>
      </c>
      <c r="M107" s="137">
        <f t="shared" si="39"/>
        <v>61.527659056622142</v>
      </c>
      <c r="N107" s="125">
        <f t="shared" si="40"/>
        <v>-29271.450547171302</v>
      </c>
      <c r="O107" s="125"/>
      <c r="Q107" s="130">
        <f t="shared" si="48"/>
        <v>0</v>
      </c>
      <c r="R107" s="130">
        <f t="shared" si="49"/>
        <v>92.539694999999995</v>
      </c>
      <c r="S107" s="130">
        <f t="shared" si="50"/>
        <v>-142.00353184639567</v>
      </c>
      <c r="T107" s="130">
        <f t="shared" si="51"/>
        <v>-15.086297297297316</v>
      </c>
      <c r="U107" s="130">
        <f t="shared" si="52"/>
        <v>3.0224750870708617</v>
      </c>
      <c r="V107" s="130">
        <f t="shared" si="53"/>
        <v>0</v>
      </c>
      <c r="W107" s="130">
        <f t="shared" si="54"/>
        <v>0</v>
      </c>
      <c r="X107" s="130">
        <f t="shared" si="55"/>
        <v>0</v>
      </c>
      <c r="Z107" s="130">
        <f t="shared" si="56"/>
        <v>-6657.6530000000002</v>
      </c>
      <c r="AA107" s="130">
        <f t="shared" si="57"/>
        <v>56774.353418918981</v>
      </c>
      <c r="AB107" s="130">
        <f t="shared" si="58"/>
        <v>-75378.437105761768</v>
      </c>
      <c r="AC107" s="130">
        <f t="shared" si="59"/>
        <v>-4627.8236303871545</v>
      </c>
      <c r="AD107" s="130">
        <f t="shared" si="60"/>
        <v>618.1097700586364</v>
      </c>
      <c r="AE107" s="130">
        <f t="shared" si="61"/>
        <v>0</v>
      </c>
      <c r="AF107" s="130">
        <f t="shared" si="62"/>
        <v>0</v>
      </c>
      <c r="AG107" s="130">
        <f t="shared" si="63"/>
        <v>0</v>
      </c>
      <c r="AP107" s="125">
        <f t="shared" si="31"/>
        <v>-4.4764034506318922</v>
      </c>
      <c r="AQ107" s="125">
        <f t="shared" si="41"/>
        <v>-24.242624534354405</v>
      </c>
      <c r="AR107" s="125">
        <f t="shared" si="32"/>
        <v>10.396774304228728</v>
      </c>
      <c r="AS107" s="125">
        <f t="shared" si="42"/>
        <v>-2.1619120066830533E-2</v>
      </c>
      <c r="AT107" s="125">
        <f t="shared" si="43"/>
        <v>-8196.1967811640425</v>
      </c>
      <c r="AU107" s="127">
        <f t="shared" si="44"/>
        <v>126.63126765584342</v>
      </c>
      <c r="AV107" s="125">
        <f t="shared" si="45"/>
        <v>29436.415460699503</v>
      </c>
      <c r="AX107" s="67"/>
    </row>
    <row r="108" spans="1:50" hidden="1" x14ac:dyDescent="0.35">
      <c r="A108" s="181" t="s">
        <v>128</v>
      </c>
      <c r="B108" s="64">
        <f t="shared" si="64"/>
        <v>618.91891891891964</v>
      </c>
      <c r="C108" s="115">
        <f t="shared" si="35"/>
        <v>6.1891891891891967E-2</v>
      </c>
      <c r="D108" s="340">
        <f t="shared" si="25"/>
        <v>285.02081231717528</v>
      </c>
      <c r="E108" s="137">
        <f t="shared" si="36"/>
        <v>212.63110086421335</v>
      </c>
      <c r="F108" s="127">
        <f t="shared" si="26"/>
        <v>153.41940124175659</v>
      </c>
      <c r="G108" s="137">
        <f t="shared" si="37"/>
        <v>26.145938174618411</v>
      </c>
      <c r="H108" s="340">
        <f t="shared" si="27"/>
        <v>280.54430167830316</v>
      </c>
      <c r="I108" s="137">
        <f t="shared" si="46"/>
        <v>188.38830235961095</v>
      </c>
      <c r="J108" s="127">
        <f t="shared" si="28"/>
        <v>163.94721724492217</v>
      </c>
      <c r="K108" s="137">
        <f t="shared" si="47"/>
        <v>26.127953452757552</v>
      </c>
      <c r="L108" s="137">
        <f t="shared" si="38"/>
        <v>8629.0018507792447</v>
      </c>
      <c r="M108" s="137">
        <f t="shared" si="39"/>
        <v>61.774979692846614</v>
      </c>
      <c r="N108" s="125">
        <f t="shared" si="40"/>
        <v>-29604.701796955593</v>
      </c>
      <c r="O108" s="125"/>
      <c r="Q108" s="130">
        <f t="shared" si="48"/>
        <v>0</v>
      </c>
      <c r="R108" s="130">
        <f t="shared" si="49"/>
        <v>92.539694999999995</v>
      </c>
      <c r="S108" s="130">
        <f t="shared" si="50"/>
        <v>-142.17142765982979</v>
      </c>
      <c r="T108" s="130">
        <f t="shared" si="51"/>
        <v>-15.219216216216234</v>
      </c>
      <c r="U108" s="130">
        <f t="shared" si="52"/>
        <v>3.0759691831994225</v>
      </c>
      <c r="V108" s="130">
        <f t="shared" si="53"/>
        <v>0</v>
      </c>
      <c r="W108" s="130">
        <f t="shared" si="54"/>
        <v>0</v>
      </c>
      <c r="X108" s="130">
        <f t="shared" si="55"/>
        <v>0</v>
      </c>
      <c r="Z108" s="130">
        <f t="shared" si="56"/>
        <v>-6657.6530000000002</v>
      </c>
      <c r="AA108" s="130">
        <f t="shared" si="57"/>
        <v>57274.567986486552</v>
      </c>
      <c r="AB108" s="130">
        <f t="shared" si="58"/>
        <v>-76146.478200273123</v>
      </c>
      <c r="AC108" s="130">
        <f t="shared" si="59"/>
        <v>-4709.7304236669206</v>
      </c>
      <c r="AD108" s="130">
        <f t="shared" si="60"/>
        <v>634.59184049789963</v>
      </c>
      <c r="AE108" s="130">
        <f t="shared" si="61"/>
        <v>0</v>
      </c>
      <c r="AF108" s="130">
        <f t="shared" si="62"/>
        <v>0</v>
      </c>
      <c r="AG108" s="130">
        <f t="shared" si="63"/>
        <v>0</v>
      </c>
      <c r="AP108" s="125">
        <f t="shared" si="31"/>
        <v>-4.4765106388721279</v>
      </c>
      <c r="AQ108" s="125">
        <f t="shared" si="41"/>
        <v>-24.242798504602405</v>
      </c>
      <c r="AR108" s="125">
        <f t="shared" si="32"/>
        <v>10.527816003165583</v>
      </c>
      <c r="AS108" s="125">
        <f t="shared" si="42"/>
        <v>-1.798472186085931E-2</v>
      </c>
      <c r="AT108" s="125">
        <f t="shared" si="43"/>
        <v>-8348.4575491009418</v>
      </c>
      <c r="AU108" s="127">
        <f t="shared" si="44"/>
        <v>126.61332266676433</v>
      </c>
      <c r="AV108" s="125">
        <f t="shared" si="45"/>
        <v>29768.649014200513</v>
      </c>
      <c r="AX108" s="67"/>
    </row>
    <row r="109" spans="1:50" hidden="1" x14ac:dyDescent="0.35">
      <c r="A109" s="181" t="s">
        <v>128</v>
      </c>
      <c r="B109" s="64">
        <f t="shared" si="64"/>
        <v>624.32432432432506</v>
      </c>
      <c r="C109" s="115">
        <f t="shared" si="35"/>
        <v>6.2432432432432509E-2</v>
      </c>
      <c r="D109" s="340">
        <f t="shared" si="25"/>
        <v>285.16201903412662</v>
      </c>
      <c r="E109" s="137">
        <f t="shared" si="36"/>
        <v>212.8582612137877</v>
      </c>
      <c r="F109" s="127">
        <f t="shared" si="26"/>
        <v>152.26942892497792</v>
      </c>
      <c r="G109" s="137">
        <f t="shared" si="37"/>
        <v>26.100460400847851</v>
      </c>
      <c r="H109" s="340">
        <f t="shared" si="27"/>
        <v>280.68542175856516</v>
      </c>
      <c r="I109" s="137">
        <f t="shared" si="46"/>
        <v>188.61532331122723</v>
      </c>
      <c r="J109" s="127">
        <f t="shared" si="28"/>
        <v>162.92828747506906</v>
      </c>
      <c r="K109" s="137">
        <f t="shared" si="47"/>
        <v>26.086445564354449</v>
      </c>
      <c r="L109" s="137">
        <f t="shared" si="38"/>
        <v>8781.5415922626817</v>
      </c>
      <c r="M109" s="137">
        <f t="shared" si="39"/>
        <v>62.020371100538696</v>
      </c>
      <c r="N109" s="125">
        <f t="shared" si="40"/>
        <v>-29939.284689425036</v>
      </c>
      <c r="O109" s="125"/>
      <c r="Q109" s="130">
        <f t="shared" si="48"/>
        <v>0</v>
      </c>
      <c r="R109" s="130">
        <f t="shared" si="49"/>
        <v>92.539694999999995</v>
      </c>
      <c r="S109" s="130">
        <f t="shared" si="50"/>
        <v>-142.33786349118878</v>
      </c>
      <c r="T109" s="130">
        <f t="shared" si="51"/>
        <v>-15.352135135135153</v>
      </c>
      <c r="U109" s="130">
        <f t="shared" si="52"/>
        <v>3.1299325257852515</v>
      </c>
      <c r="V109" s="130">
        <f t="shared" si="53"/>
        <v>0</v>
      </c>
      <c r="W109" s="130">
        <f t="shared" si="54"/>
        <v>0</v>
      </c>
      <c r="X109" s="130">
        <f t="shared" si="55"/>
        <v>0</v>
      </c>
      <c r="Z109" s="130">
        <f t="shared" si="56"/>
        <v>-6657.6530000000002</v>
      </c>
      <c r="AA109" s="130">
        <f t="shared" si="57"/>
        <v>57774.782554054116</v>
      </c>
      <c r="AB109" s="130">
        <f t="shared" si="58"/>
        <v>-76915.422882336861</v>
      </c>
      <c r="AC109" s="130">
        <f t="shared" si="59"/>
        <v>-4792.3556975894926</v>
      </c>
      <c r="AD109" s="130">
        <f t="shared" si="60"/>
        <v>651.36433644720182</v>
      </c>
      <c r="AE109" s="130">
        <f t="shared" si="61"/>
        <v>0</v>
      </c>
      <c r="AF109" s="130">
        <f t="shared" si="62"/>
        <v>0</v>
      </c>
      <c r="AG109" s="130">
        <f t="shared" si="63"/>
        <v>0</v>
      </c>
      <c r="AP109" s="125">
        <f t="shared" si="31"/>
        <v>-4.4765972755614598</v>
      </c>
      <c r="AQ109" s="125">
        <f t="shared" si="41"/>
        <v>-24.24293790256047</v>
      </c>
      <c r="AR109" s="125">
        <f t="shared" si="32"/>
        <v>10.658858550091139</v>
      </c>
      <c r="AS109" s="125">
        <f t="shared" si="42"/>
        <v>-1.4014836493402072E-2</v>
      </c>
      <c r="AT109" s="125">
        <f t="shared" si="43"/>
        <v>-8500.8561705041157</v>
      </c>
      <c r="AU109" s="127">
        <f t="shared" si="44"/>
        <v>126.59495221068853</v>
      </c>
      <c r="AV109" s="125">
        <f t="shared" si="45"/>
        <v>30102.212976900104</v>
      </c>
      <c r="AX109" s="67"/>
    </row>
    <row r="110" spans="1:50" hidden="1" x14ac:dyDescent="0.35">
      <c r="A110" s="181" t="s">
        <v>128</v>
      </c>
      <c r="B110" s="64">
        <f t="shared" si="64"/>
        <v>629.72972972973048</v>
      </c>
      <c r="C110" s="115">
        <f t="shared" si="35"/>
        <v>6.2972972972973051E-2</v>
      </c>
      <c r="D110" s="340">
        <f t="shared" si="25"/>
        <v>285.30297854356547</v>
      </c>
      <c r="E110" s="137">
        <f t="shared" si="36"/>
        <v>213.08306900501285</v>
      </c>
      <c r="F110" s="127">
        <f t="shared" si="26"/>
        <v>151.11823508905721</v>
      </c>
      <c r="G110" s="137">
        <f t="shared" si="37"/>
        <v>26.054475830130819</v>
      </c>
      <c r="H110" s="340">
        <f t="shared" si="27"/>
        <v>280.82631699949394</v>
      </c>
      <c r="I110" s="137">
        <f t="shared" si="46"/>
        <v>188.84002857795468</v>
      </c>
      <c r="J110" s="127">
        <f t="shared" si="28"/>
        <v>161.90813684094391</v>
      </c>
      <c r="K110" s="137">
        <f t="shared" si="47"/>
        <v>26.04476750457528</v>
      </c>
      <c r="L110" s="137">
        <f t="shared" si="38"/>
        <v>8934.2138904341627</v>
      </c>
      <c r="M110" s="137">
        <f t="shared" si="39"/>
        <v>62.263858452274889</v>
      </c>
      <c r="N110" s="125">
        <f t="shared" si="40"/>
        <v>-30275.188864647098</v>
      </c>
      <c r="O110" s="125"/>
      <c r="Q110" s="130">
        <f t="shared" si="48"/>
        <v>0</v>
      </c>
      <c r="R110" s="130">
        <f t="shared" si="49"/>
        <v>92.539694999999995</v>
      </c>
      <c r="S110" s="130">
        <f t="shared" si="50"/>
        <v>-142.50286451304916</v>
      </c>
      <c r="T110" s="130">
        <f t="shared" si="51"/>
        <v>-15.485054054054073</v>
      </c>
      <c r="U110" s="130">
        <f t="shared" si="52"/>
        <v>3.1843651148283496</v>
      </c>
      <c r="V110" s="130">
        <f t="shared" si="53"/>
        <v>0</v>
      </c>
      <c r="W110" s="130">
        <f t="shared" si="54"/>
        <v>0</v>
      </c>
      <c r="X110" s="130">
        <f t="shared" si="55"/>
        <v>0</v>
      </c>
      <c r="Z110" s="130">
        <f t="shared" si="56"/>
        <v>-6657.6530000000002</v>
      </c>
      <c r="AA110" s="130">
        <f t="shared" si="57"/>
        <v>58274.997121621687</v>
      </c>
      <c r="AB110" s="130">
        <f t="shared" si="58"/>
        <v>-77685.263328487796</v>
      </c>
      <c r="AC110" s="130">
        <f t="shared" si="59"/>
        <v>-4875.6994521548695</v>
      </c>
      <c r="AD110" s="130">
        <f t="shared" si="60"/>
        <v>668.42979437387953</v>
      </c>
      <c r="AE110" s="130">
        <f t="shared" si="61"/>
        <v>0</v>
      </c>
      <c r="AF110" s="130">
        <f t="shared" si="62"/>
        <v>0</v>
      </c>
      <c r="AG110" s="130">
        <f t="shared" si="63"/>
        <v>0</v>
      </c>
      <c r="AP110" s="125">
        <f t="shared" si="31"/>
        <v>-4.4766615440715327</v>
      </c>
      <c r="AQ110" s="125">
        <f t="shared" si="41"/>
        <v>-24.243040427058162</v>
      </c>
      <c r="AR110" s="125">
        <f t="shared" si="32"/>
        <v>10.789901751886703</v>
      </c>
      <c r="AS110" s="125">
        <f t="shared" si="42"/>
        <v>-9.7083255555396875E-3</v>
      </c>
      <c r="AT110" s="125">
        <f t="shared" si="43"/>
        <v>-8653.3875734346693</v>
      </c>
      <c r="AU110" s="127">
        <f t="shared" si="44"/>
        <v>126.57617012567979</v>
      </c>
      <c r="AV110" s="125">
        <f t="shared" si="45"/>
        <v>30437.09700148804</v>
      </c>
      <c r="AX110" s="67"/>
    </row>
    <row r="111" spans="1:50" hidden="1" x14ac:dyDescent="0.35">
      <c r="A111" s="181" t="s">
        <v>128</v>
      </c>
      <c r="B111" s="64">
        <f t="shared" si="64"/>
        <v>635.1351351351359</v>
      </c>
      <c r="C111" s="115">
        <f t="shared" si="35"/>
        <v>6.3513513513513586E-2</v>
      </c>
      <c r="D111" s="340">
        <f t="shared" si="25"/>
        <v>285.44368817694749</v>
      </c>
      <c r="E111" s="137">
        <f t="shared" si="36"/>
        <v>213.30556023357096</v>
      </c>
      <c r="F111" s="127">
        <f t="shared" si="26"/>
        <v>149.96583235292252</v>
      </c>
      <c r="G111" s="137">
        <f t="shared" si="37"/>
        <v>26.008010507780604</v>
      </c>
      <c r="H111" s="340">
        <f t="shared" si="27"/>
        <v>280.96698655469459</v>
      </c>
      <c r="I111" s="137">
        <f t="shared" si="46"/>
        <v>189.06245640637295</v>
      </c>
      <c r="J111" s="127">
        <f t="shared" si="28"/>
        <v>160.88677775605217</v>
      </c>
      <c r="K111" s="137">
        <f t="shared" si="47"/>
        <v>26.002946225369939</v>
      </c>
      <c r="L111" s="137">
        <f t="shared" si="38"/>
        <v>9087.0136723590222</v>
      </c>
      <c r="M111" s="137">
        <f t="shared" si="39"/>
        <v>62.505466275165134</v>
      </c>
      <c r="N111" s="125">
        <f t="shared" si="40"/>
        <v>-30612.404097002665</v>
      </c>
      <c r="O111" s="125"/>
      <c r="Q111" s="130">
        <f t="shared" si="48"/>
        <v>0</v>
      </c>
      <c r="R111" s="130">
        <f t="shared" si="49"/>
        <v>92.539694999999995</v>
      </c>
      <c r="S111" s="130">
        <f t="shared" si="50"/>
        <v>-142.66645525252085</v>
      </c>
      <c r="T111" s="130">
        <f t="shared" si="51"/>
        <v>-15.617972972972993</v>
      </c>
      <c r="U111" s="130">
        <f t="shared" si="52"/>
        <v>3.239266950328715</v>
      </c>
      <c r="V111" s="130">
        <f t="shared" si="53"/>
        <v>0</v>
      </c>
      <c r="W111" s="130">
        <f t="shared" si="54"/>
        <v>0</v>
      </c>
      <c r="X111" s="130">
        <f t="shared" si="55"/>
        <v>0</v>
      </c>
      <c r="Z111" s="130">
        <f t="shared" si="56"/>
        <v>-6657.6530000000002</v>
      </c>
      <c r="AA111" s="130">
        <f t="shared" si="57"/>
        <v>58775.211689189258</v>
      </c>
      <c r="AB111" s="130">
        <f t="shared" si="58"/>
        <v>-78455.991849574144</v>
      </c>
      <c r="AC111" s="130">
        <f t="shared" si="59"/>
        <v>-4959.7616873630514</v>
      </c>
      <c r="AD111" s="130">
        <f t="shared" si="60"/>
        <v>685.79075074526929</v>
      </c>
      <c r="AE111" s="130">
        <f t="shared" si="61"/>
        <v>0</v>
      </c>
      <c r="AF111" s="130">
        <f t="shared" si="62"/>
        <v>0</v>
      </c>
      <c r="AG111" s="130">
        <f t="shared" si="63"/>
        <v>0</v>
      </c>
      <c r="AP111" s="125">
        <f t="shared" si="31"/>
        <v>-4.4767016222529037</v>
      </c>
      <c r="AQ111" s="125">
        <f t="shared" si="41"/>
        <v>-24.243103827198013</v>
      </c>
      <c r="AR111" s="125">
        <f t="shared" si="32"/>
        <v>10.92094540312965</v>
      </c>
      <c r="AS111" s="125">
        <f t="shared" si="42"/>
        <v>-5.064282410664589E-3</v>
      </c>
      <c r="AT111" s="125">
        <f t="shared" si="43"/>
        <v>-8806.0466858043274</v>
      </c>
      <c r="AU111" s="127">
        <f t="shared" si="44"/>
        <v>126.55699013120781</v>
      </c>
      <c r="AV111" s="125">
        <f t="shared" si="45"/>
        <v>30773.290874758717</v>
      </c>
      <c r="AX111" s="67"/>
    </row>
    <row r="112" spans="1:50" hidden="1" x14ac:dyDescent="0.35">
      <c r="A112" s="181" t="s">
        <v>128</v>
      </c>
      <c r="B112" s="64">
        <f t="shared" si="64"/>
        <v>640.54054054054131</v>
      </c>
      <c r="C112" s="115">
        <f t="shared" si="35"/>
        <v>6.4054054054054135E-2</v>
      </c>
      <c r="D112" s="340">
        <f t="shared" si="25"/>
        <v>285.58414540353073</v>
      </c>
      <c r="E112" s="137">
        <f t="shared" si="36"/>
        <v>213.52577019603612</v>
      </c>
      <c r="F112" s="127">
        <f t="shared" si="26"/>
        <v>148.81223314282627</v>
      </c>
      <c r="G112" s="137">
        <f t="shared" si="37"/>
        <v>25.961089384809053</v>
      </c>
      <c r="H112" s="340">
        <f t="shared" si="27"/>
        <v>281.10742971987582</v>
      </c>
      <c r="I112" s="137">
        <f t="shared" si="46"/>
        <v>189.28264429346993</v>
      </c>
      <c r="J112" s="127">
        <f t="shared" si="28"/>
        <v>159.86422242919357</v>
      </c>
      <c r="K112" s="137">
        <f t="shared" si="47"/>
        <v>25.961007364300102</v>
      </c>
      <c r="L112" s="137">
        <f t="shared" si="38"/>
        <v>9239.9358651025832</v>
      </c>
      <c r="M112" s="137">
        <f t="shared" si="39"/>
        <v>62.745218472733619</v>
      </c>
      <c r="N112" s="125">
        <f t="shared" si="40"/>
        <v>-30950.920291756571</v>
      </c>
      <c r="O112" s="125"/>
      <c r="Q112" s="130">
        <f t="shared" si="48"/>
        <v>0</v>
      </c>
      <c r="R112" s="130">
        <f t="shared" si="49"/>
        <v>92.539694999999995</v>
      </c>
      <c r="S112" s="130">
        <f t="shared" si="50"/>
        <v>-142.82865961312805</v>
      </c>
      <c r="T112" s="130">
        <f t="shared" si="51"/>
        <v>-15.750891891891911</v>
      </c>
      <c r="U112" s="130">
        <f t="shared" si="52"/>
        <v>3.2946380322863487</v>
      </c>
      <c r="V112" s="130">
        <f t="shared" si="53"/>
        <v>0</v>
      </c>
      <c r="W112" s="130">
        <f t="shared" si="54"/>
        <v>0</v>
      </c>
      <c r="X112" s="130">
        <f t="shared" si="55"/>
        <v>0</v>
      </c>
      <c r="Z112" s="130">
        <f t="shared" si="56"/>
        <v>-6657.6530000000002</v>
      </c>
      <c r="AA112" s="130">
        <f t="shared" si="57"/>
        <v>59275.426256756822</v>
      </c>
      <c r="AB112" s="130">
        <f t="shared" si="58"/>
        <v>-79227.600887328066</v>
      </c>
      <c r="AC112" s="130">
        <f t="shared" si="59"/>
        <v>-5044.5424032140372</v>
      </c>
      <c r="AD112" s="130">
        <f t="shared" si="60"/>
        <v>703.44974202870765</v>
      </c>
      <c r="AE112" s="130">
        <f t="shared" si="61"/>
        <v>0</v>
      </c>
      <c r="AF112" s="130">
        <f t="shared" si="62"/>
        <v>0</v>
      </c>
      <c r="AG112" s="130">
        <f t="shared" si="63"/>
        <v>0</v>
      </c>
      <c r="AP112" s="125">
        <f t="shared" si="31"/>
        <v>-4.476715683654902</v>
      </c>
      <c r="AQ112" s="125">
        <f t="shared" si="41"/>
        <v>-24.243125902566192</v>
      </c>
      <c r="AR112" s="125">
        <f t="shared" si="32"/>
        <v>11.051989286367302</v>
      </c>
      <c r="AS112" s="125">
        <f t="shared" si="42"/>
        <v>-8.2020508951785587E-5</v>
      </c>
      <c r="AT112" s="125">
        <f t="shared" si="43"/>
        <v>-8958.8284353827075</v>
      </c>
      <c r="AU112" s="127">
        <f t="shared" si="44"/>
        <v>126.5374258207363</v>
      </c>
      <c r="AV112" s="125">
        <f t="shared" si="45"/>
        <v>31110.784514185765</v>
      </c>
      <c r="AX112" s="67"/>
    </row>
    <row r="113" spans="1:50" hidden="1" x14ac:dyDescent="0.35">
      <c r="A113" s="181" t="s">
        <v>128</v>
      </c>
      <c r="B113" s="64">
        <f t="shared" si="64"/>
        <v>645.94594594594673</v>
      </c>
      <c r="C113" s="115">
        <f t="shared" si="35"/>
        <v>6.459459459459467E-2</v>
      </c>
      <c r="D113" s="340">
        <f t="shared" si="25"/>
        <v>285.72434782460982</v>
      </c>
      <c r="E113" s="137">
        <f t="shared" si="36"/>
        <v>213.74373350440959</v>
      </c>
      <c r="F113" s="127">
        <f t="shared" si="26"/>
        <v>147.65744969608565</v>
      </c>
      <c r="G113" s="137">
        <f t="shared" si="37"/>
        <v>25.913736372639374</v>
      </c>
      <c r="H113" s="340">
        <f t="shared" si="27"/>
        <v>281.24764592592408</v>
      </c>
      <c r="I113" s="137">
        <f t="shared" ref="I113:I123" si="65">$B$3*($F$7+$G$7+$G$7*LN(C113)-$H$7/C113^2+$J$7*2*C113+$K$7*3*C113^2+$L$7*4*C113^3)</f>
        <v>189.50062900107164</v>
      </c>
      <c r="J113" s="127">
        <f t="shared" si="28"/>
        <v>158.84048286847491</v>
      </c>
      <c r="K113" s="137">
        <f t="shared" ref="K113:K123" si="66">$B$3*($G$7+2*$H$7*C113^(-2)+2*$J$7*C113+ 6*$K$7*C113^2+ 12*$L$7*C113^3)</f>
        <v>25.918975310255917</v>
      </c>
      <c r="L113" s="137">
        <f t="shared" si="38"/>
        <v>9392.97539573018</v>
      </c>
      <c r="M113" s="137">
        <f t="shared" si="39"/>
        <v>62.983138345880342</v>
      </c>
      <c r="N113" s="125">
        <f t="shared" si="40"/>
        <v>-31290.727481743925</v>
      </c>
      <c r="O113" s="125"/>
      <c r="Q113" s="130">
        <f t="shared" ref="Q113:Q123" si="67">IF( OR( E$10="д",E$10="l"),E$11/$B113,  IF( OR( E$10="g",E$10="п"),E$11*(LN($B113)+1),  $B113^(E$10-1)*E$10*E$11))</f>
        <v>0</v>
      </c>
      <c r="R113" s="130">
        <f t="shared" ref="R113:R123" si="68">IF( OR( F$10="д",F$10="l"),F$11/$B113,  IF( OR( F$10="g",F$10="п"),F$11*(LN($B113)+1),  $B113^(F$10-1)*F$10*F$11))</f>
        <v>92.539694999999995</v>
      </c>
      <c r="S113" s="130">
        <f t="shared" ref="S113:S123" si="69">IF( OR( G$10="д",G$10="l"),G$11/$B113,  IF( OR( G$10="g",G$10="п"),G$11*(LN($B113)+1),  $B113^(G$10-1)*G$10*G$11))</f>
        <v>-142.98950089577076</v>
      </c>
      <c r="T113" s="130">
        <f t="shared" ref="T113:T123" si="70">IF( OR( H$10="д",H$10="l"),H$11/$B113,  IF( OR( H$10="g",H$10="п"),H$11*(LN($B113)+1),  $B113^(H$10-1)*H$10*H$11))</f>
        <v>-15.88381081081083</v>
      </c>
      <c r="U113" s="130">
        <f t="shared" ref="U113:U123" si="71">IF( OR( I$10="д",I$10="l"),I$11/$B113,  IF( OR( I$10="g",I$10="п"),I$11*(LN($B113)+1),  $B113^(I$10-1)*I$10*I$11))</f>
        <v>3.3504783607012496</v>
      </c>
      <c r="V113" s="130">
        <f t="shared" ref="V113:V123" si="72">IF( OR( J$10="д",J$10="l"),J$11/$B113,  IF( OR( J$10="g",J$10="п"),J$11*(LN($B113)+1),  $B113^(J$10-1)*J$10*J$11))</f>
        <v>0</v>
      </c>
      <c r="W113" s="130">
        <f t="shared" ref="W113:W123" si="73">IF( OR( K$10="д",K$10="l"),K$11/$B113,  IF( OR( K$10="g",K$10="п"),K$11*(LN($B113)+1),  $B113^(K$10-1)*K$10*K$11))</f>
        <v>0</v>
      </c>
      <c r="X113" s="130">
        <f t="shared" ref="X113:X123" si="74">IF( OR( L$10="д",L$10="l"),L$11/$B113,  IF( OR( L$10="g",L$10="п"),L$11*(LN($B113)+1),  $B113^(L$10-1)*L$10*L$11))</f>
        <v>0</v>
      </c>
      <c r="Z113" s="130">
        <f t="shared" ref="Z113:Z123" si="75">IF( OR( E$10="д",E$10="l"),E$11*LN($B113),  IF( OR( E$10="g",E$10="п"),E$11*$B113*LN($B113),  ($B113^E$10)*E$11))</f>
        <v>-6657.6530000000002</v>
      </c>
      <c r="AA113" s="130">
        <f t="shared" ref="AA113:AA123" si="76">IF( OR( F$10="д",F$10="l"),F$11*LN($B113),  IF( OR( F$10="g",F$10="п"),F$11*$B113*LN($B113),  ($B113^F$10)*F$11))</f>
        <v>59775.640824324393</v>
      </c>
      <c r="AB113" s="130">
        <f t="shared" ref="AB113:AB123" si="77">IF( OR( G$10="д",G$10="l"),G$11*LN($B113),  IF( OR( G$10="g",G$10="п"),G$11*$B113*LN($B113),  ($B113^G$10)*G$11))</f>
        <v>-80000.083011052018</v>
      </c>
      <c r="AC113" s="130">
        <f t="shared" ref="AC113:AC123" si="78">IF( OR( H$10="д",H$10="l"),H$11*LN($B113),  IF( OR( H$10="g",H$10="п"),H$11*$B113*LN($B113),  ($B113^H$10)*H$11))</f>
        <v>-5130.0415997078289</v>
      </c>
      <c r="AD113" s="130">
        <f t="shared" ref="AD113:AD123" si="79">IF( OR( I$10="д",I$10="l"),I$11*LN($B113),  IF( OR( I$10="g",I$10="п"),I$11*$B113*LN($B113),  ($B113^I$10)*I$11))</f>
        <v>721.40930469153125</v>
      </c>
      <c r="AE113" s="130">
        <f t="shared" ref="AE113:AE123" si="80">IF( OR( J$10="д",J$10="l"),J$11*LN($B113),  IF( OR( J$10="g",J$10="п"),J$11*$B113*LN($B113),  ($B113^J$10)*J$11))</f>
        <v>0</v>
      </c>
      <c r="AF113" s="130">
        <f t="shared" ref="AF113:AF123" si="81">IF( OR( K$10="д",K$10="l"),K$11*LN($B113),  IF( OR( K$10="g",K$10="п"),K$11*$B113*LN($B113),  ($B113^K$10)*K$11))</f>
        <v>0</v>
      </c>
      <c r="AG113" s="130">
        <f t="shared" ref="AG113:AG123" si="82">IF( OR( L$10="д",L$10="l"),L$11*LN($B113),  IF( OR( L$10="g",L$10="п"),L$11*$B113*LN($B113),  ($B113^L$10)*L$11))</f>
        <v>0</v>
      </c>
      <c r="AP113" s="125">
        <f t="shared" si="31"/>
        <v>-4.4767018986857465</v>
      </c>
      <c r="AQ113" s="125">
        <f t="shared" si="41"/>
        <v>-24.243104503337946</v>
      </c>
      <c r="AR113" s="125">
        <f t="shared" si="32"/>
        <v>11.183033172389258</v>
      </c>
      <c r="AS113" s="125">
        <f t="shared" si="42"/>
        <v>5.2389376165429269E-3</v>
      </c>
      <c r="AT113" s="125">
        <f t="shared" si="43"/>
        <v>-9111.7277498042567</v>
      </c>
      <c r="AU113" s="127">
        <f t="shared" si="44"/>
        <v>126.5174906551913</v>
      </c>
      <c r="AV113" s="125">
        <f t="shared" si="45"/>
        <v>31449.567964612401</v>
      </c>
      <c r="AX113" s="67"/>
    </row>
    <row r="114" spans="1:50" hidden="1" x14ac:dyDescent="0.35">
      <c r="A114" s="181" t="s">
        <v>128</v>
      </c>
      <c r="B114" s="64">
        <f t="shared" ref="B114:B123" si="83">B113+($C$2-$C$1)/$C$48</f>
        <v>651.35135135135215</v>
      </c>
      <c r="C114" s="115">
        <f t="shared" si="35"/>
        <v>6.5135135135135219E-2</v>
      </c>
      <c r="D114" s="340">
        <f t="shared" ref="D114:D123" si="84">10*$B$3*(C114*$G$3-$H$3*2/C114+$J$3*C114^2+$K$3*2*C114^3+$L$3*3*C114^4-$I$3+$E$3)</f>
        <v>285.86429316803759</v>
      </c>
      <c r="E114" s="137">
        <f t="shared" si="36"/>
        <v>213.95948410049294</v>
      </c>
      <c r="F114" s="127">
        <f t="shared" ref="F114:F123" si="85">($E$3-C114*($F$3+$G$3*LN(C114)+$H$3*C114^(-2)+$I$3*C114^(-1)+$J$3*C114+$K$3*C114^2+$L$3*C114^3))*$B$3*10</f>
        <v>146.50149406474338</v>
      </c>
      <c r="G114" s="137">
        <f t="shared" si="37"/>
        <v>25.865974394653929</v>
      </c>
      <c r="H114" s="340">
        <f t="shared" ref="H114:H123" si="86">10*$B$3*(C114*$G$7-$H$7*2/C114+$J$7*C114^2+$K$7*2*C114^3+$L$7*3*C114^4-$I$7+$E$7)</f>
        <v>281.38763473232319</v>
      </c>
      <c r="I114" s="137">
        <f t="shared" si="65"/>
        <v>189.71644657020298</v>
      </c>
      <c r="J114" s="127">
        <f t="shared" ref="J114:J123" si="87">($E$7-C114*($F$7+$G$7*LN(C114)+$H$7*C114^(-2)+$I$7*C114^(-1)+$J$7*C114+$K$7*C114^2+$L$7*C114^3))*$B$3*10</f>
        <v>157.81557088524488</v>
      </c>
      <c r="K114" s="137">
        <f t="shared" si="66"/>
        <v>25.876873265371049</v>
      </c>
      <c r="L114" s="137">
        <f t="shared" si="38"/>
        <v>9546.1271913071614</v>
      </c>
      <c r="M114" s="137">
        <f t="shared" si="39"/>
        <v>63.219248612969125</v>
      </c>
      <c r="N114" s="125">
        <f t="shared" si="40"/>
        <v>-31631.815824167374</v>
      </c>
      <c r="O114" s="125"/>
      <c r="Q114" s="130">
        <f t="shared" si="67"/>
        <v>0</v>
      </c>
      <c r="R114" s="130">
        <f t="shared" si="68"/>
        <v>92.539694999999995</v>
      </c>
      <c r="S114" s="130">
        <f t="shared" si="69"/>
        <v>-143.14900181881279</v>
      </c>
      <c r="T114" s="130">
        <f t="shared" si="70"/>
        <v>-16.01672972972975</v>
      </c>
      <c r="U114" s="130">
        <f t="shared" si="71"/>
        <v>3.4067879355734196</v>
      </c>
      <c r="V114" s="130">
        <f t="shared" si="72"/>
        <v>0</v>
      </c>
      <c r="W114" s="130">
        <f t="shared" si="73"/>
        <v>0</v>
      </c>
      <c r="X114" s="130">
        <f t="shared" si="74"/>
        <v>0</v>
      </c>
      <c r="Z114" s="130">
        <f t="shared" si="75"/>
        <v>-6657.6530000000002</v>
      </c>
      <c r="AA114" s="130">
        <f t="shared" si="76"/>
        <v>60275.855391891964</v>
      </c>
      <c r="AB114" s="130">
        <f t="shared" si="77"/>
        <v>-80773.430914415992</v>
      </c>
      <c r="AC114" s="130">
        <f t="shared" si="78"/>
        <v>-5216.2592768444247</v>
      </c>
      <c r="AD114" s="130">
        <f t="shared" si="79"/>
        <v>739.67197520107663</v>
      </c>
      <c r="AE114" s="130">
        <f t="shared" si="80"/>
        <v>0</v>
      </c>
      <c r="AF114" s="130">
        <f t="shared" si="81"/>
        <v>0</v>
      </c>
      <c r="AG114" s="130">
        <f t="shared" si="82"/>
        <v>0</v>
      </c>
      <c r="AP114" s="125">
        <f t="shared" ref="AP114:AP123" si="88">(H114-D114)</f>
        <v>-4.4766584357143984</v>
      </c>
      <c r="AQ114" s="125">
        <f t="shared" si="41"/>
        <v>-24.243037530289968</v>
      </c>
      <c r="AR114" s="125">
        <f t="shared" ref="AR114:AR123" si="89">(J114-F114)</f>
        <v>11.314076820501498</v>
      </c>
      <c r="AS114" s="125">
        <f t="shared" si="42"/>
        <v>1.0898870717120701E-2</v>
      </c>
      <c r="AT114" s="125">
        <f t="shared" si="43"/>
        <v>-9264.7395565748375</v>
      </c>
      <c r="AU114" s="127">
        <f t="shared" si="44"/>
        <v>126.49719795723385</v>
      </c>
      <c r="AV114" s="125">
        <f t="shared" si="45"/>
        <v>31789.63139505262</v>
      </c>
      <c r="AX114" s="67"/>
    </row>
    <row r="115" spans="1:50" hidden="1" x14ac:dyDescent="0.35">
      <c r="A115" s="181" t="s">
        <v>128</v>
      </c>
      <c r="B115" s="64">
        <f t="shared" si="83"/>
        <v>656.75675675675757</v>
      </c>
      <c r="C115" s="115">
        <f t="shared" si="35"/>
        <v>6.5675675675675754E-2</v>
      </c>
      <c r="D115" s="340">
        <f t="shared" si="84"/>
        <v>286.00397928301669</v>
      </c>
      <c r="E115" s="137">
        <f t="shared" si="36"/>
        <v>214.17305527008094</v>
      </c>
      <c r="F115" s="127">
        <f t="shared" si="85"/>
        <v>145.34437811915257</v>
      </c>
      <c r="G115" s="137">
        <f t="shared" si="37"/>
        <v>25.817825434784382</v>
      </c>
      <c r="H115" s="340">
        <f t="shared" si="86"/>
        <v>281.52739582089868</v>
      </c>
      <c r="I115" s="137">
        <f t="shared" si="65"/>
        <v>189.93013233535089</v>
      </c>
      <c r="J115" s="127">
        <f t="shared" si="87"/>
        <v>156.78949809795182</v>
      </c>
      <c r="K115" s="137">
        <f t="shared" si="66"/>
        <v>25.834723303385442</v>
      </c>
      <c r="L115" s="137">
        <f t="shared" si="38"/>
        <v>9699.386178898807</v>
      </c>
      <c r="M115" s="137">
        <f t="shared" si="39"/>
        <v>63.453571429085549</v>
      </c>
      <c r="N115" s="125">
        <f t="shared" si="40"/>
        <v>-31974.175597500674</v>
      </c>
      <c r="O115" s="125"/>
      <c r="Q115" s="130">
        <f t="shared" si="67"/>
        <v>0</v>
      </c>
      <c r="R115" s="130">
        <f t="shared" si="68"/>
        <v>92.539694999999995</v>
      </c>
      <c r="S115" s="130">
        <f t="shared" si="69"/>
        <v>-143.30718453733974</v>
      </c>
      <c r="T115" s="130">
        <f t="shared" si="70"/>
        <v>-16.149648648648668</v>
      </c>
      <c r="U115" s="130">
        <f t="shared" si="71"/>
        <v>3.4635667569028574</v>
      </c>
      <c r="V115" s="130">
        <f t="shared" si="72"/>
        <v>0</v>
      </c>
      <c r="W115" s="130">
        <f t="shared" si="73"/>
        <v>0</v>
      </c>
      <c r="X115" s="130">
        <f t="shared" si="74"/>
        <v>0</v>
      </c>
      <c r="Z115" s="130">
        <f t="shared" si="75"/>
        <v>-6657.6530000000002</v>
      </c>
      <c r="AA115" s="130">
        <f t="shared" si="76"/>
        <v>60776.069959459528</v>
      </c>
      <c r="AB115" s="130">
        <f t="shared" si="77"/>
        <v>-81547.637412361059</v>
      </c>
      <c r="AC115" s="130">
        <f t="shared" si="78"/>
        <v>-5303.1954346238263</v>
      </c>
      <c r="AD115" s="130">
        <f t="shared" si="79"/>
        <v>758.24029002468046</v>
      </c>
      <c r="AE115" s="130">
        <f t="shared" si="80"/>
        <v>0</v>
      </c>
      <c r="AF115" s="130">
        <f t="shared" si="81"/>
        <v>0</v>
      </c>
      <c r="AG115" s="130">
        <f t="shared" si="82"/>
        <v>0</v>
      </c>
      <c r="AP115" s="125">
        <f t="shared" si="88"/>
        <v>-4.4765834621180147</v>
      </c>
      <c r="AQ115" s="125">
        <f t="shared" si="41"/>
        <v>-24.242922934730046</v>
      </c>
      <c r="AR115" s="125">
        <f t="shared" si="89"/>
        <v>11.445119978799255</v>
      </c>
      <c r="AS115" s="125">
        <f t="shared" si="42"/>
        <v>1.6897868601059685E-2</v>
      </c>
      <c r="AT115" s="125">
        <f t="shared" si="43"/>
        <v>-9417.8587830779088</v>
      </c>
      <c r="AU115" s="127">
        <f t="shared" si="44"/>
        <v>126.47656090626535</v>
      </c>
      <c r="AV115" s="125">
        <f t="shared" si="45"/>
        <v>32130.965095598625</v>
      </c>
      <c r="AX115" s="67"/>
    </row>
    <row r="116" spans="1:50" hidden="1" x14ac:dyDescent="0.35">
      <c r="A116" s="181" t="s">
        <v>128</v>
      </c>
      <c r="B116" s="64">
        <f t="shared" si="83"/>
        <v>662.16216216216299</v>
      </c>
      <c r="C116" s="115">
        <f t="shared" si="35"/>
        <v>6.6216216216216303E-2</v>
      </c>
      <c r="D116" s="340">
        <f t="shared" si="84"/>
        <v>286.14340413514651</v>
      </c>
      <c r="E116" s="137">
        <f t="shared" si="36"/>
        <v>214.38447965695889</v>
      </c>
      <c r="F116" s="127">
        <f t="shared" si="85"/>
        <v>144.1861135514844</v>
      </c>
      <c r="G116" s="137">
        <f t="shared" si="37"/>
        <v>25.769310583336804</v>
      </c>
      <c r="H116" s="340">
        <f t="shared" si="86"/>
        <v>281.6669289898685</v>
      </c>
      <c r="I116" s="137">
        <f t="shared" si="65"/>
        <v>190.14172093860901</v>
      </c>
      <c r="J116" s="127">
        <f t="shared" si="87"/>
        <v>155.76227593592446</v>
      </c>
      <c r="K116" s="137">
        <f t="shared" si="66"/>
        <v>25.792546424686716</v>
      </c>
      <c r="L116" s="137">
        <f t="shared" si="38"/>
        <v>9852.7472855704582</v>
      </c>
      <c r="M116" s="137">
        <f t="shared" si="39"/>
        <v>63.686128404505737</v>
      </c>
      <c r="N116" s="125">
        <f t="shared" si="40"/>
        <v>-32317.797198494201</v>
      </c>
      <c r="O116" s="125"/>
      <c r="Q116" s="130">
        <f t="shared" si="67"/>
        <v>0</v>
      </c>
      <c r="R116" s="130">
        <f t="shared" si="68"/>
        <v>92.539694999999995</v>
      </c>
      <c r="S116" s="130">
        <f t="shared" si="69"/>
        <v>-143.46407066162772</v>
      </c>
      <c r="T116" s="130">
        <f t="shared" si="70"/>
        <v>-16.28256756756759</v>
      </c>
      <c r="U116" s="130">
        <f t="shared" si="71"/>
        <v>3.5208148246895634</v>
      </c>
      <c r="V116" s="130">
        <f t="shared" si="72"/>
        <v>0</v>
      </c>
      <c r="W116" s="130">
        <f t="shared" si="73"/>
        <v>0</v>
      </c>
      <c r="X116" s="130">
        <f t="shared" si="74"/>
        <v>0</v>
      </c>
      <c r="Z116" s="130">
        <f t="shared" si="75"/>
        <v>-6657.6530000000002</v>
      </c>
      <c r="AA116" s="130">
        <f t="shared" si="76"/>
        <v>61276.284527027099</v>
      </c>
      <c r="AB116" s="130">
        <f t="shared" si="77"/>
        <v>-82322.695438104944</v>
      </c>
      <c r="AC116" s="130">
        <f t="shared" si="78"/>
        <v>-5390.8500730460328</v>
      </c>
      <c r="AD116" s="130">
        <f t="shared" si="79"/>
        <v>777.11678562967938</v>
      </c>
      <c r="AE116" s="130">
        <f t="shared" si="80"/>
        <v>0</v>
      </c>
      <c r="AF116" s="130">
        <f t="shared" si="81"/>
        <v>0</v>
      </c>
      <c r="AG116" s="130">
        <f t="shared" si="82"/>
        <v>0</v>
      </c>
      <c r="AP116" s="125">
        <f t="shared" si="88"/>
        <v>-4.476475145278016</v>
      </c>
      <c r="AQ116" s="125">
        <f t="shared" si="41"/>
        <v>-24.242758718349876</v>
      </c>
      <c r="AR116" s="125">
        <f t="shared" si="89"/>
        <v>11.576162384440067</v>
      </c>
      <c r="AS116" s="125">
        <f t="shared" si="42"/>
        <v>2.3235841349912079E-2</v>
      </c>
      <c r="AT116" s="125">
        <f t="shared" si="43"/>
        <v>-9571.0803565805891</v>
      </c>
      <c r="AU116" s="127">
        <f t="shared" si="44"/>
        <v>126.45559253410327</v>
      </c>
      <c r="AV116" s="125">
        <f t="shared" si="45"/>
        <v>32473.559474430127</v>
      </c>
      <c r="AX116" s="67"/>
    </row>
    <row r="117" spans="1:50" hidden="1" x14ac:dyDescent="0.35">
      <c r="A117" s="181" t="s">
        <v>128</v>
      </c>
      <c r="B117" s="64">
        <f t="shared" si="83"/>
        <v>667.5675675675684</v>
      </c>
      <c r="C117" s="115">
        <f t="shared" ref="C117:C123" si="90">B117/10000</f>
        <v>6.6756756756756838E-2</v>
      </c>
      <c r="D117" s="340">
        <f t="shared" si="84"/>
        <v>286.28256580171097</v>
      </c>
      <c r="E117" s="137">
        <f t="shared" ref="E117:E123" si="91">$B$3*($F$3+$G$3+$G$3*LN(C117)-$H$3/C117^2+$J$3*2*C117+$K$3*3*C117^2+$L$3*4*C117^3)</f>
        <v>214.59378927669346</v>
      </c>
      <c r="F117" s="127">
        <f t="shared" si="85"/>
        <v>143.02671187916133</v>
      </c>
      <c r="G117" s="137">
        <f t="shared" ref="G117:G123" si="92">$B$3*($G$3+2*$H$3*C117^(-2)+2*$J$3*C117+ 6*$K$3*C117^2+ 12*$L$3*C117^3)</f>
        <v>25.720450080229927</v>
      </c>
      <c r="H117" s="340">
        <f t="shared" si="86"/>
        <v>281.80623414818297</v>
      </c>
      <c r="I117" s="137">
        <f t="shared" si="65"/>
        <v>190.35124634368094</v>
      </c>
      <c r="J117" s="127">
        <f t="shared" si="87"/>
        <v>154.73391564307687</v>
      </c>
      <c r="K117" s="137">
        <f t="shared" si="66"/>
        <v>25.750362608244551</v>
      </c>
      <c r="L117" s="137">
        <f t="shared" ref="L117:L123" si="93">N117+M117*B117</f>
        <v>10006.205438387507</v>
      </c>
      <c r="M117" s="137">
        <f t="shared" ref="M117:M123" si="94">-SUM(Q117:X117)</f>
        <v>63.916940622414117</v>
      </c>
      <c r="N117" s="125">
        <f t="shared" ref="N117:N123" si="95">SUM(Z117:AG117)</f>
        <v>-32662.671139278187</v>
      </c>
      <c r="O117" s="125"/>
      <c r="Q117" s="130">
        <f t="shared" si="67"/>
        <v>0</v>
      </c>
      <c r="R117" s="130">
        <f t="shared" si="68"/>
        <v>92.539694999999995</v>
      </c>
      <c r="S117" s="130">
        <f t="shared" si="69"/>
        <v>-143.61968127486114</v>
      </c>
      <c r="T117" s="130">
        <f t="shared" si="70"/>
        <v>-16.415486486486508</v>
      </c>
      <c r="U117" s="130">
        <f t="shared" si="71"/>
        <v>3.5785321389335372</v>
      </c>
      <c r="V117" s="130">
        <f t="shared" si="72"/>
        <v>0</v>
      </c>
      <c r="W117" s="130">
        <f t="shared" si="73"/>
        <v>0</v>
      </c>
      <c r="X117" s="130">
        <f t="shared" si="74"/>
        <v>0</v>
      </c>
      <c r="Z117" s="130">
        <f t="shared" si="75"/>
        <v>-6657.6530000000002</v>
      </c>
      <c r="AA117" s="130">
        <f t="shared" si="76"/>
        <v>61776.49909459467</v>
      </c>
      <c r="AB117" s="130">
        <f t="shared" si="77"/>
        <v>-83098.598040245226</v>
      </c>
      <c r="AC117" s="130">
        <f t="shared" si="78"/>
        <v>-5479.2231921110442</v>
      </c>
      <c r="AD117" s="130">
        <f t="shared" si="79"/>
        <v>796.30399848340971</v>
      </c>
      <c r="AE117" s="130">
        <f t="shared" si="80"/>
        <v>0</v>
      </c>
      <c r="AF117" s="130">
        <f t="shared" si="81"/>
        <v>0</v>
      </c>
      <c r="AG117" s="130">
        <f t="shared" si="82"/>
        <v>0</v>
      </c>
      <c r="AP117" s="125">
        <f t="shared" si="88"/>
        <v>-4.4763316535280069</v>
      </c>
      <c r="AQ117" s="125">
        <f t="shared" ref="AQ117:AQ123" si="96">I117-E117</f>
        <v>-24.242542933012516</v>
      </c>
      <c r="AR117" s="125">
        <f t="shared" si="89"/>
        <v>11.707203763915544</v>
      </c>
      <c r="AS117" s="125">
        <f t="shared" ref="AS117:AS123" si="97">K117-G117</f>
        <v>2.9912528014623518E-2</v>
      </c>
      <c r="AT117" s="125">
        <f t="shared" ref="AT117:AT123" si="98">H117-L117</f>
        <v>-9724.3992042393238</v>
      </c>
      <c r="AU117" s="127">
        <f t="shared" ref="AU117:AU123" si="99">I117-M117</f>
        <v>126.43430572126682</v>
      </c>
      <c r="AV117" s="125">
        <f t="shared" ref="AV117:AV123" si="100">J117-N117</f>
        <v>32817.405054921262</v>
      </c>
      <c r="AX117" s="67"/>
    </row>
    <row r="118" spans="1:50" hidden="1" x14ac:dyDescent="0.35">
      <c r="A118" s="181" t="s">
        <v>128</v>
      </c>
      <c r="B118" s="64">
        <f t="shared" si="83"/>
        <v>672.97297297297382</v>
      </c>
      <c r="C118" s="115">
        <f t="shared" si="90"/>
        <v>6.7297297297297387E-2</v>
      </c>
      <c r="D118" s="340">
        <f t="shared" si="84"/>
        <v>286.42146246719295</v>
      </c>
      <c r="E118" s="137">
        <f t="shared" si="91"/>
        <v>214.80101553020648</v>
      </c>
      <c r="F118" s="127">
        <f t="shared" si="85"/>
        <v>141.86618444821596</v>
      </c>
      <c r="G118" s="137">
        <f t="shared" si="92"/>
        <v>25.671263355812169</v>
      </c>
      <c r="H118" s="340">
        <f t="shared" si="86"/>
        <v>281.94531131013724</v>
      </c>
      <c r="I118" s="137">
        <f t="shared" si="65"/>
        <v>190.5587418497262</v>
      </c>
      <c r="J118" s="127">
        <f t="shared" si="87"/>
        <v>153.70442828153753</v>
      </c>
      <c r="K118" s="137">
        <f t="shared" si="66"/>
        <v>25.708190860636869</v>
      </c>
      <c r="L118" s="137">
        <f t="shared" si="93"/>
        <v>10159.755564415158</v>
      </c>
      <c r="M118" s="137">
        <f t="shared" si="94"/>
        <v>64.14602865590679</v>
      </c>
      <c r="N118" s="125">
        <f t="shared" si="95"/>
        <v>-33008.788044560009</v>
      </c>
      <c r="O118" s="125"/>
      <c r="Q118" s="130">
        <f t="shared" si="67"/>
        <v>0</v>
      </c>
      <c r="R118" s="130">
        <f t="shared" si="68"/>
        <v>92.539694999999995</v>
      </c>
      <c r="S118" s="130">
        <f t="shared" si="69"/>
        <v>-143.77403695013615</v>
      </c>
      <c r="T118" s="130">
        <f t="shared" si="70"/>
        <v>-16.548405405405425</v>
      </c>
      <c r="U118" s="130">
        <f t="shared" si="71"/>
        <v>3.6367186996347791</v>
      </c>
      <c r="V118" s="130">
        <f t="shared" si="72"/>
        <v>0</v>
      </c>
      <c r="W118" s="130">
        <f t="shared" si="73"/>
        <v>0</v>
      </c>
      <c r="X118" s="130">
        <f t="shared" si="74"/>
        <v>0</v>
      </c>
      <c r="Z118" s="130">
        <f t="shared" si="75"/>
        <v>-6657.6530000000002</v>
      </c>
      <c r="AA118" s="130">
        <f t="shared" si="76"/>
        <v>62276.713662162234</v>
      </c>
      <c r="AB118" s="130">
        <f t="shared" si="77"/>
        <v>-83875.338379956593</v>
      </c>
      <c r="AC118" s="130">
        <f t="shared" si="78"/>
        <v>-5568.3147918188606</v>
      </c>
      <c r="AD118" s="130">
        <f t="shared" si="79"/>
        <v>815.80446505320822</v>
      </c>
      <c r="AE118" s="130">
        <f t="shared" si="80"/>
        <v>0</v>
      </c>
      <c r="AF118" s="130">
        <f t="shared" si="81"/>
        <v>0</v>
      </c>
      <c r="AG118" s="130">
        <f t="shared" si="82"/>
        <v>0</v>
      </c>
      <c r="AP118" s="125">
        <f t="shared" si="88"/>
        <v>-4.4761511570557104</v>
      </c>
      <c r="AQ118" s="125">
        <f t="shared" si="96"/>
        <v>-24.242273680480281</v>
      </c>
      <c r="AR118" s="125">
        <f t="shared" si="89"/>
        <v>11.83824383332157</v>
      </c>
      <c r="AS118" s="125">
        <f t="shared" si="97"/>
        <v>3.6927504824699753E-2</v>
      </c>
      <c r="AT118" s="125">
        <f t="shared" si="98"/>
        <v>-9877.8102531050208</v>
      </c>
      <c r="AU118" s="127">
        <f t="shared" si="99"/>
        <v>126.41271319381941</v>
      </c>
      <c r="AV118" s="125">
        <f t="shared" si="100"/>
        <v>33162.49247284155</v>
      </c>
      <c r="AX118" s="67"/>
    </row>
    <row r="119" spans="1:50" hidden="1" x14ac:dyDescent="0.35">
      <c r="A119" s="181" t="s">
        <v>128</v>
      </c>
      <c r="B119" s="64">
        <f t="shared" si="83"/>
        <v>678.37837837837924</v>
      </c>
      <c r="C119" s="115">
        <f t="shared" si="90"/>
        <v>6.7837837837837922E-2</v>
      </c>
      <c r="D119" s="340">
        <f t="shared" si="84"/>
        <v>286.56009241900352</v>
      </c>
      <c r="E119" s="137">
        <f t="shared" si="91"/>
        <v>215.00618921712231</v>
      </c>
      <c r="F119" s="127">
        <f t="shared" si="85"/>
        <v>140.70454243657716</v>
      </c>
      <c r="G119" s="137">
        <f t="shared" si="92"/>
        <v>25.621769069411151</v>
      </c>
      <c r="H119" s="340">
        <f t="shared" si="86"/>
        <v>282.08416059024159</v>
      </c>
      <c r="I119" s="137">
        <f t="shared" si="65"/>
        <v>190.76424010503374</v>
      </c>
      <c r="J119" s="127">
        <f t="shared" si="87"/>
        <v>152.67382473520505</v>
      </c>
      <c r="K119" s="137">
        <f t="shared" si="66"/>
        <v>25.666049262352477</v>
      </c>
      <c r="L119" s="137">
        <f t="shared" si="93"/>
        <v>10313.392590718831</v>
      </c>
      <c r="M119" s="137">
        <f t="shared" si="94"/>
        <v>64.373412584315048</v>
      </c>
      <c r="N119" s="125">
        <f t="shared" si="95"/>
        <v>-33356.138648911161</v>
      </c>
      <c r="O119" s="125"/>
      <c r="Q119" s="130">
        <f t="shared" si="67"/>
        <v>0</v>
      </c>
      <c r="R119" s="130">
        <f t="shared" si="68"/>
        <v>92.539694999999995</v>
      </c>
      <c r="S119" s="130">
        <f t="shared" si="69"/>
        <v>-143.92715776678398</v>
      </c>
      <c r="T119" s="130">
        <f t="shared" si="70"/>
        <v>-16.681324324324347</v>
      </c>
      <c r="U119" s="130">
        <f t="shared" si="71"/>
        <v>3.6953745067932888</v>
      </c>
      <c r="V119" s="130">
        <f t="shared" si="72"/>
        <v>0</v>
      </c>
      <c r="W119" s="130">
        <f t="shared" si="73"/>
        <v>0</v>
      </c>
      <c r="X119" s="130">
        <f t="shared" si="74"/>
        <v>0</v>
      </c>
      <c r="Z119" s="130">
        <f t="shared" si="75"/>
        <v>-6657.6530000000002</v>
      </c>
      <c r="AA119" s="130">
        <f t="shared" si="76"/>
        <v>62776.928229729805</v>
      </c>
      <c r="AB119" s="130">
        <f t="shared" si="77"/>
        <v>-84652.909728277897</v>
      </c>
      <c r="AC119" s="130">
        <f t="shared" si="78"/>
        <v>-5658.1248721694819</v>
      </c>
      <c r="AD119" s="130">
        <f t="shared" si="79"/>
        <v>835.62072180641155</v>
      </c>
      <c r="AE119" s="130">
        <f t="shared" si="80"/>
        <v>0</v>
      </c>
      <c r="AF119" s="130">
        <f t="shared" si="81"/>
        <v>0</v>
      </c>
      <c r="AG119" s="130">
        <f t="shared" si="82"/>
        <v>0</v>
      </c>
      <c r="AP119" s="125">
        <f t="shared" si="88"/>
        <v>-4.4759318287619294</v>
      </c>
      <c r="AQ119" s="125">
        <f t="shared" si="96"/>
        <v>-24.241949112088577</v>
      </c>
      <c r="AR119" s="125">
        <f t="shared" si="89"/>
        <v>11.969282298627888</v>
      </c>
      <c r="AS119" s="125">
        <f t="shared" si="97"/>
        <v>4.428019294132568E-2</v>
      </c>
      <c r="AT119" s="125">
        <f t="shared" si="98"/>
        <v>-10031.308430128589</v>
      </c>
      <c r="AU119" s="127">
        <f t="shared" si="99"/>
        <v>126.39082752071869</v>
      </c>
      <c r="AV119" s="125">
        <f t="shared" si="100"/>
        <v>33508.812473646365</v>
      </c>
      <c r="AX119" s="67"/>
    </row>
    <row r="120" spans="1:50" hidden="1" x14ac:dyDescent="0.35">
      <c r="A120" s="181" t="s">
        <v>128</v>
      </c>
      <c r="B120" s="64">
        <f t="shared" si="83"/>
        <v>683.78378378378466</v>
      </c>
      <c r="C120" s="115">
        <f t="shared" si="90"/>
        <v>6.8378378378378471E-2</v>
      </c>
      <c r="D120" s="340">
        <f t="shared" si="84"/>
        <v>286.69845404341379</v>
      </c>
      <c r="E120" s="137">
        <f t="shared" si="91"/>
        <v>215.20934054888386</v>
      </c>
      <c r="F120" s="127">
        <f t="shared" si="85"/>
        <v>139.54179685728485</v>
      </c>
      <c r="G120" s="137">
        <f t="shared" si="92"/>
        <v>25.571985145758525</v>
      </c>
      <c r="H120" s="340">
        <f t="shared" si="86"/>
        <v>282.22278219833476</v>
      </c>
      <c r="I120" s="137">
        <f t="shared" si="65"/>
        <v>190.96777312050995</v>
      </c>
      <c r="J120" s="127">
        <f t="shared" si="87"/>
        <v>151.64211571322906</v>
      </c>
      <c r="K120" s="137">
        <f t="shared" si="66"/>
        <v>25.623955011541689</v>
      </c>
      <c r="L120" s="137">
        <f t="shared" si="93"/>
        <v>10467.111444363829</v>
      </c>
      <c r="M120" s="137">
        <f t="shared" si="94"/>
        <v>64.599112008880567</v>
      </c>
      <c r="N120" s="125">
        <f t="shared" si="95"/>
        <v>-33704.713794141047</v>
      </c>
      <c r="O120" s="125"/>
      <c r="Q120" s="130">
        <f t="shared" si="67"/>
        <v>0</v>
      </c>
      <c r="R120" s="130">
        <f t="shared" si="68"/>
        <v>92.539694999999995</v>
      </c>
      <c r="S120" s="130">
        <f t="shared" si="69"/>
        <v>-144.07906332604637</v>
      </c>
      <c r="T120" s="130">
        <f t="shared" si="70"/>
        <v>-16.814243243243265</v>
      </c>
      <c r="U120" s="130">
        <f t="shared" si="71"/>
        <v>3.7544995604090672</v>
      </c>
      <c r="V120" s="130">
        <f t="shared" si="72"/>
        <v>0</v>
      </c>
      <c r="W120" s="130">
        <f t="shared" si="73"/>
        <v>0</v>
      </c>
      <c r="X120" s="130">
        <f t="shared" si="74"/>
        <v>0</v>
      </c>
      <c r="Z120" s="130">
        <f t="shared" si="75"/>
        <v>-6657.6530000000002</v>
      </c>
      <c r="AA120" s="130">
        <f t="shared" si="76"/>
        <v>63277.142797297376</v>
      </c>
      <c r="AB120" s="130">
        <f t="shared" si="77"/>
        <v>-85431.305463485871</v>
      </c>
      <c r="AC120" s="130">
        <f t="shared" si="78"/>
        <v>-5748.6534331629073</v>
      </c>
      <c r="AD120" s="130">
        <f t="shared" si="79"/>
        <v>855.75530521035614</v>
      </c>
      <c r="AE120" s="130">
        <f t="shared" si="80"/>
        <v>0</v>
      </c>
      <c r="AF120" s="130">
        <f t="shared" si="81"/>
        <v>0</v>
      </c>
      <c r="AG120" s="130">
        <f t="shared" si="82"/>
        <v>0</v>
      </c>
      <c r="AP120" s="125">
        <f t="shared" si="88"/>
        <v>-4.4756718450790345</v>
      </c>
      <c r="AQ120" s="125">
        <f t="shared" si="96"/>
        <v>-24.241567428373912</v>
      </c>
      <c r="AR120" s="125">
        <f t="shared" si="89"/>
        <v>12.100318855944209</v>
      </c>
      <c r="AS120" s="125">
        <f t="shared" si="97"/>
        <v>5.1969865783163982E-2</v>
      </c>
      <c r="AT120" s="125">
        <f t="shared" si="98"/>
        <v>-10184.888662165495</v>
      </c>
      <c r="AU120" s="127">
        <f t="shared" si="99"/>
        <v>126.36866111162938</v>
      </c>
      <c r="AV120" s="125">
        <f t="shared" si="100"/>
        <v>33856.355909854276</v>
      </c>
      <c r="AX120" s="67"/>
    </row>
    <row r="121" spans="1:50" hidden="1" x14ac:dyDescent="0.35">
      <c r="A121" s="181" t="s">
        <v>128</v>
      </c>
      <c r="B121" s="64">
        <f t="shared" si="83"/>
        <v>689.18918918919007</v>
      </c>
      <c r="C121" s="115">
        <f t="shared" si="90"/>
        <v>6.8918918918919006E-2</v>
      </c>
      <c r="D121" s="340">
        <f t="shared" si="84"/>
        <v>286.83654582167765</v>
      </c>
      <c r="E121" s="137">
        <f t="shared" si="91"/>
        <v>215.41049916163061</v>
      </c>
      <c r="F121" s="127">
        <f t="shared" si="85"/>
        <v>138.37795856163464</v>
      </c>
      <c r="G121" s="137">
        <f t="shared" si="92"/>
        <v>25.521928809422903</v>
      </c>
      <c r="H121" s="340">
        <f t="shared" si="86"/>
        <v>282.36117643492742</v>
      </c>
      <c r="I121" s="137">
        <f t="shared" si="65"/>
        <v>191.16937228297053</v>
      </c>
      <c r="J121" s="127">
        <f t="shared" si="87"/>
        <v>150.60931175342051</v>
      </c>
      <c r="K121" s="137">
        <f t="shared" si="66"/>
        <v>25.58192446537441</v>
      </c>
      <c r="L121" s="137">
        <f t="shared" si="93"/>
        <v>10620.907052415474</v>
      </c>
      <c r="M121" s="137">
        <f t="shared" si="94"/>
        <v>64.823146067813994</v>
      </c>
      <c r="N121" s="125">
        <f t="shared" si="95"/>
        <v>-34054.504426753687</v>
      </c>
      <c r="O121" s="125"/>
      <c r="Q121" s="130">
        <f t="shared" si="67"/>
        <v>0</v>
      </c>
      <c r="R121" s="130">
        <f t="shared" si="68"/>
        <v>92.539694999999995</v>
      </c>
      <c r="S121" s="130">
        <f t="shared" si="69"/>
        <v>-144.22977276613392</v>
      </c>
      <c r="T121" s="130">
        <f t="shared" si="70"/>
        <v>-16.947162162162183</v>
      </c>
      <c r="U121" s="130">
        <f t="shared" si="71"/>
        <v>3.8140938604821129</v>
      </c>
      <c r="V121" s="130">
        <f t="shared" si="72"/>
        <v>0</v>
      </c>
      <c r="W121" s="130">
        <f t="shared" si="73"/>
        <v>0</v>
      </c>
      <c r="X121" s="130">
        <f t="shared" si="74"/>
        <v>0</v>
      </c>
      <c r="Z121" s="130">
        <f t="shared" si="75"/>
        <v>-6657.6530000000002</v>
      </c>
      <c r="AA121" s="130">
        <f t="shared" si="76"/>
        <v>63777.35736486494</v>
      </c>
      <c r="AB121" s="130">
        <f t="shared" si="77"/>
        <v>-86210.519068551861</v>
      </c>
      <c r="AC121" s="130">
        <f t="shared" si="78"/>
        <v>-5839.9004747991385</v>
      </c>
      <c r="AD121" s="130">
        <f t="shared" si="79"/>
        <v>876.21075173237841</v>
      </c>
      <c r="AE121" s="130">
        <f t="shared" si="80"/>
        <v>0</v>
      </c>
      <c r="AF121" s="130">
        <f t="shared" si="81"/>
        <v>0</v>
      </c>
      <c r="AG121" s="130">
        <f t="shared" si="82"/>
        <v>0</v>
      </c>
      <c r="AP121" s="125">
        <f t="shared" si="88"/>
        <v>-4.4753693867502307</v>
      </c>
      <c r="AQ121" s="125">
        <f t="shared" si="96"/>
        <v>-24.241126878660083</v>
      </c>
      <c r="AR121" s="125">
        <f t="shared" si="89"/>
        <v>12.231353191785871</v>
      </c>
      <c r="AS121" s="125">
        <f t="shared" si="97"/>
        <v>5.9995655951507132E-2</v>
      </c>
      <c r="AT121" s="125">
        <f t="shared" si="98"/>
        <v>-10338.545875980546</v>
      </c>
      <c r="AU121" s="127">
        <f t="shared" si="99"/>
        <v>126.34622621515653</v>
      </c>
      <c r="AV121" s="125">
        <f t="shared" si="100"/>
        <v>34205.113738507105</v>
      </c>
      <c r="AX121" s="67"/>
    </row>
    <row r="122" spans="1:50" hidden="1" x14ac:dyDescent="0.35">
      <c r="A122" s="181" t="s">
        <v>128</v>
      </c>
      <c r="B122" s="64">
        <f t="shared" si="83"/>
        <v>694.59459459459549</v>
      </c>
      <c r="C122" s="115">
        <f t="shared" si="90"/>
        <v>6.9459459459459555E-2</v>
      </c>
      <c r="D122" s="340">
        <f t="shared" si="84"/>
        <v>286.97436632633639</v>
      </c>
      <c r="E122" s="137">
        <f t="shared" si="91"/>
        <v>215.60969412883543</v>
      </c>
      <c r="F122" s="127">
        <f t="shared" si="85"/>
        <v>137.21303824225316</v>
      </c>
      <c r="G122" s="137">
        <f t="shared" si="92"/>
        <v>25.471616617374433</v>
      </c>
      <c r="H122" s="340">
        <f t="shared" si="86"/>
        <v>282.49934368676304</v>
      </c>
      <c r="I122" s="137">
        <f t="shared" si="65"/>
        <v>191.36906836822763</v>
      </c>
      <c r="J122" s="127">
        <f t="shared" si="87"/>
        <v>149.57542322558845</v>
      </c>
      <c r="K122" s="137">
        <f t="shared" si="66"/>
        <v>25.539973179154106</v>
      </c>
      <c r="L122" s="137">
        <f t="shared" si="93"/>
        <v>10774.774341939112</v>
      </c>
      <c r="M122" s="137">
        <f t="shared" si="94"/>
        <v>65.045533450764836</v>
      </c>
      <c r="N122" s="125">
        <f t="shared" si="95"/>
        <v>-34405.501595484093</v>
      </c>
      <c r="O122" s="125"/>
      <c r="Q122" s="130">
        <f t="shared" si="67"/>
        <v>0</v>
      </c>
      <c r="R122" s="130">
        <f t="shared" si="68"/>
        <v>92.539694999999995</v>
      </c>
      <c r="S122" s="130">
        <f t="shared" si="69"/>
        <v>-144.37930477669616</v>
      </c>
      <c r="T122" s="130">
        <f t="shared" si="70"/>
        <v>-17.080081081081104</v>
      </c>
      <c r="U122" s="130">
        <f t="shared" si="71"/>
        <v>3.8741574070124276</v>
      </c>
      <c r="V122" s="130">
        <f t="shared" si="72"/>
        <v>0</v>
      </c>
      <c r="W122" s="130">
        <f t="shared" si="73"/>
        <v>0</v>
      </c>
      <c r="X122" s="130">
        <f t="shared" si="74"/>
        <v>0</v>
      </c>
      <c r="Z122" s="130">
        <f t="shared" si="75"/>
        <v>-6657.6530000000002</v>
      </c>
      <c r="AA122" s="130">
        <f t="shared" si="76"/>
        <v>64277.571932432511</v>
      </c>
      <c r="AB122" s="130">
        <f t="shared" si="77"/>
        <v>-86990.544128678244</v>
      </c>
      <c r="AC122" s="130">
        <f t="shared" si="78"/>
        <v>-5931.8659970781746</v>
      </c>
      <c r="AD122" s="130">
        <f t="shared" si="79"/>
        <v>896.98959783981536</v>
      </c>
      <c r="AE122" s="130">
        <f t="shared" si="80"/>
        <v>0</v>
      </c>
      <c r="AF122" s="130">
        <f t="shared" si="81"/>
        <v>0</v>
      </c>
      <c r="AG122" s="130">
        <f t="shared" si="82"/>
        <v>0</v>
      </c>
      <c r="AP122" s="125">
        <f t="shared" si="88"/>
        <v>-4.4750226395733534</v>
      </c>
      <c r="AQ122" s="125">
        <f t="shared" si="96"/>
        <v>-24.240625760607799</v>
      </c>
      <c r="AR122" s="125">
        <f t="shared" si="89"/>
        <v>12.362384983335289</v>
      </c>
      <c r="AS122" s="125">
        <f t="shared" si="97"/>
        <v>6.8356561779673086E-2</v>
      </c>
      <c r="AT122" s="125">
        <f t="shared" si="98"/>
        <v>-10492.274998252349</v>
      </c>
      <c r="AU122" s="127">
        <f t="shared" si="99"/>
        <v>126.32353491746279</v>
      </c>
      <c r="AV122" s="125">
        <f t="shared" si="100"/>
        <v>34555.077018709679</v>
      </c>
      <c r="AX122" s="67"/>
    </row>
    <row r="123" spans="1:50" x14ac:dyDescent="0.35">
      <c r="A123" s="181" t="s">
        <v>128</v>
      </c>
      <c r="B123" s="64">
        <f t="shared" si="83"/>
        <v>700.00000000000091</v>
      </c>
      <c r="C123" s="115">
        <f t="shared" si="90"/>
        <v>7.000000000000009E-2</v>
      </c>
      <c r="D123" s="340">
        <f t="shared" si="84"/>
        <v>287.11191421769377</v>
      </c>
      <c r="E123" s="137">
        <f t="shared" si="91"/>
        <v>215.80695397369698</v>
      </c>
      <c r="F123" s="127">
        <f t="shared" si="85"/>
        <v>136.04704643610563</v>
      </c>
      <c r="G123" s="137">
        <f t="shared" si="92"/>
        <v>25.421064489795913</v>
      </c>
      <c r="H123" s="340">
        <f t="shared" si="86"/>
        <v>282.6372844225844</v>
      </c>
      <c r="I123" s="137">
        <f t="shared" si="65"/>
        <v>191.56689155396458</v>
      </c>
      <c r="J123" s="127">
        <f t="shared" si="87"/>
        <v>148.54046033480904</v>
      </c>
      <c r="K123" s="137">
        <f t="shared" si="66"/>
        <v>25.498115943325768</v>
      </c>
      <c r="L123" s="137">
        <f t="shared" si="93"/>
        <v>10928.708240000036</v>
      </c>
      <c r="M123" s="137">
        <f t="shared" si="94"/>
        <v>65.26629241273082</v>
      </c>
      <c r="N123" s="125">
        <f t="shared" si="95"/>
        <v>-34757.6964489116</v>
      </c>
      <c r="O123" s="125"/>
      <c r="Q123" s="130">
        <f t="shared" si="67"/>
        <v>0</v>
      </c>
      <c r="R123" s="130">
        <f t="shared" si="68"/>
        <v>92.539694999999995</v>
      </c>
      <c r="S123" s="130">
        <f t="shared" si="69"/>
        <v>-144.5276776127308</v>
      </c>
      <c r="T123" s="130">
        <f t="shared" si="70"/>
        <v>-17.213000000000022</v>
      </c>
      <c r="U123" s="130">
        <f t="shared" si="71"/>
        <v>3.9346902000000097</v>
      </c>
      <c r="V123" s="130">
        <f t="shared" si="72"/>
        <v>0</v>
      </c>
      <c r="W123" s="130">
        <f t="shared" si="73"/>
        <v>0</v>
      </c>
      <c r="X123" s="130">
        <f t="shared" si="74"/>
        <v>0</v>
      </c>
      <c r="Z123" s="130">
        <f t="shared" si="75"/>
        <v>-6657.6530000000002</v>
      </c>
      <c r="AA123" s="130">
        <f t="shared" si="76"/>
        <v>64777.786500000082</v>
      </c>
      <c r="AB123" s="130">
        <f t="shared" si="77"/>
        <v>-87771.374328911668</v>
      </c>
      <c r="AC123" s="130">
        <f t="shared" si="78"/>
        <v>-6024.5500000000156</v>
      </c>
      <c r="AD123" s="130">
        <f t="shared" si="79"/>
        <v>918.09438000000364</v>
      </c>
      <c r="AE123" s="130">
        <f t="shared" si="80"/>
        <v>0</v>
      </c>
      <c r="AF123" s="130">
        <f t="shared" si="81"/>
        <v>0</v>
      </c>
      <c r="AG123" s="130">
        <f t="shared" si="82"/>
        <v>0</v>
      </c>
      <c r="AP123" s="125">
        <f t="shared" si="88"/>
        <v>-4.4746297951093652</v>
      </c>
      <c r="AQ123" s="125">
        <f t="shared" si="96"/>
        <v>-24.240062419732396</v>
      </c>
      <c r="AR123" s="125">
        <f t="shared" si="89"/>
        <v>12.493413898703409</v>
      </c>
      <c r="AS123" s="125">
        <f t="shared" si="97"/>
        <v>7.7051453529854541E-2</v>
      </c>
      <c r="AT123" s="125">
        <f t="shared" si="98"/>
        <v>-10646.070955577452</v>
      </c>
      <c r="AU123" s="127">
        <f t="shared" si="99"/>
        <v>126.30059914123376</v>
      </c>
      <c r="AV123" s="125">
        <f t="shared" si="100"/>
        <v>34906.236909246407</v>
      </c>
      <c r="AX123" s="67"/>
    </row>
    <row r="124" spans="1:50" x14ac:dyDescent="0.35">
      <c r="B124" s="64"/>
      <c r="C124" s="115"/>
      <c r="D124" s="340"/>
      <c r="E124" s="137"/>
      <c r="F124" s="127"/>
      <c r="G124" s="137"/>
      <c r="H124" s="340"/>
      <c r="I124" s="137"/>
      <c r="J124" s="127"/>
      <c r="K124" s="137"/>
      <c r="L124" s="125"/>
      <c r="M124" s="125"/>
      <c r="AP124" s="125"/>
      <c r="AQ124" s="125"/>
      <c r="AR124" s="125"/>
      <c r="AS124" s="125"/>
      <c r="AT124" s="125"/>
      <c r="AU124" s="127"/>
      <c r="AV124" s="127"/>
      <c r="AW124" s="127"/>
      <c r="AX124" s="67"/>
    </row>
    <row r="125" spans="1:50" x14ac:dyDescent="0.35">
      <c r="B125" s="64"/>
      <c r="C125" s="115"/>
      <c r="D125" s="340"/>
      <c r="E125" s="137"/>
      <c r="F125" s="127"/>
      <c r="G125" s="137"/>
      <c r="H125" s="340"/>
      <c r="I125" s="137"/>
      <c r="J125" s="127"/>
      <c r="K125" s="137"/>
      <c r="L125" s="125"/>
      <c r="M125" s="125"/>
      <c r="AP125" s="125"/>
      <c r="AQ125" s="125"/>
      <c r="AR125" s="125"/>
      <c r="AS125" s="125"/>
      <c r="AT125" s="125"/>
      <c r="AU125" s="127"/>
      <c r="AV125" s="127"/>
      <c r="AW125" s="127"/>
      <c r="AX125" s="67"/>
    </row>
    <row r="126" spans="1:50" x14ac:dyDescent="0.35">
      <c r="B126" s="64"/>
      <c r="C126" s="115"/>
      <c r="D126" s="340"/>
      <c r="E126" s="137"/>
      <c r="F126" s="127"/>
      <c r="G126" s="137"/>
      <c r="H126" s="340"/>
      <c r="I126" s="137"/>
      <c r="J126" s="127"/>
      <c r="K126" s="137"/>
      <c r="L126" s="125"/>
      <c r="M126" s="125"/>
      <c r="AP126" s="125"/>
      <c r="AQ126" s="125"/>
      <c r="AR126" s="125"/>
      <c r="AS126" s="125"/>
      <c r="AT126" s="125"/>
      <c r="AU126" s="127"/>
      <c r="AV126" s="127"/>
      <c r="AW126" s="127"/>
      <c r="AX126" s="67"/>
    </row>
    <row r="127" spans="1:50" x14ac:dyDescent="0.35">
      <c r="B127" s="64"/>
      <c r="C127" s="115"/>
      <c r="D127" s="340"/>
      <c r="E127" s="137"/>
      <c r="F127" s="127"/>
      <c r="G127" s="137"/>
      <c r="H127" s="340"/>
      <c r="I127" s="137"/>
      <c r="J127" s="127"/>
      <c r="K127" s="137"/>
      <c r="L127" s="125"/>
      <c r="M127" s="125"/>
      <c r="AP127" s="125"/>
      <c r="AQ127" s="125"/>
      <c r="AR127" s="125"/>
      <c r="AS127" s="125"/>
      <c r="AT127" s="125"/>
      <c r="AU127" s="127"/>
      <c r="AV127" s="127"/>
      <c r="AW127" s="127"/>
      <c r="AX127" s="67"/>
    </row>
    <row r="128" spans="1:50" x14ac:dyDescent="0.35">
      <c r="B128" s="64"/>
      <c r="C128" s="115"/>
      <c r="D128" s="340"/>
      <c r="E128" s="137"/>
      <c r="F128" s="127"/>
      <c r="G128" s="137"/>
      <c r="H128" s="340"/>
      <c r="I128" s="137"/>
      <c r="J128" s="127"/>
      <c r="K128" s="137"/>
      <c r="L128" s="125"/>
      <c r="M128" s="125"/>
      <c r="AP128" s="125"/>
      <c r="AQ128" s="125"/>
      <c r="AR128" s="125"/>
      <c r="AS128" s="125"/>
      <c r="AT128" s="125"/>
      <c r="AU128" s="127"/>
      <c r="AV128" s="127"/>
      <c r="AW128" s="127"/>
      <c r="AX128" s="67"/>
    </row>
    <row r="129" spans="2:50" x14ac:dyDescent="0.35">
      <c r="B129" s="64"/>
      <c r="C129" s="115"/>
      <c r="D129" s="340"/>
      <c r="E129" s="137"/>
      <c r="F129" s="127"/>
      <c r="G129" s="137"/>
      <c r="H129" s="340"/>
      <c r="I129" s="137"/>
      <c r="J129" s="127"/>
      <c r="K129" s="137"/>
      <c r="L129" s="125"/>
      <c r="M129" s="125"/>
      <c r="AP129" s="125"/>
      <c r="AQ129" s="125"/>
      <c r="AR129" s="125"/>
      <c r="AS129" s="125"/>
      <c r="AT129" s="125"/>
      <c r="AU129" s="127"/>
      <c r="AV129" s="127"/>
      <c r="AW129" s="127"/>
      <c r="AX129" s="67"/>
    </row>
    <row r="130" spans="2:50" x14ac:dyDescent="0.35">
      <c r="B130" s="64"/>
      <c r="C130" s="115"/>
      <c r="D130" s="340"/>
      <c r="E130" s="137"/>
      <c r="F130" s="127"/>
      <c r="G130" s="137"/>
      <c r="H130" s="340"/>
      <c r="I130" s="137"/>
      <c r="J130" s="127"/>
      <c r="K130" s="137"/>
      <c r="L130" s="125"/>
      <c r="M130" s="125"/>
      <c r="AP130" s="125"/>
      <c r="AQ130" s="125"/>
      <c r="AR130" s="125"/>
      <c r="AS130" s="125"/>
      <c r="AT130" s="125"/>
      <c r="AU130" s="127"/>
      <c r="AV130" s="127"/>
      <c r="AW130" s="127"/>
      <c r="AX130" s="67"/>
    </row>
    <row r="131" spans="2:50" x14ac:dyDescent="0.35">
      <c r="B131" s="64"/>
      <c r="C131" s="115"/>
      <c r="D131" s="340"/>
      <c r="E131" s="137"/>
      <c r="F131" s="127"/>
      <c r="G131" s="137"/>
      <c r="H131" s="340"/>
      <c r="I131" s="137"/>
      <c r="J131" s="127"/>
      <c r="K131" s="137"/>
      <c r="L131" s="125"/>
      <c r="M131" s="125"/>
      <c r="AP131" s="125"/>
      <c r="AQ131" s="125"/>
      <c r="AR131" s="125"/>
      <c r="AS131" s="125"/>
      <c r="AT131" s="125"/>
      <c r="AU131" s="127"/>
      <c r="AV131" s="127"/>
      <c r="AW131" s="127"/>
      <c r="AX131" s="67"/>
    </row>
    <row r="132" spans="2:50" x14ac:dyDescent="0.35">
      <c r="B132" s="64"/>
      <c r="C132" s="115"/>
      <c r="D132" s="340"/>
      <c r="E132" s="137"/>
      <c r="F132" s="127"/>
      <c r="G132" s="137"/>
      <c r="H132" s="340"/>
      <c r="I132" s="137"/>
      <c r="J132" s="127"/>
      <c r="K132" s="137"/>
      <c r="L132" s="125"/>
      <c r="M132" s="125"/>
      <c r="AP132" s="125"/>
      <c r="AQ132" s="125"/>
      <c r="AR132" s="125"/>
      <c r="AS132" s="125"/>
      <c r="AT132" s="125"/>
      <c r="AU132" s="127"/>
      <c r="AV132" s="127"/>
      <c r="AW132" s="127"/>
      <c r="AX132" s="67"/>
    </row>
    <row r="133" spans="2:50" x14ac:dyDescent="0.35">
      <c r="B133" s="64"/>
      <c r="C133" s="115"/>
      <c r="D133" s="340"/>
      <c r="E133" s="137"/>
      <c r="F133" s="127"/>
      <c r="G133" s="137"/>
      <c r="H133" s="340"/>
      <c r="I133" s="137"/>
      <c r="J133" s="127"/>
      <c r="K133" s="137"/>
      <c r="L133" s="125"/>
      <c r="M133" s="125"/>
      <c r="AP133" s="125"/>
      <c r="AQ133" s="125"/>
      <c r="AR133" s="125"/>
      <c r="AS133" s="125"/>
      <c r="AT133" s="125"/>
      <c r="AU133" s="127"/>
      <c r="AV133" s="127"/>
      <c r="AW133" s="127"/>
      <c r="AX133" s="67"/>
    </row>
    <row r="134" spans="2:50" x14ac:dyDescent="0.35">
      <c r="B134" s="64"/>
      <c r="C134" s="115"/>
      <c r="D134" s="340"/>
      <c r="E134" s="137"/>
      <c r="F134" s="127"/>
      <c r="G134" s="137"/>
      <c r="H134" s="340"/>
      <c r="I134" s="137"/>
      <c r="J134" s="127"/>
      <c r="K134" s="137"/>
      <c r="L134" s="125"/>
      <c r="M134" s="125"/>
      <c r="AP134" s="125"/>
      <c r="AQ134" s="125"/>
      <c r="AR134" s="125"/>
      <c r="AS134" s="125"/>
      <c r="AT134" s="125"/>
      <c r="AU134" s="127"/>
      <c r="AV134" s="127"/>
      <c r="AW134" s="127"/>
      <c r="AX134" s="67"/>
    </row>
    <row r="135" spans="2:50" x14ac:dyDescent="0.35">
      <c r="B135" s="64"/>
      <c r="C135" s="115"/>
      <c r="D135" s="340"/>
      <c r="E135" s="137"/>
      <c r="F135" s="127"/>
      <c r="G135" s="137"/>
      <c r="H135" s="340"/>
      <c r="I135" s="137"/>
      <c r="J135" s="127"/>
      <c r="K135" s="137"/>
      <c r="L135" s="125"/>
      <c r="M135" s="125"/>
      <c r="AP135" s="125"/>
      <c r="AQ135" s="125"/>
      <c r="AR135" s="125"/>
      <c r="AS135" s="125"/>
      <c r="AT135" s="125"/>
      <c r="AU135" s="127"/>
      <c r="AV135" s="127"/>
      <c r="AW135" s="127"/>
      <c r="AX135" s="67"/>
    </row>
    <row r="136" spans="2:50" x14ac:dyDescent="0.35">
      <c r="B136" s="64"/>
      <c r="C136" s="115"/>
      <c r="D136" s="340"/>
      <c r="E136" s="137"/>
      <c r="F136" s="127"/>
      <c r="G136" s="137"/>
      <c r="H136" s="340"/>
      <c r="I136" s="137"/>
      <c r="J136" s="127"/>
      <c r="K136" s="137"/>
      <c r="L136" s="125"/>
      <c r="M136" s="125"/>
      <c r="AP136" s="125"/>
      <c r="AQ136" s="125"/>
      <c r="AR136" s="125"/>
      <c r="AS136" s="125"/>
      <c r="AT136" s="125"/>
      <c r="AU136" s="127"/>
      <c r="AV136" s="127"/>
      <c r="AW136" s="127"/>
      <c r="AX136" s="67"/>
    </row>
    <row r="137" spans="2:50" x14ac:dyDescent="0.35">
      <c r="B137" s="64"/>
      <c r="C137" s="115"/>
      <c r="D137" s="340"/>
      <c r="E137" s="137"/>
      <c r="F137" s="127"/>
      <c r="G137" s="137"/>
      <c r="H137" s="340"/>
      <c r="I137" s="137"/>
      <c r="J137" s="127"/>
      <c r="K137" s="137"/>
      <c r="L137" s="125"/>
      <c r="M137" s="125"/>
      <c r="AP137" s="125"/>
      <c r="AQ137" s="125"/>
      <c r="AR137" s="125"/>
      <c r="AS137" s="125"/>
      <c r="AT137" s="125"/>
      <c r="AU137" s="127"/>
      <c r="AV137" s="127"/>
      <c r="AW137" s="127"/>
      <c r="AX137" s="67"/>
    </row>
    <row r="138" spans="2:50" x14ac:dyDescent="0.35">
      <c r="B138" s="64"/>
      <c r="C138" s="115"/>
      <c r="D138" s="340"/>
      <c r="E138" s="137"/>
      <c r="F138" s="127"/>
      <c r="G138" s="137"/>
      <c r="H138" s="340"/>
      <c r="I138" s="137"/>
      <c r="J138" s="127"/>
      <c r="K138" s="137"/>
      <c r="L138" s="125"/>
      <c r="M138" s="125"/>
      <c r="AP138" s="125"/>
      <c r="AQ138" s="125"/>
      <c r="AR138" s="125"/>
      <c r="AS138" s="125"/>
      <c r="AT138" s="125"/>
      <c r="AU138" s="127"/>
      <c r="AV138" s="127"/>
      <c r="AW138" s="127"/>
      <c r="AX138" s="67"/>
    </row>
    <row r="139" spans="2:50" x14ac:dyDescent="0.35">
      <c r="B139" s="64"/>
      <c r="C139" s="115"/>
      <c r="D139" s="340"/>
      <c r="E139" s="137"/>
      <c r="F139" s="127"/>
      <c r="G139" s="137"/>
      <c r="H139" s="340"/>
      <c r="I139" s="137"/>
      <c r="J139" s="127"/>
      <c r="K139" s="137"/>
      <c r="L139" s="125"/>
      <c r="M139" s="125"/>
      <c r="AP139" s="125"/>
      <c r="AQ139" s="125"/>
      <c r="AR139" s="125"/>
      <c r="AS139" s="125"/>
      <c r="AT139" s="125"/>
      <c r="AU139" s="127"/>
      <c r="AV139" s="127"/>
      <c r="AW139" s="127"/>
      <c r="AX139" s="67"/>
    </row>
    <row r="140" spans="2:50" x14ac:dyDescent="0.35">
      <c r="B140" s="64"/>
      <c r="C140" s="115"/>
      <c r="D140" s="340"/>
      <c r="E140" s="137"/>
      <c r="F140" s="127"/>
      <c r="G140" s="137"/>
      <c r="H140" s="340"/>
      <c r="I140" s="137"/>
      <c r="J140" s="127"/>
      <c r="K140" s="137"/>
      <c r="L140" s="125"/>
      <c r="M140" s="125"/>
      <c r="AP140" s="125"/>
      <c r="AQ140" s="125"/>
      <c r="AR140" s="125"/>
      <c r="AS140" s="125"/>
      <c r="AT140" s="125"/>
      <c r="AU140" s="127"/>
      <c r="AV140" s="127"/>
      <c r="AW140" s="127"/>
      <c r="AX140" s="67"/>
    </row>
    <row r="141" spans="2:50" x14ac:dyDescent="0.35">
      <c r="B141" s="64"/>
      <c r="C141" s="115"/>
      <c r="D141" s="340"/>
      <c r="E141" s="137"/>
      <c r="F141" s="127"/>
      <c r="G141" s="137"/>
      <c r="H141" s="340"/>
      <c r="I141" s="137"/>
      <c r="J141" s="127"/>
      <c r="K141" s="137"/>
      <c r="L141" s="125"/>
      <c r="M141" s="125"/>
      <c r="AP141" s="125"/>
      <c r="AQ141" s="125"/>
      <c r="AR141" s="125"/>
      <c r="AS141" s="125"/>
      <c r="AT141" s="125"/>
      <c r="AU141" s="127"/>
      <c r="AV141" s="127"/>
      <c r="AW141" s="127"/>
      <c r="AX141" s="67"/>
    </row>
    <row r="142" spans="2:50" x14ac:dyDescent="0.35">
      <c r="B142" s="64"/>
      <c r="C142" s="115"/>
      <c r="D142" s="340"/>
      <c r="E142" s="137"/>
      <c r="F142" s="127"/>
      <c r="G142" s="137"/>
      <c r="H142" s="340"/>
      <c r="I142" s="137"/>
      <c r="J142" s="127"/>
      <c r="K142" s="137"/>
      <c r="L142" s="125"/>
      <c r="M142" s="125"/>
      <c r="AP142" s="125"/>
      <c r="AQ142" s="125"/>
      <c r="AR142" s="125"/>
      <c r="AS142" s="125"/>
      <c r="AT142" s="125"/>
      <c r="AU142" s="127"/>
      <c r="AV142" s="127"/>
      <c r="AW142" s="127"/>
      <c r="AX142" s="67"/>
    </row>
    <row r="143" spans="2:50" x14ac:dyDescent="0.35">
      <c r="B143" s="64"/>
      <c r="C143" s="115"/>
      <c r="D143" s="340"/>
      <c r="E143" s="137"/>
      <c r="F143" s="127"/>
      <c r="G143" s="137"/>
      <c r="H143" s="340"/>
      <c r="I143" s="137"/>
      <c r="J143" s="127"/>
      <c r="K143" s="137"/>
      <c r="L143" s="125"/>
      <c r="M143" s="125"/>
      <c r="AP143" s="125"/>
      <c r="AQ143" s="125"/>
      <c r="AR143" s="125"/>
      <c r="AS143" s="125"/>
      <c r="AT143" s="125"/>
      <c r="AU143" s="127"/>
      <c r="AV143" s="127"/>
      <c r="AW143" s="127"/>
      <c r="AX143" s="67"/>
    </row>
    <row r="144" spans="2:50" x14ac:dyDescent="0.35">
      <c r="B144" s="64"/>
      <c r="C144" s="115"/>
      <c r="D144" s="340"/>
      <c r="E144" s="137"/>
      <c r="F144" s="127"/>
      <c r="G144" s="137"/>
      <c r="H144" s="340"/>
      <c r="I144" s="137"/>
      <c r="J144" s="127"/>
      <c r="K144" s="137"/>
      <c r="L144" s="125"/>
      <c r="M144" s="125"/>
      <c r="AP144" s="125"/>
      <c r="AQ144" s="125"/>
      <c r="AR144" s="125"/>
      <c r="AS144" s="125"/>
      <c r="AT144" s="125"/>
      <c r="AU144" s="127"/>
      <c r="AV144" s="127"/>
      <c r="AW144" s="127"/>
      <c r="AX144" s="67"/>
    </row>
    <row r="145" spans="2:50" x14ac:dyDescent="0.35">
      <c r="B145" s="64"/>
      <c r="C145" s="115"/>
      <c r="D145" s="340"/>
      <c r="E145" s="137"/>
      <c r="F145" s="127"/>
      <c r="G145" s="137"/>
      <c r="H145" s="340"/>
      <c r="I145" s="137"/>
      <c r="J145" s="127"/>
      <c r="K145" s="137"/>
      <c r="L145" s="125"/>
      <c r="M145" s="125"/>
      <c r="AP145" s="125"/>
      <c r="AQ145" s="125"/>
      <c r="AR145" s="125"/>
      <c r="AS145" s="125"/>
      <c r="AT145" s="125"/>
      <c r="AU145" s="127"/>
      <c r="AV145" s="127"/>
      <c r="AW145" s="127"/>
      <c r="AX145" s="67"/>
    </row>
    <row r="146" spans="2:50" x14ac:dyDescent="0.35">
      <c r="B146" s="64"/>
      <c r="C146" s="115"/>
      <c r="D146" s="340"/>
      <c r="E146" s="137"/>
      <c r="F146" s="127"/>
      <c r="G146" s="137"/>
      <c r="H146" s="340"/>
      <c r="I146" s="137"/>
      <c r="J146" s="127"/>
      <c r="K146" s="137"/>
      <c r="L146" s="125"/>
      <c r="M146" s="125"/>
      <c r="AP146" s="125"/>
      <c r="AQ146" s="125"/>
      <c r="AR146" s="125"/>
      <c r="AS146" s="125"/>
      <c r="AT146" s="125"/>
      <c r="AU146" s="127"/>
      <c r="AV146" s="127"/>
      <c r="AW146" s="127"/>
      <c r="AX146" s="67"/>
    </row>
    <row r="147" spans="2:50" x14ac:dyDescent="0.35">
      <c r="B147" s="64"/>
      <c r="C147" s="115"/>
      <c r="D147" s="340"/>
      <c r="E147" s="137"/>
      <c r="F147" s="127"/>
      <c r="G147" s="137"/>
      <c r="H147" s="340"/>
      <c r="I147" s="137"/>
      <c r="J147" s="127"/>
      <c r="K147" s="137"/>
      <c r="L147" s="125"/>
      <c r="M147" s="125"/>
      <c r="AP147" s="125"/>
      <c r="AQ147" s="125"/>
      <c r="AR147" s="125"/>
      <c r="AS147" s="125"/>
      <c r="AT147" s="125"/>
      <c r="AU147" s="127"/>
      <c r="AV147" s="127"/>
      <c r="AW147" s="127"/>
      <c r="AX147" s="67"/>
    </row>
    <row r="148" spans="2:50" x14ac:dyDescent="0.35">
      <c r="B148" s="64"/>
      <c r="C148" s="115"/>
      <c r="D148" s="340"/>
      <c r="E148" s="137"/>
      <c r="F148" s="127"/>
      <c r="G148" s="137"/>
      <c r="H148" s="340"/>
      <c r="I148" s="137"/>
      <c r="J148" s="127"/>
      <c r="K148" s="137"/>
      <c r="L148" s="125"/>
      <c r="M148" s="125"/>
      <c r="AP148" s="125"/>
      <c r="AQ148" s="125"/>
      <c r="AR148" s="125"/>
      <c r="AS148" s="125"/>
      <c r="AT148" s="125"/>
      <c r="AU148" s="127"/>
      <c r="AV148" s="127"/>
      <c r="AW148" s="127"/>
      <c r="AX148" s="67"/>
    </row>
    <row r="149" spans="2:50" x14ac:dyDescent="0.35">
      <c r="B149" s="64"/>
      <c r="C149" s="115"/>
      <c r="D149" s="340"/>
      <c r="E149" s="137"/>
      <c r="F149" s="127"/>
      <c r="G149" s="137"/>
      <c r="H149" s="340"/>
      <c r="I149" s="137"/>
      <c r="J149" s="127"/>
      <c r="K149" s="137"/>
      <c r="L149" s="125"/>
      <c r="M149" s="125"/>
      <c r="AP149" s="125"/>
      <c r="AQ149" s="125"/>
      <c r="AR149" s="125"/>
      <c r="AS149" s="125"/>
      <c r="AT149" s="125"/>
      <c r="AU149" s="127"/>
      <c r="AV149" s="127"/>
      <c r="AW149" s="127"/>
      <c r="AX149" s="67"/>
    </row>
    <row r="150" spans="2:50" x14ac:dyDescent="0.35">
      <c r="B150" s="64"/>
      <c r="C150" s="115"/>
      <c r="D150" s="340"/>
      <c r="E150" s="137"/>
      <c r="F150" s="127"/>
      <c r="G150" s="137"/>
      <c r="H150" s="340"/>
      <c r="I150" s="137"/>
      <c r="J150" s="127"/>
      <c r="K150" s="137"/>
      <c r="L150" s="125"/>
      <c r="M150" s="125"/>
      <c r="AP150" s="125"/>
      <c r="AQ150" s="125"/>
      <c r="AR150" s="125"/>
      <c r="AS150" s="125"/>
      <c r="AT150" s="125"/>
      <c r="AU150" s="127"/>
      <c r="AV150" s="127"/>
      <c r="AW150" s="127"/>
      <c r="AX150" s="67"/>
    </row>
    <row r="151" spans="2:50" x14ac:dyDescent="0.35">
      <c r="B151" s="64"/>
      <c r="C151" s="115"/>
      <c r="D151" s="340"/>
      <c r="E151" s="137"/>
      <c r="F151" s="127"/>
      <c r="G151" s="137"/>
      <c r="H151" s="340"/>
      <c r="I151" s="137"/>
      <c r="J151" s="127"/>
      <c r="K151" s="137"/>
      <c r="L151" s="125"/>
      <c r="M151" s="125"/>
      <c r="AP151" s="125"/>
      <c r="AQ151" s="125"/>
      <c r="AR151" s="125"/>
      <c r="AS151" s="125"/>
      <c r="AT151" s="125"/>
      <c r="AU151" s="127"/>
      <c r="AV151" s="127"/>
      <c r="AW151" s="127"/>
      <c r="AX151" s="67"/>
    </row>
    <row r="152" spans="2:50" x14ac:dyDescent="0.35">
      <c r="B152" s="64"/>
      <c r="C152" s="115"/>
      <c r="D152" s="340"/>
      <c r="E152" s="137"/>
      <c r="F152" s="127"/>
      <c r="G152" s="137"/>
      <c r="H152" s="340"/>
      <c r="I152" s="137"/>
      <c r="J152" s="127"/>
      <c r="K152" s="137"/>
      <c r="L152" s="125"/>
      <c r="M152" s="125"/>
      <c r="AP152" s="125"/>
      <c r="AQ152" s="125"/>
      <c r="AR152" s="125"/>
      <c r="AS152" s="125"/>
      <c r="AT152" s="125"/>
      <c r="AU152" s="127"/>
      <c r="AV152" s="127"/>
      <c r="AW152" s="127"/>
      <c r="AX152" s="67"/>
    </row>
    <row r="153" spans="2:50" x14ac:dyDescent="0.35">
      <c r="B153" s="64"/>
      <c r="C153" s="115"/>
      <c r="D153" s="340"/>
      <c r="E153" s="137"/>
      <c r="F153" s="127"/>
      <c r="G153" s="137"/>
      <c r="H153" s="340"/>
      <c r="I153" s="137"/>
      <c r="J153" s="127"/>
      <c r="K153" s="137"/>
      <c r="L153" s="125"/>
      <c r="M153" s="125"/>
      <c r="AP153" s="125"/>
      <c r="AQ153" s="125"/>
      <c r="AR153" s="125"/>
      <c r="AS153" s="125"/>
      <c r="AT153" s="125"/>
      <c r="AU153" s="127"/>
      <c r="AV153" s="127"/>
      <c r="AW153" s="127"/>
      <c r="AX153" s="67"/>
    </row>
    <row r="154" spans="2:50" x14ac:dyDescent="0.35">
      <c r="B154" s="64"/>
      <c r="C154" s="115"/>
      <c r="D154" s="340"/>
      <c r="E154" s="137"/>
      <c r="F154" s="127"/>
      <c r="G154" s="137"/>
      <c r="H154" s="340"/>
      <c r="I154" s="137"/>
      <c r="J154" s="127"/>
      <c r="K154" s="137"/>
      <c r="L154" s="125"/>
      <c r="M154" s="125"/>
      <c r="AP154" s="125"/>
      <c r="AQ154" s="125"/>
      <c r="AR154" s="125"/>
      <c r="AS154" s="125"/>
      <c r="AT154" s="125"/>
      <c r="AU154" s="127"/>
      <c r="AV154" s="127"/>
      <c r="AW154" s="127"/>
      <c r="AX154" s="67"/>
    </row>
    <row r="155" spans="2:50" x14ac:dyDescent="0.35">
      <c r="B155" s="64"/>
      <c r="C155" s="115"/>
      <c r="D155" s="340"/>
      <c r="E155" s="137"/>
      <c r="F155" s="127"/>
      <c r="G155" s="137"/>
      <c r="H155" s="340"/>
      <c r="I155" s="137"/>
      <c r="J155" s="127"/>
      <c r="K155" s="137"/>
      <c r="L155" s="125"/>
      <c r="M155" s="125"/>
      <c r="AP155" s="125"/>
      <c r="AQ155" s="125"/>
      <c r="AR155" s="125"/>
      <c r="AS155" s="125"/>
      <c r="AT155" s="125"/>
      <c r="AU155" s="127"/>
      <c r="AV155" s="127"/>
      <c r="AW155" s="127"/>
      <c r="AX155" s="67"/>
    </row>
    <row r="156" spans="2:50" x14ac:dyDescent="0.35">
      <c r="B156" s="64"/>
      <c r="C156" s="115"/>
      <c r="D156" s="340"/>
      <c r="E156" s="137"/>
      <c r="F156" s="127"/>
      <c r="G156" s="137"/>
      <c r="H156" s="340"/>
      <c r="I156" s="137"/>
      <c r="J156" s="127"/>
      <c r="K156" s="137"/>
      <c r="L156" s="125"/>
      <c r="M156" s="125"/>
      <c r="AP156" s="125"/>
      <c r="AQ156" s="125"/>
      <c r="AR156" s="125"/>
      <c r="AS156" s="125"/>
      <c r="AT156" s="125"/>
      <c r="AU156" s="127"/>
      <c r="AV156" s="127"/>
      <c r="AW156" s="127"/>
      <c r="AX156" s="67"/>
    </row>
    <row r="157" spans="2:50" x14ac:dyDescent="0.35">
      <c r="B157" s="64"/>
      <c r="C157" s="115"/>
      <c r="D157" s="340"/>
      <c r="E157" s="137"/>
      <c r="F157" s="127"/>
      <c r="G157" s="137"/>
      <c r="H157" s="340"/>
      <c r="I157" s="137"/>
      <c r="J157" s="127"/>
      <c r="K157" s="137"/>
      <c r="L157" s="125"/>
      <c r="M157" s="125"/>
      <c r="AP157" s="125"/>
      <c r="AQ157" s="125"/>
      <c r="AR157" s="125"/>
      <c r="AS157" s="125"/>
      <c r="AT157" s="125"/>
      <c r="AU157" s="127"/>
      <c r="AV157" s="127"/>
      <c r="AW157" s="127"/>
      <c r="AX157" s="67"/>
    </row>
    <row r="158" spans="2:50" x14ac:dyDescent="0.35">
      <c r="B158" s="64"/>
      <c r="C158" s="115"/>
      <c r="D158" s="340"/>
      <c r="E158" s="137"/>
      <c r="F158" s="127"/>
      <c r="G158" s="137"/>
      <c r="H158" s="340"/>
      <c r="I158" s="137"/>
      <c r="J158" s="127"/>
      <c r="K158" s="137"/>
      <c r="L158" s="125"/>
      <c r="M158" s="125"/>
      <c r="AP158" s="125"/>
      <c r="AQ158" s="125"/>
      <c r="AR158" s="125"/>
      <c r="AS158" s="125"/>
      <c r="AT158" s="125"/>
      <c r="AU158" s="127"/>
      <c r="AV158" s="127"/>
      <c r="AW158" s="127"/>
      <c r="AX158" s="67"/>
    </row>
    <row r="159" spans="2:50" x14ac:dyDescent="0.35">
      <c r="B159" s="64"/>
      <c r="C159" s="115"/>
      <c r="D159" s="340"/>
      <c r="E159" s="137"/>
      <c r="F159" s="127"/>
      <c r="G159" s="137"/>
      <c r="H159" s="340"/>
      <c r="I159" s="137"/>
      <c r="J159" s="127"/>
      <c r="K159" s="137"/>
      <c r="L159" s="125"/>
      <c r="M159" s="125"/>
      <c r="AP159" s="125"/>
      <c r="AQ159" s="125"/>
      <c r="AR159" s="125"/>
      <c r="AS159" s="125"/>
      <c r="AT159" s="125"/>
      <c r="AU159" s="127"/>
      <c r="AV159" s="127"/>
      <c r="AW159" s="127"/>
      <c r="AX159" s="67"/>
    </row>
    <row r="160" spans="2:50" x14ac:dyDescent="0.35">
      <c r="B160" s="64"/>
      <c r="C160" s="115"/>
      <c r="D160" s="340"/>
      <c r="E160" s="137"/>
      <c r="F160" s="127"/>
      <c r="G160" s="137"/>
      <c r="H160" s="340"/>
      <c r="I160" s="137"/>
      <c r="J160" s="127"/>
      <c r="K160" s="137"/>
      <c r="L160" s="125"/>
      <c r="M160" s="125"/>
      <c r="AP160" s="125"/>
      <c r="AQ160" s="125"/>
      <c r="AR160" s="125"/>
      <c r="AS160" s="125"/>
      <c r="AT160" s="125"/>
      <c r="AU160" s="127"/>
      <c r="AV160" s="127"/>
      <c r="AW160" s="127"/>
      <c r="AX160" s="67"/>
    </row>
    <row r="161" spans="2:50" x14ac:dyDescent="0.35">
      <c r="B161" s="64"/>
      <c r="C161" s="115"/>
      <c r="D161" s="340"/>
      <c r="E161" s="137"/>
      <c r="F161" s="127"/>
      <c r="G161" s="137"/>
      <c r="H161" s="340"/>
      <c r="I161" s="137"/>
      <c r="J161" s="127"/>
      <c r="K161" s="137"/>
      <c r="L161" s="125"/>
      <c r="M161" s="125"/>
      <c r="AP161" s="125"/>
      <c r="AQ161" s="125"/>
      <c r="AR161" s="125"/>
      <c r="AS161" s="125"/>
      <c r="AT161" s="125"/>
      <c r="AU161" s="127"/>
      <c r="AV161" s="127"/>
      <c r="AW161" s="127"/>
      <c r="AX161" s="67"/>
    </row>
    <row r="162" spans="2:50" x14ac:dyDescent="0.35">
      <c r="B162" s="64"/>
      <c r="C162" s="115"/>
      <c r="D162" s="340"/>
      <c r="E162" s="137"/>
      <c r="F162" s="127"/>
      <c r="G162" s="137"/>
      <c r="H162" s="340"/>
      <c r="I162" s="137"/>
      <c r="J162" s="127"/>
      <c r="K162" s="137"/>
      <c r="L162" s="125"/>
      <c r="M162" s="125"/>
      <c r="AP162" s="125"/>
      <c r="AQ162" s="125"/>
      <c r="AR162" s="125"/>
      <c r="AS162" s="125"/>
      <c r="AT162" s="125"/>
      <c r="AU162" s="127"/>
      <c r="AV162" s="127"/>
      <c r="AW162" s="127"/>
      <c r="AX162" s="67"/>
    </row>
    <row r="163" spans="2:50" x14ac:dyDescent="0.35">
      <c r="B163" s="64"/>
      <c r="C163" s="115"/>
      <c r="D163" s="340"/>
      <c r="E163" s="137"/>
      <c r="F163" s="127"/>
      <c r="G163" s="137"/>
      <c r="H163" s="340"/>
      <c r="I163" s="137"/>
      <c r="J163" s="127"/>
      <c r="K163" s="137"/>
      <c r="L163" s="125"/>
      <c r="M163" s="125"/>
      <c r="AP163" s="125"/>
      <c r="AQ163" s="125"/>
      <c r="AR163" s="125"/>
      <c r="AS163" s="125"/>
      <c r="AT163" s="125"/>
      <c r="AU163" s="127"/>
      <c r="AV163" s="127"/>
      <c r="AW163" s="127"/>
      <c r="AX163" s="67"/>
    </row>
    <row r="164" spans="2:50" x14ac:dyDescent="0.35">
      <c r="B164" s="64"/>
      <c r="C164" s="115"/>
      <c r="D164" s="340"/>
      <c r="E164" s="137"/>
      <c r="F164" s="127"/>
      <c r="G164" s="137"/>
      <c r="H164" s="340"/>
      <c r="I164" s="137"/>
      <c r="J164" s="127"/>
      <c r="K164" s="137"/>
      <c r="L164" s="125"/>
      <c r="M164" s="125"/>
      <c r="AP164" s="125"/>
      <c r="AQ164" s="125"/>
      <c r="AR164" s="125"/>
      <c r="AS164" s="125"/>
      <c r="AT164" s="125"/>
      <c r="AU164" s="127"/>
      <c r="AV164" s="127"/>
      <c r="AW164" s="127"/>
      <c r="AX164" s="67"/>
    </row>
    <row r="165" spans="2:50" x14ac:dyDescent="0.35">
      <c r="B165" s="64"/>
      <c r="C165" s="115"/>
      <c r="D165" s="340"/>
      <c r="E165" s="137"/>
      <c r="F165" s="127"/>
      <c r="G165" s="137"/>
      <c r="H165" s="340"/>
      <c r="I165" s="137"/>
      <c r="J165" s="127"/>
      <c r="K165" s="137"/>
      <c r="L165" s="125"/>
      <c r="M165" s="125"/>
      <c r="AP165" s="125"/>
      <c r="AQ165" s="125"/>
      <c r="AR165" s="125"/>
      <c r="AS165" s="125"/>
      <c r="AT165" s="125"/>
      <c r="AU165" s="127"/>
      <c r="AV165" s="127"/>
      <c r="AW165" s="127"/>
      <c r="AX165" s="67"/>
    </row>
    <row r="166" spans="2:50" x14ac:dyDescent="0.35">
      <c r="B166" s="64"/>
      <c r="C166" s="115"/>
      <c r="D166" s="340"/>
      <c r="E166" s="137"/>
      <c r="F166" s="127"/>
      <c r="G166" s="137"/>
      <c r="H166" s="340"/>
      <c r="I166" s="137"/>
      <c r="J166" s="127"/>
      <c r="K166" s="137"/>
      <c r="L166" s="125"/>
      <c r="M166" s="125"/>
      <c r="AP166" s="125"/>
      <c r="AQ166" s="125"/>
      <c r="AR166" s="125"/>
      <c r="AS166" s="125"/>
      <c r="AT166" s="125"/>
      <c r="AU166" s="127"/>
      <c r="AV166" s="127"/>
      <c r="AW166" s="127"/>
      <c r="AX166" s="67"/>
    </row>
    <row r="167" spans="2:50" x14ac:dyDescent="0.35">
      <c r="B167" s="64"/>
      <c r="C167" s="115"/>
      <c r="D167" s="340"/>
      <c r="E167" s="137"/>
      <c r="F167" s="127"/>
      <c r="G167" s="137"/>
      <c r="H167" s="340"/>
      <c r="I167" s="137"/>
      <c r="J167" s="127"/>
      <c r="K167" s="137"/>
      <c r="L167" s="125"/>
      <c r="M167" s="125"/>
      <c r="AP167" s="125"/>
      <c r="AQ167" s="125"/>
      <c r="AR167" s="125"/>
      <c r="AS167" s="125"/>
      <c r="AT167" s="125"/>
      <c r="AU167" s="127"/>
      <c r="AV167" s="127"/>
      <c r="AW167" s="127"/>
      <c r="AX167" s="67"/>
    </row>
    <row r="168" spans="2:50" x14ac:dyDescent="0.35">
      <c r="B168" s="64"/>
      <c r="C168" s="115"/>
      <c r="D168" s="340"/>
      <c r="E168" s="137"/>
      <c r="F168" s="127"/>
      <c r="G168" s="137"/>
      <c r="H168" s="340"/>
      <c r="I168" s="137"/>
      <c r="J168" s="127"/>
      <c r="K168" s="137"/>
      <c r="L168" s="125"/>
      <c r="M168" s="125"/>
      <c r="AP168" s="125"/>
      <c r="AQ168" s="125"/>
      <c r="AR168" s="125"/>
      <c r="AS168" s="125"/>
      <c r="AT168" s="125"/>
      <c r="AU168" s="127"/>
      <c r="AV168" s="127"/>
      <c r="AW168" s="127"/>
      <c r="AX168" s="67"/>
    </row>
    <row r="169" spans="2:50" x14ac:dyDescent="0.35">
      <c r="B169" s="64"/>
      <c r="C169" s="115"/>
      <c r="D169" s="340"/>
      <c r="E169" s="137"/>
      <c r="F169" s="127"/>
      <c r="G169" s="137"/>
      <c r="H169" s="340"/>
      <c r="I169" s="137"/>
      <c r="J169" s="127"/>
      <c r="K169" s="137"/>
      <c r="L169" s="125"/>
      <c r="M169" s="125"/>
      <c r="AP169" s="125"/>
      <c r="AQ169" s="125"/>
      <c r="AR169" s="125"/>
      <c r="AS169" s="125"/>
      <c r="AT169" s="125"/>
      <c r="AU169" s="127"/>
      <c r="AV169" s="127"/>
      <c r="AW169" s="127"/>
      <c r="AX169" s="67"/>
    </row>
    <row r="170" spans="2:50" ht="21.75" customHeight="1" x14ac:dyDescent="0.35">
      <c r="B170" s="64"/>
      <c r="C170" s="115"/>
      <c r="D170" s="137"/>
      <c r="E170" s="137"/>
      <c r="F170" s="67"/>
      <c r="G170" s="137"/>
      <c r="H170" s="67"/>
      <c r="I170" s="137"/>
      <c r="J170" s="67"/>
      <c r="K170" s="64"/>
      <c r="L170" s="140"/>
      <c r="M170" s="140"/>
      <c r="U170" s="140"/>
      <c r="V170" s="140"/>
      <c r="W170" s="140"/>
      <c r="X170" s="140"/>
      <c r="Y170" s="140"/>
      <c r="Z170" s="140"/>
      <c r="AA170" s="140"/>
      <c r="AB170" s="140"/>
      <c r="AP170" s="125"/>
      <c r="AQ170" s="125"/>
      <c r="AR170" s="125"/>
      <c r="AS170" s="125"/>
      <c r="AT170" s="125"/>
      <c r="AU170" s="127"/>
      <c r="AV170" s="127"/>
      <c r="AW170" s="127"/>
    </row>
    <row r="171" spans="2:50" ht="21.75" customHeight="1" x14ac:dyDescent="0.35">
      <c r="B171" s="64"/>
      <c r="C171" s="115"/>
      <c r="D171" s="137"/>
      <c r="E171" s="137"/>
      <c r="F171" s="67"/>
      <c r="G171" s="137"/>
      <c r="H171" s="67"/>
      <c r="I171" s="137"/>
      <c r="J171" s="67"/>
      <c r="K171" s="64"/>
      <c r="L171" s="140"/>
      <c r="M171" s="140"/>
      <c r="U171" s="140"/>
      <c r="V171" s="140"/>
      <c r="W171" s="140"/>
      <c r="X171" s="140"/>
      <c r="Y171" s="140"/>
      <c r="Z171" s="140"/>
      <c r="AA171" s="140"/>
      <c r="AB171" s="140"/>
      <c r="AP171" s="125"/>
      <c r="AQ171" s="125"/>
      <c r="AR171" s="125"/>
      <c r="AS171" s="125"/>
      <c r="AT171" s="125"/>
      <c r="AU171" s="127"/>
      <c r="AV171" s="127"/>
      <c r="AW171" s="127"/>
    </row>
    <row r="172" spans="2:50" ht="21.75" customHeight="1" x14ac:dyDescent="0.35">
      <c r="B172" s="64"/>
      <c r="C172" s="115"/>
      <c r="D172" s="137"/>
      <c r="E172" s="137"/>
      <c r="F172" s="67"/>
      <c r="G172" s="137"/>
      <c r="H172" s="67"/>
      <c r="I172" s="137"/>
      <c r="J172" s="67"/>
      <c r="K172" s="64"/>
      <c r="L172" s="140"/>
      <c r="M172" s="140"/>
      <c r="U172" s="140"/>
      <c r="V172" s="140"/>
      <c r="W172" s="140"/>
      <c r="X172" s="140"/>
      <c r="Y172" s="140"/>
      <c r="Z172" s="140"/>
      <c r="AA172" s="140"/>
      <c r="AB172" s="140"/>
      <c r="AP172" s="125"/>
      <c r="AQ172" s="125"/>
      <c r="AR172" s="125"/>
      <c r="AS172" s="125"/>
      <c r="AT172" s="125"/>
      <c r="AU172" s="127"/>
      <c r="AV172" s="127"/>
      <c r="AW172" s="127"/>
    </row>
    <row r="173" spans="2:50" ht="21.75" customHeight="1" x14ac:dyDescent="0.35">
      <c r="B173" s="64"/>
      <c r="C173" s="115"/>
      <c r="D173" s="137"/>
      <c r="E173" s="137"/>
      <c r="F173" s="67"/>
      <c r="G173" s="137"/>
      <c r="H173" s="67"/>
      <c r="I173" s="137"/>
      <c r="J173" s="67"/>
      <c r="K173" s="64"/>
      <c r="L173" s="140"/>
      <c r="M173" s="140"/>
      <c r="U173" s="140"/>
      <c r="V173" s="140"/>
      <c r="W173" s="140"/>
      <c r="X173" s="140"/>
      <c r="Y173" s="140"/>
      <c r="Z173" s="140"/>
      <c r="AA173" s="140"/>
      <c r="AB173" s="140"/>
      <c r="AP173" s="125"/>
      <c r="AQ173" s="125"/>
      <c r="AR173" s="125"/>
      <c r="AS173" s="125"/>
      <c r="AT173" s="125"/>
      <c r="AU173" s="127"/>
      <c r="AV173" s="127"/>
      <c r="AW173" s="127"/>
    </row>
    <row r="174" spans="2:50" ht="21.75" customHeight="1" x14ac:dyDescent="0.35">
      <c r="B174" s="64"/>
      <c r="C174" s="115"/>
      <c r="D174" s="137"/>
      <c r="E174" s="137"/>
      <c r="F174" s="67"/>
      <c r="G174" s="137"/>
      <c r="H174" s="67"/>
      <c r="I174" s="137"/>
      <c r="J174" s="67"/>
      <c r="K174" s="64"/>
      <c r="L174" s="140"/>
      <c r="M174" s="140"/>
      <c r="U174" s="140"/>
      <c r="V174" s="140"/>
      <c r="W174" s="140"/>
      <c r="X174" s="140"/>
      <c r="Y174" s="140"/>
      <c r="Z174" s="140"/>
      <c r="AA174" s="140"/>
      <c r="AB174" s="140"/>
      <c r="AP174" s="125"/>
      <c r="AQ174" s="125"/>
      <c r="AR174" s="125"/>
      <c r="AS174" s="125"/>
      <c r="AT174" s="125"/>
      <c r="AU174" s="127"/>
      <c r="AV174" s="127"/>
      <c r="AW174" s="127"/>
    </row>
    <row r="175" spans="2:50" ht="21.75" customHeight="1" x14ac:dyDescent="0.35">
      <c r="B175" s="64"/>
      <c r="C175" s="115"/>
      <c r="D175" s="137"/>
      <c r="E175" s="137"/>
      <c r="F175" s="67"/>
      <c r="G175" s="137"/>
      <c r="H175" s="67"/>
      <c r="I175" s="137"/>
      <c r="J175" s="67"/>
      <c r="K175" s="64"/>
      <c r="L175" s="140"/>
      <c r="M175" s="140"/>
      <c r="U175" s="140"/>
      <c r="V175" s="140"/>
      <c r="W175" s="140"/>
      <c r="X175" s="140"/>
      <c r="Y175" s="140"/>
      <c r="Z175" s="140"/>
      <c r="AA175" s="140"/>
      <c r="AB175" s="140"/>
      <c r="AP175" s="125"/>
      <c r="AQ175" s="125"/>
      <c r="AR175" s="125"/>
      <c r="AS175" s="125"/>
      <c r="AT175" s="125"/>
      <c r="AU175" s="127"/>
      <c r="AV175" s="127"/>
      <c r="AW175" s="127"/>
    </row>
    <row r="176" spans="2:50" ht="21.75" customHeight="1" x14ac:dyDescent="0.35">
      <c r="B176" s="64"/>
      <c r="C176" s="115"/>
      <c r="D176" s="137"/>
      <c r="E176" s="137"/>
      <c r="F176" s="67"/>
      <c r="G176" s="137"/>
      <c r="H176" s="67"/>
      <c r="I176" s="137"/>
      <c r="J176" s="67"/>
      <c r="K176" s="64"/>
      <c r="L176" s="140"/>
      <c r="M176" s="140"/>
      <c r="U176" s="140"/>
      <c r="V176" s="140"/>
      <c r="W176" s="140"/>
      <c r="X176" s="140"/>
      <c r="Y176" s="140"/>
      <c r="Z176" s="140"/>
      <c r="AA176" s="140"/>
      <c r="AB176" s="140"/>
      <c r="AP176" s="125"/>
      <c r="AQ176" s="125"/>
      <c r="AR176" s="125"/>
      <c r="AS176" s="125"/>
      <c r="AT176" s="125"/>
      <c r="AU176" s="127"/>
      <c r="AV176" s="127"/>
      <c r="AW176" s="127"/>
    </row>
    <row r="177" spans="2:49" ht="21.75" customHeight="1" x14ac:dyDescent="0.35">
      <c r="B177" s="64"/>
      <c r="C177" s="115"/>
      <c r="D177" s="137"/>
      <c r="E177" s="137"/>
      <c r="F177" s="67"/>
      <c r="G177" s="137"/>
      <c r="H177" s="67"/>
      <c r="I177" s="137"/>
      <c r="J177" s="67"/>
      <c r="K177" s="64"/>
      <c r="L177" s="140"/>
      <c r="M177" s="140"/>
      <c r="U177" s="140"/>
      <c r="V177" s="140"/>
      <c r="W177" s="140"/>
      <c r="X177" s="140"/>
      <c r="Y177" s="140"/>
      <c r="Z177" s="140"/>
      <c r="AA177" s="140"/>
      <c r="AB177" s="140"/>
      <c r="AP177" s="125"/>
      <c r="AQ177" s="125"/>
      <c r="AR177" s="125"/>
      <c r="AS177" s="125"/>
      <c r="AT177" s="125"/>
      <c r="AU177" s="127"/>
      <c r="AV177" s="127"/>
      <c r="AW177" s="127"/>
    </row>
    <row r="178" spans="2:49" ht="21.75" customHeight="1" x14ac:dyDescent="0.35">
      <c r="B178" s="64"/>
      <c r="C178" s="115"/>
      <c r="D178" s="137"/>
      <c r="E178" s="137"/>
      <c r="F178" s="67"/>
      <c r="G178" s="137"/>
      <c r="H178" s="67"/>
      <c r="I178" s="137"/>
      <c r="J178" s="67"/>
      <c r="K178" s="64"/>
      <c r="L178" s="140"/>
      <c r="M178" s="140"/>
      <c r="U178" s="140"/>
      <c r="V178" s="140"/>
      <c r="W178" s="140"/>
      <c r="X178" s="140"/>
      <c r="Y178" s="140"/>
      <c r="Z178" s="140"/>
      <c r="AA178" s="140"/>
      <c r="AB178" s="140"/>
      <c r="AP178" s="125"/>
      <c r="AQ178" s="125"/>
      <c r="AR178" s="125"/>
      <c r="AS178" s="125"/>
      <c r="AT178" s="125"/>
      <c r="AU178" s="127"/>
      <c r="AV178" s="127"/>
      <c r="AW178" s="127"/>
    </row>
    <row r="179" spans="2:49" ht="21.75" customHeight="1" x14ac:dyDescent="0.35">
      <c r="B179" s="64"/>
      <c r="C179" s="115"/>
      <c r="D179" s="137"/>
      <c r="E179" s="137"/>
      <c r="F179" s="67"/>
      <c r="G179" s="137"/>
      <c r="H179" s="67"/>
      <c r="I179" s="137"/>
      <c r="J179" s="67"/>
      <c r="K179" s="64"/>
      <c r="L179" s="140"/>
      <c r="M179" s="140"/>
      <c r="U179" s="140"/>
      <c r="V179" s="140"/>
      <c r="W179" s="140"/>
      <c r="X179" s="140"/>
      <c r="Y179" s="140"/>
      <c r="Z179" s="140"/>
      <c r="AA179" s="140"/>
      <c r="AB179" s="140"/>
      <c r="AP179" s="125"/>
      <c r="AQ179" s="125"/>
      <c r="AR179" s="125"/>
      <c r="AS179" s="125"/>
      <c r="AT179" s="125"/>
      <c r="AU179" s="127"/>
      <c r="AV179" s="127"/>
      <c r="AW179" s="127"/>
    </row>
    <row r="180" spans="2:49" ht="21.75" customHeight="1" x14ac:dyDescent="0.35">
      <c r="B180" s="64"/>
      <c r="C180" s="115"/>
      <c r="D180" s="137"/>
      <c r="E180" s="137"/>
      <c r="F180" s="67"/>
      <c r="G180" s="137"/>
      <c r="H180" s="67"/>
      <c r="I180" s="137"/>
      <c r="J180" s="67"/>
      <c r="K180" s="64"/>
      <c r="L180" s="140"/>
      <c r="M180" s="140"/>
      <c r="U180" s="140"/>
      <c r="V180" s="140"/>
      <c r="W180" s="140"/>
      <c r="X180" s="140"/>
      <c r="Y180" s="140"/>
      <c r="Z180" s="140"/>
      <c r="AA180" s="140"/>
      <c r="AB180" s="140"/>
      <c r="AP180" s="125"/>
      <c r="AQ180" s="125"/>
      <c r="AR180" s="125"/>
      <c r="AS180" s="125"/>
      <c r="AT180" s="125"/>
      <c r="AU180" s="127"/>
      <c r="AV180" s="127"/>
      <c r="AW180" s="127"/>
    </row>
    <row r="181" spans="2:49" ht="21.75" customHeight="1" x14ac:dyDescent="0.35">
      <c r="B181" s="64"/>
      <c r="C181" s="115"/>
      <c r="D181" s="137"/>
      <c r="E181" s="137"/>
      <c r="F181" s="67"/>
      <c r="G181" s="137"/>
      <c r="H181" s="67"/>
      <c r="I181" s="137"/>
      <c r="J181" s="67"/>
      <c r="K181" s="64"/>
      <c r="L181" s="140"/>
      <c r="M181" s="140"/>
      <c r="U181" s="140"/>
      <c r="V181" s="140"/>
      <c r="W181" s="140"/>
      <c r="X181" s="140"/>
      <c r="Y181" s="140"/>
      <c r="Z181" s="140"/>
      <c r="AA181" s="140"/>
      <c r="AB181" s="140"/>
      <c r="AP181" s="125"/>
      <c r="AQ181" s="125"/>
      <c r="AR181" s="125"/>
      <c r="AS181" s="125"/>
      <c r="AT181" s="125"/>
      <c r="AU181" s="127"/>
      <c r="AV181" s="127"/>
      <c r="AW181" s="127"/>
    </row>
    <row r="182" spans="2:49" ht="21.75" customHeight="1" x14ac:dyDescent="0.35">
      <c r="B182" s="64"/>
      <c r="C182" s="115"/>
      <c r="D182" s="137"/>
      <c r="E182" s="137"/>
      <c r="F182" s="67"/>
      <c r="G182" s="137"/>
      <c r="H182" s="67"/>
      <c r="I182" s="137"/>
      <c r="J182" s="67"/>
      <c r="K182" s="64"/>
      <c r="L182" s="140"/>
      <c r="M182" s="140"/>
      <c r="U182" s="140"/>
      <c r="V182" s="140"/>
      <c r="W182" s="140"/>
      <c r="X182" s="140"/>
      <c r="Y182" s="140"/>
      <c r="Z182" s="140"/>
      <c r="AA182" s="140"/>
      <c r="AB182" s="140"/>
      <c r="AP182" s="125"/>
      <c r="AQ182" s="125"/>
      <c r="AR182" s="125"/>
      <c r="AS182" s="125"/>
      <c r="AT182" s="125"/>
      <c r="AU182" s="127"/>
      <c r="AV182" s="127"/>
      <c r="AW182" s="127"/>
    </row>
    <row r="183" spans="2:49" ht="21.75" customHeight="1" x14ac:dyDescent="0.35">
      <c r="B183" s="64"/>
      <c r="C183" s="115"/>
      <c r="D183" s="137"/>
      <c r="E183" s="137"/>
      <c r="F183" s="67"/>
      <c r="G183" s="137"/>
      <c r="H183" s="67"/>
      <c r="I183" s="137"/>
      <c r="J183" s="67"/>
      <c r="K183" s="64"/>
      <c r="L183" s="140"/>
      <c r="M183" s="140"/>
      <c r="U183" s="140"/>
      <c r="V183" s="140"/>
      <c r="W183" s="140"/>
      <c r="X183" s="140"/>
      <c r="Y183" s="140"/>
      <c r="Z183" s="140"/>
      <c r="AA183" s="140"/>
      <c r="AB183" s="140"/>
      <c r="AP183" s="125"/>
      <c r="AQ183" s="125"/>
      <c r="AR183" s="125"/>
      <c r="AS183" s="125"/>
      <c r="AT183" s="125"/>
      <c r="AU183" s="127"/>
      <c r="AV183" s="127"/>
      <c r="AW183" s="127"/>
    </row>
    <row r="184" spans="2:49" ht="21.75" customHeight="1" x14ac:dyDescent="0.35">
      <c r="B184" s="64"/>
      <c r="C184" s="115"/>
      <c r="D184" s="137"/>
      <c r="E184" s="137"/>
      <c r="F184" s="67"/>
      <c r="G184" s="137"/>
      <c r="H184" s="67"/>
      <c r="I184" s="137"/>
      <c r="J184" s="67"/>
      <c r="K184" s="64"/>
      <c r="L184" s="140"/>
      <c r="M184" s="140"/>
      <c r="U184" s="140"/>
      <c r="V184" s="140"/>
      <c r="W184" s="140"/>
      <c r="X184" s="140"/>
      <c r="Y184" s="140"/>
      <c r="Z184" s="140"/>
      <c r="AA184" s="140"/>
      <c r="AB184" s="140"/>
      <c r="AP184" s="125"/>
      <c r="AQ184" s="125"/>
      <c r="AR184" s="125"/>
      <c r="AS184" s="125"/>
      <c r="AT184" s="125"/>
      <c r="AU184" s="127"/>
      <c r="AV184" s="127"/>
      <c r="AW184" s="127"/>
    </row>
    <row r="185" spans="2:49" ht="21.75" customHeight="1" x14ac:dyDescent="0.35">
      <c r="B185" s="64"/>
      <c r="C185" s="115"/>
      <c r="D185" s="137"/>
      <c r="E185" s="137"/>
      <c r="F185" s="67"/>
      <c r="G185" s="137"/>
      <c r="H185" s="67"/>
      <c r="I185" s="137"/>
      <c r="J185" s="67"/>
      <c r="K185" s="64"/>
      <c r="L185" s="140"/>
      <c r="M185" s="140"/>
      <c r="U185" s="140"/>
      <c r="V185" s="140"/>
      <c r="W185" s="140"/>
      <c r="X185" s="140"/>
      <c r="Y185" s="140"/>
      <c r="Z185" s="140"/>
      <c r="AA185" s="140"/>
      <c r="AB185" s="140"/>
      <c r="AP185" s="125"/>
      <c r="AQ185" s="125"/>
      <c r="AR185" s="125"/>
      <c r="AS185" s="125"/>
      <c r="AT185" s="125"/>
      <c r="AU185" s="127"/>
      <c r="AV185" s="127"/>
      <c r="AW185" s="127"/>
    </row>
    <row r="186" spans="2:49" ht="21.75" customHeight="1" x14ac:dyDescent="0.35">
      <c r="B186" s="64"/>
      <c r="C186" s="115"/>
      <c r="D186" s="137"/>
      <c r="E186" s="137"/>
      <c r="F186" s="67"/>
      <c r="G186" s="137"/>
      <c r="H186" s="67"/>
      <c r="I186" s="137"/>
      <c r="J186" s="67"/>
      <c r="K186" s="64"/>
      <c r="L186" s="140"/>
      <c r="M186" s="140"/>
      <c r="U186" s="140"/>
      <c r="V186" s="140"/>
      <c r="W186" s="140"/>
      <c r="X186" s="140"/>
      <c r="Y186" s="140"/>
      <c r="Z186" s="140"/>
      <c r="AA186" s="140"/>
      <c r="AB186" s="140"/>
      <c r="AP186" s="125"/>
      <c r="AQ186" s="125"/>
      <c r="AR186" s="125"/>
      <c r="AS186" s="125"/>
      <c r="AT186" s="125"/>
      <c r="AU186" s="127"/>
      <c r="AV186" s="127"/>
      <c r="AW186" s="127"/>
    </row>
    <row r="187" spans="2:49" ht="21.75" customHeight="1" x14ac:dyDescent="0.35">
      <c r="B187" s="64"/>
      <c r="C187" s="115"/>
      <c r="D187" s="137"/>
      <c r="E187" s="137"/>
      <c r="F187" s="67"/>
      <c r="G187" s="137"/>
      <c r="H187" s="67"/>
      <c r="I187" s="137"/>
      <c r="J187" s="67"/>
      <c r="K187" s="64"/>
      <c r="L187" s="140"/>
      <c r="M187" s="140"/>
      <c r="U187" s="140"/>
      <c r="V187" s="140"/>
      <c r="W187" s="140"/>
      <c r="X187" s="140"/>
      <c r="Y187" s="140"/>
      <c r="Z187" s="140"/>
      <c r="AA187" s="140"/>
      <c r="AB187" s="140"/>
      <c r="AP187" s="125"/>
      <c r="AQ187" s="125"/>
      <c r="AR187" s="125"/>
      <c r="AS187" s="125"/>
      <c r="AT187" s="125"/>
      <c r="AU187" s="127"/>
      <c r="AV187" s="127"/>
      <c r="AW187" s="127"/>
    </row>
    <row r="188" spans="2:49" ht="21.75" customHeight="1" x14ac:dyDescent="0.35">
      <c r="B188" s="64"/>
      <c r="C188" s="115"/>
      <c r="D188" s="137"/>
      <c r="E188" s="137"/>
      <c r="F188" s="67"/>
      <c r="G188" s="137"/>
      <c r="H188" s="67"/>
      <c r="I188" s="137"/>
      <c r="J188" s="67"/>
      <c r="K188" s="64"/>
      <c r="L188" s="140"/>
      <c r="M188" s="140"/>
      <c r="U188" s="140"/>
      <c r="V188" s="140"/>
      <c r="W188" s="140"/>
      <c r="X188" s="140"/>
      <c r="Y188" s="140"/>
      <c r="Z188" s="140"/>
      <c r="AA188" s="140"/>
      <c r="AB188" s="140"/>
      <c r="AP188" s="125"/>
      <c r="AQ188" s="125"/>
      <c r="AR188" s="125"/>
      <c r="AS188" s="125"/>
      <c r="AT188" s="125"/>
      <c r="AU188" s="127"/>
      <c r="AV188" s="127"/>
      <c r="AW188" s="127"/>
    </row>
    <row r="189" spans="2:49" ht="21.75" customHeight="1" x14ac:dyDescent="0.35">
      <c r="B189" s="64"/>
      <c r="C189" s="115"/>
      <c r="D189" s="137"/>
      <c r="E189" s="137"/>
      <c r="F189" s="67"/>
      <c r="G189" s="137"/>
      <c r="H189" s="67"/>
      <c r="I189" s="137"/>
      <c r="J189" s="67"/>
      <c r="K189" s="64"/>
      <c r="L189" s="140"/>
      <c r="M189" s="140"/>
      <c r="U189" s="140"/>
      <c r="V189" s="140"/>
      <c r="W189" s="140"/>
      <c r="X189" s="140"/>
      <c r="Y189" s="140"/>
      <c r="Z189" s="140"/>
      <c r="AA189" s="140"/>
      <c r="AB189" s="140"/>
      <c r="AP189" s="125"/>
      <c r="AQ189" s="125"/>
      <c r="AR189" s="125"/>
      <c r="AS189" s="125"/>
      <c r="AT189" s="125"/>
      <c r="AU189" s="127"/>
      <c r="AV189" s="127"/>
      <c r="AW189" s="127"/>
    </row>
    <row r="190" spans="2:49" ht="21.75" customHeight="1" x14ac:dyDescent="0.35">
      <c r="B190" s="64"/>
      <c r="C190" s="115"/>
      <c r="D190" s="137"/>
      <c r="E190" s="137"/>
      <c r="F190" s="67"/>
      <c r="G190" s="137"/>
      <c r="H190" s="67"/>
      <c r="I190" s="137"/>
      <c r="J190" s="67"/>
      <c r="K190" s="64"/>
      <c r="L190" s="140"/>
      <c r="M190" s="140"/>
      <c r="U190" s="140"/>
      <c r="V190" s="140"/>
      <c r="W190" s="140"/>
      <c r="X190" s="140"/>
      <c r="Y190" s="140"/>
      <c r="Z190" s="140"/>
      <c r="AA190" s="140"/>
      <c r="AB190" s="140"/>
      <c r="AP190" s="125"/>
      <c r="AQ190" s="125"/>
      <c r="AR190" s="125"/>
      <c r="AS190" s="125"/>
      <c r="AT190" s="125"/>
      <c r="AU190" s="127"/>
      <c r="AV190" s="127"/>
      <c r="AW190" s="127"/>
    </row>
    <row r="191" spans="2:49" ht="21.75" customHeight="1" x14ac:dyDescent="0.35">
      <c r="B191" s="64"/>
      <c r="C191" s="115"/>
      <c r="D191" s="137"/>
      <c r="E191" s="137"/>
      <c r="F191" s="67"/>
      <c r="G191" s="137"/>
      <c r="H191" s="67"/>
      <c r="I191" s="137"/>
      <c r="J191" s="67"/>
      <c r="K191" s="64"/>
      <c r="L191" s="140"/>
      <c r="M191" s="140"/>
      <c r="U191" s="140"/>
      <c r="V191" s="140"/>
      <c r="W191" s="140"/>
      <c r="X191" s="140"/>
      <c r="Y191" s="140"/>
      <c r="Z191" s="140"/>
      <c r="AA191" s="140"/>
      <c r="AB191" s="140"/>
      <c r="AP191" s="125"/>
      <c r="AQ191" s="125"/>
      <c r="AR191" s="125"/>
      <c r="AS191" s="125"/>
      <c r="AT191" s="125"/>
      <c r="AU191" s="127"/>
      <c r="AV191" s="127"/>
      <c r="AW191" s="127"/>
    </row>
    <row r="192" spans="2:49" ht="21.75" customHeight="1" x14ac:dyDescent="0.35">
      <c r="B192" s="64"/>
      <c r="C192" s="115"/>
      <c r="D192" s="137"/>
      <c r="E192" s="137"/>
      <c r="F192" s="67"/>
      <c r="G192" s="137"/>
      <c r="H192" s="67"/>
      <c r="I192" s="137"/>
      <c r="J192" s="67"/>
      <c r="K192" s="64"/>
      <c r="L192" s="140"/>
      <c r="M192" s="140"/>
      <c r="U192" s="140"/>
      <c r="V192" s="140"/>
      <c r="W192" s="140"/>
      <c r="X192" s="140"/>
      <c r="Y192" s="140"/>
      <c r="Z192" s="140"/>
      <c r="AA192" s="140"/>
      <c r="AB192" s="140"/>
      <c r="AP192" s="125"/>
      <c r="AQ192" s="125"/>
      <c r="AR192" s="125"/>
      <c r="AS192" s="125"/>
      <c r="AT192" s="125"/>
      <c r="AU192" s="127"/>
      <c r="AV192" s="127"/>
      <c r="AW192" s="127"/>
    </row>
    <row r="193" spans="2:49" ht="21.75" customHeight="1" x14ac:dyDescent="0.35">
      <c r="B193" s="64"/>
      <c r="C193" s="115"/>
      <c r="D193" s="137"/>
      <c r="E193" s="137"/>
      <c r="F193" s="67"/>
      <c r="G193" s="137"/>
      <c r="H193" s="67"/>
      <c r="I193" s="137"/>
      <c r="J193" s="67"/>
      <c r="K193" s="64"/>
      <c r="L193" s="140"/>
      <c r="M193" s="140"/>
      <c r="U193" s="140"/>
      <c r="V193" s="140"/>
      <c r="W193" s="140"/>
      <c r="X193" s="140"/>
      <c r="Y193" s="140"/>
      <c r="Z193" s="140"/>
      <c r="AA193" s="140"/>
      <c r="AB193" s="140"/>
      <c r="AP193" s="125"/>
      <c r="AQ193" s="125"/>
      <c r="AR193" s="125"/>
      <c r="AS193" s="125"/>
      <c r="AT193" s="125"/>
      <c r="AU193" s="127"/>
      <c r="AV193" s="127"/>
      <c r="AW193" s="127"/>
    </row>
    <row r="194" spans="2:49" ht="21.75" customHeight="1" x14ac:dyDescent="0.35">
      <c r="B194" s="64"/>
      <c r="C194" s="115"/>
      <c r="D194" s="137"/>
      <c r="E194" s="137"/>
      <c r="F194" s="67"/>
      <c r="G194" s="137"/>
      <c r="H194" s="67"/>
      <c r="I194" s="137"/>
      <c r="J194" s="67"/>
      <c r="K194" s="64"/>
      <c r="L194" s="140"/>
      <c r="M194" s="140"/>
      <c r="U194" s="140"/>
      <c r="V194" s="140"/>
      <c r="W194" s="140"/>
      <c r="X194" s="140"/>
      <c r="Y194" s="140"/>
      <c r="Z194" s="140"/>
      <c r="AA194" s="140"/>
      <c r="AB194" s="140"/>
      <c r="AP194" s="125"/>
      <c r="AQ194" s="125"/>
      <c r="AR194" s="125"/>
      <c r="AS194" s="125"/>
      <c r="AT194" s="125"/>
      <c r="AU194" s="127"/>
      <c r="AV194" s="127"/>
      <c r="AW194" s="127"/>
    </row>
    <row r="195" spans="2:49" ht="21.75" customHeight="1" x14ac:dyDescent="0.35">
      <c r="B195" s="64"/>
      <c r="C195" s="115"/>
      <c r="D195" s="137"/>
      <c r="E195" s="137"/>
      <c r="F195" s="67"/>
      <c r="G195" s="137"/>
      <c r="H195" s="67"/>
      <c r="I195" s="137"/>
      <c r="J195" s="67"/>
      <c r="K195" s="64"/>
      <c r="L195" s="140"/>
      <c r="M195" s="140"/>
      <c r="U195" s="140"/>
      <c r="V195" s="140"/>
      <c r="W195" s="140"/>
      <c r="X195" s="140"/>
      <c r="Y195" s="140"/>
      <c r="Z195" s="140"/>
      <c r="AA195" s="140"/>
      <c r="AB195" s="140"/>
      <c r="AP195" s="125"/>
      <c r="AQ195" s="125"/>
      <c r="AR195" s="125"/>
      <c r="AS195" s="125"/>
      <c r="AT195" s="125"/>
      <c r="AU195" s="127"/>
      <c r="AV195" s="127"/>
      <c r="AW195" s="127"/>
    </row>
    <row r="196" spans="2:49" ht="21.75" customHeight="1" x14ac:dyDescent="0.35">
      <c r="B196" s="64"/>
      <c r="C196" s="115"/>
      <c r="D196" s="137"/>
      <c r="E196" s="137"/>
      <c r="F196" s="67"/>
      <c r="G196" s="137"/>
      <c r="H196" s="67"/>
      <c r="I196" s="137"/>
      <c r="J196" s="67"/>
      <c r="K196" s="64"/>
      <c r="L196" s="140"/>
      <c r="M196" s="140"/>
      <c r="U196" s="140"/>
      <c r="V196" s="140"/>
      <c r="W196" s="140"/>
      <c r="X196" s="140"/>
      <c r="Y196" s="140"/>
      <c r="Z196" s="140"/>
      <c r="AA196" s="140"/>
      <c r="AB196" s="140"/>
      <c r="AP196" s="125"/>
      <c r="AQ196" s="125"/>
      <c r="AR196" s="125"/>
      <c r="AS196" s="125"/>
      <c r="AT196" s="125"/>
      <c r="AU196" s="127"/>
      <c r="AV196" s="127"/>
      <c r="AW196" s="127"/>
    </row>
    <row r="197" spans="2:49" ht="21.75" customHeight="1" x14ac:dyDescent="0.35">
      <c r="B197" s="64"/>
      <c r="C197" s="115"/>
      <c r="D197" s="137"/>
      <c r="E197" s="137"/>
      <c r="F197" s="67"/>
      <c r="G197" s="137"/>
      <c r="H197" s="67"/>
      <c r="I197" s="137"/>
      <c r="J197" s="67"/>
      <c r="K197" s="64"/>
      <c r="L197" s="140"/>
      <c r="M197" s="140"/>
      <c r="U197" s="140"/>
      <c r="V197" s="140"/>
      <c r="W197" s="140"/>
      <c r="X197" s="140"/>
      <c r="Y197" s="140"/>
      <c r="Z197" s="140"/>
      <c r="AA197" s="140"/>
      <c r="AB197" s="140"/>
      <c r="AP197" s="125"/>
      <c r="AQ197" s="125"/>
      <c r="AR197" s="125"/>
      <c r="AS197" s="125"/>
      <c r="AT197" s="125"/>
      <c r="AU197" s="127"/>
      <c r="AV197" s="127"/>
      <c r="AW197" s="127"/>
    </row>
    <row r="198" spans="2:49" ht="21.75" customHeight="1" x14ac:dyDescent="0.35">
      <c r="B198" s="64"/>
      <c r="C198" s="115"/>
      <c r="D198" s="137"/>
      <c r="E198" s="137"/>
      <c r="F198" s="67"/>
      <c r="G198" s="137"/>
      <c r="H198" s="67"/>
      <c r="I198" s="137"/>
      <c r="J198" s="67"/>
      <c r="K198" s="64"/>
      <c r="L198" s="140"/>
      <c r="M198" s="140"/>
      <c r="U198" s="140"/>
      <c r="V198" s="140"/>
      <c r="W198" s="140"/>
      <c r="X198" s="140"/>
      <c r="Y198" s="140"/>
      <c r="Z198" s="140"/>
      <c r="AA198" s="140"/>
      <c r="AB198" s="140"/>
      <c r="AP198" s="125"/>
      <c r="AQ198" s="125"/>
      <c r="AR198" s="125"/>
      <c r="AS198" s="125"/>
      <c r="AT198" s="125"/>
      <c r="AU198" s="127"/>
      <c r="AV198" s="127"/>
      <c r="AW198" s="127"/>
    </row>
    <row r="199" spans="2:49" ht="21.75" customHeight="1" x14ac:dyDescent="0.35">
      <c r="B199" s="64"/>
      <c r="C199" s="115"/>
      <c r="D199" s="137"/>
      <c r="E199" s="137"/>
      <c r="F199" s="67"/>
      <c r="G199" s="137"/>
      <c r="H199" s="67"/>
      <c r="I199" s="137"/>
      <c r="J199" s="67"/>
      <c r="K199" s="64"/>
      <c r="L199" s="140"/>
      <c r="M199" s="140"/>
      <c r="U199" s="140"/>
      <c r="V199" s="140"/>
      <c r="W199" s="140"/>
      <c r="X199" s="140"/>
      <c r="Y199" s="140"/>
      <c r="Z199" s="140"/>
      <c r="AA199" s="140"/>
      <c r="AB199" s="140"/>
      <c r="AP199" s="125"/>
      <c r="AQ199" s="125"/>
      <c r="AR199" s="125"/>
      <c r="AS199" s="125"/>
      <c r="AT199" s="125"/>
      <c r="AU199" s="127"/>
      <c r="AV199" s="127"/>
      <c r="AW199" s="127"/>
    </row>
    <row r="200" spans="2:49" ht="21.75" customHeight="1" x14ac:dyDescent="0.35">
      <c r="B200" s="64"/>
      <c r="C200" s="115"/>
      <c r="D200" s="137"/>
      <c r="E200" s="137"/>
      <c r="F200" s="67"/>
      <c r="G200" s="137"/>
      <c r="H200" s="67"/>
      <c r="I200" s="137"/>
      <c r="J200" s="67"/>
      <c r="K200" s="64"/>
      <c r="L200" s="140"/>
      <c r="M200" s="140"/>
      <c r="U200" s="140"/>
      <c r="V200" s="140"/>
      <c r="W200" s="140"/>
      <c r="X200" s="140"/>
      <c r="Y200" s="140"/>
      <c r="Z200" s="140"/>
      <c r="AA200" s="140"/>
      <c r="AB200" s="140"/>
      <c r="AP200" s="125"/>
      <c r="AQ200" s="125"/>
      <c r="AR200" s="125"/>
      <c r="AS200" s="125"/>
      <c r="AT200" s="125"/>
      <c r="AU200" s="127"/>
      <c r="AV200" s="127"/>
      <c r="AW200" s="127"/>
    </row>
    <row r="201" spans="2:49" ht="21.75" customHeight="1" x14ac:dyDescent="0.35">
      <c r="B201" s="64"/>
      <c r="C201" s="115"/>
      <c r="D201" s="137"/>
      <c r="E201" s="137"/>
      <c r="F201" s="67"/>
      <c r="G201" s="137"/>
      <c r="H201" s="67"/>
      <c r="I201" s="137"/>
      <c r="J201" s="67"/>
      <c r="K201" s="64"/>
      <c r="L201" s="140"/>
      <c r="M201" s="140"/>
      <c r="U201" s="140"/>
      <c r="V201" s="140"/>
      <c r="W201" s="140"/>
      <c r="X201" s="140"/>
      <c r="Y201" s="140"/>
      <c r="Z201" s="140"/>
      <c r="AA201" s="140"/>
      <c r="AB201" s="140"/>
      <c r="AP201" s="125"/>
      <c r="AQ201" s="125"/>
      <c r="AR201" s="125"/>
      <c r="AS201" s="125"/>
      <c r="AT201" s="125"/>
      <c r="AU201" s="127"/>
      <c r="AV201" s="127"/>
      <c r="AW201" s="127"/>
    </row>
    <row r="202" spans="2:49" ht="21.75" customHeight="1" x14ac:dyDescent="0.35">
      <c r="B202" s="64"/>
      <c r="C202" s="115"/>
      <c r="D202" s="137"/>
      <c r="E202" s="137"/>
      <c r="F202" s="67"/>
      <c r="G202" s="137"/>
      <c r="H202" s="67"/>
      <c r="I202" s="137"/>
      <c r="J202" s="67"/>
      <c r="K202" s="64"/>
      <c r="L202" s="140"/>
      <c r="M202" s="140"/>
      <c r="U202" s="140"/>
      <c r="V202" s="140"/>
      <c r="W202" s="140"/>
      <c r="X202" s="140"/>
      <c r="Y202" s="140"/>
      <c r="Z202" s="140"/>
      <c r="AA202" s="140"/>
      <c r="AB202" s="140"/>
      <c r="AP202" s="125"/>
      <c r="AQ202" s="125"/>
      <c r="AR202" s="125"/>
      <c r="AS202" s="125"/>
      <c r="AT202" s="125"/>
      <c r="AU202" s="127"/>
      <c r="AV202" s="127"/>
      <c r="AW202" s="127"/>
    </row>
    <row r="203" spans="2:49" ht="21.75" customHeight="1" x14ac:dyDescent="0.35">
      <c r="B203" s="64"/>
      <c r="C203" s="115"/>
      <c r="D203" s="137"/>
      <c r="E203" s="137"/>
      <c r="F203" s="67"/>
      <c r="G203" s="137"/>
      <c r="H203" s="67"/>
      <c r="I203" s="137"/>
      <c r="J203" s="67"/>
      <c r="K203" s="64"/>
      <c r="L203" s="140"/>
      <c r="M203" s="140"/>
      <c r="U203" s="140"/>
      <c r="V203" s="140"/>
      <c r="W203" s="140"/>
      <c r="X203" s="140"/>
      <c r="Y203" s="140"/>
      <c r="Z203" s="140"/>
      <c r="AA203" s="140"/>
      <c r="AB203" s="140"/>
      <c r="AP203" s="125"/>
      <c r="AQ203" s="125"/>
      <c r="AR203" s="125"/>
      <c r="AS203" s="125"/>
      <c r="AT203" s="125"/>
      <c r="AU203" s="127"/>
      <c r="AV203" s="127"/>
      <c r="AW203" s="127"/>
    </row>
    <row r="204" spans="2:49" ht="21.75" customHeight="1" x14ac:dyDescent="0.35">
      <c r="B204" s="64"/>
      <c r="C204" s="115"/>
      <c r="D204" s="137"/>
      <c r="E204" s="137"/>
      <c r="F204" s="67"/>
      <c r="G204" s="137"/>
      <c r="H204" s="67"/>
      <c r="I204" s="137"/>
      <c r="J204" s="67"/>
      <c r="K204" s="64"/>
      <c r="L204" s="140"/>
      <c r="M204" s="140"/>
      <c r="U204" s="140"/>
      <c r="V204" s="140"/>
      <c r="W204" s="140"/>
      <c r="X204" s="140"/>
      <c r="Y204" s="140"/>
      <c r="Z204" s="140"/>
      <c r="AA204" s="140"/>
      <c r="AB204" s="140"/>
      <c r="AP204" s="125"/>
      <c r="AQ204" s="125"/>
      <c r="AR204" s="125"/>
      <c r="AS204" s="125"/>
      <c r="AT204" s="125"/>
      <c r="AU204" s="127"/>
      <c r="AV204" s="127"/>
      <c r="AW204" s="127"/>
    </row>
    <row r="205" spans="2:49" ht="21.75" customHeight="1" x14ac:dyDescent="0.35">
      <c r="B205" s="64"/>
      <c r="C205" s="115"/>
      <c r="D205" s="137"/>
      <c r="E205" s="137"/>
      <c r="F205" s="67"/>
      <c r="G205" s="137"/>
      <c r="H205" s="67"/>
      <c r="I205" s="137"/>
      <c r="J205" s="67"/>
      <c r="K205" s="64"/>
      <c r="L205" s="140"/>
      <c r="M205" s="140"/>
      <c r="U205" s="140"/>
      <c r="V205" s="140"/>
      <c r="W205" s="140"/>
      <c r="X205" s="140"/>
      <c r="Y205" s="140"/>
      <c r="Z205" s="140"/>
      <c r="AA205" s="140"/>
      <c r="AB205" s="140"/>
      <c r="AP205" s="125"/>
      <c r="AQ205" s="125"/>
      <c r="AR205" s="125"/>
      <c r="AS205" s="125"/>
      <c r="AT205" s="125"/>
      <c r="AU205" s="127"/>
      <c r="AV205" s="127"/>
      <c r="AW205" s="127"/>
    </row>
    <row r="206" spans="2:49" ht="21.75" customHeight="1" x14ac:dyDescent="0.35">
      <c r="B206" s="64"/>
      <c r="C206" s="115"/>
      <c r="D206" s="137"/>
      <c r="E206" s="137"/>
      <c r="F206" s="67"/>
      <c r="G206" s="137"/>
      <c r="H206" s="67"/>
      <c r="I206" s="137"/>
      <c r="J206" s="67"/>
      <c r="K206" s="64"/>
      <c r="L206" s="140"/>
      <c r="M206" s="140"/>
      <c r="U206" s="140"/>
      <c r="V206" s="140"/>
      <c r="W206" s="140"/>
      <c r="X206" s="140"/>
      <c r="Y206" s="140"/>
      <c r="Z206" s="140"/>
      <c r="AA206" s="140"/>
      <c r="AB206" s="140"/>
      <c r="AP206" s="125"/>
      <c r="AQ206" s="125"/>
      <c r="AR206" s="125"/>
      <c r="AS206" s="125"/>
      <c r="AT206" s="125"/>
      <c r="AU206" s="127"/>
      <c r="AV206" s="127"/>
      <c r="AW206" s="127"/>
    </row>
    <row r="207" spans="2:49" ht="21.75" customHeight="1" x14ac:dyDescent="0.35">
      <c r="B207" s="64"/>
      <c r="C207" s="115"/>
      <c r="D207" s="137"/>
      <c r="E207" s="137"/>
      <c r="F207" s="67"/>
      <c r="G207" s="137"/>
      <c r="H207" s="67"/>
      <c r="I207" s="137"/>
      <c r="J207" s="67"/>
      <c r="K207" s="64"/>
      <c r="L207" s="140"/>
      <c r="M207" s="140"/>
      <c r="U207" s="140"/>
      <c r="V207" s="140"/>
      <c r="W207" s="140"/>
      <c r="X207" s="140"/>
      <c r="Y207" s="140"/>
      <c r="Z207" s="140"/>
      <c r="AA207" s="140"/>
      <c r="AB207" s="140"/>
      <c r="AP207" s="125"/>
      <c r="AQ207" s="125"/>
      <c r="AR207" s="125"/>
      <c r="AS207" s="125"/>
      <c r="AT207" s="125"/>
      <c r="AU207" s="127"/>
      <c r="AV207" s="127"/>
      <c r="AW207" s="127"/>
    </row>
    <row r="208" spans="2:49" ht="21.75" customHeight="1" x14ac:dyDescent="0.35">
      <c r="B208" s="64"/>
      <c r="C208" s="115"/>
      <c r="D208" s="137"/>
      <c r="E208" s="137"/>
      <c r="F208" s="67"/>
      <c r="G208" s="137"/>
      <c r="H208" s="67"/>
      <c r="I208" s="137"/>
      <c r="J208" s="67"/>
      <c r="K208" s="64"/>
      <c r="L208" s="140"/>
      <c r="M208" s="140"/>
      <c r="U208" s="140"/>
      <c r="V208" s="140"/>
      <c r="W208" s="140"/>
      <c r="X208" s="140"/>
      <c r="Y208" s="140"/>
      <c r="Z208" s="140"/>
      <c r="AA208" s="140"/>
      <c r="AB208" s="140"/>
      <c r="AP208" s="125"/>
      <c r="AQ208" s="125"/>
      <c r="AR208" s="125"/>
      <c r="AS208" s="125"/>
      <c r="AT208" s="125"/>
      <c r="AU208" s="127"/>
      <c r="AV208" s="127"/>
      <c r="AW208" s="127"/>
    </row>
    <row r="209" spans="2:49" ht="21.75" customHeight="1" x14ac:dyDescent="0.35">
      <c r="B209" s="64"/>
      <c r="C209" s="115"/>
      <c r="D209" s="137"/>
      <c r="E209" s="137"/>
      <c r="F209" s="67"/>
      <c r="G209" s="137"/>
      <c r="H209" s="67"/>
      <c r="I209" s="137"/>
      <c r="J209" s="67"/>
      <c r="K209" s="64"/>
      <c r="L209" s="140"/>
      <c r="M209" s="140"/>
      <c r="U209" s="140"/>
      <c r="V209" s="140"/>
      <c r="W209" s="140"/>
      <c r="X209" s="140"/>
      <c r="Y209" s="140"/>
      <c r="Z209" s="140"/>
      <c r="AA209" s="140"/>
      <c r="AB209" s="140"/>
      <c r="AP209" s="125"/>
      <c r="AQ209" s="125"/>
      <c r="AR209" s="125"/>
      <c r="AS209" s="125"/>
      <c r="AT209" s="125"/>
      <c r="AU209" s="127"/>
      <c r="AV209" s="127"/>
      <c r="AW209" s="127"/>
    </row>
    <row r="210" spans="2:49" ht="21.75" customHeight="1" x14ac:dyDescent="0.35">
      <c r="B210" s="64"/>
      <c r="C210" s="115"/>
      <c r="D210" s="137"/>
      <c r="E210" s="137"/>
      <c r="F210" s="67"/>
      <c r="G210" s="137"/>
      <c r="H210" s="67"/>
      <c r="I210" s="137"/>
      <c r="J210" s="67"/>
      <c r="K210" s="64"/>
      <c r="L210" s="140"/>
      <c r="M210" s="140"/>
      <c r="U210" s="140"/>
      <c r="V210" s="140"/>
      <c r="W210" s="140"/>
      <c r="X210" s="140"/>
      <c r="Y210" s="140"/>
      <c r="Z210" s="140"/>
      <c r="AA210" s="140"/>
      <c r="AB210" s="140"/>
      <c r="AP210" s="125"/>
      <c r="AQ210" s="125"/>
      <c r="AR210" s="125"/>
      <c r="AS210" s="125"/>
      <c r="AT210" s="125"/>
      <c r="AU210" s="127"/>
      <c r="AV210" s="127"/>
      <c r="AW210" s="127"/>
    </row>
    <row r="211" spans="2:49" ht="21.75" customHeight="1" x14ac:dyDescent="0.35">
      <c r="B211" s="64"/>
      <c r="C211" s="115"/>
      <c r="D211" s="137"/>
      <c r="E211" s="137"/>
      <c r="F211" s="67"/>
      <c r="G211" s="137"/>
      <c r="H211" s="67"/>
      <c r="I211" s="137"/>
      <c r="J211" s="67"/>
      <c r="K211" s="64"/>
      <c r="L211" s="140"/>
      <c r="M211" s="140"/>
      <c r="U211" s="140"/>
      <c r="V211" s="140"/>
      <c r="W211" s="140"/>
      <c r="X211" s="140"/>
      <c r="Y211" s="140"/>
      <c r="Z211" s="140"/>
      <c r="AA211" s="140"/>
      <c r="AB211" s="140"/>
      <c r="AP211" s="125"/>
      <c r="AQ211" s="125"/>
      <c r="AR211" s="125"/>
      <c r="AS211" s="125"/>
      <c r="AT211" s="125"/>
      <c r="AU211" s="127"/>
      <c r="AV211" s="127"/>
      <c r="AW211" s="127"/>
    </row>
    <row r="212" spans="2:49" ht="21.75" customHeight="1" x14ac:dyDescent="0.35">
      <c r="B212" s="64"/>
      <c r="C212" s="115"/>
      <c r="D212" s="137"/>
      <c r="E212" s="137"/>
      <c r="F212" s="67"/>
      <c r="G212" s="137"/>
      <c r="H212" s="67"/>
      <c r="I212" s="137"/>
      <c r="J212" s="67"/>
      <c r="K212" s="64"/>
      <c r="L212" s="140"/>
      <c r="M212" s="140"/>
      <c r="U212" s="140"/>
      <c r="V212" s="140"/>
      <c r="W212" s="140"/>
      <c r="X212" s="140"/>
      <c r="Y212" s="140"/>
      <c r="Z212" s="140"/>
      <c r="AA212" s="140"/>
      <c r="AB212" s="140"/>
      <c r="AP212" s="125"/>
      <c r="AQ212" s="125"/>
      <c r="AR212" s="125"/>
      <c r="AS212" s="125"/>
      <c r="AT212" s="125"/>
      <c r="AU212" s="127"/>
      <c r="AV212" s="127"/>
      <c r="AW212" s="127"/>
    </row>
    <row r="213" spans="2:49" ht="21.75" customHeight="1" x14ac:dyDescent="0.35">
      <c r="B213" s="64"/>
      <c r="C213" s="115"/>
      <c r="D213" s="137"/>
      <c r="E213" s="137"/>
      <c r="F213" s="67"/>
      <c r="G213" s="137"/>
      <c r="H213" s="67"/>
      <c r="I213" s="137"/>
      <c r="J213" s="67"/>
      <c r="K213" s="64"/>
      <c r="L213" s="140"/>
      <c r="M213" s="140"/>
      <c r="U213" s="140"/>
      <c r="V213" s="140"/>
      <c r="W213" s="140"/>
      <c r="X213" s="140"/>
      <c r="Y213" s="140"/>
      <c r="Z213" s="140"/>
      <c r="AA213" s="140"/>
      <c r="AB213" s="140"/>
      <c r="AP213" s="125"/>
      <c r="AQ213" s="125"/>
      <c r="AR213" s="125"/>
      <c r="AS213" s="125"/>
      <c r="AT213" s="125"/>
      <c r="AU213" s="127"/>
      <c r="AV213" s="127"/>
      <c r="AW213" s="127"/>
    </row>
    <row r="214" spans="2:49" ht="21.75" customHeight="1" x14ac:dyDescent="0.35">
      <c r="B214" s="64"/>
      <c r="C214" s="115"/>
      <c r="D214" s="137"/>
      <c r="E214" s="137"/>
      <c r="F214" s="67"/>
      <c r="G214" s="137"/>
      <c r="H214" s="67"/>
      <c r="I214" s="137"/>
      <c r="J214" s="67"/>
      <c r="K214" s="64"/>
      <c r="L214" s="140"/>
      <c r="M214" s="140"/>
      <c r="U214" s="140"/>
      <c r="V214" s="140"/>
      <c r="W214" s="140"/>
      <c r="X214" s="140"/>
      <c r="Y214" s="140"/>
      <c r="Z214" s="140"/>
      <c r="AA214" s="140"/>
      <c r="AB214" s="140"/>
      <c r="AP214" s="125"/>
      <c r="AQ214" s="125"/>
      <c r="AR214" s="125"/>
      <c r="AS214" s="125"/>
      <c r="AT214" s="125"/>
      <c r="AU214" s="127"/>
      <c r="AV214" s="127"/>
      <c r="AW214" s="127"/>
    </row>
    <row r="215" spans="2:49" ht="21.75" customHeight="1" x14ac:dyDescent="0.35">
      <c r="B215" s="64"/>
      <c r="C215" s="115"/>
      <c r="D215" s="137"/>
      <c r="E215" s="137"/>
      <c r="F215" s="67"/>
      <c r="G215" s="137"/>
      <c r="H215" s="67"/>
      <c r="I215" s="137"/>
      <c r="J215" s="67"/>
      <c r="K215" s="64"/>
      <c r="L215" s="140"/>
      <c r="M215" s="140"/>
      <c r="U215" s="140"/>
      <c r="V215" s="140"/>
      <c r="W215" s="140"/>
      <c r="X215" s="140"/>
      <c r="Y215" s="140"/>
      <c r="Z215" s="140"/>
      <c r="AA215" s="140"/>
      <c r="AB215" s="140"/>
      <c r="AP215" s="125"/>
      <c r="AQ215" s="125"/>
      <c r="AR215" s="125"/>
      <c r="AS215" s="125"/>
      <c r="AT215" s="125"/>
      <c r="AU215" s="127"/>
      <c r="AV215" s="127"/>
      <c r="AW215" s="127"/>
    </row>
    <row r="216" spans="2:49" ht="21.75" customHeight="1" x14ac:dyDescent="0.35">
      <c r="B216" s="64"/>
      <c r="C216" s="115"/>
      <c r="D216" s="137"/>
      <c r="E216" s="137"/>
      <c r="F216" s="67"/>
      <c r="G216" s="137"/>
      <c r="H216" s="67"/>
      <c r="I216" s="137"/>
      <c r="J216" s="67"/>
      <c r="K216" s="64"/>
      <c r="L216" s="140"/>
      <c r="M216" s="140"/>
      <c r="U216" s="140"/>
      <c r="V216" s="140"/>
      <c r="W216" s="140"/>
      <c r="X216" s="140"/>
      <c r="Y216" s="140"/>
      <c r="Z216" s="140"/>
      <c r="AA216" s="140"/>
      <c r="AB216" s="140"/>
      <c r="AP216" s="125"/>
      <c r="AQ216" s="125"/>
      <c r="AR216" s="125"/>
      <c r="AS216" s="125"/>
      <c r="AT216" s="125"/>
      <c r="AU216" s="127"/>
      <c r="AV216" s="127"/>
      <c r="AW216" s="127"/>
    </row>
    <row r="217" spans="2:49" ht="21.75" customHeight="1" x14ac:dyDescent="0.35">
      <c r="B217" s="64"/>
      <c r="C217" s="115"/>
      <c r="D217" s="137"/>
      <c r="E217" s="137"/>
      <c r="F217" s="67"/>
      <c r="G217" s="137"/>
      <c r="H217" s="67"/>
      <c r="I217" s="137"/>
      <c r="J217" s="67"/>
      <c r="K217" s="64"/>
      <c r="L217" s="140"/>
      <c r="M217" s="140"/>
      <c r="U217" s="140"/>
      <c r="V217" s="140"/>
      <c r="W217" s="140"/>
      <c r="X217" s="140"/>
      <c r="Y217" s="140"/>
      <c r="Z217" s="140"/>
      <c r="AA217" s="140"/>
      <c r="AB217" s="140"/>
      <c r="AP217" s="125"/>
      <c r="AQ217" s="125"/>
      <c r="AR217" s="125"/>
      <c r="AS217" s="125"/>
      <c r="AT217" s="125"/>
      <c r="AU217" s="127"/>
      <c r="AV217" s="127"/>
      <c r="AW217" s="127"/>
    </row>
    <row r="218" spans="2:49" ht="21.75" customHeight="1" x14ac:dyDescent="0.35">
      <c r="B218" s="64"/>
      <c r="C218" s="115"/>
      <c r="D218" s="137"/>
      <c r="E218" s="137"/>
      <c r="F218" s="67"/>
      <c r="G218" s="137"/>
      <c r="H218" s="67"/>
      <c r="I218" s="137"/>
      <c r="J218" s="67"/>
      <c r="K218" s="64"/>
      <c r="L218" s="140"/>
      <c r="M218" s="140"/>
      <c r="U218" s="140"/>
      <c r="V218" s="140"/>
      <c r="W218" s="140"/>
      <c r="X218" s="140"/>
      <c r="Y218" s="140"/>
      <c r="Z218" s="140"/>
      <c r="AA218" s="140"/>
      <c r="AB218" s="140"/>
      <c r="AP218" s="125"/>
      <c r="AQ218" s="125"/>
      <c r="AR218" s="125"/>
      <c r="AS218" s="125"/>
      <c r="AT218" s="125"/>
      <c r="AU218" s="127"/>
      <c r="AV218" s="127"/>
      <c r="AW218" s="127"/>
    </row>
    <row r="219" spans="2:49" ht="21.75" customHeight="1" x14ac:dyDescent="0.35">
      <c r="B219" s="64"/>
      <c r="C219" s="115"/>
      <c r="D219" s="137"/>
      <c r="E219" s="137"/>
      <c r="F219" s="67"/>
      <c r="G219" s="137"/>
      <c r="H219" s="67"/>
      <c r="I219" s="137"/>
      <c r="J219" s="67"/>
      <c r="K219" s="64"/>
      <c r="L219" s="140"/>
      <c r="M219" s="140"/>
      <c r="U219" s="140"/>
      <c r="V219" s="140"/>
      <c r="W219" s="140"/>
      <c r="X219" s="140"/>
      <c r="Y219" s="140"/>
      <c r="Z219" s="140"/>
      <c r="AA219" s="140"/>
      <c r="AB219" s="140"/>
      <c r="AP219" s="125"/>
      <c r="AQ219" s="125"/>
      <c r="AR219" s="125"/>
      <c r="AS219" s="125"/>
      <c r="AT219" s="125"/>
      <c r="AU219" s="127"/>
      <c r="AV219" s="127"/>
      <c r="AW219" s="127"/>
    </row>
    <row r="220" spans="2:49" ht="21.75" customHeight="1" x14ac:dyDescent="0.35">
      <c r="B220" s="64"/>
      <c r="C220" s="115"/>
      <c r="D220" s="137"/>
      <c r="E220" s="137"/>
      <c r="F220" s="67"/>
      <c r="G220" s="137"/>
      <c r="H220" s="67"/>
      <c r="I220" s="137"/>
      <c r="J220" s="67"/>
      <c r="K220" s="64"/>
      <c r="L220" s="140"/>
      <c r="M220" s="140"/>
      <c r="U220" s="140"/>
      <c r="V220" s="140"/>
      <c r="W220" s="140"/>
      <c r="X220" s="140"/>
      <c r="Y220" s="140"/>
      <c r="Z220" s="140"/>
      <c r="AA220" s="140"/>
      <c r="AB220" s="140"/>
      <c r="AP220" s="125"/>
      <c r="AQ220" s="125"/>
      <c r="AR220" s="125"/>
      <c r="AS220" s="125"/>
      <c r="AT220" s="125"/>
      <c r="AU220" s="127"/>
      <c r="AV220" s="127"/>
      <c r="AW220" s="127"/>
    </row>
    <row r="221" spans="2:49" ht="21.75" customHeight="1" x14ac:dyDescent="0.35">
      <c r="B221" s="64"/>
      <c r="C221" s="115"/>
      <c r="D221" s="137"/>
      <c r="E221" s="137"/>
      <c r="F221" s="67"/>
      <c r="G221" s="137"/>
      <c r="H221" s="67"/>
      <c r="I221" s="137"/>
      <c r="J221" s="67"/>
      <c r="K221" s="64"/>
      <c r="L221" s="140"/>
      <c r="M221" s="140"/>
      <c r="U221" s="140"/>
      <c r="V221" s="140"/>
      <c r="W221" s="140"/>
      <c r="X221" s="140"/>
      <c r="Y221" s="140"/>
      <c r="Z221" s="140"/>
      <c r="AA221" s="140"/>
      <c r="AB221" s="140"/>
      <c r="AP221" s="125"/>
      <c r="AQ221" s="125"/>
      <c r="AR221" s="125"/>
      <c r="AS221" s="125"/>
      <c r="AT221" s="125"/>
      <c r="AU221" s="127"/>
      <c r="AV221" s="127"/>
      <c r="AW221" s="127"/>
    </row>
    <row r="222" spans="2:49" ht="21.75" customHeight="1" x14ac:dyDescent="0.35">
      <c r="B222" s="64"/>
      <c r="C222" s="115"/>
      <c r="D222" s="137"/>
      <c r="E222" s="137"/>
      <c r="F222" s="67"/>
      <c r="G222" s="137"/>
      <c r="H222" s="67"/>
      <c r="I222" s="137"/>
      <c r="J222" s="67"/>
      <c r="K222" s="64"/>
      <c r="L222" s="140"/>
      <c r="M222" s="140"/>
      <c r="U222" s="140"/>
      <c r="V222" s="140"/>
      <c r="W222" s="140"/>
      <c r="X222" s="140"/>
      <c r="Y222" s="140"/>
      <c r="Z222" s="140"/>
      <c r="AA222" s="140"/>
      <c r="AB222" s="140"/>
      <c r="AP222" s="125"/>
      <c r="AQ222" s="125"/>
      <c r="AR222" s="125"/>
      <c r="AS222" s="125"/>
      <c r="AT222" s="125"/>
      <c r="AU222" s="127"/>
      <c r="AV222" s="127"/>
      <c r="AW222" s="127"/>
    </row>
    <row r="223" spans="2:49" ht="21.75" customHeight="1" x14ac:dyDescent="0.35">
      <c r="B223" s="64"/>
      <c r="C223" s="115"/>
      <c r="D223" s="137"/>
      <c r="E223" s="137"/>
      <c r="F223" s="67"/>
      <c r="G223" s="137"/>
      <c r="H223" s="67"/>
      <c r="I223" s="137"/>
      <c r="J223" s="67"/>
      <c r="K223" s="64"/>
      <c r="L223" s="140"/>
      <c r="M223" s="140"/>
      <c r="U223" s="140"/>
      <c r="V223" s="140"/>
      <c r="W223" s="140"/>
      <c r="X223" s="140"/>
      <c r="Y223" s="140"/>
      <c r="Z223" s="140"/>
      <c r="AA223" s="140"/>
      <c r="AB223" s="140"/>
      <c r="AP223" s="125"/>
      <c r="AQ223" s="125"/>
      <c r="AR223" s="125"/>
      <c r="AS223" s="125"/>
      <c r="AT223" s="125"/>
      <c r="AU223" s="127"/>
      <c r="AV223" s="127"/>
      <c r="AW223" s="127"/>
    </row>
    <row r="224" spans="2:49" ht="21.75" customHeight="1" x14ac:dyDescent="0.35">
      <c r="B224" s="64"/>
      <c r="C224" s="115"/>
      <c r="D224" s="137"/>
      <c r="E224" s="137"/>
      <c r="F224" s="67"/>
      <c r="G224" s="137"/>
      <c r="H224" s="67"/>
      <c r="I224" s="137"/>
      <c r="J224" s="67"/>
      <c r="K224" s="64"/>
      <c r="L224" s="140"/>
      <c r="M224" s="140"/>
      <c r="U224" s="140"/>
      <c r="V224" s="140"/>
      <c r="W224" s="140"/>
      <c r="X224" s="140"/>
      <c r="Y224" s="140"/>
      <c r="Z224" s="140"/>
      <c r="AA224" s="140"/>
      <c r="AB224" s="140"/>
      <c r="AP224" s="125"/>
      <c r="AQ224" s="125"/>
      <c r="AR224" s="125"/>
      <c r="AS224" s="125"/>
      <c r="AT224" s="125"/>
      <c r="AU224" s="127"/>
      <c r="AV224" s="127"/>
      <c r="AW224" s="127"/>
    </row>
    <row r="225" spans="2:49" ht="21.75" customHeight="1" x14ac:dyDescent="0.35">
      <c r="B225" s="64"/>
      <c r="C225" s="115"/>
      <c r="D225" s="137"/>
      <c r="E225" s="137"/>
      <c r="F225" s="67"/>
      <c r="G225" s="137"/>
      <c r="H225" s="67"/>
      <c r="I225" s="137"/>
      <c r="J225" s="67"/>
      <c r="K225" s="64"/>
      <c r="L225" s="140"/>
      <c r="M225" s="140"/>
      <c r="U225" s="140"/>
      <c r="V225" s="140"/>
      <c r="W225" s="140"/>
      <c r="X225" s="140"/>
      <c r="Y225" s="140"/>
      <c r="Z225" s="140"/>
      <c r="AA225" s="140"/>
      <c r="AB225" s="140"/>
      <c r="AP225" s="125"/>
      <c r="AQ225" s="125"/>
      <c r="AR225" s="125"/>
      <c r="AS225" s="125"/>
      <c r="AT225" s="125"/>
      <c r="AU225" s="127"/>
      <c r="AV225" s="127"/>
      <c r="AW225" s="127"/>
    </row>
    <row r="226" spans="2:49" ht="21.75" customHeight="1" x14ac:dyDescent="0.35">
      <c r="B226" s="64"/>
      <c r="C226" s="115"/>
      <c r="D226" s="137"/>
      <c r="E226" s="137"/>
      <c r="F226" s="67"/>
      <c r="G226" s="137"/>
      <c r="H226" s="67"/>
      <c r="I226" s="137"/>
      <c r="J226" s="67"/>
      <c r="K226" s="64"/>
      <c r="L226" s="140"/>
      <c r="M226" s="140"/>
      <c r="U226" s="140"/>
      <c r="V226" s="140"/>
      <c r="W226" s="140"/>
      <c r="X226" s="140"/>
      <c r="Y226" s="140"/>
      <c r="Z226" s="140"/>
      <c r="AA226" s="140"/>
      <c r="AB226" s="140"/>
      <c r="AP226" s="125"/>
      <c r="AQ226" s="125"/>
      <c r="AR226" s="125"/>
      <c r="AS226" s="125"/>
      <c r="AT226" s="125"/>
      <c r="AU226" s="127"/>
      <c r="AV226" s="127"/>
      <c r="AW226" s="127"/>
    </row>
    <row r="227" spans="2:49" ht="21.75" customHeight="1" x14ac:dyDescent="0.35">
      <c r="B227" s="64"/>
      <c r="C227" s="115"/>
      <c r="D227" s="137"/>
      <c r="E227" s="137"/>
      <c r="F227" s="67"/>
      <c r="G227" s="137"/>
      <c r="H227" s="67"/>
      <c r="I227" s="137"/>
      <c r="J227" s="67"/>
      <c r="K227" s="64"/>
      <c r="L227" s="140"/>
      <c r="M227" s="140"/>
      <c r="U227" s="140"/>
      <c r="V227" s="140"/>
      <c r="W227" s="140"/>
      <c r="X227" s="140"/>
      <c r="Y227" s="140"/>
      <c r="Z227" s="140"/>
      <c r="AA227" s="140"/>
      <c r="AB227" s="140"/>
      <c r="AP227" s="125"/>
      <c r="AQ227" s="125"/>
      <c r="AR227" s="125"/>
      <c r="AS227" s="125"/>
      <c r="AT227" s="125"/>
      <c r="AU227" s="127"/>
      <c r="AV227" s="127"/>
      <c r="AW227" s="127"/>
    </row>
    <row r="228" spans="2:49" ht="21.75" customHeight="1" x14ac:dyDescent="0.35">
      <c r="B228" s="64"/>
      <c r="C228" s="115"/>
      <c r="D228" s="137"/>
      <c r="E228" s="137"/>
      <c r="F228" s="67"/>
      <c r="G228" s="137"/>
      <c r="H228" s="67"/>
      <c r="I228" s="137"/>
      <c r="J228" s="67"/>
      <c r="K228" s="64"/>
      <c r="L228" s="140"/>
      <c r="M228" s="140"/>
      <c r="U228" s="140"/>
      <c r="V228" s="140"/>
      <c r="W228" s="140"/>
      <c r="X228" s="140"/>
      <c r="Y228" s="140"/>
      <c r="Z228" s="140"/>
      <c r="AA228" s="140"/>
      <c r="AB228" s="140"/>
      <c r="AP228" s="125"/>
      <c r="AQ228" s="125"/>
      <c r="AR228" s="125"/>
      <c r="AS228" s="125"/>
      <c r="AT228" s="125"/>
      <c r="AU228" s="127"/>
      <c r="AV228" s="127"/>
      <c r="AW228" s="127"/>
    </row>
    <row r="229" spans="2:49" ht="21.75" customHeight="1" x14ac:dyDescent="0.35">
      <c r="B229" s="64"/>
      <c r="C229" s="115"/>
      <c r="D229" s="137"/>
      <c r="E229" s="137"/>
      <c r="F229" s="67"/>
      <c r="G229" s="137"/>
      <c r="H229" s="67"/>
      <c r="I229" s="137"/>
      <c r="J229" s="67"/>
      <c r="K229" s="64"/>
      <c r="L229" s="140"/>
      <c r="M229" s="140"/>
      <c r="U229" s="140"/>
      <c r="V229" s="140"/>
      <c r="W229" s="140"/>
      <c r="X229" s="140"/>
      <c r="Y229" s="140"/>
      <c r="Z229" s="140"/>
      <c r="AA229" s="140"/>
      <c r="AB229" s="140"/>
      <c r="AP229" s="125"/>
      <c r="AQ229" s="125"/>
      <c r="AR229" s="125"/>
      <c r="AS229" s="125"/>
      <c r="AT229" s="125"/>
      <c r="AU229" s="127"/>
      <c r="AV229" s="127"/>
      <c r="AW229" s="127"/>
    </row>
    <row r="230" spans="2:49" ht="21.75" customHeight="1" x14ac:dyDescent="0.35">
      <c r="B230" s="64"/>
      <c r="C230" s="115"/>
      <c r="D230" s="137"/>
      <c r="E230" s="137"/>
      <c r="F230" s="67"/>
      <c r="G230" s="137"/>
      <c r="H230" s="67"/>
      <c r="I230" s="137"/>
      <c r="J230" s="67"/>
      <c r="K230" s="64"/>
      <c r="L230" s="140"/>
      <c r="M230" s="140"/>
      <c r="U230" s="140"/>
      <c r="V230" s="140"/>
      <c r="W230" s="140"/>
      <c r="X230" s="140"/>
      <c r="Y230" s="140"/>
      <c r="Z230" s="140"/>
      <c r="AA230" s="140"/>
      <c r="AB230" s="140"/>
      <c r="AP230" s="125"/>
      <c r="AQ230" s="125"/>
      <c r="AR230" s="125"/>
      <c r="AS230" s="125"/>
      <c r="AT230" s="125"/>
      <c r="AU230" s="127"/>
      <c r="AV230" s="127"/>
      <c r="AW230" s="127"/>
    </row>
    <row r="231" spans="2:49" ht="21.75" customHeight="1" x14ac:dyDescent="0.35">
      <c r="B231" s="64"/>
      <c r="C231" s="115"/>
      <c r="D231" s="137"/>
      <c r="E231" s="137"/>
      <c r="F231" s="67"/>
      <c r="G231" s="137"/>
      <c r="H231" s="67"/>
      <c r="I231" s="137"/>
      <c r="J231" s="67"/>
      <c r="K231" s="64"/>
      <c r="L231" s="140"/>
      <c r="M231" s="140"/>
      <c r="U231" s="140"/>
      <c r="V231" s="140"/>
      <c r="W231" s="140"/>
      <c r="X231" s="140"/>
      <c r="Y231" s="140"/>
      <c r="Z231" s="140"/>
      <c r="AA231" s="140"/>
      <c r="AB231" s="140"/>
      <c r="AP231" s="125"/>
      <c r="AQ231" s="125"/>
      <c r="AR231" s="125"/>
      <c r="AS231" s="125"/>
      <c r="AT231" s="125"/>
      <c r="AU231" s="127"/>
      <c r="AV231" s="127"/>
      <c r="AW231" s="127"/>
    </row>
    <row r="232" spans="2:49" ht="21.75" customHeight="1" x14ac:dyDescent="0.35">
      <c r="B232" s="64"/>
      <c r="C232" s="115"/>
      <c r="D232" s="137"/>
      <c r="E232" s="137"/>
      <c r="F232" s="67"/>
      <c r="G232" s="137"/>
      <c r="H232" s="67"/>
      <c r="I232" s="137"/>
      <c r="J232" s="67"/>
      <c r="K232" s="64"/>
      <c r="L232" s="140"/>
      <c r="M232" s="140"/>
      <c r="U232" s="140"/>
      <c r="V232" s="140"/>
      <c r="W232" s="140"/>
      <c r="X232" s="140"/>
      <c r="Y232" s="140"/>
      <c r="Z232" s="140"/>
      <c r="AA232" s="140"/>
      <c r="AB232" s="140"/>
      <c r="AP232" s="125"/>
      <c r="AQ232" s="125"/>
      <c r="AR232" s="125"/>
      <c r="AS232" s="125"/>
      <c r="AT232" s="125"/>
      <c r="AU232" s="127"/>
      <c r="AV232" s="127"/>
      <c r="AW232" s="127"/>
    </row>
    <row r="233" spans="2:49" ht="21.75" customHeight="1" x14ac:dyDescent="0.35">
      <c r="B233" s="64"/>
      <c r="C233" s="115"/>
      <c r="D233" s="137"/>
      <c r="E233" s="137"/>
      <c r="F233" s="67"/>
      <c r="G233" s="137"/>
      <c r="H233" s="67"/>
      <c r="I233" s="137"/>
      <c r="J233" s="67"/>
      <c r="K233" s="64"/>
      <c r="L233" s="140"/>
      <c r="M233" s="140"/>
      <c r="U233" s="140"/>
      <c r="V233" s="140"/>
      <c r="W233" s="140"/>
      <c r="X233" s="140"/>
      <c r="Y233" s="140"/>
      <c r="Z233" s="140"/>
      <c r="AA233" s="140"/>
      <c r="AB233" s="140"/>
      <c r="AP233" s="125"/>
      <c r="AQ233" s="125"/>
      <c r="AR233" s="125"/>
      <c r="AS233" s="125"/>
      <c r="AT233" s="125"/>
      <c r="AU233" s="127"/>
      <c r="AV233" s="127"/>
      <c r="AW233" s="127"/>
    </row>
    <row r="234" spans="2:49" ht="21.75" customHeight="1" x14ac:dyDescent="0.35">
      <c r="B234" s="64"/>
      <c r="C234" s="115"/>
      <c r="D234" s="137"/>
      <c r="E234" s="137"/>
      <c r="F234" s="67"/>
      <c r="G234" s="137"/>
      <c r="H234" s="67"/>
      <c r="I234" s="137"/>
      <c r="J234" s="67"/>
      <c r="K234" s="64"/>
      <c r="L234" s="140"/>
      <c r="M234" s="140"/>
      <c r="U234" s="140"/>
      <c r="V234" s="140"/>
      <c r="W234" s="140"/>
      <c r="X234" s="140"/>
      <c r="Y234" s="140"/>
      <c r="Z234" s="140"/>
      <c r="AA234" s="140"/>
      <c r="AB234" s="140"/>
      <c r="AP234" s="125"/>
      <c r="AQ234" s="125"/>
      <c r="AR234" s="125"/>
      <c r="AS234" s="125"/>
      <c r="AT234" s="125"/>
      <c r="AU234" s="127"/>
      <c r="AV234" s="127"/>
      <c r="AW234" s="127"/>
    </row>
    <row r="235" spans="2:49" ht="21.75" customHeight="1" x14ac:dyDescent="0.35">
      <c r="B235" s="64"/>
      <c r="C235" s="115"/>
      <c r="D235" s="137"/>
      <c r="E235" s="137"/>
      <c r="F235" s="67"/>
      <c r="G235" s="137"/>
      <c r="H235" s="67"/>
      <c r="I235" s="137"/>
      <c r="J235" s="67"/>
      <c r="K235" s="64"/>
      <c r="L235" s="140"/>
      <c r="M235" s="140"/>
      <c r="U235" s="140"/>
      <c r="V235" s="140"/>
      <c r="W235" s="140"/>
      <c r="X235" s="140"/>
      <c r="Y235" s="140"/>
      <c r="Z235" s="140"/>
      <c r="AA235" s="140"/>
      <c r="AB235" s="140"/>
      <c r="AP235" s="125"/>
      <c r="AQ235" s="125"/>
      <c r="AR235" s="125"/>
      <c r="AS235" s="125"/>
      <c r="AT235" s="125"/>
      <c r="AU235" s="127"/>
      <c r="AV235" s="127"/>
      <c r="AW235" s="127"/>
    </row>
    <row r="236" spans="2:49" ht="21.75" customHeight="1" x14ac:dyDescent="0.35">
      <c r="B236" s="64"/>
      <c r="C236" s="115"/>
      <c r="D236" s="137"/>
      <c r="E236" s="137"/>
      <c r="F236" s="67"/>
      <c r="G236" s="137"/>
      <c r="H236" s="67"/>
      <c r="I236" s="137"/>
      <c r="J236" s="67"/>
      <c r="K236" s="64"/>
      <c r="L236" s="140"/>
      <c r="M236" s="140"/>
      <c r="U236" s="140"/>
      <c r="V236" s="140"/>
      <c r="W236" s="140"/>
      <c r="X236" s="140"/>
      <c r="Y236" s="140"/>
      <c r="Z236" s="140"/>
      <c r="AA236" s="140"/>
      <c r="AB236" s="140"/>
      <c r="AP236" s="125"/>
      <c r="AQ236" s="125"/>
      <c r="AR236" s="125"/>
      <c r="AS236" s="125"/>
      <c r="AT236" s="125"/>
      <c r="AU236" s="127"/>
      <c r="AV236" s="127"/>
      <c r="AW236" s="127"/>
    </row>
    <row r="237" spans="2:49" ht="21.75" customHeight="1" x14ac:dyDescent="0.35">
      <c r="B237" s="64"/>
      <c r="C237" s="115"/>
      <c r="D237" s="137"/>
      <c r="E237" s="137"/>
      <c r="F237" s="67"/>
      <c r="G237" s="137"/>
      <c r="H237" s="67"/>
      <c r="I237" s="137"/>
      <c r="J237" s="67"/>
      <c r="K237" s="64"/>
      <c r="L237" s="140"/>
      <c r="M237" s="140"/>
      <c r="U237" s="140"/>
      <c r="V237" s="140"/>
      <c r="W237" s="140"/>
      <c r="X237" s="140"/>
      <c r="Y237" s="140"/>
      <c r="Z237" s="140"/>
      <c r="AA237" s="140"/>
      <c r="AB237" s="140"/>
      <c r="AP237" s="125"/>
      <c r="AQ237" s="125"/>
      <c r="AR237" s="125"/>
      <c r="AS237" s="125"/>
      <c r="AT237" s="125"/>
      <c r="AU237" s="127"/>
      <c r="AV237" s="127"/>
      <c r="AW237" s="127"/>
    </row>
    <row r="238" spans="2:49" ht="21.75" customHeight="1" x14ac:dyDescent="0.35">
      <c r="B238" s="64"/>
      <c r="C238" s="115"/>
      <c r="D238" s="137"/>
      <c r="E238" s="137"/>
      <c r="F238" s="67"/>
      <c r="G238" s="137"/>
      <c r="H238" s="67"/>
      <c r="I238" s="137"/>
      <c r="J238" s="67"/>
      <c r="K238" s="64"/>
      <c r="L238" s="140"/>
      <c r="M238" s="140"/>
      <c r="U238" s="140"/>
      <c r="V238" s="140"/>
      <c r="W238" s="140"/>
      <c r="X238" s="140"/>
      <c r="Y238" s="140"/>
      <c r="Z238" s="140"/>
      <c r="AA238" s="140"/>
      <c r="AB238" s="140"/>
      <c r="AP238" s="125"/>
      <c r="AQ238" s="125"/>
      <c r="AR238" s="125"/>
      <c r="AS238" s="125"/>
      <c r="AT238" s="125"/>
      <c r="AU238" s="127"/>
      <c r="AV238" s="127"/>
      <c r="AW238" s="127"/>
    </row>
    <row r="239" spans="2:49" ht="21.75" customHeight="1" x14ac:dyDescent="0.35">
      <c r="B239" s="64"/>
      <c r="C239" s="115"/>
      <c r="D239" s="137"/>
      <c r="E239" s="137"/>
      <c r="F239" s="67"/>
      <c r="G239" s="137"/>
      <c r="H239" s="67"/>
      <c r="I239" s="137"/>
      <c r="J239" s="67"/>
      <c r="K239" s="64"/>
      <c r="L239" s="140"/>
      <c r="M239" s="140"/>
      <c r="U239" s="140"/>
      <c r="V239" s="140"/>
      <c r="W239" s="140"/>
      <c r="X239" s="140"/>
      <c r="Y239" s="140"/>
      <c r="Z239" s="140"/>
      <c r="AA239" s="140"/>
      <c r="AB239" s="140"/>
      <c r="AP239" s="125"/>
      <c r="AQ239" s="125"/>
      <c r="AR239" s="125"/>
      <c r="AS239" s="125"/>
      <c r="AT239" s="125"/>
      <c r="AU239" s="127"/>
      <c r="AV239" s="127"/>
      <c r="AW239" s="127"/>
    </row>
    <row r="240" spans="2:49" ht="21.75" customHeight="1" x14ac:dyDescent="0.35">
      <c r="B240" s="64"/>
      <c r="C240" s="115"/>
      <c r="D240" s="137"/>
      <c r="E240" s="137"/>
      <c r="F240" s="67"/>
      <c r="G240" s="137"/>
      <c r="H240" s="67"/>
      <c r="I240" s="137"/>
      <c r="J240" s="67"/>
      <c r="K240" s="64"/>
      <c r="L240" s="140"/>
      <c r="M240" s="140"/>
      <c r="U240" s="140"/>
      <c r="V240" s="140"/>
      <c r="W240" s="140"/>
      <c r="X240" s="140"/>
      <c r="Y240" s="140"/>
      <c r="Z240" s="140"/>
      <c r="AA240" s="140"/>
      <c r="AB240" s="140"/>
      <c r="AP240" s="125"/>
      <c r="AQ240" s="125"/>
      <c r="AR240" s="125"/>
      <c r="AS240" s="125"/>
      <c r="AT240" s="125"/>
      <c r="AU240" s="127"/>
      <c r="AV240" s="127"/>
      <c r="AW240" s="127"/>
    </row>
    <row r="241" spans="2:49" ht="21.75" customHeight="1" x14ac:dyDescent="0.35">
      <c r="B241" s="64"/>
      <c r="C241" s="115"/>
      <c r="D241" s="137"/>
      <c r="E241" s="137"/>
      <c r="F241" s="67"/>
      <c r="G241" s="137"/>
      <c r="H241" s="67"/>
      <c r="I241" s="137"/>
      <c r="J241" s="67"/>
      <c r="K241" s="64"/>
      <c r="L241" s="140"/>
      <c r="M241" s="140"/>
      <c r="U241" s="140"/>
      <c r="V241" s="140"/>
      <c r="W241" s="140"/>
      <c r="X241" s="140"/>
      <c r="Y241" s="140"/>
      <c r="Z241" s="140"/>
      <c r="AA241" s="140"/>
      <c r="AB241" s="140"/>
      <c r="AP241" s="125"/>
      <c r="AQ241" s="125"/>
      <c r="AR241" s="125"/>
      <c r="AS241" s="125"/>
      <c r="AT241" s="125"/>
      <c r="AU241" s="127"/>
      <c r="AV241" s="127"/>
      <c r="AW241" s="127"/>
    </row>
    <row r="242" spans="2:49" ht="21.75" customHeight="1" x14ac:dyDescent="0.35">
      <c r="B242" s="64"/>
      <c r="C242" s="115"/>
      <c r="D242" s="137"/>
      <c r="E242" s="137"/>
      <c r="F242" s="67"/>
      <c r="G242" s="137"/>
      <c r="H242" s="67"/>
      <c r="I242" s="137"/>
      <c r="J242" s="67"/>
      <c r="K242" s="64"/>
      <c r="L242" s="140"/>
      <c r="M242" s="140"/>
      <c r="U242" s="140"/>
      <c r="V242" s="140"/>
      <c r="W242" s="140"/>
      <c r="X242" s="140"/>
      <c r="Y242" s="140"/>
      <c r="Z242" s="140"/>
      <c r="AA242" s="140"/>
      <c r="AB242" s="140"/>
      <c r="AP242" s="125"/>
      <c r="AQ242" s="125"/>
      <c r="AR242" s="125"/>
      <c r="AS242" s="125"/>
      <c r="AT242" s="125"/>
      <c r="AU242" s="127"/>
      <c r="AV242" s="127"/>
      <c r="AW242" s="127"/>
    </row>
    <row r="243" spans="2:49" ht="21.75" customHeight="1" x14ac:dyDescent="0.35">
      <c r="B243" s="64"/>
      <c r="C243" s="115"/>
      <c r="D243" s="137"/>
      <c r="E243" s="137"/>
      <c r="F243" s="67"/>
      <c r="G243" s="137"/>
      <c r="H243" s="67"/>
      <c r="I243" s="137"/>
      <c r="J243" s="67"/>
      <c r="K243" s="64"/>
      <c r="L243" s="140"/>
      <c r="M243" s="140"/>
      <c r="U243" s="140"/>
      <c r="V243" s="140"/>
      <c r="W243" s="140"/>
      <c r="X243" s="140"/>
      <c r="Y243" s="140"/>
      <c r="Z243" s="140"/>
      <c r="AA243" s="140"/>
      <c r="AB243" s="140"/>
      <c r="AP243" s="125"/>
      <c r="AQ243" s="125"/>
      <c r="AR243" s="125"/>
      <c r="AS243" s="125"/>
      <c r="AT243" s="125"/>
      <c r="AU243" s="127"/>
      <c r="AV243" s="127"/>
      <c r="AW243" s="127"/>
    </row>
    <row r="244" spans="2:49" ht="21.75" customHeight="1" x14ac:dyDescent="0.35">
      <c r="B244" s="64"/>
      <c r="C244" s="115"/>
      <c r="D244" s="137"/>
      <c r="E244" s="137"/>
      <c r="F244" s="67"/>
      <c r="G244" s="137"/>
      <c r="H244" s="67"/>
      <c r="I244" s="137"/>
      <c r="J244" s="67"/>
      <c r="K244" s="64"/>
      <c r="L244" s="140"/>
      <c r="M244" s="140"/>
      <c r="U244" s="140"/>
      <c r="V244" s="140"/>
      <c r="W244" s="140"/>
      <c r="X244" s="140"/>
      <c r="Y244" s="140"/>
      <c r="Z244" s="140"/>
      <c r="AA244" s="140"/>
      <c r="AB244" s="140"/>
      <c r="AP244" s="125"/>
      <c r="AQ244" s="125"/>
      <c r="AR244" s="125"/>
      <c r="AS244" s="125"/>
      <c r="AT244" s="125"/>
      <c r="AU244" s="127"/>
      <c r="AV244" s="127"/>
      <c r="AW244" s="127"/>
    </row>
    <row r="245" spans="2:49" ht="21.75" customHeight="1" x14ac:dyDescent="0.35">
      <c r="B245" s="64"/>
      <c r="C245" s="115"/>
      <c r="D245" s="137"/>
      <c r="E245" s="137"/>
      <c r="F245" s="67"/>
      <c r="G245" s="137"/>
      <c r="H245" s="67"/>
      <c r="I245" s="137"/>
      <c r="J245" s="67"/>
      <c r="K245" s="64"/>
      <c r="L245" s="140"/>
      <c r="M245" s="140"/>
      <c r="U245" s="140"/>
      <c r="V245" s="140"/>
      <c r="W245" s="140"/>
      <c r="X245" s="140"/>
      <c r="Y245" s="140"/>
      <c r="Z245" s="140"/>
      <c r="AA245" s="140"/>
      <c r="AB245" s="140"/>
      <c r="AP245" s="125"/>
      <c r="AQ245" s="125"/>
      <c r="AR245" s="125"/>
      <c r="AS245" s="125"/>
      <c r="AT245" s="125"/>
      <c r="AU245" s="127"/>
      <c r="AV245" s="127"/>
      <c r="AW245" s="127"/>
    </row>
    <row r="246" spans="2:49" ht="21.75" customHeight="1" x14ac:dyDescent="0.35">
      <c r="B246" s="64"/>
      <c r="C246" s="115"/>
      <c r="D246" s="137"/>
      <c r="E246" s="137"/>
      <c r="F246" s="67"/>
      <c r="G246" s="137"/>
      <c r="H246" s="67"/>
      <c r="I246" s="137"/>
      <c r="J246" s="67"/>
      <c r="K246" s="64"/>
      <c r="L246" s="140"/>
      <c r="M246" s="140"/>
      <c r="U246" s="140"/>
      <c r="V246" s="140"/>
      <c r="W246" s="140"/>
      <c r="X246" s="140"/>
      <c r="Y246" s="140"/>
      <c r="Z246" s="140"/>
      <c r="AA246" s="140"/>
      <c r="AB246" s="140"/>
      <c r="AP246" s="125"/>
      <c r="AQ246" s="125"/>
      <c r="AR246" s="125"/>
      <c r="AS246" s="125"/>
      <c r="AT246" s="125"/>
      <c r="AU246" s="127"/>
      <c r="AV246" s="127"/>
      <c r="AW246" s="127"/>
    </row>
    <row r="247" spans="2:49" ht="21.75" customHeight="1" x14ac:dyDescent="0.35">
      <c r="B247" s="64"/>
      <c r="C247" s="115"/>
      <c r="D247" s="137"/>
      <c r="E247" s="137"/>
      <c r="F247" s="67"/>
      <c r="G247" s="137"/>
      <c r="H247" s="67"/>
      <c r="I247" s="137"/>
      <c r="J247" s="67"/>
      <c r="K247" s="64"/>
      <c r="L247" s="140"/>
      <c r="M247" s="140"/>
      <c r="U247" s="140"/>
      <c r="V247" s="140"/>
      <c r="W247" s="140"/>
      <c r="X247" s="140"/>
      <c r="Y247" s="140"/>
      <c r="Z247" s="140"/>
      <c r="AA247" s="140"/>
      <c r="AB247" s="140"/>
      <c r="AP247" s="125"/>
      <c r="AQ247" s="125"/>
      <c r="AR247" s="125"/>
      <c r="AS247" s="125"/>
      <c r="AT247" s="125"/>
      <c r="AU247" s="127"/>
      <c r="AV247" s="127"/>
      <c r="AW247" s="127"/>
    </row>
    <row r="248" spans="2:49" ht="21.75" customHeight="1" x14ac:dyDescent="0.35">
      <c r="B248" s="64"/>
      <c r="C248" s="115"/>
      <c r="D248" s="137"/>
      <c r="E248" s="137"/>
      <c r="F248" s="67"/>
      <c r="G248" s="137"/>
      <c r="H248" s="67"/>
      <c r="I248" s="137"/>
      <c r="J248" s="67"/>
      <c r="K248" s="64"/>
      <c r="L248" s="140"/>
      <c r="M248" s="140"/>
      <c r="U248" s="140"/>
      <c r="V248" s="140"/>
      <c r="W248" s="140"/>
      <c r="X248" s="140"/>
      <c r="Y248" s="140"/>
      <c r="Z248" s="140"/>
      <c r="AA248" s="140"/>
      <c r="AB248" s="140"/>
      <c r="AP248" s="125"/>
      <c r="AQ248" s="125"/>
      <c r="AR248" s="125"/>
      <c r="AS248" s="125"/>
      <c r="AT248" s="125"/>
      <c r="AU248" s="127"/>
      <c r="AV248" s="127"/>
      <c r="AW248" s="127"/>
    </row>
    <row r="249" spans="2:49" ht="21.75" customHeight="1" x14ac:dyDescent="0.35">
      <c r="B249" s="64"/>
      <c r="C249" s="115"/>
      <c r="D249" s="137"/>
      <c r="E249" s="137"/>
      <c r="F249" s="67"/>
      <c r="G249" s="137"/>
      <c r="H249" s="67"/>
      <c r="I249" s="137"/>
      <c r="J249" s="67"/>
      <c r="K249" s="64"/>
      <c r="L249" s="140"/>
      <c r="M249" s="140"/>
      <c r="U249" s="140"/>
      <c r="V249" s="140"/>
      <c r="W249" s="140"/>
      <c r="X249" s="140"/>
      <c r="Y249" s="140"/>
      <c r="Z249" s="140"/>
      <c r="AA249" s="140"/>
      <c r="AB249" s="140"/>
      <c r="AP249" s="125"/>
      <c r="AQ249" s="125"/>
      <c r="AR249" s="125"/>
      <c r="AS249" s="125"/>
      <c r="AT249" s="125"/>
      <c r="AU249" s="127"/>
      <c r="AV249" s="127"/>
      <c r="AW249" s="127"/>
    </row>
    <row r="250" spans="2:49" ht="21.75" customHeight="1" x14ac:dyDescent="0.35">
      <c r="B250" s="64"/>
      <c r="C250" s="115"/>
      <c r="D250" s="137"/>
      <c r="E250" s="137"/>
      <c r="F250" s="67"/>
      <c r="G250" s="137"/>
      <c r="H250" s="67"/>
      <c r="I250" s="137"/>
      <c r="J250" s="67"/>
      <c r="K250" s="64"/>
      <c r="L250" s="140"/>
      <c r="M250" s="140"/>
      <c r="U250" s="140"/>
      <c r="V250" s="140"/>
      <c r="W250" s="140"/>
      <c r="X250" s="140"/>
      <c r="Y250" s="140"/>
      <c r="Z250" s="140"/>
      <c r="AA250" s="140"/>
      <c r="AB250" s="140"/>
      <c r="AP250" s="125"/>
      <c r="AQ250" s="125"/>
      <c r="AR250" s="125"/>
      <c r="AS250" s="125"/>
      <c r="AT250" s="125"/>
      <c r="AU250" s="127"/>
      <c r="AV250" s="127"/>
      <c r="AW250" s="127"/>
    </row>
    <row r="251" spans="2:49" ht="21.75" customHeight="1" x14ac:dyDescent="0.35">
      <c r="B251" s="64"/>
      <c r="C251" s="115"/>
      <c r="D251" s="137"/>
      <c r="E251" s="137"/>
      <c r="F251" s="67"/>
      <c r="G251" s="137"/>
      <c r="H251" s="67"/>
      <c r="I251" s="137"/>
      <c r="J251" s="67"/>
      <c r="K251" s="64"/>
      <c r="L251" s="140"/>
      <c r="M251" s="140"/>
      <c r="U251" s="140"/>
      <c r="V251" s="140"/>
      <c r="W251" s="140"/>
      <c r="X251" s="140"/>
      <c r="Y251" s="140"/>
      <c r="Z251" s="140"/>
      <c r="AA251" s="140"/>
      <c r="AB251" s="140"/>
      <c r="AP251" s="125"/>
      <c r="AQ251" s="125"/>
      <c r="AR251" s="125"/>
      <c r="AS251" s="125"/>
      <c r="AT251" s="125"/>
      <c r="AU251" s="127"/>
      <c r="AV251" s="127"/>
      <c r="AW251" s="127"/>
    </row>
    <row r="252" spans="2:49" ht="21.75" customHeight="1" x14ac:dyDescent="0.35">
      <c r="B252" s="64"/>
      <c r="C252" s="115"/>
      <c r="D252" s="137"/>
      <c r="E252" s="137"/>
      <c r="F252" s="67"/>
      <c r="G252" s="137"/>
      <c r="H252" s="67"/>
      <c r="I252" s="137"/>
      <c r="J252" s="67"/>
      <c r="K252" s="64"/>
      <c r="L252" s="140"/>
      <c r="M252" s="140"/>
      <c r="U252" s="140"/>
      <c r="V252" s="140"/>
      <c r="W252" s="140"/>
      <c r="X252" s="140"/>
      <c r="Y252" s="140"/>
      <c r="Z252" s="140"/>
      <c r="AA252" s="140"/>
      <c r="AB252" s="140"/>
      <c r="AP252" s="125"/>
      <c r="AQ252" s="125"/>
      <c r="AR252" s="125"/>
      <c r="AS252" s="125"/>
      <c r="AT252" s="125"/>
      <c r="AU252" s="127"/>
      <c r="AV252" s="127"/>
      <c r="AW252" s="127"/>
    </row>
    <row r="253" spans="2:49" ht="21.75" customHeight="1" x14ac:dyDescent="0.35">
      <c r="B253" s="64"/>
      <c r="C253" s="115"/>
      <c r="D253" s="137"/>
      <c r="E253" s="137"/>
      <c r="F253" s="67"/>
      <c r="G253" s="137"/>
      <c r="H253" s="67"/>
      <c r="I253" s="137"/>
      <c r="J253" s="67"/>
      <c r="K253" s="64"/>
      <c r="L253" s="140"/>
      <c r="M253" s="140"/>
      <c r="U253" s="140"/>
      <c r="V253" s="140"/>
      <c r="W253" s="140"/>
      <c r="X253" s="140"/>
      <c r="Y253" s="140"/>
      <c r="Z253" s="140"/>
      <c r="AA253" s="140"/>
      <c r="AB253" s="140"/>
      <c r="AP253" s="125"/>
      <c r="AQ253" s="125"/>
      <c r="AR253" s="125"/>
      <c r="AS253" s="125"/>
      <c r="AT253" s="125"/>
      <c r="AU253" s="127"/>
      <c r="AV253" s="127"/>
      <c r="AW253" s="127"/>
    </row>
    <row r="254" spans="2:49" ht="21.75" customHeight="1" x14ac:dyDescent="0.35">
      <c r="B254" s="64"/>
      <c r="C254" s="115"/>
      <c r="D254" s="137"/>
      <c r="E254" s="137"/>
      <c r="F254" s="67"/>
      <c r="G254" s="137"/>
      <c r="H254" s="67"/>
      <c r="I254" s="137"/>
      <c r="J254" s="67"/>
      <c r="K254" s="64"/>
      <c r="L254" s="140"/>
      <c r="M254" s="140"/>
      <c r="U254" s="140"/>
      <c r="V254" s="140"/>
      <c r="W254" s="140"/>
      <c r="X254" s="140"/>
      <c r="Y254" s="140"/>
      <c r="Z254" s="140"/>
      <c r="AA254" s="140"/>
      <c r="AB254" s="140"/>
      <c r="AP254" s="125"/>
      <c r="AQ254" s="125"/>
      <c r="AR254" s="125"/>
      <c r="AS254" s="125"/>
      <c r="AT254" s="125"/>
      <c r="AU254" s="127"/>
      <c r="AV254" s="127"/>
      <c r="AW254" s="127"/>
    </row>
    <row r="255" spans="2:49" ht="21.75" customHeight="1" x14ac:dyDescent="0.35">
      <c r="B255" s="64"/>
      <c r="C255" s="115"/>
      <c r="D255" s="137"/>
      <c r="E255" s="137"/>
      <c r="F255" s="67"/>
      <c r="G255" s="137"/>
      <c r="H255" s="67"/>
      <c r="I255" s="137"/>
      <c r="J255" s="67"/>
      <c r="K255" s="64"/>
      <c r="L255" s="140"/>
      <c r="M255" s="140"/>
      <c r="U255" s="140"/>
      <c r="V255" s="140"/>
      <c r="W255" s="140"/>
      <c r="X255" s="140"/>
      <c r="Y255" s="140"/>
      <c r="Z255" s="140"/>
      <c r="AA255" s="140"/>
      <c r="AB255" s="140"/>
      <c r="AP255" s="125"/>
      <c r="AQ255" s="125"/>
      <c r="AR255" s="125"/>
      <c r="AS255" s="125"/>
      <c r="AT255" s="125"/>
      <c r="AU255" s="127"/>
      <c r="AV255" s="127"/>
      <c r="AW255" s="127"/>
    </row>
    <row r="256" spans="2:49" ht="21.75" customHeight="1" x14ac:dyDescent="0.35">
      <c r="B256" s="64"/>
      <c r="C256" s="115"/>
      <c r="D256" s="137"/>
      <c r="E256" s="137"/>
      <c r="F256" s="67"/>
      <c r="G256" s="137"/>
      <c r="H256" s="67"/>
      <c r="I256" s="137"/>
      <c r="J256" s="67"/>
      <c r="K256" s="64"/>
      <c r="L256" s="140"/>
      <c r="M256" s="140"/>
      <c r="U256" s="140"/>
      <c r="V256" s="140"/>
      <c r="W256" s="140"/>
      <c r="X256" s="140"/>
      <c r="Y256" s="140"/>
      <c r="Z256" s="140"/>
      <c r="AA256" s="140"/>
      <c r="AB256" s="140"/>
      <c r="AP256" s="125"/>
      <c r="AQ256" s="125"/>
      <c r="AR256" s="125"/>
      <c r="AS256" s="125"/>
      <c r="AT256" s="125"/>
      <c r="AU256" s="127"/>
      <c r="AV256" s="127"/>
      <c r="AW256" s="127"/>
    </row>
    <row r="257" spans="2:49" ht="21.75" customHeight="1" x14ac:dyDescent="0.35">
      <c r="B257" s="64"/>
      <c r="C257" s="115"/>
      <c r="D257" s="137"/>
      <c r="E257" s="137"/>
      <c r="F257" s="67"/>
      <c r="G257" s="137"/>
      <c r="H257" s="67"/>
      <c r="I257" s="137"/>
      <c r="J257" s="67"/>
      <c r="K257" s="64"/>
      <c r="L257" s="140"/>
      <c r="M257" s="140"/>
      <c r="U257" s="140"/>
      <c r="V257" s="140"/>
      <c r="W257" s="140"/>
      <c r="X257" s="140"/>
      <c r="Y257" s="140"/>
      <c r="Z257" s="140"/>
      <c r="AA257" s="140"/>
      <c r="AB257" s="140"/>
      <c r="AP257" s="125"/>
      <c r="AQ257" s="125"/>
      <c r="AR257" s="125"/>
      <c r="AS257" s="125"/>
      <c r="AT257" s="125"/>
      <c r="AU257" s="127"/>
      <c r="AV257" s="127"/>
      <c r="AW257" s="127"/>
    </row>
    <row r="258" spans="2:49" ht="21.75" customHeight="1" x14ac:dyDescent="0.35">
      <c r="B258" s="64"/>
      <c r="C258" s="115"/>
      <c r="D258" s="137"/>
      <c r="E258" s="137"/>
      <c r="F258" s="67"/>
      <c r="G258" s="137"/>
      <c r="H258" s="67"/>
      <c r="I258" s="137"/>
      <c r="J258" s="67"/>
      <c r="K258" s="64"/>
      <c r="L258" s="140"/>
      <c r="M258" s="140"/>
      <c r="U258" s="140"/>
      <c r="V258" s="140"/>
      <c r="W258" s="140"/>
      <c r="X258" s="140"/>
      <c r="Y258" s="140"/>
      <c r="Z258" s="140"/>
      <c r="AA258" s="140"/>
      <c r="AB258" s="140"/>
      <c r="AP258" s="125"/>
      <c r="AQ258" s="125"/>
      <c r="AR258" s="125"/>
      <c r="AS258" s="125"/>
      <c r="AT258" s="125"/>
      <c r="AU258" s="127"/>
      <c r="AV258" s="127"/>
      <c r="AW258" s="127"/>
    </row>
    <row r="259" spans="2:49" ht="21.75" customHeight="1" x14ac:dyDescent="0.35">
      <c r="B259" s="64"/>
      <c r="C259" s="115"/>
      <c r="D259" s="137"/>
      <c r="E259" s="137"/>
      <c r="F259" s="67"/>
      <c r="G259" s="137"/>
      <c r="H259" s="67"/>
      <c r="I259" s="137"/>
      <c r="J259" s="67"/>
      <c r="K259" s="64"/>
      <c r="L259" s="140"/>
      <c r="M259" s="140"/>
      <c r="U259" s="140"/>
      <c r="V259" s="140"/>
      <c r="W259" s="140"/>
      <c r="X259" s="140"/>
      <c r="Y259" s="140"/>
      <c r="Z259" s="140"/>
      <c r="AA259" s="140"/>
      <c r="AB259" s="140"/>
      <c r="AP259" s="125"/>
      <c r="AQ259" s="125"/>
      <c r="AR259" s="125"/>
      <c r="AS259" s="125"/>
      <c r="AT259" s="125"/>
      <c r="AU259" s="127"/>
      <c r="AV259" s="127"/>
      <c r="AW259" s="127"/>
    </row>
    <row r="260" spans="2:49" ht="21.75" customHeight="1" x14ac:dyDescent="0.35">
      <c r="B260" s="64"/>
      <c r="C260" s="115"/>
      <c r="D260" s="137"/>
      <c r="E260" s="137"/>
      <c r="F260" s="67"/>
      <c r="G260" s="137"/>
      <c r="H260" s="67"/>
      <c r="I260" s="137"/>
      <c r="J260" s="67"/>
      <c r="K260" s="64"/>
      <c r="L260" s="140"/>
      <c r="M260" s="140"/>
      <c r="U260" s="140"/>
      <c r="V260" s="140"/>
      <c r="W260" s="140"/>
      <c r="X260" s="140"/>
      <c r="Y260" s="140"/>
      <c r="Z260" s="140"/>
      <c r="AA260" s="140"/>
      <c r="AB260" s="140"/>
      <c r="AP260" s="125"/>
      <c r="AQ260" s="125"/>
      <c r="AR260" s="125"/>
      <c r="AS260" s="125"/>
      <c r="AT260" s="125"/>
      <c r="AU260" s="127"/>
      <c r="AV260" s="127"/>
      <c r="AW260" s="127"/>
    </row>
    <row r="261" spans="2:49" ht="21.75" customHeight="1" x14ac:dyDescent="0.35">
      <c r="B261" s="64"/>
      <c r="C261" s="115"/>
      <c r="D261" s="137"/>
      <c r="E261" s="137"/>
      <c r="F261" s="67"/>
      <c r="G261" s="137"/>
      <c r="H261" s="67"/>
      <c r="I261" s="137"/>
      <c r="J261" s="67"/>
      <c r="K261" s="64"/>
      <c r="L261" s="140"/>
      <c r="M261" s="140"/>
      <c r="U261" s="140"/>
      <c r="V261" s="140"/>
      <c r="W261" s="140"/>
      <c r="X261" s="140"/>
      <c r="Y261" s="140"/>
      <c r="Z261" s="140"/>
      <c r="AA261" s="140"/>
      <c r="AB261" s="140"/>
      <c r="AP261" s="125"/>
      <c r="AQ261" s="125"/>
      <c r="AR261" s="125"/>
      <c r="AS261" s="125"/>
      <c r="AT261" s="125"/>
      <c r="AU261" s="127"/>
      <c r="AV261" s="127"/>
      <c r="AW261" s="127"/>
    </row>
    <row r="262" spans="2:49" ht="21.75" customHeight="1" x14ac:dyDescent="0.35">
      <c r="B262" s="64"/>
      <c r="C262" s="115"/>
      <c r="D262" s="137"/>
      <c r="E262" s="137"/>
      <c r="F262" s="67"/>
      <c r="G262" s="137"/>
      <c r="H262" s="67"/>
      <c r="I262" s="137"/>
      <c r="J262" s="67"/>
      <c r="K262" s="64"/>
      <c r="L262" s="140"/>
      <c r="M262" s="140"/>
      <c r="U262" s="140"/>
      <c r="V262" s="140"/>
      <c r="W262" s="140"/>
      <c r="X262" s="140"/>
      <c r="Y262" s="140"/>
      <c r="Z262" s="140"/>
      <c r="AA262" s="140"/>
      <c r="AB262" s="140"/>
      <c r="AP262" s="125"/>
      <c r="AQ262" s="125"/>
      <c r="AR262" s="125"/>
      <c r="AS262" s="125"/>
      <c r="AT262" s="125"/>
      <c r="AU262" s="127"/>
      <c r="AV262" s="127"/>
      <c r="AW262" s="127"/>
    </row>
    <row r="263" spans="2:49" ht="21.75" customHeight="1" x14ac:dyDescent="0.35">
      <c r="B263" s="64"/>
      <c r="C263" s="115"/>
      <c r="D263" s="137"/>
      <c r="E263" s="137"/>
      <c r="F263" s="67"/>
      <c r="G263" s="137"/>
      <c r="H263" s="67"/>
      <c r="I263" s="137"/>
      <c r="J263" s="67"/>
      <c r="K263" s="64"/>
      <c r="L263" s="140"/>
      <c r="M263" s="140"/>
      <c r="U263" s="140"/>
      <c r="V263" s="140"/>
      <c r="W263" s="140"/>
      <c r="X263" s="140"/>
      <c r="Y263" s="140"/>
      <c r="Z263" s="140"/>
      <c r="AA263" s="140"/>
      <c r="AB263" s="140"/>
      <c r="AP263" s="125"/>
      <c r="AQ263" s="125"/>
      <c r="AR263" s="125"/>
      <c r="AS263" s="125"/>
      <c r="AT263" s="125"/>
      <c r="AU263" s="127"/>
      <c r="AV263" s="127"/>
      <c r="AW263" s="127"/>
    </row>
    <row r="264" spans="2:49" ht="21.75" customHeight="1" x14ac:dyDescent="0.35">
      <c r="B264" s="64"/>
      <c r="C264" s="115"/>
      <c r="D264" s="137"/>
      <c r="E264" s="137"/>
      <c r="F264" s="67"/>
      <c r="G264" s="137"/>
      <c r="H264" s="67"/>
      <c r="I264" s="137"/>
      <c r="J264" s="67"/>
      <c r="K264" s="64"/>
      <c r="L264" s="140"/>
      <c r="M264" s="140"/>
      <c r="U264" s="140"/>
      <c r="V264" s="140"/>
      <c r="W264" s="140"/>
      <c r="X264" s="140"/>
      <c r="Y264" s="140"/>
      <c r="Z264" s="140"/>
      <c r="AA264" s="140"/>
      <c r="AB264" s="140"/>
      <c r="AP264" s="125"/>
      <c r="AQ264" s="125"/>
      <c r="AR264" s="125"/>
      <c r="AS264" s="125"/>
      <c r="AT264" s="125"/>
      <c r="AU264" s="127"/>
      <c r="AV264" s="127"/>
      <c r="AW264" s="127"/>
    </row>
    <row r="265" spans="2:49" ht="21.75" customHeight="1" x14ac:dyDescent="0.35">
      <c r="B265" s="64"/>
      <c r="C265" s="115"/>
      <c r="D265" s="137"/>
      <c r="E265" s="137"/>
      <c r="F265" s="67"/>
      <c r="G265" s="137"/>
      <c r="H265" s="67"/>
      <c r="I265" s="137"/>
      <c r="J265" s="67"/>
      <c r="K265" s="64"/>
      <c r="L265" s="140"/>
      <c r="M265" s="140"/>
      <c r="U265" s="140"/>
      <c r="V265" s="140"/>
      <c r="W265" s="140"/>
      <c r="X265" s="140"/>
      <c r="Y265" s="140"/>
      <c r="Z265" s="140"/>
      <c r="AA265" s="140"/>
      <c r="AB265" s="140"/>
      <c r="AP265" s="125"/>
      <c r="AQ265" s="125"/>
      <c r="AR265" s="125"/>
      <c r="AS265" s="125"/>
      <c r="AT265" s="125"/>
      <c r="AU265" s="127"/>
      <c r="AV265" s="127"/>
      <c r="AW265" s="127"/>
    </row>
    <row r="266" spans="2:49" ht="21.75" customHeight="1" x14ac:dyDescent="0.35">
      <c r="B266" s="64"/>
      <c r="C266" s="115"/>
      <c r="D266" s="137"/>
      <c r="E266" s="137"/>
      <c r="F266" s="67"/>
      <c r="G266" s="137"/>
      <c r="H266" s="67"/>
      <c r="I266" s="137"/>
      <c r="J266" s="67"/>
      <c r="K266" s="64"/>
      <c r="L266" s="140"/>
      <c r="M266" s="140"/>
      <c r="U266" s="140"/>
      <c r="V266" s="140"/>
      <c r="W266" s="140"/>
      <c r="X266" s="140"/>
      <c r="Y266" s="140"/>
      <c r="Z266" s="140"/>
      <c r="AA266" s="140"/>
      <c r="AB266" s="140"/>
      <c r="AP266" s="125"/>
      <c r="AQ266" s="125"/>
      <c r="AR266" s="125"/>
      <c r="AS266" s="125"/>
      <c r="AT266" s="125"/>
      <c r="AU266" s="127"/>
      <c r="AV266" s="127"/>
      <c r="AW266" s="127"/>
    </row>
    <row r="267" spans="2:49" ht="21.75" customHeight="1" x14ac:dyDescent="0.35">
      <c r="B267" s="64"/>
      <c r="C267" s="115"/>
      <c r="D267" s="137"/>
      <c r="E267" s="137"/>
      <c r="F267" s="67"/>
      <c r="G267" s="137"/>
      <c r="H267" s="67"/>
      <c r="I267" s="137"/>
      <c r="J267" s="67"/>
      <c r="K267" s="64"/>
      <c r="L267" s="140"/>
      <c r="M267" s="140"/>
      <c r="U267" s="140"/>
      <c r="V267" s="140"/>
      <c r="W267" s="140"/>
      <c r="X267" s="140"/>
      <c r="Y267" s="140"/>
      <c r="Z267" s="140"/>
      <c r="AA267" s="140"/>
      <c r="AB267" s="140"/>
      <c r="AP267" s="125"/>
      <c r="AQ267" s="125"/>
      <c r="AR267" s="125"/>
      <c r="AS267" s="125"/>
      <c r="AT267" s="125"/>
      <c r="AU267" s="127"/>
      <c r="AV267" s="127"/>
      <c r="AW267" s="127"/>
    </row>
    <row r="268" spans="2:49" ht="21.75" customHeight="1" x14ac:dyDescent="0.35">
      <c r="B268" s="64"/>
      <c r="C268" s="115"/>
      <c r="D268" s="137"/>
      <c r="E268" s="137"/>
      <c r="F268" s="67"/>
      <c r="G268" s="137"/>
      <c r="H268" s="67"/>
      <c r="I268" s="137"/>
      <c r="J268" s="67"/>
      <c r="K268" s="64"/>
      <c r="L268" s="140"/>
      <c r="M268" s="140"/>
      <c r="U268" s="140"/>
      <c r="V268" s="140"/>
      <c r="W268" s="140"/>
      <c r="X268" s="140"/>
      <c r="Y268" s="140"/>
      <c r="Z268" s="140"/>
      <c r="AA268" s="140"/>
      <c r="AB268" s="140"/>
      <c r="AP268" s="125"/>
      <c r="AQ268" s="125"/>
      <c r="AR268" s="125"/>
      <c r="AS268" s="125"/>
      <c r="AT268" s="125"/>
      <c r="AU268" s="127"/>
      <c r="AV268" s="127"/>
      <c r="AW268" s="127"/>
    </row>
    <row r="269" spans="2:49" ht="21.75" customHeight="1" x14ac:dyDescent="0.35">
      <c r="B269" s="64"/>
      <c r="C269" s="115"/>
      <c r="D269" s="137"/>
      <c r="E269" s="137"/>
      <c r="F269" s="67"/>
      <c r="G269" s="137"/>
      <c r="H269" s="67"/>
      <c r="I269" s="137"/>
      <c r="J269" s="67"/>
      <c r="K269" s="64"/>
      <c r="L269" s="140"/>
      <c r="M269" s="140"/>
      <c r="U269" s="140"/>
      <c r="V269" s="140"/>
      <c r="W269" s="140"/>
      <c r="X269" s="140"/>
      <c r="Y269" s="140"/>
      <c r="Z269" s="140"/>
      <c r="AA269" s="140"/>
      <c r="AB269" s="140"/>
      <c r="AP269" s="125"/>
      <c r="AQ269" s="125"/>
      <c r="AR269" s="125"/>
      <c r="AS269" s="125"/>
      <c r="AT269" s="125"/>
      <c r="AU269" s="127"/>
      <c r="AV269" s="127"/>
      <c r="AW269" s="127"/>
    </row>
    <row r="270" spans="2:49" ht="21.75" customHeight="1" x14ac:dyDescent="0.35">
      <c r="B270" s="64"/>
      <c r="C270" s="115"/>
      <c r="D270" s="137"/>
      <c r="E270" s="137"/>
      <c r="F270" s="67"/>
      <c r="G270" s="137"/>
      <c r="H270" s="67"/>
      <c r="I270" s="137"/>
      <c r="J270" s="67"/>
      <c r="K270" s="64"/>
      <c r="L270" s="140"/>
      <c r="M270" s="140"/>
      <c r="U270" s="140"/>
      <c r="V270" s="140"/>
      <c r="W270" s="140"/>
      <c r="X270" s="140"/>
      <c r="Y270" s="140"/>
      <c r="Z270" s="140"/>
      <c r="AA270" s="140"/>
      <c r="AB270" s="140"/>
      <c r="AP270" s="125"/>
      <c r="AQ270" s="125"/>
      <c r="AR270" s="125"/>
      <c r="AS270" s="125"/>
      <c r="AT270" s="125"/>
      <c r="AU270" s="127"/>
      <c r="AV270" s="127"/>
      <c r="AW270" s="127"/>
    </row>
    <row r="271" spans="2:49" ht="21.75" customHeight="1" x14ac:dyDescent="0.35">
      <c r="B271" s="64"/>
      <c r="C271" s="115"/>
      <c r="D271" s="137"/>
      <c r="E271" s="137"/>
      <c r="F271" s="67"/>
      <c r="G271" s="137"/>
      <c r="H271" s="67"/>
      <c r="I271" s="137"/>
      <c r="J271" s="67"/>
      <c r="K271" s="64"/>
      <c r="L271" s="140"/>
      <c r="M271" s="140"/>
      <c r="U271" s="140"/>
      <c r="V271" s="140"/>
      <c r="W271" s="140"/>
      <c r="X271" s="140"/>
      <c r="Y271" s="140"/>
      <c r="Z271" s="140"/>
      <c r="AA271" s="140"/>
      <c r="AB271" s="140"/>
      <c r="AP271" s="125"/>
      <c r="AQ271" s="125"/>
      <c r="AR271" s="125"/>
      <c r="AS271" s="125"/>
      <c r="AT271" s="125"/>
      <c r="AU271" s="127"/>
      <c r="AV271" s="127"/>
      <c r="AW271" s="127"/>
    </row>
    <row r="272" spans="2:49" ht="21.75" customHeight="1" x14ac:dyDescent="0.35">
      <c r="B272" s="64"/>
      <c r="C272" s="115"/>
      <c r="D272" s="137"/>
      <c r="E272" s="137"/>
      <c r="F272" s="67"/>
      <c r="G272" s="137"/>
      <c r="H272" s="67"/>
      <c r="I272" s="137"/>
      <c r="J272" s="67"/>
      <c r="K272" s="64"/>
      <c r="L272" s="140"/>
      <c r="M272" s="140"/>
      <c r="U272" s="140"/>
      <c r="V272" s="140"/>
      <c r="W272" s="140"/>
      <c r="X272" s="140"/>
      <c r="Y272" s="140"/>
      <c r="Z272" s="140"/>
      <c r="AA272" s="140"/>
      <c r="AB272" s="140"/>
      <c r="AP272" s="125"/>
      <c r="AQ272" s="125"/>
      <c r="AR272" s="125"/>
      <c r="AS272" s="125"/>
      <c r="AT272" s="125"/>
      <c r="AU272" s="127"/>
      <c r="AV272" s="127"/>
      <c r="AW272" s="127"/>
    </row>
    <row r="273" spans="2:49" ht="21.75" customHeight="1" x14ac:dyDescent="0.35">
      <c r="B273" s="64"/>
      <c r="C273" s="115"/>
      <c r="D273" s="137"/>
      <c r="E273" s="137"/>
      <c r="F273" s="67"/>
      <c r="G273" s="137"/>
      <c r="H273" s="67"/>
      <c r="I273" s="137"/>
      <c r="J273" s="67"/>
      <c r="K273" s="64"/>
      <c r="L273" s="140"/>
      <c r="M273" s="140"/>
      <c r="U273" s="140"/>
      <c r="V273" s="140"/>
      <c r="W273" s="140"/>
      <c r="X273" s="140"/>
      <c r="Y273" s="140"/>
      <c r="Z273" s="140"/>
      <c r="AA273" s="140"/>
      <c r="AB273" s="140"/>
      <c r="AP273" s="125"/>
      <c r="AQ273" s="125"/>
      <c r="AR273" s="125"/>
      <c r="AS273" s="125"/>
      <c r="AT273" s="125"/>
      <c r="AU273" s="127"/>
      <c r="AV273" s="127"/>
      <c r="AW273" s="127"/>
    </row>
    <row r="274" spans="2:49" ht="21.75" customHeight="1" x14ac:dyDescent="0.35">
      <c r="B274" s="64"/>
      <c r="C274" s="115"/>
      <c r="D274" s="137"/>
      <c r="E274" s="137"/>
      <c r="F274" s="67"/>
      <c r="G274" s="137"/>
      <c r="H274" s="67"/>
      <c r="I274" s="137"/>
      <c r="J274" s="67"/>
      <c r="K274" s="64"/>
      <c r="L274" s="140"/>
      <c r="M274" s="140"/>
      <c r="U274" s="140"/>
      <c r="V274" s="140"/>
      <c r="W274" s="140"/>
      <c r="X274" s="140"/>
      <c r="Y274" s="140"/>
      <c r="Z274" s="140"/>
      <c r="AA274" s="140"/>
      <c r="AB274" s="140"/>
      <c r="AP274" s="125"/>
      <c r="AQ274" s="125"/>
      <c r="AR274" s="125"/>
      <c r="AS274" s="125"/>
      <c r="AT274" s="125"/>
      <c r="AU274" s="127"/>
      <c r="AV274" s="127"/>
      <c r="AW274" s="127"/>
    </row>
    <row r="275" spans="2:49" ht="21.75" customHeight="1" x14ac:dyDescent="0.35">
      <c r="B275" s="64"/>
      <c r="C275" s="115"/>
      <c r="D275" s="137"/>
      <c r="E275" s="137"/>
      <c r="F275" s="67"/>
      <c r="G275" s="137"/>
      <c r="H275" s="67"/>
      <c r="I275" s="137"/>
      <c r="J275" s="67"/>
      <c r="K275" s="64"/>
      <c r="L275" s="140"/>
      <c r="M275" s="140"/>
      <c r="U275" s="140"/>
      <c r="V275" s="140"/>
      <c r="W275" s="140"/>
      <c r="X275" s="140"/>
      <c r="Y275" s="140"/>
      <c r="Z275" s="140"/>
      <c r="AA275" s="140"/>
      <c r="AB275" s="140"/>
      <c r="AP275" s="125"/>
      <c r="AQ275" s="125"/>
      <c r="AR275" s="125"/>
      <c r="AS275" s="125"/>
      <c r="AT275" s="125"/>
      <c r="AU275" s="127"/>
      <c r="AV275" s="127"/>
      <c r="AW275" s="127"/>
    </row>
    <row r="276" spans="2:49" ht="21.75" customHeight="1" x14ac:dyDescent="0.35">
      <c r="B276" s="64"/>
      <c r="C276" s="115"/>
      <c r="D276" s="137"/>
      <c r="E276" s="137"/>
      <c r="F276" s="67"/>
      <c r="G276" s="137"/>
      <c r="H276" s="67"/>
      <c r="I276" s="137"/>
      <c r="J276" s="67"/>
      <c r="K276" s="64"/>
      <c r="L276" s="140"/>
      <c r="M276" s="140"/>
      <c r="U276" s="140"/>
      <c r="V276" s="140"/>
      <c r="W276" s="140"/>
      <c r="X276" s="140"/>
      <c r="Y276" s="140"/>
      <c r="Z276" s="140"/>
      <c r="AA276" s="140"/>
      <c r="AB276" s="140"/>
      <c r="AP276" s="125"/>
      <c r="AQ276" s="125"/>
      <c r="AR276" s="125"/>
      <c r="AS276" s="125"/>
      <c r="AT276" s="125"/>
      <c r="AU276" s="127"/>
      <c r="AV276" s="127"/>
      <c r="AW276" s="127"/>
    </row>
    <row r="277" spans="2:49" ht="21.75" customHeight="1" x14ac:dyDescent="0.35">
      <c r="B277" s="64"/>
      <c r="C277" s="115"/>
      <c r="D277" s="137"/>
      <c r="E277" s="137"/>
      <c r="F277" s="67"/>
      <c r="G277" s="137"/>
      <c r="H277" s="67"/>
      <c r="I277" s="137"/>
      <c r="J277" s="67"/>
      <c r="K277" s="64"/>
      <c r="L277" s="140"/>
      <c r="M277" s="140"/>
      <c r="U277" s="140"/>
      <c r="V277" s="140"/>
      <c r="W277" s="140"/>
      <c r="X277" s="140"/>
      <c r="Y277" s="140"/>
      <c r="Z277" s="140"/>
      <c r="AA277" s="140"/>
      <c r="AB277" s="140"/>
      <c r="AP277" s="125"/>
      <c r="AQ277" s="125"/>
      <c r="AR277" s="125"/>
      <c r="AS277" s="125"/>
      <c r="AT277" s="125"/>
      <c r="AU277" s="127"/>
      <c r="AV277" s="127"/>
      <c r="AW277" s="127"/>
    </row>
    <row r="278" spans="2:49" ht="21.75" customHeight="1" x14ac:dyDescent="0.35">
      <c r="B278" s="64"/>
      <c r="C278" s="115"/>
      <c r="D278" s="137"/>
      <c r="E278" s="137"/>
      <c r="F278" s="67"/>
      <c r="G278" s="137"/>
      <c r="H278" s="67"/>
      <c r="I278" s="137"/>
      <c r="J278" s="67"/>
      <c r="K278" s="64"/>
      <c r="L278" s="140"/>
      <c r="M278" s="140"/>
      <c r="U278" s="140"/>
      <c r="V278" s="140"/>
      <c r="W278" s="140"/>
      <c r="X278" s="140"/>
      <c r="Y278" s="140"/>
      <c r="Z278" s="140"/>
      <c r="AA278" s="140"/>
      <c r="AB278" s="140"/>
      <c r="AP278" s="125"/>
      <c r="AQ278" s="125"/>
      <c r="AR278" s="125"/>
      <c r="AS278" s="125"/>
      <c r="AT278" s="125"/>
      <c r="AU278" s="127"/>
      <c r="AV278" s="127"/>
      <c r="AW278" s="127"/>
    </row>
    <row r="279" spans="2:49" ht="21.75" customHeight="1" x14ac:dyDescent="0.35">
      <c r="B279" s="64"/>
      <c r="C279" s="115"/>
      <c r="D279" s="137"/>
      <c r="E279" s="137"/>
      <c r="F279" s="67"/>
      <c r="G279" s="137"/>
      <c r="H279" s="67"/>
      <c r="I279" s="137"/>
      <c r="J279" s="67"/>
      <c r="K279" s="64"/>
      <c r="L279" s="140"/>
      <c r="M279" s="140"/>
      <c r="U279" s="140"/>
      <c r="V279" s="140"/>
      <c r="W279" s="140"/>
      <c r="X279" s="140"/>
      <c r="Y279" s="140"/>
      <c r="Z279" s="140"/>
      <c r="AA279" s="140"/>
      <c r="AB279" s="140"/>
      <c r="AP279" s="125"/>
      <c r="AQ279" s="125"/>
      <c r="AR279" s="125"/>
      <c r="AS279" s="125"/>
      <c r="AT279" s="125"/>
      <c r="AU279" s="127"/>
      <c r="AV279" s="127"/>
      <c r="AW279" s="127"/>
    </row>
    <row r="280" spans="2:49" ht="21.75" customHeight="1" x14ac:dyDescent="0.35">
      <c r="B280" s="64"/>
      <c r="C280" s="115"/>
      <c r="D280" s="137"/>
      <c r="E280" s="137"/>
      <c r="F280" s="67"/>
      <c r="G280" s="137"/>
      <c r="H280" s="67"/>
      <c r="I280" s="137"/>
      <c r="J280" s="67"/>
      <c r="K280" s="64"/>
      <c r="L280" s="140"/>
      <c r="M280" s="140"/>
      <c r="U280" s="140"/>
      <c r="V280" s="140"/>
      <c r="W280" s="140"/>
      <c r="X280" s="140"/>
      <c r="Y280" s="140"/>
      <c r="Z280" s="140"/>
      <c r="AA280" s="140"/>
      <c r="AB280" s="140"/>
      <c r="AP280" s="125"/>
      <c r="AQ280" s="125"/>
      <c r="AR280" s="125"/>
      <c r="AS280" s="125"/>
      <c r="AT280" s="125"/>
      <c r="AU280" s="127"/>
      <c r="AV280" s="127"/>
      <c r="AW280" s="127"/>
    </row>
    <row r="281" spans="2:49" ht="21.75" customHeight="1" x14ac:dyDescent="0.35">
      <c r="B281" s="64"/>
      <c r="C281" s="115"/>
      <c r="D281" s="137"/>
      <c r="E281" s="137"/>
      <c r="F281" s="67"/>
      <c r="G281" s="137"/>
      <c r="H281" s="67"/>
      <c r="I281" s="137"/>
      <c r="J281" s="67"/>
      <c r="K281" s="64"/>
      <c r="L281" s="140"/>
      <c r="M281" s="140"/>
      <c r="U281" s="140"/>
      <c r="V281" s="140"/>
      <c r="W281" s="140"/>
      <c r="X281" s="140"/>
      <c r="Y281" s="140"/>
      <c r="Z281" s="140"/>
      <c r="AA281" s="140"/>
      <c r="AB281" s="140"/>
      <c r="AP281" s="125"/>
      <c r="AQ281" s="125"/>
      <c r="AR281" s="125"/>
      <c r="AS281" s="125"/>
      <c r="AT281" s="125"/>
      <c r="AU281" s="127"/>
      <c r="AV281" s="127"/>
      <c r="AW281" s="127"/>
    </row>
    <row r="282" spans="2:49" ht="21.75" customHeight="1" x14ac:dyDescent="0.35">
      <c r="B282" s="64"/>
      <c r="C282" s="115"/>
      <c r="D282" s="137"/>
      <c r="E282" s="137"/>
      <c r="F282" s="67"/>
      <c r="G282" s="137"/>
      <c r="H282" s="67"/>
      <c r="I282" s="137"/>
      <c r="J282" s="67"/>
      <c r="K282" s="64"/>
      <c r="L282" s="140"/>
      <c r="M282" s="140"/>
      <c r="U282" s="140"/>
      <c r="V282" s="140"/>
      <c r="W282" s="140"/>
      <c r="X282" s="140"/>
      <c r="Y282" s="140"/>
      <c r="Z282" s="140"/>
      <c r="AA282" s="140"/>
      <c r="AB282" s="140"/>
      <c r="AP282" s="125"/>
      <c r="AQ282" s="125"/>
      <c r="AR282" s="125"/>
      <c r="AS282" s="125"/>
      <c r="AT282" s="125"/>
      <c r="AU282" s="127"/>
      <c r="AV282" s="127"/>
      <c r="AW282" s="127"/>
    </row>
    <row r="283" spans="2:49" ht="21.75" customHeight="1" x14ac:dyDescent="0.35">
      <c r="B283" s="64"/>
      <c r="C283" s="115"/>
      <c r="D283" s="137"/>
      <c r="E283" s="137"/>
      <c r="F283" s="67"/>
      <c r="G283" s="137"/>
      <c r="H283" s="67"/>
      <c r="I283" s="137"/>
      <c r="J283" s="67"/>
      <c r="K283" s="64"/>
      <c r="L283" s="140"/>
      <c r="M283" s="140"/>
      <c r="U283" s="140"/>
      <c r="V283" s="140"/>
      <c r="W283" s="140"/>
      <c r="X283" s="140"/>
      <c r="Y283" s="140"/>
      <c r="Z283" s="140"/>
      <c r="AA283" s="140"/>
      <c r="AB283" s="140"/>
      <c r="AP283" s="125"/>
      <c r="AQ283" s="125"/>
      <c r="AR283" s="125"/>
      <c r="AS283" s="125"/>
      <c r="AT283" s="125"/>
      <c r="AU283" s="127"/>
      <c r="AV283" s="127"/>
      <c r="AW283" s="127"/>
    </row>
    <row r="284" spans="2:49" ht="21.75" customHeight="1" x14ac:dyDescent="0.35">
      <c r="B284" s="64"/>
      <c r="C284" s="115"/>
      <c r="D284" s="137"/>
      <c r="E284" s="137"/>
      <c r="F284" s="67"/>
      <c r="G284" s="137"/>
      <c r="H284" s="67"/>
      <c r="I284" s="137"/>
      <c r="J284" s="67"/>
      <c r="K284" s="64"/>
      <c r="L284" s="140"/>
      <c r="M284" s="140"/>
      <c r="U284" s="140"/>
      <c r="V284" s="140"/>
      <c r="W284" s="140"/>
      <c r="X284" s="140"/>
      <c r="Y284" s="140"/>
      <c r="Z284" s="140"/>
      <c r="AA284" s="140"/>
      <c r="AB284" s="140"/>
      <c r="AP284" s="125"/>
      <c r="AQ284" s="125"/>
      <c r="AR284" s="125"/>
      <c r="AS284" s="125"/>
      <c r="AT284" s="125"/>
      <c r="AU284" s="127"/>
      <c r="AV284" s="127"/>
      <c r="AW284" s="127"/>
    </row>
    <row r="285" spans="2:49" ht="21.75" customHeight="1" x14ac:dyDescent="0.35">
      <c r="B285" s="64"/>
      <c r="C285" s="115"/>
      <c r="D285" s="137"/>
      <c r="E285" s="137"/>
      <c r="F285" s="67"/>
      <c r="G285" s="137"/>
      <c r="H285" s="67"/>
      <c r="I285" s="137"/>
      <c r="J285" s="67"/>
      <c r="K285" s="64"/>
      <c r="L285" s="140"/>
      <c r="M285" s="140"/>
      <c r="U285" s="140"/>
      <c r="V285" s="140"/>
      <c r="W285" s="140"/>
      <c r="X285" s="140"/>
      <c r="Y285" s="140"/>
      <c r="Z285" s="140"/>
      <c r="AA285" s="140"/>
      <c r="AB285" s="140"/>
      <c r="AP285" s="125"/>
      <c r="AQ285" s="125"/>
      <c r="AR285" s="125"/>
      <c r="AS285" s="125"/>
      <c r="AT285" s="125"/>
      <c r="AU285" s="127"/>
      <c r="AV285" s="127"/>
      <c r="AW285" s="127"/>
    </row>
    <row r="286" spans="2:49" ht="21.75" customHeight="1" x14ac:dyDescent="0.35">
      <c r="B286" s="64"/>
      <c r="C286" s="115"/>
      <c r="D286" s="137"/>
      <c r="E286" s="137"/>
      <c r="F286" s="67"/>
      <c r="G286" s="137"/>
      <c r="H286" s="67"/>
      <c r="I286" s="137"/>
      <c r="J286" s="67"/>
      <c r="K286" s="64"/>
      <c r="L286" s="140"/>
      <c r="M286" s="140"/>
      <c r="U286" s="140"/>
      <c r="V286" s="140"/>
      <c r="W286" s="140"/>
      <c r="X286" s="140"/>
      <c r="Y286" s="140"/>
      <c r="Z286" s="140"/>
      <c r="AA286" s="140"/>
      <c r="AB286" s="140"/>
      <c r="AP286" s="125"/>
      <c r="AQ286" s="125"/>
      <c r="AR286" s="125"/>
      <c r="AS286" s="125"/>
      <c r="AT286" s="125"/>
      <c r="AU286" s="127"/>
      <c r="AV286" s="127"/>
      <c r="AW286" s="127"/>
    </row>
    <row r="287" spans="2:49" ht="21.75" customHeight="1" x14ac:dyDescent="0.35">
      <c r="B287" s="64"/>
      <c r="C287" s="115"/>
      <c r="D287" s="137"/>
      <c r="E287" s="137"/>
      <c r="F287" s="67"/>
      <c r="G287" s="137"/>
      <c r="H287" s="67"/>
      <c r="I287" s="137"/>
      <c r="J287" s="67"/>
      <c r="K287" s="64"/>
      <c r="L287" s="140"/>
      <c r="M287" s="140"/>
      <c r="U287" s="140"/>
      <c r="V287" s="140"/>
      <c r="W287" s="140"/>
      <c r="X287" s="140"/>
      <c r="Y287" s="140"/>
      <c r="Z287" s="140"/>
      <c r="AA287" s="140"/>
      <c r="AB287" s="140"/>
      <c r="AP287" s="125"/>
      <c r="AQ287" s="125"/>
      <c r="AR287" s="125"/>
      <c r="AS287" s="125"/>
      <c r="AT287" s="125"/>
      <c r="AU287" s="127"/>
      <c r="AV287" s="127"/>
      <c r="AW287" s="127"/>
    </row>
    <row r="288" spans="2:49" ht="21.75" customHeight="1" x14ac:dyDescent="0.35">
      <c r="B288" s="64"/>
      <c r="C288" s="115"/>
      <c r="D288" s="137"/>
      <c r="E288" s="137"/>
      <c r="F288" s="67"/>
      <c r="G288" s="137"/>
      <c r="H288" s="67"/>
      <c r="I288" s="137"/>
      <c r="J288" s="67"/>
      <c r="K288" s="64"/>
      <c r="L288" s="140"/>
      <c r="M288" s="140"/>
      <c r="U288" s="140"/>
      <c r="V288" s="140"/>
      <c r="W288" s="140"/>
      <c r="X288" s="140"/>
      <c r="Y288" s="140"/>
      <c r="Z288" s="140"/>
      <c r="AA288" s="140"/>
      <c r="AB288" s="140"/>
      <c r="AP288" s="125"/>
      <c r="AQ288" s="125"/>
      <c r="AR288" s="125"/>
      <c r="AS288" s="125"/>
      <c r="AT288" s="125"/>
      <c r="AU288" s="127"/>
      <c r="AV288" s="127"/>
      <c r="AW288" s="127"/>
    </row>
    <row r="289" spans="2:49" ht="21.75" customHeight="1" x14ac:dyDescent="0.35">
      <c r="B289" s="64"/>
      <c r="C289" s="115"/>
      <c r="D289" s="137"/>
      <c r="E289" s="137"/>
      <c r="F289" s="67"/>
      <c r="G289" s="137"/>
      <c r="H289" s="67"/>
      <c r="I289" s="137"/>
      <c r="J289" s="67"/>
      <c r="K289" s="64"/>
      <c r="L289" s="140"/>
      <c r="M289" s="140"/>
      <c r="U289" s="140"/>
      <c r="V289" s="140"/>
      <c r="W289" s="140"/>
      <c r="X289" s="140"/>
      <c r="Y289" s="140"/>
      <c r="Z289" s="140"/>
      <c r="AA289" s="140"/>
      <c r="AB289" s="140"/>
      <c r="AP289" s="125"/>
      <c r="AQ289" s="125"/>
      <c r="AR289" s="125"/>
      <c r="AS289" s="125"/>
      <c r="AT289" s="125"/>
      <c r="AU289" s="127"/>
      <c r="AV289" s="127"/>
      <c r="AW289" s="127"/>
    </row>
    <row r="290" spans="2:49" ht="21.75" customHeight="1" x14ac:dyDescent="0.35">
      <c r="B290" s="64"/>
      <c r="C290" s="115"/>
      <c r="D290" s="137"/>
      <c r="E290" s="137"/>
      <c r="F290" s="67"/>
      <c r="G290" s="137"/>
      <c r="H290" s="67"/>
      <c r="I290" s="137"/>
      <c r="J290" s="67"/>
      <c r="K290" s="64"/>
      <c r="L290" s="140"/>
      <c r="M290" s="140"/>
      <c r="U290" s="140"/>
      <c r="V290" s="140"/>
      <c r="W290" s="140"/>
      <c r="X290" s="140"/>
      <c r="Y290" s="140"/>
      <c r="Z290" s="140"/>
      <c r="AA290" s="140"/>
      <c r="AB290" s="140"/>
      <c r="AP290" s="125"/>
      <c r="AQ290" s="125"/>
      <c r="AR290" s="125"/>
      <c r="AS290" s="125"/>
      <c r="AT290" s="125"/>
      <c r="AU290" s="127"/>
      <c r="AV290" s="127"/>
      <c r="AW290" s="127"/>
    </row>
    <row r="291" spans="2:49" ht="21.75" customHeight="1" x14ac:dyDescent="0.35">
      <c r="B291" s="64"/>
      <c r="C291" s="115"/>
      <c r="D291" s="137"/>
      <c r="E291" s="137"/>
      <c r="F291" s="67"/>
      <c r="G291" s="137"/>
      <c r="H291" s="67"/>
      <c r="I291" s="137"/>
      <c r="J291" s="67"/>
      <c r="K291" s="64"/>
      <c r="L291" s="140"/>
      <c r="M291" s="140"/>
      <c r="U291" s="140"/>
      <c r="V291" s="140"/>
      <c r="W291" s="140"/>
      <c r="X291" s="140"/>
      <c r="Y291" s="140"/>
      <c r="Z291" s="140"/>
      <c r="AA291" s="140"/>
      <c r="AB291" s="140"/>
      <c r="AP291" s="125"/>
      <c r="AQ291" s="125"/>
      <c r="AR291" s="125"/>
      <c r="AS291" s="125"/>
      <c r="AT291" s="125"/>
      <c r="AU291" s="127"/>
      <c r="AV291" s="127"/>
      <c r="AW291" s="127"/>
    </row>
    <row r="292" spans="2:49" ht="21.75" customHeight="1" x14ac:dyDescent="0.35">
      <c r="B292" s="64"/>
      <c r="C292" s="115"/>
      <c r="D292" s="137"/>
      <c r="E292" s="137"/>
      <c r="F292" s="67"/>
      <c r="G292" s="137"/>
      <c r="H292" s="67"/>
      <c r="I292" s="137"/>
      <c r="J292" s="67"/>
      <c r="K292" s="64"/>
      <c r="L292" s="140"/>
      <c r="M292" s="140"/>
      <c r="U292" s="140"/>
      <c r="V292" s="140"/>
      <c r="W292" s="140"/>
      <c r="X292" s="140"/>
      <c r="Y292" s="140"/>
      <c r="Z292" s="140"/>
      <c r="AA292" s="140"/>
      <c r="AB292" s="140"/>
      <c r="AP292" s="125"/>
      <c r="AQ292" s="125"/>
      <c r="AR292" s="125"/>
      <c r="AS292" s="125"/>
      <c r="AT292" s="125"/>
      <c r="AU292" s="127"/>
      <c r="AV292" s="127"/>
      <c r="AW292" s="127"/>
    </row>
    <row r="293" spans="2:49" ht="21.75" customHeight="1" x14ac:dyDescent="0.35">
      <c r="B293" s="64"/>
      <c r="C293" s="115"/>
      <c r="D293" s="137"/>
      <c r="E293" s="137"/>
      <c r="F293" s="67"/>
      <c r="G293" s="137"/>
      <c r="H293" s="67"/>
      <c r="I293" s="137"/>
      <c r="J293" s="67"/>
      <c r="K293" s="64"/>
      <c r="L293" s="140"/>
      <c r="M293" s="140"/>
      <c r="U293" s="140"/>
      <c r="V293" s="140"/>
      <c r="W293" s="140"/>
      <c r="X293" s="140"/>
      <c r="Y293" s="140"/>
      <c r="Z293" s="140"/>
      <c r="AA293" s="140"/>
      <c r="AB293" s="140"/>
      <c r="AP293" s="125"/>
      <c r="AQ293" s="125"/>
      <c r="AR293" s="125"/>
      <c r="AS293" s="125"/>
      <c r="AT293" s="125"/>
      <c r="AU293" s="127"/>
      <c r="AV293" s="127"/>
      <c r="AW293" s="127"/>
    </row>
    <row r="294" spans="2:49" ht="21.75" customHeight="1" x14ac:dyDescent="0.35">
      <c r="B294" s="64"/>
      <c r="C294" s="115"/>
      <c r="D294" s="137"/>
      <c r="E294" s="137"/>
      <c r="F294" s="67"/>
      <c r="G294" s="137"/>
      <c r="H294" s="67"/>
      <c r="I294" s="137"/>
      <c r="J294" s="67"/>
      <c r="K294" s="64"/>
      <c r="L294" s="140"/>
      <c r="M294" s="140"/>
      <c r="U294" s="140"/>
      <c r="V294" s="140"/>
      <c r="W294" s="140"/>
      <c r="X294" s="140"/>
      <c r="Y294" s="140"/>
      <c r="Z294" s="140"/>
      <c r="AA294" s="140"/>
      <c r="AB294" s="140"/>
      <c r="AP294" s="125"/>
      <c r="AQ294" s="125"/>
      <c r="AR294" s="125"/>
      <c r="AS294" s="125"/>
      <c r="AT294" s="125"/>
      <c r="AU294" s="127"/>
      <c r="AV294" s="127"/>
      <c r="AW294" s="127"/>
    </row>
    <row r="295" spans="2:49" ht="21.75" customHeight="1" x14ac:dyDescent="0.35">
      <c r="B295" s="64"/>
      <c r="C295" s="115"/>
      <c r="D295" s="137"/>
      <c r="E295" s="137"/>
      <c r="F295" s="67"/>
      <c r="G295" s="137"/>
      <c r="H295" s="67"/>
      <c r="I295" s="137"/>
      <c r="J295" s="67"/>
      <c r="K295" s="64"/>
      <c r="L295" s="140"/>
      <c r="M295" s="140"/>
      <c r="U295" s="140"/>
      <c r="V295" s="140"/>
      <c r="W295" s="140"/>
      <c r="X295" s="140"/>
      <c r="Y295" s="140"/>
      <c r="Z295" s="140"/>
      <c r="AA295" s="140"/>
      <c r="AB295" s="140"/>
      <c r="AP295" s="125"/>
      <c r="AQ295" s="125"/>
      <c r="AR295" s="125"/>
      <c r="AS295" s="125"/>
      <c r="AT295" s="125"/>
      <c r="AU295" s="127"/>
      <c r="AV295" s="127"/>
      <c r="AW295" s="127"/>
    </row>
    <row r="296" spans="2:49" ht="21.75" customHeight="1" x14ac:dyDescent="0.35">
      <c r="B296" s="64"/>
      <c r="C296" s="115"/>
      <c r="D296" s="137"/>
      <c r="E296" s="137"/>
      <c r="F296" s="67"/>
      <c r="G296" s="137"/>
      <c r="H296" s="67"/>
      <c r="I296" s="137"/>
      <c r="J296" s="67"/>
      <c r="K296" s="64"/>
      <c r="L296" s="140"/>
      <c r="M296" s="140"/>
      <c r="U296" s="140"/>
      <c r="V296" s="140"/>
      <c r="W296" s="140"/>
      <c r="X296" s="140"/>
      <c r="Y296" s="140"/>
      <c r="Z296" s="140"/>
      <c r="AA296" s="140"/>
      <c r="AB296" s="140"/>
      <c r="AP296" s="125"/>
      <c r="AQ296" s="125"/>
      <c r="AR296" s="125"/>
      <c r="AS296" s="125"/>
      <c r="AT296" s="125"/>
      <c r="AU296" s="127"/>
      <c r="AV296" s="127"/>
      <c r="AW296" s="127"/>
    </row>
    <row r="297" spans="2:49" ht="21.75" customHeight="1" x14ac:dyDescent="0.35">
      <c r="B297" s="64"/>
      <c r="C297" s="115"/>
      <c r="D297" s="137"/>
      <c r="E297" s="137"/>
      <c r="F297" s="67"/>
      <c r="G297" s="137"/>
      <c r="H297" s="67"/>
      <c r="I297" s="137"/>
      <c r="J297" s="67"/>
      <c r="K297" s="64"/>
      <c r="L297" s="140"/>
      <c r="M297" s="140"/>
      <c r="U297" s="140"/>
      <c r="V297" s="140"/>
      <c r="W297" s="140"/>
      <c r="X297" s="140"/>
      <c r="Y297" s="140"/>
      <c r="Z297" s="140"/>
      <c r="AA297" s="140"/>
      <c r="AB297" s="140"/>
      <c r="AP297" s="125"/>
      <c r="AQ297" s="125"/>
      <c r="AR297" s="125"/>
      <c r="AS297" s="125"/>
      <c r="AT297" s="125"/>
      <c r="AU297" s="127"/>
      <c r="AV297" s="127"/>
      <c r="AW297" s="127"/>
    </row>
    <row r="298" spans="2:49" ht="21.75" customHeight="1" x14ac:dyDescent="0.35">
      <c r="B298" s="64"/>
      <c r="C298" s="115"/>
      <c r="D298" s="137"/>
      <c r="E298" s="137"/>
      <c r="F298" s="67"/>
      <c r="G298" s="137"/>
      <c r="H298" s="67"/>
      <c r="I298" s="137"/>
      <c r="J298" s="67"/>
      <c r="K298" s="64"/>
      <c r="L298" s="140"/>
      <c r="M298" s="140"/>
      <c r="U298" s="140"/>
      <c r="V298" s="140"/>
      <c r="W298" s="140"/>
      <c r="X298" s="140"/>
      <c r="Y298" s="140"/>
      <c r="Z298" s="140"/>
      <c r="AA298" s="140"/>
      <c r="AB298" s="140"/>
      <c r="AP298" s="125"/>
      <c r="AQ298" s="125"/>
      <c r="AR298" s="125"/>
      <c r="AS298" s="125"/>
      <c r="AT298" s="125"/>
      <c r="AU298" s="127"/>
      <c r="AV298" s="127"/>
      <c r="AW298" s="127"/>
    </row>
    <row r="299" spans="2:49" ht="21.75" customHeight="1" x14ac:dyDescent="0.35">
      <c r="B299" s="64"/>
      <c r="C299" s="115"/>
      <c r="D299" s="137"/>
      <c r="E299" s="137"/>
      <c r="F299" s="67"/>
      <c r="G299" s="137"/>
      <c r="H299" s="67"/>
      <c r="I299" s="137"/>
      <c r="J299" s="67"/>
      <c r="K299" s="64"/>
      <c r="L299" s="140"/>
      <c r="M299" s="140"/>
      <c r="U299" s="140"/>
      <c r="V299" s="140"/>
      <c r="W299" s="140"/>
      <c r="X299" s="140"/>
      <c r="Y299" s="140"/>
      <c r="Z299" s="140"/>
      <c r="AA299" s="140"/>
      <c r="AB299" s="140"/>
      <c r="AP299" s="125"/>
      <c r="AQ299" s="125"/>
      <c r="AR299" s="125"/>
      <c r="AS299" s="125"/>
      <c r="AT299" s="125"/>
      <c r="AU299" s="127"/>
      <c r="AV299" s="127"/>
      <c r="AW299" s="127"/>
    </row>
    <row r="300" spans="2:49" ht="21.75" customHeight="1" x14ac:dyDescent="0.35">
      <c r="B300" s="64"/>
      <c r="C300" s="115"/>
      <c r="D300" s="137"/>
      <c r="E300" s="137"/>
      <c r="F300" s="67"/>
      <c r="G300" s="137"/>
      <c r="H300" s="67"/>
      <c r="I300" s="137"/>
      <c r="J300" s="67"/>
      <c r="K300" s="64"/>
      <c r="L300" s="140"/>
      <c r="M300" s="140"/>
      <c r="U300" s="140"/>
      <c r="V300" s="140"/>
      <c r="W300" s="140"/>
      <c r="X300" s="140"/>
      <c r="Y300" s="140"/>
      <c r="Z300" s="140"/>
      <c r="AA300" s="140"/>
      <c r="AB300" s="140"/>
      <c r="AP300" s="125"/>
      <c r="AQ300" s="125"/>
      <c r="AR300" s="125"/>
      <c r="AS300" s="125"/>
      <c r="AT300" s="125"/>
      <c r="AU300" s="127"/>
      <c r="AV300" s="127"/>
      <c r="AW300" s="127"/>
    </row>
    <row r="301" spans="2:49" ht="21.75" customHeight="1" x14ac:dyDescent="0.35">
      <c r="B301" s="64"/>
      <c r="C301" s="115"/>
      <c r="D301" s="137"/>
      <c r="E301" s="137"/>
      <c r="F301" s="67"/>
      <c r="G301" s="137"/>
      <c r="H301" s="67"/>
      <c r="I301" s="137"/>
      <c r="J301" s="67"/>
      <c r="K301" s="64"/>
      <c r="L301" s="140"/>
      <c r="M301" s="140"/>
      <c r="U301" s="140"/>
      <c r="V301" s="140"/>
      <c r="W301" s="140"/>
      <c r="X301" s="140"/>
      <c r="Y301" s="140"/>
      <c r="Z301" s="140"/>
      <c r="AA301" s="140"/>
      <c r="AB301" s="140"/>
      <c r="AP301" s="125"/>
      <c r="AQ301" s="125"/>
      <c r="AR301" s="125"/>
      <c r="AS301" s="125"/>
      <c r="AT301" s="125"/>
      <c r="AU301" s="127"/>
      <c r="AV301" s="127"/>
      <c r="AW301" s="127"/>
    </row>
    <row r="302" spans="2:49" ht="21.75" customHeight="1" x14ac:dyDescent="0.35">
      <c r="B302" s="64"/>
      <c r="C302" s="115"/>
      <c r="D302" s="137"/>
      <c r="E302" s="137"/>
      <c r="F302" s="67"/>
      <c r="G302" s="137"/>
      <c r="H302" s="67"/>
      <c r="I302" s="137"/>
      <c r="J302" s="67"/>
      <c r="K302" s="64"/>
      <c r="L302" s="140"/>
      <c r="M302" s="140"/>
      <c r="U302" s="140"/>
      <c r="V302" s="140"/>
      <c r="W302" s="140"/>
      <c r="X302" s="140"/>
      <c r="Y302" s="140"/>
      <c r="Z302" s="140"/>
      <c r="AA302" s="140"/>
      <c r="AB302" s="140"/>
      <c r="AP302" s="125"/>
      <c r="AQ302" s="125"/>
      <c r="AR302" s="125"/>
      <c r="AS302" s="125"/>
      <c r="AT302" s="125"/>
      <c r="AU302" s="127"/>
      <c r="AV302" s="127"/>
      <c r="AW302" s="127"/>
    </row>
    <row r="303" spans="2:49" ht="21.75" customHeight="1" x14ac:dyDescent="0.35">
      <c r="B303" s="64"/>
      <c r="C303" s="115"/>
      <c r="D303" s="137"/>
      <c r="E303" s="137"/>
      <c r="F303" s="67"/>
      <c r="G303" s="137"/>
      <c r="H303" s="67"/>
      <c r="I303" s="137"/>
      <c r="J303" s="67"/>
      <c r="K303" s="64"/>
      <c r="L303" s="140"/>
      <c r="M303" s="140"/>
      <c r="U303" s="140"/>
      <c r="V303" s="140"/>
      <c r="W303" s="140"/>
      <c r="X303" s="140"/>
      <c r="Y303" s="140"/>
      <c r="Z303" s="140"/>
      <c r="AA303" s="140"/>
      <c r="AB303" s="140"/>
      <c r="AP303" s="125"/>
      <c r="AQ303" s="125"/>
      <c r="AR303" s="125"/>
      <c r="AS303" s="125"/>
      <c r="AT303" s="125"/>
      <c r="AU303" s="127"/>
      <c r="AV303" s="127"/>
      <c r="AW303" s="127"/>
    </row>
    <row r="304" spans="2:49" ht="21.75" customHeight="1" x14ac:dyDescent="0.35">
      <c r="B304" s="64"/>
      <c r="C304" s="115"/>
      <c r="D304" s="137"/>
      <c r="E304" s="137"/>
      <c r="F304" s="67"/>
      <c r="G304" s="137"/>
      <c r="H304" s="67"/>
      <c r="I304" s="137"/>
      <c r="J304" s="67"/>
      <c r="K304" s="64"/>
      <c r="L304" s="140"/>
      <c r="M304" s="140"/>
      <c r="U304" s="140"/>
      <c r="V304" s="140"/>
      <c r="W304" s="140"/>
      <c r="X304" s="140"/>
      <c r="Y304" s="140"/>
      <c r="Z304" s="140"/>
      <c r="AA304" s="140"/>
      <c r="AB304" s="140"/>
      <c r="AP304" s="125"/>
      <c r="AQ304" s="125"/>
      <c r="AR304" s="125"/>
      <c r="AS304" s="125"/>
      <c r="AT304" s="125"/>
      <c r="AU304" s="127"/>
      <c r="AV304" s="127"/>
      <c r="AW304" s="127"/>
    </row>
    <row r="305" spans="2:49" ht="21.75" customHeight="1" x14ac:dyDescent="0.35">
      <c r="B305" s="64"/>
      <c r="C305" s="115"/>
      <c r="D305" s="137"/>
      <c r="E305" s="137"/>
      <c r="F305" s="67"/>
      <c r="G305" s="137"/>
      <c r="H305" s="67"/>
      <c r="I305" s="137"/>
      <c r="J305" s="67"/>
      <c r="K305" s="64"/>
      <c r="L305" s="140"/>
      <c r="M305" s="140"/>
      <c r="U305" s="140"/>
      <c r="V305" s="140"/>
      <c r="W305" s="140"/>
      <c r="X305" s="140"/>
      <c r="Y305" s="140"/>
      <c r="Z305" s="140"/>
      <c r="AA305" s="140"/>
      <c r="AB305" s="140"/>
      <c r="AP305" s="125"/>
      <c r="AQ305" s="125"/>
      <c r="AR305" s="125"/>
      <c r="AS305" s="125"/>
      <c r="AT305" s="125"/>
      <c r="AU305" s="127"/>
      <c r="AV305" s="127"/>
      <c r="AW305" s="127"/>
    </row>
    <row r="306" spans="2:49" ht="21.75" customHeight="1" x14ac:dyDescent="0.35">
      <c r="B306" s="64"/>
      <c r="C306" s="115"/>
      <c r="D306" s="137"/>
      <c r="E306" s="137"/>
      <c r="F306" s="67"/>
      <c r="G306" s="137"/>
      <c r="H306" s="67"/>
      <c r="I306" s="137"/>
      <c r="J306" s="67"/>
      <c r="K306" s="64"/>
      <c r="L306" s="140"/>
      <c r="M306" s="140"/>
      <c r="U306" s="140"/>
      <c r="V306" s="140"/>
      <c r="W306" s="140"/>
      <c r="X306" s="140"/>
      <c r="Y306" s="140"/>
      <c r="Z306" s="140"/>
      <c r="AA306" s="140"/>
      <c r="AB306" s="140"/>
      <c r="AP306" s="125"/>
      <c r="AQ306" s="125"/>
      <c r="AR306" s="125"/>
      <c r="AS306" s="125"/>
      <c r="AT306" s="125"/>
      <c r="AU306" s="127"/>
      <c r="AV306" s="127"/>
      <c r="AW306" s="127"/>
    </row>
    <row r="307" spans="2:49" ht="21.75" customHeight="1" x14ac:dyDescent="0.35">
      <c r="B307" s="64"/>
      <c r="C307" s="115"/>
      <c r="D307" s="137"/>
      <c r="E307" s="137"/>
      <c r="F307" s="67"/>
      <c r="G307" s="137"/>
      <c r="H307" s="67"/>
      <c r="I307" s="137"/>
      <c r="J307" s="67"/>
      <c r="K307" s="64"/>
      <c r="L307" s="140"/>
      <c r="M307" s="140"/>
      <c r="U307" s="140"/>
      <c r="V307" s="140"/>
      <c r="W307" s="140"/>
      <c r="X307" s="140"/>
      <c r="Y307" s="140"/>
      <c r="Z307" s="140"/>
      <c r="AA307" s="140"/>
      <c r="AB307" s="140"/>
      <c r="AP307" s="125"/>
      <c r="AQ307" s="125"/>
      <c r="AR307" s="125"/>
      <c r="AS307" s="125"/>
      <c r="AT307" s="125"/>
      <c r="AU307" s="127"/>
      <c r="AV307" s="127"/>
      <c r="AW307" s="127"/>
    </row>
    <row r="308" spans="2:49" ht="21.75" customHeight="1" x14ac:dyDescent="0.35">
      <c r="B308" s="64"/>
      <c r="C308" s="115"/>
      <c r="D308" s="137"/>
      <c r="E308" s="137"/>
      <c r="F308" s="67"/>
      <c r="G308" s="137"/>
      <c r="H308" s="67"/>
      <c r="I308" s="137"/>
      <c r="J308" s="67"/>
      <c r="K308" s="64"/>
      <c r="L308" s="140"/>
      <c r="M308" s="140"/>
      <c r="U308" s="140"/>
      <c r="V308" s="140"/>
      <c r="W308" s="140"/>
      <c r="X308" s="140"/>
      <c r="Y308" s="140"/>
      <c r="Z308" s="140"/>
      <c r="AA308" s="140"/>
      <c r="AB308" s="140"/>
      <c r="AP308" s="125"/>
      <c r="AQ308" s="125"/>
      <c r="AR308" s="125"/>
      <c r="AS308" s="125"/>
      <c r="AT308" s="125"/>
      <c r="AU308" s="127"/>
      <c r="AV308" s="127"/>
      <c r="AW308" s="127"/>
    </row>
    <row r="309" spans="2:49" ht="21.75" customHeight="1" x14ac:dyDescent="0.35">
      <c r="B309" s="64"/>
      <c r="C309" s="115"/>
      <c r="D309" s="137"/>
      <c r="E309" s="137"/>
      <c r="F309" s="67"/>
      <c r="G309" s="137"/>
      <c r="H309" s="67"/>
      <c r="I309" s="137"/>
      <c r="J309" s="67"/>
      <c r="K309" s="64"/>
      <c r="L309" s="140"/>
      <c r="M309" s="140"/>
      <c r="U309" s="140"/>
      <c r="V309" s="140"/>
      <c r="W309" s="140"/>
      <c r="X309" s="140"/>
      <c r="Y309" s="140"/>
      <c r="Z309" s="140"/>
      <c r="AA309" s="140"/>
      <c r="AB309" s="140"/>
      <c r="AP309" s="125"/>
      <c r="AQ309" s="125"/>
      <c r="AR309" s="125"/>
      <c r="AS309" s="125"/>
      <c r="AT309" s="125"/>
      <c r="AU309" s="127"/>
      <c r="AV309" s="127"/>
      <c r="AW309" s="127"/>
    </row>
    <row r="310" spans="2:49" ht="21.75" customHeight="1" x14ac:dyDescent="0.35">
      <c r="B310" s="64"/>
      <c r="C310" s="115"/>
      <c r="D310" s="137"/>
      <c r="E310" s="137"/>
      <c r="F310" s="67"/>
      <c r="G310" s="137"/>
      <c r="H310" s="67"/>
      <c r="I310" s="137"/>
      <c r="J310" s="67"/>
      <c r="K310" s="64"/>
      <c r="L310" s="140"/>
      <c r="M310" s="140"/>
      <c r="U310" s="140"/>
      <c r="V310" s="140"/>
      <c r="W310" s="140"/>
      <c r="X310" s="140"/>
      <c r="Y310" s="140"/>
      <c r="Z310" s="140"/>
      <c r="AA310" s="140"/>
      <c r="AB310" s="140"/>
      <c r="AP310" s="125"/>
      <c r="AQ310" s="125"/>
      <c r="AR310" s="125"/>
      <c r="AS310" s="125"/>
      <c r="AT310" s="125"/>
      <c r="AU310" s="127"/>
      <c r="AV310" s="127"/>
      <c r="AW310" s="127"/>
    </row>
    <row r="311" spans="2:49" ht="21.75" customHeight="1" x14ac:dyDescent="0.35">
      <c r="B311" s="64"/>
      <c r="C311" s="115"/>
      <c r="D311" s="137"/>
      <c r="E311" s="137"/>
      <c r="F311" s="67"/>
      <c r="G311" s="137"/>
      <c r="H311" s="67"/>
      <c r="I311" s="137"/>
      <c r="J311" s="67"/>
      <c r="K311" s="64"/>
      <c r="L311" s="140"/>
      <c r="M311" s="140"/>
      <c r="U311" s="140"/>
      <c r="V311" s="140"/>
      <c r="W311" s="140"/>
      <c r="X311" s="140"/>
      <c r="Y311" s="140"/>
      <c r="Z311" s="140"/>
      <c r="AA311" s="140"/>
      <c r="AB311" s="140"/>
      <c r="AP311" s="125"/>
      <c r="AQ311" s="125"/>
      <c r="AR311" s="125"/>
      <c r="AS311" s="125"/>
      <c r="AT311" s="125"/>
      <c r="AU311" s="127"/>
      <c r="AV311" s="127"/>
      <c r="AW311" s="127"/>
    </row>
    <row r="312" spans="2:49" ht="21.75" customHeight="1" x14ac:dyDescent="0.35">
      <c r="B312" s="64"/>
      <c r="C312" s="115"/>
      <c r="D312" s="137"/>
      <c r="E312" s="137"/>
      <c r="F312" s="67"/>
      <c r="G312" s="137"/>
      <c r="H312" s="67"/>
      <c r="I312" s="137"/>
      <c r="J312" s="67"/>
      <c r="K312" s="64"/>
      <c r="L312" s="140"/>
      <c r="M312" s="140"/>
      <c r="U312" s="140"/>
      <c r="V312" s="140"/>
      <c r="W312" s="140"/>
      <c r="X312" s="140"/>
      <c r="Y312" s="140"/>
      <c r="Z312" s="140"/>
      <c r="AA312" s="140"/>
      <c r="AB312" s="140"/>
      <c r="AP312" s="125"/>
      <c r="AQ312" s="125"/>
      <c r="AR312" s="125"/>
      <c r="AS312" s="125"/>
      <c r="AT312" s="125"/>
      <c r="AU312" s="127"/>
      <c r="AV312" s="127"/>
      <c r="AW312" s="127"/>
    </row>
    <row r="313" spans="2:49" ht="21.75" customHeight="1" x14ac:dyDescent="0.35">
      <c r="B313" s="64"/>
      <c r="C313" s="115"/>
      <c r="D313" s="137"/>
      <c r="E313" s="137"/>
      <c r="F313" s="67"/>
      <c r="G313" s="137"/>
      <c r="H313" s="67"/>
      <c r="I313" s="137"/>
      <c r="J313" s="67"/>
      <c r="K313" s="64"/>
      <c r="L313" s="140"/>
      <c r="M313" s="140"/>
      <c r="U313" s="140"/>
      <c r="V313" s="140"/>
      <c r="W313" s="140"/>
      <c r="X313" s="140"/>
      <c r="Y313" s="140"/>
      <c r="Z313" s="140"/>
      <c r="AA313" s="140"/>
      <c r="AB313" s="140"/>
      <c r="AP313" s="125"/>
      <c r="AQ313" s="125"/>
      <c r="AR313" s="125"/>
      <c r="AS313" s="125"/>
      <c r="AT313" s="125"/>
      <c r="AU313" s="127"/>
      <c r="AV313" s="127"/>
      <c r="AW313" s="127"/>
    </row>
    <row r="314" spans="2:49" ht="21.75" customHeight="1" x14ac:dyDescent="0.35">
      <c r="B314" s="64"/>
      <c r="C314" s="115"/>
      <c r="D314" s="137"/>
      <c r="E314" s="137"/>
      <c r="F314" s="67"/>
      <c r="G314" s="137"/>
      <c r="H314" s="67"/>
      <c r="I314" s="137"/>
      <c r="J314" s="67"/>
      <c r="K314" s="64"/>
      <c r="L314" s="140"/>
      <c r="M314" s="140"/>
      <c r="U314" s="140"/>
      <c r="V314" s="140"/>
      <c r="W314" s="140"/>
      <c r="X314" s="140"/>
      <c r="Y314" s="140"/>
      <c r="Z314" s="140"/>
      <c r="AA314" s="140"/>
      <c r="AB314" s="140"/>
      <c r="AP314" s="125"/>
      <c r="AQ314" s="125"/>
      <c r="AR314" s="125"/>
      <c r="AS314" s="125"/>
      <c r="AT314" s="125"/>
      <c r="AU314" s="127"/>
      <c r="AV314" s="127"/>
      <c r="AW314" s="127"/>
    </row>
    <row r="315" spans="2:49" ht="21.75" customHeight="1" x14ac:dyDescent="0.35">
      <c r="B315" s="64"/>
      <c r="C315" s="115"/>
      <c r="D315" s="137"/>
      <c r="E315" s="137"/>
      <c r="F315" s="67"/>
      <c r="G315" s="137"/>
      <c r="H315" s="67"/>
      <c r="I315" s="137"/>
      <c r="J315" s="67"/>
      <c r="K315" s="64"/>
      <c r="L315" s="140"/>
      <c r="M315" s="140"/>
      <c r="U315" s="140"/>
      <c r="V315" s="140"/>
      <c r="W315" s="140"/>
      <c r="X315" s="140"/>
      <c r="Y315" s="140"/>
      <c r="Z315" s="140"/>
      <c r="AA315" s="140"/>
      <c r="AB315" s="140"/>
      <c r="AP315" s="125"/>
      <c r="AQ315" s="125"/>
      <c r="AR315" s="125"/>
      <c r="AS315" s="125"/>
      <c r="AT315" s="125"/>
      <c r="AU315" s="127"/>
      <c r="AV315" s="127"/>
      <c r="AW315" s="127"/>
    </row>
    <row r="316" spans="2:49" ht="21.75" customHeight="1" x14ac:dyDescent="0.35">
      <c r="B316" s="64"/>
      <c r="C316" s="115"/>
      <c r="D316" s="137"/>
      <c r="E316" s="137"/>
      <c r="F316" s="67"/>
      <c r="G316" s="137"/>
      <c r="H316" s="67"/>
      <c r="I316" s="137"/>
      <c r="J316" s="67"/>
      <c r="K316" s="64"/>
      <c r="L316" s="140"/>
      <c r="M316" s="140"/>
      <c r="U316" s="140"/>
      <c r="V316" s="140"/>
      <c r="W316" s="140"/>
      <c r="X316" s="140"/>
      <c r="Y316" s="140"/>
      <c r="Z316" s="140"/>
      <c r="AA316" s="140"/>
      <c r="AB316" s="140"/>
      <c r="AP316" s="125"/>
      <c r="AQ316" s="125"/>
      <c r="AR316" s="125"/>
      <c r="AS316" s="125"/>
      <c r="AT316" s="125"/>
      <c r="AU316" s="127"/>
      <c r="AV316" s="127"/>
      <c r="AW316" s="127"/>
    </row>
    <row r="317" spans="2:49" ht="21.75" customHeight="1" x14ac:dyDescent="0.35">
      <c r="B317" s="64"/>
      <c r="C317" s="115"/>
      <c r="D317" s="137"/>
      <c r="E317" s="137"/>
      <c r="F317" s="67"/>
      <c r="G317" s="137"/>
      <c r="H317" s="67"/>
      <c r="I317" s="137"/>
      <c r="J317" s="67"/>
      <c r="K317" s="64"/>
      <c r="L317" s="140"/>
      <c r="M317" s="140"/>
      <c r="U317" s="140"/>
      <c r="V317" s="140"/>
      <c r="W317" s="140"/>
      <c r="X317" s="140"/>
      <c r="Y317" s="140"/>
      <c r="Z317" s="140"/>
      <c r="AA317" s="140"/>
      <c r="AB317" s="140"/>
      <c r="AP317" s="125"/>
      <c r="AQ317" s="125"/>
      <c r="AR317" s="125"/>
      <c r="AS317" s="125"/>
      <c r="AT317" s="125"/>
      <c r="AU317" s="127"/>
      <c r="AV317" s="127"/>
      <c r="AW317" s="127"/>
    </row>
    <row r="318" spans="2:49" ht="21.75" customHeight="1" x14ac:dyDescent="0.35">
      <c r="B318" s="64"/>
      <c r="C318" s="115"/>
      <c r="D318" s="137"/>
      <c r="E318" s="137"/>
      <c r="F318" s="67"/>
      <c r="G318" s="137"/>
      <c r="H318" s="67"/>
      <c r="I318" s="137"/>
      <c r="J318" s="67"/>
      <c r="K318" s="64"/>
      <c r="L318" s="140"/>
      <c r="M318" s="140"/>
      <c r="U318" s="140"/>
      <c r="V318" s="140"/>
      <c r="W318" s="140"/>
      <c r="X318" s="140"/>
      <c r="Y318" s="140"/>
      <c r="Z318" s="140"/>
      <c r="AA318" s="140"/>
      <c r="AB318" s="140"/>
      <c r="AP318" s="125"/>
      <c r="AQ318" s="125"/>
      <c r="AR318" s="125"/>
      <c r="AS318" s="125"/>
      <c r="AT318" s="125"/>
      <c r="AU318" s="127"/>
      <c r="AV318" s="127"/>
      <c r="AW318" s="127"/>
    </row>
    <row r="319" spans="2:49" ht="21.75" customHeight="1" x14ac:dyDescent="0.35">
      <c r="B319" s="64"/>
      <c r="C319" s="115"/>
      <c r="D319" s="137"/>
      <c r="E319" s="137"/>
      <c r="F319" s="67"/>
      <c r="G319" s="137"/>
      <c r="H319" s="67"/>
      <c r="I319" s="137"/>
      <c r="J319" s="67"/>
      <c r="K319" s="64"/>
      <c r="L319" s="140"/>
      <c r="M319" s="140"/>
      <c r="U319" s="140"/>
      <c r="V319" s="140"/>
      <c r="W319" s="140"/>
      <c r="X319" s="140"/>
      <c r="Y319" s="140"/>
      <c r="Z319" s="140"/>
      <c r="AA319" s="140"/>
      <c r="AB319" s="140"/>
      <c r="AP319" s="125"/>
      <c r="AQ319" s="125"/>
      <c r="AR319" s="125"/>
      <c r="AS319" s="125"/>
      <c r="AT319" s="125"/>
      <c r="AU319" s="127"/>
      <c r="AV319" s="127"/>
      <c r="AW319" s="127"/>
    </row>
    <row r="320" spans="2:49" ht="21.75" customHeight="1" x14ac:dyDescent="0.35">
      <c r="B320" s="64"/>
      <c r="C320" s="115"/>
      <c r="D320" s="137"/>
      <c r="E320" s="137"/>
      <c r="F320" s="67"/>
      <c r="G320" s="137"/>
      <c r="H320" s="67"/>
      <c r="I320" s="137"/>
      <c r="J320" s="67"/>
      <c r="K320" s="64"/>
      <c r="L320" s="140"/>
      <c r="M320" s="140"/>
      <c r="U320" s="140"/>
      <c r="V320" s="140"/>
      <c r="W320" s="140"/>
      <c r="X320" s="140"/>
      <c r="Y320" s="140"/>
      <c r="Z320" s="140"/>
      <c r="AA320" s="140"/>
      <c r="AB320" s="140"/>
      <c r="AP320" s="125"/>
      <c r="AQ320" s="125"/>
      <c r="AR320" s="125"/>
      <c r="AS320" s="125"/>
      <c r="AT320" s="125"/>
      <c r="AU320" s="127"/>
      <c r="AV320" s="127"/>
      <c r="AW320" s="127"/>
    </row>
    <row r="321" spans="2:49" ht="21.75" customHeight="1" x14ac:dyDescent="0.35">
      <c r="B321" s="64"/>
      <c r="C321" s="115"/>
      <c r="D321" s="137"/>
      <c r="E321" s="137"/>
      <c r="F321" s="67"/>
      <c r="G321" s="137"/>
      <c r="H321" s="67"/>
      <c r="I321" s="137"/>
      <c r="J321" s="67"/>
      <c r="K321" s="64"/>
      <c r="L321" s="140"/>
      <c r="M321" s="140"/>
      <c r="U321" s="140"/>
      <c r="V321" s="140"/>
      <c r="W321" s="140"/>
      <c r="X321" s="140"/>
      <c r="Y321" s="140"/>
      <c r="Z321" s="140"/>
      <c r="AA321" s="140"/>
      <c r="AB321" s="140"/>
      <c r="AP321" s="140"/>
      <c r="AQ321" s="140"/>
      <c r="AR321" s="140"/>
      <c r="AS321" s="140"/>
      <c r="AT321" s="127"/>
      <c r="AU321" s="127"/>
      <c r="AV321" s="127"/>
      <c r="AW321" s="127"/>
    </row>
    <row r="322" spans="2:49" x14ac:dyDescent="0.35">
      <c r="L322" s="140"/>
      <c r="M322" s="140"/>
      <c r="U322" s="140"/>
      <c r="V322" s="140"/>
      <c r="W322" s="140"/>
      <c r="X322" s="140"/>
      <c r="Y322" s="140"/>
      <c r="Z322" s="140"/>
      <c r="AA322" s="140"/>
      <c r="AB322" s="140"/>
      <c r="AP322" s="140"/>
      <c r="AQ322" s="140"/>
      <c r="AR322" s="140"/>
      <c r="AS322" s="140"/>
    </row>
    <row r="323" spans="2:49" x14ac:dyDescent="0.35">
      <c r="L323" s="140"/>
      <c r="M323" s="140"/>
      <c r="U323" s="140"/>
      <c r="V323" s="140"/>
      <c r="W323" s="140"/>
      <c r="X323" s="140"/>
      <c r="Y323" s="140"/>
      <c r="Z323" s="140"/>
      <c r="AA323" s="140"/>
      <c r="AB323" s="140"/>
      <c r="AP323" s="140"/>
      <c r="AQ323" s="140"/>
      <c r="AR323" s="140"/>
      <c r="AS323" s="140"/>
    </row>
  </sheetData>
  <mergeCells count="7">
    <mergeCell ref="Q47:X47"/>
    <mergeCell ref="B5:C5"/>
    <mergeCell ref="D1:D2"/>
    <mergeCell ref="E1:L1"/>
    <mergeCell ref="AZ2:AZ3"/>
    <mergeCell ref="E5:L5"/>
    <mergeCell ref="E9:L9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tabColor rgb="FF7030A0"/>
  </sheetPr>
  <dimension ref="A1:R27"/>
  <sheetViews>
    <sheetView zoomScale="130" zoomScaleNormal="130" workbookViewId="0">
      <pane ySplit="1" topLeftCell="A2" activePane="bottomLeft" state="frozen"/>
      <selection pane="bottomLeft" activeCell="K3" sqref="K3:R3"/>
    </sheetView>
  </sheetViews>
  <sheetFormatPr defaultRowHeight="21" outlineLevelCol="1" x14ac:dyDescent="0.35"/>
  <cols>
    <col min="1" max="1" width="11.7265625" style="70" bestFit="1" customWidth="1"/>
    <col min="2" max="2" width="3.7265625" style="3" customWidth="1"/>
    <col min="3" max="3" width="6.90625" customWidth="1"/>
    <col min="4" max="4" width="9.6328125" hidden="1" customWidth="1"/>
    <col min="5" max="6" width="9.6328125" hidden="1" customWidth="1" outlineLevel="1"/>
    <col min="7" max="7" width="9.6328125" style="3" hidden="1" customWidth="1" outlineLevel="1"/>
    <col min="8" max="10" width="9.6328125" hidden="1" customWidth="1" outlineLevel="1"/>
    <col min="11" max="11" width="10.6328125" style="122" customWidth="1" collapsed="1"/>
    <col min="12" max="18" width="10.6328125" style="122" customWidth="1"/>
  </cols>
  <sheetData>
    <row r="1" spans="1:18" ht="22.5" thickTop="1" thickBot="1" x14ac:dyDescent="0.4">
      <c r="A1" s="146" t="s">
        <v>39</v>
      </c>
      <c r="B1" s="7" t="s">
        <v>60</v>
      </c>
      <c r="C1" s="4" t="s">
        <v>58</v>
      </c>
      <c r="D1" s="8" t="s">
        <v>57</v>
      </c>
      <c r="E1" s="6" t="s">
        <v>53</v>
      </c>
      <c r="F1" s="6" t="s">
        <v>51</v>
      </c>
      <c r="G1" s="5" t="s">
        <v>51</v>
      </c>
      <c r="H1" s="9" t="s">
        <v>54</v>
      </c>
      <c r="I1" s="4" t="s">
        <v>52</v>
      </c>
      <c r="J1" s="10" t="s">
        <v>56</v>
      </c>
      <c r="K1" s="116" t="s">
        <v>41</v>
      </c>
      <c r="L1" s="117" t="s">
        <v>42</v>
      </c>
      <c r="M1" s="117" t="s">
        <v>43</v>
      </c>
      <c r="N1" s="117" t="s">
        <v>44</v>
      </c>
      <c r="O1" s="117" t="s">
        <v>45</v>
      </c>
      <c r="P1" s="117" t="s">
        <v>46</v>
      </c>
      <c r="Q1" s="117" t="s">
        <v>47</v>
      </c>
      <c r="R1" s="118" t="s">
        <v>48</v>
      </c>
    </row>
    <row r="2" spans="1:18" ht="21.75" thickTop="1" x14ac:dyDescent="0.35">
      <c r="A2" s="68" t="s">
        <v>95</v>
      </c>
      <c r="B2" s="11" t="s">
        <v>61</v>
      </c>
      <c r="C2" s="12">
        <v>298</v>
      </c>
      <c r="D2" s="130"/>
      <c r="E2" s="130"/>
      <c r="F2" s="130"/>
      <c r="G2" s="130"/>
      <c r="H2" s="130"/>
      <c r="I2" s="130"/>
      <c r="J2" s="130"/>
      <c r="K2" s="154">
        <v>0</v>
      </c>
      <c r="L2" s="155">
        <v>16.688339185211987</v>
      </c>
      <c r="M2" s="154">
        <v>4.0663634694008044</v>
      </c>
      <c r="N2" s="155">
        <v>4.642498306573977E-4</v>
      </c>
      <c r="O2" s="154">
        <v>4.2232998956463159E-2</v>
      </c>
      <c r="P2" s="155">
        <v>-1.6915439636555956</v>
      </c>
      <c r="Q2" s="154">
        <v>0.85639996181066103</v>
      </c>
      <c r="R2" s="156">
        <v>0.24006447835859676</v>
      </c>
    </row>
    <row r="3" spans="1:18" x14ac:dyDescent="0.35">
      <c r="A3" s="69" t="s">
        <v>95</v>
      </c>
      <c r="B3" s="13" t="s">
        <v>61</v>
      </c>
      <c r="C3" s="14">
        <v>918</v>
      </c>
      <c r="D3" s="130"/>
      <c r="E3" s="130"/>
      <c r="F3" s="130"/>
      <c r="G3" s="130"/>
      <c r="H3" s="130"/>
      <c r="I3" s="130"/>
      <c r="J3" s="130"/>
      <c r="K3" s="154">
        <v>0</v>
      </c>
      <c r="L3" s="155">
        <v>9.9938218886512296</v>
      </c>
      <c r="M3" s="154">
        <v>0.74501916153508874</v>
      </c>
      <c r="N3" s="155">
        <v>4.668042074609329E-3</v>
      </c>
      <c r="O3" s="154">
        <v>-0.23606481387265052</v>
      </c>
      <c r="P3" s="155">
        <v>12.387179989402989</v>
      </c>
      <c r="Q3" s="154">
        <v>1.2813942865428745</v>
      </c>
      <c r="R3" s="156">
        <v>0.24421805054616613</v>
      </c>
    </row>
    <row r="4" spans="1:18" x14ac:dyDescent="0.35">
      <c r="A4" s="69" t="s">
        <v>95</v>
      </c>
      <c r="B4" s="13" t="s">
        <v>61</v>
      </c>
      <c r="C4" s="14">
        <v>1150</v>
      </c>
      <c r="D4" s="130"/>
      <c r="E4" s="130"/>
      <c r="F4" s="130"/>
      <c r="G4" s="130"/>
      <c r="H4" s="130"/>
      <c r="I4" s="130"/>
      <c r="J4" s="130"/>
      <c r="K4" s="154">
        <v>0</v>
      </c>
      <c r="L4" s="155">
        <v>10.122681102948389</v>
      </c>
      <c r="M4" s="154">
        <v>-4.8178888409121274</v>
      </c>
      <c r="N4" s="155">
        <v>6.8059950240120043E-2</v>
      </c>
      <c r="O4" s="154">
        <v>-2.0756430304980711</v>
      </c>
      <c r="P4" s="155">
        <v>4.1019530036291609</v>
      </c>
      <c r="Q4" s="154">
        <v>1.091340211889114</v>
      </c>
      <c r="R4" s="157">
        <v>0.24152838776726546</v>
      </c>
    </row>
    <row r="5" spans="1:18" s="130" customFormat="1" ht="21.75" thickBot="1" x14ac:dyDescent="0.4">
      <c r="A5" s="141" t="s">
        <v>95</v>
      </c>
      <c r="B5" s="142" t="s">
        <v>62</v>
      </c>
      <c r="C5" s="143">
        <v>1500</v>
      </c>
      <c r="D5" s="15" t="s">
        <v>63</v>
      </c>
      <c r="E5" s="15" t="s">
        <v>63</v>
      </c>
      <c r="F5" s="15" t="s">
        <v>63</v>
      </c>
      <c r="G5" s="15" t="s">
        <v>63</v>
      </c>
      <c r="H5" s="15" t="s">
        <v>63</v>
      </c>
      <c r="I5" s="15" t="s">
        <v>63</v>
      </c>
      <c r="J5" s="15" t="s">
        <v>63</v>
      </c>
      <c r="K5" s="120" t="s">
        <v>63</v>
      </c>
      <c r="L5" s="119" t="s">
        <v>63</v>
      </c>
      <c r="M5" s="120" t="s">
        <v>63</v>
      </c>
      <c r="N5" s="119" t="s">
        <v>63</v>
      </c>
      <c r="O5" s="120" t="s">
        <v>63</v>
      </c>
      <c r="P5" s="119" t="s">
        <v>63</v>
      </c>
      <c r="Q5" s="120" t="s">
        <v>63</v>
      </c>
      <c r="R5" s="121" t="s">
        <v>63</v>
      </c>
    </row>
    <row r="6" spans="1:18" s="130" customFormat="1" ht="21.75" thickTop="1" x14ac:dyDescent="0.35">
      <c r="A6" s="68" t="s">
        <v>96</v>
      </c>
      <c r="B6" s="11" t="s">
        <v>61</v>
      </c>
      <c r="C6" s="12">
        <v>10</v>
      </c>
      <c r="K6" s="154">
        <v>-1.8995850622406638</v>
      </c>
      <c r="L6" s="155">
        <v>15.107005749341235</v>
      </c>
      <c r="M6" s="154">
        <v>3.3622423438912659</v>
      </c>
      <c r="N6" s="155">
        <v>-9.3563022346504094E-6</v>
      </c>
      <c r="O6" s="154">
        <v>0.13727423007721665</v>
      </c>
      <c r="P6" s="155">
        <v>-1.681873653426641</v>
      </c>
      <c r="Q6" s="154">
        <v>0.85649906668444342</v>
      </c>
      <c r="R6" s="156">
        <v>0.24006464929484223</v>
      </c>
    </row>
    <row r="7" spans="1:18" s="130" customFormat="1" x14ac:dyDescent="0.35">
      <c r="A7" s="69" t="s">
        <v>96</v>
      </c>
      <c r="B7" s="13" t="s">
        <v>61</v>
      </c>
      <c r="C7" s="14">
        <v>150</v>
      </c>
      <c r="K7" s="154">
        <v>-1.8995850622406638</v>
      </c>
      <c r="L7" s="155">
        <v>22.242322509853619</v>
      </c>
      <c r="M7" s="154">
        <v>5.6787057694693681</v>
      </c>
      <c r="N7" s="155">
        <v>-1.1458432876224959E-4</v>
      </c>
      <c r="O7" s="154">
        <v>0.1820527344978235</v>
      </c>
      <c r="P7" s="155">
        <v>5.5729206655170804</v>
      </c>
      <c r="Q7" s="154">
        <v>1.6897883404301262</v>
      </c>
      <c r="R7" s="156">
        <v>0.25488896669120797</v>
      </c>
    </row>
    <row r="8" spans="1:18" s="130" customFormat="1" ht="21.75" thickBot="1" x14ac:dyDescent="0.4">
      <c r="A8" s="141" t="s">
        <v>96</v>
      </c>
      <c r="B8" s="142" t="s">
        <v>62</v>
      </c>
      <c r="C8" s="143">
        <v>1210</v>
      </c>
      <c r="D8" s="15" t="s">
        <v>63</v>
      </c>
      <c r="E8" s="15" t="s">
        <v>63</v>
      </c>
      <c r="F8" s="15" t="s">
        <v>63</v>
      </c>
      <c r="G8" s="15" t="s">
        <v>63</v>
      </c>
      <c r="H8" s="15" t="s">
        <v>63</v>
      </c>
      <c r="I8" s="15" t="s">
        <v>63</v>
      </c>
      <c r="J8" s="15" t="s">
        <v>63</v>
      </c>
      <c r="K8" s="120" t="s">
        <v>63</v>
      </c>
      <c r="L8" s="119" t="s">
        <v>63</v>
      </c>
      <c r="M8" s="120" t="s">
        <v>63</v>
      </c>
      <c r="N8" s="119" t="s">
        <v>63</v>
      </c>
      <c r="O8" s="120" t="s">
        <v>63</v>
      </c>
      <c r="P8" s="119" t="s">
        <v>63</v>
      </c>
      <c r="Q8" s="120" t="s">
        <v>63</v>
      </c>
      <c r="R8" s="121" t="s">
        <v>63</v>
      </c>
    </row>
    <row r="9" spans="1:18" s="130" customFormat="1" x14ac:dyDescent="0.35">
      <c r="A9" s="70" t="s">
        <v>97</v>
      </c>
      <c r="B9" s="145" t="s">
        <v>61</v>
      </c>
      <c r="C9" s="144">
        <v>200</v>
      </c>
      <c r="K9" s="154">
        <v>0</v>
      </c>
      <c r="L9" s="155">
        <v>14.827333362245735</v>
      </c>
      <c r="M9" s="154">
        <v>3.2556671517090314</v>
      </c>
      <c r="N9" s="155">
        <v>-1.283549158027796E-4</v>
      </c>
      <c r="O9" s="154">
        <v>4.3437413921368906E-2</v>
      </c>
      <c r="P9" s="155">
        <v>5.294052820655879</v>
      </c>
      <c r="Q9" s="154">
        <v>1.6877776091157222</v>
      </c>
      <c r="R9" s="156">
        <v>0.25488660825082821</v>
      </c>
    </row>
    <row r="10" spans="1:18" s="130" customFormat="1" ht="21.75" thickBot="1" x14ac:dyDescent="0.4">
      <c r="A10" s="141" t="s">
        <v>97</v>
      </c>
      <c r="B10" s="142" t="s">
        <v>62</v>
      </c>
      <c r="C10" s="147">
        <v>303</v>
      </c>
      <c r="D10" s="15" t="s">
        <v>63</v>
      </c>
      <c r="E10" s="15" t="s">
        <v>63</v>
      </c>
      <c r="F10" s="15" t="s">
        <v>63</v>
      </c>
      <c r="G10" s="15" t="s">
        <v>63</v>
      </c>
      <c r="H10" s="15" t="s">
        <v>63</v>
      </c>
      <c r="I10" s="15" t="s">
        <v>63</v>
      </c>
      <c r="J10" s="15" t="s">
        <v>63</v>
      </c>
      <c r="K10" s="120" t="s">
        <v>63</v>
      </c>
      <c r="L10" s="119" t="s">
        <v>63</v>
      </c>
      <c r="M10" s="120" t="s">
        <v>63</v>
      </c>
      <c r="N10" s="119" t="s">
        <v>63</v>
      </c>
      <c r="O10" s="120" t="s">
        <v>63</v>
      </c>
      <c r="P10" s="119" t="s">
        <v>63</v>
      </c>
      <c r="Q10" s="120" t="s">
        <v>63</v>
      </c>
      <c r="R10" s="121" t="s">
        <v>63</v>
      </c>
    </row>
    <row r="11" spans="1:18" s="130" customFormat="1" x14ac:dyDescent="0.35">
      <c r="A11" s="70" t="s">
        <v>98</v>
      </c>
      <c r="B11" s="145" t="s">
        <v>69</v>
      </c>
      <c r="C11" s="144">
        <v>10</v>
      </c>
      <c r="K11" s="154">
        <v>-4.7952131817908468</v>
      </c>
      <c r="L11" s="155">
        <v>-85.928718576888272</v>
      </c>
      <c r="M11" s="154">
        <v>-17.748061244149952</v>
      </c>
      <c r="N11" s="155">
        <v>4.5887255627349451E-5</v>
      </c>
      <c r="O11" s="154">
        <v>0.22005289809440109</v>
      </c>
      <c r="P11" s="155">
        <v>14.92500749614886</v>
      </c>
      <c r="Q11" s="154">
        <v>1.7247006916965459</v>
      </c>
      <c r="R11" s="156">
        <v>0.25490480922524045</v>
      </c>
    </row>
    <row r="12" spans="1:18" s="130" customFormat="1" x14ac:dyDescent="0.35">
      <c r="A12" s="70" t="s">
        <v>98</v>
      </c>
      <c r="B12" s="145" t="s">
        <v>69</v>
      </c>
      <c r="C12" s="144">
        <v>150</v>
      </c>
      <c r="K12" s="154">
        <v>-4.7952131817908468</v>
      </c>
      <c r="L12" s="155">
        <v>52.324146168069298</v>
      </c>
      <c r="M12" s="154">
        <v>12.650756190383355</v>
      </c>
      <c r="N12" s="155">
        <v>4.6824320928384207E-5</v>
      </c>
      <c r="O12" s="154">
        <v>0.39195953082034007</v>
      </c>
      <c r="P12" s="155">
        <v>21.270645885092854</v>
      </c>
      <c r="Q12" s="154">
        <v>1.743241008305551</v>
      </c>
      <c r="R12" s="156">
        <v>0.25496773287686142</v>
      </c>
    </row>
    <row r="13" spans="1:18" s="130" customFormat="1" ht="21.75" thickBot="1" x14ac:dyDescent="0.4">
      <c r="A13" s="151" t="s">
        <v>98</v>
      </c>
      <c r="B13" s="152" t="s">
        <v>62</v>
      </c>
      <c r="C13" s="153">
        <v>1283</v>
      </c>
      <c r="D13" s="15" t="s">
        <v>63</v>
      </c>
      <c r="E13" s="15" t="s">
        <v>63</v>
      </c>
      <c r="F13" s="15" t="s">
        <v>63</v>
      </c>
      <c r="G13" s="15" t="s">
        <v>63</v>
      </c>
      <c r="H13" s="15" t="s">
        <v>63</v>
      </c>
      <c r="I13" s="15" t="s">
        <v>63</v>
      </c>
      <c r="J13" s="15" t="s">
        <v>63</v>
      </c>
      <c r="K13" s="120" t="s">
        <v>63</v>
      </c>
      <c r="L13" s="119" t="s">
        <v>63</v>
      </c>
      <c r="M13" s="120" t="s">
        <v>63</v>
      </c>
      <c r="N13" s="119" t="s">
        <v>63</v>
      </c>
      <c r="O13" s="120" t="s">
        <v>63</v>
      </c>
      <c r="P13" s="119" t="s">
        <v>63</v>
      </c>
      <c r="Q13" s="120" t="s">
        <v>63</v>
      </c>
      <c r="R13" s="121" t="s">
        <v>63</v>
      </c>
    </row>
    <row r="14" spans="1:18" s="130" customFormat="1" x14ac:dyDescent="0.35">
      <c r="A14" s="70"/>
    </row>
    <row r="15" spans="1:18" s="130" customFormat="1" x14ac:dyDescent="0.35">
      <c r="A15" s="70"/>
    </row>
    <row r="16" spans="1:18" s="130" customFormat="1" x14ac:dyDescent="0.35">
      <c r="A16" s="70"/>
    </row>
    <row r="17" spans="1:1" s="130" customFormat="1" x14ac:dyDescent="0.35">
      <c r="A17" s="70"/>
    </row>
    <row r="18" spans="1:1" s="130" customFormat="1" x14ac:dyDescent="0.35">
      <c r="A18" s="70"/>
    </row>
    <row r="19" spans="1:1" s="130" customFormat="1" x14ac:dyDescent="0.35">
      <c r="A19" s="70"/>
    </row>
    <row r="20" spans="1:1" s="130" customFormat="1" x14ac:dyDescent="0.35">
      <c r="A20" s="70"/>
    </row>
    <row r="21" spans="1:1" s="130" customFormat="1" x14ac:dyDescent="0.35">
      <c r="A21" s="70"/>
    </row>
    <row r="22" spans="1:1" s="130" customFormat="1" x14ac:dyDescent="0.35">
      <c r="A22" s="70"/>
    </row>
    <row r="23" spans="1:1" s="130" customFormat="1" x14ac:dyDescent="0.35">
      <c r="A23" s="70"/>
    </row>
    <row r="24" spans="1:1" s="130" customFormat="1" x14ac:dyDescent="0.35">
      <c r="A24" s="70"/>
    </row>
    <row r="25" spans="1:1" s="130" customFormat="1" x14ac:dyDescent="0.35">
      <c r="A25" s="70"/>
    </row>
    <row r="26" spans="1:1" s="130" customFormat="1" x14ac:dyDescent="0.35">
      <c r="A26" s="70"/>
    </row>
    <row r="27" spans="1:1" s="130" customFormat="1" x14ac:dyDescent="0.35">
      <c r="A27" s="70"/>
    </row>
  </sheetData>
  <autoFilter ref="A1:C26" xr:uid="{00000000-0009-0000-0000-000005000000}"/>
  <customSheetViews>
    <customSheetView guid="{5CD7248E-C04A-445B-8512-C9303DEF235B}" showAutoFilter="1" hiddenRows="1" hiddenColumns="1" topLeftCell="A2">
      <pane ySplit="1" topLeftCell="A12" activePane="bottomLeft" state="frozen"/>
      <selection pane="bottomLeft" activeCell="D24" sqref="D24"/>
      <pageMargins left="0.7" right="0.7" top="0.75" bottom="0.75" header="0.3" footer="0.3"/>
      <autoFilter ref="A2:D28" xr:uid="{00000000-0000-0000-0000-000000000000}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Из TERRA</vt:lpstr>
      <vt:lpstr>Из Milke(Сломано)</vt:lpstr>
      <vt:lpstr>Из Autotech </vt:lpstr>
      <vt:lpstr>CTC</vt:lpstr>
      <vt:lpstr>Сравние CTC</vt:lpstr>
      <vt:lpstr>CTC2</vt:lpstr>
      <vt:lpstr>Сравнение</vt:lpstr>
      <vt:lpstr>Банк Других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dcterms:created xsi:type="dcterms:W3CDTF">2020-09-24T08:00:28Z</dcterms:created>
  <dcterms:modified xsi:type="dcterms:W3CDTF">2021-04-08T22:51:16Z</dcterms:modified>
</cp:coreProperties>
</file>