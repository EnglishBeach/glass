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"/>
    </mc:Choice>
  </mc:AlternateContent>
  <xr:revisionPtr revIDLastSave="0" documentId="13_ncr:1_{4F2E8801-7C72-45FA-BB2C-F379DC41DC93}" xr6:coauthVersionLast="46" xr6:coauthVersionMax="46" xr10:uidLastSave="{00000000-0000-0000-0000-000000000000}"/>
  <bookViews>
    <workbookView xWindow="-120" yWindow="-120" windowWidth="29040" windowHeight="15990" tabRatio="827" activeTab="3" xr2:uid="{00000000-000D-0000-FFFF-FFFF00000000}"/>
  </bookViews>
  <sheets>
    <sheet name="Из TERRA" sheetId="1" r:id="rId1"/>
    <sheet name="Из Milke(Сломано)" sheetId="3" r:id="rId2"/>
    <sheet name="Из Autotech " sheetId="21" r:id="rId3"/>
    <sheet name="Сравние" sheetId="24" r:id="rId4"/>
    <sheet name="CTC" sheetId="23" r:id="rId5"/>
    <sheet name="CTC2" sheetId="12" r:id="rId6"/>
    <sheet name="Сравнение" sheetId="22" r:id="rId7"/>
    <sheet name="Банк Других" sheetId="4" r:id="rId8"/>
    <sheet name="Сравнение погрешности округлени" sheetId="6" r:id="rId9"/>
  </sheets>
  <definedNames>
    <definedName name="_xlnm._FilterDatabase" localSheetId="4" hidden="1">CTC!$C$1:$P$64</definedName>
    <definedName name="_xlnm._FilterDatabase" localSheetId="5" hidden="1">'CTC2'!$C$1:$P$64</definedName>
    <definedName name="_xlnm._FilterDatabase" localSheetId="7" hidden="1">'Банк Других'!$A$1:$C$26</definedName>
    <definedName name="_xlnm._FilterDatabase" localSheetId="2" hidden="1">'Из Autotech '!$A$32:$AB$51</definedName>
    <definedName name="_xlnm._FilterDatabase" localSheetId="1" hidden="1">'Из Milke(Сломано)'!$A$27:$AC$27</definedName>
    <definedName name="_xlnm._FilterDatabase" localSheetId="0" hidden="1">'Из TERRA'!$A$29:$C$29</definedName>
    <definedName name="solver_adj" localSheetId="6" hidden="1">Сравнение!$F$7:$K$7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1</definedName>
    <definedName name="solver_neg" localSheetId="6" hidden="1">2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Сравнение!$C$7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1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  <definedName name="Z_5CD7248E_C04A_445B_8512_C9303DEF235B_.wvu.Cols" localSheetId="7" hidden="1">'Банк Других'!$D:$J</definedName>
    <definedName name="Z_5CD7248E_C04A_445B_8512_C9303DEF235B_.wvu.Cols" localSheetId="1" hidden="1">'Из Milke(Сломано)'!$N:$N</definedName>
    <definedName name="Z_5CD7248E_C04A_445B_8512_C9303DEF235B_.wvu.Cols" localSheetId="0" hidden="1">'Из TERRA'!$L:$R</definedName>
    <definedName name="Z_5CD7248E_C04A_445B_8512_C9303DEF235B_.wvu.FilterData" localSheetId="7" hidden="1">'Банк Других'!$A$1:$C$23</definedName>
    <definedName name="Z_5CD7248E_C04A_445B_8512_C9303DEF235B_.wvu.Rows" localSheetId="7" hidden="1">'Банк Других'!#REF!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4" l="1"/>
  <c r="M4" i="24"/>
  <c r="M5" i="24"/>
  <c r="AE3" i="24"/>
  <c r="AF3" i="24"/>
  <c r="AG3" i="24"/>
  <c r="AH3" i="24"/>
  <c r="AI3" i="24"/>
  <c r="AJ3" i="24"/>
  <c r="AK3" i="24"/>
  <c r="AL3" i="24"/>
  <c r="AM3" i="24"/>
  <c r="AN3" i="24"/>
  <c r="AO3" i="24"/>
  <c r="AE4" i="24"/>
  <c r="AF4" i="24"/>
  <c r="AG4" i="24"/>
  <c r="AH4" i="24"/>
  <c r="AI4" i="24"/>
  <c r="AJ4" i="24"/>
  <c r="AK4" i="24"/>
  <c r="AL4" i="24"/>
  <c r="AM4" i="24"/>
  <c r="AN4" i="24"/>
  <c r="AO4" i="24"/>
  <c r="AE5" i="24"/>
  <c r="AF5" i="24"/>
  <c r="AG5" i="24"/>
  <c r="AH5" i="24"/>
  <c r="AI5" i="24"/>
  <c r="AJ5" i="24"/>
  <c r="AK5" i="24"/>
  <c r="AL5" i="24"/>
  <c r="AM5" i="24"/>
  <c r="AN5" i="24"/>
  <c r="AO5" i="24"/>
  <c r="M6" i="24"/>
  <c r="M7" i="24"/>
  <c r="AE6" i="24"/>
  <c r="AE8" i="24"/>
  <c r="AF6" i="24"/>
  <c r="AG6" i="24"/>
  <c r="AH6" i="24"/>
  <c r="AI6" i="24"/>
  <c r="AJ6" i="24"/>
  <c r="AK6" i="24"/>
  <c r="AL6" i="24"/>
  <c r="AM6" i="24"/>
  <c r="AN6" i="24"/>
  <c r="AO6" i="24"/>
  <c r="AF8" i="24"/>
  <c r="AG8" i="24"/>
  <c r="AH8" i="24"/>
  <c r="AI8" i="24"/>
  <c r="AJ8" i="24"/>
  <c r="AK8" i="24"/>
  <c r="AL8" i="24"/>
  <c r="AM8" i="24"/>
  <c r="AN8" i="24"/>
  <c r="AO8" i="24"/>
  <c r="AM10" i="24"/>
  <c r="AE10" i="24"/>
  <c r="AF10" i="24"/>
  <c r="AG10" i="24"/>
  <c r="AH10" i="24"/>
  <c r="AI10" i="24"/>
  <c r="AJ10" i="24"/>
  <c r="AK10" i="24"/>
  <c r="AL10" i="24"/>
  <c r="AN10" i="24"/>
  <c r="AO10" i="24"/>
  <c r="M8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40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E27" i="24"/>
  <c r="AE28" i="24"/>
  <c r="AE29" i="24"/>
  <c r="AE30" i="24"/>
  <c r="AE31" i="24"/>
  <c r="AE32" i="24"/>
  <c r="AE33" i="24"/>
  <c r="AE34" i="24"/>
  <c r="AE35" i="24"/>
  <c r="AE36" i="24"/>
  <c r="AE37" i="24"/>
  <c r="AE38" i="24"/>
  <c r="AE39" i="24"/>
  <c r="AE40" i="24"/>
  <c r="AE41" i="24"/>
  <c r="AE42" i="24"/>
  <c r="AE44" i="24"/>
  <c r="AE45" i="24"/>
  <c r="AE46" i="24"/>
  <c r="AE47" i="24"/>
  <c r="AE48" i="24"/>
  <c r="AE49" i="24"/>
  <c r="AE50" i="24"/>
  <c r="AE51" i="24"/>
  <c r="AE52" i="24"/>
  <c r="AE53" i="24"/>
  <c r="AE54" i="24"/>
  <c r="AE55" i="24"/>
  <c r="AE56" i="24"/>
  <c r="AE57" i="24"/>
  <c r="AE58" i="24"/>
  <c r="AE59" i="24"/>
  <c r="AE60" i="24"/>
  <c r="AE61" i="24"/>
  <c r="AE62" i="24"/>
  <c r="AE63" i="24"/>
  <c r="AE64" i="24"/>
  <c r="AE65" i="24"/>
  <c r="AF12" i="24"/>
  <c r="AG12" i="24"/>
  <c r="AH12" i="24"/>
  <c r="AI12" i="24"/>
  <c r="AJ12" i="24"/>
  <c r="AK12" i="24"/>
  <c r="AL12" i="24"/>
  <c r="AM12" i="24"/>
  <c r="AN12" i="24"/>
  <c r="AO12" i="24"/>
  <c r="AF13" i="24"/>
  <c r="AG13" i="24"/>
  <c r="AH13" i="24"/>
  <c r="AI13" i="24"/>
  <c r="AJ13" i="24"/>
  <c r="AK13" i="24"/>
  <c r="AL13" i="24"/>
  <c r="AM13" i="24"/>
  <c r="AN13" i="24"/>
  <c r="AO13" i="24"/>
  <c r="AF14" i="24"/>
  <c r="AG14" i="24"/>
  <c r="AH14" i="24"/>
  <c r="AI14" i="24"/>
  <c r="AJ14" i="24"/>
  <c r="AK14" i="24"/>
  <c r="AL14" i="24"/>
  <c r="AM14" i="24"/>
  <c r="AN14" i="24"/>
  <c r="AO14" i="24"/>
  <c r="AF15" i="24"/>
  <c r="AG15" i="24"/>
  <c r="AH15" i="24"/>
  <c r="AI15" i="24"/>
  <c r="AJ15" i="24"/>
  <c r="AK15" i="24"/>
  <c r="AL15" i="24"/>
  <c r="AM15" i="24"/>
  <c r="AN15" i="24"/>
  <c r="AO15" i="24"/>
  <c r="AF16" i="24"/>
  <c r="AG16" i="24"/>
  <c r="AH16" i="24"/>
  <c r="AI16" i="24"/>
  <c r="AJ16" i="24"/>
  <c r="AK16" i="24"/>
  <c r="AL16" i="24"/>
  <c r="AM16" i="24"/>
  <c r="AN16" i="24"/>
  <c r="AO16" i="24"/>
  <c r="AF17" i="24"/>
  <c r="AG17" i="24"/>
  <c r="AH17" i="24"/>
  <c r="AI17" i="24"/>
  <c r="AJ17" i="24"/>
  <c r="AK17" i="24"/>
  <c r="AL17" i="24"/>
  <c r="AM17" i="24"/>
  <c r="AN17" i="24"/>
  <c r="AO17" i="24"/>
  <c r="AF18" i="24"/>
  <c r="AG18" i="24"/>
  <c r="AH18" i="24"/>
  <c r="AI18" i="24"/>
  <c r="AJ18" i="24"/>
  <c r="AK18" i="24"/>
  <c r="AL18" i="24"/>
  <c r="AM18" i="24"/>
  <c r="AN18" i="24"/>
  <c r="AO18" i="24"/>
  <c r="AF19" i="24"/>
  <c r="AG19" i="24"/>
  <c r="AH19" i="24"/>
  <c r="AI19" i="24"/>
  <c r="AJ19" i="24"/>
  <c r="AK19" i="24"/>
  <c r="AL19" i="24"/>
  <c r="AM19" i="24"/>
  <c r="AN19" i="24"/>
  <c r="AO19" i="24"/>
  <c r="AF20" i="24"/>
  <c r="AG20" i="24"/>
  <c r="AH20" i="24"/>
  <c r="AI20" i="24"/>
  <c r="AJ20" i="24"/>
  <c r="AK20" i="24"/>
  <c r="AL20" i="24"/>
  <c r="AM20" i="24"/>
  <c r="AN20" i="24"/>
  <c r="AO20" i="24"/>
  <c r="AF21" i="24"/>
  <c r="AG21" i="24"/>
  <c r="AH21" i="24"/>
  <c r="AI21" i="24"/>
  <c r="AJ21" i="24"/>
  <c r="AK21" i="24"/>
  <c r="AL21" i="24"/>
  <c r="AM21" i="24"/>
  <c r="AN21" i="24"/>
  <c r="AO21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60" i="24"/>
  <c r="AC61" i="24"/>
  <c r="AC62" i="24"/>
  <c r="AC63" i="24"/>
  <c r="AC64" i="24"/>
  <c r="AC65" i="24"/>
  <c r="AF22" i="24"/>
  <c r="AG22" i="24"/>
  <c r="AH22" i="24"/>
  <c r="AI22" i="24"/>
  <c r="AJ22" i="24"/>
  <c r="AK22" i="24"/>
  <c r="AL22" i="24"/>
  <c r="AM22" i="24"/>
  <c r="AN22" i="24"/>
  <c r="AO22" i="24"/>
  <c r="AF23" i="24"/>
  <c r="AG23" i="24"/>
  <c r="AH23" i="24"/>
  <c r="AI23" i="24"/>
  <c r="AJ23" i="24"/>
  <c r="AK23" i="24"/>
  <c r="AL23" i="24"/>
  <c r="AM23" i="24"/>
  <c r="AN23" i="24"/>
  <c r="AO23" i="24"/>
  <c r="AF24" i="24"/>
  <c r="AG24" i="24"/>
  <c r="AH24" i="24"/>
  <c r="AI24" i="24"/>
  <c r="AJ24" i="24"/>
  <c r="AK24" i="24"/>
  <c r="AL24" i="24"/>
  <c r="AM24" i="24"/>
  <c r="AN24" i="24"/>
  <c r="AO24" i="24"/>
  <c r="AF25" i="24"/>
  <c r="AG25" i="24"/>
  <c r="AH25" i="24"/>
  <c r="AI25" i="24"/>
  <c r="AJ25" i="24"/>
  <c r="AK25" i="24"/>
  <c r="AL25" i="24"/>
  <c r="AM25" i="24"/>
  <c r="AN25" i="24"/>
  <c r="AO25" i="24"/>
  <c r="AF26" i="24"/>
  <c r="AG26" i="24"/>
  <c r="AH26" i="24"/>
  <c r="AI26" i="24"/>
  <c r="AJ26" i="24"/>
  <c r="AK26" i="24"/>
  <c r="AL26" i="24"/>
  <c r="AM26" i="24"/>
  <c r="AN26" i="24"/>
  <c r="AO26" i="24"/>
  <c r="AF27" i="24"/>
  <c r="AG27" i="24"/>
  <c r="AH27" i="24"/>
  <c r="AI27" i="24"/>
  <c r="AJ27" i="24"/>
  <c r="AK27" i="24"/>
  <c r="AL27" i="24"/>
  <c r="AM27" i="24"/>
  <c r="AN27" i="24"/>
  <c r="AO27" i="24"/>
  <c r="AF28" i="24"/>
  <c r="AG28" i="24"/>
  <c r="AH28" i="24"/>
  <c r="AI28" i="24"/>
  <c r="AJ28" i="24"/>
  <c r="AK28" i="24"/>
  <c r="AL28" i="24"/>
  <c r="AM28" i="24"/>
  <c r="AN28" i="24"/>
  <c r="AO28" i="24"/>
  <c r="AF29" i="24"/>
  <c r="AG29" i="24"/>
  <c r="AH29" i="24"/>
  <c r="AI29" i="24"/>
  <c r="AJ29" i="24"/>
  <c r="AK29" i="24"/>
  <c r="AL29" i="24"/>
  <c r="AM29" i="24"/>
  <c r="AN29" i="24"/>
  <c r="AO29" i="24"/>
  <c r="AF30" i="24"/>
  <c r="AG30" i="24"/>
  <c r="AH30" i="24"/>
  <c r="AI30" i="24"/>
  <c r="AJ30" i="24"/>
  <c r="AK30" i="24"/>
  <c r="AL30" i="24"/>
  <c r="AM30" i="24"/>
  <c r="AN30" i="24"/>
  <c r="AO30" i="24"/>
  <c r="AF31" i="24"/>
  <c r="AG31" i="24"/>
  <c r="AH31" i="24"/>
  <c r="AI31" i="24"/>
  <c r="AJ31" i="24"/>
  <c r="AK31" i="24"/>
  <c r="AL31" i="24"/>
  <c r="AM31" i="24"/>
  <c r="AN31" i="24"/>
  <c r="AO31" i="24"/>
  <c r="AF32" i="24"/>
  <c r="AG32" i="24"/>
  <c r="AH32" i="24"/>
  <c r="AI32" i="24"/>
  <c r="AJ32" i="24"/>
  <c r="AK32" i="24"/>
  <c r="AL32" i="24"/>
  <c r="AM32" i="24"/>
  <c r="AN32" i="24"/>
  <c r="AO32" i="24"/>
  <c r="AF33" i="24"/>
  <c r="AG33" i="24"/>
  <c r="AH33" i="24"/>
  <c r="AI33" i="24"/>
  <c r="AJ33" i="24"/>
  <c r="AK33" i="24"/>
  <c r="AL33" i="24"/>
  <c r="AM33" i="24"/>
  <c r="AN33" i="24"/>
  <c r="AO33" i="24"/>
  <c r="AF34" i="24"/>
  <c r="AG34" i="24"/>
  <c r="AH34" i="24"/>
  <c r="AI34" i="24"/>
  <c r="AJ34" i="24"/>
  <c r="AK34" i="24"/>
  <c r="AL34" i="24"/>
  <c r="AM34" i="24"/>
  <c r="AN34" i="24"/>
  <c r="AO34" i="24"/>
  <c r="AF35" i="24"/>
  <c r="AG35" i="24"/>
  <c r="AH35" i="24"/>
  <c r="AI35" i="24"/>
  <c r="AJ35" i="24"/>
  <c r="AK35" i="24"/>
  <c r="AL35" i="24"/>
  <c r="AM35" i="24"/>
  <c r="AN35" i="24"/>
  <c r="AO35" i="24"/>
  <c r="AF36" i="24"/>
  <c r="AG36" i="24"/>
  <c r="AH36" i="24"/>
  <c r="AI36" i="24"/>
  <c r="AJ36" i="24"/>
  <c r="AK36" i="24"/>
  <c r="AL36" i="24"/>
  <c r="AM36" i="24"/>
  <c r="AN36" i="24"/>
  <c r="AO36" i="24"/>
  <c r="AF37" i="24"/>
  <c r="AG37" i="24"/>
  <c r="AH37" i="24"/>
  <c r="AI37" i="24"/>
  <c r="AJ37" i="24"/>
  <c r="AK37" i="24"/>
  <c r="AL37" i="24"/>
  <c r="AM37" i="24"/>
  <c r="AN37" i="24"/>
  <c r="AO37" i="24"/>
  <c r="AF38" i="24"/>
  <c r="AG38" i="24"/>
  <c r="AH38" i="24"/>
  <c r="AI38" i="24"/>
  <c r="AJ38" i="24"/>
  <c r="AK38" i="24"/>
  <c r="AL38" i="24"/>
  <c r="AM38" i="24"/>
  <c r="AN38" i="24"/>
  <c r="AO38" i="24"/>
  <c r="AF39" i="24"/>
  <c r="AG39" i="24"/>
  <c r="AH39" i="24"/>
  <c r="AI39" i="24"/>
  <c r="AJ39" i="24"/>
  <c r="AK39" i="24"/>
  <c r="AL39" i="24"/>
  <c r="AM39" i="24"/>
  <c r="AN39" i="24"/>
  <c r="AO39" i="24"/>
  <c r="AF40" i="24"/>
  <c r="AG40" i="24"/>
  <c r="AH40" i="24"/>
  <c r="AI40" i="24"/>
  <c r="AJ40" i="24"/>
  <c r="AK40" i="24"/>
  <c r="AL40" i="24"/>
  <c r="AM40" i="24"/>
  <c r="AN40" i="24"/>
  <c r="AO40" i="24"/>
  <c r="AF41" i="24"/>
  <c r="AG41" i="24"/>
  <c r="AH41" i="24"/>
  <c r="AI41" i="24"/>
  <c r="AJ41" i="24"/>
  <c r="AK41" i="24"/>
  <c r="AL41" i="24"/>
  <c r="AM41" i="24"/>
  <c r="AN41" i="24"/>
  <c r="AO41" i="24"/>
  <c r="AF42" i="24"/>
  <c r="AG42" i="24"/>
  <c r="AH42" i="24"/>
  <c r="AI42" i="24"/>
  <c r="AJ42" i="24"/>
  <c r="AK42" i="24"/>
  <c r="AL42" i="24"/>
  <c r="AM42" i="24"/>
  <c r="AN42" i="24"/>
  <c r="AO42" i="24"/>
  <c r="AF44" i="24"/>
  <c r="AG44" i="24"/>
  <c r="AH44" i="24"/>
  <c r="AI44" i="24"/>
  <c r="AJ44" i="24"/>
  <c r="AK44" i="24"/>
  <c r="AL44" i="24"/>
  <c r="AM44" i="24"/>
  <c r="AN44" i="24"/>
  <c r="AO44" i="24"/>
  <c r="AF45" i="24"/>
  <c r="AG45" i="24"/>
  <c r="AH45" i="24"/>
  <c r="AI45" i="24"/>
  <c r="AJ45" i="24"/>
  <c r="AK45" i="24"/>
  <c r="AL45" i="24"/>
  <c r="AM45" i="24"/>
  <c r="AN45" i="24"/>
  <c r="AO45" i="24"/>
  <c r="AF46" i="24"/>
  <c r="AG46" i="24"/>
  <c r="AH46" i="24"/>
  <c r="AI46" i="24"/>
  <c r="AJ46" i="24"/>
  <c r="AK46" i="24"/>
  <c r="AL46" i="24"/>
  <c r="AM46" i="24"/>
  <c r="AN46" i="24"/>
  <c r="AO46" i="24"/>
  <c r="AF47" i="24"/>
  <c r="AG47" i="24"/>
  <c r="AH47" i="24"/>
  <c r="AI47" i="24"/>
  <c r="AJ47" i="24"/>
  <c r="AK47" i="24"/>
  <c r="AL47" i="24"/>
  <c r="AM47" i="24"/>
  <c r="AN47" i="24"/>
  <c r="AO47" i="24"/>
  <c r="AF48" i="24"/>
  <c r="AG48" i="24"/>
  <c r="AH48" i="24"/>
  <c r="AI48" i="24"/>
  <c r="AJ48" i="24"/>
  <c r="AK48" i="24"/>
  <c r="AL48" i="24"/>
  <c r="AM48" i="24"/>
  <c r="AN48" i="24"/>
  <c r="AO48" i="24"/>
  <c r="AF49" i="24"/>
  <c r="AG49" i="24"/>
  <c r="AH49" i="24"/>
  <c r="AI49" i="24"/>
  <c r="AJ49" i="24"/>
  <c r="AK49" i="24"/>
  <c r="AL49" i="24"/>
  <c r="AM49" i="24"/>
  <c r="AN49" i="24"/>
  <c r="AO49" i="24"/>
  <c r="AF50" i="24"/>
  <c r="AG50" i="24"/>
  <c r="AH50" i="24"/>
  <c r="AI50" i="24"/>
  <c r="AJ50" i="24"/>
  <c r="AK50" i="24"/>
  <c r="AL50" i="24"/>
  <c r="AM50" i="24"/>
  <c r="AN50" i="24"/>
  <c r="AO50" i="24"/>
  <c r="AF51" i="24"/>
  <c r="AG51" i="24"/>
  <c r="AH51" i="24"/>
  <c r="AI51" i="24"/>
  <c r="AJ51" i="24"/>
  <c r="AK51" i="24"/>
  <c r="AL51" i="24"/>
  <c r="AM51" i="24"/>
  <c r="AN51" i="24"/>
  <c r="AO51" i="24"/>
  <c r="AF52" i="24"/>
  <c r="AG52" i="24"/>
  <c r="AH52" i="24"/>
  <c r="AI52" i="24"/>
  <c r="AJ52" i="24"/>
  <c r="AK52" i="24"/>
  <c r="AL52" i="24"/>
  <c r="AM52" i="24"/>
  <c r="AN52" i="24"/>
  <c r="AO52" i="24"/>
  <c r="AF53" i="24"/>
  <c r="AG53" i="24"/>
  <c r="AH53" i="24"/>
  <c r="AI53" i="24"/>
  <c r="AJ53" i="24"/>
  <c r="AK53" i="24"/>
  <c r="AL53" i="24"/>
  <c r="AM53" i="24"/>
  <c r="AN53" i="24"/>
  <c r="AO53" i="24"/>
  <c r="AF54" i="24"/>
  <c r="AG54" i="24"/>
  <c r="AH54" i="24"/>
  <c r="AI54" i="24"/>
  <c r="AJ54" i="24"/>
  <c r="AK54" i="24"/>
  <c r="AL54" i="24"/>
  <c r="AM54" i="24"/>
  <c r="AN54" i="24"/>
  <c r="AO54" i="24"/>
  <c r="AF55" i="24"/>
  <c r="AG55" i="24"/>
  <c r="AH55" i="24"/>
  <c r="AI55" i="24"/>
  <c r="AJ55" i="24"/>
  <c r="AK55" i="24"/>
  <c r="AL55" i="24"/>
  <c r="AM55" i="24"/>
  <c r="AN55" i="24"/>
  <c r="AO55" i="24"/>
  <c r="AF56" i="24"/>
  <c r="AG56" i="24"/>
  <c r="AH56" i="24"/>
  <c r="AI56" i="24"/>
  <c r="AJ56" i="24"/>
  <c r="AK56" i="24"/>
  <c r="AL56" i="24"/>
  <c r="AM56" i="24"/>
  <c r="AN56" i="24"/>
  <c r="AO56" i="24"/>
  <c r="AF57" i="24"/>
  <c r="AG57" i="24"/>
  <c r="AH57" i="24"/>
  <c r="AI57" i="24"/>
  <c r="AJ57" i="24"/>
  <c r="AK57" i="24"/>
  <c r="AL57" i="24"/>
  <c r="AM57" i="24"/>
  <c r="AN57" i="24"/>
  <c r="AO57" i="24"/>
  <c r="AF58" i="24"/>
  <c r="AG58" i="24"/>
  <c r="AH58" i="24"/>
  <c r="AI58" i="24"/>
  <c r="AJ58" i="24"/>
  <c r="AK58" i="24"/>
  <c r="AL58" i="24"/>
  <c r="AM58" i="24"/>
  <c r="AN58" i="24"/>
  <c r="AO58" i="24"/>
  <c r="AF59" i="24"/>
  <c r="AG59" i="24"/>
  <c r="AH59" i="24"/>
  <c r="AI59" i="24"/>
  <c r="AJ59" i="24"/>
  <c r="AK59" i="24"/>
  <c r="AL59" i="24"/>
  <c r="AM59" i="24"/>
  <c r="AN59" i="24"/>
  <c r="AO59" i="24"/>
  <c r="AF60" i="24"/>
  <c r="AG60" i="24"/>
  <c r="AH60" i="24"/>
  <c r="AI60" i="24"/>
  <c r="AJ60" i="24"/>
  <c r="AK60" i="24"/>
  <c r="AL60" i="24"/>
  <c r="AM60" i="24"/>
  <c r="AN60" i="24"/>
  <c r="AO60" i="24"/>
  <c r="AF61" i="24"/>
  <c r="AG61" i="24"/>
  <c r="AH61" i="24"/>
  <c r="AI61" i="24"/>
  <c r="AJ61" i="24"/>
  <c r="AK61" i="24"/>
  <c r="AL61" i="24"/>
  <c r="AM61" i="24"/>
  <c r="AN61" i="24"/>
  <c r="AO61" i="24"/>
  <c r="AF62" i="24"/>
  <c r="AG62" i="24"/>
  <c r="AH62" i="24"/>
  <c r="AI62" i="24"/>
  <c r="AJ62" i="24"/>
  <c r="AK62" i="24"/>
  <c r="AL62" i="24"/>
  <c r="AM62" i="24"/>
  <c r="AN62" i="24"/>
  <c r="AO62" i="24"/>
  <c r="AF63" i="24"/>
  <c r="AG63" i="24"/>
  <c r="AH63" i="24"/>
  <c r="AI63" i="24"/>
  <c r="AJ63" i="24"/>
  <c r="AK63" i="24"/>
  <c r="AL63" i="24"/>
  <c r="AM63" i="24"/>
  <c r="AN63" i="24"/>
  <c r="AO63" i="24"/>
  <c r="AF64" i="24"/>
  <c r="AG64" i="24"/>
  <c r="AH64" i="24"/>
  <c r="AI64" i="24"/>
  <c r="AJ64" i="24"/>
  <c r="AK64" i="24"/>
  <c r="AL64" i="24"/>
  <c r="AM64" i="24"/>
  <c r="AN64" i="24"/>
  <c r="AO64" i="24"/>
  <c r="AO65" i="24"/>
  <c r="AD32" i="24"/>
  <c r="AD33" i="24"/>
  <c r="AD34" i="24"/>
  <c r="AD35" i="24"/>
  <c r="AD36" i="24"/>
  <c r="AD37" i="24"/>
  <c r="AD38" i="24"/>
  <c r="AD39" i="24"/>
  <c r="AD40" i="24"/>
  <c r="AD41" i="24"/>
  <c r="AD42" i="24"/>
  <c r="AD44" i="24"/>
  <c r="AD45" i="24"/>
  <c r="AD46" i="24"/>
  <c r="AD47" i="24"/>
  <c r="AD48" i="24"/>
  <c r="AD49" i="24"/>
  <c r="AD50" i="24"/>
  <c r="AD51" i="24"/>
  <c r="AD52" i="24"/>
  <c r="AD53" i="24"/>
  <c r="AD54" i="24"/>
  <c r="AD55" i="24"/>
  <c r="AD56" i="24"/>
  <c r="AD57" i="24"/>
  <c r="AD58" i="24"/>
  <c r="AD59" i="24"/>
  <c r="AD60" i="24"/>
  <c r="AD61" i="24"/>
  <c r="AD62" i="24"/>
  <c r="AD63" i="24"/>
  <c r="AD64" i="24"/>
  <c r="AF65" i="24"/>
  <c r="AG65" i="24"/>
  <c r="AH65" i="24"/>
  <c r="AI65" i="24"/>
  <c r="AJ65" i="24"/>
  <c r="AK65" i="24"/>
  <c r="AL65" i="24"/>
  <c r="AM65" i="24"/>
  <c r="AN65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D27" i="24"/>
  <c r="AD28" i="24"/>
  <c r="AD29" i="24"/>
  <c r="AD30" i="24"/>
  <c r="AD31" i="24"/>
  <c r="AD4" i="24"/>
  <c r="AD65" i="24"/>
  <c r="O1" i="23"/>
  <c r="F12" i="22"/>
  <c r="O3" i="6"/>
  <c r="AW47" i="22" l="1"/>
  <c r="R48" i="22" l="1"/>
  <c r="S48" i="22"/>
  <c r="T48" i="22"/>
  <c r="U48" i="22"/>
  <c r="V48" i="22"/>
  <c r="W48" i="22"/>
  <c r="X48" i="22"/>
  <c r="Q48" i="22"/>
  <c r="AA48" i="22" l="1"/>
  <c r="AB48" i="22"/>
  <c r="AC48" i="22"/>
  <c r="AD48" i="22"/>
  <c r="AE48" i="22"/>
  <c r="AF48" i="22"/>
  <c r="AG48" i="22"/>
  <c r="Z48" i="22"/>
  <c r="C48" i="22"/>
  <c r="B49" i="22"/>
  <c r="M6" i="21"/>
  <c r="N6" i="21"/>
  <c r="S6" i="21"/>
  <c r="U6" i="21"/>
  <c r="V6" i="21"/>
  <c r="X6" i="21"/>
  <c r="Y6" i="21"/>
  <c r="Z6" i="21"/>
  <c r="S4" i="21"/>
  <c r="U4" i="21"/>
  <c r="V4" i="21"/>
  <c r="X4" i="21"/>
  <c r="Y4" i="21"/>
  <c r="Z4" i="21"/>
  <c r="S5" i="21"/>
  <c r="U5" i="21"/>
  <c r="V5" i="21"/>
  <c r="X5" i="21"/>
  <c r="Y5" i="21"/>
  <c r="Z5" i="21"/>
  <c r="Z3" i="21"/>
  <c r="Y3" i="21"/>
  <c r="X3" i="21"/>
  <c r="V3" i="21"/>
  <c r="U3" i="21"/>
  <c r="L32" i="21"/>
  <c r="K32" i="21"/>
  <c r="L1" i="21"/>
  <c r="K1" i="21"/>
  <c r="N5" i="21"/>
  <c r="M5" i="21"/>
  <c r="N4" i="21"/>
  <c r="M4" i="21"/>
  <c r="S3" i="21"/>
  <c r="Q3" i="21"/>
  <c r="O3" i="21"/>
  <c r="N3" i="21"/>
  <c r="M3" i="21"/>
  <c r="C49" i="22" l="1"/>
  <c r="J49" i="22" s="1"/>
  <c r="U49" i="22"/>
  <c r="AD49" i="22"/>
  <c r="V49" i="22"/>
  <c r="AE49" i="22"/>
  <c r="W49" i="22"/>
  <c r="AF49" i="22"/>
  <c r="Q49" i="22"/>
  <c r="AC49" i="22"/>
  <c r="X49" i="22"/>
  <c r="AG49" i="22"/>
  <c r="R49" i="22"/>
  <c r="T49" i="22"/>
  <c r="Z49" i="22"/>
  <c r="AA49" i="22"/>
  <c r="S49" i="22"/>
  <c r="AB49" i="22"/>
  <c r="T3" i="21"/>
  <c r="W3" i="21"/>
  <c r="O1" i="12"/>
  <c r="E49" i="22" l="1"/>
  <c r="M49" i="22"/>
  <c r="F49" i="22"/>
  <c r="AR49" i="22" s="1"/>
  <c r="D49" i="22"/>
  <c r="K49" i="22"/>
  <c r="G49" i="22"/>
  <c r="H49" i="22"/>
  <c r="I49" i="22"/>
  <c r="N49" i="22"/>
  <c r="P3" i="21"/>
  <c r="O4" i="21" s="1"/>
  <c r="W4" i="21" s="1"/>
  <c r="R3" i="21"/>
  <c r="Q4" i="21" s="1"/>
  <c r="T4" i="21" s="1"/>
  <c r="AP49" i="22" l="1"/>
  <c r="AQ49" i="22"/>
  <c r="AU49" i="22"/>
  <c r="AS49" i="22"/>
  <c r="AV49" i="22"/>
  <c r="L49" i="22"/>
  <c r="AT49" i="22" s="1"/>
  <c r="R4" i="21"/>
  <c r="Q5" i="21" s="1"/>
  <c r="P4" i="21"/>
  <c r="O5" i="21" s="1"/>
  <c r="S93" i="1"/>
  <c r="R93" i="1"/>
  <c r="Q93" i="1"/>
  <c r="P93" i="1"/>
  <c r="O93" i="1"/>
  <c r="N93" i="1"/>
  <c r="M93" i="1"/>
  <c r="S92" i="1"/>
  <c r="R92" i="1"/>
  <c r="Q92" i="1"/>
  <c r="P92" i="1"/>
  <c r="O92" i="1"/>
  <c r="N92" i="1"/>
  <c r="M92" i="1"/>
  <c r="S91" i="1"/>
  <c r="R91" i="1"/>
  <c r="Q91" i="1"/>
  <c r="P91" i="1"/>
  <c r="O91" i="1"/>
  <c r="N91" i="1"/>
  <c r="M91" i="1"/>
  <c r="S90" i="1"/>
  <c r="R90" i="1"/>
  <c r="Q90" i="1"/>
  <c r="P90" i="1"/>
  <c r="O90" i="1"/>
  <c r="N90" i="1"/>
  <c r="M90" i="1"/>
  <c r="S89" i="1"/>
  <c r="R89" i="1"/>
  <c r="Q89" i="1"/>
  <c r="P89" i="1"/>
  <c r="O89" i="1"/>
  <c r="N89" i="1"/>
  <c r="M89" i="1"/>
  <c r="S88" i="1"/>
  <c r="R88" i="1"/>
  <c r="Q88" i="1"/>
  <c r="P88" i="1"/>
  <c r="O88" i="1"/>
  <c r="N88" i="1"/>
  <c r="M88" i="1"/>
  <c r="L88" i="1"/>
  <c r="D46" i="3"/>
  <c r="A46" i="3"/>
  <c r="D51" i="3"/>
  <c r="W5" i="21" l="1"/>
  <c r="P5" i="21" s="1"/>
  <c r="O6" i="21" s="1"/>
  <c r="W6" i="21" s="1"/>
  <c r="P6" i="21" s="1"/>
  <c r="T5" i="21"/>
  <c r="R5" i="21" s="1"/>
  <c r="Q6" i="21" s="1"/>
  <c r="T6" i="21" s="1"/>
  <c r="R6" i="21" s="1"/>
  <c r="N3" i="6" l="1"/>
  <c r="Q3" i="6"/>
  <c r="P3" i="6"/>
  <c r="R3" i="6"/>
  <c r="S3" i="6"/>
  <c r="T3" i="6"/>
  <c r="U3" i="6"/>
  <c r="G41" i="6"/>
  <c r="O41" i="6"/>
  <c r="P41" i="6" s="1"/>
  <c r="G42" i="6" l="1"/>
  <c r="W42" i="6" s="1"/>
  <c r="W41" i="6"/>
  <c r="Q41" i="6"/>
  <c r="O42" i="6"/>
  <c r="H41" i="6"/>
  <c r="A4" i="3"/>
  <c r="A5" i="3" s="1"/>
  <c r="G43" i="6" l="1"/>
  <c r="W43" i="6" s="1"/>
  <c r="H42" i="6"/>
  <c r="U42" i="6" s="1"/>
  <c r="V42" i="6"/>
  <c r="I41" i="6"/>
  <c r="M41" i="6" s="1"/>
  <c r="X41" i="6"/>
  <c r="V41" i="6"/>
  <c r="S41" i="6"/>
  <c r="U41" i="6"/>
  <c r="T41" i="6"/>
  <c r="O43" i="6"/>
  <c r="P42" i="6"/>
  <c r="Q42" i="6" s="1"/>
  <c r="D4" i="3"/>
  <c r="D5" i="3"/>
  <c r="D3" i="3"/>
  <c r="T42" i="6" l="1"/>
  <c r="S42" i="6"/>
  <c r="X42" i="6"/>
  <c r="I42" i="6"/>
  <c r="M42" i="6" s="1"/>
  <c r="H43" i="6"/>
  <c r="X43" i="6" s="1"/>
  <c r="G44" i="6"/>
  <c r="W44" i="6" s="1"/>
  <c r="L41" i="6"/>
  <c r="P43" i="6"/>
  <c r="Q43" i="6" s="1"/>
  <c r="O44" i="6"/>
  <c r="L2" i="1"/>
  <c r="H44" i="6" l="1"/>
  <c r="X44" i="6" s="1"/>
  <c r="G45" i="6"/>
  <c r="W45" i="6" s="1"/>
  <c r="L42" i="6"/>
  <c r="T43" i="6"/>
  <c r="V43" i="6"/>
  <c r="S43" i="6"/>
  <c r="U43" i="6"/>
  <c r="I43" i="6"/>
  <c r="M43" i="6" s="1"/>
  <c r="O45" i="6"/>
  <c r="P44" i="6"/>
  <c r="Q44" i="6" s="1"/>
  <c r="H45" i="6"/>
  <c r="L4" i="3"/>
  <c r="M4" i="3"/>
  <c r="N4" i="3"/>
  <c r="O4" i="3"/>
  <c r="W4" i="3"/>
  <c r="X4" i="3"/>
  <c r="Z4" i="3"/>
  <c r="AA4" i="3"/>
  <c r="AB4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X3" i="3"/>
  <c r="G46" i="6" l="1"/>
  <c r="W46" i="6" s="1"/>
  <c r="I44" i="6"/>
  <c r="L44" i="6" s="1"/>
  <c r="U44" i="6"/>
  <c r="T44" i="6"/>
  <c r="V44" i="6"/>
  <c r="S44" i="6"/>
  <c r="L43" i="6"/>
  <c r="I45" i="6"/>
  <c r="S45" i="6"/>
  <c r="T45" i="6"/>
  <c r="U45" i="6"/>
  <c r="V45" i="6"/>
  <c r="X45" i="6"/>
  <c r="O46" i="6"/>
  <c r="P45" i="6"/>
  <c r="Q45" i="6" s="1"/>
  <c r="T4" i="3"/>
  <c r="G47" i="6" l="1"/>
  <c r="W47" i="6" s="1"/>
  <c r="H46" i="6"/>
  <c r="M44" i="6"/>
  <c r="I46" i="6"/>
  <c r="X46" i="6"/>
  <c r="V46" i="6"/>
  <c r="S46" i="6"/>
  <c r="T46" i="6"/>
  <c r="U46" i="6"/>
  <c r="L45" i="6"/>
  <c r="M45" i="6"/>
  <c r="O47" i="6"/>
  <c r="P46" i="6"/>
  <c r="Q46" i="6" s="1"/>
  <c r="AB3" i="3"/>
  <c r="AA3" i="3"/>
  <c r="Z3" i="3"/>
  <c r="W3" i="3"/>
  <c r="R3" i="3"/>
  <c r="O3" i="3"/>
  <c r="U3" i="3" s="1"/>
  <c r="G48" i="6" l="1"/>
  <c r="W48" i="6" s="1"/>
  <c r="H47" i="6"/>
  <c r="I47" i="6"/>
  <c r="U47" i="6"/>
  <c r="S47" i="6"/>
  <c r="V47" i="6"/>
  <c r="T47" i="6"/>
  <c r="X47" i="6"/>
  <c r="M46" i="6"/>
  <c r="L46" i="6"/>
  <c r="P47" i="6"/>
  <c r="Q47" i="6" s="1"/>
  <c r="O48" i="6"/>
  <c r="U4" i="3"/>
  <c r="Y4" i="3"/>
  <c r="P4" i="3" s="1"/>
  <c r="Q4" i="3" s="1"/>
  <c r="T3" i="3"/>
  <c r="F5" i="3"/>
  <c r="H48" i="6" l="1"/>
  <c r="I48" i="6" s="1"/>
  <c r="G49" i="6"/>
  <c r="W49" i="6" s="1"/>
  <c r="L47" i="6"/>
  <c r="M47" i="6"/>
  <c r="P48" i="6"/>
  <c r="Q48" i="6" s="1"/>
  <c r="O49" i="6"/>
  <c r="G50" i="6"/>
  <c r="W50" i="6" s="1"/>
  <c r="H49" i="6"/>
  <c r="U48" i="6" l="1"/>
  <c r="S48" i="6"/>
  <c r="V48" i="6"/>
  <c r="T48" i="6"/>
  <c r="X48" i="6"/>
  <c r="I49" i="6"/>
  <c r="U49" i="6"/>
  <c r="V49" i="6"/>
  <c r="S49" i="6"/>
  <c r="X49" i="6"/>
  <c r="T49" i="6"/>
  <c r="L48" i="6"/>
  <c r="M48" i="6"/>
  <c r="O50" i="6"/>
  <c r="P49" i="6"/>
  <c r="Q49" i="6" s="1"/>
  <c r="G51" i="6"/>
  <c r="W51" i="6" s="1"/>
  <c r="H50" i="6"/>
  <c r="N3" i="3"/>
  <c r="I50" i="6" l="1"/>
  <c r="X50" i="6"/>
  <c r="U50" i="6"/>
  <c r="V50" i="6"/>
  <c r="S50" i="6"/>
  <c r="T50" i="6"/>
  <c r="L49" i="6"/>
  <c r="M49" i="6"/>
  <c r="O51" i="6"/>
  <c r="P50" i="6"/>
  <c r="Q50" i="6" s="1"/>
  <c r="H51" i="6"/>
  <c r="G52" i="6"/>
  <c r="W52" i="6" s="1"/>
  <c r="Y3" i="3"/>
  <c r="V3" i="3"/>
  <c r="S3" i="3" s="1"/>
  <c r="I51" i="6" l="1"/>
  <c r="U51" i="6"/>
  <c r="T51" i="6"/>
  <c r="V51" i="6"/>
  <c r="S51" i="6"/>
  <c r="X51" i="6"/>
  <c r="L50" i="6"/>
  <c r="M50" i="6"/>
  <c r="P51" i="6"/>
  <c r="Q51" i="6" s="1"/>
  <c r="O52" i="6"/>
  <c r="H52" i="6"/>
  <c r="G53" i="6"/>
  <c r="W53" i="6" s="1"/>
  <c r="S2" i="1"/>
  <c r="R2" i="1"/>
  <c r="Q2" i="1"/>
  <c r="P2" i="1"/>
  <c r="O2" i="1"/>
  <c r="N2" i="1"/>
  <c r="M2" i="1"/>
  <c r="P3" i="3"/>
  <c r="Q3" i="3" s="1"/>
  <c r="L3" i="3" s="1"/>
  <c r="M3" i="3" s="1"/>
  <c r="I52" i="6" l="1"/>
  <c r="X52" i="6"/>
  <c r="V52" i="6"/>
  <c r="S52" i="6"/>
  <c r="T52" i="6"/>
  <c r="U52" i="6"/>
  <c r="L51" i="6"/>
  <c r="M51" i="6"/>
  <c r="O53" i="6"/>
  <c r="P52" i="6"/>
  <c r="Q52" i="6" s="1"/>
  <c r="H53" i="6"/>
  <c r="G54" i="6"/>
  <c r="W54" i="6" s="1"/>
  <c r="F4" i="3"/>
  <c r="R4" i="3" s="1"/>
  <c r="V4" i="3" s="1"/>
  <c r="S4" i="3" s="1"/>
  <c r="I53" i="6" l="1"/>
  <c r="S53" i="6"/>
  <c r="T53" i="6"/>
  <c r="U53" i="6"/>
  <c r="V53" i="6"/>
  <c r="X53" i="6"/>
  <c r="L52" i="6"/>
  <c r="M52" i="6"/>
  <c r="O54" i="6"/>
  <c r="P53" i="6"/>
  <c r="Q53" i="6" s="1"/>
  <c r="H54" i="6"/>
  <c r="G55" i="6"/>
  <c r="W55" i="6" s="1"/>
  <c r="I54" i="6" l="1"/>
  <c r="X54" i="6"/>
  <c r="S54" i="6"/>
  <c r="T54" i="6"/>
  <c r="U54" i="6"/>
  <c r="V54" i="6"/>
  <c r="L53" i="6"/>
  <c r="M53" i="6"/>
  <c r="P54" i="6"/>
  <c r="Q54" i="6" s="1"/>
  <c r="O55" i="6"/>
  <c r="H55" i="6"/>
  <c r="G56" i="6"/>
  <c r="W56" i="6" s="1"/>
  <c r="I55" i="6" l="1"/>
  <c r="U55" i="6"/>
  <c r="S55" i="6"/>
  <c r="V55" i="6"/>
  <c r="T55" i="6"/>
  <c r="X55" i="6"/>
  <c r="L54" i="6"/>
  <c r="M54" i="6"/>
  <c r="P55" i="6"/>
  <c r="Q55" i="6" s="1"/>
  <c r="O56" i="6"/>
  <c r="G57" i="6"/>
  <c r="W57" i="6" s="1"/>
  <c r="H56" i="6"/>
  <c r="I56" i="6" l="1"/>
  <c r="X56" i="6"/>
  <c r="V56" i="6"/>
  <c r="S56" i="6"/>
  <c r="T56" i="6"/>
  <c r="U56" i="6"/>
  <c r="L55" i="6"/>
  <c r="M55" i="6"/>
  <c r="P56" i="6"/>
  <c r="Q56" i="6" s="1"/>
  <c r="O57" i="6"/>
  <c r="G58" i="6"/>
  <c r="W58" i="6" s="1"/>
  <c r="H57" i="6"/>
  <c r="I57" i="6" l="1"/>
  <c r="U57" i="6"/>
  <c r="V57" i="6"/>
  <c r="S57" i="6"/>
  <c r="X57" i="6"/>
  <c r="T57" i="6"/>
  <c r="L56" i="6"/>
  <c r="M56" i="6"/>
  <c r="O58" i="6"/>
  <c r="P57" i="6"/>
  <c r="Q57" i="6" s="1"/>
  <c r="G59" i="6"/>
  <c r="W59" i="6" s="1"/>
  <c r="H58" i="6"/>
  <c r="I58" i="6" l="1"/>
  <c r="X58" i="6"/>
  <c r="S58" i="6"/>
  <c r="T58" i="6"/>
  <c r="V58" i="6"/>
  <c r="U58" i="6"/>
  <c r="L57" i="6"/>
  <c r="M57" i="6"/>
  <c r="O59" i="6"/>
  <c r="P58" i="6"/>
  <c r="Q58" i="6" s="1"/>
  <c r="G60" i="6"/>
  <c r="W60" i="6" s="1"/>
  <c r="H59" i="6"/>
  <c r="I59" i="6" l="1"/>
  <c r="U59" i="6"/>
  <c r="V59" i="6"/>
  <c r="T59" i="6"/>
  <c r="S59" i="6"/>
  <c r="X59" i="6"/>
  <c r="L58" i="6"/>
  <c r="M58" i="6"/>
  <c r="P59" i="6"/>
  <c r="Q59" i="6" s="1"/>
  <c r="O60" i="6"/>
  <c r="G61" i="6"/>
  <c r="W61" i="6" s="1"/>
  <c r="H60" i="6"/>
  <c r="I60" i="6" l="1"/>
  <c r="X60" i="6"/>
  <c r="T60" i="6"/>
  <c r="U60" i="6"/>
  <c r="V60" i="6"/>
  <c r="S60" i="6"/>
  <c r="L59" i="6"/>
  <c r="M59" i="6"/>
  <c r="O61" i="6"/>
  <c r="P60" i="6"/>
  <c r="Q60" i="6" s="1"/>
  <c r="G62" i="6"/>
  <c r="W62" i="6" s="1"/>
  <c r="H61" i="6"/>
  <c r="I61" i="6" l="1"/>
  <c r="S61" i="6"/>
  <c r="T61" i="6"/>
  <c r="U61" i="6"/>
  <c r="V61" i="6"/>
  <c r="X61" i="6"/>
  <c r="L60" i="6"/>
  <c r="M60" i="6"/>
  <c r="O62" i="6"/>
  <c r="P61" i="6"/>
  <c r="Q61" i="6" s="1"/>
  <c r="G63" i="6"/>
  <c r="W63" i="6" s="1"/>
  <c r="H62" i="6"/>
  <c r="I62" i="6" l="1"/>
  <c r="X62" i="6"/>
  <c r="S62" i="6"/>
  <c r="T62" i="6"/>
  <c r="V62" i="6"/>
  <c r="U62" i="6"/>
  <c r="L61" i="6"/>
  <c r="M61" i="6"/>
  <c r="P62" i="6"/>
  <c r="Q62" i="6" s="1"/>
  <c r="O63" i="6"/>
  <c r="H63" i="6"/>
  <c r="G64" i="6"/>
  <c r="W64" i="6" s="1"/>
  <c r="I63" i="6" l="1"/>
  <c r="U63" i="6"/>
  <c r="S63" i="6"/>
  <c r="V63" i="6"/>
  <c r="T63" i="6"/>
  <c r="X63" i="6"/>
  <c r="L62" i="6"/>
  <c r="M62" i="6"/>
  <c r="P63" i="6"/>
  <c r="Q63" i="6" s="1"/>
  <c r="O64" i="6"/>
  <c r="G65" i="6"/>
  <c r="W65" i="6" s="1"/>
  <c r="H64" i="6"/>
  <c r="I64" i="6" l="1"/>
  <c r="X64" i="6"/>
  <c r="V64" i="6"/>
  <c r="U64" i="6"/>
  <c r="S64" i="6"/>
  <c r="T64" i="6"/>
  <c r="L63" i="6"/>
  <c r="M63" i="6"/>
  <c r="P64" i="6"/>
  <c r="Q64" i="6" s="1"/>
  <c r="O65" i="6"/>
  <c r="G66" i="6"/>
  <c r="W66" i="6" s="1"/>
  <c r="H65" i="6"/>
  <c r="I65" i="6" l="1"/>
  <c r="U65" i="6"/>
  <c r="V65" i="6"/>
  <c r="S65" i="6"/>
  <c r="X65" i="6"/>
  <c r="T65" i="6"/>
  <c r="L64" i="6"/>
  <c r="M64" i="6"/>
  <c r="O66" i="6"/>
  <c r="P65" i="6"/>
  <c r="Q65" i="6" s="1"/>
  <c r="G67" i="6"/>
  <c r="W67" i="6" s="1"/>
  <c r="H66" i="6"/>
  <c r="I66" i="6" l="1"/>
  <c r="X66" i="6"/>
  <c r="U66" i="6"/>
  <c r="T66" i="6"/>
  <c r="V66" i="6"/>
  <c r="S66" i="6"/>
  <c r="L65" i="6"/>
  <c r="M65" i="6"/>
  <c r="O67" i="6"/>
  <c r="P66" i="6"/>
  <c r="Q66" i="6" s="1"/>
  <c r="G68" i="6"/>
  <c r="W68" i="6" s="1"/>
  <c r="H67" i="6"/>
  <c r="I67" i="6" l="1"/>
  <c r="U67" i="6"/>
  <c r="S67" i="6"/>
  <c r="V67" i="6"/>
  <c r="X67" i="6"/>
  <c r="T67" i="6"/>
  <c r="L66" i="6"/>
  <c r="M66" i="6"/>
  <c r="P67" i="6"/>
  <c r="Q67" i="6" s="1"/>
  <c r="O68" i="6"/>
  <c r="H68" i="6"/>
  <c r="G69" i="6"/>
  <c r="W69" i="6" s="1"/>
  <c r="I68" i="6" l="1"/>
  <c r="X68" i="6"/>
  <c r="U68" i="6"/>
  <c r="V68" i="6"/>
  <c r="T68" i="6"/>
  <c r="S68" i="6"/>
  <c r="L67" i="6"/>
  <c r="M67" i="6"/>
  <c r="O69" i="6"/>
  <c r="P68" i="6"/>
  <c r="Q68" i="6" s="1"/>
  <c r="H69" i="6"/>
  <c r="G70" i="6"/>
  <c r="W70" i="6" s="1"/>
  <c r="I69" i="6" l="1"/>
  <c r="S69" i="6"/>
  <c r="T69" i="6"/>
  <c r="U69" i="6"/>
  <c r="V69" i="6"/>
  <c r="X69" i="6"/>
  <c r="L68" i="6"/>
  <c r="M68" i="6"/>
  <c r="O70" i="6"/>
  <c r="P69" i="6"/>
  <c r="Q69" i="6" s="1"/>
  <c r="G71" i="6"/>
  <c r="W71" i="6" s="1"/>
  <c r="H70" i="6"/>
  <c r="I70" i="6" l="1"/>
  <c r="X70" i="6"/>
  <c r="S70" i="6"/>
  <c r="T70" i="6"/>
  <c r="V70" i="6"/>
  <c r="U70" i="6"/>
  <c r="L69" i="6"/>
  <c r="M69" i="6"/>
  <c r="O71" i="6"/>
  <c r="P70" i="6"/>
  <c r="Q70" i="6" s="1"/>
  <c r="H71" i="6"/>
  <c r="G72" i="6"/>
  <c r="W72" i="6" s="1"/>
  <c r="I71" i="6" l="1"/>
  <c r="U71" i="6"/>
  <c r="S71" i="6"/>
  <c r="V71" i="6"/>
  <c r="T71" i="6"/>
  <c r="X71" i="6"/>
  <c r="L70" i="6"/>
  <c r="M70" i="6"/>
  <c r="O72" i="6"/>
  <c r="P71" i="6"/>
  <c r="Q71" i="6" s="1"/>
  <c r="G73" i="6"/>
  <c r="W73" i="6" s="1"/>
  <c r="H72" i="6"/>
  <c r="I72" i="6" l="1"/>
  <c r="X72" i="6"/>
  <c r="V72" i="6"/>
  <c r="U72" i="6"/>
  <c r="S72" i="6"/>
  <c r="T72" i="6"/>
  <c r="L71" i="6"/>
  <c r="M71" i="6"/>
  <c r="P72" i="6"/>
  <c r="Q72" i="6" s="1"/>
  <c r="O73" i="6"/>
  <c r="G74" i="6"/>
  <c r="W74" i="6" s="1"/>
  <c r="H73" i="6"/>
  <c r="I73" i="6" l="1"/>
  <c r="U73" i="6"/>
  <c r="V73" i="6"/>
  <c r="S73" i="6"/>
  <c r="X73" i="6"/>
  <c r="T73" i="6"/>
  <c r="L72" i="6"/>
  <c r="M72" i="6"/>
  <c r="P73" i="6"/>
  <c r="Q73" i="6" s="1"/>
  <c r="O74" i="6"/>
  <c r="G75" i="6"/>
  <c r="W75" i="6" s="1"/>
  <c r="H74" i="6"/>
  <c r="I74" i="6" l="1"/>
  <c r="X74" i="6"/>
  <c r="T74" i="6"/>
  <c r="S74" i="6"/>
  <c r="U74" i="6"/>
  <c r="V74" i="6"/>
  <c r="L73" i="6"/>
  <c r="M73" i="6"/>
  <c r="O75" i="6"/>
  <c r="P74" i="6"/>
  <c r="Q74" i="6" s="1"/>
  <c r="G76" i="6"/>
  <c r="W76" i="6" s="1"/>
  <c r="H75" i="6"/>
  <c r="I75" i="6" l="1"/>
  <c r="U75" i="6"/>
  <c r="V75" i="6"/>
  <c r="S75" i="6"/>
  <c r="T75" i="6"/>
  <c r="X75" i="6"/>
  <c r="L74" i="6"/>
  <c r="M74" i="6"/>
  <c r="P75" i="6"/>
  <c r="Q75" i="6" s="1"/>
  <c r="O76" i="6"/>
  <c r="H76" i="6"/>
  <c r="G77" i="6"/>
  <c r="W77" i="6" s="1"/>
  <c r="I76" i="6" l="1"/>
  <c r="X76" i="6"/>
  <c r="S76" i="6"/>
  <c r="V76" i="6"/>
  <c r="U76" i="6"/>
  <c r="T76" i="6"/>
  <c r="L75" i="6"/>
  <c r="M75" i="6"/>
  <c r="P76" i="6"/>
  <c r="Q76" i="6" s="1"/>
  <c r="O77" i="6"/>
  <c r="H77" i="6"/>
  <c r="G78" i="6"/>
  <c r="W78" i="6" s="1"/>
  <c r="I77" i="6" l="1"/>
  <c r="S77" i="6"/>
  <c r="T77" i="6"/>
  <c r="U77" i="6"/>
  <c r="V77" i="6"/>
  <c r="X77" i="6"/>
  <c r="L76" i="6"/>
  <c r="M76" i="6"/>
  <c r="O78" i="6"/>
  <c r="P77" i="6"/>
  <c r="Q77" i="6" s="1"/>
  <c r="G79" i="6"/>
  <c r="W79" i="6" s="1"/>
  <c r="H78" i="6"/>
  <c r="I78" i="6" l="1"/>
  <c r="X78" i="6"/>
  <c r="S78" i="6"/>
  <c r="T78" i="6"/>
  <c r="U78" i="6"/>
  <c r="V78" i="6"/>
  <c r="L77" i="6"/>
  <c r="M77" i="6"/>
  <c r="O79" i="6"/>
  <c r="P78" i="6"/>
  <c r="Q78" i="6" s="1"/>
  <c r="H79" i="6"/>
  <c r="G80" i="6"/>
  <c r="H80" i="6" l="1"/>
  <c r="I80" i="6" s="1"/>
  <c r="W80" i="6"/>
  <c r="I79" i="6"/>
  <c r="U79" i="6"/>
  <c r="S79" i="6"/>
  <c r="V79" i="6"/>
  <c r="T79" i="6"/>
  <c r="X79" i="6"/>
  <c r="L78" i="6"/>
  <c r="M78" i="6"/>
  <c r="P79" i="6"/>
  <c r="Q79" i="6" s="1"/>
  <c r="O80" i="6"/>
  <c r="P80" i="6" s="1"/>
  <c r="Q80" i="6" s="1"/>
  <c r="V80" i="6" l="1"/>
  <c r="T80" i="6"/>
  <c r="U80" i="6"/>
  <c r="X80" i="6"/>
  <c r="S80" i="6"/>
  <c r="L80" i="6"/>
  <c r="M80" i="6"/>
  <c r="L79" i="6"/>
  <c r="M79" i="6"/>
  <c r="B50" i="22" l="1"/>
  <c r="T50" i="22" l="1"/>
  <c r="AC50" i="22"/>
  <c r="U50" i="22"/>
  <c r="AD50" i="22"/>
  <c r="V50" i="22"/>
  <c r="AE50" i="22"/>
  <c r="Z50" i="22"/>
  <c r="S50" i="22"/>
  <c r="W50" i="22"/>
  <c r="AF50" i="22"/>
  <c r="Q50" i="22"/>
  <c r="AB50" i="22"/>
  <c r="X50" i="22"/>
  <c r="AG50" i="22"/>
  <c r="R50" i="22"/>
  <c r="AA50" i="22"/>
  <c r="C50" i="22"/>
  <c r="D50" i="22" s="1"/>
  <c r="B51" i="22"/>
  <c r="M50" i="22" l="1"/>
  <c r="T51" i="22"/>
  <c r="AC51" i="22"/>
  <c r="AD51" i="22"/>
  <c r="U51" i="22"/>
  <c r="V51" i="22"/>
  <c r="AE51" i="22"/>
  <c r="Q51" i="22"/>
  <c r="W51" i="22"/>
  <c r="AF51" i="22"/>
  <c r="AG51" i="22"/>
  <c r="X51" i="22"/>
  <c r="Z51" i="22"/>
  <c r="S51" i="22"/>
  <c r="R51" i="22"/>
  <c r="AA51" i="22"/>
  <c r="AB51" i="22"/>
  <c r="J50" i="22"/>
  <c r="I50" i="22"/>
  <c r="K50" i="22"/>
  <c r="H50" i="22"/>
  <c r="E50" i="22"/>
  <c r="C51" i="22"/>
  <c r="D51" i="22" s="1"/>
  <c r="F50" i="22"/>
  <c r="G50" i="22"/>
  <c r="N50" i="22"/>
  <c r="B52" i="22"/>
  <c r="B53" i="22" s="1"/>
  <c r="T53" i="22" l="1"/>
  <c r="AC53" i="22"/>
  <c r="C53" i="22"/>
  <c r="U53" i="22"/>
  <c r="AD53" i="22"/>
  <c r="V53" i="22"/>
  <c r="AE53" i="22"/>
  <c r="W53" i="22"/>
  <c r="AF53" i="22"/>
  <c r="X53" i="22"/>
  <c r="AG53" i="22"/>
  <c r="B54" i="22"/>
  <c r="Q53" i="22"/>
  <c r="Z53" i="22"/>
  <c r="R53" i="22"/>
  <c r="AA53" i="22"/>
  <c r="S53" i="22"/>
  <c r="AB53" i="22"/>
  <c r="L50" i="22"/>
  <c r="AT50" i="22" s="1"/>
  <c r="AP50" i="22"/>
  <c r="AU50" i="22"/>
  <c r="M51" i="22"/>
  <c r="T52" i="22"/>
  <c r="AC52" i="22"/>
  <c r="U52" i="22"/>
  <c r="V52" i="22"/>
  <c r="AE52" i="22"/>
  <c r="AG52" i="22"/>
  <c r="W52" i="22"/>
  <c r="AF52" i="22"/>
  <c r="X52" i="22"/>
  <c r="Z52" i="22"/>
  <c r="Q52" i="22"/>
  <c r="AD52" i="22"/>
  <c r="AB52" i="22"/>
  <c r="R52" i="22"/>
  <c r="AA52" i="22"/>
  <c r="S52" i="22"/>
  <c r="J51" i="22"/>
  <c r="G51" i="22"/>
  <c r="I51" i="22"/>
  <c r="E51" i="22"/>
  <c r="AV50" i="22"/>
  <c r="AR50" i="22"/>
  <c r="K51" i="22"/>
  <c r="F51" i="22"/>
  <c r="AS50" i="22"/>
  <c r="AQ50" i="22"/>
  <c r="H51" i="22"/>
  <c r="C52" i="22"/>
  <c r="F52" i="22" s="1"/>
  <c r="N51" i="22"/>
  <c r="N53" i="22" l="1"/>
  <c r="M53" i="22"/>
  <c r="X54" i="22"/>
  <c r="AG54" i="22"/>
  <c r="B55" i="22"/>
  <c r="Q54" i="22"/>
  <c r="Z54" i="22"/>
  <c r="R54" i="22"/>
  <c r="AA54" i="22"/>
  <c r="S54" i="22"/>
  <c r="AB54" i="22"/>
  <c r="T54" i="22"/>
  <c r="AC54" i="22"/>
  <c r="C54" i="22"/>
  <c r="U54" i="22"/>
  <c r="AD54" i="22"/>
  <c r="V54" i="22"/>
  <c r="AE54" i="22"/>
  <c r="W54" i="22"/>
  <c r="AF54" i="22"/>
  <c r="J53" i="22"/>
  <c r="K53" i="22"/>
  <c r="D53" i="22"/>
  <c r="E53" i="22"/>
  <c r="F53" i="22"/>
  <c r="G53" i="22"/>
  <c r="H53" i="22"/>
  <c r="I53" i="22"/>
  <c r="AU51" i="22"/>
  <c r="L51" i="22"/>
  <c r="AT51" i="22" s="1"/>
  <c r="AP51" i="22"/>
  <c r="M52" i="22"/>
  <c r="AQ51" i="22"/>
  <c r="AR51" i="22"/>
  <c r="AV51" i="22"/>
  <c r="J52" i="22"/>
  <c r="AR52" i="22" s="1"/>
  <c r="AS51" i="22"/>
  <c r="K52" i="22"/>
  <c r="E52" i="22"/>
  <c r="D52" i="22"/>
  <c r="H52" i="22"/>
  <c r="G52" i="22"/>
  <c r="I52" i="22"/>
  <c r="N52" i="22"/>
  <c r="AS53" i="22" l="1"/>
  <c r="L53" i="22"/>
  <c r="AT53" i="22" s="1"/>
  <c r="N54" i="22"/>
  <c r="F54" i="22"/>
  <c r="G54" i="22"/>
  <c r="H54" i="22"/>
  <c r="I54" i="22"/>
  <c r="J54" i="22"/>
  <c r="K54" i="22"/>
  <c r="D54" i="22"/>
  <c r="E54" i="22"/>
  <c r="M54" i="22"/>
  <c r="AV53" i="22"/>
  <c r="AR53" i="22"/>
  <c r="T55" i="22"/>
  <c r="AC55" i="22"/>
  <c r="C55" i="22"/>
  <c r="U55" i="22"/>
  <c r="AD55" i="22"/>
  <c r="V55" i="22"/>
  <c r="AE55" i="22"/>
  <c r="W55" i="22"/>
  <c r="AF55" i="22"/>
  <c r="X55" i="22"/>
  <c r="AG55" i="22"/>
  <c r="B56" i="22"/>
  <c r="Q55" i="22"/>
  <c r="Z55" i="22"/>
  <c r="R55" i="22"/>
  <c r="AA55" i="22"/>
  <c r="S55" i="22"/>
  <c r="AB55" i="22"/>
  <c r="AP53" i="22"/>
  <c r="AU53" i="22"/>
  <c r="AQ53" i="22"/>
  <c r="AU52" i="22"/>
  <c r="L52" i="22"/>
  <c r="AT52" i="22" s="1"/>
  <c r="AQ52" i="22"/>
  <c r="AS52" i="22"/>
  <c r="AP52" i="22"/>
  <c r="AV52" i="22"/>
  <c r="L54" i="22" l="1"/>
  <c r="M55" i="22"/>
  <c r="AS54" i="22"/>
  <c r="J55" i="22"/>
  <c r="K55" i="22"/>
  <c r="D55" i="22"/>
  <c r="E55" i="22"/>
  <c r="F55" i="22"/>
  <c r="G55" i="22"/>
  <c r="H55" i="22"/>
  <c r="I55" i="22"/>
  <c r="AR54" i="22"/>
  <c r="AV54" i="22"/>
  <c r="AQ54" i="22"/>
  <c r="AU54" i="22"/>
  <c r="AP54" i="22"/>
  <c r="AT54" i="22"/>
  <c r="X56" i="22"/>
  <c r="AG56" i="22"/>
  <c r="B57" i="22"/>
  <c r="Q56" i="22"/>
  <c r="Z56" i="22"/>
  <c r="R56" i="22"/>
  <c r="AA56" i="22"/>
  <c r="S56" i="22"/>
  <c r="AB56" i="22"/>
  <c r="T56" i="22"/>
  <c r="AC56" i="22"/>
  <c r="C56" i="22"/>
  <c r="U56" i="22"/>
  <c r="AD56" i="22"/>
  <c r="V56" i="22"/>
  <c r="AE56" i="22"/>
  <c r="AF56" i="22"/>
  <c r="W56" i="22"/>
  <c r="N55" i="22"/>
  <c r="L55" i="22" l="1"/>
  <c r="AT55" i="22" s="1"/>
  <c r="AP55" i="22"/>
  <c r="N56" i="22"/>
  <c r="F56" i="22"/>
  <c r="G56" i="22"/>
  <c r="H56" i="22"/>
  <c r="I56" i="22"/>
  <c r="J56" i="22"/>
  <c r="K56" i="22"/>
  <c r="D56" i="22"/>
  <c r="E56" i="22"/>
  <c r="M56" i="22"/>
  <c r="T57" i="22"/>
  <c r="AC57" i="22"/>
  <c r="C57" i="22"/>
  <c r="U57" i="22"/>
  <c r="AD57" i="22"/>
  <c r="V57" i="22"/>
  <c r="AE57" i="22"/>
  <c r="W57" i="22"/>
  <c r="AF57" i="22"/>
  <c r="X57" i="22"/>
  <c r="AG57" i="22"/>
  <c r="B58" i="22"/>
  <c r="Q57" i="22"/>
  <c r="Z57" i="22"/>
  <c r="R57" i="22"/>
  <c r="AA57" i="22"/>
  <c r="S57" i="22"/>
  <c r="AB57" i="22"/>
  <c r="AS55" i="22"/>
  <c r="AV55" i="22"/>
  <c r="AR55" i="22"/>
  <c r="AU55" i="22"/>
  <c r="AQ55" i="22"/>
  <c r="M57" i="22" l="1"/>
  <c r="AS56" i="22"/>
  <c r="AR56" i="22"/>
  <c r="AV56" i="22"/>
  <c r="J57" i="22"/>
  <c r="K57" i="22"/>
  <c r="D57" i="22"/>
  <c r="E57" i="22"/>
  <c r="F57" i="22"/>
  <c r="G57" i="22"/>
  <c r="H57" i="22"/>
  <c r="I57" i="22"/>
  <c r="AQ56" i="22"/>
  <c r="AU56" i="22"/>
  <c r="AP56" i="22"/>
  <c r="X58" i="22"/>
  <c r="AG58" i="22"/>
  <c r="B59" i="22"/>
  <c r="Q58" i="22"/>
  <c r="Z58" i="22"/>
  <c r="R58" i="22"/>
  <c r="AA58" i="22"/>
  <c r="S58" i="22"/>
  <c r="AB58" i="22"/>
  <c r="T58" i="22"/>
  <c r="AC58" i="22"/>
  <c r="C58" i="22"/>
  <c r="U58" i="22"/>
  <c r="AD58" i="22"/>
  <c r="V58" i="22"/>
  <c r="AE58" i="22"/>
  <c r="W58" i="22"/>
  <c r="AF58" i="22"/>
  <c r="L56" i="22"/>
  <c r="AT56" i="22" s="1"/>
  <c r="N57" i="22"/>
  <c r="L57" i="22" l="1"/>
  <c r="AT57" i="22" s="1"/>
  <c r="N58" i="22"/>
  <c r="M58" i="22"/>
  <c r="AS57" i="22"/>
  <c r="F58" i="22"/>
  <c r="G58" i="22"/>
  <c r="H58" i="22"/>
  <c r="I58" i="22"/>
  <c r="J58" i="22"/>
  <c r="K58" i="22"/>
  <c r="D58" i="22"/>
  <c r="E58" i="22"/>
  <c r="AV57" i="22"/>
  <c r="AR57" i="22"/>
  <c r="AU57" i="22"/>
  <c r="AQ57" i="22"/>
  <c r="T59" i="22"/>
  <c r="AC59" i="22"/>
  <c r="C59" i="22"/>
  <c r="U59" i="22"/>
  <c r="AD59" i="22"/>
  <c r="V59" i="22"/>
  <c r="AE59" i="22"/>
  <c r="W59" i="22"/>
  <c r="AF59" i="22"/>
  <c r="X59" i="22"/>
  <c r="AG59" i="22"/>
  <c r="B60" i="22"/>
  <c r="Q59" i="22"/>
  <c r="Z59" i="22"/>
  <c r="R59" i="22"/>
  <c r="AA59" i="22"/>
  <c r="S59" i="22"/>
  <c r="AB59" i="22"/>
  <c r="AP57" i="22"/>
  <c r="AR58" i="22" l="1"/>
  <c r="AV58" i="22"/>
  <c r="AP58" i="22"/>
  <c r="N59" i="22"/>
  <c r="AQ58" i="22"/>
  <c r="AU58" i="22"/>
  <c r="X60" i="22"/>
  <c r="AG60" i="22"/>
  <c r="B61" i="22"/>
  <c r="Q60" i="22"/>
  <c r="Z60" i="22"/>
  <c r="R60" i="22"/>
  <c r="AA60" i="22"/>
  <c r="S60" i="22"/>
  <c r="AB60" i="22"/>
  <c r="T60" i="22"/>
  <c r="AC60" i="22"/>
  <c r="C60" i="22"/>
  <c r="U60" i="22"/>
  <c r="AD60" i="22"/>
  <c r="V60" i="22"/>
  <c r="AE60" i="22"/>
  <c r="W60" i="22"/>
  <c r="AF60" i="22"/>
  <c r="J59" i="22"/>
  <c r="K59" i="22"/>
  <c r="D59" i="22"/>
  <c r="E59" i="22"/>
  <c r="F59" i="22"/>
  <c r="G59" i="22"/>
  <c r="H59" i="22"/>
  <c r="I59" i="22"/>
  <c r="M59" i="22"/>
  <c r="AS58" i="22"/>
  <c r="L58" i="22"/>
  <c r="AT58" i="22" s="1"/>
  <c r="AS59" i="22" l="1"/>
  <c r="AV59" i="22"/>
  <c r="AR59" i="22"/>
  <c r="N60" i="22"/>
  <c r="F60" i="22"/>
  <c r="G60" i="22"/>
  <c r="H60" i="22"/>
  <c r="I60" i="22"/>
  <c r="J60" i="22"/>
  <c r="K60" i="22"/>
  <c r="D60" i="22"/>
  <c r="E60" i="22"/>
  <c r="M60" i="22"/>
  <c r="AU59" i="22"/>
  <c r="AQ59" i="22"/>
  <c r="AP59" i="22"/>
  <c r="T61" i="22"/>
  <c r="AC61" i="22"/>
  <c r="C61" i="22"/>
  <c r="U61" i="22"/>
  <c r="AD61" i="22"/>
  <c r="V61" i="22"/>
  <c r="AE61" i="22"/>
  <c r="W61" i="22"/>
  <c r="AF61" i="22"/>
  <c r="X61" i="22"/>
  <c r="AG61" i="22"/>
  <c r="B62" i="22"/>
  <c r="Q61" i="22"/>
  <c r="Z61" i="22"/>
  <c r="R61" i="22"/>
  <c r="AA61" i="22"/>
  <c r="S61" i="22"/>
  <c r="AB61" i="22"/>
  <c r="L59" i="22"/>
  <c r="AT59" i="22" s="1"/>
  <c r="AQ60" i="22" l="1"/>
  <c r="AU60" i="22"/>
  <c r="AP60" i="22"/>
  <c r="M61" i="22"/>
  <c r="N61" i="22"/>
  <c r="X62" i="22"/>
  <c r="AG62" i="22"/>
  <c r="B63" i="22"/>
  <c r="Q62" i="22"/>
  <c r="Z62" i="22"/>
  <c r="R62" i="22"/>
  <c r="AA62" i="22"/>
  <c r="T62" i="22"/>
  <c r="AC62" i="22"/>
  <c r="C62" i="22"/>
  <c r="U62" i="22"/>
  <c r="AD62" i="22"/>
  <c r="V62" i="22"/>
  <c r="AE62" i="22"/>
  <c r="S62" i="22"/>
  <c r="W62" i="22"/>
  <c r="AB62" i="22"/>
  <c r="AF62" i="22"/>
  <c r="J61" i="22"/>
  <c r="K61" i="22"/>
  <c r="D61" i="22"/>
  <c r="E61" i="22"/>
  <c r="F61" i="22"/>
  <c r="G61" i="22"/>
  <c r="H61" i="22"/>
  <c r="I61" i="22"/>
  <c r="L60" i="22"/>
  <c r="AT60" i="22" s="1"/>
  <c r="AR60" i="22"/>
  <c r="AV60" i="22"/>
  <c r="AS60" i="22"/>
  <c r="AP61" i="22" l="1"/>
  <c r="F62" i="22"/>
  <c r="G62" i="22"/>
  <c r="H62" i="22"/>
  <c r="I62" i="22"/>
  <c r="J62" i="22"/>
  <c r="K62" i="22"/>
  <c r="D62" i="22"/>
  <c r="E62" i="22"/>
  <c r="L61" i="22"/>
  <c r="AT61" i="22" s="1"/>
  <c r="AU61" i="22"/>
  <c r="AQ61" i="22"/>
  <c r="AS61" i="22"/>
  <c r="N62" i="22"/>
  <c r="AV61" i="22"/>
  <c r="AR61" i="22"/>
  <c r="M62" i="22"/>
  <c r="T63" i="22"/>
  <c r="AC63" i="22"/>
  <c r="C63" i="22"/>
  <c r="U63" i="22"/>
  <c r="AD63" i="22"/>
  <c r="V63" i="22"/>
  <c r="AE63" i="22"/>
  <c r="X63" i="22"/>
  <c r="AG63" i="22"/>
  <c r="B64" i="22"/>
  <c r="Q63" i="22"/>
  <c r="Z63" i="22"/>
  <c r="R63" i="22"/>
  <c r="AA63" i="22"/>
  <c r="S63" i="22"/>
  <c r="W63" i="22"/>
  <c r="AB63" i="22"/>
  <c r="AF63" i="22"/>
  <c r="AS62" i="22" l="1"/>
  <c r="L62" i="22"/>
  <c r="AT62" i="22" s="1"/>
  <c r="AR62" i="22"/>
  <c r="AV62" i="22"/>
  <c r="N63" i="22"/>
  <c r="AQ62" i="22"/>
  <c r="AU62" i="22"/>
  <c r="J63" i="22"/>
  <c r="K63" i="22"/>
  <c r="D63" i="22"/>
  <c r="F63" i="22"/>
  <c r="G63" i="22"/>
  <c r="H63" i="22"/>
  <c r="E63" i="22"/>
  <c r="I63" i="22"/>
  <c r="M63" i="22"/>
  <c r="X64" i="22"/>
  <c r="AG64" i="22"/>
  <c r="B65" i="22"/>
  <c r="Q64" i="22"/>
  <c r="Z64" i="22"/>
  <c r="R64" i="22"/>
  <c r="AA64" i="22"/>
  <c r="T64" i="22"/>
  <c r="AC64" i="22"/>
  <c r="C64" i="22"/>
  <c r="U64" i="22"/>
  <c r="AD64" i="22"/>
  <c r="V64" i="22"/>
  <c r="AE64" i="22"/>
  <c r="S64" i="22"/>
  <c r="W64" i="22"/>
  <c r="AB64" i="22"/>
  <c r="AF64" i="22"/>
  <c r="AP62" i="22"/>
  <c r="AS63" i="22" l="1"/>
  <c r="F64" i="22"/>
  <c r="G64" i="22"/>
  <c r="H64" i="22"/>
  <c r="J64" i="22"/>
  <c r="K64" i="22"/>
  <c r="D64" i="22"/>
  <c r="E64" i="22"/>
  <c r="I64" i="22"/>
  <c r="AV63" i="22"/>
  <c r="AR63" i="22"/>
  <c r="T65" i="22"/>
  <c r="AC65" i="22"/>
  <c r="C65" i="22"/>
  <c r="U65" i="22"/>
  <c r="AD65" i="22"/>
  <c r="V65" i="22"/>
  <c r="AE65" i="22"/>
  <c r="X65" i="22"/>
  <c r="AG65" i="22"/>
  <c r="B66" i="22"/>
  <c r="Q65" i="22"/>
  <c r="Z65" i="22"/>
  <c r="R65" i="22"/>
  <c r="AA65" i="22"/>
  <c r="AF65" i="22"/>
  <c r="S65" i="22"/>
  <c r="W65" i="22"/>
  <c r="AB65" i="22"/>
  <c r="AU63" i="22"/>
  <c r="AQ63" i="22"/>
  <c r="N64" i="22"/>
  <c r="AP63" i="22"/>
  <c r="L63" i="22"/>
  <c r="AT63" i="22" s="1"/>
  <c r="M64" i="22"/>
  <c r="L64" i="22" l="1"/>
  <c r="AT64" i="22" s="1"/>
  <c r="AS64" i="22"/>
  <c r="M65" i="22"/>
  <c r="AQ64" i="22"/>
  <c r="AU64" i="22"/>
  <c r="N65" i="22"/>
  <c r="J65" i="22"/>
  <c r="K65" i="22"/>
  <c r="D65" i="22"/>
  <c r="F65" i="22"/>
  <c r="G65" i="22"/>
  <c r="H65" i="22"/>
  <c r="E65" i="22"/>
  <c r="I65" i="22"/>
  <c r="X66" i="22"/>
  <c r="AG66" i="22"/>
  <c r="Q66" i="22"/>
  <c r="R66" i="22"/>
  <c r="AA66" i="22"/>
  <c r="T66" i="22"/>
  <c r="AC66" i="22"/>
  <c r="C66" i="22"/>
  <c r="U66" i="22"/>
  <c r="AD66" i="22"/>
  <c r="V66" i="22"/>
  <c r="AE66" i="22"/>
  <c r="Z66" i="22"/>
  <c r="AB66" i="22"/>
  <c r="AF66" i="22"/>
  <c r="S66" i="22"/>
  <c r="W66" i="22"/>
  <c r="B67" i="22"/>
  <c r="AR64" i="22"/>
  <c r="AV64" i="22"/>
  <c r="AP64" i="22"/>
  <c r="AS65" i="22" l="1"/>
  <c r="L65" i="22"/>
  <c r="AT65" i="22" s="1"/>
  <c r="N66" i="22"/>
  <c r="M66" i="22"/>
  <c r="V67" i="22"/>
  <c r="AE67" i="22"/>
  <c r="X67" i="22"/>
  <c r="AG67" i="22"/>
  <c r="B68" i="22"/>
  <c r="R67" i="22"/>
  <c r="AA67" i="22"/>
  <c r="C67" i="22"/>
  <c r="S67" i="22"/>
  <c r="AF67" i="22"/>
  <c r="T67" i="22"/>
  <c r="U67" i="22"/>
  <c r="W67" i="22"/>
  <c r="Z67" i="22"/>
  <c r="AB67" i="22"/>
  <c r="AC67" i="22"/>
  <c r="Q67" i="22"/>
  <c r="AD67" i="22"/>
  <c r="AR65" i="22"/>
  <c r="AV65" i="22"/>
  <c r="F66" i="22"/>
  <c r="G66" i="22"/>
  <c r="H66" i="22"/>
  <c r="J66" i="22"/>
  <c r="K66" i="22"/>
  <c r="D66" i="22"/>
  <c r="E66" i="22"/>
  <c r="I66" i="22"/>
  <c r="AU65" i="22"/>
  <c r="AQ65" i="22"/>
  <c r="AP65" i="22"/>
  <c r="L66" i="22" l="1"/>
  <c r="AT66" i="22" s="1"/>
  <c r="N67" i="22"/>
  <c r="R68" i="22"/>
  <c r="AA68" i="22"/>
  <c r="T68" i="22"/>
  <c r="AC68" i="22"/>
  <c r="V68" i="22"/>
  <c r="AE68" i="22"/>
  <c r="U68" i="22"/>
  <c r="W68" i="22"/>
  <c r="X68" i="22"/>
  <c r="Z68" i="22"/>
  <c r="AB68" i="22"/>
  <c r="B69" i="22"/>
  <c r="AD68" i="22"/>
  <c r="C68" i="22"/>
  <c r="Q68" i="22"/>
  <c r="AF68" i="22"/>
  <c r="S68" i="22"/>
  <c r="AG68" i="22"/>
  <c r="AQ66" i="22"/>
  <c r="AU66" i="22"/>
  <c r="AP66" i="22"/>
  <c r="M67" i="22"/>
  <c r="AS66" i="22"/>
  <c r="AR66" i="22"/>
  <c r="AV66" i="22"/>
  <c r="D67" i="22"/>
  <c r="F67" i="22"/>
  <c r="H67" i="22"/>
  <c r="E67" i="22"/>
  <c r="G67" i="22"/>
  <c r="I67" i="22"/>
  <c r="J67" i="22"/>
  <c r="K67" i="22"/>
  <c r="L67" i="22" l="1"/>
  <c r="AT67" i="22" s="1"/>
  <c r="AU67" i="22"/>
  <c r="AQ67" i="22"/>
  <c r="M68" i="22"/>
  <c r="H68" i="22"/>
  <c r="J68" i="22"/>
  <c r="D68" i="22"/>
  <c r="F68" i="22"/>
  <c r="G68" i="22"/>
  <c r="I68" i="22"/>
  <c r="K68" i="22"/>
  <c r="E68" i="22"/>
  <c r="AP67" i="22"/>
  <c r="V69" i="22"/>
  <c r="AE69" i="22"/>
  <c r="R69" i="22"/>
  <c r="AA69" i="22"/>
  <c r="U69" i="22"/>
  <c r="AG69" i="22"/>
  <c r="W69" i="22"/>
  <c r="X69" i="22"/>
  <c r="Z69" i="22"/>
  <c r="AB69" i="22"/>
  <c r="C69" i="22"/>
  <c r="Q69" i="22"/>
  <c r="AC69" i="22"/>
  <c r="S69" i="22"/>
  <c r="AD69" i="22"/>
  <c r="B70" i="22"/>
  <c r="T69" i="22"/>
  <c r="AF69" i="22"/>
  <c r="AS67" i="22"/>
  <c r="N68" i="22"/>
  <c r="AR67" i="22"/>
  <c r="AV67" i="22"/>
  <c r="L68" i="22" l="1"/>
  <c r="M69" i="22"/>
  <c r="D69" i="22"/>
  <c r="F69" i="22"/>
  <c r="H69" i="22"/>
  <c r="I69" i="22"/>
  <c r="J69" i="22"/>
  <c r="K69" i="22"/>
  <c r="E69" i="22"/>
  <c r="G69" i="22"/>
  <c r="N69" i="22"/>
  <c r="AR68" i="22"/>
  <c r="AV68" i="22"/>
  <c r="R70" i="22"/>
  <c r="AA70" i="22"/>
  <c r="V70" i="22"/>
  <c r="AE70" i="22"/>
  <c r="Q70" i="22"/>
  <c r="AC70" i="22"/>
  <c r="S70" i="22"/>
  <c r="AD70" i="22"/>
  <c r="B71" i="22"/>
  <c r="T70" i="22"/>
  <c r="AF70" i="22"/>
  <c r="U70" i="22"/>
  <c r="AG70" i="22"/>
  <c r="W70" i="22"/>
  <c r="X70" i="22"/>
  <c r="Z70" i="22"/>
  <c r="C70" i="22"/>
  <c r="AB70" i="22"/>
  <c r="AP68" i="22"/>
  <c r="AT68" i="22"/>
  <c r="AS68" i="22"/>
  <c r="AQ68" i="22"/>
  <c r="AU68" i="22"/>
  <c r="L69" i="22" l="1"/>
  <c r="AT69" i="22" s="1"/>
  <c r="M70" i="22"/>
  <c r="AS69" i="22"/>
  <c r="AR69" i="22"/>
  <c r="AV69" i="22"/>
  <c r="H70" i="22"/>
  <c r="D70" i="22"/>
  <c r="E70" i="22"/>
  <c r="F70" i="22"/>
  <c r="G70" i="22"/>
  <c r="I70" i="22"/>
  <c r="J70" i="22"/>
  <c r="K70" i="22"/>
  <c r="V71" i="22"/>
  <c r="R71" i="22"/>
  <c r="AA71" i="22"/>
  <c r="X71" i="22"/>
  <c r="Z71" i="22"/>
  <c r="C71" i="22"/>
  <c r="AB71" i="22"/>
  <c r="Q71" i="22"/>
  <c r="AC71" i="22"/>
  <c r="S71" i="22"/>
  <c r="AD71" i="22"/>
  <c r="T71" i="22"/>
  <c r="AE71" i="22"/>
  <c r="U71" i="22"/>
  <c r="AF71" i="22"/>
  <c r="B72" i="22"/>
  <c r="W71" i="22"/>
  <c r="AG71" i="22"/>
  <c r="AU69" i="22"/>
  <c r="AQ69" i="22"/>
  <c r="N70" i="22"/>
  <c r="L70" i="22" s="1"/>
  <c r="AP69" i="22"/>
  <c r="N71" i="22" l="1"/>
  <c r="AP70" i="22"/>
  <c r="AT70" i="22"/>
  <c r="M71" i="22"/>
  <c r="AV70" i="22"/>
  <c r="AR70" i="22"/>
  <c r="V72" i="22"/>
  <c r="AE72" i="22"/>
  <c r="W72" i="22"/>
  <c r="AF72" i="22"/>
  <c r="X72" i="22"/>
  <c r="AG72" i="22"/>
  <c r="B73" i="22"/>
  <c r="Q72" i="22"/>
  <c r="Z72" i="22"/>
  <c r="R72" i="22"/>
  <c r="AA72" i="22"/>
  <c r="S72" i="22"/>
  <c r="AB72" i="22"/>
  <c r="T72" i="22"/>
  <c r="AC72" i="22"/>
  <c r="C72" i="22"/>
  <c r="U72" i="22"/>
  <c r="AD72" i="22"/>
  <c r="AS70" i="22"/>
  <c r="D71" i="22"/>
  <c r="H71" i="22"/>
  <c r="K71" i="22"/>
  <c r="E71" i="22"/>
  <c r="F71" i="22"/>
  <c r="G71" i="22"/>
  <c r="I71" i="22"/>
  <c r="J71" i="22"/>
  <c r="AQ70" i="22"/>
  <c r="AU70" i="22"/>
  <c r="L71" i="22" l="1"/>
  <c r="AT71" i="22" s="1"/>
  <c r="AS71" i="22"/>
  <c r="AQ71" i="22"/>
  <c r="AU71" i="22"/>
  <c r="N72" i="22"/>
  <c r="D72" i="22"/>
  <c r="E72" i="22"/>
  <c r="F72" i="22"/>
  <c r="G72" i="22"/>
  <c r="H72" i="22"/>
  <c r="I72" i="22"/>
  <c r="J72" i="22"/>
  <c r="K72" i="22"/>
  <c r="M72" i="22"/>
  <c r="R73" i="22"/>
  <c r="AA73" i="22"/>
  <c r="S73" i="22"/>
  <c r="AB73" i="22"/>
  <c r="T73" i="22"/>
  <c r="AC73" i="22"/>
  <c r="C73" i="22"/>
  <c r="U73" i="22"/>
  <c r="AD73" i="22"/>
  <c r="V73" i="22"/>
  <c r="AE73" i="22"/>
  <c r="W73" i="22"/>
  <c r="AF73" i="22"/>
  <c r="X73" i="22"/>
  <c r="AG73" i="22"/>
  <c r="B74" i="22"/>
  <c r="Q73" i="22"/>
  <c r="Z73" i="22"/>
  <c r="AR71" i="22"/>
  <c r="AV71" i="22"/>
  <c r="AP71" i="22"/>
  <c r="AP72" i="22" l="1"/>
  <c r="M73" i="22"/>
  <c r="V74" i="22"/>
  <c r="AE74" i="22"/>
  <c r="W74" i="22"/>
  <c r="AF74" i="22"/>
  <c r="X74" i="22"/>
  <c r="AG74" i="22"/>
  <c r="B75" i="22"/>
  <c r="Q74" i="22"/>
  <c r="Z74" i="22"/>
  <c r="R74" i="22"/>
  <c r="AA74" i="22"/>
  <c r="S74" i="22"/>
  <c r="AB74" i="22"/>
  <c r="T74" i="22"/>
  <c r="AC74" i="22"/>
  <c r="C74" i="22"/>
  <c r="U74" i="22"/>
  <c r="AD74" i="22"/>
  <c r="H73" i="22"/>
  <c r="I73" i="22"/>
  <c r="J73" i="22"/>
  <c r="K73" i="22"/>
  <c r="D73" i="22"/>
  <c r="E73" i="22"/>
  <c r="F73" i="22"/>
  <c r="G73" i="22"/>
  <c r="AS72" i="22"/>
  <c r="L72" i="22"/>
  <c r="AT72" i="22" s="1"/>
  <c r="N73" i="22"/>
  <c r="L73" i="22" s="1"/>
  <c r="AV72" i="22"/>
  <c r="AR72" i="22"/>
  <c r="AU72" i="22"/>
  <c r="AQ72" i="22"/>
  <c r="AS73" i="22" l="1"/>
  <c r="AR73" i="22"/>
  <c r="AV73" i="22"/>
  <c r="AT73" i="22"/>
  <c r="AP73" i="22"/>
  <c r="AQ73" i="22"/>
  <c r="AU73" i="22"/>
  <c r="D74" i="22"/>
  <c r="E74" i="22"/>
  <c r="F74" i="22"/>
  <c r="G74" i="22"/>
  <c r="H74" i="22"/>
  <c r="I74" i="22"/>
  <c r="J74" i="22"/>
  <c r="K74" i="22"/>
  <c r="M74" i="22"/>
  <c r="N74" i="22"/>
  <c r="R75" i="22"/>
  <c r="AA75" i="22"/>
  <c r="T75" i="22"/>
  <c r="C75" i="22"/>
  <c r="U75" i="22"/>
  <c r="AD75" i="22"/>
  <c r="V75" i="22"/>
  <c r="AE75" i="22"/>
  <c r="W75" i="22"/>
  <c r="AF75" i="22"/>
  <c r="X75" i="22"/>
  <c r="AG75" i="22"/>
  <c r="B76" i="22"/>
  <c r="Q75" i="22"/>
  <c r="S75" i="22"/>
  <c r="Z75" i="22"/>
  <c r="AB75" i="22"/>
  <c r="AC75" i="22"/>
  <c r="AS74" i="22" l="1"/>
  <c r="L74" i="22"/>
  <c r="N75" i="22"/>
  <c r="M75" i="22"/>
  <c r="AR74" i="22"/>
  <c r="AV74" i="22"/>
  <c r="AU74" i="22"/>
  <c r="AQ74" i="22"/>
  <c r="V76" i="22"/>
  <c r="AE76" i="22"/>
  <c r="Q76" i="22"/>
  <c r="Z76" i="22"/>
  <c r="R76" i="22"/>
  <c r="AA76" i="22"/>
  <c r="T76" i="22"/>
  <c r="AC76" i="22"/>
  <c r="AD76" i="22"/>
  <c r="AF76" i="22"/>
  <c r="AG76" i="22"/>
  <c r="S76" i="22"/>
  <c r="C76" i="22"/>
  <c r="U76" i="22"/>
  <c r="W76" i="22"/>
  <c r="X76" i="22"/>
  <c r="B77" i="22"/>
  <c r="AB76" i="22"/>
  <c r="H75" i="22"/>
  <c r="J75" i="22"/>
  <c r="K75" i="22"/>
  <c r="D75" i="22"/>
  <c r="E75" i="22"/>
  <c r="F75" i="22"/>
  <c r="G75" i="22"/>
  <c r="I75" i="22"/>
  <c r="AP74" i="22"/>
  <c r="AT74" i="22"/>
  <c r="L75" i="22" l="1"/>
  <c r="AT75" i="22" s="1"/>
  <c r="M76" i="22"/>
  <c r="R77" i="22"/>
  <c r="AA77" i="22"/>
  <c r="C77" i="22"/>
  <c r="U77" i="22"/>
  <c r="AD77" i="22"/>
  <c r="V77" i="22"/>
  <c r="AE77" i="22"/>
  <c r="X77" i="22"/>
  <c r="AG77" i="22"/>
  <c r="B78" i="22"/>
  <c r="Z77" i="22"/>
  <c r="AB77" i="22"/>
  <c r="AC77" i="22"/>
  <c r="AF77" i="22"/>
  <c r="Q77" i="22"/>
  <c r="S77" i="22"/>
  <c r="T77" i="22"/>
  <c r="W77" i="22"/>
  <c r="AQ75" i="22"/>
  <c r="AU75" i="22"/>
  <c r="AS75" i="22"/>
  <c r="D76" i="22"/>
  <c r="G76" i="22"/>
  <c r="H76" i="22"/>
  <c r="J76" i="22"/>
  <c r="K76" i="22"/>
  <c r="E76" i="22"/>
  <c r="F76" i="22"/>
  <c r="I76" i="22"/>
  <c r="AR75" i="22"/>
  <c r="AV75" i="22"/>
  <c r="N76" i="22"/>
  <c r="L76" i="22" s="1"/>
  <c r="AP75" i="22"/>
  <c r="M77" i="22" l="1"/>
  <c r="AP76" i="22"/>
  <c r="AT76" i="22"/>
  <c r="AU76" i="22"/>
  <c r="AQ76" i="22"/>
  <c r="AR76" i="22"/>
  <c r="AV76" i="22"/>
  <c r="N77" i="22"/>
  <c r="H77" i="22"/>
  <c r="K77" i="22"/>
  <c r="D77" i="22"/>
  <c r="F77" i="22"/>
  <c r="G77" i="22"/>
  <c r="I77" i="22"/>
  <c r="J77" i="22"/>
  <c r="E77" i="22"/>
  <c r="AS76" i="22"/>
  <c r="V78" i="22"/>
  <c r="AE78" i="22"/>
  <c r="Q78" i="22"/>
  <c r="Z78" i="22"/>
  <c r="R78" i="22"/>
  <c r="AA78" i="22"/>
  <c r="T78" i="22"/>
  <c r="AC78" i="22"/>
  <c r="C78" i="22"/>
  <c r="U78" i="22"/>
  <c r="W78" i="22"/>
  <c r="X78" i="22"/>
  <c r="B79" i="22"/>
  <c r="AB78" i="22"/>
  <c r="AD78" i="22"/>
  <c r="AF78" i="22"/>
  <c r="AG78" i="22"/>
  <c r="S78" i="22"/>
  <c r="L77" i="22" l="1"/>
  <c r="AT77" i="22" s="1"/>
  <c r="AR77" i="22"/>
  <c r="AV77" i="22"/>
  <c r="R79" i="22"/>
  <c r="AA79" i="22"/>
  <c r="C79" i="22"/>
  <c r="U79" i="22"/>
  <c r="AD79" i="22"/>
  <c r="V79" i="22"/>
  <c r="AE79" i="22"/>
  <c r="X79" i="22"/>
  <c r="AG79" i="22"/>
  <c r="B80" i="22"/>
  <c r="Q79" i="22"/>
  <c r="S79" i="22"/>
  <c r="T79" i="22"/>
  <c r="W79" i="22"/>
  <c r="Z79" i="22"/>
  <c r="AB79" i="22"/>
  <c r="AC79" i="22"/>
  <c r="AF79" i="22"/>
  <c r="AQ77" i="22"/>
  <c r="AU77" i="22"/>
  <c r="N78" i="22"/>
  <c r="M78" i="22"/>
  <c r="D78" i="22"/>
  <c r="G78" i="22"/>
  <c r="H78" i="22"/>
  <c r="J78" i="22"/>
  <c r="E78" i="22"/>
  <c r="F78" i="22"/>
  <c r="I78" i="22"/>
  <c r="K78" i="22"/>
  <c r="AS77" i="22"/>
  <c r="AP77" i="22"/>
  <c r="AS78" i="22" l="1"/>
  <c r="AU78" i="22"/>
  <c r="AQ78" i="22"/>
  <c r="L78" i="22"/>
  <c r="AT78" i="22" s="1"/>
  <c r="M79" i="22"/>
  <c r="H79" i="22"/>
  <c r="K79" i="22"/>
  <c r="D79" i="22"/>
  <c r="F79" i="22"/>
  <c r="E79" i="22"/>
  <c r="G79" i="22"/>
  <c r="I79" i="22"/>
  <c r="J79" i="22"/>
  <c r="AV78" i="22"/>
  <c r="AR78" i="22"/>
  <c r="Q80" i="22"/>
  <c r="Z80" i="22"/>
  <c r="R80" i="22"/>
  <c r="AA80" i="22"/>
  <c r="T80" i="22"/>
  <c r="AC80" i="22"/>
  <c r="V80" i="22"/>
  <c r="W80" i="22"/>
  <c r="X80" i="22"/>
  <c r="AB80" i="22"/>
  <c r="AD80" i="22"/>
  <c r="B81" i="22"/>
  <c r="C80" i="22"/>
  <c r="AE80" i="22"/>
  <c r="S80" i="22"/>
  <c r="AF80" i="22"/>
  <c r="U80" i="22"/>
  <c r="AG80" i="22"/>
  <c r="AP78" i="22"/>
  <c r="N79" i="22"/>
  <c r="L79" i="22" l="1"/>
  <c r="AT79" i="22" s="1"/>
  <c r="AS79" i="22"/>
  <c r="M80" i="22"/>
  <c r="AP79" i="22"/>
  <c r="AR79" i="22"/>
  <c r="AV79" i="22"/>
  <c r="AU79" i="22"/>
  <c r="AQ79" i="22"/>
  <c r="N80" i="22"/>
  <c r="G80" i="22"/>
  <c r="H80" i="22"/>
  <c r="J80" i="22"/>
  <c r="F80" i="22"/>
  <c r="I80" i="22"/>
  <c r="K80" i="22"/>
  <c r="D80" i="22"/>
  <c r="E80" i="22"/>
  <c r="C81" i="22"/>
  <c r="U81" i="22"/>
  <c r="AD81" i="22"/>
  <c r="V81" i="22"/>
  <c r="X81" i="22"/>
  <c r="AG81" i="22"/>
  <c r="B82" i="22"/>
  <c r="Z81" i="22"/>
  <c r="AA81" i="22"/>
  <c r="AB81" i="22"/>
  <c r="Q81" i="22"/>
  <c r="AC81" i="22"/>
  <c r="R81" i="22"/>
  <c r="AE81" i="22"/>
  <c r="S81" i="22"/>
  <c r="AF81" i="22"/>
  <c r="T81" i="22"/>
  <c r="W81" i="22"/>
  <c r="L80" i="22" l="1"/>
  <c r="AT80" i="22" s="1"/>
  <c r="AS80" i="22"/>
  <c r="N81" i="22"/>
  <c r="Q82" i="22"/>
  <c r="Z82" i="22"/>
  <c r="T82" i="22"/>
  <c r="AC82" i="22"/>
  <c r="U82" i="22"/>
  <c r="AF82" i="22"/>
  <c r="V82" i="22"/>
  <c r="AG82" i="22"/>
  <c r="W82" i="22"/>
  <c r="X82" i="22"/>
  <c r="C82" i="22"/>
  <c r="AA82" i="22"/>
  <c r="AB82" i="22"/>
  <c r="R82" i="22"/>
  <c r="AD82" i="22"/>
  <c r="B83" i="22"/>
  <c r="S82" i="22"/>
  <c r="AE82" i="22"/>
  <c r="AQ80" i="22"/>
  <c r="AU80" i="22"/>
  <c r="M81" i="22"/>
  <c r="AR80" i="22"/>
  <c r="AV80" i="22"/>
  <c r="AP80" i="22"/>
  <c r="K81" i="22"/>
  <c r="D81" i="22"/>
  <c r="F81" i="22"/>
  <c r="I81" i="22"/>
  <c r="J81" i="22"/>
  <c r="E81" i="22"/>
  <c r="G81" i="22"/>
  <c r="H81" i="22"/>
  <c r="AS81" i="22" l="1"/>
  <c r="AR81" i="22"/>
  <c r="AV81" i="22"/>
  <c r="G82" i="22"/>
  <c r="J82" i="22"/>
  <c r="H82" i="22"/>
  <c r="I82" i="22"/>
  <c r="K82" i="22"/>
  <c r="D82" i="22"/>
  <c r="E82" i="22"/>
  <c r="F82" i="22"/>
  <c r="N82" i="22"/>
  <c r="AP81" i="22"/>
  <c r="M82" i="22"/>
  <c r="AU81" i="22"/>
  <c r="AQ81" i="22"/>
  <c r="C83" i="22"/>
  <c r="U83" i="22"/>
  <c r="AD83" i="22"/>
  <c r="X83" i="22"/>
  <c r="Q83" i="22"/>
  <c r="AB83" i="22"/>
  <c r="R83" i="22"/>
  <c r="AC83" i="22"/>
  <c r="S83" i="22"/>
  <c r="AE83" i="22"/>
  <c r="T83" i="22"/>
  <c r="AF83" i="22"/>
  <c r="B84" i="22"/>
  <c r="V83" i="22"/>
  <c r="AG83" i="22"/>
  <c r="W83" i="22"/>
  <c r="Z83" i="22"/>
  <c r="AA83" i="22"/>
  <c r="L81" i="22"/>
  <c r="AT81" i="22" s="1"/>
  <c r="AS82" i="22" l="1"/>
  <c r="AP82" i="22"/>
  <c r="AR82" i="22"/>
  <c r="AV82" i="22"/>
  <c r="M83" i="22"/>
  <c r="L82" i="22"/>
  <c r="AT82" i="22" s="1"/>
  <c r="AQ82" i="22"/>
  <c r="AU82" i="22"/>
  <c r="Q84" i="22"/>
  <c r="Z84" i="22"/>
  <c r="S84" i="22"/>
  <c r="AC84" i="22"/>
  <c r="T84" i="22"/>
  <c r="AD84" i="22"/>
  <c r="U84" i="22"/>
  <c r="AE84" i="22"/>
  <c r="V84" i="22"/>
  <c r="AF84" i="22"/>
  <c r="B85" i="22"/>
  <c r="C84" i="22"/>
  <c r="W84" i="22"/>
  <c r="AG84" i="22"/>
  <c r="X84" i="22"/>
  <c r="AA84" i="22"/>
  <c r="R84" i="22"/>
  <c r="AB84" i="22"/>
  <c r="N83" i="22"/>
  <c r="K83" i="22"/>
  <c r="F83" i="22"/>
  <c r="D83" i="22"/>
  <c r="E83" i="22"/>
  <c r="G83" i="22"/>
  <c r="H83" i="22"/>
  <c r="I83" i="22"/>
  <c r="J83" i="22"/>
  <c r="L83" i="22" l="1"/>
  <c r="AT83" i="22" s="1"/>
  <c r="AP83" i="22"/>
  <c r="AS83" i="22"/>
  <c r="G84" i="22"/>
  <c r="H84" i="22"/>
  <c r="I84" i="22"/>
  <c r="J84" i="22"/>
  <c r="K84" i="22"/>
  <c r="D84" i="22"/>
  <c r="E84" i="22"/>
  <c r="F84" i="22"/>
  <c r="AV83" i="22"/>
  <c r="AR83" i="22"/>
  <c r="Q85" i="22"/>
  <c r="Z85" i="22"/>
  <c r="R85" i="22"/>
  <c r="AA85" i="22"/>
  <c r="S85" i="22"/>
  <c r="AB85" i="22"/>
  <c r="T85" i="22"/>
  <c r="AC85" i="22"/>
  <c r="C85" i="22"/>
  <c r="U85" i="22"/>
  <c r="AD85" i="22"/>
  <c r="V85" i="22"/>
  <c r="AE85" i="22"/>
  <c r="W85" i="22"/>
  <c r="AF85" i="22"/>
  <c r="X85" i="22"/>
  <c r="AG85" i="22"/>
  <c r="B86" i="22"/>
  <c r="AU83" i="22"/>
  <c r="AQ83" i="22"/>
  <c r="N84" i="22"/>
  <c r="M84" i="22"/>
  <c r="AS84" i="22" l="1"/>
  <c r="AV84" i="22"/>
  <c r="AR84" i="22"/>
  <c r="N85" i="22"/>
  <c r="G85" i="22"/>
  <c r="H85" i="22"/>
  <c r="I85" i="22"/>
  <c r="J85" i="22"/>
  <c r="K85" i="22"/>
  <c r="D85" i="22"/>
  <c r="E85" i="22"/>
  <c r="F85" i="22"/>
  <c r="M85" i="22"/>
  <c r="AU84" i="22"/>
  <c r="AQ84" i="22"/>
  <c r="AP84" i="22"/>
  <c r="C86" i="22"/>
  <c r="U86" i="22"/>
  <c r="AD86" i="22"/>
  <c r="V86" i="22"/>
  <c r="AE86" i="22"/>
  <c r="W86" i="22"/>
  <c r="AF86" i="22"/>
  <c r="X86" i="22"/>
  <c r="AG86" i="22"/>
  <c r="B87" i="22"/>
  <c r="Q86" i="22"/>
  <c r="Z86" i="22"/>
  <c r="R86" i="22"/>
  <c r="AA86" i="22"/>
  <c r="S86" i="22"/>
  <c r="AB86" i="22"/>
  <c r="T86" i="22"/>
  <c r="AC86" i="22"/>
  <c r="L84" i="22"/>
  <c r="AT84" i="22" s="1"/>
  <c r="AS85" i="22" l="1"/>
  <c r="AR85" i="22"/>
  <c r="AV85" i="22"/>
  <c r="AQ85" i="22"/>
  <c r="AU85" i="22"/>
  <c r="AP85" i="22"/>
  <c r="M86" i="22"/>
  <c r="L85" i="22"/>
  <c r="AT85" i="22" s="1"/>
  <c r="N86" i="22"/>
  <c r="Q87" i="22"/>
  <c r="Z87" i="22"/>
  <c r="R87" i="22"/>
  <c r="AA87" i="22"/>
  <c r="S87" i="22"/>
  <c r="AB87" i="22"/>
  <c r="T87" i="22"/>
  <c r="AC87" i="22"/>
  <c r="C87" i="22"/>
  <c r="U87" i="22"/>
  <c r="AD87" i="22"/>
  <c r="V87" i="22"/>
  <c r="AE87" i="22"/>
  <c r="W87" i="22"/>
  <c r="AF87" i="22"/>
  <c r="X87" i="22"/>
  <c r="AG87" i="22"/>
  <c r="B88" i="22"/>
  <c r="K86" i="22"/>
  <c r="D86" i="22"/>
  <c r="E86" i="22"/>
  <c r="F86" i="22"/>
  <c r="G86" i="22"/>
  <c r="H86" i="22"/>
  <c r="I86" i="22"/>
  <c r="J86" i="22"/>
  <c r="L86" i="22" l="1"/>
  <c r="AT86" i="22" s="1"/>
  <c r="AP86" i="22"/>
  <c r="C88" i="22"/>
  <c r="U88" i="22"/>
  <c r="AD88" i="22"/>
  <c r="V88" i="22"/>
  <c r="AE88" i="22"/>
  <c r="W88" i="22"/>
  <c r="AF88" i="22"/>
  <c r="X88" i="22"/>
  <c r="AG88" i="22"/>
  <c r="B89" i="22"/>
  <c r="Q88" i="22"/>
  <c r="Z88" i="22"/>
  <c r="R88" i="22"/>
  <c r="AA88" i="22"/>
  <c r="S88" i="22"/>
  <c r="AB88" i="22"/>
  <c r="AC88" i="22"/>
  <c r="T88" i="22"/>
  <c r="N87" i="22"/>
  <c r="AS86" i="22"/>
  <c r="AV86" i="22"/>
  <c r="AR86" i="22"/>
  <c r="AU86" i="22"/>
  <c r="AQ86" i="22"/>
  <c r="G87" i="22"/>
  <c r="H87" i="22"/>
  <c r="I87" i="22"/>
  <c r="J87" i="22"/>
  <c r="K87" i="22"/>
  <c r="D87" i="22"/>
  <c r="E87" i="22"/>
  <c r="F87" i="22"/>
  <c r="M87" i="22"/>
  <c r="L87" i="22" l="1"/>
  <c r="AT87" i="22" s="1"/>
  <c r="AS87" i="22"/>
  <c r="AR87" i="22"/>
  <c r="AV87" i="22"/>
  <c r="N88" i="22"/>
  <c r="M88" i="22"/>
  <c r="AP87" i="22"/>
  <c r="Q89" i="22"/>
  <c r="R89" i="22"/>
  <c r="AA89" i="22"/>
  <c r="S89" i="22"/>
  <c r="AB89" i="22"/>
  <c r="T89" i="22"/>
  <c r="AC89" i="22"/>
  <c r="C89" i="22"/>
  <c r="U89" i="22"/>
  <c r="AD89" i="22"/>
  <c r="W89" i="22"/>
  <c r="AF89" i="22"/>
  <c r="X89" i="22"/>
  <c r="B90" i="22"/>
  <c r="Z89" i="22"/>
  <c r="AE89" i="22"/>
  <c r="AG89" i="22"/>
  <c r="V89" i="22"/>
  <c r="K88" i="22"/>
  <c r="D88" i="22"/>
  <c r="E88" i="22"/>
  <c r="F88" i="22"/>
  <c r="G88" i="22"/>
  <c r="H88" i="22"/>
  <c r="I88" i="22"/>
  <c r="J88" i="22"/>
  <c r="AQ87" i="22"/>
  <c r="AU87" i="22"/>
  <c r="AS88" i="22" l="1"/>
  <c r="AV88" i="22"/>
  <c r="AR88" i="22"/>
  <c r="M89" i="22"/>
  <c r="AU88" i="22"/>
  <c r="AQ88" i="22"/>
  <c r="AP88" i="22"/>
  <c r="G89" i="22"/>
  <c r="H89" i="22"/>
  <c r="I89" i="22"/>
  <c r="J89" i="22"/>
  <c r="K89" i="22"/>
  <c r="E89" i="22"/>
  <c r="D89" i="22"/>
  <c r="F89" i="22"/>
  <c r="N89" i="22"/>
  <c r="L88" i="22"/>
  <c r="AT88" i="22" s="1"/>
  <c r="W90" i="22"/>
  <c r="AF90" i="22"/>
  <c r="Q90" i="22"/>
  <c r="Z90" i="22"/>
  <c r="S90" i="22"/>
  <c r="AB90" i="22"/>
  <c r="AD90" i="22"/>
  <c r="C90" i="22"/>
  <c r="R90" i="22"/>
  <c r="AE90" i="22"/>
  <c r="T90" i="22"/>
  <c r="AG90" i="22"/>
  <c r="U90" i="22"/>
  <c r="V90" i="22"/>
  <c r="X90" i="22"/>
  <c r="AA90" i="22"/>
  <c r="AC90" i="22"/>
  <c r="B91" i="22"/>
  <c r="L89" i="22" l="1"/>
  <c r="AT89" i="22" s="1"/>
  <c r="N90" i="22"/>
  <c r="M90" i="22"/>
  <c r="AS89" i="22"/>
  <c r="S91" i="22"/>
  <c r="AB91" i="22"/>
  <c r="C91" i="22"/>
  <c r="U91" i="22"/>
  <c r="AD91" i="22"/>
  <c r="W91" i="22"/>
  <c r="AF91" i="22"/>
  <c r="R91" i="22"/>
  <c r="AG91" i="22"/>
  <c r="T91" i="22"/>
  <c r="V91" i="22"/>
  <c r="X91" i="22"/>
  <c r="Z91" i="22"/>
  <c r="AA91" i="22"/>
  <c r="B92" i="22"/>
  <c r="AC91" i="22"/>
  <c r="Q91" i="22"/>
  <c r="AE91" i="22"/>
  <c r="AR89" i="22"/>
  <c r="AV89" i="22"/>
  <c r="AQ89" i="22"/>
  <c r="AU89" i="22"/>
  <c r="E90" i="22"/>
  <c r="G90" i="22"/>
  <c r="I90" i="22"/>
  <c r="D90" i="22"/>
  <c r="F90" i="22"/>
  <c r="H90" i="22"/>
  <c r="J90" i="22"/>
  <c r="K90" i="22"/>
  <c r="AP89" i="22"/>
  <c r="AS90" i="22" l="1"/>
  <c r="L90" i="22"/>
  <c r="AT90" i="22" s="1"/>
  <c r="AV90" i="22"/>
  <c r="AR90" i="22"/>
  <c r="N91" i="22"/>
  <c r="AP90" i="22"/>
  <c r="I91" i="22"/>
  <c r="K91" i="22"/>
  <c r="E91" i="22"/>
  <c r="D91" i="22"/>
  <c r="F91" i="22"/>
  <c r="G91" i="22"/>
  <c r="H91" i="22"/>
  <c r="J91" i="22"/>
  <c r="M91" i="22"/>
  <c r="AQ90" i="22"/>
  <c r="AU90" i="22"/>
  <c r="W92" i="22"/>
  <c r="AF92" i="22"/>
  <c r="Q92" i="22"/>
  <c r="Z92" i="22"/>
  <c r="S92" i="22"/>
  <c r="AB92" i="22"/>
  <c r="U92" i="22"/>
  <c r="V92" i="22"/>
  <c r="X92" i="22"/>
  <c r="AA92" i="22"/>
  <c r="AC92" i="22"/>
  <c r="B93" i="22"/>
  <c r="AD92" i="22"/>
  <c r="C92" i="22"/>
  <c r="R92" i="22"/>
  <c r="AE92" i="22"/>
  <c r="T92" i="22"/>
  <c r="AG92" i="22"/>
  <c r="AS91" i="22" l="1"/>
  <c r="AQ91" i="22"/>
  <c r="AU91" i="22"/>
  <c r="AR91" i="22"/>
  <c r="AV91" i="22"/>
  <c r="N92" i="22"/>
  <c r="AP91" i="22"/>
  <c r="M92" i="22"/>
  <c r="L91" i="22"/>
  <c r="AT91" i="22" s="1"/>
  <c r="E92" i="22"/>
  <c r="G92" i="22"/>
  <c r="I92" i="22"/>
  <c r="F92" i="22"/>
  <c r="H92" i="22"/>
  <c r="J92" i="22"/>
  <c r="K92" i="22"/>
  <c r="D92" i="22"/>
  <c r="S93" i="22"/>
  <c r="AB93" i="22"/>
  <c r="C93" i="22"/>
  <c r="U93" i="22"/>
  <c r="AD93" i="22"/>
  <c r="W93" i="22"/>
  <c r="AF93" i="22"/>
  <c r="X93" i="22"/>
  <c r="Z93" i="22"/>
  <c r="AA93" i="22"/>
  <c r="B94" i="22"/>
  <c r="AC93" i="22"/>
  <c r="Q93" i="22"/>
  <c r="AE93" i="22"/>
  <c r="R93" i="22"/>
  <c r="AG93" i="22"/>
  <c r="T93" i="22"/>
  <c r="V93" i="22"/>
  <c r="AS92" i="22" l="1"/>
  <c r="L92" i="22"/>
  <c r="AT92" i="22" s="1"/>
  <c r="AV92" i="22"/>
  <c r="AR92" i="22"/>
  <c r="M93" i="22"/>
  <c r="AP92" i="22"/>
  <c r="W94" i="22"/>
  <c r="Q94" i="22"/>
  <c r="Z94" i="22"/>
  <c r="V94" i="22"/>
  <c r="AG94" i="22"/>
  <c r="X94" i="22"/>
  <c r="AA94" i="22"/>
  <c r="C94" i="22"/>
  <c r="AB94" i="22"/>
  <c r="R94" i="22"/>
  <c r="AC94" i="22"/>
  <c r="S94" i="22"/>
  <c r="AD94" i="22"/>
  <c r="T94" i="22"/>
  <c r="AE94" i="22"/>
  <c r="U94" i="22"/>
  <c r="AF94" i="22"/>
  <c r="B95" i="22"/>
  <c r="I93" i="22"/>
  <c r="K93" i="22"/>
  <c r="E93" i="22"/>
  <c r="H93" i="22"/>
  <c r="J93" i="22"/>
  <c r="D93" i="22"/>
  <c r="F93" i="22"/>
  <c r="G93" i="22"/>
  <c r="AQ92" i="22"/>
  <c r="AU92" i="22"/>
  <c r="N93" i="22"/>
  <c r="L93" i="22" l="1"/>
  <c r="AS93" i="22"/>
  <c r="AU93" i="22"/>
  <c r="AQ93" i="22"/>
  <c r="N94" i="22"/>
  <c r="C95" i="22"/>
  <c r="U95" i="22"/>
  <c r="AD95" i="22"/>
  <c r="X95" i="22"/>
  <c r="Z95" i="22"/>
  <c r="Q95" i="22"/>
  <c r="AA95" i="22"/>
  <c r="R95" i="22"/>
  <c r="AB95" i="22"/>
  <c r="S95" i="22"/>
  <c r="AC95" i="22"/>
  <c r="T95" i="22"/>
  <c r="AE95" i="22"/>
  <c r="V95" i="22"/>
  <c r="AF95" i="22"/>
  <c r="B96" i="22"/>
  <c r="W95" i="22"/>
  <c r="AG95" i="22"/>
  <c r="M94" i="22"/>
  <c r="AR93" i="22"/>
  <c r="AV93" i="22"/>
  <c r="E94" i="22"/>
  <c r="G94" i="22"/>
  <c r="J94" i="22"/>
  <c r="K94" i="22"/>
  <c r="D94" i="22"/>
  <c r="F94" i="22"/>
  <c r="H94" i="22"/>
  <c r="I94" i="22"/>
  <c r="AT93" i="22"/>
  <c r="AP93" i="22"/>
  <c r="AS94" i="22" l="1"/>
  <c r="AQ94" i="22"/>
  <c r="AU94" i="22"/>
  <c r="N95" i="22"/>
  <c r="AP94" i="22"/>
  <c r="K95" i="22"/>
  <c r="D95" i="22"/>
  <c r="E95" i="22"/>
  <c r="F95" i="22"/>
  <c r="G95" i="22"/>
  <c r="H95" i="22"/>
  <c r="I95" i="22"/>
  <c r="J95" i="22"/>
  <c r="AR94" i="22"/>
  <c r="AV94" i="22"/>
  <c r="Q96" i="22"/>
  <c r="Z96" i="22"/>
  <c r="X96" i="22"/>
  <c r="AA96" i="22"/>
  <c r="R96" i="22"/>
  <c r="AB96" i="22"/>
  <c r="S96" i="22"/>
  <c r="T96" i="22"/>
  <c r="AD96" i="22"/>
  <c r="U96" i="22"/>
  <c r="AE96" i="22"/>
  <c r="V96" i="22"/>
  <c r="AF96" i="22"/>
  <c r="B97" i="22"/>
  <c r="C96" i="22"/>
  <c r="W96" i="22"/>
  <c r="AC96" i="22"/>
  <c r="AG96" i="22"/>
  <c r="L94" i="22"/>
  <c r="AT94" i="22" s="1"/>
  <c r="M95" i="22"/>
  <c r="AS95" i="22" l="1"/>
  <c r="M96" i="22"/>
  <c r="AR95" i="22"/>
  <c r="AV95" i="22"/>
  <c r="AQ95" i="22"/>
  <c r="AU95" i="22"/>
  <c r="G96" i="22"/>
  <c r="D96" i="22"/>
  <c r="E96" i="22"/>
  <c r="F96" i="22"/>
  <c r="H96" i="22"/>
  <c r="I96" i="22"/>
  <c r="J96" i="22"/>
  <c r="K96" i="22"/>
  <c r="C97" i="22"/>
  <c r="U97" i="22"/>
  <c r="AD97" i="22"/>
  <c r="V97" i="22"/>
  <c r="AE97" i="22"/>
  <c r="W97" i="22"/>
  <c r="AF97" i="22"/>
  <c r="Q97" i="22"/>
  <c r="Z97" i="22"/>
  <c r="R97" i="22"/>
  <c r="AA97" i="22"/>
  <c r="S97" i="22"/>
  <c r="AB97" i="22"/>
  <c r="B98" i="22"/>
  <c r="T97" i="22"/>
  <c r="X97" i="22"/>
  <c r="AC97" i="22"/>
  <c r="AG97" i="22"/>
  <c r="AP95" i="22"/>
  <c r="L95" i="22"/>
  <c r="AT95" i="22" s="1"/>
  <c r="N96" i="22"/>
  <c r="AS96" i="22" l="1"/>
  <c r="N97" i="22"/>
  <c r="K97" i="22"/>
  <c r="D97" i="22"/>
  <c r="E97" i="22"/>
  <c r="G97" i="22"/>
  <c r="H97" i="22"/>
  <c r="I97" i="22"/>
  <c r="F97" i="22"/>
  <c r="J97" i="22"/>
  <c r="M97" i="22"/>
  <c r="AR96" i="22"/>
  <c r="AV96" i="22"/>
  <c r="L96" i="22"/>
  <c r="AT96" i="22" s="1"/>
  <c r="Q98" i="22"/>
  <c r="Z98" i="22"/>
  <c r="R98" i="22"/>
  <c r="S98" i="22"/>
  <c r="AB98" i="22"/>
  <c r="C98" i="22"/>
  <c r="U98" i="22"/>
  <c r="AD98" i="22"/>
  <c r="V98" i="22"/>
  <c r="AE98" i="22"/>
  <c r="W98" i="22"/>
  <c r="AF98" i="22"/>
  <c r="AC98" i="22"/>
  <c r="AG98" i="22"/>
  <c r="B99" i="22"/>
  <c r="T98" i="22"/>
  <c r="X98" i="22"/>
  <c r="AA98" i="22"/>
  <c r="AQ96" i="22"/>
  <c r="AU96" i="22"/>
  <c r="AP96" i="22"/>
  <c r="L97" i="22" l="1"/>
  <c r="AT97" i="22" s="1"/>
  <c r="N98" i="22"/>
  <c r="AU97" i="22"/>
  <c r="AQ97" i="22"/>
  <c r="M98" i="22"/>
  <c r="AP97" i="22"/>
  <c r="C99" i="22"/>
  <c r="U99" i="22"/>
  <c r="AD99" i="22"/>
  <c r="W99" i="22"/>
  <c r="AF99" i="22"/>
  <c r="Q99" i="22"/>
  <c r="Z99" i="22"/>
  <c r="R99" i="22"/>
  <c r="AA99" i="22"/>
  <c r="S99" i="22"/>
  <c r="AB99" i="22"/>
  <c r="T99" i="22"/>
  <c r="B100" i="22"/>
  <c r="V99" i="22"/>
  <c r="X99" i="22"/>
  <c r="AC99" i="22"/>
  <c r="AE99" i="22"/>
  <c r="AG99" i="22"/>
  <c r="G98" i="22"/>
  <c r="H98" i="22"/>
  <c r="I98" i="22"/>
  <c r="K98" i="22"/>
  <c r="D98" i="22"/>
  <c r="E98" i="22"/>
  <c r="F98" i="22"/>
  <c r="J98" i="22"/>
  <c r="AS97" i="22"/>
  <c r="AV97" i="22"/>
  <c r="AR97" i="22"/>
  <c r="L98" i="22" l="1"/>
  <c r="K99" i="22"/>
  <c r="E99" i="22"/>
  <c r="G99" i="22"/>
  <c r="H99" i="22"/>
  <c r="I99" i="22"/>
  <c r="D99" i="22"/>
  <c r="F99" i="22"/>
  <c r="J99" i="22"/>
  <c r="AR98" i="22"/>
  <c r="AV98" i="22"/>
  <c r="AS98" i="22"/>
  <c r="M99" i="22"/>
  <c r="AU98" i="22"/>
  <c r="AQ98" i="22"/>
  <c r="Q100" i="22"/>
  <c r="Z100" i="22"/>
  <c r="C100" i="22"/>
  <c r="U100" i="22"/>
  <c r="AD100" i="22"/>
  <c r="V100" i="22"/>
  <c r="AE100" i="22"/>
  <c r="W100" i="22"/>
  <c r="AF100" i="22"/>
  <c r="S100" i="22"/>
  <c r="T100" i="22"/>
  <c r="X100" i="22"/>
  <c r="B101" i="22"/>
  <c r="AA100" i="22"/>
  <c r="AB100" i="22"/>
  <c r="AC100" i="22"/>
  <c r="AG100" i="22"/>
  <c r="R100" i="22"/>
  <c r="N99" i="22"/>
  <c r="AP98" i="22"/>
  <c r="AT98" i="22"/>
  <c r="AS99" i="22" l="1"/>
  <c r="L99" i="22"/>
  <c r="AT99" i="22" s="1"/>
  <c r="N100" i="22"/>
  <c r="AV99" i="22"/>
  <c r="AR99" i="22"/>
  <c r="M100" i="22"/>
  <c r="AQ99" i="22"/>
  <c r="AU99" i="22"/>
  <c r="AP99" i="22"/>
  <c r="C101" i="22"/>
  <c r="U101" i="22"/>
  <c r="AD101" i="22"/>
  <c r="Q101" i="22"/>
  <c r="Z101" i="22"/>
  <c r="R101" i="22"/>
  <c r="AA101" i="22"/>
  <c r="S101" i="22"/>
  <c r="AB101" i="22"/>
  <c r="AF101" i="22"/>
  <c r="AG101" i="22"/>
  <c r="T101" i="22"/>
  <c r="V101" i="22"/>
  <c r="W101" i="22"/>
  <c r="X101" i="22"/>
  <c r="AC101" i="22"/>
  <c r="B102" i="22"/>
  <c r="AE101" i="22"/>
  <c r="G100" i="22"/>
  <c r="I100" i="22"/>
  <c r="K100" i="22"/>
  <c r="D100" i="22"/>
  <c r="E100" i="22"/>
  <c r="F100" i="22"/>
  <c r="H100" i="22"/>
  <c r="J100" i="22"/>
  <c r="AS100" i="22" l="1"/>
  <c r="L100" i="22"/>
  <c r="C102" i="22"/>
  <c r="U102" i="22"/>
  <c r="AD102" i="22"/>
  <c r="V102" i="22"/>
  <c r="AE102" i="22"/>
  <c r="W102" i="22"/>
  <c r="AF102" i="22"/>
  <c r="T102" i="22"/>
  <c r="X102" i="22"/>
  <c r="Z102" i="22"/>
  <c r="AA102" i="22"/>
  <c r="B103" i="22"/>
  <c r="AB102" i="22"/>
  <c r="Q102" i="22"/>
  <c r="AC102" i="22"/>
  <c r="R102" i="22"/>
  <c r="AG102" i="22"/>
  <c r="S102" i="22"/>
  <c r="N101" i="22"/>
  <c r="AP100" i="22"/>
  <c r="AT100" i="22"/>
  <c r="AU100" i="22"/>
  <c r="AQ100" i="22"/>
  <c r="M101" i="22"/>
  <c r="AV100" i="22"/>
  <c r="AR100" i="22"/>
  <c r="K101" i="22"/>
  <c r="G101" i="22"/>
  <c r="H101" i="22"/>
  <c r="I101" i="22"/>
  <c r="D101" i="22"/>
  <c r="E101" i="22"/>
  <c r="F101" i="22"/>
  <c r="J101" i="22"/>
  <c r="M102" i="22" l="1"/>
  <c r="AQ101" i="22"/>
  <c r="AU101" i="22"/>
  <c r="AP101" i="22"/>
  <c r="Q103" i="22"/>
  <c r="Z103" i="22"/>
  <c r="R103" i="22"/>
  <c r="AA103" i="22"/>
  <c r="S103" i="22"/>
  <c r="AB103" i="22"/>
  <c r="W103" i="22"/>
  <c r="X103" i="22"/>
  <c r="AC103" i="22"/>
  <c r="AD103" i="22"/>
  <c r="B104" i="22"/>
  <c r="C103" i="22"/>
  <c r="AE103" i="22"/>
  <c r="T103" i="22"/>
  <c r="AF103" i="22"/>
  <c r="U103" i="22"/>
  <c r="AG103" i="22"/>
  <c r="V103" i="22"/>
  <c r="AS101" i="22"/>
  <c r="L101" i="22"/>
  <c r="AT101" i="22" s="1"/>
  <c r="AR101" i="22"/>
  <c r="AV101" i="22"/>
  <c r="N102" i="22"/>
  <c r="K102" i="22"/>
  <c r="D102" i="22"/>
  <c r="E102" i="22"/>
  <c r="G102" i="22"/>
  <c r="H102" i="22"/>
  <c r="I102" i="22"/>
  <c r="J102" i="22"/>
  <c r="F102" i="22"/>
  <c r="L102" i="22" l="1"/>
  <c r="AT102" i="22" s="1"/>
  <c r="AS102" i="22"/>
  <c r="AP102" i="22"/>
  <c r="C104" i="22"/>
  <c r="U104" i="22"/>
  <c r="AD104" i="22"/>
  <c r="V104" i="22"/>
  <c r="AE104" i="22"/>
  <c r="W104" i="22"/>
  <c r="AF104" i="22"/>
  <c r="AA104" i="22"/>
  <c r="B105" i="22"/>
  <c r="AB104" i="22"/>
  <c r="Q104" i="22"/>
  <c r="AC104" i="22"/>
  <c r="R104" i="22"/>
  <c r="AG104" i="22"/>
  <c r="S104" i="22"/>
  <c r="T104" i="22"/>
  <c r="X104" i="22"/>
  <c r="Z104" i="22"/>
  <c r="N103" i="22"/>
  <c r="M103" i="22"/>
  <c r="AV102" i="22"/>
  <c r="AR102" i="22"/>
  <c r="AU102" i="22"/>
  <c r="AQ102" i="22"/>
  <c r="G103" i="22"/>
  <c r="H103" i="22"/>
  <c r="I103" i="22"/>
  <c r="J103" i="22"/>
  <c r="K103" i="22"/>
  <c r="D103" i="22"/>
  <c r="E103" i="22"/>
  <c r="F103" i="22"/>
  <c r="AS103" i="22" l="1"/>
  <c r="L103" i="22"/>
  <c r="AT103" i="22" s="1"/>
  <c r="AR103" i="22"/>
  <c r="AV103" i="22"/>
  <c r="M104" i="22"/>
  <c r="N104" i="22"/>
  <c r="Q105" i="22"/>
  <c r="Z105" i="22"/>
  <c r="R105" i="22"/>
  <c r="AA105" i="22"/>
  <c r="S105" i="22"/>
  <c r="AB105" i="22"/>
  <c r="AD105" i="22"/>
  <c r="B106" i="22"/>
  <c r="C105" i="22"/>
  <c r="AE105" i="22"/>
  <c r="T105" i="22"/>
  <c r="AF105" i="22"/>
  <c r="U105" i="22"/>
  <c r="AG105" i="22"/>
  <c r="V105" i="22"/>
  <c r="W105" i="22"/>
  <c r="X105" i="22"/>
  <c r="AC105" i="22"/>
  <c r="K104" i="22"/>
  <c r="D104" i="22"/>
  <c r="E104" i="22"/>
  <c r="J104" i="22"/>
  <c r="F104" i="22"/>
  <c r="G104" i="22"/>
  <c r="H104" i="22"/>
  <c r="I104" i="22"/>
  <c r="AQ103" i="22"/>
  <c r="AU103" i="22"/>
  <c r="AP103" i="22"/>
  <c r="AS104" i="22" l="1"/>
  <c r="L104" i="22"/>
  <c r="AT104" i="22" s="1"/>
  <c r="AU104" i="22"/>
  <c r="AQ104" i="22"/>
  <c r="N105" i="22"/>
  <c r="M105" i="22"/>
  <c r="AP104" i="22"/>
  <c r="C106" i="22"/>
  <c r="U106" i="22"/>
  <c r="AD106" i="22"/>
  <c r="V106" i="22"/>
  <c r="AE106" i="22"/>
  <c r="R106" i="22"/>
  <c r="AC106" i="22"/>
  <c r="B107" i="22"/>
  <c r="S106" i="22"/>
  <c r="AF106" i="22"/>
  <c r="T106" i="22"/>
  <c r="AG106" i="22"/>
  <c r="W106" i="22"/>
  <c r="X106" i="22"/>
  <c r="Z106" i="22"/>
  <c r="AA106" i="22"/>
  <c r="Q106" i="22"/>
  <c r="AB106" i="22"/>
  <c r="G105" i="22"/>
  <c r="H105" i="22"/>
  <c r="I105" i="22"/>
  <c r="D105" i="22"/>
  <c r="E105" i="22"/>
  <c r="F105" i="22"/>
  <c r="J105" i="22"/>
  <c r="K105" i="22"/>
  <c r="AV104" i="22"/>
  <c r="AR104" i="22"/>
  <c r="M106" i="22" l="1"/>
  <c r="AS105" i="22"/>
  <c r="K106" i="22"/>
  <c r="D106" i="22"/>
  <c r="E106" i="22"/>
  <c r="F106" i="22"/>
  <c r="G106" i="22"/>
  <c r="H106" i="22"/>
  <c r="I106" i="22"/>
  <c r="J106" i="22"/>
  <c r="Q107" i="22"/>
  <c r="Z107" i="22"/>
  <c r="R107" i="22"/>
  <c r="AA107" i="22"/>
  <c r="X107" i="22"/>
  <c r="C107" i="22"/>
  <c r="AB107" i="22"/>
  <c r="AC107" i="22"/>
  <c r="S107" i="22"/>
  <c r="AD107" i="22"/>
  <c r="T107" i="22"/>
  <c r="AE107" i="22"/>
  <c r="B108" i="22"/>
  <c r="U107" i="22"/>
  <c r="AF107" i="22"/>
  <c r="V107" i="22"/>
  <c r="AG107" i="22"/>
  <c r="W107" i="22"/>
  <c r="N106" i="22"/>
  <c r="L106" i="22" s="1"/>
  <c r="AQ105" i="22"/>
  <c r="AU105" i="22"/>
  <c r="L105" i="22"/>
  <c r="AT105" i="22" s="1"/>
  <c r="AR105" i="22"/>
  <c r="AV105" i="22"/>
  <c r="AP105" i="22"/>
  <c r="AS106" i="22" l="1"/>
  <c r="AR106" i="22"/>
  <c r="AV106" i="22"/>
  <c r="AU106" i="22"/>
  <c r="AQ106" i="22"/>
  <c r="G107" i="22"/>
  <c r="H107" i="22"/>
  <c r="D107" i="22"/>
  <c r="E107" i="22"/>
  <c r="F107" i="22"/>
  <c r="I107" i="22"/>
  <c r="J107" i="22"/>
  <c r="K107" i="22"/>
  <c r="AT106" i="22"/>
  <c r="AP106" i="22"/>
  <c r="M107" i="22"/>
  <c r="C108" i="22"/>
  <c r="U108" i="22"/>
  <c r="AD108" i="22"/>
  <c r="V108" i="22"/>
  <c r="AE108" i="22"/>
  <c r="T108" i="22"/>
  <c r="AG108" i="22"/>
  <c r="W108" i="22"/>
  <c r="X108" i="22"/>
  <c r="Z108" i="22"/>
  <c r="AA108" i="22"/>
  <c r="Q108" i="22"/>
  <c r="AB108" i="22"/>
  <c r="R108" i="22"/>
  <c r="AC108" i="22"/>
  <c r="B109" i="22"/>
  <c r="AF108" i="22"/>
  <c r="S108" i="22"/>
  <c r="N107" i="22"/>
  <c r="N108" i="22" l="1"/>
  <c r="K108" i="22"/>
  <c r="D108" i="22"/>
  <c r="H108" i="22"/>
  <c r="I108" i="22"/>
  <c r="J108" i="22"/>
  <c r="E108" i="22"/>
  <c r="F108" i="22"/>
  <c r="G108" i="22"/>
  <c r="AP107" i="22"/>
  <c r="AS107" i="22"/>
  <c r="Q109" i="22"/>
  <c r="Z109" i="22"/>
  <c r="X109" i="22"/>
  <c r="AA109" i="22"/>
  <c r="R109" i="22"/>
  <c r="AB109" i="22"/>
  <c r="S109" i="22"/>
  <c r="AC109" i="22"/>
  <c r="T109" i="22"/>
  <c r="AD109" i="22"/>
  <c r="U109" i="22"/>
  <c r="V109" i="22"/>
  <c r="AF109" i="22"/>
  <c r="B110" i="22"/>
  <c r="C109" i="22"/>
  <c r="W109" i="22"/>
  <c r="AE109" i="22"/>
  <c r="AG109" i="22"/>
  <c r="M108" i="22"/>
  <c r="AV107" i="22"/>
  <c r="AR107" i="22"/>
  <c r="L107" i="22"/>
  <c r="AT107" i="22" s="1"/>
  <c r="AQ107" i="22"/>
  <c r="AU107" i="22"/>
  <c r="L108" i="22" l="1"/>
  <c r="AS108" i="22"/>
  <c r="N109" i="22"/>
  <c r="AR108" i="22"/>
  <c r="AV108" i="22"/>
  <c r="AU108" i="22"/>
  <c r="AQ108" i="22"/>
  <c r="M109" i="22"/>
  <c r="G109" i="22"/>
  <c r="D109" i="22"/>
  <c r="E109" i="22"/>
  <c r="F109" i="22"/>
  <c r="H109" i="22"/>
  <c r="I109" i="22"/>
  <c r="J109" i="22"/>
  <c r="K109" i="22"/>
  <c r="AT108" i="22"/>
  <c r="AP108" i="22"/>
  <c r="V110" i="22"/>
  <c r="AE110" i="22"/>
  <c r="X110" i="22"/>
  <c r="AG110" i="22"/>
  <c r="B111" i="22"/>
  <c r="Q110" i="22"/>
  <c r="Z110" i="22"/>
  <c r="R110" i="22"/>
  <c r="AA110" i="22"/>
  <c r="T110" i="22"/>
  <c r="AC110" i="22"/>
  <c r="S110" i="22"/>
  <c r="U110" i="22"/>
  <c r="W110" i="22"/>
  <c r="AB110" i="22"/>
  <c r="AD110" i="22"/>
  <c r="C110" i="22"/>
  <c r="AF110" i="22"/>
  <c r="AS109" i="22" l="1"/>
  <c r="L109" i="22"/>
  <c r="AT109" i="22" s="1"/>
  <c r="N110" i="22"/>
  <c r="M110" i="22"/>
  <c r="AR109" i="22"/>
  <c r="AV109" i="22"/>
  <c r="T111" i="22"/>
  <c r="AC111" i="22"/>
  <c r="V111" i="22"/>
  <c r="AE111" i="22"/>
  <c r="X111" i="22"/>
  <c r="AG111" i="22"/>
  <c r="B112" i="22"/>
  <c r="W111" i="22"/>
  <c r="Z111" i="22"/>
  <c r="AA111" i="22"/>
  <c r="AB111" i="22"/>
  <c r="Q111" i="22"/>
  <c r="AD111" i="22"/>
  <c r="C111" i="22"/>
  <c r="R111" i="22"/>
  <c r="AF111" i="22"/>
  <c r="S111" i="22"/>
  <c r="U111" i="22"/>
  <c r="AQ109" i="22"/>
  <c r="AU109" i="22"/>
  <c r="AP109" i="22"/>
  <c r="D110" i="22"/>
  <c r="E110" i="22"/>
  <c r="F110" i="22"/>
  <c r="G110" i="22"/>
  <c r="H110" i="22"/>
  <c r="J110" i="22"/>
  <c r="I110" i="22"/>
  <c r="K110" i="22"/>
  <c r="L110" i="22" l="1"/>
  <c r="AT110" i="22" s="1"/>
  <c r="AR110" i="22"/>
  <c r="AV110" i="22"/>
  <c r="M111" i="22"/>
  <c r="AP110" i="22"/>
  <c r="X112" i="22"/>
  <c r="AG112" i="22"/>
  <c r="B113" i="22"/>
  <c r="R112" i="22"/>
  <c r="AA112" i="22"/>
  <c r="T112" i="22"/>
  <c r="AC112" i="22"/>
  <c r="Z112" i="22"/>
  <c r="AB112" i="22"/>
  <c r="AD112" i="22"/>
  <c r="C112" i="22"/>
  <c r="Q112" i="22"/>
  <c r="AE112" i="22"/>
  <c r="S112" i="22"/>
  <c r="AF112" i="22"/>
  <c r="W112" i="22"/>
  <c r="U112" i="22"/>
  <c r="V112" i="22"/>
  <c r="AQ110" i="22"/>
  <c r="AU110" i="22"/>
  <c r="N111" i="22"/>
  <c r="AS110" i="22"/>
  <c r="J111" i="22"/>
  <c r="D111" i="22"/>
  <c r="F111" i="22"/>
  <c r="H111" i="22"/>
  <c r="I111" i="22"/>
  <c r="K111" i="22"/>
  <c r="E111" i="22"/>
  <c r="G111" i="22"/>
  <c r="AS111" i="22" l="1"/>
  <c r="N112" i="22"/>
  <c r="L111" i="22"/>
  <c r="M112" i="22"/>
  <c r="AU111" i="22"/>
  <c r="AQ111" i="22"/>
  <c r="F112" i="22"/>
  <c r="H112" i="22"/>
  <c r="J112" i="22"/>
  <c r="K112" i="22"/>
  <c r="D112" i="22"/>
  <c r="E112" i="22"/>
  <c r="G112" i="22"/>
  <c r="I112" i="22"/>
  <c r="T113" i="22"/>
  <c r="AC113" i="22"/>
  <c r="V113" i="22"/>
  <c r="AE113" i="22"/>
  <c r="X113" i="22"/>
  <c r="AG113" i="22"/>
  <c r="B114" i="22"/>
  <c r="AB113" i="22"/>
  <c r="Q113" i="22"/>
  <c r="AD113" i="22"/>
  <c r="C113" i="22"/>
  <c r="R113" i="22"/>
  <c r="AF113" i="22"/>
  <c r="S113" i="22"/>
  <c r="U113" i="22"/>
  <c r="W113" i="22"/>
  <c r="Z113" i="22"/>
  <c r="AA113" i="22"/>
  <c r="AR111" i="22"/>
  <c r="AV111" i="22"/>
  <c r="AT111" i="22"/>
  <c r="AP111" i="22"/>
  <c r="AS112" i="22" l="1"/>
  <c r="L112" i="22"/>
  <c r="AT112" i="22" s="1"/>
  <c r="AV112" i="22"/>
  <c r="AR112" i="22"/>
  <c r="AP112" i="22"/>
  <c r="N113" i="22"/>
  <c r="M113" i="22"/>
  <c r="AQ112" i="22"/>
  <c r="AU112" i="22"/>
  <c r="J113" i="22"/>
  <c r="D113" i="22"/>
  <c r="F113" i="22"/>
  <c r="E113" i="22"/>
  <c r="G113" i="22"/>
  <c r="H113" i="22"/>
  <c r="K113" i="22"/>
  <c r="I113" i="22"/>
  <c r="X114" i="22"/>
  <c r="AG114" i="22"/>
  <c r="B115" i="22"/>
  <c r="R114" i="22"/>
  <c r="AA114" i="22"/>
  <c r="T114" i="22"/>
  <c r="AC114" i="22"/>
  <c r="C114" i="22"/>
  <c r="Q114" i="22"/>
  <c r="AE114" i="22"/>
  <c r="S114" i="22"/>
  <c r="AF114" i="22"/>
  <c r="U114" i="22"/>
  <c r="V114" i="22"/>
  <c r="W114" i="22"/>
  <c r="Z114" i="22"/>
  <c r="AD114" i="22"/>
  <c r="AB114" i="22"/>
  <c r="L113" i="22" l="1"/>
  <c r="AT113" i="22" s="1"/>
  <c r="M114" i="22"/>
  <c r="N114" i="22"/>
  <c r="F114" i="22"/>
  <c r="H114" i="22"/>
  <c r="J114" i="22"/>
  <c r="D114" i="22"/>
  <c r="E114" i="22"/>
  <c r="G114" i="22"/>
  <c r="I114" i="22"/>
  <c r="K114" i="22"/>
  <c r="AU113" i="22"/>
  <c r="AQ113" i="22"/>
  <c r="AS113" i="22"/>
  <c r="AP113" i="22"/>
  <c r="T115" i="22"/>
  <c r="AC115" i="22"/>
  <c r="V115" i="22"/>
  <c r="AE115" i="22"/>
  <c r="X115" i="22"/>
  <c r="AG115" i="22"/>
  <c r="B116" i="22"/>
  <c r="S115" i="22"/>
  <c r="U115" i="22"/>
  <c r="W115" i="22"/>
  <c r="Z115" i="22"/>
  <c r="C115" i="22"/>
  <c r="AF115" i="22"/>
  <c r="AA115" i="22"/>
  <c r="AB115" i="22"/>
  <c r="Q115" i="22"/>
  <c r="AD115" i="22"/>
  <c r="R115" i="22"/>
  <c r="AV113" i="22"/>
  <c r="AR113" i="22"/>
  <c r="AS114" i="22" l="1"/>
  <c r="N115" i="22"/>
  <c r="L114" i="22"/>
  <c r="AT114" i="22" s="1"/>
  <c r="AQ114" i="22"/>
  <c r="AU114" i="22"/>
  <c r="AR114" i="22"/>
  <c r="AV114" i="22"/>
  <c r="AP114" i="22"/>
  <c r="M115" i="22"/>
  <c r="X116" i="22"/>
  <c r="AG116" i="22"/>
  <c r="B117" i="22"/>
  <c r="R116" i="22"/>
  <c r="AA116" i="22"/>
  <c r="T116" i="22"/>
  <c r="AC116" i="22"/>
  <c r="V116" i="22"/>
  <c r="W116" i="22"/>
  <c r="Z116" i="22"/>
  <c r="AB116" i="22"/>
  <c r="AD116" i="22"/>
  <c r="C116" i="22"/>
  <c r="Q116" i="22"/>
  <c r="AE116" i="22"/>
  <c r="U116" i="22"/>
  <c r="S116" i="22"/>
  <c r="AF116" i="22"/>
  <c r="J115" i="22"/>
  <c r="D115" i="22"/>
  <c r="F115" i="22"/>
  <c r="E115" i="22"/>
  <c r="G115" i="22"/>
  <c r="H115" i="22"/>
  <c r="I115" i="22"/>
  <c r="K115" i="22"/>
  <c r="L115" i="22" l="1"/>
  <c r="AT115" i="22" s="1"/>
  <c r="AP115" i="22"/>
  <c r="M116" i="22"/>
  <c r="F116" i="22"/>
  <c r="H116" i="22"/>
  <c r="J116" i="22"/>
  <c r="G116" i="22"/>
  <c r="I116" i="22"/>
  <c r="K116" i="22"/>
  <c r="E116" i="22"/>
  <c r="D116" i="22"/>
  <c r="AR115" i="22"/>
  <c r="AV115" i="22"/>
  <c r="T117" i="22"/>
  <c r="AC117" i="22"/>
  <c r="X117" i="22"/>
  <c r="AG117" i="22"/>
  <c r="B118" i="22"/>
  <c r="U117" i="22"/>
  <c r="AF117" i="22"/>
  <c r="V117" i="22"/>
  <c r="W117" i="22"/>
  <c r="Z117" i="22"/>
  <c r="C117" i="22"/>
  <c r="AA117" i="22"/>
  <c r="Q117" i="22"/>
  <c r="AE117" i="22"/>
  <c r="AB117" i="22"/>
  <c r="R117" i="22"/>
  <c r="AD117" i="22"/>
  <c r="S117" i="22"/>
  <c r="AU115" i="22"/>
  <c r="AQ115" i="22"/>
  <c r="AS115" i="22"/>
  <c r="N116" i="22"/>
  <c r="L116" i="22" s="1"/>
  <c r="AS116" i="22" l="1"/>
  <c r="J117" i="22"/>
  <c r="F117" i="22"/>
  <c r="H117" i="22"/>
  <c r="I117" i="22"/>
  <c r="K117" i="22"/>
  <c r="G117" i="22"/>
  <c r="D117" i="22"/>
  <c r="E117" i="22"/>
  <c r="AQ116" i="22"/>
  <c r="AU116" i="22"/>
  <c r="N117" i="22"/>
  <c r="AR116" i="22"/>
  <c r="AV116" i="22"/>
  <c r="AT116" i="22"/>
  <c r="AP116" i="22"/>
  <c r="M117" i="22"/>
  <c r="X118" i="22"/>
  <c r="AG118" i="22"/>
  <c r="B119" i="22"/>
  <c r="T118" i="22"/>
  <c r="AC118" i="22"/>
  <c r="Q118" i="22"/>
  <c r="AB118" i="22"/>
  <c r="R118" i="22"/>
  <c r="AD118" i="22"/>
  <c r="S118" i="22"/>
  <c r="AE118" i="22"/>
  <c r="U118" i="22"/>
  <c r="AF118" i="22"/>
  <c r="C118" i="22"/>
  <c r="V118" i="22"/>
  <c r="W118" i="22"/>
  <c r="AA118" i="22"/>
  <c r="Z118" i="22"/>
  <c r="AS117" i="22" l="1"/>
  <c r="M118" i="22"/>
  <c r="F118" i="22"/>
  <c r="J118" i="22"/>
  <c r="D118" i="22"/>
  <c r="E118" i="22"/>
  <c r="G118" i="22"/>
  <c r="H118" i="22"/>
  <c r="I118" i="22"/>
  <c r="K118" i="22"/>
  <c r="AQ117" i="22"/>
  <c r="AU117" i="22"/>
  <c r="T119" i="22"/>
  <c r="AC119" i="22"/>
  <c r="X119" i="22"/>
  <c r="AG119" i="22"/>
  <c r="W119" i="22"/>
  <c r="Z119" i="22"/>
  <c r="C119" i="22"/>
  <c r="AA119" i="22"/>
  <c r="Q119" i="22"/>
  <c r="AB119" i="22"/>
  <c r="R119" i="22"/>
  <c r="AD119" i="22"/>
  <c r="AE119" i="22"/>
  <c r="B120" i="22"/>
  <c r="V119" i="22"/>
  <c r="S119" i="22"/>
  <c r="U119" i="22"/>
  <c r="AF119" i="22"/>
  <c r="L117" i="22"/>
  <c r="AT117" i="22" s="1"/>
  <c r="AP117" i="22"/>
  <c r="N118" i="22"/>
  <c r="AR117" i="22"/>
  <c r="AV117" i="22"/>
  <c r="L118" i="22" l="1"/>
  <c r="AS118" i="22"/>
  <c r="Q120" i="22"/>
  <c r="Z120" i="22"/>
  <c r="R120" i="22"/>
  <c r="AA120" i="22"/>
  <c r="S120" i="22"/>
  <c r="AB120" i="22"/>
  <c r="T120" i="22"/>
  <c r="AC120" i="22"/>
  <c r="AE120" i="22"/>
  <c r="X120" i="22"/>
  <c r="U120" i="22"/>
  <c r="AD120" i="22"/>
  <c r="V120" i="22"/>
  <c r="B121" i="22"/>
  <c r="AG120" i="22"/>
  <c r="C120" i="22"/>
  <c r="W120" i="22"/>
  <c r="AF120" i="22"/>
  <c r="AU118" i="22"/>
  <c r="AQ118" i="22"/>
  <c r="AT118" i="22"/>
  <c r="AP118" i="22"/>
  <c r="M119" i="22"/>
  <c r="AV118" i="22"/>
  <c r="AR118" i="22"/>
  <c r="J119" i="22"/>
  <c r="F119" i="22"/>
  <c r="K119" i="22"/>
  <c r="D119" i="22"/>
  <c r="I119" i="22"/>
  <c r="E119" i="22"/>
  <c r="G119" i="22"/>
  <c r="H119" i="22"/>
  <c r="N119" i="22"/>
  <c r="M120" i="22" l="1"/>
  <c r="F120" i="22"/>
  <c r="E120" i="22"/>
  <c r="G120" i="22"/>
  <c r="H120" i="22"/>
  <c r="I120" i="22"/>
  <c r="K120" i="22"/>
  <c r="D120" i="22"/>
  <c r="J120" i="22"/>
  <c r="AP119" i="22"/>
  <c r="AQ119" i="22"/>
  <c r="AU119" i="22"/>
  <c r="C121" i="22"/>
  <c r="U121" i="22"/>
  <c r="AD121" i="22"/>
  <c r="V121" i="22"/>
  <c r="AE121" i="22"/>
  <c r="W121" i="22"/>
  <c r="AF121" i="22"/>
  <c r="X121" i="22"/>
  <c r="AG121" i="22"/>
  <c r="B122" i="22"/>
  <c r="AC121" i="22"/>
  <c r="Q121" i="22"/>
  <c r="Z121" i="22"/>
  <c r="AA121" i="22"/>
  <c r="T121" i="22"/>
  <c r="R121" i="22"/>
  <c r="S121" i="22"/>
  <c r="AB121" i="22"/>
  <c r="AS119" i="22"/>
  <c r="L119" i="22"/>
  <c r="AT119" i="22" s="1"/>
  <c r="AR119" i="22"/>
  <c r="AV119" i="22"/>
  <c r="N120" i="22"/>
  <c r="L120" i="22" l="1"/>
  <c r="AT120" i="22" s="1"/>
  <c r="M121" i="22"/>
  <c r="AS120" i="22"/>
  <c r="N121" i="22"/>
  <c r="AR120" i="22"/>
  <c r="AV120" i="22"/>
  <c r="Q122" i="22"/>
  <c r="Z122" i="22"/>
  <c r="AA122" i="22"/>
  <c r="T122" i="22"/>
  <c r="AC122" i="22"/>
  <c r="AE122" i="22"/>
  <c r="B123" i="22"/>
  <c r="C122" i="22"/>
  <c r="U122" i="22"/>
  <c r="AD122" i="22"/>
  <c r="AB122" i="22"/>
  <c r="V122" i="22"/>
  <c r="X122" i="22"/>
  <c r="W122" i="22"/>
  <c r="AF122" i="22"/>
  <c r="AG122" i="22"/>
  <c r="R122" i="22"/>
  <c r="S122" i="22"/>
  <c r="K121" i="22"/>
  <c r="D121" i="22"/>
  <c r="E121" i="22"/>
  <c r="F121" i="22"/>
  <c r="G121" i="22"/>
  <c r="H121" i="22"/>
  <c r="I121" i="22"/>
  <c r="J121" i="22"/>
  <c r="AQ120" i="22"/>
  <c r="AU120" i="22"/>
  <c r="AP120" i="22"/>
  <c r="L121" i="22" l="1"/>
  <c r="N122" i="22"/>
  <c r="AV121" i="22"/>
  <c r="AR121" i="22"/>
  <c r="M122" i="22"/>
  <c r="AS121" i="22"/>
  <c r="AU121" i="22"/>
  <c r="AQ121" i="22"/>
  <c r="AT121" i="22"/>
  <c r="AP121" i="22"/>
  <c r="G122" i="22"/>
  <c r="H122" i="22"/>
  <c r="J122" i="22"/>
  <c r="D122" i="22"/>
  <c r="I122" i="22"/>
  <c r="K122" i="22"/>
  <c r="E122" i="22"/>
  <c r="F122" i="22"/>
  <c r="C123" i="22"/>
  <c r="U123" i="22"/>
  <c r="AD123" i="22"/>
  <c r="AE123" i="22"/>
  <c r="AF123" i="22"/>
  <c r="X123" i="22"/>
  <c r="AG123" i="22"/>
  <c r="AA123" i="22"/>
  <c r="T123" i="22"/>
  <c r="W123" i="22"/>
  <c r="Q123" i="22"/>
  <c r="Z123" i="22"/>
  <c r="R123" i="22"/>
  <c r="AC123" i="22"/>
  <c r="V123" i="22"/>
  <c r="S123" i="22"/>
  <c r="AB123" i="22"/>
  <c r="AS122" i="22" l="1"/>
  <c r="L122" i="22"/>
  <c r="AT122" i="22" s="1"/>
  <c r="AU122" i="22"/>
  <c r="AQ122" i="22"/>
  <c r="N123" i="22"/>
  <c r="AR122" i="22"/>
  <c r="AV122" i="22"/>
  <c r="M123" i="22"/>
  <c r="AP122" i="22"/>
  <c r="K123" i="22"/>
  <c r="D123" i="22"/>
  <c r="F123" i="22"/>
  <c r="G123" i="22"/>
  <c r="H123" i="22"/>
  <c r="J123" i="22"/>
  <c r="E123" i="22"/>
  <c r="I123" i="22"/>
  <c r="AS123" i="22" l="1"/>
  <c r="AS47" i="22" s="1"/>
  <c r="AU123" i="22"/>
  <c r="AU47" i="22" s="1"/>
  <c r="AQ123" i="22"/>
  <c r="AQ47" i="22" s="1"/>
  <c r="AV123" i="22"/>
  <c r="AV47" i="22" s="1"/>
  <c r="AR123" i="22"/>
  <c r="AR47" i="22" s="1"/>
  <c r="L123" i="22"/>
  <c r="AT123" i="22" s="1"/>
  <c r="AT47" i="22" s="1"/>
  <c r="AP123" i="22"/>
  <c r="AP47" i="22" s="1"/>
  <c r="B7" i="22" l="1"/>
  <c r="C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</author>
  </authors>
  <commentList>
    <comment ref="H1" authorId="0" shapeId="0" xr:uid="{00000000-0006-0000-0100-000001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0" shapeId="0" xr:uid="{00000000-0006-0000-0100-000002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0" shapeId="0" xr:uid="{00000000-0006-0000-0100-000003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0" shapeId="0" xr:uid="{00000000-0006-0000-0100-000004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H27" authorId="0" shapeId="0" xr:uid="{00000000-0006-0000-0100-000005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27" authorId="0" shapeId="0" xr:uid="{00000000-0006-0000-0100-000006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27" authorId="0" shapeId="0" xr:uid="{00000000-0006-0000-0100-000007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27" authorId="0" shapeId="0" xr:uid="{00000000-0006-0000-0100-000008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1" authorId="0" shapeId="0" xr:uid="{9D0DE95D-BD29-4484-88C5-A52AB9C13399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1" authorId="0" shapeId="0" xr:uid="{00000000-0006-0000-03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<sst xmlns="http://schemas.openxmlformats.org/spreadsheetml/2006/main" count="1369" uniqueCount="204">
  <si>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</si>
  <si>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</si>
  <si>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</si>
  <si>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</si>
  <si>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</si>
  <si>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</si>
  <si>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</si>
  <si>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</si>
  <si>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</si>
  <si>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</si>
  <si>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</si>
  <si>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</si>
  <si>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</si>
  <si>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</si>
  <si>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</si>
  <si>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</si>
  <si>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</si>
  <si>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</si>
  <si>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</si>
  <si>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</si>
  <si>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</si>
  <si>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</si>
  <si>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</si>
  <si>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</si>
  <si>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</si>
  <si>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</si>
  <si>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</si>
  <si>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</si>
  <si>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</si>
  <si>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</si>
  <si>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</si>
  <si>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</si>
  <si>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</si>
  <si>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</si>
  <si>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</si>
  <si>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</si>
  <si>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</si>
  <si>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</si>
  <si>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</si>
  <si>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</si>
  <si>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</si>
  <si>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</si>
  <si>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</si>
  <si>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</si>
  <si>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</si>
  <si>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</si>
  <si>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</si>
  <si>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</si>
  <si>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</si>
  <si>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Н tr Дж</t>
  </si>
  <si>
    <t>S tr Дж</t>
  </si>
  <si>
    <t>H(T) Дж</t>
  </si>
  <si>
    <t>S(T) Дж</t>
  </si>
  <si>
    <t>H(To) Дж</t>
  </si>
  <si>
    <t>S(To) Дж</t>
  </si>
  <si>
    <t>ΔfН(To)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</si>
  <si>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</si>
  <si>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</si>
  <si>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</si>
  <si>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</si>
  <si>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</si>
  <si>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</si>
  <si>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</si>
  <si>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</si>
  <si>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ΔfН(To) кДж</t>
  </si>
  <si>
    <t>g</t>
  </si>
  <si>
    <t>dH(T) Дж</t>
  </si>
  <si>
    <t>Н tr кДж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</si>
  <si>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</si>
  <si>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</si>
  <si>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</si>
  <si>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</si>
  <si>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</si>
  <si>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</si>
  <si>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</si>
  <si>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</si>
  <si>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</si>
  <si>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</si>
  <si>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</si>
  <si>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</si>
  <si>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</si>
  <si>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</si>
  <si>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</si>
  <si>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</si>
  <si>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</si>
  <si>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</si>
  <si>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</si>
  <si>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Т</t>
  </si>
  <si>
    <t>Х</t>
  </si>
  <si>
    <t>G</t>
  </si>
  <si>
    <t>Начало</t>
  </si>
  <si>
    <t>Конец</t>
  </si>
  <si>
    <t>GeSe</t>
  </si>
  <si>
    <t>GeSe2</t>
  </si>
  <si>
    <t>CTC</t>
  </si>
  <si>
    <t>Base</t>
  </si>
  <si>
    <t>Delta *1000%</t>
  </si>
  <si>
    <t>Delta Gj/1000</t>
  </si>
  <si>
    <t>Разряд:</t>
  </si>
  <si>
    <t>Calibri</t>
  </si>
  <si>
    <t>Another</t>
  </si>
  <si>
    <t>ln X</t>
  </si>
  <si>
    <t>1/x^2</t>
  </si>
  <si>
    <t>1/X</t>
  </si>
  <si>
    <t>X^2</t>
  </si>
  <si>
    <t>X^3</t>
  </si>
  <si>
    <t>п</t>
  </si>
  <si>
    <t>Коэфф</t>
  </si>
  <si>
    <t>Т (К)</t>
  </si>
  <si>
    <t xml:space="preserve">Начало </t>
  </si>
  <si>
    <t xml:space="preserve">Конец </t>
  </si>
  <si>
    <t>Степень T             [П-&gt; T*Ln(T); l -&gt; ln(T)]</t>
  </si>
  <si>
    <t>Se (F. Zheng)</t>
  </si>
  <si>
    <t>GaSe (F. Zheng)</t>
  </si>
  <si>
    <t>*Ga[l] (F. Zheng)</t>
  </si>
  <si>
    <t>*(b)Ga2Se3 (F. Zheng)</t>
  </si>
  <si>
    <t>Фаза</t>
  </si>
  <si>
    <t>Se2</t>
  </si>
  <si>
    <t>Se3</t>
  </si>
  <si>
    <t>Se4</t>
  </si>
  <si>
    <t>Se5</t>
  </si>
  <si>
    <t>Se6</t>
  </si>
  <si>
    <t>Se7</t>
  </si>
  <si>
    <t>Se8</t>
  </si>
  <si>
    <t>Ge2</t>
  </si>
  <si>
    <t>Фаза             if "?" =&gt; not "g"</t>
  </si>
  <si>
    <t>Ga2</t>
  </si>
  <si>
    <t>Тип</t>
  </si>
  <si>
    <t>Н(To) кДж</t>
  </si>
  <si>
    <t>Банк</t>
  </si>
  <si>
    <t>Se[A]</t>
  </si>
  <si>
    <t>Se[M]</t>
  </si>
  <si>
    <t>Se[R]</t>
  </si>
  <si>
    <t>e</t>
  </si>
  <si>
    <t>Названиe</t>
  </si>
  <si>
    <t>Мeтка            1 - добавить, 0 - удалить, * - удалено</t>
  </si>
  <si>
    <t>*</t>
  </si>
  <si>
    <t>4</t>
  </si>
  <si>
    <t>Степень:</t>
  </si>
  <si>
    <t>степень</t>
  </si>
  <si>
    <t>Ф       Фаза</t>
  </si>
  <si>
    <t>S(To)  Дж</t>
  </si>
  <si>
    <t>Xo                    К/10000</t>
  </si>
  <si>
    <t>X                       К/10000</t>
  </si>
  <si>
    <t xml:space="preserve"> Т         Тип</t>
  </si>
  <si>
    <t>а</t>
  </si>
  <si>
    <t>0: H(T) Дж</t>
  </si>
  <si>
    <t>0: S(T) Дж</t>
  </si>
  <si>
    <t>0: G(T) Дж</t>
  </si>
  <si>
    <t>0: Cp(T) Дж</t>
  </si>
  <si>
    <t>1: H(T) Дж</t>
  </si>
  <si>
    <t>1: S(T) Дж</t>
  </si>
  <si>
    <t>1: G(T) Дж</t>
  </si>
  <si>
    <t>1: Cp(T) Дж</t>
  </si>
  <si>
    <t>1 сравнения</t>
  </si>
  <si>
    <t>0 эталон</t>
  </si>
  <si>
    <t>ΔH (1-0) kJ</t>
  </si>
  <si>
    <t>ΔG (1-0) kJ</t>
  </si>
  <si>
    <t>ΔS (1-0) J</t>
  </si>
  <si>
    <t>ΔCp (1-0) J</t>
  </si>
  <si>
    <t>2: H(T) Дж</t>
  </si>
  <si>
    <t>2: S(T) Дж</t>
  </si>
  <si>
    <t>2: G(T) Дж</t>
  </si>
  <si>
    <t>2: Cp(T) Дж</t>
  </si>
  <si>
    <t>2: Gi</t>
  </si>
  <si>
    <t>2: Si</t>
  </si>
  <si>
    <t>ΔS (1-2) J</t>
  </si>
  <si>
    <t>ΔH (1-2) kJ</t>
  </si>
  <si>
    <t>ΔG (1-2) kJ</t>
  </si>
  <si>
    <t>ΔCp (1-2) J</t>
  </si>
  <si>
    <t>1</t>
  </si>
  <si>
    <t>Пересчет</t>
  </si>
  <si>
    <t>1-0</t>
  </si>
  <si>
    <t>1-2</t>
  </si>
  <si>
    <t>Ga2Ge1Se4</t>
  </si>
  <si>
    <t>Ga4Ge1Se8</t>
  </si>
  <si>
    <t>Ga1Ge1Se3</t>
  </si>
  <si>
    <t>Ga10Ge30Se60</t>
  </si>
  <si>
    <t>Ga4Ge2Se8</t>
  </si>
  <si>
    <t>Ga2Ge4Se8</t>
  </si>
  <si>
    <t>Ga2Ge3Se8</t>
  </si>
  <si>
    <t>Ge4Se5</t>
  </si>
  <si>
    <t>Ge3Se4</t>
  </si>
  <si>
    <t>с</t>
  </si>
  <si>
    <t>Se?</t>
  </si>
  <si>
    <t>Geg</t>
  </si>
  <si>
    <t>2 135</t>
  </si>
  <si>
    <t>0^0001425</t>
  </si>
  <si>
    <t>G&amp;2</t>
  </si>
  <si>
    <t>a</t>
  </si>
  <si>
    <t>12 93</t>
  </si>
  <si>
    <t>-0:0002635</t>
  </si>
  <si>
    <t>m</t>
  </si>
  <si>
    <t>r</t>
  </si>
  <si>
    <t>Ga2GeSe4</t>
  </si>
  <si>
    <t>Ga4GeSe8</t>
  </si>
  <si>
    <t>GaGeSe3</t>
  </si>
  <si>
    <t>Ga10Ge30S</t>
  </si>
  <si>
    <t>Вещество</t>
  </si>
  <si>
    <t xml:space="preserve">Фаза        </t>
  </si>
  <si>
    <t>&lt;-новое</t>
  </si>
  <si>
    <t>новое</t>
  </si>
  <si>
    <t>старое</t>
  </si>
  <si>
    <t>Вещество2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</si>
</sst>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₽_-;\-* #,##0.00\ _₽_-;_-* &quot;-&quot;??\ _₽_-;_-@_-"/>
    <numFmt numFmtId="165" formatCode="0.000"/>
    <numFmt numFmtId="166" formatCode="0.000E+00"/>
    <numFmt numFmtId="167" formatCode="0.0"/>
    <numFmt numFmtId="168" formatCode="0.0000"/>
    <numFmt numFmtId="169" formatCode="0.0000E+00"/>
    <numFmt numFmtId="170" formatCode="#,##0.000"/>
    <numFmt numFmtId="171" formatCode="0.0E+00"/>
  </numFmts>
  <fonts count="26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9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7" tint="-0.49998474074526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/>
      </left>
      <right/>
      <top style="thick">
        <color indexed="64"/>
      </top>
      <bottom/>
      <diagonal/>
    </border>
    <border>
      <left/>
      <right style="thin">
        <color theme="4"/>
      </right>
      <top style="thick">
        <color indexed="64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3" applyNumberFormat="0">
      <alignment horizontal="left" vertical="center"/>
    </xf>
    <xf numFmtId="169" fontId="1" fillId="0" borderId="0">
      <alignment vertical="center"/>
    </xf>
    <xf numFmtId="11" fontId="24" fillId="27" borderId="0">
      <alignment vertical="top"/>
    </xf>
  </cellStyleXfs>
  <cellXfs count="5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7" borderId="20" xfId="0" applyFill="1" applyBorder="1" applyAlignment="1">
      <alignment vertical="center"/>
    </xf>
    <xf numFmtId="165" fontId="0" fillId="7" borderId="21" xfId="0" applyNumberFormat="1" applyFill="1" applyBorder="1" applyAlignment="1">
      <alignment vertical="center"/>
    </xf>
    <xf numFmtId="165" fontId="1" fillId="7" borderId="4" xfId="4" applyNumberFormat="1" applyFill="1" applyBorder="1" applyAlignment="1">
      <alignment horizontal="right" vertical="center"/>
    </xf>
    <xf numFmtId="165" fontId="1" fillId="7" borderId="5" xfId="4" applyNumberFormat="1" applyFill="1" applyBorder="1" applyAlignment="1">
      <alignment horizontal="right" vertical="center"/>
    </xf>
    <xf numFmtId="165" fontId="1" fillId="7" borderId="6" xfId="4" applyNumberFormat="1" applyFill="1" applyBorder="1" applyAlignment="1">
      <alignment horizontal="right" vertical="center"/>
    </xf>
    <xf numFmtId="0" fontId="1" fillId="14" borderId="4" xfId="3" applyFill="1" applyBorder="1" applyAlignment="1">
      <alignment horizontal="right" vertical="center"/>
    </xf>
    <xf numFmtId="2" fontId="1" fillId="14" borderId="5" xfId="1" applyNumberFormat="1" applyFill="1" applyBorder="1" applyAlignment="1">
      <alignment horizontal="right" vertical="center"/>
    </xf>
    <xf numFmtId="2" fontId="1" fillId="14" borderId="6" xfId="1" applyNumberFormat="1" applyFill="1" applyBorder="1" applyAlignment="1">
      <alignment horizontal="right" vertical="center"/>
    </xf>
    <xf numFmtId="0" fontId="0" fillId="0" borderId="29" xfId="2" applyFont="1" applyFill="1" applyBorder="1" applyAlignment="1"/>
    <xf numFmtId="0" fontId="0" fillId="12" borderId="30" xfId="2" applyFont="1" applyFill="1" applyBorder="1" applyAlignment="1"/>
    <xf numFmtId="0" fontId="0" fillId="13" borderId="30" xfId="2" applyFont="1" applyFill="1" applyBorder="1" applyAlignment="1"/>
    <xf numFmtId="0" fontId="6" fillId="5" borderId="13" xfId="0" applyFont="1" applyFill="1" applyBorder="1"/>
    <xf numFmtId="0" fontId="6" fillId="15" borderId="13" xfId="0" applyFont="1" applyFill="1" applyBorder="1" applyAlignment="1">
      <alignment horizontal="right"/>
    </xf>
    <xf numFmtId="0" fontId="6" fillId="15" borderId="13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33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3" xfId="0" applyFont="1" applyFill="1" applyBorder="1" applyAlignment="1">
      <alignment horizontal="center" vertical="center"/>
    </xf>
    <xf numFmtId="0" fontId="7" fillId="15" borderId="13" xfId="0" applyFont="1" applyFill="1" applyBorder="1" applyAlignment="1">
      <alignment horizontal="center" vertical="center"/>
    </xf>
    <xf numFmtId="0" fontId="0" fillId="0" borderId="28" xfId="0" applyBorder="1"/>
    <xf numFmtId="0" fontId="0" fillId="0" borderId="31" xfId="0" applyBorder="1"/>
    <xf numFmtId="165" fontId="0" fillId="0" borderId="31" xfId="0" applyNumberFormat="1" applyBorder="1"/>
    <xf numFmtId="165" fontId="0" fillId="0" borderId="32" xfId="0" applyNumberFormat="1" applyBorder="1"/>
    <xf numFmtId="0" fontId="0" fillId="12" borderId="2" xfId="0" applyFill="1" applyBorder="1"/>
    <xf numFmtId="0" fontId="0" fillId="12" borderId="0" xfId="0" applyFill="1" applyBorder="1"/>
    <xf numFmtId="0" fontId="0" fillId="12" borderId="5" xfId="0" applyFill="1" applyBorder="1"/>
    <xf numFmtId="0" fontId="0" fillId="12" borderId="31" xfId="0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31" xfId="0" applyFill="1" applyBorder="1"/>
    <xf numFmtId="165" fontId="0" fillId="16" borderId="2" xfId="0" applyNumberFormat="1" applyFill="1" applyBorder="1"/>
    <xf numFmtId="165" fontId="0" fillId="16" borderId="0" xfId="0" applyNumberFormat="1" applyFill="1" applyBorder="1"/>
    <xf numFmtId="165" fontId="0" fillId="16" borderId="5" xfId="0" applyNumberFormat="1" applyFill="1" applyBorder="1"/>
    <xf numFmtId="165" fontId="0" fillId="16" borderId="31" xfId="0" applyNumberFormat="1" applyFill="1" applyBorder="1"/>
    <xf numFmtId="0" fontId="0" fillId="17" borderId="2" xfId="0" applyFont="1" applyFill="1" applyBorder="1"/>
    <xf numFmtId="0" fontId="0" fillId="17" borderId="0" xfId="0" applyFont="1" applyFill="1" applyBorder="1"/>
    <xf numFmtId="0" fontId="0" fillId="17" borderId="5" xfId="0" applyFont="1" applyFill="1" applyBorder="1"/>
    <xf numFmtId="0" fontId="0" fillId="17" borderId="31" xfId="0" applyFont="1" applyFill="1" applyBorder="1"/>
    <xf numFmtId="0" fontId="0" fillId="17" borderId="2" xfId="0" applyFill="1" applyBorder="1"/>
    <xf numFmtId="0" fontId="0" fillId="17" borderId="0" xfId="0" applyFill="1" applyBorder="1"/>
    <xf numFmtId="0" fontId="0" fillId="17" borderId="5" xfId="0" applyFill="1" applyBorder="1"/>
    <xf numFmtId="0" fontId="0" fillId="17" borderId="31" xfId="0" applyFill="1" applyBorder="1"/>
    <xf numFmtId="2" fontId="0" fillId="0" borderId="0" xfId="0" applyNumberFormat="1"/>
    <xf numFmtId="167" fontId="0" fillId="0" borderId="0" xfId="0" applyNumberFormat="1"/>
    <xf numFmtId="0" fontId="0" fillId="7" borderId="1" xfId="0" applyFill="1" applyBorder="1"/>
    <xf numFmtId="0" fontId="0" fillId="7" borderId="4" xfId="0" applyFill="1" applyBorder="1"/>
    <xf numFmtId="0" fontId="0" fillId="7" borderId="29" xfId="0" applyFill="1" applyBorder="1"/>
    <xf numFmtId="10" fontId="0" fillId="0" borderId="0" xfId="0" applyNumberFormat="1"/>
    <xf numFmtId="0" fontId="8" fillId="0" borderId="19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19" xfId="0" applyFill="1" applyBorder="1" applyAlignment="1" applyProtection="1">
      <alignment vertical="center"/>
      <protection locked="0"/>
    </xf>
    <xf numFmtId="167" fontId="0" fillId="0" borderId="19" xfId="0" applyNumberFormat="1" applyFill="1" applyBorder="1" applyProtection="1">
      <protection locked="0"/>
    </xf>
    <xf numFmtId="167" fontId="0" fillId="0" borderId="19" xfId="0" applyNumberFormat="1" applyFill="1" applyBorder="1" applyAlignment="1" applyProtection="1">
      <alignment vertical="center"/>
      <protection locked="0"/>
    </xf>
    <xf numFmtId="165" fontId="0" fillId="0" borderId="19" xfId="0" applyNumberFormat="1" applyFill="1" applyBorder="1" applyAlignment="1" applyProtection="1">
      <alignment vertical="center"/>
      <protection locked="0"/>
    </xf>
    <xf numFmtId="0" fontId="0" fillId="0" borderId="20" xfId="0" applyFill="1" applyBorder="1" applyAlignment="1" applyProtection="1">
      <alignment vertical="center"/>
      <protection locked="0"/>
    </xf>
    <xf numFmtId="167" fontId="0" fillId="0" borderId="20" xfId="0" applyNumberFormat="1" applyFill="1" applyBorder="1" applyProtection="1">
      <protection locked="0"/>
    </xf>
    <xf numFmtId="165" fontId="0" fillId="0" borderId="20" xfId="0" applyNumberFormat="1" applyFill="1" applyBorder="1" applyProtection="1"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0" borderId="21" xfId="0" applyFill="1" applyBorder="1" applyAlignment="1" applyProtection="1">
      <alignment vertical="center"/>
      <protection locked="0"/>
    </xf>
    <xf numFmtId="167" fontId="0" fillId="0" borderId="21" xfId="0" applyNumberFormat="1" applyFill="1" applyBorder="1" applyProtection="1">
      <protection locked="0"/>
    </xf>
    <xf numFmtId="0" fontId="0" fillId="7" borderId="19" xfId="0" applyFill="1" applyBorder="1" applyAlignment="1" applyProtection="1">
      <alignment vertical="center"/>
    </xf>
    <xf numFmtId="0" fontId="0" fillId="7" borderId="20" xfId="0" applyFill="1" applyBorder="1" applyAlignment="1" applyProtection="1">
      <alignment vertical="center"/>
    </xf>
    <xf numFmtId="0" fontId="0" fillId="7" borderId="21" xfId="0" applyFill="1" applyBorder="1" applyAlignment="1" applyProtection="1">
      <alignment vertical="center"/>
    </xf>
    <xf numFmtId="165" fontId="0" fillId="7" borderId="20" xfId="0" applyNumberFormat="1" applyFill="1" applyBorder="1" applyAlignment="1" applyProtection="1">
      <alignment vertical="center"/>
    </xf>
    <xf numFmtId="165" fontId="0" fillId="7" borderId="21" xfId="0" applyNumberFormat="1" applyFill="1" applyBorder="1" applyAlignment="1" applyProtection="1">
      <alignment vertical="center"/>
    </xf>
    <xf numFmtId="165" fontId="0" fillId="7" borderId="19" xfId="0" applyNumberFormat="1" applyFill="1" applyBorder="1" applyAlignment="1" applyProtection="1">
      <alignment vertical="center"/>
    </xf>
    <xf numFmtId="166" fontId="0" fillId="11" borderId="19" xfId="0" applyNumberFormat="1" applyFill="1" applyBorder="1" applyAlignment="1" applyProtection="1">
      <alignment vertical="center"/>
    </xf>
    <xf numFmtId="166" fontId="0" fillId="8" borderId="19" xfId="0" applyNumberFormat="1" applyFill="1" applyBorder="1" applyAlignment="1" applyProtection="1">
      <alignment vertical="center"/>
    </xf>
    <xf numFmtId="166" fontId="0" fillId="10" borderId="19" xfId="0" applyNumberFormat="1" applyFill="1" applyBorder="1" applyAlignment="1" applyProtection="1">
      <alignment vertical="center"/>
    </xf>
    <xf numFmtId="166" fontId="0" fillId="9" borderId="19" xfId="0" applyNumberFormat="1" applyFill="1" applyBorder="1" applyAlignment="1" applyProtection="1">
      <alignment vertical="center"/>
    </xf>
    <xf numFmtId="166" fontId="0" fillId="0" borderId="19" xfId="0" applyNumberFormat="1" applyBorder="1" applyAlignment="1" applyProtection="1">
      <alignment vertical="center"/>
    </xf>
    <xf numFmtId="166" fontId="0" fillId="16" borderId="19" xfId="0" applyNumberFormat="1" applyFill="1" applyBorder="1" applyAlignment="1" applyProtection="1">
      <alignment vertical="center"/>
    </xf>
    <xf numFmtId="166" fontId="0" fillId="0" borderId="26" xfId="0" applyNumberFormat="1" applyBorder="1" applyAlignment="1" applyProtection="1">
      <alignment vertical="center"/>
    </xf>
    <xf numFmtId="166" fontId="0" fillId="11" borderId="20" xfId="0" applyNumberFormat="1" applyFill="1" applyBorder="1" applyAlignment="1" applyProtection="1">
      <alignment vertical="center"/>
    </xf>
    <xf numFmtId="166" fontId="0" fillId="8" borderId="20" xfId="0" applyNumberFormat="1" applyFill="1" applyBorder="1" applyAlignment="1" applyProtection="1">
      <alignment vertical="center"/>
    </xf>
    <xf numFmtId="166" fontId="0" fillId="10" borderId="20" xfId="0" applyNumberFormat="1" applyFill="1" applyBorder="1" applyAlignment="1" applyProtection="1">
      <alignment vertical="center"/>
    </xf>
    <xf numFmtId="166" fontId="0" fillId="9" borderId="20" xfId="0" applyNumberFormat="1" applyFill="1" applyBorder="1" applyAlignment="1" applyProtection="1">
      <alignment vertical="center"/>
    </xf>
    <xf numFmtId="166" fontId="0" fillId="0" borderId="20" xfId="0" applyNumberFormat="1" applyBorder="1" applyAlignment="1" applyProtection="1">
      <alignment vertical="center"/>
    </xf>
    <xf numFmtId="166" fontId="0" fillId="16" borderId="20" xfId="0" applyNumberFormat="1" applyFill="1" applyBorder="1" applyAlignment="1" applyProtection="1">
      <alignment vertical="center"/>
    </xf>
    <xf numFmtId="166" fontId="0" fillId="0" borderId="23" xfId="0" applyNumberFormat="1" applyBorder="1" applyAlignment="1" applyProtection="1">
      <alignment vertical="center"/>
    </xf>
    <xf numFmtId="166" fontId="0" fillId="11" borderId="21" xfId="0" applyNumberFormat="1" applyFill="1" applyBorder="1" applyAlignment="1" applyProtection="1">
      <alignment vertical="center"/>
    </xf>
    <xf numFmtId="166" fontId="0" fillId="8" borderId="21" xfId="0" applyNumberFormat="1" applyFill="1" applyBorder="1" applyAlignment="1" applyProtection="1">
      <alignment vertical="center"/>
    </xf>
    <xf numFmtId="166" fontId="0" fillId="10" borderId="21" xfId="0" applyNumberFormat="1" applyFill="1" applyBorder="1" applyAlignment="1" applyProtection="1">
      <alignment vertical="center"/>
    </xf>
    <xf numFmtId="166" fontId="0" fillId="9" borderId="21" xfId="0" applyNumberFormat="1" applyFill="1" applyBorder="1" applyAlignment="1" applyProtection="1">
      <alignment vertical="center"/>
    </xf>
    <xf numFmtId="166" fontId="0" fillId="0" borderId="21" xfId="0" applyNumberFormat="1" applyBorder="1" applyAlignment="1" applyProtection="1">
      <alignment vertical="center"/>
    </xf>
    <xf numFmtId="166" fontId="0" fillId="16" borderId="21" xfId="0" applyNumberFormat="1" applyFill="1" applyBorder="1" applyAlignment="1" applyProtection="1">
      <alignment vertical="center"/>
    </xf>
    <xf numFmtId="11" fontId="0" fillId="0" borderId="21" xfId="0" applyNumberFormat="1" applyBorder="1" applyAlignment="1" applyProtection="1">
      <alignment vertical="center"/>
    </xf>
    <xf numFmtId="166" fontId="0" fillId="0" borderId="27" xfId="0" applyNumberFormat="1" applyBorder="1" applyAlignment="1" applyProtection="1">
      <alignment vertical="center"/>
    </xf>
    <xf numFmtId="0" fontId="0" fillId="0" borderId="35" xfId="0" applyBorder="1" applyAlignment="1" applyProtection="1">
      <alignment vertical="center"/>
      <protection locked="0"/>
    </xf>
    <xf numFmtId="0" fontId="8" fillId="0" borderId="36" xfId="0" applyFont="1" applyBorder="1" applyAlignment="1" applyProtection="1">
      <alignment vertical="center"/>
      <protection locked="0"/>
    </xf>
    <xf numFmtId="0" fontId="8" fillId="0" borderId="22" xfId="0" applyFont="1" applyBorder="1" applyAlignment="1" applyProtection="1">
      <alignment vertical="center"/>
    </xf>
    <xf numFmtId="0" fontId="0" fillId="0" borderId="37" xfId="0" applyBorder="1" applyAlignment="1" applyProtection="1">
      <alignment vertical="center"/>
    </xf>
    <xf numFmtId="168" fontId="0" fillId="0" borderId="0" xfId="0" applyNumberFormat="1"/>
    <xf numFmtId="0" fontId="0" fillId="7" borderId="34" xfId="0" applyFill="1" applyBorder="1" applyProtection="1">
      <protection locked="0"/>
    </xf>
    <xf numFmtId="0" fontId="0" fillId="7" borderId="29" xfId="0" applyFill="1" applyBorder="1" applyProtection="1">
      <protection locked="0"/>
    </xf>
    <xf numFmtId="0" fontId="0" fillId="0" borderId="0" xfId="0" applyAlignment="1">
      <alignment horizontal="right"/>
    </xf>
    <xf numFmtId="1" fontId="0" fillId="0" borderId="0" xfId="0" applyNumberFormat="1" applyProtection="1">
      <protection locked="0"/>
    </xf>
    <xf numFmtId="1" fontId="0" fillId="0" borderId="0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169" fontId="2" fillId="5" borderId="9" xfId="0" applyNumberFormat="1" applyFont="1" applyFill="1" applyBorder="1" applyAlignment="1">
      <alignment horizontal="center" vertical="center"/>
    </xf>
    <xf numFmtId="169" fontId="2" fillId="5" borderId="10" xfId="0" applyNumberFormat="1" applyFont="1" applyFill="1" applyBorder="1" applyAlignment="1">
      <alignment horizontal="center" vertical="center"/>
    </xf>
    <xf numFmtId="169" fontId="2" fillId="5" borderId="11" xfId="0" applyNumberFormat="1" applyFont="1" applyFill="1" applyBorder="1" applyAlignment="1">
      <alignment horizontal="center" vertical="center"/>
    </xf>
    <xf numFmtId="169" fontId="0" fillId="0" borderId="21" xfId="0" applyNumberFormat="1" applyBorder="1" applyAlignment="1">
      <alignment vertical="center"/>
    </xf>
    <xf numFmtId="169" fontId="0" fillId="16" borderId="21" xfId="0" applyNumberFormat="1" applyFill="1" applyBorder="1" applyAlignment="1">
      <alignment vertical="center"/>
    </xf>
    <xf numFmtId="169" fontId="0" fillId="0" borderId="27" xfId="0" applyNumberFormat="1" applyBorder="1" applyAlignment="1">
      <alignment vertical="center"/>
    </xf>
    <xf numFmtId="169" fontId="0" fillId="0" borderId="0" xfId="0" applyNumberFormat="1"/>
    <xf numFmtId="0" fontId="10" fillId="0" borderId="0" xfId="0" applyNumberFormat="1" applyFont="1" applyFill="1" applyBorder="1" applyAlignment="1" applyProtection="1">
      <alignment vertical="top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4" fontId="0" fillId="0" borderId="0" xfId="0" applyNumberFormat="1" applyFill="1" applyBorder="1"/>
    <xf numFmtId="3" fontId="0" fillId="0" borderId="0" xfId="0" applyNumberFormat="1"/>
    <xf numFmtId="2" fontId="0" fillId="0" borderId="39" xfId="0" applyNumberFormat="1" applyBorder="1"/>
    <xf numFmtId="49" fontId="9" fillId="0" borderId="0" xfId="0" applyNumberFormat="1" applyFont="1" applyFill="1" applyBorder="1" applyAlignment="1" applyProtection="1">
      <alignment vertical="top"/>
    </xf>
    <xf numFmtId="0" fontId="0" fillId="0" borderId="0" xfId="0"/>
    <xf numFmtId="0" fontId="2" fillId="5" borderId="24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2" fillId="5" borderId="41" xfId="0" applyFont="1" applyFill="1" applyBorder="1" applyAlignment="1">
      <alignment horizontal="center" vertical="center"/>
    </xf>
    <xf numFmtId="0" fontId="0" fillId="7" borderId="28" xfId="0" applyFill="1" applyBorder="1"/>
    <xf numFmtId="0" fontId="0" fillId="7" borderId="38" xfId="0" applyFill="1" applyBorder="1"/>
    <xf numFmtId="0" fontId="7" fillId="5" borderId="42" xfId="0" applyFont="1" applyFill="1" applyBorder="1" applyAlignment="1">
      <alignment horizontal="center" vertical="center"/>
    </xf>
    <xf numFmtId="4" fontId="14" fillId="0" borderId="0" xfId="0" applyNumberFormat="1" applyFont="1" applyFill="1"/>
    <xf numFmtId="1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1" fontId="0" fillId="0" borderId="0" xfId="0" applyNumberFormat="1"/>
    <xf numFmtId="0" fontId="8" fillId="0" borderId="43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0" fillId="7" borderId="43" xfId="0" applyFill="1" applyBorder="1" applyAlignment="1">
      <alignment vertical="center"/>
    </xf>
    <xf numFmtId="0" fontId="0" fillId="7" borderId="45" xfId="0" applyFill="1" applyBorder="1" applyAlignment="1">
      <alignment vertical="center"/>
    </xf>
    <xf numFmtId="0" fontId="0" fillId="0" borderId="45" xfId="0" applyFill="1" applyBorder="1" applyAlignment="1">
      <alignment vertical="center"/>
    </xf>
    <xf numFmtId="0" fontId="3" fillId="5" borderId="14" xfId="0" applyFont="1" applyFill="1" applyBorder="1" applyAlignment="1">
      <alignment horizontal="center" vertical="center"/>
    </xf>
    <xf numFmtId="0" fontId="0" fillId="7" borderId="46" xfId="0" applyFill="1" applyBorder="1" applyAlignment="1">
      <alignment vertical="center"/>
    </xf>
    <xf numFmtId="166" fontId="0" fillId="21" borderId="19" xfId="0" applyNumberFormat="1" applyFill="1" applyBorder="1" applyAlignment="1" applyProtection="1">
      <alignment vertical="center"/>
    </xf>
    <xf numFmtId="166" fontId="0" fillId="21" borderId="20" xfId="0" applyNumberFormat="1" applyFill="1" applyBorder="1" applyAlignment="1" applyProtection="1">
      <alignment vertical="center"/>
    </xf>
    <xf numFmtId="166" fontId="0" fillId="21" borderId="21" xfId="0" applyNumberFormat="1" applyFill="1" applyBorder="1" applyAlignment="1" applyProtection="1">
      <alignment vertical="center"/>
    </xf>
    <xf numFmtId="0" fontId="8" fillId="0" borderId="5" xfId="0" applyFont="1" applyBorder="1"/>
    <xf numFmtId="0" fontId="0" fillId="0" borderId="47" xfId="0" applyFill="1" applyBorder="1" applyAlignment="1">
      <alignment vertical="center"/>
    </xf>
    <xf numFmtId="0" fontId="0" fillId="7" borderId="48" xfId="0" applyFill="1" applyBorder="1" applyAlignment="1">
      <alignment vertical="center"/>
    </xf>
    <xf numFmtId="169" fontId="0" fillId="16" borderId="20" xfId="0" applyNumberFormat="1" applyFill="1" applyBorder="1" applyAlignment="1" applyProtection="1">
      <alignment vertical="center"/>
    </xf>
    <xf numFmtId="169" fontId="0" fillId="0" borderId="20" xfId="0" applyNumberFormat="1" applyBorder="1" applyAlignment="1" applyProtection="1">
      <alignment vertical="center"/>
    </xf>
    <xf numFmtId="169" fontId="0" fillId="0" borderId="23" xfId="0" applyNumberFormat="1" applyBorder="1" applyAlignment="1" applyProtection="1">
      <alignment vertical="center"/>
    </xf>
    <xf numFmtId="169" fontId="0" fillId="0" borderId="44" xfId="0" applyNumberFormat="1" applyBorder="1" applyAlignment="1" applyProtection="1">
      <alignment vertical="center"/>
    </xf>
    <xf numFmtId="0" fontId="18" fillId="0" borderId="0" xfId="0" applyFont="1"/>
    <xf numFmtId="0" fontId="0" fillId="0" borderId="0" xfId="0" applyNumberFormat="1"/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0" fillId="0" borderId="19" xfId="0" applyBorder="1" applyAlignment="1" applyProtection="1">
      <alignment vertical="center"/>
    </xf>
    <xf numFmtId="0" fontId="0" fillId="0" borderId="2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18" fillId="0" borderId="0" xfId="0" applyFont="1" applyBorder="1"/>
    <xf numFmtId="0" fontId="0" fillId="0" borderId="0" xfId="0" applyAlignment="1">
      <alignment horizontal="center" vertical="center"/>
    </xf>
    <xf numFmtId="0" fontId="0" fillId="0" borderId="0" xfId="0" applyBorder="1" applyAlignment="1" applyProtection="1">
      <alignment vertical="center"/>
    </xf>
    <xf numFmtId="166" fontId="0" fillId="11" borderId="0" xfId="0" applyNumberFormat="1" applyFill="1" applyBorder="1" applyAlignment="1" applyProtection="1">
      <alignment vertical="center"/>
    </xf>
    <xf numFmtId="166" fontId="0" fillId="21" borderId="0" xfId="0" applyNumberFormat="1" applyFill="1" applyBorder="1" applyAlignment="1" applyProtection="1">
      <alignment vertical="center"/>
    </xf>
    <xf numFmtId="166" fontId="0" fillId="8" borderId="0" xfId="0" applyNumberFormat="1" applyFill="1" applyBorder="1" applyAlignment="1" applyProtection="1">
      <alignment vertical="center"/>
    </xf>
    <xf numFmtId="166" fontId="0" fillId="10" borderId="0" xfId="0" applyNumberFormat="1" applyFill="1" applyBorder="1" applyAlignment="1" applyProtection="1">
      <alignment vertical="center"/>
    </xf>
    <xf numFmtId="166" fontId="0" fillId="9" borderId="0" xfId="0" applyNumberFormat="1" applyFill="1" applyBorder="1" applyAlignment="1" applyProtection="1">
      <alignment vertical="center"/>
    </xf>
    <xf numFmtId="166" fontId="0" fillId="0" borderId="0" xfId="0" applyNumberFormat="1" applyBorder="1" applyAlignment="1" applyProtection="1">
      <alignment vertical="center"/>
    </xf>
    <xf numFmtId="166" fontId="0" fillId="16" borderId="0" xfId="0" applyNumberFormat="1" applyFill="1" applyBorder="1" applyAlignment="1" applyProtection="1">
      <alignment vertical="center"/>
    </xf>
    <xf numFmtId="0" fontId="0" fillId="0" borderId="0" xfId="0" applyBorder="1" applyProtection="1">
      <protection locked="0"/>
    </xf>
    <xf numFmtId="0" fontId="8" fillId="0" borderId="0" xfId="0" applyFont="1" applyBorder="1" applyAlignment="1" applyProtection="1">
      <alignment vertical="center"/>
    </xf>
    <xf numFmtId="170" fontId="0" fillId="11" borderId="0" xfId="0" applyNumberFormat="1" applyFill="1" applyBorder="1" applyAlignment="1" applyProtection="1">
      <alignment vertical="center"/>
    </xf>
    <xf numFmtId="170" fontId="0" fillId="8" borderId="0" xfId="0" applyNumberFormat="1" applyFill="1" applyBorder="1" applyAlignment="1" applyProtection="1">
      <alignment vertical="center"/>
    </xf>
    <xf numFmtId="170" fontId="0" fillId="10" borderId="0" xfId="0" applyNumberFormat="1" applyFill="1" applyBorder="1" applyAlignment="1" applyProtection="1">
      <alignment vertical="center"/>
    </xf>
    <xf numFmtId="170" fontId="0" fillId="9" borderId="0" xfId="0" applyNumberFormat="1" applyFill="1" applyBorder="1" applyAlignment="1" applyProtection="1">
      <alignment vertic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7" borderId="0" xfId="0" applyFill="1" applyBorder="1" applyAlignment="1" applyProtection="1">
      <alignment vertical="center"/>
    </xf>
    <xf numFmtId="167" fontId="0" fillId="0" borderId="0" xfId="0" applyNumberFormat="1" applyFill="1" applyBorder="1" applyProtection="1">
      <protection locked="0"/>
    </xf>
    <xf numFmtId="165" fontId="0" fillId="7" borderId="0" xfId="0" applyNumberFormat="1" applyFill="1" applyBorder="1" applyAlignment="1" applyProtection="1">
      <alignment vertical="center"/>
    </xf>
    <xf numFmtId="49" fontId="0" fillId="0" borderId="0" xfId="0" applyNumberFormat="1" applyProtection="1"/>
    <xf numFmtId="49" fontId="6" fillId="5" borderId="49" xfId="0" applyNumberFormat="1" applyFont="1" applyFill="1" applyBorder="1"/>
    <xf numFmtId="49" fontId="7" fillId="5" borderId="49" xfId="0" applyNumberFormat="1" applyFont="1" applyFill="1" applyBorder="1" applyAlignment="1">
      <alignment horizontal="center" vertical="center"/>
    </xf>
    <xf numFmtId="0" fontId="13" fillId="7" borderId="0" xfId="0" applyFont="1" applyFill="1"/>
    <xf numFmtId="0" fontId="20" fillId="7" borderId="0" xfId="0" applyNumberFormat="1" applyFont="1" applyFill="1" applyBorder="1" applyAlignment="1" applyProtection="1">
      <alignment vertical="top"/>
    </xf>
    <xf numFmtId="0" fontId="13" fillId="0" borderId="0" xfId="0" applyFont="1"/>
    <xf numFmtId="0" fontId="13" fillId="0" borderId="0" xfId="0" applyFont="1" applyFill="1"/>
    <xf numFmtId="0" fontId="17" fillId="5" borderId="3" xfId="0" applyFont="1" applyFill="1" applyBorder="1"/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1" fontId="0" fillId="0" borderId="0" xfId="0" applyNumberFormat="1" applyBorder="1" applyProtection="1">
      <protection locked="0"/>
    </xf>
    <xf numFmtId="2" fontId="0" fillId="0" borderId="0" xfId="0" applyNumberFormat="1" applyBorder="1" applyProtection="1">
      <protection locked="0"/>
    </xf>
    <xf numFmtId="0" fontId="0" fillId="0" borderId="31" xfId="0" applyBorder="1" applyProtection="1">
      <protection locked="0"/>
    </xf>
    <xf numFmtId="0" fontId="0" fillId="0" borderId="31" xfId="0" applyBorder="1" applyAlignment="1" applyProtection="1">
      <alignment vertical="center"/>
    </xf>
    <xf numFmtId="170" fontId="0" fillId="11" borderId="31" xfId="0" applyNumberFormat="1" applyFill="1" applyBorder="1" applyAlignment="1" applyProtection="1">
      <alignment vertical="center"/>
    </xf>
    <xf numFmtId="170" fontId="0" fillId="8" borderId="31" xfId="0" applyNumberFormat="1" applyFill="1" applyBorder="1" applyAlignment="1" applyProtection="1">
      <alignment vertical="center"/>
    </xf>
    <xf numFmtId="170" fontId="0" fillId="10" borderId="31" xfId="0" applyNumberFormat="1" applyFill="1" applyBorder="1" applyAlignment="1" applyProtection="1">
      <alignment vertical="center"/>
    </xf>
    <xf numFmtId="170" fontId="0" fillId="9" borderId="31" xfId="0" applyNumberFormat="1" applyFill="1" applyBorder="1" applyAlignment="1" applyProtection="1">
      <alignment vertical="center"/>
    </xf>
    <xf numFmtId="166" fontId="0" fillId="16" borderId="31" xfId="0" applyNumberFormat="1" applyFill="1" applyBorder="1" applyAlignment="1" applyProtection="1">
      <alignment vertical="center"/>
    </xf>
    <xf numFmtId="166" fontId="0" fillId="0" borderId="31" xfId="0" applyNumberFormat="1" applyBorder="1" applyAlignment="1" applyProtection="1">
      <alignment vertical="center"/>
    </xf>
    <xf numFmtId="49" fontId="0" fillId="0" borderId="32" xfId="0" applyNumberFormat="1" applyBorder="1" applyProtection="1">
      <protection locked="0"/>
    </xf>
    <xf numFmtId="0" fontId="0" fillId="0" borderId="3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vertical="center"/>
    </xf>
    <xf numFmtId="170" fontId="0" fillId="11" borderId="2" xfId="0" applyNumberFormat="1" applyFill="1" applyBorder="1" applyAlignment="1" applyProtection="1">
      <alignment vertical="center"/>
    </xf>
    <xf numFmtId="170" fontId="0" fillId="8" borderId="2" xfId="0" applyNumberFormat="1" applyFill="1" applyBorder="1" applyAlignment="1" applyProtection="1">
      <alignment vertical="center"/>
    </xf>
    <xf numFmtId="170" fontId="0" fillId="10" borderId="2" xfId="0" applyNumberFormat="1" applyFill="1" applyBorder="1" applyAlignment="1" applyProtection="1">
      <alignment vertical="center"/>
    </xf>
    <xf numFmtId="170" fontId="0" fillId="9" borderId="2" xfId="0" applyNumberFormat="1" applyFill="1" applyBorder="1" applyAlignment="1" applyProtection="1">
      <alignment vertical="center"/>
    </xf>
    <xf numFmtId="166" fontId="0" fillId="16" borderId="2" xfId="0" applyNumberFormat="1" applyFill="1" applyBorder="1" applyAlignment="1" applyProtection="1">
      <alignment vertical="center"/>
    </xf>
    <xf numFmtId="166" fontId="0" fillId="0" borderId="2" xfId="0" applyNumberFormat="1" applyBorder="1" applyAlignment="1" applyProtection="1">
      <alignment vertical="center"/>
    </xf>
    <xf numFmtId="49" fontId="0" fillId="0" borderId="3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vertical="center"/>
    </xf>
    <xf numFmtId="170" fontId="0" fillId="11" borderId="5" xfId="0" applyNumberFormat="1" applyFill="1" applyBorder="1" applyAlignment="1" applyProtection="1">
      <alignment vertical="center"/>
    </xf>
    <xf numFmtId="170" fontId="0" fillId="8" borderId="5" xfId="0" applyNumberFormat="1" applyFill="1" applyBorder="1" applyAlignment="1" applyProtection="1">
      <alignment vertical="center"/>
    </xf>
    <xf numFmtId="170" fontId="0" fillId="10" borderId="5" xfId="0" applyNumberFormat="1" applyFill="1" applyBorder="1" applyAlignment="1" applyProtection="1">
      <alignment vertical="center"/>
    </xf>
    <xf numFmtId="170" fontId="0" fillId="9" borderId="5" xfId="0" applyNumberFormat="1" applyFill="1" applyBorder="1" applyAlignment="1" applyProtection="1">
      <alignment vertical="center"/>
    </xf>
    <xf numFmtId="166" fontId="0" fillId="16" borderId="5" xfId="0" applyNumberFormat="1" applyFill="1" applyBorder="1" applyAlignment="1" applyProtection="1">
      <alignment vertical="center"/>
    </xf>
    <xf numFmtId="166" fontId="0" fillId="0" borderId="5" xfId="0" applyNumberFormat="1" applyBorder="1" applyAlignment="1" applyProtection="1">
      <alignment vertical="center"/>
    </xf>
    <xf numFmtId="49" fontId="0" fillId="0" borderId="6" xfId="0" applyNumberFormat="1" applyBorder="1" applyProtection="1">
      <protection locked="0"/>
    </xf>
    <xf numFmtId="1" fontId="0" fillId="0" borderId="2" xfId="0" applyNumberFormat="1" applyBorder="1" applyProtection="1">
      <protection locked="0"/>
    </xf>
    <xf numFmtId="1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166" fontId="0" fillId="16" borderId="1" xfId="0" applyNumberFormat="1" applyFill="1" applyBorder="1" applyAlignment="1" applyProtection="1">
      <alignment vertical="center"/>
    </xf>
    <xf numFmtId="166" fontId="0" fillId="16" borderId="4" xfId="0" applyNumberFormat="1" applyFill="1" applyBorder="1" applyAlignment="1" applyProtection="1">
      <alignment vertical="center"/>
    </xf>
    <xf numFmtId="49" fontId="0" fillId="9" borderId="38" xfId="0" applyNumberFormat="1" applyFill="1" applyBorder="1" applyAlignment="1" applyProtection="1">
      <alignment vertical="center"/>
      <protection locked="0"/>
    </xf>
    <xf numFmtId="49" fontId="0" fillId="19" borderId="38" xfId="0" applyNumberFormat="1" applyFill="1" applyBorder="1" applyAlignment="1" applyProtection="1">
      <alignment vertical="center"/>
      <protection locked="0"/>
    </xf>
    <xf numFmtId="49" fontId="12" fillId="19" borderId="38" xfId="0" applyNumberFormat="1" applyFont="1" applyFill="1" applyBorder="1" applyAlignment="1" applyProtection="1">
      <alignment vertical="center"/>
      <protection locked="0"/>
    </xf>
    <xf numFmtId="49" fontId="0" fillId="9" borderId="34" xfId="0" applyNumberFormat="1" applyFill="1" applyBorder="1" applyAlignment="1" applyProtection="1">
      <alignment vertical="center"/>
      <protection locked="0"/>
    </xf>
    <xf numFmtId="49" fontId="0" fillId="9" borderId="51" xfId="0" applyNumberFormat="1" applyFill="1" applyBorder="1" applyProtection="1">
      <protection locked="0"/>
    </xf>
    <xf numFmtId="49" fontId="0" fillId="9" borderId="29" xfId="0" applyNumberFormat="1" applyFill="1" applyBorder="1" applyProtection="1">
      <protection locked="0"/>
    </xf>
    <xf numFmtId="49" fontId="0" fillId="19" borderId="34" xfId="0" applyNumberFormat="1" applyFill="1" applyBorder="1" applyAlignment="1" applyProtection="1">
      <alignment vertical="center"/>
      <protection locked="0"/>
    </xf>
    <xf numFmtId="49" fontId="0" fillId="19" borderId="51" xfId="0" applyNumberFormat="1" applyFill="1" applyBorder="1" applyProtection="1">
      <protection locked="0"/>
    </xf>
    <xf numFmtId="49" fontId="0" fillId="19" borderId="29" xfId="0" applyNumberFormat="1" applyFill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8" xfId="0" applyNumberFormat="1" applyBorder="1" applyProtection="1">
      <protection locked="0"/>
    </xf>
    <xf numFmtId="0" fontId="0" fillId="0" borderId="32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33" xfId="0" applyNumberFormat="1" applyBorder="1" applyProtection="1">
      <protection locked="0"/>
    </xf>
    <xf numFmtId="0" fontId="0" fillId="0" borderId="7" xfId="0" applyNumberFormat="1" applyBorder="1" applyProtection="1">
      <protection locked="0"/>
    </xf>
    <xf numFmtId="0" fontId="0" fillId="0" borderId="4" xfId="0" applyBorder="1" applyProtection="1">
      <protection locked="0"/>
    </xf>
    <xf numFmtId="1" fontId="0" fillId="0" borderId="1" xfId="0" applyNumberFormat="1" applyBorder="1" applyProtection="1">
      <protection locked="0"/>
    </xf>
    <xf numFmtId="1" fontId="0" fillId="0" borderId="3" xfId="0" applyNumberFormat="1" applyBorder="1" applyProtection="1">
      <protection locked="0"/>
    </xf>
    <xf numFmtId="1" fontId="0" fillId="0" borderId="33" xfId="0" applyNumberFormat="1" applyBorder="1" applyProtection="1">
      <protection locked="0"/>
    </xf>
    <xf numFmtId="1" fontId="0" fillId="0" borderId="7" xfId="0" applyNumberFormat="1" applyBorder="1" applyProtection="1">
      <protection locked="0"/>
    </xf>
    <xf numFmtId="1" fontId="0" fillId="0" borderId="4" xfId="0" applyNumberFormat="1" applyBorder="1" applyProtection="1">
      <protection locked="0"/>
    </xf>
    <xf numFmtId="1" fontId="0" fillId="0" borderId="6" xfId="0" applyNumberFormat="1" applyBorder="1" applyProtection="1">
      <protection locked="0"/>
    </xf>
    <xf numFmtId="0" fontId="0" fillId="0" borderId="33" xfId="0" applyBorder="1" applyProtection="1">
      <protection locked="0"/>
    </xf>
    <xf numFmtId="0" fontId="0" fillId="0" borderId="7" xfId="0" applyBorder="1" applyProtection="1">
      <protection locked="0"/>
    </xf>
    <xf numFmtId="2" fontId="0" fillId="0" borderId="28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33" xfId="0" applyNumberFormat="1" applyBorder="1" applyProtection="1">
      <protection locked="0"/>
    </xf>
    <xf numFmtId="2" fontId="0" fillId="0" borderId="4" xfId="0" applyNumberFormat="1" applyBorder="1" applyProtection="1">
      <protection locked="0"/>
    </xf>
    <xf numFmtId="2" fontId="0" fillId="0" borderId="5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32" xfId="0" applyNumberFormat="1" applyBorder="1" applyProtection="1">
      <protection locked="0"/>
    </xf>
    <xf numFmtId="0" fontId="0" fillId="0" borderId="0" xfId="0" applyFont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167" fontId="0" fillId="0" borderId="0" xfId="0" applyNumberFormat="1" applyFill="1" applyBorder="1" applyProtection="1"/>
    <xf numFmtId="167" fontId="0" fillId="0" borderId="0" xfId="0" applyNumberFormat="1" applyFill="1" applyBorder="1" applyAlignment="1" applyProtection="1">
      <alignment vertical="center"/>
    </xf>
    <xf numFmtId="165" fontId="0" fillId="0" borderId="0" xfId="0" applyNumberFormat="1" applyFill="1" applyBorder="1" applyAlignment="1" applyProtection="1">
      <alignment vertical="center"/>
    </xf>
    <xf numFmtId="49" fontId="0" fillId="0" borderId="0" xfId="0" applyNumberFormat="1" applyBorder="1" applyProtection="1"/>
    <xf numFmtId="165" fontId="0" fillId="0" borderId="0" xfId="0" applyNumberFormat="1" applyFill="1" applyBorder="1" applyProtection="1"/>
    <xf numFmtId="0" fontId="0" fillId="0" borderId="52" xfId="0" applyBorder="1" applyAlignment="1" applyProtection="1">
      <alignment vertical="center"/>
    </xf>
    <xf numFmtId="0" fontId="0" fillId="0" borderId="52" xfId="0" applyFill="1" applyBorder="1" applyAlignment="1" applyProtection="1">
      <alignment vertical="center"/>
    </xf>
    <xf numFmtId="0" fontId="0" fillId="7" borderId="52" xfId="0" applyFill="1" applyBorder="1" applyAlignment="1" applyProtection="1">
      <alignment vertical="center"/>
    </xf>
    <xf numFmtId="167" fontId="0" fillId="0" borderId="52" xfId="0" applyNumberFormat="1" applyFill="1" applyBorder="1" applyProtection="1"/>
    <xf numFmtId="165" fontId="0" fillId="7" borderId="52" xfId="0" applyNumberFormat="1" applyFill="1" applyBorder="1" applyAlignment="1" applyProtection="1">
      <alignment vertical="center"/>
    </xf>
    <xf numFmtId="166" fontId="0" fillId="11" borderId="52" xfId="0" applyNumberFormat="1" applyFill="1" applyBorder="1" applyAlignment="1" applyProtection="1">
      <alignment vertical="center"/>
    </xf>
    <xf numFmtId="166" fontId="0" fillId="8" borderId="52" xfId="0" applyNumberFormat="1" applyFill="1" applyBorder="1" applyAlignment="1" applyProtection="1">
      <alignment vertical="center"/>
    </xf>
    <xf numFmtId="166" fontId="0" fillId="10" borderId="52" xfId="0" applyNumberFormat="1" applyFill="1" applyBorder="1" applyAlignment="1" applyProtection="1">
      <alignment vertical="center"/>
    </xf>
    <xf numFmtId="166" fontId="0" fillId="9" borderId="52" xfId="0" applyNumberFormat="1" applyFill="1" applyBorder="1" applyAlignment="1" applyProtection="1">
      <alignment vertical="center"/>
    </xf>
    <xf numFmtId="166" fontId="0" fillId="0" borderId="52" xfId="0" applyNumberFormat="1" applyBorder="1" applyAlignment="1" applyProtection="1">
      <alignment vertical="center"/>
    </xf>
    <xf numFmtId="0" fontId="0" fillId="0" borderId="24" xfId="0" applyFont="1" applyBorder="1" applyAlignment="1" applyProtection="1">
      <alignment vertical="center"/>
    </xf>
    <xf numFmtId="0" fontId="0" fillId="0" borderId="12" xfId="0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7" borderId="12" xfId="0" applyFill="1" applyBorder="1" applyAlignment="1" applyProtection="1">
      <alignment vertical="center"/>
    </xf>
    <xf numFmtId="167" fontId="0" fillId="0" borderId="12" xfId="0" applyNumberFormat="1" applyFill="1" applyBorder="1" applyProtection="1"/>
    <xf numFmtId="165" fontId="0" fillId="7" borderId="12" xfId="0" applyNumberFormat="1" applyFill="1" applyBorder="1" applyAlignment="1" applyProtection="1">
      <alignment vertical="center"/>
    </xf>
    <xf numFmtId="166" fontId="0" fillId="11" borderId="12" xfId="0" applyNumberFormat="1" applyFill="1" applyBorder="1" applyAlignment="1" applyProtection="1">
      <alignment vertical="center"/>
    </xf>
    <xf numFmtId="166" fontId="0" fillId="8" borderId="12" xfId="0" applyNumberFormat="1" applyFill="1" applyBorder="1" applyAlignment="1" applyProtection="1">
      <alignment vertical="center"/>
    </xf>
    <xf numFmtId="166" fontId="0" fillId="10" borderId="12" xfId="0" applyNumberFormat="1" applyFill="1" applyBorder="1" applyAlignment="1" applyProtection="1">
      <alignment vertical="center"/>
    </xf>
    <xf numFmtId="166" fontId="0" fillId="9" borderId="12" xfId="0" applyNumberFormat="1" applyFill="1" applyBorder="1" applyAlignment="1" applyProtection="1">
      <alignment vertical="center"/>
    </xf>
    <xf numFmtId="166" fontId="0" fillId="0" borderId="12" xfId="0" applyNumberFormat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</xf>
    <xf numFmtId="167" fontId="0" fillId="0" borderId="52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0" borderId="33" xfId="0" applyFont="1" applyFill="1" applyBorder="1"/>
    <xf numFmtId="0" fontId="18" fillId="0" borderId="7" xfId="0" applyFont="1" applyFill="1" applyBorder="1"/>
    <xf numFmtId="0" fontId="18" fillId="0" borderId="4" xfId="0" applyFont="1" applyFill="1" applyBorder="1"/>
    <xf numFmtId="0" fontId="18" fillId="0" borderId="6" xfId="0" applyFont="1" applyFill="1" applyBorder="1"/>
    <xf numFmtId="0" fontId="0" fillId="0" borderId="0" xfId="0" applyAlignment="1">
      <alignment horizontal="center" vertical="center"/>
    </xf>
    <xf numFmtId="49" fontId="18" fillId="0" borderId="0" xfId="0" applyNumberFormat="1" applyFont="1" applyFill="1" applyAlignment="1">
      <alignment horizontal="left"/>
    </xf>
    <xf numFmtId="49" fontId="18" fillId="6" borderId="34" xfId="0" applyNumberFormat="1" applyFont="1" applyFill="1" applyBorder="1" applyAlignment="1">
      <alignment horizontal="left"/>
    </xf>
    <xf numFmtId="49" fontId="18" fillId="6" borderId="51" xfId="0" applyNumberFormat="1" applyFont="1" applyFill="1" applyBorder="1" applyAlignment="1">
      <alignment horizontal="left"/>
    </xf>
    <xf numFmtId="49" fontId="18" fillId="6" borderId="29" xfId="0" applyNumberFormat="1" applyFont="1" applyFill="1" applyBorder="1" applyAlignment="1">
      <alignment horizontal="left"/>
    </xf>
    <xf numFmtId="49" fontId="18" fillId="6" borderId="7" xfId="0" applyNumberFormat="1" applyFont="1" applyFill="1" applyBorder="1" applyAlignment="1">
      <alignment horizontal="left"/>
    </xf>
    <xf numFmtId="49" fontId="18" fillId="6" borderId="6" xfId="0" applyNumberFormat="1" applyFont="1" applyFill="1" applyBorder="1" applyAlignment="1">
      <alignment horizontal="left"/>
    </xf>
    <xf numFmtId="49" fontId="18" fillId="23" borderId="38" xfId="0" applyNumberFormat="1" applyFont="1" applyFill="1" applyBorder="1" applyAlignment="1" applyProtection="1">
      <alignment horizontal="left"/>
      <protection locked="0"/>
    </xf>
    <xf numFmtId="49" fontId="18" fillId="23" borderId="29" xfId="0" applyNumberFormat="1" applyFont="1" applyFill="1" applyBorder="1" applyAlignment="1" applyProtection="1">
      <alignment horizontal="left"/>
      <protection locked="0"/>
    </xf>
    <xf numFmtId="0" fontId="2" fillId="5" borderId="52" xfId="0" applyFont="1" applyFill="1" applyBorder="1" applyAlignment="1" applyProtection="1">
      <alignment horizontal="center" vertical="center"/>
      <protection locked="0"/>
    </xf>
    <xf numFmtId="0" fontId="2" fillId="5" borderId="52" xfId="0" applyFont="1" applyFill="1" applyBorder="1" applyAlignment="1" applyProtection="1">
      <alignment horizontal="center" vertical="center"/>
    </xf>
    <xf numFmtId="0" fontId="6" fillId="0" borderId="50" xfId="0" applyFont="1" applyFill="1" applyBorder="1" applyProtection="1"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2" fillId="0" borderId="52" xfId="0" applyFont="1" applyFill="1" applyBorder="1" applyAlignment="1" applyProtection="1">
      <alignment horizontal="center" vertical="center"/>
      <protection locked="0"/>
    </xf>
    <xf numFmtId="0" fontId="2" fillId="0" borderId="52" xfId="0" applyFont="1" applyFill="1" applyBorder="1" applyAlignment="1" applyProtection="1">
      <alignment horizontal="center" vertical="center"/>
    </xf>
    <xf numFmtId="0" fontId="17" fillId="0" borderId="53" xfId="0" applyFont="1" applyFill="1" applyBorder="1" applyAlignment="1" applyProtection="1">
      <alignment horizontal="center" vertical="center"/>
    </xf>
    <xf numFmtId="49" fontId="17" fillId="0" borderId="0" xfId="0" applyNumberFormat="1" applyFont="1" applyFill="1" applyProtection="1"/>
    <xf numFmtId="0" fontId="3" fillId="5" borderId="13" xfId="0" applyFont="1" applyFill="1" applyBorder="1" applyAlignment="1" applyProtection="1">
      <alignment horizontal="left" vertical="center"/>
      <protection locked="0"/>
    </xf>
    <xf numFmtId="0" fontId="2" fillId="5" borderId="13" xfId="0" applyFont="1" applyFill="1" applyBorder="1" applyAlignment="1" applyProtection="1">
      <alignment horizontal="left" vertical="center"/>
      <protection locked="0"/>
    </xf>
    <xf numFmtId="2" fontId="17" fillId="5" borderId="13" xfId="0" applyNumberFormat="1" applyFont="1" applyFill="1" applyBorder="1" applyAlignment="1" applyProtection="1">
      <alignment horizontal="left" vertical="center"/>
      <protection locked="0"/>
    </xf>
    <xf numFmtId="0" fontId="17" fillId="5" borderId="13" xfId="0" applyFont="1" applyFill="1" applyBorder="1" applyAlignment="1" applyProtection="1">
      <alignment horizontal="left" vertical="center"/>
      <protection locked="0"/>
    </xf>
    <xf numFmtId="49" fontId="17" fillId="5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Font="1"/>
    <xf numFmtId="170" fontId="0" fillId="11" borderId="0" xfId="0" applyNumberFormat="1" applyFont="1" applyFill="1" applyBorder="1" applyAlignment="1" applyProtection="1">
      <alignment vertical="center"/>
    </xf>
    <xf numFmtId="170" fontId="0" fillId="8" borderId="0" xfId="0" applyNumberFormat="1" applyFont="1" applyFill="1" applyBorder="1" applyAlignment="1" applyProtection="1">
      <alignment vertical="center"/>
    </xf>
    <xf numFmtId="170" fontId="0" fillId="10" borderId="0" xfId="0" applyNumberFormat="1" applyFont="1" applyFill="1" applyBorder="1" applyAlignment="1" applyProtection="1">
      <alignment vertical="center"/>
    </xf>
    <xf numFmtId="170" fontId="0" fillId="9" borderId="0" xfId="0" applyNumberFormat="1" applyFont="1" applyFill="1" applyBorder="1" applyAlignment="1" applyProtection="1">
      <alignment vertical="center"/>
    </xf>
    <xf numFmtId="166" fontId="0" fillId="16" borderId="0" xfId="0" applyNumberFormat="1" applyFont="1" applyFill="1" applyBorder="1" applyAlignment="1" applyProtection="1">
      <alignment vertical="center"/>
    </xf>
    <xf numFmtId="166" fontId="0" fillId="0" borderId="0" xfId="0" applyNumberFormat="1" applyFont="1" applyBorder="1" applyAlignment="1" applyProtection="1">
      <alignment vertical="center"/>
    </xf>
    <xf numFmtId="49" fontId="0" fillId="0" borderId="0" xfId="0" applyNumberFormat="1" applyFont="1" applyBorder="1" applyProtection="1">
      <protection locked="0"/>
    </xf>
    <xf numFmtId="0" fontId="0" fillId="0" borderId="0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/>
    <xf numFmtId="3" fontId="14" fillId="0" borderId="0" xfId="0" applyNumberFormat="1" applyFont="1" applyFill="1" applyBorder="1"/>
    <xf numFmtId="49" fontId="7" fillId="5" borderId="28" xfId="0" applyNumberFormat="1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166" fontId="18" fillId="16" borderId="2" xfId="0" applyNumberFormat="1" applyFont="1" applyFill="1" applyBorder="1"/>
    <xf numFmtId="166" fontId="18" fillId="0" borderId="2" xfId="0" applyNumberFormat="1" applyFont="1" applyBorder="1"/>
    <xf numFmtId="166" fontId="18" fillId="16" borderId="0" xfId="0" applyNumberFormat="1" applyFont="1" applyFill="1" applyBorder="1"/>
    <xf numFmtId="166" fontId="18" fillId="0" borderId="0" xfId="0" applyNumberFormat="1" applyFont="1" applyBorder="1"/>
    <xf numFmtId="166" fontId="18" fillId="0" borderId="0" xfId="0" applyNumberFormat="1" applyFont="1"/>
    <xf numFmtId="0" fontId="7" fillId="24" borderId="13" xfId="0" applyFont="1" applyFill="1" applyBorder="1" applyAlignment="1">
      <alignment horizontal="left" vertical="center"/>
    </xf>
    <xf numFmtId="0" fontId="7" fillId="25" borderId="13" xfId="0" applyFont="1" applyFill="1" applyBorder="1" applyAlignment="1">
      <alignment horizontal="left" vertical="center"/>
    </xf>
    <xf numFmtId="0" fontId="0" fillId="12" borderId="0" xfId="0" applyFill="1"/>
    <xf numFmtId="0" fontId="0" fillId="0" borderId="12" xfId="0" applyBorder="1" applyAlignment="1"/>
    <xf numFmtId="16" fontId="0" fillId="0" borderId="0" xfId="0" applyNumberFormat="1"/>
    <xf numFmtId="0" fontId="0" fillId="0" borderId="0" xfId="0" applyAlignment="1"/>
    <xf numFmtId="49" fontId="22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1" fontId="13" fillId="0" borderId="0" xfId="0" applyNumberFormat="1" applyFont="1" applyAlignment="1">
      <alignment vertical="center"/>
    </xf>
    <xf numFmtId="11" fontId="13" fillId="0" borderId="0" xfId="0" applyNumberFormat="1" applyFont="1" applyAlignment="1">
      <alignment horizontal="center" vertical="center"/>
    </xf>
    <xf numFmtId="0" fontId="7" fillId="24" borderId="13" xfId="0" applyFont="1" applyFill="1" applyBorder="1"/>
    <xf numFmtId="0" fontId="0" fillId="0" borderId="0" xfId="0" applyAlignment="1">
      <alignment horizontal="center" vertical="center"/>
    </xf>
    <xf numFmtId="0" fontId="0" fillId="26" borderId="0" xfId="0" applyFill="1" applyAlignment="1">
      <alignment horizontal="center" vertical="center"/>
    </xf>
    <xf numFmtId="49" fontId="18" fillId="6" borderId="32" xfId="0" applyNumberFormat="1" applyFont="1" applyFill="1" applyBorder="1" applyAlignment="1">
      <alignment horizontal="left"/>
    </xf>
    <xf numFmtId="0" fontId="18" fillId="0" borderId="0" xfId="0" applyFont="1" applyFill="1" applyBorder="1"/>
    <xf numFmtId="166" fontId="18" fillId="0" borderId="0" xfId="0" applyNumberFormat="1" applyFont="1" applyFill="1" applyBorder="1"/>
    <xf numFmtId="49" fontId="18" fillId="23" borderId="0" xfId="0" applyNumberFormat="1" applyFont="1" applyFill="1" applyBorder="1" applyAlignment="1" applyProtection="1">
      <alignment horizontal="left"/>
      <protection locked="0"/>
    </xf>
    <xf numFmtId="49" fontId="18" fillId="6" borderId="0" xfId="0" applyNumberFormat="1" applyFont="1" applyFill="1" applyBorder="1" applyAlignment="1">
      <alignment horizontal="left"/>
    </xf>
    <xf numFmtId="49" fontId="18" fillId="23" borderId="3" xfId="0" applyNumberFormat="1" applyFont="1" applyFill="1" applyBorder="1" applyAlignment="1" applyProtection="1">
      <alignment horizontal="left"/>
      <protection locked="0"/>
    </xf>
    <xf numFmtId="49" fontId="18" fillId="23" borderId="7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/>
    <xf numFmtId="166" fontId="18" fillId="0" borderId="5" xfId="0" applyNumberFormat="1" applyFont="1" applyFill="1" applyBorder="1"/>
    <xf numFmtId="49" fontId="18" fillId="26" borderId="3" xfId="0" applyNumberFormat="1" applyFont="1" applyFill="1" applyBorder="1" applyAlignment="1">
      <alignment horizontal="left"/>
    </xf>
    <xf numFmtId="49" fontId="18" fillId="22" borderId="6" xfId="0" applyNumberFormat="1" applyFont="1" applyFill="1" applyBorder="1" applyAlignment="1">
      <alignment horizontal="left"/>
    </xf>
    <xf numFmtId="49" fontId="18" fillId="26" borderId="6" xfId="0" applyNumberFormat="1" applyFont="1" applyFill="1" applyBorder="1" applyAlignment="1">
      <alignment horizontal="left"/>
    </xf>
    <xf numFmtId="0" fontId="0" fillId="0" borderId="50" xfId="0" applyFont="1" applyBorder="1" applyAlignment="1" applyProtection="1">
      <alignment vertical="center"/>
    </xf>
    <xf numFmtId="165" fontId="0" fillId="0" borderId="52" xfId="0" applyNumberFormat="1" applyFill="1" applyBorder="1" applyProtection="1"/>
    <xf numFmtId="165" fontId="0" fillId="0" borderId="12" xfId="0" applyNumberFormat="1" applyFill="1" applyBorder="1" applyProtection="1"/>
    <xf numFmtId="166" fontId="0" fillId="21" borderId="52" xfId="0" applyNumberFormat="1" applyFill="1" applyBorder="1" applyAlignment="1" applyProtection="1">
      <alignment vertical="center"/>
    </xf>
    <xf numFmtId="0" fontId="8" fillId="0" borderId="50" xfId="0" applyFont="1" applyFill="1" applyBorder="1" applyAlignment="1" applyProtection="1">
      <alignment vertical="center"/>
    </xf>
    <xf numFmtId="0" fontId="8" fillId="0" borderId="54" xfId="0" applyFont="1" applyBorder="1" applyAlignment="1" applyProtection="1">
      <alignment vertical="center"/>
    </xf>
    <xf numFmtId="169" fontId="2" fillId="5" borderId="13" xfId="5" applyNumberFormat="1">
      <alignment horizontal="left" vertical="center"/>
    </xf>
    <xf numFmtId="0" fontId="2" fillId="5" borderId="13" xfId="5" applyNumberFormat="1">
      <alignment horizontal="left" vertical="center"/>
    </xf>
    <xf numFmtId="49" fontId="2" fillId="5" borderId="13" xfId="5" applyNumberFormat="1">
      <alignment horizontal="left" vertical="center"/>
    </xf>
    <xf numFmtId="169" fontId="2" fillId="5" borderId="13" xfId="5" applyNumberFormat="1" applyAlignment="1">
      <alignment horizontal="left" vertical="center"/>
    </xf>
    <xf numFmtId="2" fontId="2" fillId="5" borderId="13" xfId="5" applyNumberFormat="1">
      <alignment horizontal="left" vertical="center"/>
    </xf>
    <xf numFmtId="0" fontId="2" fillId="5" borderId="13" xfId="5" applyNumberFormat="1" applyAlignment="1">
      <alignment horizontal="left" vertical="center"/>
    </xf>
    <xf numFmtId="49" fontId="2" fillId="5" borderId="13" xfId="5" applyNumberFormat="1" applyAlignment="1">
      <alignment horizontal="left" vertical="center"/>
    </xf>
    <xf numFmtId="169" fontId="1" fillId="0" borderId="0" xfId="6">
      <alignment vertical="center"/>
    </xf>
    <xf numFmtId="169" fontId="1" fillId="16" borderId="0" xfId="6" applyFill="1">
      <alignment vertical="center"/>
    </xf>
    <xf numFmtId="49" fontId="0" fillId="10" borderId="53" xfId="0" applyNumberFormat="1" applyFill="1" applyBorder="1" applyProtection="1"/>
    <xf numFmtId="49" fontId="0" fillId="10" borderId="55" xfId="0" applyNumberFormat="1" applyFill="1" applyBorder="1" applyProtection="1"/>
    <xf numFmtId="49" fontId="0" fillId="10" borderId="25" xfId="0" applyNumberFormat="1" applyFill="1" applyBorder="1" applyProtection="1"/>
    <xf numFmtId="49" fontId="0" fillId="10" borderId="0" xfId="0" applyNumberFormat="1" applyFill="1" applyBorder="1" applyProtection="1"/>
    <xf numFmtId="0" fontId="18" fillId="0" borderId="34" xfId="0" applyFont="1" applyFill="1" applyBorder="1"/>
    <xf numFmtId="0" fontId="18" fillId="0" borderId="2" xfId="0" applyFont="1" applyFill="1" applyBorder="1"/>
    <xf numFmtId="0" fontId="18" fillId="0" borderId="1" xfId="0" applyFont="1" applyFill="1" applyBorder="1"/>
    <xf numFmtId="0" fontId="18" fillId="0" borderId="3" xfId="0" applyFont="1" applyFill="1" applyBorder="1"/>
    <xf numFmtId="169" fontId="18" fillId="0" borderId="2" xfId="0" applyNumberFormat="1" applyFont="1" applyFill="1" applyBorder="1"/>
    <xf numFmtId="0" fontId="18" fillId="0" borderId="51" xfId="0" applyFont="1" applyFill="1" applyBorder="1"/>
    <xf numFmtId="169" fontId="18" fillId="0" borderId="0" xfId="0" applyNumberFormat="1" applyFont="1" applyFill="1" applyBorder="1"/>
    <xf numFmtId="0" fontId="18" fillId="0" borderId="0" xfId="0" applyFont="1" applyFill="1" applyBorder="1" applyProtection="1">
      <protection locked="0"/>
    </xf>
    <xf numFmtId="166" fontId="18" fillId="0" borderId="0" xfId="0" applyNumberFormat="1" applyFont="1" applyFill="1" applyBorder="1" applyAlignment="1" applyProtection="1">
      <alignment vertical="center"/>
    </xf>
    <xf numFmtId="0" fontId="18" fillId="0" borderId="29" xfId="0" applyFont="1" applyFill="1" applyBorder="1"/>
    <xf numFmtId="0" fontId="18" fillId="0" borderId="2" xfId="0" applyFont="1" applyFill="1" applyBorder="1" applyProtection="1">
      <protection locked="0"/>
    </xf>
    <xf numFmtId="1" fontId="18" fillId="0" borderId="1" xfId="0" applyNumberFormat="1" applyFont="1" applyFill="1" applyBorder="1" applyProtection="1">
      <protection locked="0"/>
    </xf>
    <xf numFmtId="1" fontId="18" fillId="0" borderId="3" xfId="0" applyNumberFormat="1" applyFont="1" applyFill="1" applyBorder="1" applyProtection="1">
      <protection locked="0"/>
    </xf>
    <xf numFmtId="166" fontId="18" fillId="0" borderId="2" xfId="0" applyNumberFormat="1" applyFont="1" applyFill="1" applyBorder="1" applyAlignment="1" applyProtection="1">
      <alignment vertical="center"/>
    </xf>
    <xf numFmtId="49" fontId="18" fillId="0" borderId="34" xfId="0" applyNumberFormat="1" applyFont="1" applyFill="1" applyBorder="1" applyAlignment="1" applyProtection="1">
      <alignment vertical="center"/>
      <protection locked="0"/>
    </xf>
    <xf numFmtId="49" fontId="18" fillId="0" borderId="51" xfId="0" applyNumberFormat="1" applyFont="1" applyFill="1" applyBorder="1" applyAlignment="1" applyProtection="1">
      <alignment vertical="center"/>
      <protection locked="0"/>
    </xf>
    <xf numFmtId="0" fontId="18" fillId="0" borderId="7" xfId="0" applyFont="1" applyFill="1" applyBorder="1" applyProtection="1">
      <protection locked="0"/>
    </xf>
    <xf numFmtId="166" fontId="18" fillId="0" borderId="2" xfId="0" applyNumberFormat="1" applyFont="1" applyFill="1" applyBorder="1"/>
    <xf numFmtId="0" fontId="18" fillId="0" borderId="4" xfId="0" applyFont="1" applyFill="1" applyBorder="1" applyProtection="1">
      <protection locked="0"/>
    </xf>
    <xf numFmtId="0" fontId="18" fillId="0" borderId="6" xfId="0" applyFont="1" applyFill="1" applyBorder="1" applyProtection="1">
      <protection locked="0"/>
    </xf>
    <xf numFmtId="166" fontId="18" fillId="0" borderId="5" xfId="0" applyNumberFormat="1" applyFont="1" applyFill="1" applyBorder="1" applyAlignment="1" applyProtection="1">
      <alignment vertical="center"/>
    </xf>
    <xf numFmtId="166" fontId="18" fillId="0" borderId="31" xfId="0" applyNumberFormat="1" applyFont="1" applyFill="1" applyBorder="1" applyAlignment="1" applyProtection="1">
      <alignment vertical="center"/>
    </xf>
    <xf numFmtId="0" fontId="16" fillId="0" borderId="51" xfId="0" applyNumberFormat="1" applyFont="1" applyFill="1" applyBorder="1" applyAlignment="1" applyProtection="1">
      <alignment vertical="top"/>
    </xf>
    <xf numFmtId="49" fontId="18" fillId="0" borderId="38" xfId="0" applyNumberFormat="1" applyFont="1" applyFill="1" applyBorder="1" applyAlignment="1" applyProtection="1">
      <alignment vertical="center"/>
      <protection locked="0"/>
    </xf>
    <xf numFmtId="0" fontId="18" fillId="0" borderId="31" xfId="0" applyFont="1" applyFill="1" applyBorder="1" applyProtection="1">
      <protection locked="0"/>
    </xf>
    <xf numFmtId="0" fontId="18" fillId="0" borderId="28" xfId="0" applyFont="1" applyFill="1" applyBorder="1" applyProtection="1">
      <protection locked="0"/>
    </xf>
    <xf numFmtId="0" fontId="18" fillId="0" borderId="32" xfId="0" applyFont="1" applyFill="1" applyBorder="1" applyProtection="1">
      <protection locked="0"/>
    </xf>
    <xf numFmtId="0" fontId="18" fillId="0" borderId="33" xfId="0" applyNumberFormat="1" applyFont="1" applyFill="1" applyBorder="1" applyProtection="1">
      <protection locked="0"/>
    </xf>
    <xf numFmtId="0" fontId="18" fillId="0" borderId="31" xfId="0" applyFont="1" applyFill="1" applyBorder="1"/>
    <xf numFmtId="0" fontId="18" fillId="0" borderId="28" xfId="0" applyFont="1" applyFill="1" applyBorder="1"/>
    <xf numFmtId="0" fontId="18" fillId="0" borderId="32" xfId="0" applyFont="1" applyFill="1" applyBorder="1"/>
    <xf numFmtId="169" fontId="18" fillId="0" borderId="31" xfId="0" applyNumberFormat="1" applyFont="1" applyFill="1" applyBorder="1"/>
    <xf numFmtId="0" fontId="16" fillId="0" borderId="29" xfId="0" applyNumberFormat="1" applyFont="1" applyFill="1" applyBorder="1" applyAlignment="1" applyProtection="1">
      <alignment vertical="top"/>
    </xf>
    <xf numFmtId="169" fontId="18" fillId="0" borderId="5" xfId="0" applyNumberFormat="1" applyFont="1" applyFill="1" applyBorder="1"/>
    <xf numFmtId="0" fontId="18" fillId="0" borderId="38" xfId="0" applyFont="1" applyFill="1" applyBorder="1"/>
    <xf numFmtId="0" fontId="2" fillId="5" borderId="57" xfId="5" applyNumberFormat="1" applyBorder="1">
      <alignment horizontal="left" vertical="center"/>
    </xf>
    <xf numFmtId="169" fontId="2" fillId="5" borderId="57" xfId="5" applyNumberFormat="1" applyBorder="1">
      <alignment horizontal="left" vertical="center"/>
    </xf>
    <xf numFmtId="49" fontId="2" fillId="5" borderId="57" xfId="5" applyNumberFormat="1" applyBorder="1">
      <alignment horizontal="left" vertical="center"/>
    </xf>
    <xf numFmtId="49" fontId="18" fillId="23" borderId="32" xfId="0" applyNumberFormat="1" applyFont="1" applyFill="1" applyBorder="1" applyAlignment="1" applyProtection="1">
      <alignment horizontal="left"/>
      <protection locked="0"/>
    </xf>
    <xf numFmtId="49" fontId="18" fillId="6" borderId="3" xfId="0" applyNumberFormat="1" applyFont="1" applyFill="1" applyBorder="1" applyAlignment="1">
      <alignment horizontal="left"/>
    </xf>
    <xf numFmtId="0" fontId="16" fillId="0" borderId="38" xfId="0" applyFont="1" applyFill="1" applyBorder="1"/>
    <xf numFmtId="166" fontId="18" fillId="0" borderId="31" xfId="0" applyNumberFormat="1" applyFont="1" applyFill="1" applyBorder="1"/>
    <xf numFmtId="49" fontId="18" fillId="22" borderId="32" xfId="0" applyNumberFormat="1" applyFont="1" applyFill="1" applyBorder="1" applyAlignment="1">
      <alignment horizontal="left"/>
    </xf>
    <xf numFmtId="0" fontId="16" fillId="0" borderId="34" xfId="0" applyNumberFormat="1" applyFont="1" applyFill="1" applyBorder="1" applyAlignment="1" applyProtection="1">
      <alignment vertical="top"/>
    </xf>
    <xf numFmtId="166" fontId="18" fillId="0" borderId="3" xfId="0" applyNumberFormat="1" applyFont="1" applyFill="1" applyBorder="1" applyAlignment="1" applyProtection="1">
      <alignment vertical="center"/>
    </xf>
    <xf numFmtId="166" fontId="18" fillId="0" borderId="7" xfId="0" applyNumberFormat="1" applyFont="1" applyFill="1" applyBorder="1"/>
    <xf numFmtId="49" fontId="18" fillId="0" borderId="4" xfId="0" applyNumberFormat="1" applyFont="1" applyFill="1" applyBorder="1" applyProtection="1">
      <protection locked="0"/>
    </xf>
    <xf numFmtId="166" fontId="18" fillId="0" borderId="6" xfId="0" applyNumberFormat="1" applyFont="1" applyFill="1" applyBorder="1" applyAlignment="1" applyProtection="1">
      <alignment vertical="center"/>
    </xf>
    <xf numFmtId="49" fontId="18" fillId="0" borderId="58" xfId="0" applyNumberFormat="1" applyFont="1" applyFill="1" applyBorder="1" applyProtection="1">
      <protection locked="0"/>
    </xf>
    <xf numFmtId="0" fontId="18" fillId="0" borderId="59" xfId="0" applyFont="1" applyFill="1" applyBorder="1"/>
    <xf numFmtId="49" fontId="18" fillId="0" borderId="60" xfId="0" applyNumberFormat="1" applyFont="1" applyFill="1" applyBorder="1" applyProtection="1">
      <protection locked="0"/>
    </xf>
    <xf numFmtId="0" fontId="18" fillId="0" borderId="34" xfId="0" applyFont="1" applyFill="1" applyBorder="1" applyProtection="1">
      <protection locked="0"/>
    </xf>
    <xf numFmtId="0" fontId="18" fillId="0" borderId="29" xfId="0" applyFont="1" applyFill="1" applyBorder="1" applyProtection="1">
      <protection locked="0"/>
    </xf>
    <xf numFmtId="1" fontId="18" fillId="0" borderId="4" xfId="0" applyNumberFormat="1" applyFont="1" applyFill="1" applyBorder="1" applyProtection="1">
      <protection locked="0"/>
    </xf>
    <xf numFmtId="1" fontId="18" fillId="0" borderId="6" xfId="0" applyNumberFormat="1" applyFont="1" applyFill="1" applyBorder="1" applyProtection="1">
      <protection locked="0"/>
    </xf>
    <xf numFmtId="0" fontId="18" fillId="0" borderId="7" xfId="0" applyNumberFormat="1" applyFont="1" applyFill="1" applyBorder="1" applyProtection="1">
      <protection locked="0"/>
    </xf>
    <xf numFmtId="49" fontId="18" fillId="23" borderId="51" xfId="0" applyNumberFormat="1" applyFont="1" applyFill="1" applyBorder="1" applyAlignment="1" applyProtection="1">
      <alignment horizontal="left"/>
      <protection locked="0"/>
    </xf>
    <xf numFmtId="49" fontId="18" fillId="0" borderId="1" xfId="0" applyNumberFormat="1" applyFont="1" applyFill="1" applyBorder="1" applyAlignment="1" applyProtection="1">
      <alignment vertical="center"/>
      <protection locked="0"/>
    </xf>
    <xf numFmtId="49" fontId="18" fillId="0" borderId="33" xfId="0" applyNumberFormat="1" applyFont="1" applyFill="1" applyBorder="1" applyProtection="1">
      <protection locked="0"/>
    </xf>
    <xf numFmtId="0" fontId="18" fillId="0" borderId="51" xfId="0" applyNumberFormat="1" applyFont="1" applyFill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18" fillId="0" borderId="3" xfId="0" applyFont="1" applyFill="1" applyBorder="1" applyProtection="1">
      <protection locked="0"/>
    </xf>
    <xf numFmtId="49" fontId="18" fillId="0" borderId="7" xfId="0" applyNumberFormat="1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 vertical="center"/>
    </xf>
    <xf numFmtId="49" fontId="18" fillId="0" borderId="32" xfId="0" applyNumberFormat="1" applyFont="1" applyFill="1" applyBorder="1" applyAlignment="1" applyProtection="1">
      <alignment horizontal="left"/>
      <protection locked="0"/>
    </xf>
    <xf numFmtId="49" fontId="18" fillId="0" borderId="32" xfId="0" applyNumberFormat="1" applyFont="1" applyFill="1" applyBorder="1" applyAlignment="1">
      <alignment horizontal="left"/>
    </xf>
    <xf numFmtId="49" fontId="18" fillId="0" borderId="6" xfId="0" applyNumberFormat="1" applyFont="1" applyFill="1" applyBorder="1" applyAlignment="1">
      <alignment horizontal="left"/>
    </xf>
    <xf numFmtId="0" fontId="18" fillId="23" borderId="3" xfId="0" applyNumberFormat="1" applyFont="1" applyFill="1" applyBorder="1" applyAlignment="1" applyProtection="1">
      <alignment horizontal="left"/>
      <protection locked="0"/>
    </xf>
    <xf numFmtId="0" fontId="18" fillId="23" borderId="32" xfId="0" applyNumberFormat="1" applyFont="1" applyFill="1" applyBorder="1" applyAlignment="1" applyProtection="1">
      <alignment horizontal="left"/>
      <protection locked="0"/>
    </xf>
    <xf numFmtId="0" fontId="18" fillId="0" borderId="33" xfId="0" applyFont="1" applyBorder="1"/>
    <xf numFmtId="0" fontId="18" fillId="0" borderId="7" xfId="0" applyNumberFormat="1" applyFont="1" applyFill="1" applyBorder="1" applyAlignment="1">
      <alignment horizontal="left"/>
    </xf>
    <xf numFmtId="0" fontId="18" fillId="0" borderId="4" xfId="0" applyFont="1" applyBorder="1"/>
    <xf numFmtId="166" fontId="18" fillId="0" borderId="5" xfId="0" applyNumberFormat="1" applyFont="1" applyBorder="1"/>
    <xf numFmtId="0" fontId="18" fillId="0" borderId="6" xfId="0" applyNumberFormat="1" applyFont="1" applyFill="1" applyBorder="1" applyAlignment="1">
      <alignment horizontal="left"/>
    </xf>
    <xf numFmtId="0" fontId="18" fillId="0" borderId="7" xfId="0" applyFont="1" applyBorder="1"/>
    <xf numFmtId="0" fontId="18" fillId="0" borderId="6" xfId="0" applyFont="1" applyBorder="1"/>
    <xf numFmtId="0" fontId="18" fillId="0" borderId="51" xfId="0" applyFont="1" applyBorder="1"/>
    <xf numFmtId="0" fontId="18" fillId="0" borderId="29" xfId="0" applyFont="1" applyBorder="1"/>
    <xf numFmtId="0" fontId="8" fillId="0" borderId="33" xfId="0" applyFont="1" applyBorder="1"/>
    <xf numFmtId="0" fontId="0" fillId="0" borderId="38" xfId="0" applyBorder="1"/>
    <xf numFmtId="0" fontId="0" fillId="0" borderId="32" xfId="0" applyBorder="1"/>
    <xf numFmtId="49" fontId="18" fillId="0" borderId="3" xfId="0" applyNumberFormat="1" applyFont="1" applyFill="1" applyBorder="1" applyAlignment="1">
      <alignment horizontal="left"/>
    </xf>
    <xf numFmtId="0" fontId="0" fillId="0" borderId="34" xfId="0" applyBorder="1"/>
    <xf numFmtId="0" fontId="0" fillId="0" borderId="29" xfId="0" applyBorder="1"/>
    <xf numFmtId="0" fontId="0" fillId="0" borderId="3" xfId="0" applyBorder="1"/>
    <xf numFmtId="0" fontId="0" fillId="0" borderId="6" xfId="0" applyBorder="1"/>
    <xf numFmtId="169" fontId="18" fillId="0" borderId="28" xfId="6" applyFont="1" applyBorder="1">
      <alignment vertical="center"/>
    </xf>
    <xf numFmtId="169" fontId="18" fillId="0" borderId="31" xfId="6" applyFont="1" applyBorder="1">
      <alignment vertical="center"/>
    </xf>
    <xf numFmtId="169" fontId="18" fillId="0" borderId="1" xfId="6" applyFont="1" applyBorder="1">
      <alignment vertical="center"/>
    </xf>
    <xf numFmtId="169" fontId="18" fillId="0" borderId="2" xfId="6" applyFont="1" applyBorder="1">
      <alignment vertical="center"/>
    </xf>
    <xf numFmtId="169" fontId="18" fillId="0" borderId="4" xfId="6" applyFont="1" applyBorder="1">
      <alignment vertical="center"/>
    </xf>
    <xf numFmtId="169" fontId="18" fillId="0" borderId="5" xfId="6" applyFont="1" applyBorder="1">
      <alignment vertical="center"/>
    </xf>
    <xf numFmtId="0" fontId="16" fillId="0" borderId="1" xfId="0" applyNumberFormat="1" applyFont="1" applyFill="1" applyBorder="1" applyAlignment="1" applyProtection="1">
      <alignment vertical="top"/>
    </xf>
    <xf numFmtId="0" fontId="16" fillId="0" borderId="33" xfId="0" applyNumberFormat="1" applyFont="1" applyFill="1" applyBorder="1" applyAlignment="1" applyProtection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8" fillId="22" borderId="6" xfId="0" applyNumberFormat="1" applyFont="1" applyFill="1" applyBorder="1" applyAlignment="1">
      <alignment horizontal="left"/>
    </xf>
    <xf numFmtId="0" fontId="18" fillId="6" borderId="34" xfId="0" applyNumberFormat="1" applyFont="1" applyFill="1" applyBorder="1" applyAlignment="1">
      <alignment horizontal="left"/>
    </xf>
    <xf numFmtId="0" fontId="18" fillId="6" borderId="51" xfId="0" applyNumberFormat="1" applyFont="1" applyFill="1" applyBorder="1" applyAlignment="1">
      <alignment horizontal="left"/>
    </xf>
    <xf numFmtId="0" fontId="18" fillId="6" borderId="29" xfId="0" applyNumberFormat="1" applyFont="1" applyFill="1" applyBorder="1" applyAlignment="1">
      <alignment horizontal="left"/>
    </xf>
    <xf numFmtId="0" fontId="18" fillId="0" borderId="7" xfId="0" applyNumberFormat="1" applyFont="1" applyFill="1" applyBorder="1" applyAlignment="1" applyProtection="1">
      <alignment horizontal="left"/>
      <protection locked="0"/>
    </xf>
    <xf numFmtId="0" fontId="18" fillId="0" borderId="32" xfId="0" applyNumberFormat="1" applyFont="1" applyFill="1" applyBorder="1" applyAlignment="1" applyProtection="1">
      <alignment horizontal="left"/>
      <protection locked="0"/>
    </xf>
    <xf numFmtId="0" fontId="18" fillId="26" borderId="6" xfId="0" applyNumberFormat="1" applyFont="1" applyFill="1" applyBorder="1" applyAlignment="1">
      <alignment horizontal="left"/>
    </xf>
    <xf numFmtId="0" fontId="18" fillId="6" borderId="3" xfId="0" applyNumberFormat="1" applyFont="1" applyFill="1" applyBorder="1" applyAlignment="1">
      <alignment horizontal="left"/>
    </xf>
    <xf numFmtId="0" fontId="18" fillId="6" borderId="6" xfId="0" applyNumberFormat="1" applyFont="1" applyFill="1" applyBorder="1" applyAlignment="1">
      <alignment horizontal="left"/>
    </xf>
    <xf numFmtId="0" fontId="18" fillId="6" borderId="32" xfId="0" applyNumberFormat="1" applyFont="1" applyFill="1" applyBorder="1" applyAlignment="1">
      <alignment horizontal="left"/>
    </xf>
    <xf numFmtId="0" fontId="18" fillId="22" borderId="32" xfId="0" applyNumberFormat="1" applyFont="1" applyFill="1" applyBorder="1" applyAlignment="1">
      <alignment horizontal="left"/>
    </xf>
    <xf numFmtId="0" fontId="18" fillId="6" borderId="7" xfId="0" applyNumberFormat="1" applyFont="1" applyFill="1" applyBorder="1" applyAlignment="1">
      <alignment horizontal="left"/>
    </xf>
    <xf numFmtId="0" fontId="18" fillId="0" borderId="32" xfId="0" applyNumberFormat="1" applyFont="1" applyFill="1" applyBorder="1" applyAlignment="1">
      <alignment horizontal="left"/>
    </xf>
    <xf numFmtId="0" fontId="18" fillId="26" borderId="3" xfId="0" applyNumberFormat="1" applyFont="1" applyFill="1" applyBorder="1" applyAlignment="1">
      <alignment horizontal="left"/>
    </xf>
    <xf numFmtId="0" fontId="18" fillId="23" borderId="7" xfId="0" applyNumberFormat="1" applyFont="1" applyFill="1" applyBorder="1" applyAlignment="1" applyProtection="1">
      <alignment horizontal="left"/>
      <protection locked="0"/>
    </xf>
    <xf numFmtId="0" fontId="18" fillId="23" borderId="51" xfId="0" applyNumberFormat="1" applyFont="1" applyFill="1" applyBorder="1" applyAlignment="1" applyProtection="1">
      <alignment horizontal="left"/>
      <protection locked="0"/>
    </xf>
    <xf numFmtId="0" fontId="18" fillId="23" borderId="29" xfId="0" applyNumberFormat="1" applyFont="1" applyFill="1" applyBorder="1" applyAlignment="1" applyProtection="1">
      <alignment horizontal="left"/>
      <protection locked="0"/>
    </xf>
    <xf numFmtId="0" fontId="18" fillId="6" borderId="0" xfId="0" applyNumberFormat="1" applyFont="1" applyFill="1" applyBorder="1" applyAlignment="1">
      <alignment horizontal="left"/>
    </xf>
    <xf numFmtId="0" fontId="18" fillId="23" borderId="38" xfId="0" applyNumberFormat="1" applyFont="1" applyFill="1" applyBorder="1" applyAlignment="1" applyProtection="1">
      <alignment horizontal="left"/>
      <protection locked="0"/>
    </xf>
    <xf numFmtId="0" fontId="18" fillId="23" borderId="0" xfId="0" applyNumberFormat="1" applyFont="1" applyFill="1" applyBorder="1" applyAlignment="1" applyProtection="1">
      <alignment horizontal="left"/>
      <protection locked="0"/>
    </xf>
    <xf numFmtId="1" fontId="1" fillId="0" borderId="0" xfId="6" applyNumberFormat="1">
      <alignment vertical="center"/>
    </xf>
    <xf numFmtId="171" fontId="1" fillId="0" borderId="0" xfId="6" applyNumberFormat="1">
      <alignment vertical="center"/>
    </xf>
    <xf numFmtId="0" fontId="19" fillId="18" borderId="0" xfId="0" applyFont="1" applyFill="1" applyAlignment="1">
      <alignment horizontal="center"/>
    </xf>
    <xf numFmtId="0" fontId="19" fillId="18" borderId="28" xfId="0" applyFont="1" applyFill="1" applyBorder="1" applyAlignment="1" applyProtection="1">
      <alignment horizontal="center"/>
      <protection locked="0"/>
    </xf>
    <xf numFmtId="0" fontId="19" fillId="18" borderId="31" xfId="0" applyFont="1" applyFill="1" applyBorder="1" applyAlignment="1" applyProtection="1">
      <alignment horizontal="center"/>
      <protection locked="0"/>
    </xf>
    <xf numFmtId="0" fontId="19" fillId="18" borderId="32" xfId="0" applyFont="1" applyFill="1" applyBorder="1" applyAlignment="1" applyProtection="1">
      <alignment horizontal="center"/>
      <protection locked="0"/>
    </xf>
    <xf numFmtId="2" fontId="17" fillId="0" borderId="13" xfId="0" applyNumberFormat="1" applyFont="1" applyFill="1" applyBorder="1" applyAlignment="1" applyProtection="1">
      <alignment horizontal="center"/>
      <protection locked="0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7" fillId="0" borderId="17" xfId="0" applyFont="1" applyFill="1" applyBorder="1" applyAlignment="1" applyProtection="1">
      <alignment horizontal="center" vertical="center"/>
      <protection locked="0"/>
    </xf>
    <xf numFmtId="0" fontId="17" fillId="0" borderId="56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" fontId="19" fillId="5" borderId="0" xfId="0" applyNumberFormat="1" applyFont="1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49" fontId="11" fillId="20" borderId="28" xfId="0" applyNumberFormat="1" applyFont="1" applyFill="1" applyBorder="1" applyAlignment="1">
      <alignment horizontal="center"/>
    </xf>
    <xf numFmtId="49" fontId="11" fillId="20" borderId="31" xfId="0" applyNumberFormat="1" applyFont="1" applyFill="1" applyBorder="1" applyAlignment="1">
      <alignment horizontal="center"/>
    </xf>
    <xf numFmtId="49" fontId="11" fillId="20" borderId="32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1" fillId="12" borderId="28" xfId="0" applyFont="1" applyFill="1" applyBorder="1" applyAlignment="1">
      <alignment horizontal="center"/>
    </xf>
    <xf numFmtId="0" fontId="11" fillId="12" borderId="31" xfId="0" applyFont="1" applyFill="1" applyBorder="1" applyAlignment="1">
      <alignment horizontal="center"/>
    </xf>
    <xf numFmtId="0" fontId="11" fillId="12" borderId="32" xfId="0" applyFont="1" applyFill="1" applyBorder="1" applyAlignment="1">
      <alignment horizontal="center"/>
    </xf>
    <xf numFmtId="0" fontId="11" fillId="19" borderId="28" xfId="0" applyFont="1" applyFill="1" applyBorder="1" applyAlignment="1">
      <alignment horizontal="center"/>
    </xf>
    <xf numFmtId="0" fontId="11" fillId="19" borderId="31" xfId="0" applyFont="1" applyFill="1" applyBorder="1" applyAlignment="1">
      <alignment horizontal="center"/>
    </xf>
    <xf numFmtId="0" fontId="11" fillId="19" borderId="32" xfId="0" applyFont="1" applyFill="1" applyBorder="1" applyAlignment="1">
      <alignment horizontal="center"/>
    </xf>
    <xf numFmtId="169" fontId="1" fillId="0" borderId="0" xfId="6" applyFill="1">
      <alignment vertical="center"/>
    </xf>
    <xf numFmtId="171" fontId="1" fillId="0" borderId="0" xfId="6" applyNumberFormat="1" applyFill="1">
      <alignment vertical="center"/>
    </xf>
    <xf numFmtId="169" fontId="1" fillId="0" borderId="0" xfId="6" applyAlignment="1">
      <alignment horizontal="center" vertical="center"/>
    </xf>
    <xf numFmtId="1" fontId="1" fillId="0" borderId="0" xfId="6" applyNumberFormat="1" applyFont="1">
      <alignment vertical="center"/>
    </xf>
    <xf numFmtId="169" fontId="13" fillId="28" borderId="61" xfId="6" applyNumberFormat="1" applyFont="1" applyFill="1" applyBorder="1" applyAlignment="1">
      <alignment vertical="center"/>
    </xf>
    <xf numFmtId="169" fontId="13" fillId="28" borderId="52" xfId="6" applyNumberFormat="1" applyFont="1" applyFill="1" applyBorder="1" applyAlignment="1">
      <alignment vertical="center"/>
    </xf>
    <xf numFmtId="1" fontId="13" fillId="28" borderId="52" xfId="6" applyNumberFormat="1" applyFont="1" applyFill="1" applyBorder="1" applyAlignment="1">
      <alignment vertical="center"/>
    </xf>
    <xf numFmtId="169" fontId="13" fillId="28" borderId="62" xfId="6" applyNumberFormat="1" applyFont="1" applyFill="1" applyBorder="1" applyAlignment="1">
      <alignment vertical="center"/>
    </xf>
    <xf numFmtId="11" fontId="1" fillId="0" borderId="0" xfId="6" applyNumberFormat="1">
      <alignment vertical="center"/>
    </xf>
    <xf numFmtId="1" fontId="1" fillId="16" borderId="0" xfId="6" applyNumberFormat="1" applyFill="1">
      <alignment vertical="center"/>
    </xf>
    <xf numFmtId="171" fontId="1" fillId="16" borderId="0" xfId="6" applyNumberFormat="1" applyFill="1">
      <alignment vertical="center"/>
    </xf>
    <xf numFmtId="169" fontId="1" fillId="29" borderId="0" xfId="6" applyFill="1">
      <alignment vertical="center"/>
    </xf>
    <xf numFmtId="1" fontId="1" fillId="29" borderId="0" xfId="6" applyNumberFormat="1" applyFill="1">
      <alignment vertical="center"/>
    </xf>
    <xf numFmtId="171" fontId="1" fillId="29" borderId="0" xfId="6" applyNumberFormat="1" applyFill="1">
      <alignment vertical="center"/>
    </xf>
    <xf numFmtId="169" fontId="1" fillId="6" borderId="0" xfId="6" applyFill="1">
      <alignment vertical="center"/>
    </xf>
    <xf numFmtId="1" fontId="1" fillId="6" borderId="0" xfId="6" applyNumberFormat="1" applyFill="1">
      <alignment vertical="center"/>
    </xf>
    <xf numFmtId="1" fontId="1" fillId="0" borderId="34" xfId="6" applyNumberFormat="1" applyBorder="1">
      <alignment vertical="center"/>
    </xf>
    <xf numFmtId="1" fontId="1" fillId="0" borderId="51" xfId="6" applyNumberFormat="1" applyBorder="1">
      <alignment vertical="center"/>
    </xf>
    <xf numFmtId="1" fontId="1" fillId="0" borderId="29" xfId="6" applyNumberFormat="1" applyBorder="1">
      <alignment vertical="center"/>
    </xf>
    <xf numFmtId="1" fontId="1" fillId="0" borderId="38" xfId="6" applyNumberFormat="1" applyBorder="1">
      <alignment vertical="center"/>
    </xf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34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numFmt numFmtId="1" formatCode="0"/>
    </dxf>
    <dxf>
      <numFmt numFmtId="1" formatCode="0"/>
    </dxf>
    <dxf>
      <border outline="0">
        <top style="thick">
          <color indexed="64"/>
        </top>
        <bottom style="medium">
          <color indexed="64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Сравнение!$AP$48</c15:sqref>
                        </c15:formulaRef>
                      </c:ext>
                    </c:extLst>
                    <c:strCache>
                      <c:ptCount val="1"/>
                      <c:pt idx="0">
                        <c:v>ΔH (1-0)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chemeClr val="accent1">
                          <a:lumMod val="75000"/>
                        </a:schemeClr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FB66-4BBC-B6CA-B0B60BD4F1DA}"/>
                    </c:ext>
                  </c:extLst>
                </c:dPt>
                <c:dPt>
                  <c:idx val="2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chemeClr val="accent1">
                          <a:lumMod val="75000"/>
                        </a:schemeClr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FB66-4BBC-B6CA-B0B60BD4F1DA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Сравнение!$AP$49:$AP$123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-3.0605916666652775E-2</c:v>
                      </c:pt>
                      <c:pt idx="1">
                        <c:v>6.6952017040981443E-2</c:v>
                      </c:pt>
                      <c:pt idx="2">
                        <c:v>0.14393813805728858</c:v>
                      </c:pt>
                      <c:pt idx="3">
                        <c:v>0.20266158097043807</c:v>
                      </c:pt>
                      <c:pt idx="4">
                        <c:v>0.24516527959021914</c:v>
                      </c:pt>
                      <c:pt idx="5">
                        <c:v>0.27326221997244282</c:v>
                      </c:pt>
                      <c:pt idx="6">
                        <c:v>0.28856592591648222</c:v>
                      </c:pt>
                      <c:pt idx="7">
                        <c:v>0.29251621977344622</c:v>
                      </c:pt>
                      <c:pt idx="8">
                        <c:v>0.28640109133346414</c:v>
                      </c:pt>
                      <c:pt idx="9">
                        <c:v>0.27137534392968521</c:v>
                      </c:pt>
                      <c:pt idx="10">
                        <c:v>0.24847655856843631</c:v>
                      </c:pt>
                      <c:pt idx="11">
                        <c:v>0.21863881560612936</c:v>
                      </c:pt>
                      <c:pt idx="12">
                        <c:v>0.18270453305913542</c:v>
                      </c:pt>
                      <c:pt idx="13">
                        <c:v>0.14143471638602204</c:v>
                      </c:pt>
                      <c:pt idx="14">
                        <c:v>9.5517862986074759E-2</c:v>
                      </c:pt>
                      <c:pt idx="15">
                        <c:v>4.5577723000882545E-2</c:v>
                      </c:pt>
                      <c:pt idx="16">
                        <c:v>-7.8199157935014228E-3</c:v>
                      </c:pt>
                      <c:pt idx="17">
                        <c:v>-6.4161278770188804E-2</c:v>
                      </c:pt>
                      <c:pt idx="18">
                        <c:v>-0.12297937324373924</c:v>
                      </c:pt>
                      <c:pt idx="19">
                        <c:v>-0.18384937616637034</c:v>
                      </c:pt>
                      <c:pt idx="20">
                        <c:v>-0.24638455695270386</c:v>
                      </c:pt>
                      <c:pt idx="21">
                        <c:v>-0.31023266437383429</c:v>
                      </c:pt>
                      <c:pt idx="22">
                        <c:v>-0.37507271704268352</c:v>
                      </c:pt>
                      <c:pt idx="23">
                        <c:v>-0.44061214585659036</c:v>
                      </c:pt>
                      <c:pt idx="24">
                        <c:v>-0.50658424417705106</c:v>
                      </c:pt>
                      <c:pt idx="25">
                        <c:v>-0.57274588776346358</c:v>
                      </c:pt>
                      <c:pt idx="26">
                        <c:v>-0.63887549174365998</c:v>
                      </c:pt>
                      <c:pt idx="27">
                        <c:v>-0.70477117636120235</c:v>
                      </c:pt>
                      <c:pt idx="28">
                        <c:v>-0.77024911702539245</c:v>
                      </c:pt>
                      <c:pt idx="29">
                        <c:v>-0.8351420574152435</c:v>
                      </c:pt>
                      <c:pt idx="30">
                        <c:v>-0.89929796714299304</c:v>
                      </c:pt>
                      <c:pt idx="31">
                        <c:v>-0.96257882784125104</c:v>
                      </c:pt>
                      <c:pt idx="32">
                        <c:v>-1.0248595335650461</c:v>
                      </c:pt>
                      <c:pt idx="33">
                        <c:v>-1.0860268931433092</c:v>
                      </c:pt>
                      <c:pt idx="34">
                        <c:v>-1.1459787236200354</c:v>
                      </c:pt>
                      <c:pt idx="35">
                        <c:v>-1.2046230252273089</c:v>
                      </c:pt>
                      <c:pt idx="36">
                        <c:v>-1.2618772294623051</c:v>
                      </c:pt>
                      <c:pt idx="37">
                        <c:v>-1.3176675128204951</c:v>
                      </c:pt>
                      <c:pt idx="38">
                        <c:v>-1.371928169592924</c:v>
                      </c:pt>
                      <c:pt idx="39">
                        <c:v>-1.4246010378807259</c:v>
                      </c:pt>
                      <c:pt idx="40">
                        <c:v>-1.4756349736320991</c:v>
                      </c:pt>
                      <c:pt idx="41">
                        <c:v>-1.5249853680793313</c:v>
                      </c:pt>
                      <c:pt idx="42">
                        <c:v>-1.5726137044539645</c:v>
                      </c:pt>
                      <c:pt idx="43">
                        <c:v>-1.6184871503003959</c:v>
                      </c:pt>
                      <c:pt idx="44">
                        <c:v>-1.6625781820967387</c:v>
                      </c:pt>
                      <c:pt idx="45">
                        <c:v>-1.7048642392349429</c:v>
                      </c:pt>
                      <c:pt idx="46">
                        <c:v>-1.7453274047156737</c:v>
                      </c:pt>
                      <c:pt idx="47">
                        <c:v>-1.7839541101822396</c:v>
                      </c:pt>
                      <c:pt idx="48">
                        <c:v>-1.820734863156249</c:v>
                      </c:pt>
                      <c:pt idx="49">
                        <c:v>-1.855663994549628</c:v>
                      </c:pt>
                      <c:pt idx="50">
                        <c:v>-1.8887394247158518</c:v>
                      </c:pt>
                      <c:pt idx="51">
                        <c:v>-1.9199624464716616</c:v>
                      </c:pt>
                      <c:pt idx="52">
                        <c:v>-1.9493375236700521</c:v>
                      </c:pt>
                      <c:pt idx="53">
                        <c:v>-1.9768721040395467</c:v>
                      </c:pt>
                      <c:pt idx="54">
                        <c:v>-2.0025764451249852</c:v>
                      </c:pt>
                      <c:pt idx="55">
                        <c:v>-2.0264634522715497</c:v>
                      </c:pt>
                      <c:pt idx="56">
                        <c:v>-2.0485485276916151</c:v>
                      </c:pt>
                      <c:pt idx="57">
                        <c:v>-2.0688494297395663</c:v>
                      </c:pt>
                      <c:pt idx="58">
                        <c:v>-2.087386141598079</c:v>
                      </c:pt>
                      <c:pt idx="59">
                        <c:v>-2.1041807486498874</c:v>
                      </c:pt>
                      <c:pt idx="60">
                        <c:v>-2.1192573238717305</c:v>
                      </c:pt>
                      <c:pt idx="61">
                        <c:v>-2.132641820645258</c:v>
                      </c:pt>
                      <c:pt idx="62">
                        <c:v>-2.1443619724305534</c:v>
                      </c:pt>
                      <c:pt idx="63">
                        <c:v>-2.1544471987951108</c:v>
                      </c:pt>
                      <c:pt idx="64">
                        <c:v>-2.1629285173335666</c:v>
                      </c:pt>
                      <c:pt idx="65">
                        <c:v>-2.1698384610519934</c:v>
                      </c:pt>
                      <c:pt idx="66">
                        <c:v>-2.1752110008247256</c:v>
                      </c:pt>
                      <c:pt idx="67">
                        <c:v>-2.1790814725646777</c:v>
                      </c:pt>
                      <c:pt idx="68">
                        <c:v>-2.1814865087757642</c:v>
                      </c:pt>
                      <c:pt idx="69">
                        <c:v>-2.1824639741832432</c:v>
                      </c:pt>
                      <c:pt idx="70">
                        <c:v>-2.1820529051609627</c:v>
                      </c:pt>
                      <c:pt idx="71">
                        <c:v>-2.1802934526969766</c:v>
                      </c:pt>
                      <c:pt idx="72">
                        <c:v>-2.1772268286588368</c:v>
                      </c:pt>
                      <c:pt idx="73">
                        <c:v>-2.1728952551374969</c:v>
                      </c:pt>
                      <c:pt idx="74">
                        <c:v>-2.1673419166666501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FB66-4BBC-B6CA-B0B60BD4F1DA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Сравнение!$AR$48</c15:sqref>
                        </c15:formulaRef>
                      </c:ext>
                    </c:extLst>
                    <c:strCache>
                      <c:ptCount val="1"/>
                      <c:pt idx="0">
                        <c:v>ΔG (1-0)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Сравнение!$AR$49:$AR$123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6.2974388195900247E-2</c:v>
                      </c:pt>
                      <c:pt idx="1">
                        <c:v>6.4345622415305115E-2</c:v>
                      </c:pt>
                      <c:pt idx="2">
                        <c:v>6.3051786912517852E-2</c:v>
                      </c:pt>
                      <c:pt idx="3">
                        <c:v>5.9747696623409868E-2</c:v>
                      </c:pt>
                      <c:pt idx="4">
                        <c:v>5.4987770391744559E-2</c:v>
                      </c:pt>
                      <c:pt idx="5">
                        <c:v>4.924140881895437E-2</c:v>
                      </c:pt>
                      <c:pt idx="6">
                        <c:v>4.2905788011645199E-2</c:v>
                      </c:pt>
                      <c:pt idx="7">
                        <c:v>3.6316550888266644E-2</c:v>
                      </c:pt>
                      <c:pt idx="8">
                        <c:v>2.9756778837967433E-2</c:v>
                      </c:pt>
                      <c:pt idx="9">
                        <c:v>2.3464549788535804E-2</c:v>
                      </c:pt>
                      <c:pt idx="10">
                        <c:v>1.7639328781631776E-2</c:v>
                      </c:pt>
                      <c:pt idx="11">
                        <c:v>1.2447390006156639E-2</c:v>
                      </c:pt>
                      <c:pt idx="12">
                        <c:v>8.0264319510897613E-3</c:v>
                      </c:pt>
                      <c:pt idx="13">
                        <c:v>4.489517669309862E-3</c:v>
                      </c:pt>
                      <c:pt idx="14">
                        <c:v>1.9284484189702198E-3</c:v>
                      </c:pt>
                      <c:pt idx="15">
                        <c:v>4.1665987391024825E-4</c:v>
                      </c:pt>
                      <c:pt idx="16">
                        <c:v>1.1714686232153326E-5</c:v>
                      </c:pt>
                      <c:pt idx="17">
                        <c:v>7.5745267950696874E-4</c:v>
                      </c:pt>
                      <c:pt idx="18">
                        <c:v>2.685849755886011E-3</c:v>
                      </c:pt>
                      <c:pt idx="19">
                        <c:v>5.8186282565584405E-3</c:v>
                      </c:pt>
                      <c:pt idx="20">
                        <c:v>1.0168654655833961E-2</c:v>
                      </c:pt>
                      <c:pt idx="21">
                        <c:v>1.5741154808492867E-2</c:v>
                      </c:pt>
                      <c:pt idx="22">
                        <c:v>2.2534772284183418E-2</c:v>
                      </c:pt>
                      <c:pt idx="23">
                        <c:v>3.0542491426487687E-2</c:v>
                      </c:pt>
                      <c:pt idx="24">
                        <c:v>3.9752443525852867E-2</c:v>
                      </c:pt>
                      <c:pt idx="25">
                        <c:v>5.0148611777636687E-2</c:v>
                      </c:pt>
                      <c:pt idx="26">
                        <c:v>6.1711448415648192E-2</c:v>
                      </c:pt>
                      <c:pt idx="27">
                        <c:v>7.4418415491032647E-2</c:v>
                      </c:pt>
                      <c:pt idx="28">
                        <c:v>8.8244459144916618E-2</c:v>
                      </c:pt>
                      <c:pt idx="29">
                        <c:v>0.10316242585270083</c:v>
                      </c:pt>
                      <c:pt idx="30">
                        <c:v>0.11914342794954427</c:v>
                      </c:pt>
                      <c:pt idx="31">
                        <c:v>0.13615716475961381</c:v>
                      </c:pt>
                      <c:pt idx="32">
                        <c:v>0.15417220480178367</c:v>
                      </c:pt>
                      <c:pt idx="33">
                        <c:v>0.17315623382388731</c:v>
                      </c:pt>
                      <c:pt idx="34">
                        <c:v>0.19307627279649023</c:v>
                      </c:pt>
                      <c:pt idx="35">
                        <c:v>0.21389886946586192</c:v>
                      </c:pt>
                      <c:pt idx="36">
                        <c:v>0.23559026660502422</c:v>
                      </c:pt>
                      <c:pt idx="37">
                        <c:v>0.25811654970937525</c:v>
                      </c:pt>
                      <c:pt idx="38">
                        <c:v>0.28144377653874109</c:v>
                      </c:pt>
                      <c:pt idx="39">
                        <c:v>0.30553809061378706</c:v>
                      </c:pt>
                      <c:pt idx="40">
                        <c:v>0.33036582051648294</c:v>
                      </c:pt>
                      <c:pt idx="41">
                        <c:v>0.35589356662210775</c:v>
                      </c:pt>
                      <c:pt idx="42">
                        <c:v>0.38208827669493622</c:v>
                      </c:pt>
                      <c:pt idx="43">
                        <c:v>0.40891731161109057</c:v>
                      </c:pt>
                      <c:pt idx="44">
                        <c:v>0.4363485023236135</c:v>
                      </c:pt>
                      <c:pt idx="45">
                        <c:v>0.46435019905492664</c:v>
                      </c:pt>
                      <c:pt idx="46">
                        <c:v>0.49289131358906163</c:v>
                      </c:pt>
                      <c:pt idx="47">
                        <c:v>0.52194135543570153</c:v>
                      </c:pt>
                      <c:pt idx="48">
                        <c:v>0.55147046255113674</c:v>
                      </c:pt>
                      <c:pt idx="49">
                        <c:v>0.5814494272236771</c:v>
                      </c:pt>
                      <c:pt idx="50">
                        <c:v>0.61184971766342644</c:v>
                      </c:pt>
                      <c:pt idx="51">
                        <c:v>0.64264349577686519</c:v>
                      </c:pt>
                      <c:pt idx="52">
                        <c:v>0.67380363155342637</c:v>
                      </c:pt>
                      <c:pt idx="53">
                        <c:v>0.70530371444375484</c:v>
                      </c:pt>
                      <c:pt idx="54">
                        <c:v>0.73711806206934849</c:v>
                      </c:pt>
                      <c:pt idx="55">
                        <c:v>0.76922172656562182</c:v>
                      </c:pt>
                      <c:pt idx="56">
                        <c:v>0.80159049882896938</c:v>
                      </c:pt>
                      <c:pt idx="57">
                        <c:v>0.83420091090680215</c:v>
                      </c:pt>
                      <c:pt idx="58">
                        <c:v>0.86703023674807622</c:v>
                      </c:pt>
                      <c:pt idx="59">
                        <c:v>0.90005649150439426</c:v>
                      </c:pt>
                      <c:pt idx="60">
                        <c:v>0.93325842955560079</c:v>
                      </c:pt>
                      <c:pt idx="61">
                        <c:v>0.96661554141162198</c:v>
                      </c:pt>
                      <c:pt idx="62">
                        <c:v>1.0001080496297801</c:v>
                      </c:pt>
                      <c:pt idx="63">
                        <c:v>1.03371690386947</c:v>
                      </c:pt>
                      <c:pt idx="64">
                        <c:v>1.0674237751955225</c:v>
                      </c:pt>
                      <c:pt idx="65">
                        <c:v>1.1012110497272225</c:v>
                      </c:pt>
                      <c:pt idx="66">
                        <c:v>1.1350618217230075</c:v>
                      </c:pt>
                      <c:pt idx="67">
                        <c:v>1.1689598861784325</c:v>
                      </c:pt>
                      <c:pt idx="68">
                        <c:v>1.2028897310085886</c:v>
                      </c:pt>
                      <c:pt idx="69">
                        <c:v>1.2368365288790082</c:v>
                      </c:pt>
                      <c:pt idx="70">
                        <c:v>1.2707861287400883</c:v>
                      </c:pt>
                      <c:pt idx="71">
                        <c:v>1.3047250471165461</c:v>
                      </c:pt>
                      <c:pt idx="72">
                        <c:v>1.3386404591973988</c:v>
                      </c:pt>
                      <c:pt idx="73">
                        <c:v>1.3725201897660737</c:v>
                      </c:pt>
                      <c:pt idx="74">
                        <c:v>1.4063527040074113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B66-4BBC-B6CA-B0B60BD4F1DA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-134874.17162531178</c:v>
                      </c:pt>
                      <c:pt idx="1">
                        <c:v>-135561.06715117171</c:v>
                      </c:pt>
                      <c:pt idx="2">
                        <c:v>-136267.34208629391</c:v>
                      </c:pt>
                      <c:pt idx="3">
                        <c:v>-136991.80720824958</c:v>
                      </c:pt>
                      <c:pt idx="4">
                        <c:v>-137733.40527630335</c:v>
                      </c:pt>
                      <c:pt idx="5">
                        <c:v>-138491.19299892266</c:v>
                      </c:pt>
                      <c:pt idx="6">
                        <c:v>-139264.32587480071</c:v>
                      </c:pt>
                      <c:pt idx="7">
                        <c:v>-140052.04538733332</c:v>
                      </c:pt>
                      <c:pt idx="8">
                        <c:v>-140853.66813731522</c:v>
                      </c:pt>
                      <c:pt idx="9">
                        <c:v>-141668.57658026164</c:v>
                      </c:pt>
                      <c:pt idx="10">
                        <c:v>-142496.21109878228</c:v>
                      </c:pt>
                      <c:pt idx="11">
                        <c:v>-143336.06319095948</c:v>
                      </c:pt>
                      <c:pt idx="12">
                        <c:v>-144187.66959579819</c:v>
                      </c:pt>
                      <c:pt idx="13">
                        <c:v>-145050.60720885685</c:v>
                      </c:pt>
                      <c:pt idx="14">
                        <c:v>-145924.48866689327</c:v>
                      </c:pt>
                      <c:pt idx="15">
                        <c:v>-146808.9585011295</c:v>
                      </c:pt>
                      <c:pt idx="16">
                        <c:v>-147703.68977558767</c:v>
                      </c:pt>
                      <c:pt idx="17">
                        <c:v>-148608.38114068177</c:v>
                      </c:pt>
                      <c:pt idx="18">
                        <c:v>-149522.75424349785</c:v>
                      </c:pt>
                      <c:pt idx="19">
                        <c:v>-150446.55144544246</c:v>
                      </c:pt>
                      <c:pt idx="20">
                        <c:v>-151379.53380557807</c:v>
                      </c:pt>
                      <c:pt idx="21">
                        <c:v>-152321.47929429606</c:v>
                      </c:pt>
                      <c:pt idx="22">
                        <c:v>-153272.18120725072</c:v>
                      </c:pt>
                      <c:pt idx="23">
                        <c:v>-154231.4467538796</c:v>
                      </c:pt>
                      <c:pt idx="24">
                        <c:v>-155199.09579852683</c:v>
                      </c:pt>
                      <c:pt idx="25">
                        <c:v>-156174.95973529262</c:v>
                      </c:pt>
                      <c:pt idx="26">
                        <c:v>-157158.8804803509</c:v>
                      </c:pt>
                      <c:pt idx="27">
                        <c:v>-158150.70956769621</c:v>
                      </c:pt>
                      <c:pt idx="28">
                        <c:v>-159150.30733616534</c:v>
                      </c:pt>
                      <c:pt idx="29">
                        <c:v>-160157.54219718146</c:v>
                      </c:pt>
                      <c:pt idx="30">
                        <c:v>-161172.28997404102</c:v>
                      </c:pt>
                      <c:pt idx="31">
                        <c:v>-162194.43330473435</c:v>
                      </c:pt>
                      <c:pt idx="32">
                        <c:v>-163223.86110130011</c:v>
                      </c:pt>
                      <c:pt idx="33">
                        <c:v>-164260.46805957938</c:v>
                      </c:pt>
                      <c:pt idx="34">
                        <c:v>-165304.15421398522</c:v>
                      </c:pt>
                      <c:pt idx="35">
                        <c:v>-166354.82453254663</c:v>
                      </c:pt>
                      <c:pt idx="36">
                        <c:v>-167412.38854805258</c:v>
                      </c:pt>
                      <c:pt idx="37">
                        <c:v>-168476.76002160361</c:v>
                      </c:pt>
                      <c:pt idx="38">
                        <c:v>-169547.85663530664</c:v>
                      </c:pt>
                      <c:pt idx="39">
                        <c:v>-170625.59971121681</c:v>
                      </c:pt>
                      <c:pt idx="40">
                        <c:v>-171709.91395395476</c:v>
                      </c:pt>
                      <c:pt idx="41">
                        <c:v>-172800.72721471215</c:v>
                      </c:pt>
                      <c:pt idx="42">
                        <c:v>-173897.97027460445</c:v>
                      </c:pt>
                      <c:pt idx="43">
                        <c:v>-175001.57664555268</c:v>
                      </c:pt>
                      <c:pt idx="44">
                        <c:v>-176111.48238706542</c:v>
                      </c:pt>
                      <c:pt idx="45">
                        <c:v>-177227.62593746412</c:v>
                      </c:pt>
                      <c:pt idx="46">
                        <c:v>-178349.947958245</c:v>
                      </c:pt>
                      <c:pt idx="47">
                        <c:v>-179478.39119040401</c:v>
                      </c:pt>
                      <c:pt idx="48">
                        <c:v>-180612.90032166865</c:v>
                      </c:pt>
                      <c:pt idx="49">
                        <c:v>-181753.42186368717</c:v>
                      </c:pt>
                      <c:pt idx="50">
                        <c:v>-182899.90403831689</c:v>
                      </c:pt>
                      <c:pt idx="51">
                        <c:v>-184052.29667223792</c:v>
                      </c:pt>
                      <c:pt idx="52">
                        <c:v>-185210.55109919273</c:v>
                      </c:pt>
                      <c:pt idx="53">
                        <c:v>-186374.62006921755</c:v>
                      </c:pt>
                      <c:pt idx="54">
                        <c:v>-187544.45766429196</c:v>
                      </c:pt>
                      <c:pt idx="55">
                        <c:v>-188720.01921988459</c:v>
                      </c:pt>
                      <c:pt idx="56">
                        <c:v>-189901.26125192316</c:v>
                      </c:pt>
                      <c:pt idx="57">
                        <c:v>-191088.14138875651</c:v>
                      </c:pt>
                      <c:pt idx="58">
                        <c:v>-192280.6183077184</c:v>
                      </c:pt>
                      <c:pt idx="59">
                        <c:v>-193478.65167593426</c:v>
                      </c:pt>
                      <c:pt idx="60">
                        <c:v>-194682.20209504614</c:v>
                      </c:pt>
                      <c:pt idx="61">
                        <c:v>-195891.23104955704</c:v>
                      </c:pt>
                      <c:pt idx="62">
                        <c:v>-197105.7008585236</c:v>
                      </c:pt>
                      <c:pt idx="63">
                        <c:v>-198325.57463034688</c:v>
                      </c:pt>
                      <c:pt idx="64">
                        <c:v>-199550.81622043333</c:v>
                      </c:pt>
                      <c:pt idx="65">
                        <c:v>-200781.3901915173</c:v>
                      </c:pt>
                      <c:pt idx="66">
                        <c:v>-202017.26177645248</c:v>
                      </c:pt>
                      <c:pt idx="67">
                        <c:v>-203258.39684329531</c:v>
                      </c:pt>
                      <c:pt idx="68">
                        <c:v>-204504.76186251984</c:v>
                      </c:pt>
                      <c:pt idx="69">
                        <c:v>-205756.32387621305</c:v>
                      </c:pt>
                      <c:pt idx="70">
                        <c:v>-207013.05046911378</c:v>
                      </c:pt>
                      <c:pt idx="71">
                        <c:v>-208274.90974136948</c:v>
                      </c:pt>
                      <c:pt idx="72">
                        <c:v>-209541.87028289225</c:v>
                      </c:pt>
                      <c:pt idx="73">
                        <c:v>-210813.90114920761</c:v>
                      </c:pt>
                      <c:pt idx="74">
                        <c:v>-212090.97183869567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B66-4BBC-B6CA-B0B60BD4F1D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-113410.82337241078</c:v>
                      </c:pt>
                      <c:pt idx="1">
                        <c:v>-112765.90188665755</c:v>
                      </c:pt>
                      <c:pt idx="2">
                        <c:v>-112142.86313243974</c:v>
                      </c:pt>
                      <c:pt idx="3">
                        <c:v>-111539.37078740996</c:v>
                      </c:pt>
                      <c:pt idx="4">
                        <c:v>-110953.35472999908</c:v>
                      </c:pt>
                      <c:pt idx="5">
                        <c:v>-110382.97478639208</c:v>
                      </c:pt>
                      <c:pt idx="6">
                        <c:v>-109826.59024503031</c:v>
                      </c:pt>
                      <c:pt idx="7">
                        <c:v>-109282.73409580336</c:v>
                      </c:pt>
                      <c:pt idx="8">
                        <c:v>-108750.09116116188</c:v>
                      </c:pt>
                      <c:pt idx="9">
                        <c:v>-108227.47945001346</c:v>
                      </c:pt>
                      <c:pt idx="10">
                        <c:v>-107713.83419359248</c:v>
                      </c:pt>
                      <c:pt idx="11">
                        <c:v>-107208.19412378327</c:v>
                      </c:pt>
                      <c:pt idx="12">
                        <c:v>-106709.68963481023</c:v>
                      </c:pt>
                      <c:pt idx="13">
                        <c:v>-106217.53253345549</c:v>
                      </c:pt>
                      <c:pt idx="14">
                        <c:v>-105731.00713456051</c:v>
                      </c:pt>
                      <c:pt idx="15">
                        <c:v>-105249.46250022441</c:v>
                      </c:pt>
                      <c:pt idx="16">
                        <c:v>-104772.30565491195</c:v>
                      </c:pt>
                      <c:pt idx="17">
                        <c:v>-104298.9956362369</c:v>
                      </c:pt>
                      <c:pt idx="18">
                        <c:v>-103829.0382637546</c:v>
                      </c:pt>
                      <c:pt idx="19">
                        <c:v>-103361.98152665797</c:v>
                      </c:pt>
                      <c:pt idx="20">
                        <c:v>-102897.4115066024</c:v>
                      </c:pt>
                      <c:pt idx="21">
                        <c:v>-102434.94876459971</c:v>
                      </c:pt>
                      <c:pt idx="22">
                        <c:v>-101974.24513150353</c:v>
                      </c:pt>
                      <c:pt idx="23">
                        <c:v>-101514.98085045202</c:v>
                      </c:pt>
                      <c:pt idx="24">
                        <c:v>-101056.86202704729</c:v>
                      </c:pt>
                      <c:pt idx="25">
                        <c:v>-100599.61834928954</c:v>
                      </c:pt>
                      <c:pt idx="26">
                        <c:v>-100143.00104454736</c:v>
                      </c:pt>
                      <c:pt idx="27">
                        <c:v>-99686.781045305019</c:v>
                      </c:pt>
                      <c:pt idx="28">
                        <c:v>-99230.747339212539</c:v>
                      </c:pt>
                      <c:pt idx="29">
                        <c:v>-98774.705482189718</c:v>
                      </c:pt>
                      <c:pt idx="30">
                        <c:v>-98318.476256089474</c:v>
                      </c:pt>
                      <c:pt idx="31">
                        <c:v>-97861.894454785157</c:v>
                      </c:pt>
                      <c:pt idx="32">
                        <c:v>-97404.807784572593</c:v>
                      </c:pt>
                      <c:pt idx="33">
                        <c:v>-96947.075866521409</c:v>
                      </c:pt>
                      <c:pt idx="34">
                        <c:v>-96488.569329916296</c:v>
                      </c:pt>
                      <c:pt idx="35">
                        <c:v>-96029.168987230165</c:v>
                      </c:pt>
                      <c:pt idx="36">
                        <c:v>-95568.765082200858</c:v>
                      </c:pt>
                      <c:pt idx="37">
                        <c:v>-95107.256603564572</c:v>
                      </c:pt>
                      <c:pt idx="38">
                        <c:v>-94644.550657853164</c:v>
                      </c:pt>
                      <c:pt idx="39">
                        <c:v>-94180.56189540842</c:v>
                      </c:pt>
                      <c:pt idx="40">
                        <c:v>-93715.211984419322</c:v>
                      </c:pt>
                      <c:pt idx="41">
                        <c:v>-93248.429128358897</c:v>
                      </c:pt>
                      <c:pt idx="42">
                        <c:v>-92780.147622699398</c:v>
                      </c:pt>
                      <c:pt idx="43">
                        <c:v>-92310.307447225947</c:v>
                      </c:pt>
                      <c:pt idx="44">
                        <c:v>-91838.853890657439</c:v>
                      </c:pt>
                      <c:pt idx="45">
                        <c:v>-91365.737204626537</c:v>
                      </c:pt>
                      <c:pt idx="46">
                        <c:v>-90890.912284374601</c:v>
                      </c:pt>
                      <c:pt idx="47">
                        <c:v>-90414.33837378578</c:v>
                      </c:pt>
                      <c:pt idx="48">
                        <c:v>-89935.978792622322</c:v>
                      </c:pt>
                      <c:pt idx="49">
                        <c:v>-89455.80068403692</c:v>
                      </c:pt>
                      <c:pt idx="50">
                        <c:v>-88973.77478062376</c:v>
                      </c:pt>
                      <c:pt idx="51">
                        <c:v>-88489.875187440397</c:v>
                      </c:pt>
                      <c:pt idx="52">
                        <c:v>-88004.079180580477</c:v>
                      </c:pt>
                      <c:pt idx="53">
                        <c:v>-87516.367020013276</c:v>
                      </c:pt>
                      <c:pt idx="54">
                        <c:v>-87026.721775524435</c:v>
                      </c:pt>
                      <c:pt idx="55">
                        <c:v>-86535.129164699829</c:v>
                      </c:pt>
                      <c:pt idx="56">
                        <c:v>-86041.577401992516</c:v>
                      </c:pt>
                      <c:pt idx="57">
                        <c:v>-85546.057057997663</c:v>
                      </c:pt>
                      <c:pt idx="58">
                        <c:v>-85048.560928138759</c:v>
                      </c:pt>
                      <c:pt idx="59">
                        <c:v>-84549.083910039117</c:v>
                      </c:pt>
                      <c:pt idx="60">
                        <c:v>-84047.622888916318</c:v>
                      </c:pt>
                      <c:pt idx="61">
                        <c:v>-83544.176630392758</c:v>
                      </c:pt>
                      <c:pt idx="62">
                        <c:v>-83038.745680169159</c:v>
                      </c:pt>
                      <c:pt idx="63">
                        <c:v>-82531.332270053827</c:v>
                      </c:pt>
                      <c:pt idx="64">
                        <c:v>-82021.940229882166</c:v>
                      </c:pt>
                      <c:pt idx="65">
                        <c:v>-81510.574904900903</c:v>
                      </c:pt>
                      <c:pt idx="66">
                        <c:v>-80997.243078225147</c:v>
                      </c:pt>
                      <c:pt idx="67">
                        <c:v>-80481.952898008545</c:v>
                      </c:pt>
                      <c:pt idx="68">
                        <c:v>-79964.713808995744</c:v>
                      </c:pt>
                      <c:pt idx="69">
                        <c:v>-79445.536488152778</c:v>
                      </c:pt>
                      <c:pt idx="70">
                        <c:v>-78924.432784094155</c:v>
                      </c:pt>
                      <c:pt idx="71">
                        <c:v>-78401.415660048719</c:v>
                      </c:pt>
                      <c:pt idx="72">
                        <c:v>-77876.499140124739</c:v>
                      </c:pt>
                      <c:pt idx="73">
                        <c:v>-77349.698258653953</c:v>
                      </c:pt>
                      <c:pt idx="74">
                        <c:v>-76821.029012410669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B66-4BBC-B6CA-B0B60BD4F1D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8"/>
          <c:order val="8"/>
          <c:tx>
            <c:strRef>
              <c:f>Сравнение!$F$48</c:f>
              <c:strCache>
                <c:ptCount val="1"/>
                <c:pt idx="0">
                  <c:v>0: G(T) Дж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Сравнение!$F$49:$F$123</c:f>
              <c:numCache>
                <c:formatCode>#,##0</c:formatCode>
                <c:ptCount val="75"/>
                <c:pt idx="0">
                  <c:v>-147618.28966298359</c:v>
                </c:pt>
                <c:pt idx="1">
                  <c:v>-148711.58128846306</c:v>
                </c:pt>
                <c:pt idx="2">
                  <c:v>-149828.87815198605</c:v>
                </c:pt>
                <c:pt idx="3">
                  <c:v>-150969.46802166186</c:v>
                </c:pt>
                <c:pt idx="4">
                  <c:v>-152132.67971708922</c:v>
                </c:pt>
                <c:pt idx="5">
                  <c:v>-153317.87965914625</c:v>
                </c:pt>
                <c:pt idx="6">
                  <c:v>-154524.46879592512</c:v>
                </c:pt>
                <c:pt idx="7">
                  <c:v>-155751.87985490641</c:v>
                </c:pt>
                <c:pt idx="8">
                  <c:v>-156999.57487920817</c:v>
                </c:pt>
                <c:pt idx="9">
                  <c:v>-158267.04301212105</c:v>
                </c:pt>
                <c:pt idx="10">
                  <c:v>-159553.79849941866</c:v>
                </c:pt>
                <c:pt idx="11">
                  <c:v>-160859.37888332331</c:v>
                </c:pt>
                <c:pt idx="12">
                  <c:v>-162183.34336568031</c:v>
                </c:pt>
                <c:pt idx="13">
                  <c:v>-163525.27132097556</c:v>
                </c:pt>
                <c:pt idx="14">
                  <c:v>-164884.76094243204</c:v>
                </c:pt>
                <c:pt idx="15">
                  <c:v>-166261.42800662245</c:v>
                </c:pt>
                <c:pt idx="16">
                  <c:v>-167654.90474390637</c:v>
                </c:pt>
                <c:pt idx="17">
                  <c:v>-169064.83880359778</c:v>
                </c:pt>
                <c:pt idx="18">
                  <c:v>-170490.89230413505</c:v>
                </c:pt>
                <c:pt idx="19">
                  <c:v>-171932.74095970092</c:v>
                </c:pt>
                <c:pt idx="20">
                  <c:v>-173390.07327575263</c:v>
                </c:pt>
                <c:pt idx="21">
                  <c:v>-174862.58980679544</c:v>
                </c:pt>
                <c:pt idx="22">
                  <c:v>-176350.00247049535</c:v>
                </c:pt>
                <c:pt idx="23">
                  <c:v>-177852.03391288337</c:v>
                </c:pt>
                <c:pt idx="24">
                  <c:v>-179368.41691998139</c:v>
                </c:pt>
                <c:pt idx="25">
                  <c:v>-180898.89387168206</c:v>
                </c:pt>
                <c:pt idx="26">
                  <c:v>-182443.2162341564</c:v>
                </c:pt>
                <c:pt idx="27">
                  <c:v>-184001.14408745005</c:v>
                </c:pt>
                <c:pt idx="28">
                  <c:v>-185572.44568527088</c:v>
                </c:pt>
                <c:pt idx="29">
                  <c:v>-187156.89704427181</c:v>
                </c:pt>
                <c:pt idx="30">
                  <c:v>-188754.28156039846</c:v>
                </c:pt>
                <c:pt idx="31">
                  <c:v>-190364.38965010963</c:v>
                </c:pt>
                <c:pt idx="32">
                  <c:v>-191987.01841448536</c:v>
                </c:pt>
                <c:pt idx="33">
                  <c:v>-193621.97132442734</c:v>
                </c:pt>
                <c:pt idx="34">
                  <c:v>-195269.05792532113</c:v>
                </c:pt>
                <c:pt idx="35">
                  <c:v>-196928.0935596787</c:v>
                </c:pt>
                <c:pt idx="36">
                  <c:v>-198598.89910641417</c:v>
                </c:pt>
                <c:pt idx="37">
                  <c:v>-200281.30073552357</c:v>
                </c:pt>
                <c:pt idx="38">
                  <c:v>-201975.12967704807</c:v>
                </c:pt>
                <c:pt idx="39">
                  <c:v>-203680.22200329544</c:v>
                </c:pt>
                <c:pt idx="40">
                  <c:v>-205396.41842338242</c:v>
                </c:pt>
                <c:pt idx="41">
                  <c:v>-207123.56408923937</c:v>
                </c:pt>
                <c:pt idx="42">
                  <c:v>-208861.50841228745</c:v>
                </c:pt>
                <c:pt idx="43">
                  <c:v>-210610.10489006573</c:v>
                </c:pt>
                <c:pt idx="44">
                  <c:v>-212369.21094214142</c:v>
                </c:pt>
                <c:pt idx="45">
                  <c:v>-214138.68775469027</c:v>
                </c:pt>
                <c:pt idx="46">
                  <c:v>-215918.40013318203</c:v>
                </c:pt>
                <c:pt idx="47">
                  <c:v>-217708.21636264931</c:v>
                </c:pt>
                <c:pt idx="48">
                  <c:v>-219508.00807505814</c:v>
                </c:pt>
                <c:pt idx="49">
                  <c:v>-221317.65012333466</c:v>
                </c:pt>
                <c:pt idx="50">
                  <c:v>-223137.02046163546</c:v>
                </c:pt>
                <c:pt idx="51">
                  <c:v>-224966.00003147943</c:v>
                </c:pt>
                <c:pt idx="52">
                  <c:v>-226804.47265338767</c:v>
                </c:pt>
                <c:pt idx="53">
                  <c:v>-228652.32492370054</c:v>
                </c:pt>
                <c:pt idx="54">
                  <c:v>-230509.44611626808</c:v>
                </c:pt>
                <c:pt idx="55">
                  <c:v>-232375.72808872818</c:v>
                </c:pt>
                <c:pt idx="56">
                  <c:v>-234251.06519310948</c:v>
                </c:pt>
                <c:pt idx="57">
                  <c:v>-236135.35419050994</c:v>
                </c:pt>
                <c:pt idx="58">
                  <c:v>-238028.49416962458</c:v>
                </c:pt>
                <c:pt idx="59">
                  <c:v>-239930.38646890456</c:v>
                </c:pt>
                <c:pt idx="60">
                  <c:v>-241840.9346021502</c:v>
                </c:pt>
                <c:pt idx="61">
                  <c:v>-243760.04418734848</c:v>
                </c:pt>
                <c:pt idx="62">
                  <c:v>-245687.62287858195</c:v>
                </c:pt>
                <c:pt idx="63">
                  <c:v>-247623.58030084343</c:v>
                </c:pt>
                <c:pt idx="64">
                  <c:v>-249567.8279876046</c:v>
                </c:pt>
                <c:pt idx="65">
                  <c:v>-251520.27932099329</c:v>
                </c:pt>
                <c:pt idx="66">
                  <c:v>-253480.84947444586</c:v>
                </c:pt>
                <c:pt idx="67">
                  <c:v>-255449.45535770661</c:v>
                </c:pt>
                <c:pt idx="68">
                  <c:v>-257426.01556405646</c:v>
                </c:pt>
                <c:pt idx="69">
                  <c:v>-259410.45031965902</c:v>
                </c:pt>
                <c:pt idx="70">
                  <c:v>-261402.68143491799</c:v>
                </c:pt>
                <c:pt idx="71">
                  <c:v>-263402.63225774799</c:v>
                </c:pt>
                <c:pt idx="72">
                  <c:v>-265410.22762866528</c:v>
                </c:pt>
                <c:pt idx="73">
                  <c:v>-267425.39383761049</c:v>
                </c:pt>
                <c:pt idx="74">
                  <c:v>-269448.05858242133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66-4BBC-B6CA-B0B60BD4F1DA}"/>
            </c:ext>
          </c:extLst>
        </c:ser>
        <c:ser>
          <c:idx val="9"/>
          <c:order val="9"/>
          <c:tx>
            <c:strRef>
              <c:f>Сравнение!$J$48</c:f>
              <c:strCache>
                <c:ptCount val="1"/>
                <c:pt idx="0">
                  <c:v>1: G(T) Дж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Сравнение!$J$49:$J$123</c:f>
              <c:numCache>
                <c:formatCode>#,##0</c:formatCode>
                <c:ptCount val="75"/>
                <c:pt idx="0">
                  <c:v>-147555.31527478769</c:v>
                </c:pt>
                <c:pt idx="1">
                  <c:v>-148647.23566604775</c:v>
                </c:pt>
                <c:pt idx="2">
                  <c:v>-149765.82636507353</c:v>
                </c:pt>
                <c:pt idx="3">
                  <c:v>-150909.72032503845</c:v>
                </c:pt>
                <c:pt idx="4">
                  <c:v>-152077.69194669748</c:v>
                </c:pt>
                <c:pt idx="5">
                  <c:v>-153268.63825032729</c:v>
                </c:pt>
                <c:pt idx="6">
                  <c:v>-154481.56300791347</c:v>
                </c:pt>
                <c:pt idx="7">
                  <c:v>-155715.56330401814</c:v>
                </c:pt>
                <c:pt idx="8">
                  <c:v>-156969.8181003702</c:v>
                </c:pt>
                <c:pt idx="9">
                  <c:v>-158243.57846233252</c:v>
                </c:pt>
                <c:pt idx="10">
                  <c:v>-159536.15917063702</c:v>
                </c:pt>
                <c:pt idx="11">
                  <c:v>-160846.93149331716</c:v>
                </c:pt>
                <c:pt idx="12">
                  <c:v>-162175.31693372922</c:v>
                </c:pt>
                <c:pt idx="13">
                  <c:v>-163520.78180330625</c:v>
                </c:pt>
                <c:pt idx="14">
                  <c:v>-164882.83249401307</c:v>
                </c:pt>
                <c:pt idx="15">
                  <c:v>-166261.01134674854</c:v>
                </c:pt>
                <c:pt idx="16">
                  <c:v>-167654.89302922014</c:v>
                </c:pt>
                <c:pt idx="17">
                  <c:v>-169064.08135091828</c:v>
                </c:pt>
                <c:pt idx="18">
                  <c:v>-170488.20645437916</c:v>
                </c:pt>
                <c:pt idx="19">
                  <c:v>-171926.92233144437</c:v>
                </c:pt>
                <c:pt idx="20">
                  <c:v>-173379.90462109679</c:v>
                </c:pt>
                <c:pt idx="21">
                  <c:v>-174846.84865198695</c:v>
                </c:pt>
                <c:pt idx="22">
                  <c:v>-176327.46769821117</c:v>
                </c:pt>
                <c:pt idx="23">
                  <c:v>-177821.49142145689</c:v>
                </c:pt>
                <c:pt idx="24">
                  <c:v>-179328.66447645554</c:v>
                </c:pt>
                <c:pt idx="25">
                  <c:v>-180848.74525990442</c:v>
                </c:pt>
                <c:pt idx="26">
                  <c:v>-182381.50478574075</c:v>
                </c:pt>
                <c:pt idx="27">
                  <c:v>-183926.72567195902</c:v>
                </c:pt>
                <c:pt idx="28">
                  <c:v>-185484.20122612597</c:v>
                </c:pt>
                <c:pt idx="29">
                  <c:v>-187053.73461841911</c:v>
                </c:pt>
                <c:pt idx="30">
                  <c:v>-188635.13813244892</c:v>
                </c:pt>
                <c:pt idx="31">
                  <c:v>-190228.23248535002</c:v>
                </c:pt>
                <c:pt idx="32">
                  <c:v>-191832.84620968357</c:v>
                </c:pt>
                <c:pt idx="33">
                  <c:v>-193448.81509060346</c:v>
                </c:pt>
                <c:pt idx="34">
                  <c:v>-195075.98165252464</c:v>
                </c:pt>
                <c:pt idx="35">
                  <c:v>-196714.19469021284</c:v>
                </c:pt>
                <c:pt idx="36">
                  <c:v>-198363.30883980915</c:v>
                </c:pt>
                <c:pt idx="37">
                  <c:v>-200023.1841858142</c:v>
                </c:pt>
                <c:pt idx="38">
                  <c:v>-201693.68590050933</c:v>
                </c:pt>
                <c:pt idx="39">
                  <c:v>-203374.68391268165</c:v>
                </c:pt>
                <c:pt idx="40">
                  <c:v>-205066.05260286594</c:v>
                </c:pt>
                <c:pt idx="41">
                  <c:v>-206767.67052261726</c:v>
                </c:pt>
                <c:pt idx="42">
                  <c:v>-208479.42013559252</c:v>
                </c:pt>
                <c:pt idx="43">
                  <c:v>-210201.18757845464</c:v>
                </c:pt>
                <c:pt idx="44">
                  <c:v>-211932.86243981781</c:v>
                </c:pt>
                <c:pt idx="45">
                  <c:v>-213674.33755563534</c:v>
                </c:pt>
                <c:pt idx="46">
                  <c:v>-215425.50881959297</c:v>
                </c:pt>
                <c:pt idx="47">
                  <c:v>-217186.27500721361</c:v>
                </c:pt>
                <c:pt idx="48">
                  <c:v>-218956.537612507</c:v>
                </c:pt>
                <c:pt idx="49">
                  <c:v>-220736.20069611099</c:v>
                </c:pt>
                <c:pt idx="50">
                  <c:v>-222525.17074397203</c:v>
                </c:pt>
                <c:pt idx="51">
                  <c:v>-224323.35653570257</c:v>
                </c:pt>
                <c:pt idx="52">
                  <c:v>-226130.66902183424</c:v>
                </c:pt>
                <c:pt idx="53">
                  <c:v>-227947.02120925678</c:v>
                </c:pt>
                <c:pt idx="54">
                  <c:v>-229772.32805419873</c:v>
                </c:pt>
                <c:pt idx="55">
                  <c:v>-231606.50636216256</c:v>
                </c:pt>
                <c:pt idx="56">
                  <c:v>-233449.47469428051</c:v>
                </c:pt>
                <c:pt idx="57">
                  <c:v>-235301.15327960314</c:v>
                </c:pt>
                <c:pt idx="58">
                  <c:v>-237161.4639328765</c:v>
                </c:pt>
                <c:pt idx="59">
                  <c:v>-239030.32997740016</c:v>
                </c:pt>
                <c:pt idx="60">
                  <c:v>-240907.6761725946</c:v>
                </c:pt>
                <c:pt idx="61">
                  <c:v>-242793.42864593686</c:v>
                </c:pt>
                <c:pt idx="62">
                  <c:v>-244687.51482895217</c:v>
                </c:pt>
                <c:pt idx="63">
                  <c:v>-246589.86339697396</c:v>
                </c:pt>
                <c:pt idx="64">
                  <c:v>-248500.40421240908</c:v>
                </c:pt>
                <c:pt idx="65">
                  <c:v>-250419.06827126606</c:v>
                </c:pt>
                <c:pt idx="66">
                  <c:v>-252345.78765272285</c:v>
                </c:pt>
                <c:pt idx="67">
                  <c:v>-254280.49547152818</c:v>
                </c:pt>
                <c:pt idx="68">
                  <c:v>-256223.12583304787</c:v>
                </c:pt>
                <c:pt idx="69">
                  <c:v>-258173.61379078001</c:v>
                </c:pt>
                <c:pt idx="70">
                  <c:v>-260131.8953061779</c:v>
                </c:pt>
                <c:pt idx="71">
                  <c:v>-262097.90721063144</c:v>
                </c:pt>
                <c:pt idx="72">
                  <c:v>-264071.58716946788</c:v>
                </c:pt>
                <c:pt idx="73">
                  <c:v>-266052.87364784442</c:v>
                </c:pt>
                <c:pt idx="74">
                  <c:v>-268041.70587841392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B66-4BBC-B6CA-B0B60BD4F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Сравнение!$AQ$48</c15:sqref>
                        </c15:formulaRef>
                      </c:ext>
                    </c:extLst>
                    <c:strCache>
                      <c:ptCount val="1"/>
                      <c:pt idx="0">
                        <c:v>ΔS (1-0)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B66-4BBC-B6CA-B0B60BD4F1DA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Сравнение!$AQ$49:$AQ$123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-0.31193434954182919</c:v>
                      </c:pt>
                      <c:pt idx="1">
                        <c:v>8.4224105808203831E-3</c:v>
                      </c:pt>
                      <c:pt idx="2">
                        <c:v>0.25362669426753826</c:v>
                      </c:pt>
                      <c:pt idx="3">
                        <c:v>0.43521100583048167</c:v>
                      </c:pt>
                      <c:pt idx="4">
                        <c:v>0.56292542722751193</c:v>
                      </c:pt>
                      <c:pt idx="5">
                        <c:v>0.64504046791275016</c:v>
                      </c:pt>
                      <c:pt idx="6">
                        <c:v>0.68859281079386392</c:v>
                      </c:pt>
                      <c:pt idx="7">
                        <c:v>0.69958581171599121</c:v>
                      </c:pt>
                      <c:pt idx="8">
                        <c:v>0.68315392534779562</c:v>
                      </c:pt>
                      <c:pt idx="9">
                        <c:v>0.64369820233139308</c:v>
                      </c:pt>
                      <c:pt idx="10">
                        <c:v>0.5849984590487054</c:v>
                      </c:pt>
                      <c:pt idx="11">
                        <c:v>0.51030653827416472</c:v>
                      </c:pt>
                      <c:pt idx="12">
                        <c:v>0.42242416607828659</c:v>
                      </c:pt>
                      <c:pt idx="13">
                        <c:v>0.32376820143883833</c:v>
                      </c:pt>
                      <c:pt idx="14">
                        <c:v>0.21642552118643721</c:v>
                      </c:pt>
                      <c:pt idx="15">
                        <c:v>0.1021993477491776</c:v>
                      </c:pt>
                      <c:pt idx="16">
                        <c:v>-1.7351516631777031E-2</c:v>
                      </c:pt>
                      <c:pt idx="17">
                        <c:v>-0.1408793585711976</c:v>
                      </c:pt>
                      <c:pt idx="18">
                        <c:v>-0.26721915235557958</c:v>
                      </c:pt>
                      <c:pt idx="19">
                        <c:v>-0.39536429090972547</c:v>
                      </c:pt>
                      <c:pt idx="20">
                        <c:v>-0.52444579168590622</c:v>
                      </c:pt>
                      <c:pt idx="21">
                        <c:v>-0.65371443413258135</c:v>
                      </c:pt>
                      <c:pt idx="22">
                        <c:v>-0.78252537793056831</c:v>
                      </c:pt>
                      <c:pt idx="23">
                        <c:v>-0.91032488665669575</c:v>
                      </c:pt>
                      <c:pt idx="24">
                        <c:v>-1.0366388433337477</c:v>
                      </c:pt>
                      <c:pt idx="25">
                        <c:v>-1.1610627951143613</c:v>
                      </c:pt>
                      <c:pt idx="26">
                        <c:v>-1.2832533062324387</c:v>
                      </c:pt>
                      <c:pt idx="27">
                        <c:v>-1.4029204330186076</c:v>
                      </c:pt>
                      <c:pt idx="28">
                        <c:v>-1.5198211635550649</c:v>
                      </c:pt>
                      <c:pt idx="29">
                        <c:v>-1.6337536885135364</c:v>
                      </c:pt>
                      <c:pt idx="30">
                        <c:v>-1.7445523897417274</c:v>
                      </c:pt>
                      <c:pt idx="31">
                        <c:v>-1.8520834499421994</c:v>
                      </c:pt>
                      <c:pt idx="32">
                        <c:v>-1.9562410008777249</c:v>
                      </c:pt>
                      <c:pt idx="33">
                        <c:v>-2.0569437394165675</c:v>
                      </c:pt>
                      <c:pt idx="34">
                        <c:v>-2.1541319507569767</c:v>
                      </c:pt>
                      <c:pt idx="35">
                        <c:v>-2.2477648866657489</c:v>
                      </c:pt>
                      <c:pt idx="36">
                        <c:v>-2.3378184537759807</c:v>
                      </c:pt>
                      <c:pt idx="37">
                        <c:v>-2.4242831731228591</c:v>
                      </c:pt>
                      <c:pt idx="38">
                        <c:v>-2.5071623773308431</c:v>
                      </c:pt>
                      <c:pt idx="39">
                        <c:v>-2.586470616335248</c:v>
                      </c:pt>
                      <c:pt idx="40">
                        <c:v>-2.6622322463544776</c:v>
                      </c:pt>
                      <c:pt idx="41">
                        <c:v>-2.7344801801160372</c:v>
                      </c:pt>
                      <c:pt idx="42">
                        <c:v>-2.8032547791670197</c:v>
                      </c:pt>
                      <c:pt idx="43">
                        <c:v>-2.8686028715382577</c:v>
                      </c:pt>
                      <c:pt idx="44">
                        <c:v>-2.9305768801340264</c:v>
                      </c:pt>
                      <c:pt idx="45">
                        <c:v>-2.9892340490399931</c:v>
                      </c:pt>
                      <c:pt idx="46">
                        <c:v>-3.0446357565174935</c:v>
                      </c:pt>
                      <c:pt idx="47">
                        <c:v>-3.0968469048226837</c:v>
                      </c:pt>
                      <c:pt idx="48">
                        <c:v>-3.1459353781783079</c:v>
                      </c:pt>
                      <c:pt idx="49">
                        <c:v>-3.1919715612605444</c:v>
                      </c:pt>
                      <c:pt idx="50">
                        <c:v>-3.2350279114696434</c:v>
                      </c:pt>
                      <c:pt idx="51">
                        <c:v>-3.2751785790395616</c:v>
                      </c:pt>
                      <c:pt idx="52">
                        <c:v>-3.3124990697361909</c:v>
                      </c:pt>
                      <c:pt idx="53">
                        <c:v>-3.3470659454935401</c:v>
                      </c:pt>
                      <c:pt idx="54">
                        <c:v>-3.3789565588730284</c:v>
                      </c:pt>
                      <c:pt idx="55">
                        <c:v>-3.4082488176927939</c:v>
                      </c:pt>
                      <c:pt idx="56">
                        <c:v>-3.4350209765883335</c:v>
                      </c:pt>
                      <c:pt idx="57">
                        <c:v>-3.4593514526220304</c:v>
                      </c:pt>
                      <c:pt idx="58">
                        <c:v>-3.4813186623823924</c:v>
                      </c:pt>
                      <c:pt idx="59">
                        <c:v>-3.501000878290057</c:v>
                      </c:pt>
                      <c:pt idx="60">
                        <c:v>-3.5184761020813369</c:v>
                      </c:pt>
                      <c:pt idx="61">
                        <c:v>-3.5338219536550071</c:v>
                      </c:pt>
                      <c:pt idx="62">
                        <c:v>-3.5471155736655646</c:v>
                      </c:pt>
                      <c:pt idx="63">
                        <c:v>-3.5584335384189671</c:v>
                      </c:pt>
                      <c:pt idx="64">
                        <c:v>-3.56785178577843</c:v>
                      </c:pt>
                      <c:pt idx="65">
                        <c:v>-3.5754455509256502</c:v>
                      </c:pt>
                      <c:pt idx="66">
                        <c:v>-3.5812893109435322</c:v>
                      </c:pt>
                      <c:pt idx="67">
                        <c:v>-3.5854567372936117</c:v>
                      </c:pt>
                      <c:pt idx="68">
                        <c:v>-3.5880206553588039</c:v>
                      </c:pt>
                      <c:pt idx="69">
                        <c:v>-3.589053010306543</c:v>
                      </c:pt>
                      <c:pt idx="70">
                        <c:v>-3.5886248386049999</c:v>
                      </c:pt>
                      <c:pt idx="71">
                        <c:v>-3.5868062445925091</c:v>
                      </c:pt>
                      <c:pt idx="72">
                        <c:v>-3.5836663815614713</c:v>
                      </c:pt>
                      <c:pt idx="73">
                        <c:v>-3.5792734368740753</c:v>
                      </c:pt>
                      <c:pt idx="74">
                        <c:v>-3.5736946206739901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FB66-4BBC-B6CA-B0B60BD4F1DA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Сравнение!$AS$48</c15:sqref>
                        </c15:formulaRef>
                      </c:ext>
                    </c:extLst>
                    <c:strCache>
                      <c:ptCount val="1"/>
                      <c:pt idx="0">
                        <c:v>ΔCp (1-0)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Сравнение!$AS$49:$AS$123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11.489926666666676</c:v>
                      </c:pt>
                      <c:pt idx="1">
                        <c:v>9.1826551280159947</c:v>
                      </c:pt>
                      <c:pt idx="2">
                        <c:v>7.1350192737534286</c:v>
                      </c:pt>
                      <c:pt idx="3">
                        <c:v>5.3167253718997074</c:v>
                      </c:pt>
                      <c:pt idx="4">
                        <c:v>3.7016605427611324</c:v>
                      </c:pt>
                      <c:pt idx="5">
                        <c:v>2.2672189960191247</c:v>
                      </c:pt>
                      <c:pt idx="6">
                        <c:v>0.99375162392568939</c:v>
                      </c:pt>
                      <c:pt idx="7">
                        <c:v>-0.13588620123508122</c:v>
                      </c:pt>
                      <c:pt idx="8">
                        <c:v>-1.1367081515274151</c:v>
                      </c:pt>
                      <c:pt idx="9">
                        <c:v>-2.0219070541174631</c:v>
                      </c:pt>
                      <c:pt idx="10">
                        <c:v>-2.8031136002722832</c:v>
                      </c:pt>
                      <c:pt idx="11">
                        <c:v>-3.4906131640806137</c:v>
                      </c:pt>
                      <c:pt idx="12">
                        <c:v>-4.0935283071924573</c:v>
                      </c:pt>
                      <c:pt idx="13">
                        <c:v>-4.6199730384818025</c:v>
                      </c:pt>
                      <c:pt idx="14">
                        <c:v>-5.0771837161591549</c:v>
                      </c:pt>
                      <c:pt idx="15">
                        <c:v>-5.4716305485859067</c:v>
                      </c:pt>
                      <c:pt idx="16">
                        <c:v>-5.8091129118342195</c:v>
                      </c:pt>
                      <c:pt idx="17">
                        <c:v>-6.0948411137641614</c:v>
                      </c:pt>
                      <c:pt idx="18">
                        <c:v>-6.3335067632217488</c:v>
                      </c:pt>
                      <c:pt idx="19">
                        <c:v>-6.5293435237589392</c:v>
                      </c:pt>
                      <c:pt idx="20">
                        <c:v>-6.6861797246686194</c:v>
                      </c:pt>
                      <c:pt idx="21">
                        <c:v>-6.8074840531192251</c:v>
                      </c:pt>
                      <c:pt idx="22">
                        <c:v>-6.8964053480780052</c:v>
                      </c:pt>
                      <c:pt idx="23">
                        <c:v>-6.9558073503878859</c:v>
                      </c:pt>
                      <c:pt idx="24">
                        <c:v>-6.9882991266174059</c:v>
                      </c:pt>
                      <c:pt idx="25">
                        <c:v>-6.99626177144998</c:v>
                      </c:pt>
                      <c:pt idx="26">
                        <c:v>-6.9818718999060962</c:v>
                      </c:pt>
                      <c:pt idx="27">
                        <c:v>-6.9471223630010854</c:v>
                      </c:pt>
                      <c:pt idx="28">
                        <c:v>-6.8938405556470599</c:v>
                      </c:pt>
                      <c:pt idx="29">
                        <c:v>-6.8237046313981438</c:v>
                      </c:pt>
                      <c:pt idx="30">
                        <c:v>-6.7382578931371171</c:v>
                      </c:pt>
                      <c:pt idx="31">
                        <c:v>-6.6389215904988106</c:v>
                      </c:pt>
                      <c:pt idx="32">
                        <c:v>-6.5270063224849508</c:v>
                      </c:pt>
                      <c:pt idx="33">
                        <c:v>-6.4037222163428851</c:v>
                      </c:pt>
                      <c:pt idx="34">
                        <c:v>-6.2701880305329496</c:v>
                      </c:pt>
                      <c:pt idx="35">
                        <c:v>-6.1274393098192093</c:v>
                      </c:pt>
                      <c:pt idx="36">
                        <c:v>-5.9764357036292211</c:v>
                      </c:pt>
                      <c:pt idx="37">
                        <c:v>-5.8180675443786782</c:v>
                      </c:pt>
                      <c:pt idx="38">
                        <c:v>-5.6531617700644148</c:v>
                      </c:pt>
                      <c:pt idx="39">
                        <c:v>-5.4824872647776033</c:v>
                      </c:pt>
                      <c:pt idx="40">
                        <c:v>-5.3067596816104299</c:v>
                      </c:pt>
                      <c:pt idx="41">
                        <c:v>-5.1266458045062677</c:v>
                      </c:pt>
                      <c:pt idx="42">
                        <c:v>-4.9427674987459937</c:v>
                      </c:pt>
                      <c:pt idx="43">
                        <c:v>-4.7557052938181528</c:v>
                      </c:pt>
                      <c:pt idx="44">
                        <c:v>-4.5660016372553685</c:v>
                      </c:pt>
                      <c:pt idx="45">
                        <c:v>-4.3741638535229299</c:v>
                      </c:pt>
                      <c:pt idx="46">
                        <c:v>-4.180666838123912</c:v>
                      </c:pt>
                      <c:pt idx="47">
                        <c:v>-3.9859555136581264</c:v>
                      </c:pt>
                      <c:pt idx="48">
                        <c:v>-3.7904470715736096</c:v>
                      </c:pt>
                      <c:pt idx="49">
                        <c:v>-3.5945330207177193</c:v>
                      </c:pt>
                      <c:pt idx="50">
                        <c:v>-3.3985810614858991</c:v>
                      </c:pt>
                      <c:pt idx="51">
                        <c:v>-3.2029368023325588</c:v>
                      </c:pt>
                      <c:pt idx="52">
                        <c:v>-3.0079253336172656</c:v>
                      </c:pt>
                      <c:pt idx="53">
                        <c:v>-2.8138526721785695</c:v>
                      </c:pt>
                      <c:pt idx="54">
                        <c:v>-2.6210070886291419</c:v>
                      </c:pt>
                      <c:pt idx="55">
                        <c:v>-2.4296603281295432</c:v>
                      </c:pt>
                      <c:pt idx="56">
                        <c:v>-2.2400687342992853</c:v>
                      </c:pt>
                      <c:pt idx="57">
                        <c:v>-2.0524742849504065</c:v>
                      </c:pt>
                      <c:pt idx="58">
                        <c:v>-1.867105547462387</c:v>
                      </c:pt>
                      <c:pt idx="59">
                        <c:v>-1.6841785608450834</c:v>
                      </c:pt>
                      <c:pt idx="60">
                        <c:v>-1.5038976508500355</c:v>
                      </c:pt>
                      <c:pt idx="61">
                        <c:v>-1.3264561838749387</c:v>
                      </c:pt>
                      <c:pt idx="62">
                        <c:v>-1.1520372648583646</c:v>
                      </c:pt>
                      <c:pt idx="63">
                        <c:v>-0.98081438387050923</c:v>
                      </c:pt>
                      <c:pt idx="64">
                        <c:v>-0.81295201566490505</c:v>
                      </c:pt>
                      <c:pt idx="65">
                        <c:v>-0.64860617606241533</c:v>
                      </c:pt>
                      <c:pt idx="66">
                        <c:v>-0.48792493868276665</c:v>
                      </c:pt>
                      <c:pt idx="67">
                        <c:v>-0.33104891522107494</c:v>
                      </c:pt>
                      <c:pt idx="68">
                        <c:v>-0.17811170217935057</c:v>
                      </c:pt>
                      <c:pt idx="69">
                        <c:v>-2.9240296703832769E-2</c:v>
                      </c:pt>
                      <c:pt idx="70">
                        <c:v>0.1154445160537847</c:v>
                      </c:pt>
                      <c:pt idx="71">
                        <c:v>0.25582780184406317</c:v>
                      </c:pt>
                      <c:pt idx="72">
                        <c:v>0.39180014048062617</c:v>
                      </c:pt>
                      <c:pt idx="73">
                        <c:v>0.52325731140953735</c:v>
                      </c:pt>
                      <c:pt idx="74">
                        <c:v>0.65010000000003743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B66-4BBC-B6CA-B0B60BD4F1D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71.544494176336642</c:v>
                      </c:pt>
                      <c:pt idx="1">
                        <c:v>73.661232732491158</c:v>
                      </c:pt>
                      <c:pt idx="2">
                        <c:v>75.644552651915561</c:v>
                      </c:pt>
                      <c:pt idx="3">
                        <c:v>77.50947716634289</c:v>
                      </c:pt>
                      <c:pt idx="4">
                        <c:v>79.268949617060542</c:v>
                      </c:pt>
                      <c:pt idx="5">
                        <c:v>80.934169172266948</c:v>
                      </c:pt>
                      <c:pt idx="6">
                        <c:v>82.514865022841235</c:v>
                      </c:pt>
                      <c:pt idx="7">
                        <c:v>84.01952160786783</c:v>
                      </c:pt>
                      <c:pt idx="8">
                        <c:v>85.455564612782283</c:v>
                      </c:pt>
                      <c:pt idx="9">
                        <c:v>86.82951535573207</c:v>
                      </c:pt>
                      <c:pt idx="10">
                        <c:v>88.147119554248064</c:v>
                      </c:pt>
                      <c:pt idx="11">
                        <c:v>89.413455216422619</c:v>
                      </c:pt>
                      <c:pt idx="12">
                        <c:v>90.633023435068864</c:v>
                      </c:pt>
                      <c:pt idx="13">
                        <c:v>91.809825111172415</c:v>
                      </c:pt>
                      <c:pt idx="14">
                        <c:v>92.947426043519357</c:v>
                      </c:pt>
                      <c:pt idx="15">
                        <c:v>94.049012356788182</c:v>
                      </c:pt>
                      <c:pt idx="16">
                        <c:v>95.117437872155705</c:v>
                      </c:pt>
                      <c:pt idx="17">
                        <c:v>96.155264731053265</c:v>
                      </c:pt>
                      <c:pt idx="18">
                        <c:v>97.164798347729715</c:v>
                      </c:pt>
                      <c:pt idx="19">
                        <c:v>98.148117577184507</c:v>
                      </c:pt>
                      <c:pt idx="20">
                        <c:v>99.107100832160143</c:v>
                      </c:pt>
                      <c:pt idx="21">
                        <c:v>100.0434487587405</c:v>
                      </c:pt>
                      <c:pt idx="22">
                        <c:v>100.95870397886401</c:v>
                      </c:pt>
                      <c:pt idx="23">
                        <c:v>101.85426832516022</c:v>
                      </c:pt>
                      <c:pt idx="24">
                        <c:v>102.7314179253713</c:v>
                      </c:pt>
                      <c:pt idx="25">
                        <c:v>103.59131643738601</c:v>
                      </c:pt>
                      <c:pt idx="26">
                        <c:v>104.43502668934298</c:v>
                      </c:pt>
                      <c:pt idx="27">
                        <c:v>105.26352094055821</c:v>
                      </c:pt>
                      <c:pt idx="28">
                        <c:v>106.07768994675843</c:v>
                      </c:pt>
                      <c:pt idx="29">
                        <c:v>106.87835098610319</c:v>
                      </c:pt>
                      <c:pt idx="30">
                        <c:v>107.66625497982437</c:v>
                      </c:pt>
                      <c:pt idx="31">
                        <c:v>108.4420928222377</c:v>
                      </c:pt>
                      <c:pt idx="32">
                        <c:v>109.20650101878535</c:v>
                      </c:pt>
                      <c:pt idx="33">
                        <c:v>109.96006671713654</c:v>
                      </c:pt>
                      <c:pt idx="34">
                        <c:v>110.70333220480634</c:v>
                      </c:pt>
                      <c:pt idx="35">
                        <c:v>111.4367989369039</c:v>
                      </c:pt>
                      <c:pt idx="36">
                        <c:v>112.16093114921981</c:v>
                      </c:pt>
                      <c:pt idx="37">
                        <c:v>112.87615910467528</c:v>
                      </c:pt>
                      <c:pt idx="38">
                        <c:v>113.58288201499076</c:v>
                      </c:pt>
                      <c:pt idx="39">
                        <c:v>114.28147067413761</c:v>
                      </c:pt>
                      <c:pt idx="40">
                        <c:v>114.97226983557002</c:v>
                      </c:pt>
                      <c:pt idx="41">
                        <c:v>115.65560036129925</c:v>
                      </c:pt>
                      <c:pt idx="42">
                        <c:v>116.33176116746057</c:v>
                      </c:pt>
                      <c:pt idx="43">
                        <c:v>117.00103098807207</c:v>
                      </c:pt>
                      <c:pt idx="44">
                        <c:v>117.66366997611667</c:v>
                      </c:pt>
                      <c:pt idx="45">
                        <c:v>118.31992115884496</c:v>
                      </c:pt>
                      <c:pt idx="46">
                        <c:v>118.97001176224997</c:v>
                      </c:pt>
                      <c:pt idx="47">
                        <c:v>119.61415441796254</c:v>
                      </c:pt>
                      <c:pt idx="48">
                        <c:v>120.25254826432646</c:v>
                      </c:pt>
                      <c:pt idx="49">
                        <c:v>120.88537995210817</c:v>
                      </c:pt>
                      <c:pt idx="50">
                        <c:v>121.51282456414823</c:v>
                      </c:pt>
                      <c:pt idx="51">
                        <c:v>122.13504645725395</c:v>
                      </c:pt>
                      <c:pt idx="52">
                        <c:v>122.7522000337422</c:v>
                      </c:pt>
                      <c:pt idx="53">
                        <c:v>123.36443044925974</c:v>
                      </c:pt>
                      <c:pt idx="54">
                        <c:v>123.97187426281305</c:v>
                      </c:pt>
                      <c:pt idx="55">
                        <c:v>124.57466003432721</c:v>
                      </c:pt>
                      <c:pt idx="56">
                        <c:v>125.17290887450901</c:v>
                      </c:pt>
                      <c:pt idx="57">
                        <c:v>125.76673495130669</c:v>
                      </c:pt>
                      <c:pt idx="58">
                        <c:v>126.35624595682935</c:v>
                      </c:pt>
                      <c:pt idx="59">
                        <c:v>126.94154353820834</c:v>
                      </c:pt>
                      <c:pt idx="60">
                        <c:v>127.52272369553883</c:v>
                      </c:pt>
                      <c:pt idx="61">
                        <c:v>128.09987714974025</c:v>
                      </c:pt>
                      <c:pt idx="62">
                        <c:v>128.67308968289962</c:v>
                      </c:pt>
                      <c:pt idx="63">
                        <c:v>129.24244245341887</c:v>
                      </c:pt>
                      <c:pt idx="64">
                        <c:v>129.80801228807118</c:v>
                      </c:pt>
                      <c:pt idx="65">
                        <c:v>130.3698719528744</c:v>
                      </c:pt>
                      <c:pt idx="66">
                        <c:v>130.92809040451471</c:v>
                      </c:pt>
                      <c:pt idx="67">
                        <c:v>131.48273302389586</c:v>
                      </c:pt>
                      <c:pt idx="68">
                        <c:v>132.03386183324881</c:v>
                      </c:pt>
                      <c:pt idx="69">
                        <c:v>132.58153569810554</c:v>
                      </c:pt>
                      <c:pt idx="70">
                        <c:v>133.12581051532916</c:v>
                      </c:pt>
                      <c:pt idx="71">
                        <c:v>133.66673938828541</c:v>
                      </c:pt>
                      <c:pt idx="72">
                        <c:v>134.20437279014845</c:v>
                      </c:pt>
                      <c:pt idx="73">
                        <c:v>134.73875871624764</c:v>
                      </c:pt>
                      <c:pt idx="74">
                        <c:v>135.26994282628482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B66-4BBC-B6CA-B0B60BD4F1D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B66-4BBC-B6CA-B0B60BD4F1DA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  <c:minorUnit val="5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517321953994069"/>
          <c:y val="0.11651912442983461"/>
          <c:w val="7.5992759458982581E-2"/>
          <c:h val="0.10152370488572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18285351756363E-2"/>
          <c:y val="1.7440444944381954E-2"/>
          <c:w val="0.91099946345053995"/>
          <c:h val="0.92716010498687662"/>
        </c:manualLayout>
      </c:layout>
      <c:scatterChart>
        <c:scatterStyle val="lineMarker"/>
        <c:varyColors val="0"/>
        <c:ser>
          <c:idx val="3"/>
          <c:order val="3"/>
          <c:tx>
            <c:strRef>
              <c:f>'Сравнение погрешности округлени'!$L$40</c:f>
              <c:strCache>
                <c:ptCount val="1"/>
                <c:pt idx="0">
                  <c:v>Delta Gj/1000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округлени'!$L$41:$L$80</c:f>
              <c:numCache>
                <c:formatCode>0.00</c:formatCode>
                <c:ptCount val="40"/>
                <c:pt idx="0">
                  <c:v>-307299.30516495369</c:v>
                </c:pt>
                <c:pt idx="1">
                  <c:v>-307291.62467736751</c:v>
                </c:pt>
                <c:pt idx="2">
                  <c:v>-307283.94444682635</c:v>
                </c:pt>
                <c:pt idx="3">
                  <c:v>-307276.26447333023</c:v>
                </c:pt>
                <c:pt idx="4">
                  <c:v>-307268.58475664631</c:v>
                </c:pt>
                <c:pt idx="5">
                  <c:v>-307260.90529793873</c:v>
                </c:pt>
                <c:pt idx="6">
                  <c:v>-307253.22609604336</c:v>
                </c:pt>
                <c:pt idx="7">
                  <c:v>-307245.54715119302</c:v>
                </c:pt>
                <c:pt idx="8">
                  <c:v>-307237.86846338771</c:v>
                </c:pt>
                <c:pt idx="9">
                  <c:v>-307230.19003286026</c:v>
                </c:pt>
                <c:pt idx="10">
                  <c:v>-307222.51185914502</c:v>
                </c:pt>
                <c:pt idx="11">
                  <c:v>-307214.83394270763</c:v>
                </c:pt>
                <c:pt idx="12">
                  <c:v>-307207.15628261678</c:v>
                </c:pt>
                <c:pt idx="13">
                  <c:v>-307199.47888050228</c:v>
                </c:pt>
                <c:pt idx="14">
                  <c:v>-307191.80173426867</c:v>
                </c:pt>
                <c:pt idx="15">
                  <c:v>-307184.1248460114</c:v>
                </c:pt>
                <c:pt idx="16">
                  <c:v>-307176.4482143335</c:v>
                </c:pt>
                <c:pt idx="17">
                  <c:v>-307168.77183876932</c:v>
                </c:pt>
                <c:pt idx="18">
                  <c:v>-307161.09572094865</c:v>
                </c:pt>
                <c:pt idx="19">
                  <c:v>-307153.41986017302</c:v>
                </c:pt>
                <c:pt idx="20">
                  <c:v>-307145.74425574392</c:v>
                </c:pt>
                <c:pt idx="21">
                  <c:v>-307138.06890835986</c:v>
                </c:pt>
                <c:pt idx="22">
                  <c:v>-307130.39381778799</c:v>
                </c:pt>
                <c:pt idx="23">
                  <c:v>-307122.71898332983</c:v>
                </c:pt>
                <c:pt idx="24">
                  <c:v>-307115.04440684803</c:v>
                </c:pt>
                <c:pt idx="25">
                  <c:v>-307107.37008671276</c:v>
                </c:pt>
                <c:pt idx="26">
                  <c:v>-307099.69602292404</c:v>
                </c:pt>
                <c:pt idx="27">
                  <c:v>-307092.02221594751</c:v>
                </c:pt>
                <c:pt idx="28">
                  <c:v>-307084.34866578318</c:v>
                </c:pt>
                <c:pt idx="29">
                  <c:v>-307076.67537266389</c:v>
                </c:pt>
                <c:pt idx="30">
                  <c:v>-307069.0023356583</c:v>
                </c:pt>
                <c:pt idx="31">
                  <c:v>-307061.32955546491</c:v>
                </c:pt>
                <c:pt idx="32">
                  <c:v>-307053.65703185089</c:v>
                </c:pt>
                <c:pt idx="33">
                  <c:v>-307045.98476458341</c:v>
                </c:pt>
                <c:pt idx="34">
                  <c:v>-307038.31275436096</c:v>
                </c:pt>
                <c:pt idx="35">
                  <c:v>-307030.64100141637</c:v>
                </c:pt>
                <c:pt idx="36">
                  <c:v>-307022.96950342134</c:v>
                </c:pt>
                <c:pt idx="37">
                  <c:v>-307015.29826293699</c:v>
                </c:pt>
                <c:pt idx="38">
                  <c:v>-307007.62727856636</c:v>
                </c:pt>
                <c:pt idx="39">
                  <c:v>-306999.95655100793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C-461D-96F2-E8F43E81D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480"/>
        <c:axId val="51266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Base</c:v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'Сравнение погрешности округлени'!$G$41:$G$80</c15:sqref>
                        </c15:formulaRef>
                      </c:ext>
                    </c:extLst>
                    <c:numCache>
                      <c:formatCode>0.0</c:formatCode>
                      <c:ptCount val="40"/>
                      <c:pt idx="0">
                        <c:v>700</c:v>
                      </c:pt>
                      <c:pt idx="1">
                        <c:v>700.02564102564099</c:v>
                      </c:pt>
                      <c:pt idx="2">
                        <c:v>700.05128205128199</c:v>
                      </c:pt>
                      <c:pt idx="3">
                        <c:v>700.07692307692298</c:v>
                      </c:pt>
                      <c:pt idx="4">
                        <c:v>700.10256410256397</c:v>
                      </c:pt>
                      <c:pt idx="5">
                        <c:v>700.12820512820497</c:v>
                      </c:pt>
                      <c:pt idx="6">
                        <c:v>700.15384615384596</c:v>
                      </c:pt>
                      <c:pt idx="7">
                        <c:v>700.17948717948696</c:v>
                      </c:pt>
                      <c:pt idx="8">
                        <c:v>700.20512820512795</c:v>
                      </c:pt>
                      <c:pt idx="9">
                        <c:v>700.23076923076894</c:v>
                      </c:pt>
                      <c:pt idx="10">
                        <c:v>700.25641025640994</c:v>
                      </c:pt>
                      <c:pt idx="11">
                        <c:v>700.28205128205093</c:v>
                      </c:pt>
                      <c:pt idx="12">
                        <c:v>700.30769230769192</c:v>
                      </c:pt>
                      <c:pt idx="13">
                        <c:v>700.33333333333292</c:v>
                      </c:pt>
                      <c:pt idx="14">
                        <c:v>700.35897435897391</c:v>
                      </c:pt>
                      <c:pt idx="15">
                        <c:v>700.3846153846149</c:v>
                      </c:pt>
                      <c:pt idx="16">
                        <c:v>700.4102564102559</c:v>
                      </c:pt>
                      <c:pt idx="17">
                        <c:v>700.43589743589689</c:v>
                      </c:pt>
                      <c:pt idx="18">
                        <c:v>700.46153846153788</c:v>
                      </c:pt>
                      <c:pt idx="19">
                        <c:v>700.48717948717888</c:v>
                      </c:pt>
                      <c:pt idx="20">
                        <c:v>700.51282051281987</c:v>
                      </c:pt>
                      <c:pt idx="21">
                        <c:v>700.53846153846087</c:v>
                      </c:pt>
                      <c:pt idx="22">
                        <c:v>700.56410256410186</c:v>
                      </c:pt>
                      <c:pt idx="23">
                        <c:v>700.58974358974285</c:v>
                      </c:pt>
                      <c:pt idx="24">
                        <c:v>700.61538461538385</c:v>
                      </c:pt>
                      <c:pt idx="25">
                        <c:v>700.64102564102484</c:v>
                      </c:pt>
                      <c:pt idx="26">
                        <c:v>700.66666666666583</c:v>
                      </c:pt>
                      <c:pt idx="27">
                        <c:v>700.69230769230683</c:v>
                      </c:pt>
                      <c:pt idx="28">
                        <c:v>700.71794871794782</c:v>
                      </c:pt>
                      <c:pt idx="29">
                        <c:v>700.74358974358881</c:v>
                      </c:pt>
                      <c:pt idx="30">
                        <c:v>700.76923076922981</c:v>
                      </c:pt>
                      <c:pt idx="31">
                        <c:v>700.7948717948708</c:v>
                      </c:pt>
                      <c:pt idx="32">
                        <c:v>700.82051282051179</c:v>
                      </c:pt>
                      <c:pt idx="33">
                        <c:v>700.84615384615279</c:v>
                      </c:pt>
                      <c:pt idx="34">
                        <c:v>700.87179487179378</c:v>
                      </c:pt>
                      <c:pt idx="35">
                        <c:v>700.89743589743478</c:v>
                      </c:pt>
                      <c:pt idx="36">
                        <c:v>700.92307692307577</c:v>
                      </c:pt>
                      <c:pt idx="37">
                        <c:v>700.94871794871676</c:v>
                      </c:pt>
                      <c:pt idx="38">
                        <c:v>700.97435897435776</c:v>
                      </c:pt>
                      <c:pt idx="39">
                        <c:v>700.99999999999875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'Сравнение погрешности округлени'!$I$41:$I$80</c15:sqref>
                        </c15:formulaRef>
                      </c:ext>
                    </c:extLst>
                    <c:numCache>
                      <c:formatCode>0.00</c:formatCode>
                      <c:ptCount val="40"/>
                      <c:pt idx="0">
                        <c:v>-1861763.077974685</c:v>
                      </c:pt>
                      <c:pt idx="1">
                        <c:v>-1861625.9896997351</c:v>
                      </c:pt>
                      <c:pt idx="2">
                        <c:v>-1861488.9165158588</c:v>
                      </c:pt>
                      <c:pt idx="3">
                        <c:v>-1861351.8584208423</c:v>
                      </c:pt>
                      <c:pt idx="4">
                        <c:v>-1861214.8154124767</c:v>
                      </c:pt>
                      <c:pt idx="5">
                        <c:v>-1861077.7874885483</c:v>
                      </c:pt>
                      <c:pt idx="6">
                        <c:v>-1860940.7746468491</c:v>
                      </c:pt>
                      <c:pt idx="7">
                        <c:v>-1860803.7768851668</c:v>
                      </c:pt>
                      <c:pt idx="8">
                        <c:v>-1860666.794201294</c:v>
                      </c:pt>
                      <c:pt idx="9">
                        <c:v>-1860529.8265930193</c:v>
                      </c:pt>
                      <c:pt idx="10">
                        <c:v>-1860392.8740581351</c:v>
                      </c:pt>
                      <c:pt idx="11">
                        <c:v>-1860255.9365944318</c:v>
                      </c:pt>
                      <c:pt idx="12">
                        <c:v>-1860119.0141997032</c:v>
                      </c:pt>
                      <c:pt idx="13">
                        <c:v>-1859982.1068717383</c:v>
                      </c:pt>
                      <c:pt idx="14">
                        <c:v>-1859845.214608334</c:v>
                      </c:pt>
                      <c:pt idx="15">
                        <c:v>-1859708.3374072798</c:v>
                      </c:pt>
                      <c:pt idx="16">
                        <c:v>-1859571.4752663712</c:v>
                      </c:pt>
                      <c:pt idx="17">
                        <c:v>-1859434.6281834014</c:v>
                      </c:pt>
                      <c:pt idx="18">
                        <c:v>-1859297.7961561652</c:v>
                      </c:pt>
                      <c:pt idx="19">
                        <c:v>-1859160.9791824566</c:v>
                      </c:pt>
                      <c:pt idx="20">
                        <c:v>-1859024.1772600717</c:v>
                      </c:pt>
                      <c:pt idx="21">
                        <c:v>-1858887.3903868049</c:v>
                      </c:pt>
                      <c:pt idx="22">
                        <c:v>-1858750.6185604534</c:v>
                      </c:pt>
                      <c:pt idx="23">
                        <c:v>-1858613.8617788125</c:v>
                      </c:pt>
                      <c:pt idx="24">
                        <c:v>-1858477.1200396798</c:v>
                      </c:pt>
                      <c:pt idx="25">
                        <c:v>-1858340.3933408509</c:v>
                      </c:pt>
                      <c:pt idx="26">
                        <c:v>-1858203.6816801254</c:v>
                      </c:pt>
                      <c:pt idx="27">
                        <c:v>-1858066.9850552999</c:v>
                      </c:pt>
                      <c:pt idx="28">
                        <c:v>-1857930.3034641736</c:v>
                      </c:pt>
                      <c:pt idx="29">
                        <c:v>-1857793.6369045444</c:v>
                      </c:pt>
                      <c:pt idx="30">
                        <c:v>-1857656.9853742118</c:v>
                      </c:pt>
                      <c:pt idx="31">
                        <c:v>-1857520.3488709759</c:v>
                      </c:pt>
                      <c:pt idx="32">
                        <c:v>-1857383.7273926353</c:v>
                      </c:pt>
                      <c:pt idx="33">
                        <c:v>-1857247.1209369923</c:v>
                      </c:pt>
                      <c:pt idx="34">
                        <c:v>-1857110.5295018456</c:v>
                      </c:pt>
                      <c:pt idx="35">
                        <c:v>-1856973.9530849978</c:v>
                      </c:pt>
                      <c:pt idx="36">
                        <c:v>-1856837.3916842504</c:v>
                      </c:pt>
                      <c:pt idx="37">
                        <c:v>-1856700.8452974048</c:v>
                      </c:pt>
                      <c:pt idx="38">
                        <c:v>-1856564.3139222632</c:v>
                      </c:pt>
                      <c:pt idx="39">
                        <c:v>-1856427.7975566299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83C-461D-96F2-E8F43E81D22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Calibration</c:v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'Сравнение погрешности округлени'!$O$41:$O$80</c15:sqref>
                        </c15:formulaRef>
                      </c:ext>
                    </c:extLst>
                    <c:numCache>
                      <c:formatCode>0.0</c:formatCode>
                      <c:ptCount val="40"/>
                      <c:pt idx="0">
                        <c:v>700</c:v>
                      </c:pt>
                      <c:pt idx="1">
                        <c:v>700.02564102564099</c:v>
                      </c:pt>
                      <c:pt idx="2">
                        <c:v>700.05128205128199</c:v>
                      </c:pt>
                      <c:pt idx="3">
                        <c:v>700.07692307692298</c:v>
                      </c:pt>
                      <c:pt idx="4">
                        <c:v>700.10256410256397</c:v>
                      </c:pt>
                      <c:pt idx="5">
                        <c:v>700.12820512820497</c:v>
                      </c:pt>
                      <c:pt idx="6">
                        <c:v>700.15384615384596</c:v>
                      </c:pt>
                      <c:pt idx="7">
                        <c:v>700.17948717948696</c:v>
                      </c:pt>
                      <c:pt idx="8">
                        <c:v>700.20512820512795</c:v>
                      </c:pt>
                      <c:pt idx="9">
                        <c:v>700.23076923076894</c:v>
                      </c:pt>
                      <c:pt idx="10">
                        <c:v>700.25641025640994</c:v>
                      </c:pt>
                      <c:pt idx="11">
                        <c:v>700.28205128205093</c:v>
                      </c:pt>
                      <c:pt idx="12">
                        <c:v>700.30769230769192</c:v>
                      </c:pt>
                      <c:pt idx="13">
                        <c:v>700.33333333333292</c:v>
                      </c:pt>
                      <c:pt idx="14">
                        <c:v>700.35897435897391</c:v>
                      </c:pt>
                      <c:pt idx="15">
                        <c:v>700.3846153846149</c:v>
                      </c:pt>
                      <c:pt idx="16">
                        <c:v>700.4102564102559</c:v>
                      </c:pt>
                      <c:pt idx="17">
                        <c:v>700.43589743589689</c:v>
                      </c:pt>
                      <c:pt idx="18">
                        <c:v>700.46153846153788</c:v>
                      </c:pt>
                      <c:pt idx="19">
                        <c:v>700.48717948717888</c:v>
                      </c:pt>
                      <c:pt idx="20">
                        <c:v>700.51282051281987</c:v>
                      </c:pt>
                      <c:pt idx="21">
                        <c:v>700.53846153846087</c:v>
                      </c:pt>
                      <c:pt idx="22">
                        <c:v>700.56410256410186</c:v>
                      </c:pt>
                      <c:pt idx="23">
                        <c:v>700.58974358974285</c:v>
                      </c:pt>
                      <c:pt idx="24">
                        <c:v>700.61538461538385</c:v>
                      </c:pt>
                      <c:pt idx="25">
                        <c:v>700.64102564102484</c:v>
                      </c:pt>
                      <c:pt idx="26">
                        <c:v>700.66666666666583</c:v>
                      </c:pt>
                      <c:pt idx="27">
                        <c:v>700.69230769230683</c:v>
                      </c:pt>
                      <c:pt idx="28">
                        <c:v>700.71794871794782</c:v>
                      </c:pt>
                      <c:pt idx="29">
                        <c:v>700.74358974358881</c:v>
                      </c:pt>
                      <c:pt idx="30">
                        <c:v>700.76923076922981</c:v>
                      </c:pt>
                      <c:pt idx="31">
                        <c:v>700.7948717948708</c:v>
                      </c:pt>
                      <c:pt idx="32">
                        <c:v>700.82051282051179</c:v>
                      </c:pt>
                      <c:pt idx="33">
                        <c:v>700.84615384615279</c:v>
                      </c:pt>
                      <c:pt idx="34">
                        <c:v>700.87179487179378</c:v>
                      </c:pt>
                      <c:pt idx="35">
                        <c:v>700.89743589743478</c:v>
                      </c:pt>
                      <c:pt idx="36">
                        <c:v>700.92307692307577</c:v>
                      </c:pt>
                      <c:pt idx="37">
                        <c:v>700.94871794871676</c:v>
                      </c:pt>
                      <c:pt idx="38">
                        <c:v>700.97435897435776</c:v>
                      </c:pt>
                      <c:pt idx="39">
                        <c:v>700.99999999999875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'Сравнение погрешности округлени'!$Q$41:$Q$80</c15:sqref>
                        </c15:formulaRef>
                      </c:ext>
                    </c:extLst>
                    <c:numCache>
                      <c:formatCode>0.00</c:formatCode>
                      <c:ptCount val="40"/>
                      <c:pt idx="0">
                        <c:v>-1862070.37727985</c:v>
                      </c:pt>
                      <c:pt idx="1">
                        <c:v>-1861933.2813244124</c:v>
                      </c:pt>
                      <c:pt idx="2">
                        <c:v>-1861796.2004603057</c:v>
                      </c:pt>
                      <c:pt idx="3">
                        <c:v>-1861659.1346853157</c:v>
                      </c:pt>
                      <c:pt idx="4">
                        <c:v>-1861522.0839972333</c:v>
                      </c:pt>
                      <c:pt idx="5">
                        <c:v>-1861385.0483938463</c:v>
                      </c:pt>
                      <c:pt idx="6">
                        <c:v>-1861248.0278729452</c:v>
                      </c:pt>
                      <c:pt idx="7">
                        <c:v>-1861111.022432318</c:v>
                      </c:pt>
                      <c:pt idx="8">
                        <c:v>-1860974.0320697573</c:v>
                      </c:pt>
                      <c:pt idx="9">
                        <c:v>-1860837.0567830522</c:v>
                      </c:pt>
                      <c:pt idx="10">
                        <c:v>-1860700.0965699942</c:v>
                      </c:pt>
                      <c:pt idx="11">
                        <c:v>-1860563.1514283745</c:v>
                      </c:pt>
                      <c:pt idx="12">
                        <c:v>-1860426.2213559859</c:v>
                      </c:pt>
                      <c:pt idx="13">
                        <c:v>-1860289.3063506188</c:v>
                      </c:pt>
                      <c:pt idx="14">
                        <c:v>-1860152.4064100683</c:v>
                      </c:pt>
                      <c:pt idx="15">
                        <c:v>-1860015.5215321258</c:v>
                      </c:pt>
                      <c:pt idx="16">
                        <c:v>-1859878.6517145855</c:v>
                      </c:pt>
                      <c:pt idx="17">
                        <c:v>-1859741.7969552402</c:v>
                      </c:pt>
                      <c:pt idx="18">
                        <c:v>-1859604.9572518861</c:v>
                      </c:pt>
                      <c:pt idx="19">
                        <c:v>-1859468.1326023168</c:v>
                      </c:pt>
                      <c:pt idx="20">
                        <c:v>-1859331.3230043275</c:v>
                      </c:pt>
                      <c:pt idx="21">
                        <c:v>-1859194.5284557133</c:v>
                      </c:pt>
                      <c:pt idx="22">
                        <c:v>-1859057.7489542712</c:v>
                      </c:pt>
                      <c:pt idx="23">
                        <c:v>-1858920.9844977958</c:v>
                      </c:pt>
                      <c:pt idx="24">
                        <c:v>-1858784.2350840867</c:v>
                      </c:pt>
                      <c:pt idx="25">
                        <c:v>-1858647.5007109377</c:v>
                      </c:pt>
                      <c:pt idx="26">
                        <c:v>-1858510.7813761483</c:v>
                      </c:pt>
                      <c:pt idx="27">
                        <c:v>-1858374.0770775159</c:v>
                      </c:pt>
                      <c:pt idx="28">
                        <c:v>-1858237.3878128394</c:v>
                      </c:pt>
                      <c:pt idx="29">
                        <c:v>-1858100.7135799171</c:v>
                      </c:pt>
                      <c:pt idx="30">
                        <c:v>-1857964.0543765475</c:v>
                      </c:pt>
                      <c:pt idx="31">
                        <c:v>-1857827.4102005314</c:v>
                      </c:pt>
                      <c:pt idx="32">
                        <c:v>-1857690.7810496672</c:v>
                      </c:pt>
                      <c:pt idx="33">
                        <c:v>-1857554.1669217569</c:v>
                      </c:pt>
                      <c:pt idx="34">
                        <c:v>-1857417.5678146</c:v>
                      </c:pt>
                      <c:pt idx="35">
                        <c:v>-1857280.9837259992</c:v>
                      </c:pt>
                      <c:pt idx="36">
                        <c:v>-1857144.4146537539</c:v>
                      </c:pt>
                      <c:pt idx="37">
                        <c:v>-1857007.8605956677</c:v>
                      </c:pt>
                      <c:pt idx="38">
                        <c:v>-1856871.3215495418</c:v>
                      </c:pt>
                      <c:pt idx="39">
                        <c:v>-1856734.7975131809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83C-461D-96F2-E8F43E81D22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'Сравнение погрешности округлени'!$M$40</c:f>
              <c:strCache>
                <c:ptCount val="1"/>
                <c:pt idx="0">
                  <c:v>Delta *1000%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округлени'!$M$41:$M$80</c:f>
              <c:numCache>
                <c:formatCode>0.00</c:formatCode>
                <c:ptCount val="40"/>
                <c:pt idx="0">
                  <c:v>-16.505822292879962</c:v>
                </c:pt>
                <c:pt idx="1">
                  <c:v>-16.506625196338771</c:v>
                </c:pt>
                <c:pt idx="2">
                  <c:v>-16.507428098039309</c:v>
                </c:pt>
                <c:pt idx="3">
                  <c:v>-16.508230997981286</c:v>
                </c:pt>
                <c:pt idx="4">
                  <c:v>-16.509033896151873</c:v>
                </c:pt>
                <c:pt idx="5">
                  <c:v>-16.509836792613342</c:v>
                </c:pt>
                <c:pt idx="6">
                  <c:v>-16.510639687302827</c:v>
                </c:pt>
                <c:pt idx="7">
                  <c:v>-16.511442580232558</c:v>
                </c:pt>
                <c:pt idx="8">
                  <c:v>-16.512245471402203</c:v>
                </c:pt>
                <c:pt idx="9">
                  <c:v>-16.513048360824005</c:v>
                </c:pt>
                <c:pt idx="10">
                  <c:v>-16.513851248472619</c:v>
                </c:pt>
                <c:pt idx="11">
                  <c:v>-16.514654134372794</c:v>
                </c:pt>
                <c:pt idx="12">
                  <c:v>-16.515457018474134</c:v>
                </c:pt>
                <c:pt idx="13">
                  <c:v>-16.516259900863997</c:v>
                </c:pt>
                <c:pt idx="14">
                  <c:v>-16.517062781429388</c:v>
                </c:pt>
                <c:pt idx="15">
                  <c:v>-16.517865660282698</c:v>
                </c:pt>
                <c:pt idx="16">
                  <c:v>-16.518668537348507</c:v>
                </c:pt>
                <c:pt idx="17">
                  <c:v>-16.519471412601462</c:v>
                </c:pt>
                <c:pt idx="18">
                  <c:v>-16.52027428612892</c:v>
                </c:pt>
                <c:pt idx="19">
                  <c:v>-16.521077157893018</c:v>
                </c:pt>
                <c:pt idx="20">
                  <c:v>-16.521880027855882</c:v>
                </c:pt>
                <c:pt idx="21">
                  <c:v>-16.522682896054789</c:v>
                </c:pt>
                <c:pt idx="22">
                  <c:v>-16.523485762476909</c:v>
                </c:pt>
                <c:pt idx="23">
                  <c:v>-16.524288627084363</c:v>
                </c:pt>
                <c:pt idx="24">
                  <c:v>-16.525091489977068</c:v>
                </c:pt>
                <c:pt idx="25">
                  <c:v>-16.525894351067045</c:v>
                </c:pt>
                <c:pt idx="26">
                  <c:v>-16.526697210353969</c:v>
                </c:pt>
                <c:pt idx="27">
                  <c:v>-16.527500067862611</c:v>
                </c:pt>
                <c:pt idx="28">
                  <c:v>-16.528302923592669</c:v>
                </c:pt>
                <c:pt idx="29">
                  <c:v>-16.529105777556381</c:v>
                </c:pt>
                <c:pt idx="30">
                  <c:v>-16.529908629703314</c:v>
                </c:pt>
                <c:pt idx="31">
                  <c:v>-16.530711480070764</c:v>
                </c:pt>
                <c:pt idx="32">
                  <c:v>-16.531514328645905</c:v>
                </c:pt>
                <c:pt idx="33">
                  <c:v>-16.532317175415884</c:v>
                </c:pt>
                <c:pt idx="34">
                  <c:v>-16.533120020418032</c:v>
                </c:pt>
                <c:pt idx="35">
                  <c:v>-16.533922863664579</c:v>
                </c:pt>
                <c:pt idx="36">
                  <c:v>-16.534725705029839</c:v>
                </c:pt>
                <c:pt idx="37">
                  <c:v>-16.535528544651445</c:v>
                </c:pt>
                <c:pt idx="38">
                  <c:v>-16.536331382453856</c:v>
                </c:pt>
                <c:pt idx="39">
                  <c:v>-16.537134218474389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3C-461D-96F2-E8F43E81D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7440"/>
        <c:axId val="512667048"/>
      </c:scatterChart>
      <c:valAx>
        <c:axId val="5126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6656"/>
        <c:crosses val="autoZero"/>
        <c:crossBetween val="midCat"/>
      </c:valAx>
      <c:valAx>
        <c:axId val="51266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571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480"/>
        <c:crosses val="autoZero"/>
        <c:crossBetween val="midCat"/>
      </c:valAx>
      <c:valAx>
        <c:axId val="51266704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57150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7440"/>
        <c:crosses val="max"/>
        <c:crossBetween val="midCat"/>
      </c:valAx>
      <c:valAx>
        <c:axId val="51266744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7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730094403087137"/>
          <c:y val="0.10125230385025381"/>
          <c:w val="9.9347543848232467E-2"/>
          <c:h val="9.8725705679253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558586358935924E-2"/>
          <c:y val="3.0808118788343372E-2"/>
          <c:w val="0.94629935179136637"/>
          <c:h val="0.96919188121165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'Сравнение погрешности округлени'!$S$40</c:f>
              <c:strCache>
                <c:ptCount val="1"/>
                <c:pt idx="0">
                  <c:v>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округлени'!$S$41:$S$79</c:f>
              <c:numCache>
                <c:formatCode>0.00</c:formatCode>
                <c:ptCount val="39"/>
                <c:pt idx="0">
                  <c:v>7.0000000000000007E-2</c:v>
                </c:pt>
                <c:pt idx="1">
                  <c:v>7.0002564102564099E-2</c:v>
                </c:pt>
                <c:pt idx="2">
                  <c:v>7.0005128205128192E-2</c:v>
                </c:pt>
                <c:pt idx="3">
                  <c:v>7.0007692307692299E-2</c:v>
                </c:pt>
                <c:pt idx="4">
                  <c:v>7.0010256410256391E-2</c:v>
                </c:pt>
                <c:pt idx="5">
                  <c:v>7.0012820512820498E-2</c:v>
                </c:pt>
                <c:pt idx="6">
                  <c:v>7.001538461538459E-2</c:v>
                </c:pt>
                <c:pt idx="7">
                  <c:v>7.0017948717948697E-2</c:v>
                </c:pt>
                <c:pt idx="8">
                  <c:v>7.002051282051279E-2</c:v>
                </c:pt>
                <c:pt idx="9">
                  <c:v>7.0023076923076896E-2</c:v>
                </c:pt>
                <c:pt idx="10">
                  <c:v>7.0025641025640989E-2</c:v>
                </c:pt>
                <c:pt idx="11">
                  <c:v>7.0028205128205095E-2</c:v>
                </c:pt>
                <c:pt idx="12">
                  <c:v>7.0030769230769188E-2</c:v>
                </c:pt>
                <c:pt idx="13">
                  <c:v>7.0033333333333295E-2</c:v>
                </c:pt>
                <c:pt idx="14">
                  <c:v>7.0035897435897387E-2</c:v>
                </c:pt>
                <c:pt idx="15">
                  <c:v>7.0038461538461494E-2</c:v>
                </c:pt>
                <c:pt idx="16">
                  <c:v>7.0041025641025587E-2</c:v>
                </c:pt>
                <c:pt idx="17">
                  <c:v>7.0043589743589693E-2</c:v>
                </c:pt>
                <c:pt idx="18">
                  <c:v>7.0046153846153786E-2</c:v>
                </c:pt>
                <c:pt idx="19">
                  <c:v>7.0048717948717892E-2</c:v>
                </c:pt>
                <c:pt idx="20">
                  <c:v>7.0051282051281985E-2</c:v>
                </c:pt>
                <c:pt idx="21">
                  <c:v>7.0053846153846092E-2</c:v>
                </c:pt>
                <c:pt idx="22">
                  <c:v>7.0056410256410184E-2</c:v>
                </c:pt>
                <c:pt idx="23">
                  <c:v>7.0058974358974291E-2</c:v>
                </c:pt>
                <c:pt idx="24">
                  <c:v>7.0061538461538383E-2</c:v>
                </c:pt>
                <c:pt idx="25">
                  <c:v>7.006410256410249E-2</c:v>
                </c:pt>
                <c:pt idx="26">
                  <c:v>7.0066666666666583E-2</c:v>
                </c:pt>
                <c:pt idx="27">
                  <c:v>7.0069230769230689E-2</c:v>
                </c:pt>
                <c:pt idx="28">
                  <c:v>7.0071794871794782E-2</c:v>
                </c:pt>
                <c:pt idx="29">
                  <c:v>7.0074358974358875E-2</c:v>
                </c:pt>
                <c:pt idx="30">
                  <c:v>7.0076923076922981E-2</c:v>
                </c:pt>
                <c:pt idx="31">
                  <c:v>7.0079487179487074E-2</c:v>
                </c:pt>
                <c:pt idx="32">
                  <c:v>7.008205128205118E-2</c:v>
                </c:pt>
                <c:pt idx="33">
                  <c:v>7.0084615384615273E-2</c:v>
                </c:pt>
                <c:pt idx="34">
                  <c:v>7.008717948717938E-2</c:v>
                </c:pt>
                <c:pt idx="35">
                  <c:v>7.0089743589743472E-2</c:v>
                </c:pt>
                <c:pt idx="36">
                  <c:v>7.0092307692307579E-2</c:v>
                </c:pt>
                <c:pt idx="37">
                  <c:v>7.0094871794871672E-2</c:v>
                </c:pt>
                <c:pt idx="38">
                  <c:v>7.0097435897435778E-2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2A-48D9-8F8C-31722373214E}"/>
            </c:ext>
          </c:extLst>
        </c:ser>
        <c:ser>
          <c:idx val="1"/>
          <c:order val="1"/>
          <c:tx>
            <c:strRef>
              <c:f>'Сравнение погрешности округлени'!$T$40</c:f>
              <c:strCache>
                <c:ptCount val="1"/>
                <c:pt idx="0">
                  <c:v>ln 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округлени'!$T$41:$T$80</c:f>
              <c:numCache>
                <c:formatCode>0.00</c:formatCode>
                <c:ptCount val="40"/>
                <c:pt idx="0">
                  <c:v>-2.6592600369327779</c:v>
                </c:pt>
                <c:pt idx="1">
                  <c:v>-2.6592234075670116</c:v>
                </c:pt>
                <c:pt idx="2">
                  <c:v>-2.6591867795429063</c:v>
                </c:pt>
                <c:pt idx="3">
                  <c:v>-2.6591501528603638</c:v>
                </c:pt>
                <c:pt idx="4">
                  <c:v>-2.6591135275192865</c:v>
                </c:pt>
                <c:pt idx="5">
                  <c:v>-2.6590769035195754</c:v>
                </c:pt>
                <c:pt idx="6">
                  <c:v>-2.6590402808611326</c:v>
                </c:pt>
                <c:pt idx="7">
                  <c:v>-2.6590036595438598</c:v>
                </c:pt>
                <c:pt idx="8">
                  <c:v>-2.6589670395676586</c:v>
                </c:pt>
                <c:pt idx="9">
                  <c:v>-2.6589304209324309</c:v>
                </c:pt>
                <c:pt idx="10">
                  <c:v>-2.6588938036380791</c:v>
                </c:pt>
                <c:pt idx="11">
                  <c:v>-2.6588571876845037</c:v>
                </c:pt>
                <c:pt idx="12">
                  <c:v>-2.6588205730716079</c:v>
                </c:pt>
                <c:pt idx="13">
                  <c:v>-2.6587839597992926</c:v>
                </c:pt>
                <c:pt idx="14">
                  <c:v>-2.6587473478674601</c:v>
                </c:pt>
                <c:pt idx="15">
                  <c:v>-2.6587107372760119</c:v>
                </c:pt>
                <c:pt idx="16">
                  <c:v>-2.6586741280248503</c:v>
                </c:pt>
                <c:pt idx="17">
                  <c:v>-2.6586375201138766</c:v>
                </c:pt>
                <c:pt idx="18">
                  <c:v>-2.6586009135429931</c:v>
                </c:pt>
                <c:pt idx="19">
                  <c:v>-2.6585643083121013</c:v>
                </c:pt>
                <c:pt idx="20">
                  <c:v>-2.6585277044211035</c:v>
                </c:pt>
                <c:pt idx="21">
                  <c:v>-2.6584911018699016</c:v>
                </c:pt>
                <c:pt idx="22">
                  <c:v>-2.6584545006583977</c:v>
                </c:pt>
                <c:pt idx="23">
                  <c:v>-2.658417900786493</c:v>
                </c:pt>
                <c:pt idx="24">
                  <c:v>-2.6583813022540905</c:v>
                </c:pt>
                <c:pt idx="25">
                  <c:v>-2.6583447050610909</c:v>
                </c:pt>
                <c:pt idx="26">
                  <c:v>-2.6583081092073972</c:v>
                </c:pt>
                <c:pt idx="27">
                  <c:v>-2.6582715146929106</c:v>
                </c:pt>
                <c:pt idx="28">
                  <c:v>-2.658234921517534</c:v>
                </c:pt>
                <c:pt idx="29">
                  <c:v>-2.6581983296811686</c:v>
                </c:pt>
                <c:pt idx="30">
                  <c:v>-2.6581617391837167</c:v>
                </c:pt>
                <c:pt idx="31">
                  <c:v>-2.6581251500250804</c:v>
                </c:pt>
                <c:pt idx="32">
                  <c:v>-2.6580885622051618</c:v>
                </c:pt>
                <c:pt idx="33">
                  <c:v>-2.6580519757238625</c:v>
                </c:pt>
                <c:pt idx="34">
                  <c:v>-2.658015390581085</c:v>
                </c:pt>
                <c:pt idx="35">
                  <c:v>-2.6579788067767312</c:v>
                </c:pt>
                <c:pt idx="36">
                  <c:v>-2.6579422243107031</c:v>
                </c:pt>
                <c:pt idx="37">
                  <c:v>-2.6579056431829029</c:v>
                </c:pt>
                <c:pt idx="38">
                  <c:v>-2.6578690633932327</c:v>
                </c:pt>
                <c:pt idx="39">
                  <c:v>-2.6578324849415944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2A-48D9-8F8C-31722373214E}"/>
            </c:ext>
          </c:extLst>
        </c:ser>
        <c:ser>
          <c:idx val="2"/>
          <c:order val="2"/>
          <c:tx>
            <c:strRef>
              <c:f>'Сравнение погрешности округлени'!$U$40</c:f>
              <c:strCache>
                <c:ptCount val="1"/>
                <c:pt idx="0">
                  <c:v>1/x^2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округлени'!$U$41:$U$80</c:f>
              <c:numCache>
                <c:formatCode>0.00</c:formatCode>
                <c:ptCount val="40"/>
                <c:pt idx="0">
                  <c:v>204.08163265306121</c:v>
                </c:pt>
                <c:pt idx="1">
                  <c:v>204.06668243914737</c:v>
                </c:pt>
                <c:pt idx="2">
                  <c:v>204.0517338679638</c:v>
                </c:pt>
                <c:pt idx="3">
                  <c:v>204.03678693926969</c:v>
                </c:pt>
                <c:pt idx="4">
                  <c:v>204.02184165282458</c:v>
                </c:pt>
                <c:pt idx="5">
                  <c:v>204.00689800838776</c:v>
                </c:pt>
                <c:pt idx="6">
                  <c:v>203.99195600571886</c:v>
                </c:pt>
                <c:pt idx="7">
                  <c:v>203.97701564457722</c:v>
                </c:pt>
                <c:pt idx="8">
                  <c:v>203.96207692472257</c:v>
                </c:pt>
                <c:pt idx="9">
                  <c:v>203.94713984591436</c:v>
                </c:pt>
                <c:pt idx="10">
                  <c:v>203.93220440791237</c:v>
                </c:pt>
                <c:pt idx="11">
                  <c:v>203.91727061047612</c:v>
                </c:pt>
                <c:pt idx="12">
                  <c:v>203.90233845336556</c:v>
                </c:pt>
                <c:pt idx="13">
                  <c:v>203.88740793634022</c:v>
                </c:pt>
                <c:pt idx="14">
                  <c:v>203.87247905916018</c:v>
                </c:pt>
                <c:pt idx="15">
                  <c:v>203.8575518215851</c:v>
                </c:pt>
                <c:pt idx="16">
                  <c:v>203.84262622337505</c:v>
                </c:pt>
                <c:pt idx="17">
                  <c:v>203.8277022642898</c:v>
                </c:pt>
                <c:pt idx="18">
                  <c:v>203.81277994408956</c:v>
                </c:pt>
                <c:pt idx="19">
                  <c:v>203.79785926253419</c:v>
                </c:pt>
                <c:pt idx="20">
                  <c:v>203.7829402193839</c:v>
                </c:pt>
                <c:pt idx="21">
                  <c:v>203.76802281439873</c:v>
                </c:pt>
                <c:pt idx="22">
                  <c:v>203.75310704733891</c:v>
                </c:pt>
                <c:pt idx="23">
                  <c:v>203.73819291796462</c:v>
                </c:pt>
                <c:pt idx="24">
                  <c:v>203.72328042603624</c:v>
                </c:pt>
                <c:pt idx="25">
                  <c:v>203.70836957131385</c:v>
                </c:pt>
                <c:pt idx="26">
                  <c:v>203.69346035355801</c:v>
                </c:pt>
                <c:pt idx="27">
                  <c:v>203.67855277252897</c:v>
                </c:pt>
                <c:pt idx="28">
                  <c:v>203.66364682798729</c:v>
                </c:pt>
                <c:pt idx="29">
                  <c:v>203.6487425196934</c:v>
                </c:pt>
                <c:pt idx="30">
                  <c:v>203.63383984740773</c:v>
                </c:pt>
                <c:pt idx="31">
                  <c:v>203.618938810891</c:v>
                </c:pt>
                <c:pt idx="32">
                  <c:v>203.60403940990366</c:v>
                </c:pt>
                <c:pt idx="33">
                  <c:v>203.58914164420656</c:v>
                </c:pt>
                <c:pt idx="34">
                  <c:v>203.57424551356019</c:v>
                </c:pt>
                <c:pt idx="35">
                  <c:v>203.5593510177255</c:v>
                </c:pt>
                <c:pt idx="36">
                  <c:v>203.54445815646312</c:v>
                </c:pt>
                <c:pt idx="37">
                  <c:v>203.52956692953396</c:v>
                </c:pt>
                <c:pt idx="38">
                  <c:v>203.51467733669881</c:v>
                </c:pt>
                <c:pt idx="39">
                  <c:v>203.49978937771874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2A-48D9-8F8C-31722373214E}"/>
            </c:ext>
          </c:extLst>
        </c:ser>
        <c:ser>
          <c:idx val="3"/>
          <c:order val="3"/>
          <c:tx>
            <c:strRef>
              <c:f>'Сравнение погрешности округлени'!$V$40</c:f>
              <c:strCache>
                <c:ptCount val="1"/>
                <c:pt idx="0">
                  <c:v>1/X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округлени'!$V$41:$V$80</c:f>
              <c:numCache>
                <c:formatCode>0.00</c:formatCode>
                <c:ptCount val="40"/>
                <c:pt idx="0">
                  <c:v>14.285714285714285</c:v>
                </c:pt>
                <c:pt idx="1">
                  <c:v>14.285191018644007</c:v>
                </c:pt>
                <c:pt idx="2">
                  <c:v>14.284667789905503</c:v>
                </c:pt>
                <c:pt idx="3">
                  <c:v>14.284144599494564</c:v>
                </c:pt>
                <c:pt idx="4">
                  <c:v>14.283621447406977</c:v>
                </c:pt>
                <c:pt idx="5">
                  <c:v>14.283098333638531</c:v>
                </c:pt>
                <c:pt idx="6">
                  <c:v>14.28257525818502</c:v>
                </c:pt>
                <c:pt idx="7">
                  <c:v>14.282052221042228</c:v>
                </c:pt>
                <c:pt idx="8">
                  <c:v>14.281529222205954</c:v>
                </c:pt>
                <c:pt idx="9">
                  <c:v>14.281006261671982</c:v>
                </c:pt>
                <c:pt idx="10">
                  <c:v>14.280483339436111</c:v>
                </c:pt>
                <c:pt idx="11">
                  <c:v>14.27996045549413</c:v>
                </c:pt>
                <c:pt idx="12">
                  <c:v>14.279437609841837</c:v>
                </c:pt>
                <c:pt idx="13">
                  <c:v>14.27891480247502</c:v>
                </c:pt>
                <c:pt idx="14">
                  <c:v>14.27839203338948</c:v>
                </c:pt>
                <c:pt idx="15">
                  <c:v>14.277869302581008</c:v>
                </c:pt>
                <c:pt idx="16">
                  <c:v>14.277346610045406</c:v>
                </c:pt>
                <c:pt idx="17">
                  <c:v>14.276823955778463</c:v>
                </c:pt>
                <c:pt idx="18">
                  <c:v>14.276301339775983</c:v>
                </c:pt>
                <c:pt idx="19">
                  <c:v>14.275778762033761</c:v>
                </c:pt>
                <c:pt idx="20">
                  <c:v>14.275256222547597</c:v>
                </c:pt>
                <c:pt idx="21">
                  <c:v>14.274733721313288</c:v>
                </c:pt>
                <c:pt idx="22">
                  <c:v>14.274211258326638</c:v>
                </c:pt>
                <c:pt idx="23">
                  <c:v>14.273688833583442</c:v>
                </c:pt>
                <c:pt idx="24">
                  <c:v>14.273166447079506</c:v>
                </c:pt>
                <c:pt idx="25">
                  <c:v>14.272644098810629</c:v>
                </c:pt>
                <c:pt idx="26">
                  <c:v>14.272121788772616</c:v>
                </c:pt>
                <c:pt idx="27">
                  <c:v>14.271599516961263</c:v>
                </c:pt>
                <c:pt idx="28">
                  <c:v>14.271077283372383</c:v>
                </c:pt>
                <c:pt idx="29">
                  <c:v>14.270555088001776</c:v>
                </c:pt>
                <c:pt idx="30">
                  <c:v>14.270032930845245</c:v>
                </c:pt>
                <c:pt idx="31">
                  <c:v>14.269510811898598</c:v>
                </c:pt>
                <c:pt idx="32">
                  <c:v>14.268988731157638</c:v>
                </c:pt>
                <c:pt idx="33">
                  <c:v>14.268466688618176</c:v>
                </c:pt>
                <c:pt idx="34">
                  <c:v>14.267944684276015</c:v>
                </c:pt>
                <c:pt idx="35">
                  <c:v>14.267422718126967</c:v>
                </c:pt>
                <c:pt idx="36">
                  <c:v>14.266900790166837</c:v>
                </c:pt>
                <c:pt idx="37">
                  <c:v>14.266378900391436</c:v>
                </c:pt>
                <c:pt idx="38">
                  <c:v>14.265857048796571</c:v>
                </c:pt>
                <c:pt idx="39">
                  <c:v>14.265335235378057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2A-48D9-8F8C-31722373214E}"/>
            </c:ext>
          </c:extLst>
        </c:ser>
        <c:ser>
          <c:idx val="5"/>
          <c:order val="5"/>
          <c:tx>
            <c:strRef>
              <c:f>'Сравнение погрешности округлени'!$X$40</c:f>
              <c:strCache>
                <c:ptCount val="1"/>
                <c:pt idx="0">
                  <c:v>X^3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'Сравнение погрешности округлени'!$G$41:$G$80</c:f>
              <c:numCache>
                <c:formatCode>0.0</c:formatCode>
                <c:ptCount val="40"/>
                <c:pt idx="0">
                  <c:v>700</c:v>
                </c:pt>
                <c:pt idx="1">
                  <c:v>700.02564102564099</c:v>
                </c:pt>
                <c:pt idx="2">
                  <c:v>700.05128205128199</c:v>
                </c:pt>
                <c:pt idx="3">
                  <c:v>700.07692307692298</c:v>
                </c:pt>
                <c:pt idx="4">
                  <c:v>700.10256410256397</c:v>
                </c:pt>
                <c:pt idx="5">
                  <c:v>700.12820512820497</c:v>
                </c:pt>
                <c:pt idx="6">
                  <c:v>700.15384615384596</c:v>
                </c:pt>
                <c:pt idx="7">
                  <c:v>700.17948717948696</c:v>
                </c:pt>
                <c:pt idx="8">
                  <c:v>700.20512820512795</c:v>
                </c:pt>
                <c:pt idx="9">
                  <c:v>700.23076923076894</c:v>
                </c:pt>
                <c:pt idx="10">
                  <c:v>700.25641025640994</c:v>
                </c:pt>
                <c:pt idx="11">
                  <c:v>700.28205128205093</c:v>
                </c:pt>
                <c:pt idx="12">
                  <c:v>700.30769230769192</c:v>
                </c:pt>
                <c:pt idx="13">
                  <c:v>700.33333333333292</c:v>
                </c:pt>
                <c:pt idx="14">
                  <c:v>700.35897435897391</c:v>
                </c:pt>
                <c:pt idx="15">
                  <c:v>700.3846153846149</c:v>
                </c:pt>
                <c:pt idx="16">
                  <c:v>700.4102564102559</c:v>
                </c:pt>
                <c:pt idx="17">
                  <c:v>700.43589743589689</c:v>
                </c:pt>
                <c:pt idx="18">
                  <c:v>700.46153846153788</c:v>
                </c:pt>
                <c:pt idx="19">
                  <c:v>700.48717948717888</c:v>
                </c:pt>
                <c:pt idx="20">
                  <c:v>700.51282051281987</c:v>
                </c:pt>
                <c:pt idx="21">
                  <c:v>700.53846153846087</c:v>
                </c:pt>
                <c:pt idx="22">
                  <c:v>700.56410256410186</c:v>
                </c:pt>
                <c:pt idx="23">
                  <c:v>700.58974358974285</c:v>
                </c:pt>
                <c:pt idx="24">
                  <c:v>700.61538461538385</c:v>
                </c:pt>
                <c:pt idx="25">
                  <c:v>700.64102564102484</c:v>
                </c:pt>
                <c:pt idx="26">
                  <c:v>700.66666666666583</c:v>
                </c:pt>
                <c:pt idx="27">
                  <c:v>700.69230769230683</c:v>
                </c:pt>
                <c:pt idx="28">
                  <c:v>700.71794871794782</c:v>
                </c:pt>
                <c:pt idx="29">
                  <c:v>700.74358974358881</c:v>
                </c:pt>
                <c:pt idx="30">
                  <c:v>700.76923076922981</c:v>
                </c:pt>
                <c:pt idx="31">
                  <c:v>700.7948717948708</c:v>
                </c:pt>
                <c:pt idx="32">
                  <c:v>700.82051282051179</c:v>
                </c:pt>
                <c:pt idx="33">
                  <c:v>700.84615384615279</c:v>
                </c:pt>
                <c:pt idx="34">
                  <c:v>700.87179487179378</c:v>
                </c:pt>
                <c:pt idx="35">
                  <c:v>700.89743589743478</c:v>
                </c:pt>
                <c:pt idx="36">
                  <c:v>700.92307692307577</c:v>
                </c:pt>
                <c:pt idx="37">
                  <c:v>700.94871794871676</c:v>
                </c:pt>
                <c:pt idx="38">
                  <c:v>700.97435897435776</c:v>
                </c:pt>
                <c:pt idx="39">
                  <c:v>700.99999999999875</c:v>
                </c:pt>
              </c:numCache>
            </c:numRef>
          </c:xVal>
          <c:yVal>
            <c:numRef>
              <c:f>'Сравнение погрешности округлени'!$X$41:$X$80</c:f>
              <c:numCache>
                <c:formatCode>0.00</c:formatCode>
                <c:ptCount val="40"/>
                <c:pt idx="0">
                  <c:v>3.430000000000001E-4</c:v>
                </c:pt>
                <c:pt idx="1">
                  <c:v>3.4303769368837977E-4</c:v>
                </c:pt>
                <c:pt idx="2">
                  <c:v>3.4307539013820172E-4</c:v>
                </c:pt>
                <c:pt idx="3">
                  <c:v>3.4311308934956744E-4</c:v>
                </c:pt>
                <c:pt idx="4">
                  <c:v>3.4315079132257763E-4</c:v>
                </c:pt>
                <c:pt idx="5">
                  <c:v>3.4318849605733385E-4</c:v>
                </c:pt>
                <c:pt idx="6">
                  <c:v>3.4322620355393686E-4</c:v>
                </c:pt>
                <c:pt idx="7">
                  <c:v>3.4326391381248809E-4</c:v>
                </c:pt>
                <c:pt idx="8">
                  <c:v>3.4330162683308843E-4</c:v>
                </c:pt>
                <c:pt idx="9">
                  <c:v>3.4333934261583936E-4</c:v>
                </c:pt>
                <c:pt idx="10">
                  <c:v>3.4337706116084165E-4</c:v>
                </c:pt>
                <c:pt idx="11">
                  <c:v>3.434147824681969E-4</c:v>
                </c:pt>
                <c:pt idx="12">
                  <c:v>3.4345250653800572E-4</c:v>
                </c:pt>
                <c:pt idx="13">
                  <c:v>3.434902333703698E-4</c:v>
                </c:pt>
                <c:pt idx="14">
                  <c:v>3.4352796296538977E-4</c:v>
                </c:pt>
                <c:pt idx="15">
                  <c:v>3.4356569532316731E-4</c:v>
                </c:pt>
                <c:pt idx="16">
                  <c:v>3.4360343044380305E-4</c:v>
                </c:pt>
                <c:pt idx="17">
                  <c:v>3.4364116832739857E-4</c:v>
                </c:pt>
                <c:pt idx="18">
                  <c:v>3.4367890897405465E-4</c:v>
                </c:pt>
                <c:pt idx="19">
                  <c:v>3.4371665238387282E-4</c:v>
                </c:pt>
                <c:pt idx="20">
                  <c:v>3.4375439855695381E-4</c:v>
                </c:pt>
                <c:pt idx="21">
                  <c:v>3.4379214749339916E-4</c:v>
                </c:pt>
                <c:pt idx="22">
                  <c:v>3.4382989919330969E-4</c:v>
                </c:pt>
                <c:pt idx="23">
                  <c:v>3.4386765365678688E-4</c:v>
                </c:pt>
                <c:pt idx="24">
                  <c:v>3.4390541088393146E-4</c:v>
                </c:pt>
                <c:pt idx="25">
                  <c:v>3.4394317087484507E-4</c:v>
                </c:pt>
                <c:pt idx="26">
                  <c:v>3.4398093362962844E-4</c:v>
                </c:pt>
                <c:pt idx="27">
                  <c:v>3.4401869914838299E-4</c:v>
                </c:pt>
                <c:pt idx="28">
                  <c:v>3.440564674312096E-4</c:v>
                </c:pt>
                <c:pt idx="29">
                  <c:v>3.4409423847820959E-4</c:v>
                </c:pt>
                <c:pt idx="30">
                  <c:v>3.4413201228948424E-4</c:v>
                </c:pt>
                <c:pt idx="31">
                  <c:v>3.4416978886513442E-4</c:v>
                </c:pt>
                <c:pt idx="32">
                  <c:v>3.4420756820526156E-4</c:v>
                </c:pt>
                <c:pt idx="33">
                  <c:v>3.442453503099665E-4</c:v>
                </c:pt>
                <c:pt idx="34">
                  <c:v>3.4428313517935076E-4</c:v>
                </c:pt>
                <c:pt idx="35">
                  <c:v>3.4432092281351501E-4</c:v>
                </c:pt>
                <c:pt idx="36">
                  <c:v>3.4435871321256091E-4</c:v>
                </c:pt>
                <c:pt idx="37">
                  <c:v>3.4439650637658917E-4</c:v>
                </c:pt>
                <c:pt idx="38">
                  <c:v>3.4443430230570132E-4</c:v>
                </c:pt>
                <c:pt idx="39">
                  <c:v>3.444721009999981E-4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2A-48D9-8F8C-317223732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208"/>
        <c:axId val="170528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'Сравнение погрешности округлени'!$W$40</c15:sqref>
                        </c15:formulaRef>
                      </c:ext>
                    </c:extLst>
                    <c:strCache>
                      <c:ptCount val="1"/>
                      <c:pt idx="0">
                        <c:v>X^2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'Сравнение погрешности округлени'!$G$41:$G$80</c15:sqref>
                        </c15:formulaRef>
                      </c:ext>
                    </c:extLst>
                    <c:numCache>
                      <c:formatCode>0.0</c:formatCode>
                      <c:ptCount val="40"/>
                      <c:pt idx="0">
                        <c:v>700</c:v>
                      </c:pt>
                      <c:pt idx="1">
                        <c:v>700.02564102564099</c:v>
                      </c:pt>
                      <c:pt idx="2">
                        <c:v>700.05128205128199</c:v>
                      </c:pt>
                      <c:pt idx="3">
                        <c:v>700.07692307692298</c:v>
                      </c:pt>
                      <c:pt idx="4">
                        <c:v>700.10256410256397</c:v>
                      </c:pt>
                      <c:pt idx="5">
                        <c:v>700.12820512820497</c:v>
                      </c:pt>
                      <c:pt idx="6">
                        <c:v>700.15384615384596</c:v>
                      </c:pt>
                      <c:pt idx="7">
                        <c:v>700.17948717948696</c:v>
                      </c:pt>
                      <c:pt idx="8">
                        <c:v>700.20512820512795</c:v>
                      </c:pt>
                      <c:pt idx="9">
                        <c:v>700.23076923076894</c:v>
                      </c:pt>
                      <c:pt idx="10">
                        <c:v>700.25641025640994</c:v>
                      </c:pt>
                      <c:pt idx="11">
                        <c:v>700.28205128205093</c:v>
                      </c:pt>
                      <c:pt idx="12">
                        <c:v>700.30769230769192</c:v>
                      </c:pt>
                      <c:pt idx="13">
                        <c:v>700.33333333333292</c:v>
                      </c:pt>
                      <c:pt idx="14">
                        <c:v>700.35897435897391</c:v>
                      </c:pt>
                      <c:pt idx="15">
                        <c:v>700.3846153846149</c:v>
                      </c:pt>
                      <c:pt idx="16">
                        <c:v>700.4102564102559</c:v>
                      </c:pt>
                      <c:pt idx="17">
                        <c:v>700.43589743589689</c:v>
                      </c:pt>
                      <c:pt idx="18">
                        <c:v>700.46153846153788</c:v>
                      </c:pt>
                      <c:pt idx="19">
                        <c:v>700.48717948717888</c:v>
                      </c:pt>
                      <c:pt idx="20">
                        <c:v>700.51282051281987</c:v>
                      </c:pt>
                      <c:pt idx="21">
                        <c:v>700.53846153846087</c:v>
                      </c:pt>
                      <c:pt idx="22">
                        <c:v>700.56410256410186</c:v>
                      </c:pt>
                      <c:pt idx="23">
                        <c:v>700.58974358974285</c:v>
                      </c:pt>
                      <c:pt idx="24">
                        <c:v>700.61538461538385</c:v>
                      </c:pt>
                      <c:pt idx="25">
                        <c:v>700.64102564102484</c:v>
                      </c:pt>
                      <c:pt idx="26">
                        <c:v>700.66666666666583</c:v>
                      </c:pt>
                      <c:pt idx="27">
                        <c:v>700.69230769230683</c:v>
                      </c:pt>
                      <c:pt idx="28">
                        <c:v>700.71794871794782</c:v>
                      </c:pt>
                      <c:pt idx="29">
                        <c:v>700.74358974358881</c:v>
                      </c:pt>
                      <c:pt idx="30">
                        <c:v>700.76923076922981</c:v>
                      </c:pt>
                      <c:pt idx="31">
                        <c:v>700.7948717948708</c:v>
                      </c:pt>
                      <c:pt idx="32">
                        <c:v>700.82051282051179</c:v>
                      </c:pt>
                      <c:pt idx="33">
                        <c:v>700.84615384615279</c:v>
                      </c:pt>
                      <c:pt idx="34">
                        <c:v>700.87179487179378</c:v>
                      </c:pt>
                      <c:pt idx="35">
                        <c:v>700.89743589743478</c:v>
                      </c:pt>
                      <c:pt idx="36">
                        <c:v>700.92307692307577</c:v>
                      </c:pt>
                      <c:pt idx="37">
                        <c:v>700.94871794871676</c:v>
                      </c:pt>
                      <c:pt idx="38">
                        <c:v>700.97435897435776</c:v>
                      </c:pt>
                      <c:pt idx="39">
                        <c:v>700.99999999999875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'Сравнение погрешности округлени'!$W$41:$W$80</c15:sqref>
                        </c15:formulaRef>
                      </c:ext>
                    </c:extLst>
                    <c:numCache>
                      <c:formatCode>0.00</c:formatCode>
                      <c:ptCount val="40"/>
                      <c:pt idx="0">
                        <c:v>490000</c:v>
                      </c:pt>
                      <c:pt idx="1">
                        <c:v>490035.8980933596</c:v>
                      </c:pt>
                      <c:pt idx="2">
                        <c:v>490071.79750164354</c:v>
                      </c:pt>
                      <c:pt idx="3">
                        <c:v>490107.69822485192</c:v>
                      </c:pt>
                      <c:pt idx="4">
                        <c:v>490143.60026298469</c:v>
                      </c:pt>
                      <c:pt idx="5">
                        <c:v>490179.50361604185</c:v>
                      </c:pt>
                      <c:pt idx="6">
                        <c:v>490215.4082840234</c:v>
                      </c:pt>
                      <c:pt idx="7">
                        <c:v>490251.31426692934</c:v>
                      </c:pt>
                      <c:pt idx="8">
                        <c:v>490287.22156475967</c:v>
                      </c:pt>
                      <c:pt idx="9">
                        <c:v>490323.13017751439</c:v>
                      </c:pt>
                      <c:pt idx="10">
                        <c:v>490359.0401051935</c:v>
                      </c:pt>
                      <c:pt idx="11">
                        <c:v>490394.951347797</c:v>
                      </c:pt>
                      <c:pt idx="12">
                        <c:v>490430.86390532489</c:v>
                      </c:pt>
                      <c:pt idx="13">
                        <c:v>490466.77777777717</c:v>
                      </c:pt>
                      <c:pt idx="14">
                        <c:v>490502.6929651539</c:v>
                      </c:pt>
                      <c:pt idx="15">
                        <c:v>490538.60946745495</c:v>
                      </c:pt>
                      <c:pt idx="16">
                        <c:v>490574.5272846804</c:v>
                      </c:pt>
                      <c:pt idx="17">
                        <c:v>490610.44641683029</c:v>
                      </c:pt>
                      <c:pt idx="18">
                        <c:v>490646.36686390452</c:v>
                      </c:pt>
                      <c:pt idx="19">
                        <c:v>490682.28862590314</c:v>
                      </c:pt>
                      <c:pt idx="20">
                        <c:v>490718.2117028262</c:v>
                      </c:pt>
                      <c:pt idx="21">
                        <c:v>490754.13609467359</c:v>
                      </c:pt>
                      <c:pt idx="22">
                        <c:v>490790.06180144544</c:v>
                      </c:pt>
                      <c:pt idx="23">
                        <c:v>490825.98882314161</c:v>
                      </c:pt>
                      <c:pt idx="24">
                        <c:v>490861.91715976223</c:v>
                      </c:pt>
                      <c:pt idx="25">
                        <c:v>490897.84681130724</c:v>
                      </c:pt>
                      <c:pt idx="26">
                        <c:v>490933.77777777659</c:v>
                      </c:pt>
                      <c:pt idx="27">
                        <c:v>490969.71005917038</c:v>
                      </c:pt>
                      <c:pt idx="28">
                        <c:v>491005.64365548856</c:v>
                      </c:pt>
                      <c:pt idx="29">
                        <c:v>491041.57856673113</c:v>
                      </c:pt>
                      <c:pt idx="30">
                        <c:v>491077.51479289809</c:v>
                      </c:pt>
                      <c:pt idx="31">
                        <c:v>491113.45233398938</c:v>
                      </c:pt>
                      <c:pt idx="32">
                        <c:v>491149.39119000512</c:v>
                      </c:pt>
                      <c:pt idx="33">
                        <c:v>491185.33136094525</c:v>
                      </c:pt>
                      <c:pt idx="34">
                        <c:v>491221.27284680976</c:v>
                      </c:pt>
                      <c:pt idx="35">
                        <c:v>491257.21564759867</c:v>
                      </c:pt>
                      <c:pt idx="36">
                        <c:v>491293.15976331197</c:v>
                      </c:pt>
                      <c:pt idx="37">
                        <c:v>491329.10519394971</c:v>
                      </c:pt>
                      <c:pt idx="38">
                        <c:v>491365.05193951179</c:v>
                      </c:pt>
                      <c:pt idx="39">
                        <c:v>491400.99999999825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D2A-48D9-8F8C-31722373214E}"/>
                  </c:ext>
                </c:extLst>
              </c15:ser>
            </c15:filteredScatterSeries>
          </c:ext>
        </c:extLst>
      </c:scatterChart>
      <c:valAx>
        <c:axId val="170920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5288"/>
        <c:crosses val="autoZero"/>
        <c:crossBetween val="midCat"/>
      </c:valAx>
      <c:valAx>
        <c:axId val="17052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70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5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199343</xdr:colOff>
      <xdr:row>15</xdr:row>
      <xdr:rowOff>9525</xdr:rowOff>
    </xdr:from>
    <xdr:to>
      <xdr:col>13</xdr:col>
      <xdr:colOff>604836</xdr:colOff>
      <xdr:row>33</xdr:row>
      <xdr:rowOff>85725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95250</xdr:colOff>
      <xdr:row>12</xdr:row>
      <xdr:rowOff>55471</xdr:rowOff>
    </xdr:from>
    <xdr:to>
      <xdr:col>13</xdr:col>
      <xdr:colOff>911719</xdr:colOff>
      <xdr:row>14</xdr:row>
      <xdr:rowOff>210493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820647"/>
          <a:ext cx="15641851" cy="78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653142</xdr:colOff>
      <xdr:row>5</xdr:row>
      <xdr:rowOff>112938</xdr:rowOff>
    </xdr:from>
    <xdr:to>
      <xdr:col>17</xdr:col>
      <xdr:colOff>884464</xdr:colOff>
      <xdr:row>31</xdr:row>
      <xdr:rowOff>178038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169568</xdr:colOff>
      <xdr:row>5</xdr:row>
      <xdr:rowOff>89912</xdr:rowOff>
    </xdr:from>
    <xdr:to>
      <xdr:col>27</xdr:col>
      <xdr:colOff>299357</xdr:colOff>
      <xdr:row>31</xdr:row>
      <xdr:rowOff>122464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EC4C85-D1A0-498D-A439-4863EFCF8DFB}" name="Таблица2" displayName="Таблица2" ref="A2:L61" totalsRowShown="0" headerRowCellStyle="Данные" dataCellStyle="Данные">
  <autoFilter ref="A2:L61" xr:uid="{A63A2C33-3BE1-4A94-B0A0-D5FEABB0860B}"/>
  <sortState xmlns:xlrd2="http://schemas.microsoft.com/office/spreadsheetml/2017/richdata2" ref="A3:L61">
    <sortCondition ref="A3:A61"/>
    <sortCondition ref="B3:B61"/>
    <sortCondition ref="C3:C61"/>
  </sortState>
  <tableColumns count="12">
    <tableColumn id="1" xr3:uid="{3A3BC3BD-D297-444E-9DAB-65DBDFD360D1}" name="Вещество" dataCellStyle="Данные"/>
    <tableColumn id="2" xr3:uid="{6C7311AD-B598-4BFF-A1E4-B3939C77CB5E}" name="Фаза        " dataCellStyle="Данные"/>
    <tableColumn id="3" xr3:uid="{FB9F17EB-244F-46C2-AF19-19BD39184FB8}" name="To" dataDxfId="33" dataCellStyle="Данные"/>
    <tableColumn id="4" xr3:uid="{33C882E4-4A0A-4BB7-BAC0-D586B390A5B9}" name="T" dataDxfId="32" dataCellStyle="Данные"/>
    <tableColumn id="5" xr3:uid="{A4B59EA6-7B65-430F-91A8-A26FC14A21A8}" name="ho" dataDxfId="31" dataCellStyle="Данные"/>
    <tableColumn id="6" xr3:uid="{076F5DF0-417A-4D83-81FA-EC2915D7C2CF}" name="ф1" dataDxfId="30" dataCellStyle="Данные"/>
    <tableColumn id="7" xr3:uid="{9CF548EE-DF1A-4FC4-A0BF-33AA14D715B7}" name="ф2 *lnX" dataDxfId="29" dataCellStyle="Данные"/>
    <tableColumn id="8" xr3:uid="{61F6E1B4-6210-44AE-B037-11513327A42E}" name="ф3 *X^(-2)" dataDxfId="28" dataCellStyle="Данные"/>
    <tableColumn id="9" xr3:uid="{2CAF1CAA-6343-4C3F-8CE7-2D091A8EE398}" name="ф4 *X^(-1)" dataDxfId="27" dataCellStyle="Данные"/>
    <tableColumn id="10" xr3:uid="{FF6A4F40-AF1B-43CC-A729-20B4ED6366D1}" name="ф5 *X" dataDxfId="26" dataCellStyle="Данные"/>
    <tableColumn id="11" xr3:uid="{F0E7E697-BAB4-42E2-B60A-B357A4DD7C4B}" name="ф6 *X^2" dataDxfId="25" dataCellStyle="Данные"/>
    <tableColumn id="12" xr3:uid="{98235FEE-1F15-46B1-A6CF-71CD3045BAB7}" name="ф7 *Х^3" dataDxfId="24" dataCellStyle="Данные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E70714-A3EA-4DA8-BF4B-EA35BECCB83C}" name="Таблица3" displayName="Таблица3" ref="O2:Z65" totalsRowShown="0" tableBorderDxfId="20" headerRowCellStyle="Данные" dataCellStyle="Данные">
  <autoFilter ref="O2:Z65" xr:uid="{3785F57A-21C7-4F87-941D-A8BA4A877FF5}"/>
  <sortState xmlns:xlrd2="http://schemas.microsoft.com/office/spreadsheetml/2017/richdata2" ref="O3:Z65">
    <sortCondition ref="O3:O65"/>
    <sortCondition ref="P3:P65"/>
    <sortCondition ref="Q3:Q65"/>
  </sortState>
  <tableColumns count="12">
    <tableColumn id="1" xr3:uid="{225AFEA2-0CCD-4F7E-AB1E-EA92DB58DC61}" name="Вещество" dataCellStyle="Данные"/>
    <tableColumn id="2" xr3:uid="{12F0F509-AD92-45FB-95EF-BD564C08F41C}" name="Фаза" dataCellStyle="Данные"/>
    <tableColumn id="3" xr3:uid="{C5C1B823-BB6F-47C5-8F2E-EAE66BD249D3}" name="To" dataDxfId="19" dataCellStyle="Данные"/>
    <tableColumn id="4" xr3:uid="{54A71BD6-FC09-48A8-BC76-AD54C4BC71D4}" name="T" dataDxfId="18" dataCellStyle="Данные"/>
    <tableColumn id="5" xr3:uid="{DC1AC2BC-E9F5-49D1-816C-0406CDD00704}" name="ho" dataCellStyle="Данные"/>
    <tableColumn id="6" xr3:uid="{0E1D6A4B-DA7C-4984-ABED-CC51250C1F84}" name="ф1" dataCellStyle="Данные"/>
    <tableColumn id="7" xr3:uid="{6759C707-A6E9-4E87-A722-95376BC8B8D9}" name="ф2 *lnX" dataCellStyle="Данные"/>
    <tableColumn id="8" xr3:uid="{21BA498D-CA25-472B-9917-439218781C47}" name="ф3 *X^(-2)" dataCellStyle="Данные"/>
    <tableColumn id="9" xr3:uid="{FBA9F579-1C18-4370-AE55-AA3F30F84188}" name="ф4 *X^(-1)" dataCellStyle="Данные"/>
    <tableColumn id="10" xr3:uid="{3C1BD5AB-B490-41BF-BCA2-D4C29C3E7150}" name="ф5 *X" dataCellStyle="Данные"/>
    <tableColumn id="11" xr3:uid="{013DAA69-712F-40DA-A392-41E188314193}" name="ф6 *X^2" dataCellStyle="Данные"/>
    <tableColumn id="12" xr3:uid="{000D4E4B-E48C-476C-8728-9BFA4C4AB30D}" name="ф7 *Х^3" dataCellStyle="Данные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3"/>
  <sheetViews>
    <sheetView topLeftCell="B43" zoomScaleNormal="100" workbookViewId="0">
      <selection activeCell="F13" sqref="F13"/>
    </sheetView>
  </sheetViews>
  <sheetFormatPr defaultRowHeight="21" outlineLevelCol="1" x14ac:dyDescent="0.35"/>
  <cols>
    <col min="1" max="1" width="10.7265625" bestFit="1" customWidth="1"/>
    <col min="2" max="2" width="7.6328125" style="3" customWidth="1"/>
    <col min="3" max="3" width="7.6328125" customWidth="1"/>
    <col min="4" max="4" width="11.26953125" customWidth="1"/>
    <col min="5" max="11" width="8.6328125" customWidth="1"/>
    <col min="12" max="18" width="8.7265625" customWidth="1" outlineLevel="1"/>
    <col min="20" max="20" width="2.26953125" style="190" customWidth="1"/>
  </cols>
  <sheetData>
    <row r="1" spans="1:20" ht="22.5" thickTop="1" thickBot="1" x14ac:dyDescent="0.4">
      <c r="A1" s="204">
        <v>8.3145000000000007</v>
      </c>
      <c r="B1" s="27" t="s">
        <v>84</v>
      </c>
      <c r="C1" s="27" t="s">
        <v>86</v>
      </c>
      <c r="D1" s="28" t="s">
        <v>85</v>
      </c>
      <c r="E1" s="26" t="s">
        <v>0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6" t="s">
        <v>11</v>
      </c>
      <c r="Q1" s="26" t="s">
        <v>12</v>
      </c>
      <c r="R1" s="26" t="s">
        <v>13</v>
      </c>
      <c r="S1" s="26" t="s">
        <v>14</v>
      </c>
      <c r="T1" s="198" t="s">
        <v>127</v>
      </c>
    </row>
    <row r="2" spans="1:20" ht="22.5" thickTop="1" thickBot="1" x14ac:dyDescent="0.4">
      <c r="A2" s="23" t="s">
        <v>28</v>
      </c>
      <c r="B2" s="24">
        <v>2327</v>
      </c>
      <c r="C2" s="25">
        <v>5400</v>
      </c>
      <c r="D2" s="20">
        <v>-1675.7</v>
      </c>
      <c r="E2" s="21">
        <v>415.72699999999998</v>
      </c>
      <c r="F2" s="21">
        <v>162.9</v>
      </c>
      <c r="G2" s="21">
        <v>0</v>
      </c>
      <c r="H2" s="21">
        <v>2.1899999999999999E-2</v>
      </c>
      <c r="I2" s="21">
        <v>0</v>
      </c>
      <c r="J2" s="21">
        <v>0</v>
      </c>
      <c r="K2" s="22">
        <v>0</v>
      </c>
      <c r="L2" s="17">
        <f>D2/10/A1</f>
        <v>-20.153947922304404</v>
      </c>
      <c r="M2" s="18">
        <f>E2/A1</f>
        <v>50.000240543628593</v>
      </c>
      <c r="N2" s="18">
        <f>F2/A1</f>
        <v>19.592278549521918</v>
      </c>
      <c r="O2" s="18">
        <f>G2/A1</f>
        <v>0</v>
      </c>
      <c r="P2" s="18">
        <f>H2/A1</f>
        <v>2.6339527331769798E-3</v>
      </c>
      <c r="Q2" s="18">
        <f>I2/A1</f>
        <v>0</v>
      </c>
      <c r="R2" s="18">
        <f>J2/A1</f>
        <v>0</v>
      </c>
      <c r="S2" s="19">
        <f>K2/A1</f>
        <v>0</v>
      </c>
      <c r="T2" s="190">
        <v>3</v>
      </c>
    </row>
    <row r="4" spans="1:20" s="139" customFormat="1" x14ac:dyDescent="0.35">
      <c r="T4" s="190"/>
    </row>
    <row r="5" spans="1:20" s="139" customFormat="1" x14ac:dyDescent="0.35">
      <c r="T5" s="190"/>
    </row>
    <row r="6" spans="1:20" s="139" customFormat="1" x14ac:dyDescent="0.35">
      <c r="T6" s="190"/>
    </row>
    <row r="7" spans="1:20" s="139" customFormat="1" x14ac:dyDescent="0.35">
      <c r="T7" s="190"/>
    </row>
    <row r="8" spans="1:20" s="139" customFormat="1" x14ac:dyDescent="0.35">
      <c r="T8" s="190"/>
    </row>
    <row r="9" spans="1:20" s="139" customFormat="1" x14ac:dyDescent="0.35">
      <c r="T9" s="190"/>
    </row>
    <row r="10" spans="1:20" s="139" customFormat="1" x14ac:dyDescent="0.35">
      <c r="T10" s="190"/>
    </row>
    <row r="11" spans="1:20" s="139" customFormat="1" x14ac:dyDescent="0.35">
      <c r="T11" s="190"/>
    </row>
    <row r="12" spans="1:20" s="139" customFormat="1" x14ac:dyDescent="0.35">
      <c r="T12" s="190"/>
    </row>
    <row r="13" spans="1:20" s="139" customFormat="1" x14ac:dyDescent="0.35">
      <c r="T13" s="190"/>
    </row>
    <row r="14" spans="1:20" s="139" customFormat="1" x14ac:dyDescent="0.35">
      <c r="T14" s="190"/>
    </row>
    <row r="15" spans="1:20" s="139" customFormat="1" x14ac:dyDescent="0.35">
      <c r="T15" s="190"/>
    </row>
    <row r="16" spans="1:20" s="139" customFormat="1" x14ac:dyDescent="0.35">
      <c r="T16" s="190"/>
    </row>
    <row r="17" spans="1:20" s="139" customFormat="1" x14ac:dyDescent="0.35">
      <c r="T17" s="190"/>
    </row>
    <row r="18" spans="1:20" s="139" customFormat="1" x14ac:dyDescent="0.35">
      <c r="T18" s="190"/>
    </row>
    <row r="19" spans="1:20" s="139" customFormat="1" x14ac:dyDescent="0.35">
      <c r="T19" s="190"/>
    </row>
    <row r="20" spans="1:20" s="139" customFormat="1" x14ac:dyDescent="0.35">
      <c r="T20" s="190"/>
    </row>
    <row r="21" spans="1:20" s="139" customFormat="1" x14ac:dyDescent="0.35">
      <c r="T21" s="190"/>
    </row>
    <row r="28" spans="1:20" ht="27" thickBot="1" x14ac:dyDescent="0.45">
      <c r="A28" s="520" t="s">
        <v>129</v>
      </c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</row>
    <row r="29" spans="1:20" ht="24.75" thickTop="1" thickBot="1" x14ac:dyDescent="0.4">
      <c r="A29" s="39" t="s">
        <v>38</v>
      </c>
      <c r="B29" s="40" t="s">
        <v>84</v>
      </c>
      <c r="C29" s="40" t="s">
        <v>86</v>
      </c>
      <c r="D29" s="40" t="s">
        <v>85</v>
      </c>
      <c r="E29" s="39" t="s">
        <v>0</v>
      </c>
      <c r="F29" s="39" t="s">
        <v>1</v>
      </c>
      <c r="G29" s="39" t="s">
        <v>2</v>
      </c>
      <c r="H29" s="39" t="s">
        <v>3</v>
      </c>
      <c r="I29" s="39" t="s">
        <v>4</v>
      </c>
      <c r="J29" s="39" t="s">
        <v>5</v>
      </c>
      <c r="K29" s="39" t="s">
        <v>6</v>
      </c>
      <c r="L29" s="39" t="s">
        <v>7</v>
      </c>
      <c r="M29" s="39" t="s">
        <v>8</v>
      </c>
      <c r="N29" s="39" t="s">
        <v>78</v>
      </c>
      <c r="O29" s="39" t="s">
        <v>79</v>
      </c>
      <c r="P29" s="39" t="s">
        <v>80</v>
      </c>
      <c r="Q29" s="39" t="s">
        <v>81</v>
      </c>
      <c r="R29" s="39" t="s">
        <v>82</v>
      </c>
      <c r="S29" s="39" t="s">
        <v>83</v>
      </c>
      <c r="T29" s="199" t="s">
        <v>127</v>
      </c>
    </row>
    <row r="30" spans="1:20" ht="21.75" thickTop="1" x14ac:dyDescent="0.35">
      <c r="A30" s="1" t="s">
        <v>15</v>
      </c>
      <c r="B30" s="45">
        <v>298</v>
      </c>
      <c r="C30" s="49">
        <v>553</v>
      </c>
      <c r="D30" s="2"/>
      <c r="E30" s="57"/>
      <c r="F30" s="2"/>
      <c r="G30" s="61"/>
      <c r="H30" s="2"/>
      <c r="I30" s="61"/>
      <c r="J30" s="2"/>
      <c r="K30" s="61"/>
      <c r="L30" s="53">
        <v>0</v>
      </c>
      <c r="M30" s="29">
        <v>15.302904564315352</v>
      </c>
      <c r="N30" s="53">
        <v>3.1309278970473269</v>
      </c>
      <c r="O30" s="29">
        <v>3.1078236815202352E-5</v>
      </c>
      <c r="P30" s="53">
        <v>8.5813939503277398E-3</v>
      </c>
      <c r="Q30" s="29">
        <v>-7.0912261711467917</v>
      </c>
      <c r="R30" s="53">
        <v>81.712670635636528</v>
      </c>
      <c r="S30" s="30">
        <v>0</v>
      </c>
      <c r="T30" s="190">
        <v>3</v>
      </c>
    </row>
    <row r="31" spans="1:20" ht="21.75" thickTop="1" x14ac:dyDescent="0.35">
      <c r="A31" s="31" t="s">
        <v>15</v>
      </c>
      <c r="B31" s="46">
        <v>553</v>
      </c>
      <c r="C31" s="50">
        <v>1033</v>
      </c>
      <c r="D31" s="32"/>
      <c r="E31" s="58"/>
      <c r="F31" s="32"/>
      <c r="G31" s="62"/>
      <c r="H31" s="32"/>
      <c r="I31" s="62"/>
      <c r="J31" s="32"/>
      <c r="K31" s="62"/>
      <c r="L31" s="54">
        <v>0</v>
      </c>
      <c r="M31" s="33">
        <v>28.54410968789464</v>
      </c>
      <c r="N31" s="54">
        <v>8.6997414155992541</v>
      </c>
      <c r="O31" s="33">
        <v>-3.2629743219676466E-3</v>
      </c>
      <c r="P31" s="54">
        <v>0.3292224427205484</v>
      </c>
      <c r="Q31" s="33">
        <v>-39.133321306151906</v>
      </c>
      <c r="R31" s="54">
        <v>60.271814300318717</v>
      </c>
      <c r="S31" s="34">
        <v>0</v>
      </c>
      <c r="T31" s="190">
        <v>3</v>
      </c>
    </row>
    <row r="32" spans="1:20" ht="21.75" thickTop="1" x14ac:dyDescent="0.35">
      <c r="A32" s="31" t="s">
        <v>15</v>
      </c>
      <c r="B32" s="46">
        <v>1033</v>
      </c>
      <c r="C32" s="50">
        <v>1097</v>
      </c>
      <c r="D32" s="32"/>
      <c r="E32" s="58"/>
      <c r="F32" s="32"/>
      <c r="G32" s="62"/>
      <c r="H32" s="32"/>
      <c r="I32" s="62"/>
      <c r="J32" s="32"/>
      <c r="K32" s="62"/>
      <c r="L32" s="54">
        <v>0</v>
      </c>
      <c r="M32" s="33">
        <v>17.357387696193395</v>
      </c>
      <c r="N32" s="54">
        <v>4.3418365506043655</v>
      </c>
      <c r="O32" s="33">
        <v>0</v>
      </c>
      <c r="P32" s="54">
        <v>7.9776294425401406E-2</v>
      </c>
      <c r="Q32" s="33">
        <v>0</v>
      </c>
      <c r="R32" s="54">
        <v>0</v>
      </c>
      <c r="S32" s="34">
        <v>0</v>
      </c>
      <c r="T32" s="190">
        <v>3</v>
      </c>
    </row>
    <row r="33" spans="1:20" ht="22.5" thickTop="1" thickBot="1" x14ac:dyDescent="0.4">
      <c r="A33" s="35" t="s">
        <v>15</v>
      </c>
      <c r="B33" s="47">
        <v>1097</v>
      </c>
      <c r="C33" s="51">
        <v>4000</v>
      </c>
      <c r="D33" s="36"/>
      <c r="E33" s="59"/>
      <c r="F33" s="36"/>
      <c r="G33" s="63"/>
      <c r="H33" s="36"/>
      <c r="I33" s="63"/>
      <c r="J33" s="36"/>
      <c r="K33" s="63"/>
      <c r="L33" s="55">
        <v>0</v>
      </c>
      <c r="M33" s="37">
        <v>18.29911600216489</v>
      </c>
      <c r="N33" s="55">
        <v>4.4260268206145881</v>
      </c>
      <c r="O33" s="37">
        <v>0</v>
      </c>
      <c r="P33" s="55">
        <v>3.1150399903782547E-3</v>
      </c>
      <c r="Q33" s="37">
        <v>0</v>
      </c>
      <c r="R33" s="55">
        <v>0</v>
      </c>
      <c r="S33" s="38">
        <v>0</v>
      </c>
      <c r="T33" s="190">
        <v>3</v>
      </c>
    </row>
    <row r="34" spans="1:20" ht="21.75" thickTop="1" x14ac:dyDescent="0.35">
      <c r="A34" s="1" t="s">
        <v>16</v>
      </c>
      <c r="B34" s="45">
        <v>298</v>
      </c>
      <c r="C34" s="49">
        <v>3200</v>
      </c>
      <c r="D34" s="2"/>
      <c r="E34" s="57"/>
      <c r="F34" s="2"/>
      <c r="G34" s="61"/>
      <c r="H34" s="2"/>
      <c r="I34" s="61"/>
      <c r="J34" s="2"/>
      <c r="K34" s="61"/>
      <c r="L34" s="53">
        <v>1.83406097780985</v>
      </c>
      <c r="M34" s="29">
        <v>26.523904023092186</v>
      </c>
      <c r="N34" s="53">
        <v>2.2994046545192135</v>
      </c>
      <c r="O34" s="29">
        <v>4.6220458235612481E-5</v>
      </c>
      <c r="P34" s="53">
        <v>-7.462866077334776E-3</v>
      </c>
      <c r="Q34" s="29">
        <v>2.1927957183234108</v>
      </c>
      <c r="R34" s="53">
        <v>-5.0294064585964273</v>
      </c>
      <c r="S34" s="30">
        <v>5.4218533886583673</v>
      </c>
      <c r="T34" s="190">
        <v>3</v>
      </c>
    </row>
    <row r="35" spans="1:20" ht="22.5" thickTop="1" thickBot="1" x14ac:dyDescent="0.4">
      <c r="A35" s="35" t="s">
        <v>16</v>
      </c>
      <c r="B35" s="47">
        <v>3200</v>
      </c>
      <c r="C35" s="51">
        <v>6000</v>
      </c>
      <c r="D35" s="36"/>
      <c r="E35" s="59"/>
      <c r="F35" s="36"/>
      <c r="G35" s="63"/>
      <c r="H35" s="36"/>
      <c r="I35" s="63"/>
      <c r="J35" s="36"/>
      <c r="K35" s="63"/>
      <c r="L35" s="55">
        <v>1.83406097780985</v>
      </c>
      <c r="M35" s="37">
        <v>164.39437127909073</v>
      </c>
      <c r="N35" s="55">
        <v>109.73023032052437</v>
      </c>
      <c r="O35" s="37">
        <v>-0.77731673582295979</v>
      </c>
      <c r="P35" s="55">
        <v>20.580912863070537</v>
      </c>
      <c r="Q35" s="37">
        <v>-272.5332852246076</v>
      </c>
      <c r="R35" s="55">
        <v>165.65036983582897</v>
      </c>
      <c r="S35" s="38">
        <v>-48.68843586505502</v>
      </c>
      <c r="T35" s="190">
        <v>3</v>
      </c>
    </row>
    <row r="36" spans="1:20" ht="21.75" thickTop="1" x14ac:dyDescent="0.35">
      <c r="A36" s="1" t="s">
        <v>17</v>
      </c>
      <c r="B36" s="45">
        <v>298</v>
      </c>
      <c r="C36" s="49">
        <v>3200</v>
      </c>
      <c r="D36" s="2"/>
      <c r="E36" s="57"/>
      <c r="F36" s="2"/>
      <c r="G36" s="61"/>
      <c r="H36" s="2"/>
      <c r="I36" s="61"/>
      <c r="J36" s="2"/>
      <c r="K36" s="61"/>
      <c r="L36" s="53">
        <v>6.0592940044500568E-2</v>
      </c>
      <c r="M36" s="29">
        <v>43.298815322629139</v>
      </c>
      <c r="N36" s="53">
        <v>6.0656323290636829</v>
      </c>
      <c r="O36" s="29">
        <v>6.3596127247579528E-4</v>
      </c>
      <c r="P36" s="53">
        <v>0.10973480064946779</v>
      </c>
      <c r="Q36" s="29">
        <v>-2.358169462986349</v>
      </c>
      <c r="R36" s="53">
        <v>1.9832822178122553</v>
      </c>
      <c r="S36" s="30">
        <v>-0.19002946659450357</v>
      </c>
      <c r="T36" s="190">
        <v>3</v>
      </c>
    </row>
    <row r="37" spans="1:20" ht="22.5" thickTop="1" thickBot="1" x14ac:dyDescent="0.4">
      <c r="A37" s="35" t="s">
        <v>17</v>
      </c>
      <c r="B37" s="47">
        <v>3200</v>
      </c>
      <c r="C37" s="51">
        <v>6000</v>
      </c>
      <c r="D37" s="36"/>
      <c r="E37" s="59"/>
      <c r="F37" s="36"/>
      <c r="G37" s="63"/>
      <c r="H37" s="36"/>
      <c r="I37" s="63"/>
      <c r="J37" s="36"/>
      <c r="K37" s="63"/>
      <c r="L37" s="55">
        <v>6.0592940044500568E-2</v>
      </c>
      <c r="M37" s="37">
        <v>36.806783330326532</v>
      </c>
      <c r="N37" s="55">
        <v>-0.56067111672379566</v>
      </c>
      <c r="O37" s="37">
        <v>7.5037584941968841E-2</v>
      </c>
      <c r="P37" s="55">
        <v>-1.5360153947922304</v>
      </c>
      <c r="Q37" s="37">
        <v>9.3189007156172945</v>
      </c>
      <c r="R37" s="55">
        <v>-1.8953635215587226</v>
      </c>
      <c r="S37" s="38">
        <v>0</v>
      </c>
      <c r="T37" s="190">
        <v>3</v>
      </c>
    </row>
    <row r="38" spans="1:20" ht="21.75" thickTop="1" x14ac:dyDescent="0.35">
      <c r="A38" s="1" t="s">
        <v>18</v>
      </c>
      <c r="B38" s="45">
        <v>298</v>
      </c>
      <c r="C38" s="49">
        <v>2663</v>
      </c>
      <c r="D38" s="2"/>
      <c r="E38" s="57"/>
      <c r="F38" s="2"/>
      <c r="G38" s="61"/>
      <c r="H38" s="2"/>
      <c r="I38" s="61"/>
      <c r="J38" s="2"/>
      <c r="K38" s="61"/>
      <c r="L38" s="53">
        <v>-21.824523422935833</v>
      </c>
      <c r="M38" s="29">
        <v>54.255457333573879</v>
      </c>
      <c r="N38" s="53">
        <v>15.657598171868422</v>
      </c>
      <c r="O38" s="29">
        <v>-8.5355703890793179E-4</v>
      </c>
      <c r="P38" s="53">
        <v>0.2900198448493595</v>
      </c>
      <c r="Q38" s="29">
        <v>2.2816765890913464</v>
      </c>
      <c r="R38" s="53">
        <v>0</v>
      </c>
      <c r="S38" s="30">
        <v>0</v>
      </c>
      <c r="T38" s="190">
        <v>3</v>
      </c>
    </row>
    <row r="39" spans="1:20" ht="21.75" thickTop="1" x14ac:dyDescent="0.35">
      <c r="A39" s="31" t="s">
        <v>18</v>
      </c>
      <c r="B39" s="46">
        <v>2663</v>
      </c>
      <c r="C39" s="50">
        <v>2708</v>
      </c>
      <c r="D39" s="32"/>
      <c r="E39" s="58"/>
      <c r="F39" s="32"/>
      <c r="G39" s="62"/>
      <c r="H39" s="32"/>
      <c r="I39" s="62"/>
      <c r="J39" s="32"/>
      <c r="K39" s="62"/>
      <c r="L39" s="54">
        <v>-21.824523422935833</v>
      </c>
      <c r="M39" s="33">
        <v>56.641409585663595</v>
      </c>
      <c r="N39" s="54">
        <v>19.243526369595283</v>
      </c>
      <c r="O39" s="33">
        <v>0</v>
      </c>
      <c r="P39" s="54">
        <v>1.0767454447050333</v>
      </c>
      <c r="Q39" s="33">
        <v>0</v>
      </c>
      <c r="R39" s="54">
        <v>0</v>
      </c>
      <c r="S39" s="34">
        <v>0</v>
      </c>
      <c r="T39" s="190">
        <v>3</v>
      </c>
    </row>
    <row r="40" spans="1:20" ht="22.5" thickTop="1" thickBot="1" x14ac:dyDescent="0.4">
      <c r="A40" s="35" t="s">
        <v>18</v>
      </c>
      <c r="B40" s="47">
        <v>2708</v>
      </c>
      <c r="C40" s="51">
        <v>6000</v>
      </c>
      <c r="D40" s="36"/>
      <c r="E40" s="59"/>
      <c r="F40" s="36"/>
      <c r="G40" s="63"/>
      <c r="H40" s="36"/>
      <c r="I40" s="63"/>
      <c r="J40" s="36"/>
      <c r="K40" s="63"/>
      <c r="L40" s="55">
        <v>-21.824523422935833</v>
      </c>
      <c r="M40" s="37">
        <v>63.8891093872151</v>
      </c>
      <c r="N40" s="55">
        <v>24.054398941608035</v>
      </c>
      <c r="O40" s="37">
        <v>0</v>
      </c>
      <c r="P40" s="55">
        <v>0.81599615130194236</v>
      </c>
      <c r="Q40" s="37">
        <v>0</v>
      </c>
      <c r="R40" s="55">
        <v>0</v>
      </c>
      <c r="S40" s="38">
        <v>0</v>
      </c>
      <c r="T40" s="190">
        <v>3</v>
      </c>
    </row>
    <row r="41" spans="1:20" ht="21.75" thickTop="1" x14ac:dyDescent="0.35">
      <c r="A41" s="1" t="s">
        <v>19</v>
      </c>
      <c r="B41" s="45">
        <v>298</v>
      </c>
      <c r="C41" s="49">
        <v>1802</v>
      </c>
      <c r="D41" s="2"/>
      <c r="E41" s="57"/>
      <c r="F41" s="2"/>
      <c r="G41" s="61"/>
      <c r="H41" s="2"/>
      <c r="I41" s="61"/>
      <c r="J41" s="2"/>
      <c r="K41" s="61"/>
      <c r="L41" s="53">
        <v>0</v>
      </c>
      <c r="M41" s="29">
        <v>16.724036322087915</v>
      </c>
      <c r="N41" s="53">
        <v>3.1735041193096394</v>
      </c>
      <c r="O41" s="29">
        <v>-5.5493415118167053E-5</v>
      </c>
      <c r="P41" s="53">
        <v>1.1803475855433279E-2</v>
      </c>
      <c r="Q41" s="29">
        <v>2.0178002285164469</v>
      </c>
      <c r="R41" s="53">
        <v>5.8848998737145948</v>
      </c>
      <c r="S41" s="30">
        <v>0</v>
      </c>
      <c r="T41" s="190">
        <v>3</v>
      </c>
    </row>
    <row r="42" spans="1:20" ht="22.5" thickTop="1" thickBot="1" x14ac:dyDescent="0.4">
      <c r="A42" s="35" t="s">
        <v>19</v>
      </c>
      <c r="B42" s="47">
        <v>1802</v>
      </c>
      <c r="C42" s="51">
        <v>5500</v>
      </c>
      <c r="D42" s="36"/>
      <c r="E42" s="59"/>
      <c r="F42" s="36"/>
      <c r="G42" s="63"/>
      <c r="H42" s="36"/>
      <c r="I42" s="63"/>
      <c r="J42" s="36"/>
      <c r="K42" s="63"/>
      <c r="L42" s="55">
        <v>0</v>
      </c>
      <c r="M42" s="37">
        <v>20.417824282879305</v>
      </c>
      <c r="N42" s="55">
        <v>4.6545192134223345</v>
      </c>
      <c r="O42" s="37">
        <v>0</v>
      </c>
      <c r="P42" s="55">
        <v>9.6854892056046665E-2</v>
      </c>
      <c r="Q42" s="37">
        <v>0</v>
      </c>
      <c r="R42" s="55">
        <v>0</v>
      </c>
      <c r="S42" s="38">
        <v>0</v>
      </c>
      <c r="T42" s="190">
        <v>3</v>
      </c>
    </row>
    <row r="43" spans="1:20" ht="21.75" thickTop="1" x14ac:dyDescent="0.35">
      <c r="A43" s="1" t="s">
        <v>20</v>
      </c>
      <c r="B43" s="45">
        <v>298</v>
      </c>
      <c r="C43" s="49">
        <v>2200</v>
      </c>
      <c r="D43" s="2"/>
      <c r="E43" s="57"/>
      <c r="F43" s="2"/>
      <c r="G43" s="61"/>
      <c r="H43" s="2"/>
      <c r="I43" s="61"/>
      <c r="J43" s="2"/>
      <c r="K43" s="61"/>
      <c r="L43" s="53">
        <v>0</v>
      </c>
      <c r="M43" s="29">
        <v>30.448012508268686</v>
      </c>
      <c r="N43" s="53">
        <v>2.7896085152444519</v>
      </c>
      <c r="O43" s="29">
        <v>-5.8295748391364481E-5</v>
      </c>
      <c r="P43" s="53">
        <v>9.9320464249203193E-3</v>
      </c>
      <c r="Q43" s="29">
        <v>-3.3121654940164773</v>
      </c>
      <c r="R43" s="53">
        <v>5.5216789945276314</v>
      </c>
      <c r="S43" s="30">
        <v>7.2992964098863427</v>
      </c>
      <c r="T43" s="190">
        <v>3</v>
      </c>
    </row>
    <row r="44" spans="1:20" ht="22.5" thickTop="1" thickBot="1" x14ac:dyDescent="0.4">
      <c r="A44" s="35" t="s">
        <v>20</v>
      </c>
      <c r="B44" s="47">
        <v>2200</v>
      </c>
      <c r="C44" s="51">
        <v>6000</v>
      </c>
      <c r="D44" s="36"/>
      <c r="E44" s="59"/>
      <c r="F44" s="36"/>
      <c r="G44" s="63"/>
      <c r="H44" s="36"/>
      <c r="I44" s="63"/>
      <c r="J44" s="36"/>
      <c r="K44" s="63"/>
      <c r="L44" s="55">
        <v>0</v>
      </c>
      <c r="M44" s="37">
        <v>14.18197125503638</v>
      </c>
      <c r="N44" s="55">
        <v>-7.0026219255517468</v>
      </c>
      <c r="O44" s="37">
        <v>2.8337242167298094E-2</v>
      </c>
      <c r="P44" s="55">
        <v>-1.2169944073606349</v>
      </c>
      <c r="Q44" s="37">
        <v>30.431655541523842</v>
      </c>
      <c r="R44" s="55">
        <v>-14.038486980576101</v>
      </c>
      <c r="S44" s="38">
        <v>2.9223645438691439</v>
      </c>
      <c r="T44" s="190">
        <v>3</v>
      </c>
    </row>
    <row r="45" spans="1:20" ht="22.5" thickTop="1" thickBot="1" x14ac:dyDescent="0.4">
      <c r="A45" s="41" t="s">
        <v>21</v>
      </c>
      <c r="B45" s="48">
        <v>298</v>
      </c>
      <c r="C45" s="52">
        <v>6000</v>
      </c>
      <c r="D45" s="42"/>
      <c r="E45" s="60"/>
      <c r="F45" s="42"/>
      <c r="G45" s="64"/>
      <c r="H45" s="42"/>
      <c r="I45" s="64"/>
      <c r="J45" s="42"/>
      <c r="K45" s="64"/>
      <c r="L45" s="56">
        <v>-0.58027542245474772</v>
      </c>
      <c r="M45" s="43">
        <v>39.415478982500453</v>
      </c>
      <c r="N45" s="56">
        <v>5.6957243370016233</v>
      </c>
      <c r="O45" s="43">
        <v>-2.326898791268266E-4</v>
      </c>
      <c r="P45" s="56">
        <v>5.2431294726080935E-2</v>
      </c>
      <c r="Q45" s="43">
        <v>-5.7095435684647295</v>
      </c>
      <c r="R45" s="56">
        <v>7.3897408142401826</v>
      </c>
      <c r="S45" s="44">
        <v>-2.7057550063142699</v>
      </c>
      <c r="T45" s="190">
        <v>3</v>
      </c>
    </row>
    <row r="46" spans="1:20" ht="21.75" thickTop="1" x14ac:dyDescent="0.35">
      <c r="A46" s="1" t="s">
        <v>22</v>
      </c>
      <c r="B46" s="45">
        <v>298</v>
      </c>
      <c r="C46" s="49">
        <v>2593</v>
      </c>
      <c r="D46" s="2"/>
      <c r="E46" s="57"/>
      <c r="F46" s="2"/>
      <c r="G46" s="61"/>
      <c r="H46" s="2"/>
      <c r="I46" s="61"/>
      <c r="J46" s="2"/>
      <c r="K46" s="61"/>
      <c r="L46" s="53">
        <v>-23.908833964760355</v>
      </c>
      <c r="M46" s="29">
        <v>54.417222923807799</v>
      </c>
      <c r="N46" s="53">
        <v>14.808839978351072</v>
      </c>
      <c r="O46" s="29">
        <v>-9.2181129352336276E-4</v>
      </c>
      <c r="P46" s="53">
        <v>0.26702267123699558</v>
      </c>
      <c r="Q46" s="29">
        <v>5.2746406879547774</v>
      </c>
      <c r="R46" s="53">
        <v>0</v>
      </c>
      <c r="S46" s="30">
        <v>0</v>
      </c>
      <c r="T46" s="190">
        <v>3</v>
      </c>
    </row>
    <row r="47" spans="1:20" ht="21.75" thickTop="1" x14ac:dyDescent="0.35">
      <c r="A47" s="31" t="s">
        <v>22</v>
      </c>
      <c r="B47" s="46">
        <v>2593</v>
      </c>
      <c r="C47" s="50">
        <v>2691</v>
      </c>
      <c r="D47" s="32"/>
      <c r="E47" s="58"/>
      <c r="F47" s="32"/>
      <c r="G47" s="62"/>
      <c r="H47" s="32"/>
      <c r="I47" s="62"/>
      <c r="J47" s="32"/>
      <c r="K47" s="62"/>
      <c r="L47" s="54">
        <v>-23.908833964760355</v>
      </c>
      <c r="M47" s="33">
        <v>58.717421372301402</v>
      </c>
      <c r="N47" s="54">
        <v>19.243526369595283</v>
      </c>
      <c r="O47" s="33">
        <v>0</v>
      </c>
      <c r="P47" s="54">
        <v>1.0551807084009863</v>
      </c>
      <c r="Q47" s="33">
        <v>0</v>
      </c>
      <c r="R47" s="54">
        <v>0</v>
      </c>
      <c r="S47" s="34">
        <v>0</v>
      </c>
      <c r="T47" s="190">
        <v>3</v>
      </c>
    </row>
    <row r="48" spans="1:20" ht="22.5" thickTop="1" thickBot="1" x14ac:dyDescent="0.4">
      <c r="A48" s="35" t="s">
        <v>22</v>
      </c>
      <c r="B48" s="47">
        <v>2691</v>
      </c>
      <c r="C48" s="51">
        <v>6000</v>
      </c>
      <c r="D48" s="36"/>
      <c r="E48" s="59"/>
      <c r="F48" s="36"/>
      <c r="G48" s="63"/>
      <c r="H48" s="36"/>
      <c r="I48" s="63"/>
      <c r="J48" s="36"/>
      <c r="K48" s="63"/>
      <c r="L48" s="55">
        <v>-23.908833964760355</v>
      </c>
      <c r="M48" s="37">
        <v>66.031872030789586</v>
      </c>
      <c r="N48" s="55">
        <v>24.05436286006374</v>
      </c>
      <c r="O48" s="37">
        <v>0</v>
      </c>
      <c r="P48" s="55">
        <v>0.78625293162547349</v>
      </c>
      <c r="Q48" s="37">
        <v>0</v>
      </c>
      <c r="R48" s="55">
        <v>0</v>
      </c>
      <c r="S48" s="38">
        <v>0</v>
      </c>
      <c r="T48" s="190">
        <v>3</v>
      </c>
    </row>
    <row r="49" spans="1:20" ht="21.75" thickTop="1" x14ac:dyDescent="0.35">
      <c r="A49" s="1" t="s">
        <v>23</v>
      </c>
      <c r="B49" s="45">
        <v>298</v>
      </c>
      <c r="C49" s="49">
        <v>900</v>
      </c>
      <c r="D49" s="2"/>
      <c r="E49" s="57"/>
      <c r="F49" s="2"/>
      <c r="G49" s="61"/>
      <c r="H49" s="2"/>
      <c r="I49" s="61"/>
      <c r="J49" s="2"/>
      <c r="K49" s="61"/>
      <c r="L49" s="53">
        <v>0</v>
      </c>
      <c r="M49" s="29">
        <v>17.588069036021405</v>
      </c>
      <c r="N49" s="53">
        <v>3.4284803656263154</v>
      </c>
      <c r="O49" s="29">
        <v>0</v>
      </c>
      <c r="P49" s="53">
        <v>1.0173792771663959E-2</v>
      </c>
      <c r="Q49" s="29">
        <v>4.1529857477900052</v>
      </c>
      <c r="R49" s="53">
        <v>20.807023873955139</v>
      </c>
      <c r="S49" s="30">
        <v>0</v>
      </c>
      <c r="T49" s="190">
        <v>3</v>
      </c>
    </row>
    <row r="50" spans="1:20" ht="21.75" thickTop="1" x14ac:dyDescent="0.35">
      <c r="A50" s="31" t="s">
        <v>23</v>
      </c>
      <c r="B50" s="46">
        <v>900</v>
      </c>
      <c r="C50" s="50">
        <v>1818</v>
      </c>
      <c r="D50" s="32"/>
      <c r="E50" s="58"/>
      <c r="F50" s="32"/>
      <c r="G50" s="62"/>
      <c r="H50" s="32"/>
      <c r="I50" s="62"/>
      <c r="J50" s="32"/>
      <c r="K50" s="62"/>
      <c r="L50" s="54">
        <v>0</v>
      </c>
      <c r="M50" s="33">
        <v>15.787239160502736</v>
      </c>
      <c r="N50" s="54">
        <v>2.8906380419748632</v>
      </c>
      <c r="O50" s="33">
        <v>0</v>
      </c>
      <c r="P50" s="54">
        <v>1.1401767995670214E-3</v>
      </c>
      <c r="Q50" s="33">
        <v>4.454507186240904</v>
      </c>
      <c r="R50" s="54">
        <v>0</v>
      </c>
      <c r="S50" s="34">
        <v>0</v>
      </c>
      <c r="T50" s="190">
        <v>3</v>
      </c>
    </row>
    <row r="51" spans="1:20" ht="22.5" thickTop="1" thickBot="1" x14ac:dyDescent="0.4">
      <c r="A51" s="35" t="s">
        <v>23</v>
      </c>
      <c r="B51" s="47">
        <v>1818</v>
      </c>
      <c r="C51" s="51">
        <v>4500</v>
      </c>
      <c r="D51" s="36"/>
      <c r="E51" s="59"/>
      <c r="F51" s="36"/>
      <c r="G51" s="63"/>
      <c r="H51" s="36"/>
      <c r="I51" s="63"/>
      <c r="J51" s="36"/>
      <c r="K51" s="63"/>
      <c r="L51" s="55">
        <v>0</v>
      </c>
      <c r="M51" s="37">
        <v>19.991701244813278</v>
      </c>
      <c r="N51" s="55">
        <v>4.9792531120331942</v>
      </c>
      <c r="O51" s="37">
        <v>0</v>
      </c>
      <c r="P51" s="55">
        <v>3.1342834806663056E-2</v>
      </c>
      <c r="Q51" s="37">
        <v>0</v>
      </c>
      <c r="R51" s="55">
        <v>0</v>
      </c>
      <c r="S51" s="38">
        <v>0</v>
      </c>
      <c r="T51" s="190">
        <v>3</v>
      </c>
    </row>
    <row r="52" spans="1:20" ht="21.75" thickTop="1" x14ac:dyDescent="0.35">
      <c r="A52" s="1" t="s">
        <v>24</v>
      </c>
      <c r="B52" s="45">
        <v>298</v>
      </c>
      <c r="C52" s="49">
        <v>1800</v>
      </c>
      <c r="D52" s="2"/>
      <c r="E52" s="57"/>
      <c r="F52" s="2"/>
      <c r="G52" s="61"/>
      <c r="H52" s="2"/>
      <c r="I52" s="61"/>
      <c r="J52" s="2"/>
      <c r="K52" s="61"/>
      <c r="L52" s="53">
        <v>2.7994467496542184</v>
      </c>
      <c r="M52" s="29">
        <v>28.226471826327497</v>
      </c>
      <c r="N52" s="53">
        <v>2.2055084490949546</v>
      </c>
      <c r="O52" s="29">
        <v>4.8782247880209267E-5</v>
      </c>
      <c r="P52" s="53">
        <v>-8.9013169763665894E-3</v>
      </c>
      <c r="Q52" s="29">
        <v>4.3480666305851221</v>
      </c>
      <c r="R52" s="53">
        <v>-14.473510132900355</v>
      </c>
      <c r="S52" s="30">
        <v>23.645438691442656</v>
      </c>
      <c r="T52" s="190">
        <v>3</v>
      </c>
    </row>
    <row r="53" spans="1:20" ht="21.75" thickTop="1" x14ac:dyDescent="0.35">
      <c r="A53" s="31" t="s">
        <v>24</v>
      </c>
      <c r="B53" s="46">
        <v>1800</v>
      </c>
      <c r="C53" s="50">
        <v>6000</v>
      </c>
      <c r="D53" s="32"/>
      <c r="E53" s="58"/>
      <c r="F53" s="32"/>
      <c r="G53" s="62"/>
      <c r="H53" s="32"/>
      <c r="I53" s="62"/>
      <c r="J53" s="32"/>
      <c r="K53" s="62"/>
      <c r="L53" s="54">
        <v>2.7994467496542184</v>
      </c>
      <c r="M53" s="33">
        <v>61.297492332671837</v>
      </c>
      <c r="N53" s="54">
        <v>21.280475073666484</v>
      </c>
      <c r="O53" s="33">
        <v>-5.3868542906969748E-2</v>
      </c>
      <c r="P53" s="54">
        <v>2.3023633411510009</v>
      </c>
      <c r="Q53" s="33">
        <v>-72.255697877202465</v>
      </c>
      <c r="R53" s="54">
        <v>63.604666546394846</v>
      </c>
      <c r="S53" s="34">
        <v>-24.271814300318717</v>
      </c>
      <c r="T53" s="190">
        <v>3</v>
      </c>
    </row>
    <row r="54" spans="1:20" ht="22.5" thickTop="1" thickBot="1" x14ac:dyDescent="0.4">
      <c r="A54" s="35" t="s">
        <v>25</v>
      </c>
      <c r="B54" s="47">
        <v>298</v>
      </c>
      <c r="C54" s="51">
        <v>6000</v>
      </c>
      <c r="D54" s="36"/>
      <c r="E54" s="59"/>
      <c r="F54" s="36"/>
      <c r="G54" s="63"/>
      <c r="H54" s="36"/>
      <c r="I54" s="63"/>
      <c r="J54" s="36"/>
      <c r="K54" s="63"/>
      <c r="L54" s="55">
        <v>-0.2270611582175717</v>
      </c>
      <c r="M54" s="37">
        <v>43.095916771904506</v>
      </c>
      <c r="N54" s="55">
        <v>5.1975236033435559</v>
      </c>
      <c r="O54" s="37">
        <v>-2.4428408202537737E-4</v>
      </c>
      <c r="P54" s="55">
        <v>4.8647543448192915E-2</v>
      </c>
      <c r="Q54" s="37">
        <v>-1.5002706115821756</v>
      </c>
      <c r="R54" s="55">
        <v>3.088099103974983</v>
      </c>
      <c r="S54" s="38">
        <v>1.0935113356184978</v>
      </c>
      <c r="T54" s="190">
        <v>3</v>
      </c>
    </row>
    <row r="55" spans="1:20" ht="21.75" thickTop="1" x14ac:dyDescent="0.35">
      <c r="A55" s="1" t="s">
        <v>26</v>
      </c>
      <c r="B55" s="45">
        <v>298</v>
      </c>
      <c r="C55" s="49">
        <v>2623</v>
      </c>
      <c r="D55" s="2"/>
      <c r="E55" s="57"/>
      <c r="F55" s="2"/>
      <c r="G55" s="61"/>
      <c r="H55" s="2"/>
      <c r="I55" s="61"/>
      <c r="J55" s="2"/>
      <c r="K55" s="61"/>
      <c r="L55" s="53">
        <v>-22.715737566901197</v>
      </c>
      <c r="M55" s="29">
        <v>53.674905285946231</v>
      </c>
      <c r="N55" s="53">
        <v>15.056227073185399</v>
      </c>
      <c r="O55" s="29">
        <v>-5.8673401888267472E-4</v>
      </c>
      <c r="P55" s="53">
        <v>0.2414745324433219</v>
      </c>
      <c r="Q55" s="29">
        <v>5.0220698779241078</v>
      </c>
      <c r="R55" s="53">
        <v>0</v>
      </c>
      <c r="S55" s="30">
        <v>0</v>
      </c>
      <c r="T55" s="190">
        <v>3</v>
      </c>
    </row>
    <row r="56" spans="1:20" ht="21.75" thickTop="1" x14ac:dyDescent="0.35">
      <c r="A56" s="31" t="s">
        <v>26</v>
      </c>
      <c r="B56" s="46">
        <v>2623</v>
      </c>
      <c r="C56" s="50">
        <v>2683</v>
      </c>
      <c r="D56" s="32"/>
      <c r="E56" s="58"/>
      <c r="F56" s="32"/>
      <c r="G56" s="62"/>
      <c r="H56" s="32"/>
      <c r="I56" s="62"/>
      <c r="J56" s="32"/>
      <c r="K56" s="62"/>
      <c r="L56" s="54">
        <v>-22.715737566901197</v>
      </c>
      <c r="M56" s="33">
        <v>57.73443983402489</v>
      </c>
      <c r="N56" s="54">
        <v>19.243526369595283</v>
      </c>
      <c r="O56" s="33">
        <v>0</v>
      </c>
      <c r="P56" s="54">
        <v>0.98981297732876283</v>
      </c>
      <c r="Q56" s="33">
        <v>0</v>
      </c>
      <c r="R56" s="54">
        <v>0</v>
      </c>
      <c r="S56" s="34">
        <v>0</v>
      </c>
      <c r="T56" s="190">
        <v>3</v>
      </c>
    </row>
    <row r="57" spans="1:20" ht="22.5" thickTop="1" thickBot="1" x14ac:dyDescent="0.4">
      <c r="A57" s="35" t="s">
        <v>26</v>
      </c>
      <c r="B57" s="47">
        <v>2683</v>
      </c>
      <c r="C57" s="51">
        <v>6000</v>
      </c>
      <c r="D57" s="36"/>
      <c r="E57" s="59"/>
      <c r="F57" s="36"/>
      <c r="G57" s="63"/>
      <c r="H57" s="36"/>
      <c r="I57" s="63"/>
      <c r="J57" s="36"/>
      <c r="K57" s="63"/>
      <c r="L57" s="55">
        <v>-22.715737566901197</v>
      </c>
      <c r="M57" s="37">
        <v>65.08052197967406</v>
      </c>
      <c r="N57" s="55">
        <v>24.054398941608035</v>
      </c>
      <c r="O57" s="37">
        <v>0</v>
      </c>
      <c r="P57" s="55">
        <v>0.7170365024956401</v>
      </c>
      <c r="Q57" s="37">
        <v>0</v>
      </c>
      <c r="R57" s="55">
        <v>0</v>
      </c>
      <c r="S57" s="38">
        <v>0</v>
      </c>
      <c r="T57" s="190">
        <v>3</v>
      </c>
    </row>
    <row r="58" spans="1:20" ht="21.75" thickTop="1" x14ac:dyDescent="0.35">
      <c r="A58" s="1" t="s">
        <v>30</v>
      </c>
      <c r="B58" s="45">
        <v>298</v>
      </c>
      <c r="C58" s="49">
        <v>1701</v>
      </c>
      <c r="D58" s="2"/>
      <c r="E58" s="57"/>
      <c r="F58" s="2"/>
      <c r="G58" s="61"/>
      <c r="H58" s="2"/>
      <c r="I58" s="61"/>
      <c r="J58" s="2"/>
      <c r="K58" s="61"/>
      <c r="L58" s="53">
        <v>0</v>
      </c>
      <c r="M58" s="29">
        <v>20.857538035961269</v>
      </c>
      <c r="N58" s="53">
        <v>4.4645017740092605</v>
      </c>
      <c r="O58" s="29">
        <v>-2.2784292501052376E-4</v>
      </c>
      <c r="P58" s="53">
        <v>4.0791388538096093E-2</v>
      </c>
      <c r="Q58" s="29">
        <v>-15.139455168681218</v>
      </c>
      <c r="R58" s="53">
        <v>40.532804137350411</v>
      </c>
      <c r="S58" s="30">
        <v>0</v>
      </c>
      <c r="T58" s="190">
        <v>3</v>
      </c>
    </row>
    <row r="59" spans="1:20" ht="21.75" thickTop="1" x14ac:dyDescent="0.35">
      <c r="A59" s="31" t="s">
        <v>30</v>
      </c>
      <c r="B59" s="46">
        <v>1701</v>
      </c>
      <c r="C59" s="50">
        <v>1747</v>
      </c>
      <c r="D59" s="32"/>
      <c r="E59" s="58"/>
      <c r="F59" s="32"/>
      <c r="G59" s="62"/>
      <c r="H59" s="32"/>
      <c r="I59" s="62"/>
      <c r="J59" s="32"/>
      <c r="K59" s="62"/>
      <c r="L59" s="54">
        <v>0</v>
      </c>
      <c r="M59" s="33">
        <v>20.296590294064583</v>
      </c>
      <c r="N59" s="54">
        <v>5.4122556978772023</v>
      </c>
      <c r="O59" s="33">
        <v>0</v>
      </c>
      <c r="P59" s="54">
        <v>0.18186301040351191</v>
      </c>
      <c r="Q59" s="33">
        <v>0</v>
      </c>
      <c r="R59" s="54">
        <v>0</v>
      </c>
      <c r="S59" s="34">
        <v>0</v>
      </c>
      <c r="T59" s="190">
        <v>3</v>
      </c>
    </row>
    <row r="60" spans="1:20" ht="22.5" thickTop="1" thickBot="1" x14ac:dyDescent="0.4">
      <c r="A60" s="35" t="s">
        <v>30</v>
      </c>
      <c r="B60" s="47">
        <v>1747</v>
      </c>
      <c r="C60" s="51">
        <v>5500</v>
      </c>
      <c r="D60" s="36"/>
      <c r="E60" s="59"/>
      <c r="F60" s="36"/>
      <c r="G60" s="63"/>
      <c r="H60" s="36"/>
      <c r="I60" s="63"/>
      <c r="J60" s="36"/>
      <c r="K60" s="63"/>
      <c r="L60" s="55">
        <v>0</v>
      </c>
      <c r="M60" s="37">
        <v>20.998737145949843</v>
      </c>
      <c r="N60" s="55">
        <v>5.2919838835768829</v>
      </c>
      <c r="O60" s="37">
        <v>0</v>
      </c>
      <c r="P60" s="55">
        <v>2.2538937999879726E-2</v>
      </c>
      <c r="Q60" s="37">
        <v>0</v>
      </c>
      <c r="R60" s="55">
        <v>0</v>
      </c>
      <c r="S60" s="38">
        <v>0</v>
      </c>
      <c r="T60" s="190">
        <v>3</v>
      </c>
    </row>
    <row r="61" spans="1:20" ht="21.75" thickTop="1" x14ac:dyDescent="0.35">
      <c r="A61" s="1" t="s">
        <v>31</v>
      </c>
      <c r="B61" s="45">
        <v>298</v>
      </c>
      <c r="C61" s="49">
        <v>1400</v>
      </c>
      <c r="D61" s="2"/>
      <c r="E61" s="57"/>
      <c r="F61" s="2"/>
      <c r="G61" s="61"/>
      <c r="H61" s="2"/>
      <c r="I61" s="61"/>
      <c r="J61" s="2"/>
      <c r="K61" s="61"/>
      <c r="L61" s="53">
        <v>3.6104395934812672</v>
      </c>
      <c r="M61" s="29">
        <v>30.372722352516686</v>
      </c>
      <c r="N61" s="53">
        <v>2.6945817547657702</v>
      </c>
      <c r="O61" s="29">
        <v>-3.5672620121474529E-5</v>
      </c>
      <c r="P61" s="53">
        <v>6.3046485056227073E-3</v>
      </c>
      <c r="Q61" s="29">
        <v>-2.4813278008298751</v>
      </c>
      <c r="R61" s="53">
        <v>5.5854230561068006</v>
      </c>
      <c r="S61" s="30">
        <v>0</v>
      </c>
      <c r="T61" s="190">
        <v>3</v>
      </c>
    </row>
    <row r="62" spans="1:20" ht="21.75" thickTop="1" x14ac:dyDescent="0.35">
      <c r="A62" s="31" t="s">
        <v>31</v>
      </c>
      <c r="B62" s="46">
        <v>1400</v>
      </c>
      <c r="C62" s="50">
        <v>2400</v>
      </c>
      <c r="D62" s="32"/>
      <c r="E62" s="58"/>
      <c r="F62" s="32"/>
      <c r="G62" s="62"/>
      <c r="H62" s="32"/>
      <c r="I62" s="62"/>
      <c r="J62" s="32"/>
      <c r="K62" s="62"/>
      <c r="L62" s="54">
        <v>3.6104395934812672</v>
      </c>
      <c r="M62" s="33">
        <v>292.06073726622162</v>
      </c>
      <c r="N62" s="54">
        <v>132.31655541523841</v>
      </c>
      <c r="O62" s="33">
        <v>-0.21490167779180946</v>
      </c>
      <c r="P62" s="54">
        <v>11.909074508388958</v>
      </c>
      <c r="Q62" s="33">
        <v>-695.09290997654693</v>
      </c>
      <c r="R62" s="54">
        <v>912.20157556076731</v>
      </c>
      <c r="S62" s="34">
        <v>-618.67821276083941</v>
      </c>
      <c r="T62" s="190">
        <v>3</v>
      </c>
    </row>
    <row r="63" spans="1:20" ht="22.5" thickTop="1" thickBot="1" x14ac:dyDescent="0.4">
      <c r="A63" s="35" t="s">
        <v>31</v>
      </c>
      <c r="B63" s="47">
        <v>2400</v>
      </c>
      <c r="C63" s="51">
        <v>6000</v>
      </c>
      <c r="D63" s="36"/>
      <c r="E63" s="59"/>
      <c r="F63" s="36"/>
      <c r="G63" s="63"/>
      <c r="H63" s="36"/>
      <c r="I63" s="63"/>
      <c r="J63" s="36"/>
      <c r="K63" s="63"/>
      <c r="L63" s="55">
        <v>3.6104395934812672</v>
      </c>
      <c r="M63" s="37">
        <v>4.5217391304347823</v>
      </c>
      <c r="N63" s="55">
        <v>-14.394214925732154</v>
      </c>
      <c r="O63" s="37">
        <v>6.4713452402429483E-2</v>
      </c>
      <c r="P63" s="55">
        <v>-2.4627458055204761</v>
      </c>
      <c r="Q63" s="37">
        <v>48.558422033796376</v>
      </c>
      <c r="R63" s="55">
        <v>-23.704973239521316</v>
      </c>
      <c r="S63" s="38">
        <v>5.3043478260869561</v>
      </c>
      <c r="T63" s="190">
        <v>3</v>
      </c>
    </row>
    <row r="64" spans="1:20" ht="21.75" thickTop="1" x14ac:dyDescent="0.35">
      <c r="A64" s="1" t="s">
        <v>32</v>
      </c>
      <c r="B64" s="45">
        <v>298</v>
      </c>
      <c r="C64" s="49">
        <v>1400</v>
      </c>
      <c r="D64" s="2"/>
      <c r="E64" s="57"/>
      <c r="F64" s="2"/>
      <c r="G64" s="61"/>
      <c r="H64" s="2"/>
      <c r="I64" s="61"/>
      <c r="J64" s="2"/>
      <c r="K64" s="61"/>
      <c r="L64" s="53">
        <v>-0.72997774971435436</v>
      </c>
      <c r="M64" s="29">
        <v>62.972397618618068</v>
      </c>
      <c r="N64" s="53">
        <v>12.395646160322327</v>
      </c>
      <c r="O64" s="29">
        <v>-1.5346924048349267E-3</v>
      </c>
      <c r="P64" s="53">
        <v>0.29626676288411807</v>
      </c>
      <c r="Q64" s="29">
        <v>-74.957002826387637</v>
      </c>
      <c r="R64" s="53">
        <v>178.16946298634915</v>
      </c>
      <c r="S64" s="30">
        <v>-216.85008118347463</v>
      </c>
      <c r="T64" s="190">
        <v>3</v>
      </c>
    </row>
    <row r="65" spans="1:20" ht="22.5" thickTop="1" thickBot="1" x14ac:dyDescent="0.4">
      <c r="A65" s="35" t="s">
        <v>32</v>
      </c>
      <c r="B65" s="47">
        <v>1400</v>
      </c>
      <c r="C65" s="51">
        <v>6000</v>
      </c>
      <c r="D65" s="36"/>
      <c r="E65" s="59"/>
      <c r="F65" s="36"/>
      <c r="G65" s="63"/>
      <c r="H65" s="36"/>
      <c r="I65" s="63"/>
      <c r="J65" s="36"/>
      <c r="K65" s="63"/>
      <c r="L65" s="55">
        <v>-0.72997774971435436</v>
      </c>
      <c r="M65" s="37">
        <v>43.969932046424923</v>
      </c>
      <c r="N65" s="55">
        <v>5.4448253051897284</v>
      </c>
      <c r="O65" s="37">
        <v>-5.5204762763846297E-4</v>
      </c>
      <c r="P65" s="55">
        <v>1.6994407360635035E-2</v>
      </c>
      <c r="Q65" s="37">
        <v>-2.824463287028685</v>
      </c>
      <c r="R65" s="55">
        <v>4.248842383787359</v>
      </c>
      <c r="S65" s="38">
        <v>-1.4042937037705212</v>
      </c>
      <c r="T65" s="190">
        <v>3</v>
      </c>
    </row>
    <row r="66" spans="1:20" ht="21.75" thickTop="1" x14ac:dyDescent="0.35">
      <c r="A66" s="1" t="s">
        <v>33</v>
      </c>
      <c r="B66" s="45">
        <v>298</v>
      </c>
      <c r="C66" s="49">
        <v>2473</v>
      </c>
      <c r="D66" s="2"/>
      <c r="E66" s="57"/>
      <c r="F66" s="2"/>
      <c r="G66" s="61"/>
      <c r="H66" s="2"/>
      <c r="I66" s="61"/>
      <c r="J66" s="2"/>
      <c r="K66" s="61"/>
      <c r="L66" s="53">
        <v>-22.624330988032956</v>
      </c>
      <c r="M66" s="29">
        <v>55.374105478381139</v>
      </c>
      <c r="N66" s="53">
        <v>14.838547116483252</v>
      </c>
      <c r="O66" s="29">
        <v>-5.9328883276204213E-4</v>
      </c>
      <c r="P66" s="53">
        <v>0.23451801070419145</v>
      </c>
      <c r="Q66" s="29">
        <v>5.4918515845811529</v>
      </c>
      <c r="R66" s="53">
        <v>0</v>
      </c>
      <c r="S66" s="30">
        <v>0</v>
      </c>
      <c r="T66" s="190">
        <v>3</v>
      </c>
    </row>
    <row r="67" spans="1:20" ht="21.75" thickTop="1" x14ac:dyDescent="0.35">
      <c r="A67" s="31" t="s">
        <v>33</v>
      </c>
      <c r="B67" s="46">
        <v>2473</v>
      </c>
      <c r="C67" s="50">
        <v>2688</v>
      </c>
      <c r="D67" s="32"/>
      <c r="E67" s="58"/>
      <c r="F67" s="32"/>
      <c r="G67" s="62"/>
      <c r="H67" s="32"/>
      <c r="I67" s="62"/>
      <c r="J67" s="32"/>
      <c r="K67" s="62"/>
      <c r="L67" s="54">
        <v>-22.624330988032956</v>
      </c>
      <c r="M67" s="33">
        <v>59.849419688495999</v>
      </c>
      <c r="N67" s="54">
        <v>19.243490288050992</v>
      </c>
      <c r="O67" s="33">
        <v>0</v>
      </c>
      <c r="P67" s="54">
        <v>0.98322208190510552</v>
      </c>
      <c r="Q67" s="33">
        <v>0</v>
      </c>
      <c r="R67" s="54">
        <v>0</v>
      </c>
      <c r="S67" s="34">
        <v>0</v>
      </c>
      <c r="T67" s="190">
        <v>3</v>
      </c>
    </row>
    <row r="68" spans="1:20" ht="22.5" thickTop="1" thickBot="1" x14ac:dyDescent="0.4">
      <c r="A68" s="35" t="s">
        <v>33</v>
      </c>
      <c r="B68" s="47">
        <v>2688</v>
      </c>
      <c r="C68" s="51">
        <v>6000</v>
      </c>
      <c r="D68" s="36"/>
      <c r="E68" s="59"/>
      <c r="F68" s="36"/>
      <c r="G68" s="63"/>
      <c r="H68" s="36"/>
      <c r="I68" s="63"/>
      <c r="J68" s="36"/>
      <c r="K68" s="63"/>
      <c r="L68" s="55">
        <v>-22.624330988032956</v>
      </c>
      <c r="M68" s="37">
        <v>67.178182692885912</v>
      </c>
      <c r="N68" s="55">
        <v>24.054398941608035</v>
      </c>
      <c r="O68" s="37">
        <v>0</v>
      </c>
      <c r="P68" s="55">
        <v>0.71285104335798899</v>
      </c>
      <c r="Q68" s="37">
        <v>0</v>
      </c>
      <c r="R68" s="55">
        <v>0</v>
      </c>
      <c r="S68" s="38">
        <v>0</v>
      </c>
      <c r="T68" s="190">
        <v>3</v>
      </c>
    </row>
    <row r="69" spans="1:20" ht="21.75" thickTop="1" x14ac:dyDescent="0.35">
      <c r="A69" s="1" t="s">
        <v>34</v>
      </c>
      <c r="B69" s="45">
        <v>298</v>
      </c>
      <c r="C69" s="49">
        <v>2333</v>
      </c>
      <c r="D69" s="2"/>
      <c r="E69" s="57"/>
      <c r="F69" s="2"/>
      <c r="G69" s="61"/>
      <c r="H69" s="2"/>
      <c r="I69" s="61"/>
      <c r="J69" s="2"/>
      <c r="K69" s="61"/>
      <c r="L69" s="53">
        <v>-21.748752179926633</v>
      </c>
      <c r="M69" s="29">
        <v>50.140477479102763</v>
      </c>
      <c r="N69" s="53">
        <v>13.202850441998915</v>
      </c>
      <c r="O69" s="29">
        <v>-5.5973299657225328E-4</v>
      </c>
      <c r="P69" s="53">
        <v>0.2014781405977509</v>
      </c>
      <c r="Q69" s="29">
        <v>25.3974382103554</v>
      </c>
      <c r="R69" s="53">
        <v>-12.783691141980876</v>
      </c>
      <c r="S69" s="30">
        <v>0</v>
      </c>
      <c r="T69" s="190">
        <v>3</v>
      </c>
    </row>
    <row r="70" spans="1:20" ht="21.75" thickTop="1" x14ac:dyDescent="0.35">
      <c r="A70" s="31" t="s">
        <v>34</v>
      </c>
      <c r="B70" s="46">
        <v>2333</v>
      </c>
      <c r="C70" s="50">
        <v>2593</v>
      </c>
      <c r="D70" s="32"/>
      <c r="E70" s="58"/>
      <c r="F70" s="32"/>
      <c r="G70" s="62"/>
      <c r="H70" s="32"/>
      <c r="I70" s="62"/>
      <c r="J70" s="32"/>
      <c r="K70" s="62"/>
      <c r="L70" s="54">
        <v>-21.748752179926633</v>
      </c>
      <c r="M70" s="33">
        <v>62.664922725359311</v>
      </c>
      <c r="N70" s="54">
        <v>19.243490288050992</v>
      </c>
      <c r="O70" s="33">
        <v>0</v>
      </c>
      <c r="P70" s="54">
        <v>0.54827109266943286</v>
      </c>
      <c r="Q70" s="33">
        <v>0</v>
      </c>
      <c r="R70" s="54">
        <v>0</v>
      </c>
      <c r="S70" s="34">
        <v>0</v>
      </c>
      <c r="T70" s="190">
        <v>3</v>
      </c>
    </row>
    <row r="71" spans="1:20" ht="22.5" thickTop="1" thickBot="1" x14ac:dyDescent="0.4">
      <c r="A71" s="35" t="s">
        <v>34</v>
      </c>
      <c r="B71" s="47">
        <v>2593</v>
      </c>
      <c r="C71" s="51">
        <v>6000</v>
      </c>
      <c r="D71" s="36"/>
      <c r="E71" s="59"/>
      <c r="F71" s="36"/>
      <c r="G71" s="63"/>
      <c r="H71" s="36"/>
      <c r="I71" s="63"/>
      <c r="J71" s="36"/>
      <c r="K71" s="63"/>
      <c r="L71" s="55">
        <v>-21.748752179926633</v>
      </c>
      <c r="M71" s="37">
        <v>70.145528895303386</v>
      </c>
      <c r="N71" s="55">
        <v>24.05436286006374</v>
      </c>
      <c r="O71" s="37">
        <v>0</v>
      </c>
      <c r="P71" s="55">
        <v>0.29233267183835465</v>
      </c>
      <c r="Q71" s="37">
        <v>0</v>
      </c>
      <c r="R71" s="55">
        <v>0</v>
      </c>
      <c r="S71" s="38">
        <v>0</v>
      </c>
      <c r="T71" s="190">
        <v>3</v>
      </c>
    </row>
    <row r="72" spans="1:20" ht="21.75" thickTop="1" x14ac:dyDescent="0.35">
      <c r="A72" s="1" t="s">
        <v>35</v>
      </c>
      <c r="B72" s="45">
        <v>298</v>
      </c>
      <c r="C72" s="49">
        <v>1400</v>
      </c>
      <c r="D72" s="2"/>
      <c r="E72" s="57"/>
      <c r="F72" s="2"/>
      <c r="G72" s="61"/>
      <c r="H72" s="2"/>
      <c r="I72" s="61"/>
      <c r="J72" s="2"/>
      <c r="K72" s="61"/>
      <c r="L72" s="53">
        <v>-1.4942209393228696</v>
      </c>
      <c r="M72" s="29">
        <v>29.009561609236872</v>
      </c>
      <c r="N72" s="53">
        <v>1.4303926874736905</v>
      </c>
      <c r="O72" s="29">
        <v>-4.4945577004029101E-5</v>
      </c>
      <c r="P72" s="53">
        <v>-1.555475374346022E-2</v>
      </c>
      <c r="Q72" s="29">
        <v>71.353899813578693</v>
      </c>
      <c r="R72" s="53">
        <v>-222.14324373083167</v>
      </c>
      <c r="S72" s="30">
        <v>322.66522340489507</v>
      </c>
      <c r="T72" s="190">
        <v>3</v>
      </c>
    </row>
    <row r="73" spans="1:20" ht="22.5" thickTop="1" thickBot="1" x14ac:dyDescent="0.4">
      <c r="A73" s="35" t="s">
        <v>35</v>
      </c>
      <c r="B73" s="47">
        <v>1400</v>
      </c>
      <c r="C73" s="51">
        <v>6000</v>
      </c>
      <c r="D73" s="36"/>
      <c r="E73" s="59"/>
      <c r="F73" s="36"/>
      <c r="G73" s="63"/>
      <c r="H73" s="36"/>
      <c r="I73" s="63"/>
      <c r="J73" s="36"/>
      <c r="K73" s="63"/>
      <c r="L73" s="55">
        <v>-1.4942209393228696</v>
      </c>
      <c r="M73" s="37">
        <v>47.034457874797035</v>
      </c>
      <c r="N73" s="55">
        <v>7.2667268025738156</v>
      </c>
      <c r="O73" s="37">
        <v>6.8554934151181669E-4</v>
      </c>
      <c r="P73" s="55">
        <v>0.11850381863010402</v>
      </c>
      <c r="Q73" s="37">
        <v>-8.5365325635937221</v>
      </c>
      <c r="R73" s="55">
        <v>9.2136628781045147</v>
      </c>
      <c r="S73" s="38">
        <v>-3.5703890793192614</v>
      </c>
      <c r="T73" s="190">
        <v>3</v>
      </c>
    </row>
    <row r="74" spans="1:20" ht="21.75" thickTop="1" x14ac:dyDescent="0.35">
      <c r="A74" s="1" t="s">
        <v>36</v>
      </c>
      <c r="B74" s="45">
        <v>298</v>
      </c>
      <c r="C74" s="49">
        <v>1800</v>
      </c>
      <c r="D74" s="2"/>
      <c r="E74" s="57"/>
      <c r="F74" s="2"/>
      <c r="G74" s="61"/>
      <c r="H74" s="2"/>
      <c r="I74" s="61"/>
      <c r="J74" s="2"/>
      <c r="K74" s="61"/>
      <c r="L74" s="53">
        <v>3.9344398340248956</v>
      </c>
      <c r="M74" s="29">
        <v>26.555896325696072</v>
      </c>
      <c r="N74" s="53">
        <v>1.8786697937338384</v>
      </c>
      <c r="O74" s="29">
        <v>-1.6272776474833123E-5</v>
      </c>
      <c r="P74" s="53">
        <v>-5.2029586866317876E-3</v>
      </c>
      <c r="Q74" s="29">
        <v>17.1322388598232</v>
      </c>
      <c r="R74" s="53">
        <v>-43.040471465512056</v>
      </c>
      <c r="S74" s="30">
        <v>61.182271934572128</v>
      </c>
      <c r="T74" s="190">
        <v>3</v>
      </c>
    </row>
    <row r="75" spans="1:20" ht="22.5" thickTop="1" thickBot="1" x14ac:dyDescent="0.4">
      <c r="A75" s="35" t="s">
        <v>36</v>
      </c>
      <c r="B75" s="47">
        <v>1800</v>
      </c>
      <c r="C75" s="51">
        <v>6000</v>
      </c>
      <c r="D75" s="36"/>
      <c r="E75" s="59"/>
      <c r="F75" s="36"/>
      <c r="G75" s="63"/>
      <c r="H75" s="36"/>
      <c r="I75" s="63"/>
      <c r="J75" s="36"/>
      <c r="K75" s="63"/>
      <c r="L75" s="55">
        <v>3.9344398340248956</v>
      </c>
      <c r="M75" s="37">
        <v>-20.093090384268443</v>
      </c>
      <c r="N75" s="55">
        <v>-27.793974382103549</v>
      </c>
      <c r="O75" s="37">
        <v>9.6123639425100729E-2</v>
      </c>
      <c r="P75" s="55">
        <v>-3.9854952191953812</v>
      </c>
      <c r="Q75" s="37">
        <v>106.62685669613325</v>
      </c>
      <c r="R75" s="55">
        <v>-73.313488483973785</v>
      </c>
      <c r="S75" s="38">
        <v>24.277467075590831</v>
      </c>
      <c r="T75" s="190">
        <v>3</v>
      </c>
    </row>
    <row r="76" spans="1:20" ht="21.75" thickTop="1" x14ac:dyDescent="0.35">
      <c r="A76" s="1" t="s">
        <v>37</v>
      </c>
      <c r="B76" s="45">
        <v>298</v>
      </c>
      <c r="C76" s="49">
        <v>1128</v>
      </c>
      <c r="D76" s="2"/>
      <c r="E76" s="57"/>
      <c r="F76" s="2"/>
      <c r="G76" s="61"/>
      <c r="H76" s="2"/>
      <c r="I76" s="61"/>
      <c r="J76" s="2"/>
      <c r="K76" s="61"/>
      <c r="L76" s="53">
        <v>0</v>
      </c>
      <c r="M76" s="29">
        <v>13.497143544410365</v>
      </c>
      <c r="N76" s="53">
        <v>2.1994106681099281</v>
      </c>
      <c r="O76" s="29">
        <v>1.2783691141980878E-4</v>
      </c>
      <c r="P76" s="53">
        <v>-1.6816405075470563E-2</v>
      </c>
      <c r="Q76" s="29">
        <v>13.561729508689638</v>
      </c>
      <c r="R76" s="53">
        <v>0</v>
      </c>
      <c r="S76" s="30">
        <v>0</v>
      </c>
      <c r="T76" s="190">
        <v>3</v>
      </c>
    </row>
    <row r="77" spans="1:20" ht="21.75" thickTop="1" x14ac:dyDescent="0.35">
      <c r="A77" s="31" t="s">
        <v>37</v>
      </c>
      <c r="B77" s="46">
        <v>1128</v>
      </c>
      <c r="C77" s="50">
        <v>1289</v>
      </c>
      <c r="D77" s="32"/>
      <c r="E77" s="58"/>
      <c r="F77" s="32"/>
      <c r="G77" s="62"/>
      <c r="H77" s="32"/>
      <c r="I77" s="62"/>
      <c r="J77" s="32"/>
      <c r="K77" s="62"/>
      <c r="L77" s="54">
        <v>0</v>
      </c>
      <c r="M77" s="33">
        <v>20.685789885140416</v>
      </c>
      <c r="N77" s="54">
        <v>5.4122316435143416</v>
      </c>
      <c r="O77" s="33">
        <v>0</v>
      </c>
      <c r="P77" s="54">
        <v>0.13680918876661252</v>
      </c>
      <c r="Q77" s="33">
        <v>0</v>
      </c>
      <c r="R77" s="54">
        <v>0</v>
      </c>
      <c r="S77" s="34">
        <v>0</v>
      </c>
      <c r="T77" s="190">
        <v>3</v>
      </c>
    </row>
    <row r="78" spans="1:20" ht="21.75" thickTop="1" x14ac:dyDescent="0.35">
      <c r="A78" s="31" t="s">
        <v>37</v>
      </c>
      <c r="B78" s="46">
        <v>1289</v>
      </c>
      <c r="C78" s="50">
        <v>1500</v>
      </c>
      <c r="D78" s="32"/>
      <c r="E78" s="58"/>
      <c r="F78" s="32"/>
      <c r="G78" s="62"/>
      <c r="H78" s="32"/>
      <c r="I78" s="62"/>
      <c r="J78" s="32"/>
      <c r="K78" s="62"/>
      <c r="L78" s="54">
        <v>0</v>
      </c>
      <c r="M78" s="33">
        <v>16.206987792410846</v>
      </c>
      <c r="N78" s="54">
        <v>1.3868783450598352</v>
      </c>
      <c r="O78" s="33">
        <v>1.7507968007697397E-2</v>
      </c>
      <c r="P78" s="54">
        <v>-0.61282097540441394</v>
      </c>
      <c r="Q78" s="33">
        <v>7.7097841120933293</v>
      </c>
      <c r="R78" s="54">
        <v>0</v>
      </c>
      <c r="S78" s="34">
        <v>0</v>
      </c>
      <c r="T78" s="190">
        <v>3</v>
      </c>
    </row>
    <row r="79" spans="1:20" ht="22.5" thickTop="1" thickBot="1" x14ac:dyDescent="0.4">
      <c r="A79" s="35" t="s">
        <v>37</v>
      </c>
      <c r="B79" s="47">
        <v>1500</v>
      </c>
      <c r="C79" s="51">
        <v>5500</v>
      </c>
      <c r="D79" s="36"/>
      <c r="E79" s="59"/>
      <c r="F79" s="36"/>
      <c r="G79" s="63"/>
      <c r="H79" s="36"/>
      <c r="I79" s="63"/>
      <c r="J79" s="36"/>
      <c r="K79" s="63"/>
      <c r="L79" s="55">
        <v>0</v>
      </c>
      <c r="M79" s="37">
        <v>21.212580431775812</v>
      </c>
      <c r="N79" s="55">
        <v>5.2558782849239281</v>
      </c>
      <c r="O79" s="37">
        <v>0</v>
      </c>
      <c r="P79" s="55">
        <v>2.7506163930482889E-2</v>
      </c>
      <c r="Q79" s="37">
        <v>0</v>
      </c>
      <c r="R79" s="55">
        <v>0</v>
      </c>
      <c r="S79" s="38">
        <v>0</v>
      </c>
      <c r="T79" s="190">
        <v>3</v>
      </c>
    </row>
    <row r="80" spans="1:20" ht="21.75" thickTop="1" x14ac:dyDescent="0.35">
      <c r="A80" s="1" t="s">
        <v>27</v>
      </c>
      <c r="B80" s="45">
        <v>298</v>
      </c>
      <c r="C80" s="49">
        <v>848</v>
      </c>
      <c r="D80" s="2"/>
      <c r="E80" s="57"/>
      <c r="F80" s="2"/>
      <c r="G80" s="61"/>
      <c r="H80" s="2"/>
      <c r="I80" s="61"/>
      <c r="J80" s="2"/>
      <c r="K80" s="61"/>
      <c r="L80" s="53">
        <v>-10.953154128330024</v>
      </c>
      <c r="M80" s="29">
        <v>-92.287930723434954</v>
      </c>
      <c r="N80" s="53">
        <v>-26.567213903421731</v>
      </c>
      <c r="O80" s="29">
        <v>2.5586505502435499E-3</v>
      </c>
      <c r="P80" s="53">
        <v>-0.58728005291959817</v>
      </c>
      <c r="Q80" s="29">
        <v>696.92104155391178</v>
      </c>
      <c r="R80" s="53">
        <v>3412.7969210415536</v>
      </c>
      <c r="S80" s="30">
        <v>8867.159781105298</v>
      </c>
      <c r="T80" s="190">
        <v>3</v>
      </c>
    </row>
    <row r="81" spans="1:20" ht="21.75" thickTop="1" x14ac:dyDescent="0.35">
      <c r="A81" s="31" t="s">
        <v>27</v>
      </c>
      <c r="B81" s="46">
        <v>848</v>
      </c>
      <c r="C81" s="50">
        <v>1200</v>
      </c>
      <c r="D81" s="32"/>
      <c r="E81" s="58"/>
      <c r="F81" s="32"/>
      <c r="G81" s="62"/>
      <c r="H81" s="32"/>
      <c r="I81" s="62"/>
      <c r="J81" s="32"/>
      <c r="K81" s="62"/>
      <c r="L81" s="54">
        <v>-10.953154128330024</v>
      </c>
      <c r="M81" s="33">
        <v>21.87636057489927</v>
      </c>
      <c r="N81" s="54">
        <v>7.0265439894160791</v>
      </c>
      <c r="O81" s="33">
        <v>1.1630284442840819E-4</v>
      </c>
      <c r="P81" s="54">
        <v>0.13388297552468578</v>
      </c>
      <c r="Q81" s="33">
        <v>6.2101148595826565</v>
      </c>
      <c r="R81" s="54">
        <v>0</v>
      </c>
      <c r="S81" s="34">
        <v>0</v>
      </c>
      <c r="T81" s="190">
        <v>3</v>
      </c>
    </row>
    <row r="82" spans="1:20" ht="21.75" thickTop="1" x14ac:dyDescent="0.35">
      <c r="A82" s="31" t="s">
        <v>27</v>
      </c>
      <c r="B82" s="46">
        <v>1200</v>
      </c>
      <c r="C82" s="50">
        <v>1996</v>
      </c>
      <c r="D82" s="32"/>
      <c r="E82" s="58"/>
      <c r="F82" s="32"/>
      <c r="G82" s="62"/>
      <c r="H82" s="32"/>
      <c r="I82" s="62"/>
      <c r="J82" s="32"/>
      <c r="K82" s="62"/>
      <c r="L82" s="54">
        <v>-10.953154128330024</v>
      </c>
      <c r="M82" s="33">
        <v>26.617234950989232</v>
      </c>
      <c r="N82" s="54">
        <v>9.3310722232244867</v>
      </c>
      <c r="O82" s="33">
        <v>-2.6784533044680978E-3</v>
      </c>
      <c r="P82" s="54">
        <v>0.30701786036442358</v>
      </c>
      <c r="Q82" s="33">
        <v>-3.6534969030007813</v>
      </c>
      <c r="R82" s="54">
        <v>5.5673822839617531</v>
      </c>
      <c r="S82" s="34">
        <v>0</v>
      </c>
      <c r="T82" s="190">
        <v>3</v>
      </c>
    </row>
    <row r="83" spans="1:20" ht="22.5" thickTop="1" thickBot="1" x14ac:dyDescent="0.4">
      <c r="A83" s="35" t="s">
        <v>27</v>
      </c>
      <c r="B83" s="47">
        <v>1996</v>
      </c>
      <c r="C83" s="51">
        <v>4700</v>
      </c>
      <c r="D83" s="36"/>
      <c r="E83" s="59"/>
      <c r="F83" s="36"/>
      <c r="G83" s="63"/>
      <c r="H83" s="36"/>
      <c r="I83" s="63"/>
      <c r="J83" s="36"/>
      <c r="K83" s="63"/>
      <c r="L83" s="55">
        <v>-10.953154128330024</v>
      </c>
      <c r="M83" s="37">
        <v>26.904925130795593</v>
      </c>
      <c r="N83" s="55">
        <v>10.042732575620901</v>
      </c>
      <c r="O83" s="37">
        <v>0</v>
      </c>
      <c r="P83" s="55">
        <v>0.36377412953274396</v>
      </c>
      <c r="Q83" s="37">
        <v>0</v>
      </c>
      <c r="R83" s="55">
        <v>0</v>
      </c>
      <c r="S83" s="38">
        <v>0</v>
      </c>
      <c r="T83" s="190">
        <v>3</v>
      </c>
    </row>
    <row r="84" spans="1:20" ht="21.75" thickTop="1" x14ac:dyDescent="0.35">
      <c r="A84" s="1" t="s">
        <v>28</v>
      </c>
      <c r="B84" s="45">
        <v>298</v>
      </c>
      <c r="C84" s="49">
        <v>500</v>
      </c>
      <c r="D84" s="2"/>
      <c r="E84" s="57"/>
      <c r="F84" s="2"/>
      <c r="G84" s="61"/>
      <c r="H84" s="2"/>
      <c r="I84" s="61"/>
      <c r="J84" s="2"/>
      <c r="K84" s="61"/>
      <c r="L84" s="53">
        <v>-20.153947922304404</v>
      </c>
      <c r="M84" s="29">
        <v>32.273137290276019</v>
      </c>
      <c r="N84" s="53">
        <v>11.673113235913164</v>
      </c>
      <c r="O84" s="29">
        <v>-1.5854110289253711E-3</v>
      </c>
      <c r="P84" s="53">
        <v>0.35477659510493714</v>
      </c>
      <c r="Q84" s="29">
        <v>23.465030969992181</v>
      </c>
      <c r="R84" s="53">
        <v>0</v>
      </c>
      <c r="S84" s="30">
        <v>0</v>
      </c>
      <c r="T84" s="190">
        <v>3</v>
      </c>
    </row>
    <row r="85" spans="1:20" ht="21.75" thickTop="1" x14ac:dyDescent="0.35">
      <c r="A85" s="31" t="s">
        <v>28</v>
      </c>
      <c r="B85" s="46">
        <v>500</v>
      </c>
      <c r="C85" s="50">
        <v>1200</v>
      </c>
      <c r="D85" s="32"/>
      <c r="E85" s="58"/>
      <c r="F85" s="32"/>
      <c r="G85" s="62"/>
      <c r="H85" s="32"/>
      <c r="I85" s="62"/>
      <c r="J85" s="32"/>
      <c r="K85" s="62"/>
      <c r="L85" s="54">
        <v>-20.153947922304404</v>
      </c>
      <c r="M85" s="33">
        <v>39.781947200673521</v>
      </c>
      <c r="N85" s="54">
        <v>14.754837933730229</v>
      </c>
      <c r="O85" s="33">
        <v>-3.0211077034097054E-3</v>
      </c>
      <c r="P85" s="54">
        <v>0.51796860905646758</v>
      </c>
      <c r="Q85" s="33">
        <v>4.1366287810451619</v>
      </c>
      <c r="R85" s="54">
        <v>0</v>
      </c>
      <c r="S85" s="34">
        <v>0</v>
      </c>
      <c r="T85" s="190">
        <v>3</v>
      </c>
    </row>
    <row r="86" spans="1:20" ht="21.75" thickTop="1" x14ac:dyDescent="0.35">
      <c r="A86" s="31" t="s">
        <v>28</v>
      </c>
      <c r="B86" s="46">
        <v>1200</v>
      </c>
      <c r="C86" s="50">
        <v>2327</v>
      </c>
      <c r="D86" s="32"/>
      <c r="E86" s="58"/>
      <c r="F86" s="32"/>
      <c r="G86" s="62"/>
      <c r="H86" s="32"/>
      <c r="I86" s="62"/>
      <c r="J86" s="32"/>
      <c r="K86" s="62"/>
      <c r="L86" s="54">
        <v>-20.153947922304404</v>
      </c>
      <c r="M86" s="33">
        <v>36.55758013109628</v>
      </c>
      <c r="N86" s="54">
        <v>12.937784593180586</v>
      </c>
      <c r="O86" s="33">
        <v>0</v>
      </c>
      <c r="P86" s="54">
        <v>0.33348968669192375</v>
      </c>
      <c r="Q86" s="33">
        <v>9.9641589993385029</v>
      </c>
      <c r="R86" s="54">
        <v>0</v>
      </c>
      <c r="S86" s="34">
        <v>0</v>
      </c>
      <c r="T86" s="190">
        <v>3</v>
      </c>
    </row>
    <row r="87" spans="1:20" ht="22.5" thickTop="1" thickBot="1" x14ac:dyDescent="0.4">
      <c r="A87" s="35" t="s">
        <v>28</v>
      </c>
      <c r="B87" s="47">
        <v>2327</v>
      </c>
      <c r="C87" s="51">
        <v>5400</v>
      </c>
      <c r="D87" s="36"/>
      <c r="E87" s="59"/>
      <c r="F87" s="36"/>
      <c r="G87" s="63"/>
      <c r="H87" s="36"/>
      <c r="I87" s="63"/>
      <c r="J87" s="36"/>
      <c r="K87" s="63"/>
      <c r="L87" s="55">
        <v>-20.153947922304404</v>
      </c>
      <c r="M87" s="37">
        <v>50.000240543628593</v>
      </c>
      <c r="N87" s="55">
        <v>19.592278549521918</v>
      </c>
      <c r="O87" s="37">
        <v>0</v>
      </c>
      <c r="P87" s="55">
        <v>2.6339527331769798E-3</v>
      </c>
      <c r="Q87" s="37">
        <v>0</v>
      </c>
      <c r="R87" s="55">
        <v>0</v>
      </c>
      <c r="S87" s="38">
        <v>0</v>
      </c>
      <c r="T87" s="190">
        <v>3</v>
      </c>
    </row>
    <row r="88" spans="1:20" ht="21.75" thickTop="1" x14ac:dyDescent="0.35">
      <c r="A88" s="1" t="s">
        <v>29</v>
      </c>
      <c r="B88" s="45">
        <v>298</v>
      </c>
      <c r="C88" s="49">
        <v>500</v>
      </c>
      <c r="D88" s="2"/>
      <c r="E88" s="57"/>
      <c r="F88" s="2"/>
      <c r="G88" s="61"/>
      <c r="H88" s="2"/>
      <c r="I88" s="61"/>
      <c r="J88" s="2"/>
      <c r="K88" s="61"/>
      <c r="L88" s="53">
        <f>L80*2+3*L84</f>
        <v>-82.368152023573259</v>
      </c>
      <c r="M88" s="29">
        <f t="shared" ref="M88:S88" si="0">M80*0.4+0.6*M84</f>
        <v>-17.551289915208375</v>
      </c>
      <c r="N88" s="53">
        <f t="shared" si="0"/>
        <v>-3.6230176198207955</v>
      </c>
      <c r="O88" s="29">
        <f t="shared" si="0"/>
        <v>7.2213602742197416E-5</v>
      </c>
      <c r="P88" s="53">
        <f t="shared" si="0"/>
        <v>-2.2046064104877E-2</v>
      </c>
      <c r="Q88" s="29">
        <f t="shared" si="0"/>
        <v>292.84743520356</v>
      </c>
      <c r="R88" s="53">
        <f t="shared" si="0"/>
        <v>1365.1187684166216</v>
      </c>
      <c r="S88" s="30">
        <f t="shared" si="0"/>
        <v>3546.8639124421193</v>
      </c>
      <c r="T88" s="190">
        <v>3</v>
      </c>
    </row>
    <row r="89" spans="1:20" ht="21.75" thickTop="1" x14ac:dyDescent="0.35">
      <c r="A89" s="31" t="s">
        <v>29</v>
      </c>
      <c r="B89" s="46">
        <v>500</v>
      </c>
      <c r="C89" s="50">
        <v>848</v>
      </c>
      <c r="D89" s="32"/>
      <c r="E89" s="58"/>
      <c r="F89" s="32"/>
      <c r="G89" s="62"/>
      <c r="H89" s="32"/>
      <c r="I89" s="62"/>
      <c r="J89" s="32"/>
      <c r="K89" s="62"/>
      <c r="L89" s="54">
        <v>-82.368152023573259</v>
      </c>
      <c r="M89" s="33">
        <f t="shared" ref="M89:S89" si="1">M80*0.4+0.6*M85</f>
        <v>-13.046003968969874</v>
      </c>
      <c r="N89" s="54">
        <f t="shared" si="1"/>
        <v>-1.7739828011305558</v>
      </c>
      <c r="O89" s="33">
        <f t="shared" si="1"/>
        <v>-7.8920440194840311E-4</v>
      </c>
      <c r="P89" s="54">
        <f t="shared" si="1"/>
        <v>7.5869144266041244E-2</v>
      </c>
      <c r="Q89" s="33">
        <f t="shared" si="1"/>
        <v>281.25039389019179</v>
      </c>
      <c r="R89" s="54">
        <f t="shared" si="1"/>
        <v>1365.1187684166216</v>
      </c>
      <c r="S89" s="34">
        <f t="shared" si="1"/>
        <v>3546.8639124421193</v>
      </c>
      <c r="T89" s="190">
        <v>3</v>
      </c>
    </row>
    <row r="90" spans="1:20" ht="21.75" thickTop="1" x14ac:dyDescent="0.35">
      <c r="A90" s="31" t="s">
        <v>29</v>
      </c>
      <c r="B90" s="46">
        <v>848</v>
      </c>
      <c r="C90" s="50">
        <v>1200</v>
      </c>
      <c r="D90" s="32"/>
      <c r="E90" s="58"/>
      <c r="F90" s="32"/>
      <c r="G90" s="62"/>
      <c r="H90" s="32"/>
      <c r="I90" s="62"/>
      <c r="J90" s="32"/>
      <c r="K90" s="62"/>
      <c r="L90" s="54">
        <v>-82.368152023573259</v>
      </c>
      <c r="M90" s="33">
        <f t="shared" ref="M90:S91" si="2">M81*0.4+0.6*M85</f>
        <v>32.619712550363815</v>
      </c>
      <c r="N90" s="54">
        <f t="shared" si="2"/>
        <v>11.66352035600457</v>
      </c>
      <c r="O90" s="33">
        <f t="shared" si="2"/>
        <v>-1.7661434842744599E-3</v>
      </c>
      <c r="P90" s="54">
        <f t="shared" si="2"/>
        <v>0.36433435564375483</v>
      </c>
      <c r="Q90" s="33">
        <f t="shared" si="2"/>
        <v>4.9660232124601595</v>
      </c>
      <c r="R90" s="54">
        <f t="shared" si="2"/>
        <v>0</v>
      </c>
      <c r="S90" s="34">
        <f t="shared" si="2"/>
        <v>0</v>
      </c>
      <c r="T90" s="190">
        <v>3</v>
      </c>
    </row>
    <row r="91" spans="1:20" ht="21.75" thickTop="1" x14ac:dyDescent="0.35">
      <c r="A91" s="31" t="s">
        <v>29</v>
      </c>
      <c r="B91" s="46">
        <v>1200</v>
      </c>
      <c r="C91" s="50">
        <v>1996</v>
      </c>
      <c r="D91" s="32"/>
      <c r="E91" s="58"/>
      <c r="F91" s="32"/>
      <c r="G91" s="62"/>
      <c r="H91" s="32"/>
      <c r="I91" s="62"/>
      <c r="J91" s="32"/>
      <c r="K91" s="62"/>
      <c r="L91" s="54">
        <v>-82.368152023573259</v>
      </c>
      <c r="M91" s="33">
        <f t="shared" si="2"/>
        <v>32.581442059053458</v>
      </c>
      <c r="N91" s="54">
        <f t="shared" si="2"/>
        <v>11.495099645198145</v>
      </c>
      <c r="O91" s="33">
        <f t="shared" si="2"/>
        <v>-1.0713813217872392E-3</v>
      </c>
      <c r="P91" s="54">
        <f t="shared" si="2"/>
        <v>0.32290095616092368</v>
      </c>
      <c r="Q91" s="33">
        <f t="shared" si="2"/>
        <v>4.5170966384027889</v>
      </c>
      <c r="R91" s="54">
        <f t="shared" si="2"/>
        <v>2.2269529135847015</v>
      </c>
      <c r="S91" s="34">
        <f t="shared" si="2"/>
        <v>0</v>
      </c>
      <c r="T91" s="190">
        <v>3</v>
      </c>
    </row>
    <row r="92" spans="1:20" ht="21.75" thickTop="1" x14ac:dyDescent="0.35">
      <c r="A92" s="31" t="s">
        <v>29</v>
      </c>
      <c r="B92" s="46">
        <v>1996</v>
      </c>
      <c r="C92" s="50">
        <v>2327</v>
      </c>
      <c r="D92" s="32"/>
      <c r="E92" s="58"/>
      <c r="F92" s="32"/>
      <c r="G92" s="62"/>
      <c r="H92" s="32"/>
      <c r="I92" s="62"/>
      <c r="J92" s="32"/>
      <c r="K92" s="62"/>
      <c r="L92" s="54">
        <v>-82.368152023573259</v>
      </c>
      <c r="M92" s="33">
        <f t="shared" ref="M92:S92" si="3">M83*0.4+0.6*M86</f>
        <v>32.696518130976003</v>
      </c>
      <c r="N92" s="54">
        <f t="shared" si="3"/>
        <v>11.77976378615671</v>
      </c>
      <c r="O92" s="33">
        <f t="shared" si="3"/>
        <v>0</v>
      </c>
      <c r="P92" s="54">
        <f t="shared" si="3"/>
        <v>0.3456034638282518</v>
      </c>
      <c r="Q92" s="33">
        <f t="shared" si="3"/>
        <v>5.9784953996031014</v>
      </c>
      <c r="R92" s="54">
        <f t="shared" si="3"/>
        <v>0</v>
      </c>
      <c r="S92" s="34">
        <f t="shared" si="3"/>
        <v>0</v>
      </c>
      <c r="T92" s="190">
        <v>3</v>
      </c>
    </row>
    <row r="93" spans="1:20" ht="21.75" thickBot="1" x14ac:dyDescent="0.4">
      <c r="A93" s="35" t="s">
        <v>29</v>
      </c>
      <c r="B93" s="47">
        <v>2327</v>
      </c>
      <c r="C93" s="51">
        <v>4700</v>
      </c>
      <c r="D93" s="36"/>
      <c r="E93" s="59"/>
      <c r="F93" s="36"/>
      <c r="G93" s="63"/>
      <c r="H93" s="36"/>
      <c r="I93" s="63"/>
      <c r="J93" s="36"/>
      <c r="K93" s="63"/>
      <c r="L93" s="55">
        <v>-82.368152023573259</v>
      </c>
      <c r="M93" s="37">
        <f t="shared" ref="M93:S93" si="4">M83*0.4+0.6*M87</f>
        <v>40.76211437849539</v>
      </c>
      <c r="N93" s="55">
        <f t="shared" si="4"/>
        <v>15.772460159961511</v>
      </c>
      <c r="O93" s="37">
        <f t="shared" si="4"/>
        <v>0</v>
      </c>
      <c r="P93" s="55">
        <f t="shared" si="4"/>
        <v>0.14709002345300376</v>
      </c>
      <c r="Q93" s="37">
        <f t="shared" si="4"/>
        <v>0</v>
      </c>
      <c r="R93" s="55">
        <f t="shared" si="4"/>
        <v>0</v>
      </c>
      <c r="S93" s="38">
        <f t="shared" si="4"/>
        <v>0</v>
      </c>
      <c r="T93" s="190">
        <v>3</v>
      </c>
    </row>
  </sheetData>
  <autoFilter ref="A29:C29" xr:uid="{00000000-0009-0000-0000-000000000000}"/>
  <dataConsolidate link="1">
    <dataRefs count="2">
      <dataRef ref="B8:B97" sheet="Из TERRA"/>
      <dataRef ref="C8:C97" sheet="Из 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mergeCells count="1">
    <mergeCell ref="A28:T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rgb="FF0070C0"/>
  </sheetPr>
  <dimension ref="A1:AC52"/>
  <sheetViews>
    <sheetView zoomScale="70" zoomScaleNormal="70" workbookViewId="0">
      <pane xSplit="3" ySplit="1" topLeftCell="D26" activePane="bottomRight" state="frozen"/>
      <selection pane="topRight" activeCell="D1" sqref="D1"/>
      <selection pane="bottomLeft" activeCell="A2" sqref="A2"/>
      <selection pane="bottomRight" activeCell="J46" sqref="J46"/>
    </sheetView>
  </sheetViews>
  <sheetFormatPr defaultRowHeight="21" outlineLevelCol="1" x14ac:dyDescent="0.35"/>
  <cols>
    <col min="1" max="1" width="6.36328125" style="74" customWidth="1"/>
    <col min="2" max="2" width="3.7265625" style="74" customWidth="1"/>
    <col min="3" max="4" width="6.90625" style="74" customWidth="1"/>
    <col min="5" max="5" width="8.6328125" style="74" customWidth="1"/>
    <col min="6" max="6" width="9.6328125" style="74" customWidth="1"/>
    <col min="7" max="11" width="7.6328125" style="74" customWidth="1"/>
    <col min="12" max="20" width="9.6328125" style="74" hidden="1" customWidth="1" outlineLevel="1"/>
    <col min="21" max="21" width="11.08984375" style="74" bestFit="1" customWidth="1" collapsed="1"/>
    <col min="22" max="23" width="9.90625" style="74" customWidth="1"/>
    <col min="24" max="24" width="12.1796875" style="74" bestFit="1" customWidth="1"/>
    <col min="25" max="25" width="10.26953125" style="74" bestFit="1" customWidth="1"/>
    <col min="26" max="26" width="10.6328125" style="74" bestFit="1" customWidth="1"/>
    <col min="27" max="28" width="9.90625" style="74" customWidth="1"/>
    <col min="29" max="29" width="3" style="191" customWidth="1"/>
    <col min="30" max="16384" width="8.7265625" style="74"/>
  </cols>
  <sheetData>
    <row r="1" spans="1:29" ht="28.5" customHeight="1" thickTop="1" thickBot="1" x14ac:dyDescent="0.4">
      <c r="A1" s="390">
        <v>8.3145000000000007</v>
      </c>
      <c r="B1" s="390" t="s">
        <v>116</v>
      </c>
      <c r="C1" s="390" t="s">
        <v>58</v>
      </c>
      <c r="D1" s="390" t="s">
        <v>59</v>
      </c>
      <c r="E1" s="390" t="s">
        <v>64</v>
      </c>
      <c r="F1" s="390" t="s">
        <v>54</v>
      </c>
      <c r="G1" s="390" t="s">
        <v>40</v>
      </c>
      <c r="H1" s="390" t="s">
        <v>71</v>
      </c>
      <c r="I1" s="390" t="s">
        <v>72</v>
      </c>
      <c r="J1" s="390" t="s">
        <v>74</v>
      </c>
      <c r="K1" s="390" t="s">
        <v>73</v>
      </c>
      <c r="L1" s="390" t="s">
        <v>67</v>
      </c>
      <c r="M1" s="390" t="s">
        <v>50</v>
      </c>
      <c r="N1" s="390" t="s">
        <v>57</v>
      </c>
      <c r="O1" s="390" t="s">
        <v>53</v>
      </c>
      <c r="P1" s="390" t="s">
        <v>66</v>
      </c>
      <c r="Q1" s="390" t="s">
        <v>51</v>
      </c>
      <c r="R1" s="390" t="s">
        <v>54</v>
      </c>
      <c r="S1" s="390" t="s">
        <v>52</v>
      </c>
      <c r="T1" s="390" t="s">
        <v>56</v>
      </c>
      <c r="U1" s="390" t="s">
        <v>41</v>
      </c>
      <c r="V1" s="390" t="s">
        <v>42</v>
      </c>
      <c r="W1" s="390" t="s">
        <v>43</v>
      </c>
      <c r="X1" s="390" t="s">
        <v>44</v>
      </c>
      <c r="Y1" s="390" t="s">
        <v>45</v>
      </c>
      <c r="Z1" s="390" t="s">
        <v>46</v>
      </c>
      <c r="AA1" s="390" t="s">
        <v>47</v>
      </c>
      <c r="AB1" s="390" t="s">
        <v>48</v>
      </c>
      <c r="AC1" s="391" t="s">
        <v>127</v>
      </c>
    </row>
    <row r="2" spans="1:29" ht="28.5" customHeight="1" thickTop="1" thickBot="1" x14ac:dyDescent="0.4">
      <c r="A2" s="326"/>
      <c r="B2" s="327"/>
      <c r="C2" s="328"/>
      <c r="D2" s="328"/>
      <c r="E2" s="328"/>
      <c r="F2" s="324" t="s">
        <v>138</v>
      </c>
      <c r="G2" s="324"/>
      <c r="H2" s="324"/>
      <c r="I2" s="324"/>
      <c r="J2" s="324"/>
      <c r="K2" s="324"/>
      <c r="L2" s="325"/>
      <c r="M2" s="325"/>
      <c r="N2" s="325"/>
      <c r="O2" s="325"/>
      <c r="P2" s="325"/>
      <c r="Q2" s="325"/>
      <c r="R2" s="325"/>
      <c r="S2" s="325"/>
      <c r="T2" s="325"/>
      <c r="U2" s="329"/>
      <c r="V2" s="329"/>
      <c r="W2" s="329"/>
      <c r="X2" s="329"/>
      <c r="Y2" s="329"/>
      <c r="Z2" s="329"/>
      <c r="AA2" s="329"/>
      <c r="AB2" s="330"/>
      <c r="AC2" s="331"/>
    </row>
    <row r="3" spans="1:29" ht="21.75" thickTop="1" x14ac:dyDescent="0.35">
      <c r="A3" s="115" t="s">
        <v>70</v>
      </c>
      <c r="B3" s="75" t="s">
        <v>65</v>
      </c>
      <c r="C3" s="76">
        <v>298.14999999999998</v>
      </c>
      <c r="D3" s="86">
        <f>IF(B3="end","N/D",C4)</f>
        <v>2000</v>
      </c>
      <c r="E3" s="77">
        <v>235.4</v>
      </c>
      <c r="F3" s="78">
        <v>176.7</v>
      </c>
      <c r="G3" s="79">
        <v>21.46</v>
      </c>
      <c r="H3" s="79">
        <v>1.51</v>
      </c>
      <c r="I3" s="79">
        <v>-0.09</v>
      </c>
      <c r="J3" s="79"/>
      <c r="K3" s="79"/>
      <c r="L3" s="91" t="str">
        <f>IF(OR( B3="end",B4="end"),"N/D",(O4-Q3)/1000)</f>
        <v>N/D</v>
      </c>
      <c r="M3" s="91" t="str">
        <f>IF(OR( B3="end",B4="end"),"N/D",L3*1000/C4)</f>
        <v>N/D</v>
      </c>
      <c r="N3" s="171">
        <f>C3/10000</f>
        <v>2.9814999999999998E-2</v>
      </c>
      <c r="O3" s="92">
        <f>IF(B3="end","N/D",E3*1000)</f>
        <v>235400</v>
      </c>
      <c r="P3" s="157">
        <f>IF(B3="end","N/D",10000*$A$1*(N4*W3-X3*2/N4+Z3*N4^2+AA3*2*N4^3+AB3*3*N4^4-Y3))</f>
        <v>39217.724986891255</v>
      </c>
      <c r="Q3" s="93">
        <f>IF(B3="end","N/D",$O$3+P3)</f>
        <v>274617.72498689126</v>
      </c>
      <c r="R3" s="94">
        <f>IF(B3="end","N/D",F3)</f>
        <v>176.7</v>
      </c>
      <c r="S3" s="95">
        <f>IF(B3="end","N/D",$A$1*(V3+W3+W3*LN(N4)-X3/N4^2+Z3*2*N4+AA3*3*N4^2+AB3*4*N4^3))</f>
        <v>219.61976058467505</v>
      </c>
      <c r="T3" s="96">
        <f>IF(B3="end","N/D",$A$1*(W3+X3*2/(N4^2)+Z3*2*N4+AA3*6+AB3*12*N4^3))</f>
        <v>24.4575</v>
      </c>
      <c r="U3" s="97">
        <f>IF(B3="end","N/D",$O$3/$A$1/10000)</f>
        <v>2.8311985086295026</v>
      </c>
      <c r="V3" s="96">
        <f>IF(B3="end","N/D",R3/$A$1 - W3 - W3*LN(N3) + X3/(N3^2) - Z3*2*N3 - AA3*3*N3^2 - AB3*4*N3^3)</f>
        <v>27.622472570270105</v>
      </c>
      <c r="W3" s="97">
        <f>IF(B3="end","N/D",G3/$A$1)</f>
        <v>2.5810331348848394</v>
      </c>
      <c r="X3" s="96">
        <f>IF(B3="end","N/D",I3/(2*100*$A$1))</f>
        <v>-5.4122316435143416E-5</v>
      </c>
      <c r="Y3" s="97">
        <f>IF(B3="end","N/D",W3*N3 - X3*2/N3 + Z3*N3^2 + AA3*2*N3^3 + AB3*3*N3^4 + ($O$3-O3)/10000/$A$1)</f>
        <v>8.1391244369580201E-2</v>
      </c>
      <c r="Z3" s="96">
        <f>IF(B3="end","N/D",H3*10/2/$A$1)</f>
        <v>0.90805219796740622</v>
      </c>
      <c r="AA3" s="97">
        <f>IF(B3="end","N/D",J3*100/6/$A$1)</f>
        <v>0</v>
      </c>
      <c r="AB3" s="98">
        <f>IF(B3="end","N/D",K3*10^12/12/$A$1)</f>
        <v>0</v>
      </c>
      <c r="AC3" s="197">
        <v>2</v>
      </c>
    </row>
    <row r="4" spans="1:29" x14ac:dyDescent="0.35">
      <c r="A4" s="116" t="str">
        <f>A3</f>
        <v>Se</v>
      </c>
      <c r="B4" s="114" t="s">
        <v>62</v>
      </c>
      <c r="C4" s="80">
        <v>2000</v>
      </c>
      <c r="D4" s="87" t="str">
        <f>IF(B4="end","N/D",C5)</f>
        <v>N/D</v>
      </c>
      <c r="E4" s="81">
        <v>11.3</v>
      </c>
      <c r="F4" s="89" t="str">
        <f>IF(B4="end", "N/D",S3+M3)</f>
        <v>N/D</v>
      </c>
      <c r="G4" s="82">
        <v>21.43</v>
      </c>
      <c r="H4" s="82"/>
      <c r="I4" s="82"/>
      <c r="J4" s="82"/>
      <c r="K4" s="82"/>
      <c r="L4" s="89" t="str">
        <f>IF(OR( B4="end",B5="end"),"N/D",(O5-Q4)/1000)</f>
        <v>N/D</v>
      </c>
      <c r="M4" s="89" t="str">
        <f>IF(OR( B4="end",B5="end"),"N/D",L4*1000/C5)</f>
        <v>N/D</v>
      </c>
      <c r="N4" s="172">
        <f>C4/10000</f>
        <v>0.2</v>
      </c>
      <c r="O4" s="99" t="str">
        <f>IF(B4="end","N/D",E4*1000)</f>
        <v>N/D</v>
      </c>
      <c r="P4" s="158" t="str">
        <f>IF(B4="end","N/D",10000*$A$1*(N5*W4-X4*2/N5+Z4*N5^2+AA4*2*N5^3+AB4*3*N5^4-Y4))</f>
        <v>N/D</v>
      </c>
      <c r="Q4" s="100" t="str">
        <f>IF(B4="end","N/D",$O$3+P4)</f>
        <v>N/D</v>
      </c>
      <c r="R4" s="101" t="str">
        <f>IF(B4="end","N/D",F4)</f>
        <v>N/D</v>
      </c>
      <c r="S4" s="102" t="str">
        <f>IF(B4="end","N/D",$A$1*(V4+W4+W4*LN(N5)-X4/N5^2+Z4*2*N5+AA4*3*N5^2+AB4*4*N5^3))</f>
        <v>N/D</v>
      </c>
      <c r="T4" s="103" t="str">
        <f>IF(B4="end","N/D",$A$1*(W4+X4*2/(N5^2)+Z4*2*N5+AA4*6+AB4*12*N5^3))</f>
        <v>N/D</v>
      </c>
      <c r="U4" s="104" t="str">
        <f>IF(B4="end","N/D",$O$3/$A$1/10000)</f>
        <v>N/D</v>
      </c>
      <c r="V4" s="103" t="str">
        <f>IF(B4="end","N/D",R4/$A$1 - W4 - W4*LN(N4) + X4/(N4^2) - Z4*2*N4 - AA4*3*N4^2 - AB4*4*N4^3)</f>
        <v>N/D</v>
      </c>
      <c r="W4" s="104" t="str">
        <f>IF(B4="end","N/D",G4/$A$1)</f>
        <v>N/D</v>
      </c>
      <c r="X4" s="103" t="str">
        <f>IF(B4="end","N/D",I4/(2*100*$A$1))</f>
        <v>N/D</v>
      </c>
      <c r="Y4" s="104" t="str">
        <f>IF(B4="end","N/D",W4*N4 - X4*2/N4 + Z4*N4^2 + AA4*2*N4^3 + AB4*3*N4^4 + ($O$3-O4)/10000/$A$1)</f>
        <v>N/D</v>
      </c>
      <c r="Z4" s="103" t="str">
        <f>IF(B4="end","N/D",H4*10/2/$A$1)</f>
        <v>N/D</v>
      </c>
      <c r="AA4" s="104" t="str">
        <f>IF(B4="end","N/D",J4*100/6/$A$1)</f>
        <v>N/D</v>
      </c>
      <c r="AB4" s="105" t="str">
        <f>IF(B4="end","N/D",K4*10^12/12/$A$1)</f>
        <v>N/D</v>
      </c>
      <c r="AC4" s="197">
        <v>2</v>
      </c>
    </row>
    <row r="5" spans="1:29" ht="21.75" customHeight="1" thickBot="1" x14ac:dyDescent="0.4">
      <c r="A5" s="117" t="str">
        <f>A4</f>
        <v>Se</v>
      </c>
      <c r="B5" s="83" t="s">
        <v>62</v>
      </c>
      <c r="C5" s="84">
        <v>957</v>
      </c>
      <c r="D5" s="88" t="str">
        <f>IF(B5="end","N/D",C24)</f>
        <v>N/D</v>
      </c>
      <c r="E5" s="85"/>
      <c r="F5" s="90" t="str">
        <f>IF(B5="end", "N/D",S4+M4)</f>
        <v>N/D</v>
      </c>
      <c r="G5" s="85"/>
      <c r="H5" s="85"/>
      <c r="I5" s="85"/>
      <c r="J5" s="85"/>
      <c r="K5" s="85"/>
      <c r="L5" s="90" t="str">
        <f>IF(OR( B5="end",B24="end"),"N/D",(O24-Q5)/1000)</f>
        <v>N/D</v>
      </c>
      <c r="M5" s="90" t="str">
        <f>IF(OR( B5="end",B24="end"),"N/D",L5*1000/C24)</f>
        <v>N/D</v>
      </c>
      <c r="N5" s="173">
        <f>C5/10000</f>
        <v>9.5699999999999993E-2</v>
      </c>
      <c r="O5" s="106" t="str">
        <f>IF(B5="end","N/D",E5*1000)</f>
        <v>N/D</v>
      </c>
      <c r="P5" s="159" t="str">
        <f>IF(B5="end","N/D",10000*$A$1*(N24*W5-X5*2/N24+Z5*N24^2+AA5*2*N24^3+AB5*3*N24^4-Y5))</f>
        <v>N/D</v>
      </c>
      <c r="Q5" s="107" t="str">
        <f>IF(B5="end","N/D",$O$3+P5)</f>
        <v>N/D</v>
      </c>
      <c r="R5" s="108" t="str">
        <f>IF(B5="end","N/D",F5)</f>
        <v>N/D</v>
      </c>
      <c r="S5" s="109" t="str">
        <f>IF(B5="end","N/D",$A$1*(V5+W5+W5*LN(N24)-X5/N24^2+Z5*2*N24+AA5*3*N24^2+AB5*4*N24^3))</f>
        <v>N/D</v>
      </c>
      <c r="T5" s="110" t="str">
        <f>IF(B5="end","N/D",$A$1*(W5+X5*2/(N24^2)+Z5*2*N24+AA5*6+AB5*12*N24^3))</f>
        <v>N/D</v>
      </c>
      <c r="U5" s="111" t="str">
        <f>IF(B5="end","N/D",$O$3/$A$1/10000)</f>
        <v>N/D</v>
      </c>
      <c r="V5" s="110" t="str">
        <f>IF(B5="end","N/D",R5/$A$1 - W5 - W5*LN(N5) + X5/(N5^2) - Z5*2*N5 - AA5*3*N5^2 - AB5*4*N5^3)</f>
        <v>N/D</v>
      </c>
      <c r="W5" s="111" t="str">
        <f>IF(B5="end","N/D",G5/$A$1)</f>
        <v>N/D</v>
      </c>
      <c r="X5" s="110" t="str">
        <f>IF(B5="end","N/D",I5/(2*100*$A$1))</f>
        <v>N/D</v>
      </c>
      <c r="Y5" s="111" t="str">
        <f>IF(B5="end","N/D",W5*N5 - X5*2/N5 + Z5*N5^2 + AA5*2*N5^3 + AB5*3*N5^4 + ($O$3-O5)/10000/$A$1)</f>
        <v>N/D</v>
      </c>
      <c r="Z5" s="112" t="str">
        <f>IF(B5="end","N/D",H5*10/2/$A$1)</f>
        <v>N/D</v>
      </c>
      <c r="AA5" s="111" t="str">
        <f>IF(B5="end","N/D",J5*100/6/$A$1)</f>
        <v>N/D</v>
      </c>
      <c r="AB5" s="113" t="str">
        <f>IF(B5="end","N/D",K5*10^12/12/$A$1)</f>
        <v>N/D</v>
      </c>
      <c r="AC5" s="197">
        <v>2</v>
      </c>
    </row>
    <row r="6" spans="1:29" ht="21.75" customHeight="1" thickTop="1" x14ac:dyDescent="0.35">
      <c r="A6" s="176"/>
      <c r="B6" s="192"/>
      <c r="C6" s="193"/>
      <c r="D6" s="139"/>
      <c r="E6" s="139"/>
      <c r="F6" s="139"/>
      <c r="G6" s="195"/>
      <c r="H6" s="195"/>
      <c r="I6" s="195"/>
      <c r="J6" s="195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97"/>
    </row>
    <row r="7" spans="1:29" s="139" customFormat="1" ht="21.75" customHeight="1" x14ac:dyDescent="0.35"/>
    <row r="8" spans="1:29" s="139" customFormat="1" ht="21.75" customHeight="1" x14ac:dyDescent="0.35"/>
    <row r="9" spans="1:29" s="139" customFormat="1" ht="21.75" customHeight="1" x14ac:dyDescent="0.35"/>
    <row r="10" spans="1:29" s="139" customFormat="1" ht="21.75" customHeight="1" x14ac:dyDescent="0.35"/>
    <row r="11" spans="1:29" s="139" customFormat="1" ht="21.75" customHeight="1" x14ac:dyDescent="0.35"/>
    <row r="12" spans="1:29" s="139" customFormat="1" ht="21.75" customHeight="1" x14ac:dyDescent="0.35"/>
    <row r="13" spans="1:29" s="139" customFormat="1" ht="21.75" customHeight="1" x14ac:dyDescent="0.35"/>
    <row r="14" spans="1:29" s="139" customFormat="1" ht="21.75" customHeight="1" x14ac:dyDescent="0.35"/>
    <row r="15" spans="1:29" s="139" customFormat="1" ht="21.75" customHeight="1" x14ac:dyDescent="0.35"/>
    <row r="16" spans="1:29" s="139" customFormat="1" ht="21.75" customHeight="1" x14ac:dyDescent="0.35"/>
    <row r="17" spans="1:29" s="139" customFormat="1" ht="21.75" customHeight="1" x14ac:dyDescent="0.35"/>
    <row r="18" spans="1:29" s="139" customFormat="1" ht="21.75" customHeight="1" x14ac:dyDescent="0.35"/>
    <row r="19" spans="1:29" s="139" customFormat="1" ht="21.75" customHeight="1" x14ac:dyDescent="0.35"/>
    <row r="20" spans="1:29" s="139" customFormat="1" ht="21.75" customHeight="1" x14ac:dyDescent="0.35"/>
    <row r="21" spans="1:29" s="139" customFormat="1" ht="21.75" customHeight="1" x14ac:dyDescent="0.35"/>
    <row r="22" spans="1:29" s="139" customFormat="1" ht="21.75" customHeight="1" x14ac:dyDescent="0.35"/>
    <row r="23" spans="1:29" s="139" customFormat="1" ht="21.75" customHeight="1" x14ac:dyDescent="0.35"/>
    <row r="24" spans="1:29" s="139" customFormat="1" x14ac:dyDescent="0.35"/>
    <row r="25" spans="1:29" s="139" customFormat="1" ht="21.75" thickBot="1" x14ac:dyDescent="0.4"/>
    <row r="26" spans="1:29" ht="27" thickBot="1" x14ac:dyDescent="0.45">
      <c r="A26" s="521" t="s">
        <v>129</v>
      </c>
      <c r="B26" s="522"/>
      <c r="C26" s="522"/>
      <c r="D26" s="522"/>
      <c r="E26" s="522"/>
      <c r="F26" s="522"/>
      <c r="G26" s="522"/>
      <c r="H26" s="522"/>
      <c r="I26" s="522"/>
      <c r="J26" s="522"/>
      <c r="K26" s="522"/>
      <c r="L26" s="522"/>
      <c r="M26" s="522"/>
      <c r="N26" s="522"/>
      <c r="O26" s="522"/>
      <c r="P26" s="522"/>
      <c r="Q26" s="522"/>
      <c r="R26" s="522"/>
      <c r="S26" s="522"/>
      <c r="T26" s="522"/>
      <c r="U26" s="522"/>
      <c r="V26" s="522"/>
      <c r="W26" s="522"/>
      <c r="X26" s="522"/>
      <c r="Y26" s="522"/>
      <c r="Z26" s="522"/>
      <c r="AA26" s="522"/>
      <c r="AB26" s="522"/>
      <c r="AC26" s="523"/>
    </row>
    <row r="27" spans="1:29" ht="27" customHeight="1" thickTop="1" thickBot="1" x14ac:dyDescent="0.4">
      <c r="A27" s="390" t="s">
        <v>39</v>
      </c>
      <c r="B27" s="390" t="s">
        <v>116</v>
      </c>
      <c r="C27" s="390" t="s">
        <v>58</v>
      </c>
      <c r="D27" s="390" t="s">
        <v>59</v>
      </c>
      <c r="E27" s="390" t="s">
        <v>55</v>
      </c>
      <c r="F27" s="390" t="s">
        <v>54</v>
      </c>
      <c r="G27" s="390" t="s">
        <v>40</v>
      </c>
      <c r="H27" s="390" t="s">
        <v>71</v>
      </c>
      <c r="I27" s="390" t="s">
        <v>72</v>
      </c>
      <c r="J27" s="390" t="s">
        <v>74</v>
      </c>
      <c r="K27" s="390" t="s">
        <v>73</v>
      </c>
      <c r="L27" s="390" t="s">
        <v>49</v>
      </c>
      <c r="M27" s="390" t="s">
        <v>50</v>
      </c>
      <c r="N27" s="390" t="s">
        <v>57</v>
      </c>
      <c r="O27" s="390" t="s">
        <v>53</v>
      </c>
      <c r="P27" s="390" t="s">
        <v>66</v>
      </c>
      <c r="Q27" s="390" t="s">
        <v>51</v>
      </c>
      <c r="R27" s="390" t="s">
        <v>54</v>
      </c>
      <c r="S27" s="390" t="s">
        <v>52</v>
      </c>
      <c r="T27" s="390" t="s">
        <v>56</v>
      </c>
      <c r="U27" s="389" t="s">
        <v>41</v>
      </c>
      <c r="V27" s="389" t="s">
        <v>42</v>
      </c>
      <c r="W27" s="389" t="s">
        <v>43</v>
      </c>
      <c r="X27" s="389" t="s">
        <v>44</v>
      </c>
      <c r="Y27" s="389" t="s">
        <v>45</v>
      </c>
      <c r="Z27" s="389" t="s">
        <v>46</v>
      </c>
      <c r="AA27" s="389" t="s">
        <v>47</v>
      </c>
      <c r="AB27" s="389" t="s">
        <v>48</v>
      </c>
      <c r="AC27" s="391" t="s">
        <v>127</v>
      </c>
    </row>
    <row r="28" spans="1:29" s="184" customFormat="1" ht="21.75" thickTop="1" x14ac:dyDescent="0.35">
      <c r="A28" s="383" t="s">
        <v>75</v>
      </c>
      <c r="B28" s="285" t="s">
        <v>65</v>
      </c>
      <c r="C28" s="286">
        <v>298.14999999999998</v>
      </c>
      <c r="D28" s="287">
        <v>3000</v>
      </c>
      <c r="E28" s="288">
        <v>-408.8</v>
      </c>
      <c r="F28" s="307">
        <v>179.9</v>
      </c>
      <c r="G28" s="308">
        <v>105.73</v>
      </c>
      <c r="H28" s="308">
        <v>35.31</v>
      </c>
      <c r="I28" s="308"/>
      <c r="J28" s="308"/>
      <c r="K28" s="308"/>
      <c r="L28" s="289" t="s">
        <v>63</v>
      </c>
      <c r="M28" s="289" t="s">
        <v>63</v>
      </c>
      <c r="N28" s="285">
        <v>2.9814999999999998E-2</v>
      </c>
      <c r="O28" s="290">
        <v>-408800</v>
      </c>
      <c r="P28" s="386">
        <v>130865.75614576251</v>
      </c>
      <c r="Q28" s="291">
        <v>-277934.24385423749</v>
      </c>
      <c r="R28" s="292">
        <v>179.9</v>
      </c>
      <c r="S28" s="293">
        <v>368.38375212481719</v>
      </c>
      <c r="T28" s="294">
        <v>150.85617999999999</v>
      </c>
      <c r="U28" s="397">
        <v>-4.916711768597029</v>
      </c>
      <c r="V28" s="396">
        <v>52.323616608565672</v>
      </c>
      <c r="W28" s="397">
        <v>12.716338925972698</v>
      </c>
      <c r="X28" s="396">
        <v>0</v>
      </c>
      <c r="Y28" s="397">
        <v>0.39801326446854884</v>
      </c>
      <c r="Z28" s="396">
        <v>21.233988814721268</v>
      </c>
      <c r="AA28" s="397">
        <v>0</v>
      </c>
      <c r="AB28" s="396">
        <v>0</v>
      </c>
      <c r="AC28" s="398">
        <v>2</v>
      </c>
    </row>
    <row r="29" spans="1:29" s="184" customFormat="1" ht="21.75" thickBot="1" x14ac:dyDescent="0.4">
      <c r="A29" s="388" t="s">
        <v>75</v>
      </c>
      <c r="B29" s="176" t="s">
        <v>69</v>
      </c>
      <c r="C29" s="279">
        <v>298.14999999999998</v>
      </c>
      <c r="D29" s="194">
        <v>303</v>
      </c>
      <c r="E29" s="280">
        <v>235.4</v>
      </c>
      <c r="F29" s="281">
        <v>176.7</v>
      </c>
      <c r="G29" s="282">
        <v>21.46</v>
      </c>
      <c r="H29" s="282">
        <v>15.1</v>
      </c>
      <c r="I29" s="282">
        <v>-0.09</v>
      </c>
      <c r="J29" s="282"/>
      <c r="K29" s="282"/>
      <c r="L29" s="196" t="s">
        <v>63</v>
      </c>
      <c r="M29" s="196" t="s">
        <v>63</v>
      </c>
      <c r="N29" s="176">
        <v>2.9814999999999998E-2</v>
      </c>
      <c r="O29" s="177">
        <v>235400</v>
      </c>
      <c r="P29" s="179">
        <v>65793.694181003768</v>
      </c>
      <c r="Q29" s="179">
        <v>301193.69418100378</v>
      </c>
      <c r="R29" s="180">
        <v>176.7</v>
      </c>
      <c r="S29" s="181">
        <v>242.74790208467505</v>
      </c>
      <c r="T29" s="182">
        <v>51.637500000000003</v>
      </c>
      <c r="U29" s="397">
        <v>2.8311985086295026</v>
      </c>
      <c r="V29" s="396">
        <v>27.135148197186936</v>
      </c>
      <c r="W29" s="397">
        <v>2.5810331348848394</v>
      </c>
      <c r="X29" s="396">
        <v>-5.4122316435143416E-5</v>
      </c>
      <c r="Y29" s="397">
        <v>8.8656032461317522E-2</v>
      </c>
      <c r="Z29" s="396">
        <v>9.0805219796740619</v>
      </c>
      <c r="AA29" s="397">
        <v>0</v>
      </c>
      <c r="AB29" s="396">
        <v>0</v>
      </c>
      <c r="AC29" s="399">
        <v>2</v>
      </c>
    </row>
    <row r="30" spans="1:29" s="184" customFormat="1" ht="21.75" thickTop="1" x14ac:dyDescent="0.35">
      <c r="A30" s="387" t="s">
        <v>75</v>
      </c>
      <c r="B30" s="285" t="s">
        <v>61</v>
      </c>
      <c r="C30" s="286">
        <v>303</v>
      </c>
      <c r="D30" s="287">
        <v>700</v>
      </c>
      <c r="E30" s="288">
        <v>5.7</v>
      </c>
      <c r="F30" s="289">
        <v>59.615273807259754</v>
      </c>
      <c r="G30" s="384">
        <v>24.38</v>
      </c>
      <c r="H30" s="384">
        <v>2.29</v>
      </c>
      <c r="I30" s="384">
        <v>0.31</v>
      </c>
      <c r="J30" s="384"/>
      <c r="K30" s="384"/>
      <c r="L30" s="289" t="s">
        <v>63</v>
      </c>
      <c r="M30" s="289" t="s">
        <v>63</v>
      </c>
      <c r="N30" s="285">
        <v>3.0300000000000001E-2</v>
      </c>
      <c r="O30" s="290">
        <v>5700</v>
      </c>
      <c r="P30" s="386">
        <v>16415.033862373879</v>
      </c>
      <c r="Q30" s="291">
        <v>16415.033862373879</v>
      </c>
      <c r="R30" s="292">
        <v>59.615273807259754</v>
      </c>
      <c r="S30" s="293">
        <v>82.310897687332556</v>
      </c>
      <c r="T30" s="294">
        <v>26.615653061224489</v>
      </c>
      <c r="U30" s="397">
        <v>0</v>
      </c>
      <c r="V30" s="396">
        <v>14.610257251592509</v>
      </c>
      <c r="W30" s="397">
        <v>2.9322268326417702</v>
      </c>
      <c r="X30" s="396">
        <v>1.8642131216549401E-4</v>
      </c>
      <c r="Y30" s="397">
        <v>9.2508147786274225E-3</v>
      </c>
      <c r="Z30" s="396">
        <v>1.3771122737386492</v>
      </c>
      <c r="AA30" s="397">
        <v>0</v>
      </c>
      <c r="AB30" s="396">
        <v>0</v>
      </c>
      <c r="AC30" s="398">
        <v>2</v>
      </c>
    </row>
    <row r="31" spans="1:29" s="184" customFormat="1" ht="21.75" thickBot="1" x14ac:dyDescent="0.4">
      <c r="A31" s="295" t="s">
        <v>75</v>
      </c>
      <c r="B31" s="296" t="s">
        <v>62</v>
      </c>
      <c r="C31" s="297">
        <v>700</v>
      </c>
      <c r="D31" s="298" t="s">
        <v>63</v>
      </c>
      <c r="E31" s="299">
        <v>11.3</v>
      </c>
      <c r="F31" s="300">
        <v>68.113763836199752</v>
      </c>
      <c r="G31" s="385">
        <v>35.15</v>
      </c>
      <c r="H31" s="385"/>
      <c r="I31" s="385"/>
      <c r="J31" s="385"/>
      <c r="K31" s="385"/>
      <c r="L31" s="300" t="s">
        <v>63</v>
      </c>
      <c r="M31" s="300" t="s">
        <v>63</v>
      </c>
      <c r="N31" s="296">
        <v>4.9299999999999997E-2</v>
      </c>
      <c r="O31" s="301">
        <v>11300</v>
      </c>
      <c r="P31" s="302">
        <v>27609.599999999995</v>
      </c>
      <c r="Q31" s="302">
        <v>27609.599999999995</v>
      </c>
      <c r="R31" s="303">
        <v>68.113763836199752</v>
      </c>
      <c r="S31" s="304">
        <v>91.428555578170574</v>
      </c>
      <c r="T31" s="305">
        <v>35.15</v>
      </c>
      <c r="U31" s="397">
        <v>0</v>
      </c>
      <c r="V31" s="396">
        <v>16.688836423544654</v>
      </c>
      <c r="W31" s="397">
        <v>4.2275542726562021</v>
      </c>
      <c r="X31" s="396">
        <v>0</v>
      </c>
      <c r="Y31" s="397">
        <v>7.251127548259062E-2</v>
      </c>
      <c r="Z31" s="396">
        <v>0</v>
      </c>
      <c r="AA31" s="397">
        <v>0</v>
      </c>
      <c r="AB31" s="396">
        <v>0</v>
      </c>
      <c r="AC31" s="400">
        <v>2</v>
      </c>
    </row>
    <row r="32" spans="1:29" s="184" customFormat="1" ht="21.75" thickTop="1" x14ac:dyDescent="0.35">
      <c r="A32" s="278" t="s">
        <v>75</v>
      </c>
      <c r="B32" s="176" t="s">
        <v>62</v>
      </c>
      <c r="C32" s="279">
        <v>3000</v>
      </c>
      <c r="D32" s="194">
        <v>700</v>
      </c>
      <c r="E32" s="280"/>
      <c r="F32" s="196" t="s">
        <v>63</v>
      </c>
      <c r="G32" s="280"/>
      <c r="H32" s="280"/>
      <c r="I32" s="280"/>
      <c r="J32" s="280"/>
      <c r="K32" s="280"/>
      <c r="L32" s="196" t="s">
        <v>63</v>
      </c>
      <c r="M32" s="196" t="s">
        <v>63</v>
      </c>
      <c r="N32" s="176">
        <v>9.5699999999999993E-2</v>
      </c>
      <c r="O32" s="177" t="s">
        <v>63</v>
      </c>
      <c r="P32" s="179" t="s">
        <v>63</v>
      </c>
      <c r="Q32" s="179" t="s">
        <v>63</v>
      </c>
      <c r="R32" s="180" t="s">
        <v>63</v>
      </c>
      <c r="S32" s="181" t="s">
        <v>63</v>
      </c>
      <c r="T32" s="182" t="s">
        <v>63</v>
      </c>
      <c r="U32" s="397" t="s">
        <v>63</v>
      </c>
      <c r="V32" s="396" t="s">
        <v>63</v>
      </c>
      <c r="W32" s="397" t="s">
        <v>63</v>
      </c>
      <c r="X32" s="396" t="s">
        <v>63</v>
      </c>
      <c r="Y32" s="397" t="s">
        <v>63</v>
      </c>
      <c r="Z32" s="396" t="s">
        <v>63</v>
      </c>
      <c r="AA32" s="397" t="s">
        <v>63</v>
      </c>
      <c r="AB32" s="396" t="s">
        <v>63</v>
      </c>
      <c r="AC32" s="401">
        <v>2</v>
      </c>
    </row>
    <row r="33" spans="1:29" s="184" customFormat="1" x14ac:dyDescent="0.35">
      <c r="A33" s="306" t="s">
        <v>76</v>
      </c>
      <c r="B33" s="176" t="s">
        <v>65</v>
      </c>
      <c r="C33" s="279">
        <v>298.14999999999998</v>
      </c>
      <c r="D33" s="194">
        <v>2000</v>
      </c>
      <c r="E33" s="280"/>
      <c r="F33" s="196" t="s">
        <v>63</v>
      </c>
      <c r="G33" s="284">
        <v>24.38</v>
      </c>
      <c r="H33" s="284">
        <v>2.29</v>
      </c>
      <c r="I33" s="284">
        <v>0.31</v>
      </c>
      <c r="J33" s="284"/>
      <c r="K33" s="284"/>
      <c r="L33" s="196" t="s">
        <v>63</v>
      </c>
      <c r="M33" s="196" t="s">
        <v>63</v>
      </c>
      <c r="N33" s="176">
        <v>0.2</v>
      </c>
      <c r="O33" s="177" t="s">
        <v>63</v>
      </c>
      <c r="P33" s="178" t="s">
        <v>63</v>
      </c>
      <c r="Q33" s="179" t="s">
        <v>63</v>
      </c>
      <c r="R33" s="180" t="s">
        <v>63</v>
      </c>
      <c r="S33" s="181" t="s">
        <v>63</v>
      </c>
      <c r="T33" s="182" t="s">
        <v>63</v>
      </c>
      <c r="U33" s="397" t="s">
        <v>63</v>
      </c>
      <c r="V33" s="396" t="s">
        <v>63</v>
      </c>
      <c r="W33" s="397" t="s">
        <v>63</v>
      </c>
      <c r="X33" s="396" t="s">
        <v>63</v>
      </c>
      <c r="Y33" s="397" t="s">
        <v>63</v>
      </c>
      <c r="Z33" s="396" t="s">
        <v>63</v>
      </c>
      <c r="AA33" s="397" t="s">
        <v>63</v>
      </c>
      <c r="AB33" s="396" t="s">
        <v>63</v>
      </c>
      <c r="AC33" s="401">
        <v>2</v>
      </c>
    </row>
    <row r="34" spans="1:29" s="184" customFormat="1" x14ac:dyDescent="0.35">
      <c r="A34" s="278" t="s">
        <v>76</v>
      </c>
      <c r="B34" s="176" t="s">
        <v>62</v>
      </c>
      <c r="C34" s="279">
        <v>2000</v>
      </c>
      <c r="D34" s="194">
        <v>700</v>
      </c>
      <c r="E34" s="280">
        <v>0</v>
      </c>
      <c r="F34" s="281">
        <v>42.3</v>
      </c>
      <c r="G34" s="282">
        <v>17.89</v>
      </c>
      <c r="H34" s="282">
        <v>25.1</v>
      </c>
      <c r="I34" s="282"/>
      <c r="J34" s="282"/>
      <c r="K34" s="282"/>
      <c r="L34" s="196">
        <v>5.8794810023750008</v>
      </c>
      <c r="M34" s="196">
        <v>11.925924954107506</v>
      </c>
      <c r="N34" s="176">
        <v>2.9814999999999998E-2</v>
      </c>
      <c r="O34" s="177">
        <v>0</v>
      </c>
      <c r="P34" s="179">
        <v>5420.5189976249994</v>
      </c>
      <c r="Q34" s="179">
        <v>5420.5189976249994</v>
      </c>
      <c r="R34" s="180">
        <v>42.3</v>
      </c>
      <c r="S34" s="181">
        <v>56.187838882092244</v>
      </c>
      <c r="T34" s="182">
        <v>30.264299999999999</v>
      </c>
      <c r="U34" s="397">
        <v>0</v>
      </c>
      <c r="V34" s="396">
        <v>9.5940127503905739</v>
      </c>
      <c r="W34" s="397">
        <v>2.1516627578327019</v>
      </c>
      <c r="X34" s="396">
        <v>0</v>
      </c>
      <c r="Y34" s="397">
        <v>7.7569498495098907E-2</v>
      </c>
      <c r="Z34" s="396">
        <v>15.094112694689999</v>
      </c>
      <c r="AA34" s="397">
        <v>0</v>
      </c>
      <c r="AB34" s="396">
        <v>0</v>
      </c>
      <c r="AC34" s="401">
        <v>2</v>
      </c>
    </row>
    <row r="35" spans="1:29" s="184" customFormat="1" x14ac:dyDescent="0.35">
      <c r="A35" s="306" t="s">
        <v>77</v>
      </c>
      <c r="B35" s="176" t="s">
        <v>69</v>
      </c>
      <c r="C35" s="279">
        <v>298.14999999999998</v>
      </c>
      <c r="D35" s="194">
        <v>1278</v>
      </c>
      <c r="E35" s="280"/>
      <c r="F35" s="196" t="s">
        <v>63</v>
      </c>
      <c r="G35" s="284"/>
      <c r="H35" s="284"/>
      <c r="I35" s="284"/>
      <c r="J35" s="284"/>
      <c r="K35" s="284"/>
      <c r="L35" s="196" t="s">
        <v>63</v>
      </c>
      <c r="M35" s="196" t="s">
        <v>63</v>
      </c>
      <c r="N35" s="176">
        <v>0.2</v>
      </c>
      <c r="O35" s="177" t="s">
        <v>63</v>
      </c>
      <c r="P35" s="179" t="s">
        <v>63</v>
      </c>
      <c r="Q35" s="179" t="s">
        <v>63</v>
      </c>
      <c r="R35" s="180" t="s">
        <v>63</v>
      </c>
      <c r="S35" s="181" t="s">
        <v>63</v>
      </c>
      <c r="T35" s="182" t="s">
        <v>63</v>
      </c>
      <c r="U35" s="397" t="s">
        <v>63</v>
      </c>
      <c r="V35" s="396" t="s">
        <v>63</v>
      </c>
      <c r="W35" s="397" t="s">
        <v>63</v>
      </c>
      <c r="X35" s="396" t="s">
        <v>63</v>
      </c>
      <c r="Y35" s="397" t="s">
        <v>63</v>
      </c>
      <c r="Z35" s="396" t="s">
        <v>63</v>
      </c>
      <c r="AA35" s="397" t="s">
        <v>63</v>
      </c>
      <c r="AB35" s="396" t="s">
        <v>63</v>
      </c>
      <c r="AC35" s="401">
        <v>2</v>
      </c>
    </row>
    <row r="36" spans="1:29" s="184" customFormat="1" x14ac:dyDescent="0.35">
      <c r="A36" s="278" t="s">
        <v>77</v>
      </c>
      <c r="B36" s="176" t="s">
        <v>62</v>
      </c>
      <c r="C36" s="279">
        <v>1278</v>
      </c>
      <c r="D36" s="194" t="s">
        <v>63</v>
      </c>
      <c r="E36" s="280">
        <v>-8.4</v>
      </c>
      <c r="F36" s="196" t="s">
        <v>63</v>
      </c>
      <c r="G36" s="284">
        <v>24.38</v>
      </c>
      <c r="H36" s="284">
        <v>2.29</v>
      </c>
      <c r="I36" s="284">
        <v>0.31</v>
      </c>
      <c r="J36" s="284"/>
      <c r="K36" s="284"/>
      <c r="L36" s="196" t="s">
        <v>63</v>
      </c>
      <c r="M36" s="196" t="s">
        <v>63</v>
      </c>
      <c r="N36" s="176">
        <v>0.1013</v>
      </c>
      <c r="O36" s="177" t="s">
        <v>63</v>
      </c>
      <c r="P36" s="179" t="s">
        <v>63</v>
      </c>
      <c r="Q36" s="179" t="s">
        <v>63</v>
      </c>
      <c r="R36" s="180" t="s">
        <v>63</v>
      </c>
      <c r="S36" s="181" t="s">
        <v>63</v>
      </c>
      <c r="T36" s="182" t="s">
        <v>63</v>
      </c>
      <c r="U36" s="397" t="s">
        <v>63</v>
      </c>
      <c r="V36" s="396" t="s">
        <v>63</v>
      </c>
      <c r="W36" s="397" t="s">
        <v>63</v>
      </c>
      <c r="X36" s="396" t="s">
        <v>63</v>
      </c>
      <c r="Y36" s="397" t="s">
        <v>63</v>
      </c>
      <c r="Z36" s="396" t="s">
        <v>63</v>
      </c>
      <c r="AA36" s="397" t="s">
        <v>63</v>
      </c>
      <c r="AB36" s="396" t="s">
        <v>63</v>
      </c>
      <c r="AC36" s="401">
        <v>2</v>
      </c>
    </row>
    <row r="37" spans="1:29" s="184" customFormat="1" x14ac:dyDescent="0.35">
      <c r="A37" s="185" t="s">
        <v>68</v>
      </c>
      <c r="B37" s="176" t="s">
        <v>65</v>
      </c>
      <c r="C37" s="279">
        <v>298.14999999999998</v>
      </c>
      <c r="D37" s="194">
        <v>2000</v>
      </c>
      <c r="E37" s="280">
        <v>96.2</v>
      </c>
      <c r="F37" s="281">
        <v>315.5</v>
      </c>
      <c r="G37" s="282">
        <v>58.09</v>
      </c>
      <c r="H37" s="282">
        <v>0.05</v>
      </c>
      <c r="I37" s="282">
        <v>-0.28999999999999998</v>
      </c>
      <c r="J37" s="282"/>
      <c r="K37" s="282"/>
      <c r="L37" s="196" t="s">
        <v>63</v>
      </c>
      <c r="M37" s="196" t="s">
        <v>63</v>
      </c>
      <c r="N37" s="176">
        <v>2.9814999999999998E-2</v>
      </c>
      <c r="O37" s="177">
        <v>96200</v>
      </c>
      <c r="P37" s="178">
        <v>98130.579398380156</v>
      </c>
      <c r="Q37" s="179">
        <v>194330.57939838016</v>
      </c>
      <c r="R37" s="180">
        <v>315.5</v>
      </c>
      <c r="S37" s="181">
        <v>424.55320636199417</v>
      </c>
      <c r="T37" s="182">
        <v>58.117500000000007</v>
      </c>
      <c r="U37" s="397">
        <v>1.1570148535690659</v>
      </c>
      <c r="V37" s="396">
        <v>55.303289998832284</v>
      </c>
      <c r="W37" s="397">
        <v>6.9865896927055147</v>
      </c>
      <c r="X37" s="396">
        <v>-1.7439413073546211E-4</v>
      </c>
      <c r="Y37" s="397">
        <v>0.22003031573299481</v>
      </c>
      <c r="Z37" s="396">
        <v>3.0067953575079676E-2</v>
      </c>
      <c r="AA37" s="397">
        <v>0</v>
      </c>
      <c r="AB37" s="396">
        <v>0</v>
      </c>
      <c r="AC37" s="401">
        <v>2</v>
      </c>
    </row>
    <row r="38" spans="1:29" s="184" customFormat="1" x14ac:dyDescent="0.35">
      <c r="A38" s="185" t="s">
        <v>68</v>
      </c>
      <c r="B38" s="176" t="s">
        <v>69</v>
      </c>
      <c r="C38" s="279">
        <v>298.14999999999998</v>
      </c>
      <c r="D38" s="194">
        <v>1210</v>
      </c>
      <c r="E38" s="280">
        <v>372.5</v>
      </c>
      <c r="F38" s="281">
        <v>167.9</v>
      </c>
      <c r="G38" s="282">
        <v>29.47</v>
      </c>
      <c r="H38" s="282">
        <v>-3.66</v>
      </c>
      <c r="I38" s="282">
        <v>0.32</v>
      </c>
      <c r="J38" s="282"/>
      <c r="K38" s="282"/>
      <c r="L38" s="196" t="s">
        <v>63</v>
      </c>
      <c r="M38" s="196" t="s">
        <v>63</v>
      </c>
      <c r="N38" s="176">
        <v>2.9814999999999998E-2</v>
      </c>
      <c r="O38" s="177">
        <v>372500</v>
      </c>
      <c r="P38" s="179">
        <v>43909.479722272772</v>
      </c>
      <c r="Q38" s="179">
        <v>416409.47972227278</v>
      </c>
      <c r="R38" s="180">
        <v>167.9</v>
      </c>
      <c r="S38" s="181">
        <v>219.52155747394053</v>
      </c>
      <c r="T38" s="182">
        <v>22.23</v>
      </c>
      <c r="U38" s="397">
        <v>4.4801250826868717</v>
      </c>
      <c r="V38" s="396">
        <v>29.447554603809422</v>
      </c>
      <c r="W38" s="397">
        <v>3.5444103674303924</v>
      </c>
      <c r="X38" s="396">
        <v>1.9243490288050995E-4</v>
      </c>
      <c r="Y38" s="397">
        <v>9.0811477271360019E-2</v>
      </c>
      <c r="Z38" s="396">
        <v>-2.2009742016958325</v>
      </c>
      <c r="AA38" s="397">
        <v>0</v>
      </c>
      <c r="AB38" s="396">
        <v>0</v>
      </c>
      <c r="AC38" s="401">
        <v>2</v>
      </c>
    </row>
    <row r="39" spans="1:29" s="184" customFormat="1" x14ac:dyDescent="0.35">
      <c r="A39" s="185" t="s">
        <v>68</v>
      </c>
      <c r="B39" s="176" t="s">
        <v>61</v>
      </c>
      <c r="C39" s="279">
        <v>1210</v>
      </c>
      <c r="D39" s="194">
        <v>2000</v>
      </c>
      <c r="E39" s="280"/>
      <c r="F39" s="281">
        <v>40.799999999999997</v>
      </c>
      <c r="G39" s="282">
        <v>26.2</v>
      </c>
      <c r="H39" s="282"/>
      <c r="I39" s="282"/>
      <c r="J39" s="282"/>
      <c r="K39" s="282"/>
      <c r="L39" s="196">
        <v>5.5729299999999995</v>
      </c>
      <c r="M39" s="196">
        <v>18.392508250825081</v>
      </c>
      <c r="N39" s="176">
        <v>2.9814999999999998E-2</v>
      </c>
      <c r="O39" s="177">
        <v>0</v>
      </c>
      <c r="P39" s="178">
        <v>127.07000000000039</v>
      </c>
      <c r="Q39" s="179">
        <v>127.07000000000039</v>
      </c>
      <c r="R39" s="180">
        <v>40.799999999999997</v>
      </c>
      <c r="S39" s="181">
        <v>41.222765556434673</v>
      </c>
      <c r="T39" s="182">
        <v>26.2</v>
      </c>
      <c r="U39" s="397">
        <v>0</v>
      </c>
      <c r="V39" s="396">
        <v>12.825050670258605</v>
      </c>
      <c r="W39" s="397">
        <v>3.1511215346683503</v>
      </c>
      <c r="X39" s="396">
        <v>0</v>
      </c>
      <c r="Y39" s="397">
        <v>9.3950688556136863E-2</v>
      </c>
      <c r="Z39" s="396">
        <v>0</v>
      </c>
      <c r="AA39" s="397">
        <v>0</v>
      </c>
      <c r="AB39" s="396">
        <v>0</v>
      </c>
      <c r="AC39" s="401">
        <v>2</v>
      </c>
    </row>
    <row r="40" spans="1:29" s="184" customFormat="1" x14ac:dyDescent="0.35">
      <c r="A40" s="185" t="s">
        <v>68</v>
      </c>
      <c r="B40" s="176" t="s">
        <v>62</v>
      </c>
      <c r="C40" s="279">
        <v>2000</v>
      </c>
      <c r="D40" s="194" t="s">
        <v>63</v>
      </c>
      <c r="E40" s="280">
        <v>-8.4</v>
      </c>
      <c r="F40" s="196" t="s">
        <v>63</v>
      </c>
      <c r="G40" s="284">
        <v>24.38</v>
      </c>
      <c r="H40" s="284">
        <v>2.29</v>
      </c>
      <c r="I40" s="284">
        <v>0.31</v>
      </c>
      <c r="J40" s="284"/>
      <c r="K40" s="284"/>
      <c r="L40" s="196" t="s">
        <v>63</v>
      </c>
      <c r="M40" s="196" t="s">
        <v>63</v>
      </c>
      <c r="N40" s="176">
        <v>0.2</v>
      </c>
      <c r="O40" s="177" t="s">
        <v>63</v>
      </c>
      <c r="P40" s="179" t="s">
        <v>63</v>
      </c>
      <c r="Q40" s="179" t="s">
        <v>63</v>
      </c>
      <c r="R40" s="180" t="s">
        <v>63</v>
      </c>
      <c r="S40" s="181" t="s">
        <v>63</v>
      </c>
      <c r="T40" s="182" t="s">
        <v>63</v>
      </c>
      <c r="U40" s="397" t="s">
        <v>63</v>
      </c>
      <c r="V40" s="396" t="s">
        <v>63</v>
      </c>
      <c r="W40" s="397" t="s">
        <v>63</v>
      </c>
      <c r="X40" s="396" t="s">
        <v>63</v>
      </c>
      <c r="Y40" s="397" t="s">
        <v>63</v>
      </c>
      <c r="Z40" s="396" t="s">
        <v>63</v>
      </c>
      <c r="AA40" s="397" t="s">
        <v>63</v>
      </c>
      <c r="AB40" s="396" t="s">
        <v>63</v>
      </c>
      <c r="AC40" s="401">
        <v>2</v>
      </c>
    </row>
    <row r="41" spans="1:29" s="184" customFormat="1" x14ac:dyDescent="0.35">
      <c r="A41" s="185" t="s">
        <v>68</v>
      </c>
      <c r="B41" s="176" t="s">
        <v>62</v>
      </c>
      <c r="C41" s="279">
        <v>2000</v>
      </c>
      <c r="D41" s="194">
        <v>2000</v>
      </c>
      <c r="E41" s="280">
        <v>-113</v>
      </c>
      <c r="F41" s="281">
        <v>112.6</v>
      </c>
      <c r="G41" s="282">
        <v>62.89</v>
      </c>
      <c r="H41" s="282">
        <v>27.74</v>
      </c>
      <c r="I41" s="282"/>
      <c r="J41" s="282"/>
      <c r="K41" s="282"/>
      <c r="L41" s="196" t="s">
        <v>63</v>
      </c>
      <c r="M41" s="196" t="s">
        <v>63</v>
      </c>
      <c r="N41" s="176">
        <v>2.9814999999999998E-2</v>
      </c>
      <c r="O41" s="177">
        <v>-113000</v>
      </c>
      <c r="P41" s="179">
        <v>57956.928759924995</v>
      </c>
      <c r="Q41" s="179">
        <v>-55043.071240075005</v>
      </c>
      <c r="R41" s="180">
        <v>112.6</v>
      </c>
      <c r="S41" s="181">
        <v>209.34911246005797</v>
      </c>
      <c r="T41" s="182">
        <v>90.990619999999993</v>
      </c>
      <c r="U41" s="397">
        <v>-1.3590715015936015</v>
      </c>
      <c r="V41" s="396">
        <v>31.554004155564428</v>
      </c>
      <c r="W41" s="397">
        <v>7.5638944013470439</v>
      </c>
      <c r="X41" s="396">
        <v>0</v>
      </c>
      <c r="Y41" s="397">
        <v>0.24034644620933304</v>
      </c>
      <c r="Z41" s="396">
        <v>16.681700643454203</v>
      </c>
      <c r="AA41" s="397">
        <v>0</v>
      </c>
      <c r="AB41" s="396">
        <v>0</v>
      </c>
      <c r="AC41" s="401">
        <v>2</v>
      </c>
    </row>
    <row r="42" spans="1:29" s="184" customFormat="1" x14ac:dyDescent="0.35">
      <c r="A42" s="278" t="s">
        <v>92</v>
      </c>
      <c r="B42" s="176" t="s">
        <v>65</v>
      </c>
      <c r="C42" s="279">
        <v>298.14999999999998</v>
      </c>
      <c r="D42" s="194">
        <v>2000</v>
      </c>
      <c r="E42" s="280"/>
      <c r="F42" s="196" t="s">
        <v>63</v>
      </c>
      <c r="G42" s="284">
        <v>24.38</v>
      </c>
      <c r="H42" s="284">
        <v>2.29</v>
      </c>
      <c r="I42" s="284">
        <v>0.31</v>
      </c>
      <c r="J42" s="284"/>
      <c r="K42" s="284"/>
      <c r="L42" s="196" t="s">
        <v>63</v>
      </c>
      <c r="M42" s="196" t="s">
        <v>63</v>
      </c>
      <c r="N42" s="176">
        <v>0.3</v>
      </c>
      <c r="O42" s="177" t="s">
        <v>63</v>
      </c>
      <c r="P42" s="178" t="s">
        <v>63</v>
      </c>
      <c r="Q42" s="179" t="s">
        <v>63</v>
      </c>
      <c r="R42" s="180" t="s">
        <v>63</v>
      </c>
      <c r="S42" s="181" t="s">
        <v>63</v>
      </c>
      <c r="T42" s="182" t="s">
        <v>63</v>
      </c>
      <c r="U42" s="397" t="s">
        <v>63</v>
      </c>
      <c r="V42" s="396" t="s">
        <v>63</v>
      </c>
      <c r="W42" s="397" t="s">
        <v>63</v>
      </c>
      <c r="X42" s="396" t="s">
        <v>63</v>
      </c>
      <c r="Y42" s="397" t="s">
        <v>63</v>
      </c>
      <c r="Z42" s="396" t="s">
        <v>63</v>
      </c>
      <c r="AA42" s="397" t="s">
        <v>63</v>
      </c>
      <c r="AB42" s="396" t="s">
        <v>63</v>
      </c>
      <c r="AC42" s="401">
        <v>2</v>
      </c>
    </row>
    <row r="43" spans="1:29" s="184" customFormat="1" x14ac:dyDescent="0.35">
      <c r="A43" s="278" t="s">
        <v>92</v>
      </c>
      <c r="B43" s="176" t="s">
        <v>69</v>
      </c>
      <c r="C43" s="279">
        <v>298.14999999999998</v>
      </c>
      <c r="D43" s="194">
        <v>948</v>
      </c>
      <c r="E43" s="280"/>
      <c r="F43" s="196" t="s">
        <v>63</v>
      </c>
      <c r="G43" s="280"/>
      <c r="H43" s="280"/>
      <c r="I43" s="280"/>
      <c r="J43" s="280"/>
      <c r="K43" s="280"/>
      <c r="L43" s="196" t="s">
        <v>63</v>
      </c>
      <c r="M43" s="196" t="s">
        <v>63</v>
      </c>
      <c r="N43" s="176">
        <v>0.2</v>
      </c>
      <c r="O43" s="177" t="s">
        <v>63</v>
      </c>
      <c r="P43" s="179" t="s">
        <v>63</v>
      </c>
      <c r="Q43" s="179" t="s">
        <v>63</v>
      </c>
      <c r="R43" s="180" t="s">
        <v>63</v>
      </c>
      <c r="S43" s="181" t="s">
        <v>63</v>
      </c>
      <c r="T43" s="182" t="s">
        <v>63</v>
      </c>
      <c r="U43" s="397" t="s">
        <v>63</v>
      </c>
      <c r="V43" s="396" t="s">
        <v>63</v>
      </c>
      <c r="W43" s="397" t="s">
        <v>63</v>
      </c>
      <c r="X43" s="396" t="s">
        <v>63</v>
      </c>
      <c r="Y43" s="397" t="s">
        <v>63</v>
      </c>
      <c r="Z43" s="396" t="s">
        <v>63</v>
      </c>
      <c r="AA43" s="397" t="s">
        <v>63</v>
      </c>
      <c r="AB43" s="396" t="s">
        <v>63</v>
      </c>
      <c r="AC43" s="401">
        <v>2</v>
      </c>
    </row>
    <row r="44" spans="1:29" s="184" customFormat="1" x14ac:dyDescent="0.35">
      <c r="A44" s="278" t="s">
        <v>92</v>
      </c>
      <c r="B44" s="176" t="s">
        <v>62</v>
      </c>
      <c r="C44" s="279">
        <v>948</v>
      </c>
      <c r="D44" s="194" t="s">
        <v>63</v>
      </c>
      <c r="E44" s="280">
        <v>-8.4</v>
      </c>
      <c r="F44" s="196">
        <v>167.03081645854292</v>
      </c>
      <c r="G44" s="284">
        <v>24.38</v>
      </c>
      <c r="H44" s="284">
        <v>2.29</v>
      </c>
      <c r="I44" s="284">
        <v>0.31</v>
      </c>
      <c r="J44" s="284"/>
      <c r="K44" s="284"/>
      <c r="L44" s="196" t="s">
        <v>63</v>
      </c>
      <c r="M44" s="196" t="s">
        <v>63</v>
      </c>
      <c r="N44" s="176">
        <v>9.4799999999999995E-2</v>
      </c>
      <c r="O44" s="177">
        <v>-8400</v>
      </c>
      <c r="P44" s="179">
        <v>60599.999999999985</v>
      </c>
      <c r="Q44" s="179">
        <v>-8400.0000000000146</v>
      </c>
      <c r="R44" s="180">
        <v>167.03081645854292</v>
      </c>
      <c r="S44" s="181">
        <v>167.03081645854292</v>
      </c>
      <c r="T44" s="182">
        <v>26.895861159714435</v>
      </c>
      <c r="U44" s="397">
        <v>-0.82987551867219922</v>
      </c>
      <c r="V44" s="396">
        <v>23.824800353863974</v>
      </c>
      <c r="W44" s="397">
        <v>2.9322268326417702</v>
      </c>
      <c r="X44" s="396">
        <v>1.8642131216549401E-4</v>
      </c>
      <c r="Y44" s="397">
        <v>-0.44242886691213273</v>
      </c>
      <c r="Z44" s="396">
        <v>1.3771122737386492</v>
      </c>
      <c r="AA44" s="397">
        <v>0</v>
      </c>
      <c r="AB44" s="396">
        <v>0</v>
      </c>
      <c r="AC44" s="401">
        <v>2</v>
      </c>
    </row>
    <row r="45" spans="1:29" s="184" customFormat="1" x14ac:dyDescent="0.35">
      <c r="A45" s="278" t="s">
        <v>92</v>
      </c>
      <c r="B45" s="176" t="s">
        <v>61</v>
      </c>
      <c r="C45" s="279">
        <v>948</v>
      </c>
      <c r="D45" s="194">
        <v>948</v>
      </c>
      <c r="E45" s="280">
        <v>11.3</v>
      </c>
      <c r="F45" s="196" t="s">
        <v>63</v>
      </c>
      <c r="G45" s="284">
        <v>35.15</v>
      </c>
      <c r="H45" s="284"/>
      <c r="I45" s="284"/>
      <c r="J45" s="284"/>
      <c r="K45" s="284"/>
      <c r="L45" s="196" t="s">
        <v>63</v>
      </c>
      <c r="M45" s="196" t="s">
        <v>63</v>
      </c>
      <c r="N45" s="176">
        <v>0.2</v>
      </c>
      <c r="O45" s="177" t="s">
        <v>63</v>
      </c>
      <c r="P45" s="179" t="s">
        <v>63</v>
      </c>
      <c r="Q45" s="179" t="s">
        <v>63</v>
      </c>
      <c r="R45" s="180" t="s">
        <v>63</v>
      </c>
      <c r="S45" s="181" t="s">
        <v>63</v>
      </c>
      <c r="T45" s="182" t="s">
        <v>63</v>
      </c>
      <c r="U45" s="397" t="s">
        <v>63</v>
      </c>
      <c r="V45" s="396" t="s">
        <v>63</v>
      </c>
      <c r="W45" s="397" t="s">
        <v>63</v>
      </c>
      <c r="X45" s="396" t="s">
        <v>63</v>
      </c>
      <c r="Y45" s="397" t="s">
        <v>63</v>
      </c>
      <c r="Z45" s="396" t="s">
        <v>63</v>
      </c>
      <c r="AA45" s="397" t="s">
        <v>63</v>
      </c>
      <c r="AB45" s="396" t="s">
        <v>63</v>
      </c>
      <c r="AC45" s="401">
        <v>2</v>
      </c>
    </row>
    <row r="46" spans="1:29" s="184" customFormat="1" x14ac:dyDescent="0.35">
      <c r="A46" s="176" t="str">
        <f>A45</f>
        <v>GeSe</v>
      </c>
      <c r="B46" s="176" t="s">
        <v>62</v>
      </c>
      <c r="C46" s="279">
        <v>957</v>
      </c>
      <c r="D46" s="194" t="str">
        <f>IF(B46="end","N/D",#REF!)</f>
        <v>N/D</v>
      </c>
      <c r="E46" s="280"/>
      <c r="F46" s="196" t="s">
        <v>63</v>
      </c>
      <c r="G46" s="280"/>
      <c r="H46" s="280"/>
      <c r="I46" s="280"/>
      <c r="J46" s="280"/>
      <c r="K46" s="280"/>
      <c r="L46" s="196" t="s">
        <v>63</v>
      </c>
      <c r="M46" s="196" t="s">
        <v>63</v>
      </c>
      <c r="N46" s="176">
        <v>9.4799999999999995E-2</v>
      </c>
      <c r="O46" s="177" t="s">
        <v>63</v>
      </c>
      <c r="P46" s="179" t="s">
        <v>63</v>
      </c>
      <c r="Q46" s="179" t="s">
        <v>63</v>
      </c>
      <c r="R46" s="180" t="s">
        <v>63</v>
      </c>
      <c r="S46" s="181" t="s">
        <v>63</v>
      </c>
      <c r="T46" s="182" t="s">
        <v>63</v>
      </c>
      <c r="U46" s="397" t="s">
        <v>63</v>
      </c>
      <c r="V46" s="396" t="s">
        <v>63</v>
      </c>
      <c r="W46" s="397" t="s">
        <v>63</v>
      </c>
      <c r="X46" s="396" t="s">
        <v>63</v>
      </c>
      <c r="Y46" s="397" t="s">
        <v>63</v>
      </c>
      <c r="Z46" s="396" t="s">
        <v>63</v>
      </c>
      <c r="AA46" s="397" t="s">
        <v>63</v>
      </c>
      <c r="AB46" s="396" t="s">
        <v>63</v>
      </c>
      <c r="AC46" s="401">
        <v>2</v>
      </c>
    </row>
    <row r="47" spans="1:29" s="184" customFormat="1" x14ac:dyDescent="0.35">
      <c r="A47" s="278" t="s">
        <v>92</v>
      </c>
      <c r="B47" s="176" t="s">
        <v>62</v>
      </c>
      <c r="C47" s="279">
        <v>2000</v>
      </c>
      <c r="D47" s="194">
        <v>948</v>
      </c>
      <c r="E47" s="280">
        <v>105.4</v>
      </c>
      <c r="F47" s="281">
        <v>0.17</v>
      </c>
      <c r="G47" s="282">
        <v>36.99</v>
      </c>
      <c r="H47" s="282">
        <v>0.17</v>
      </c>
      <c r="I47" s="282">
        <v>-0.18</v>
      </c>
      <c r="J47" s="282"/>
      <c r="K47" s="282"/>
      <c r="L47" s="196" t="s">
        <v>63</v>
      </c>
      <c r="M47" s="196" t="s">
        <v>63</v>
      </c>
      <c r="N47" s="176">
        <v>2.9814999999999998E-2</v>
      </c>
      <c r="O47" s="177">
        <v>105400</v>
      </c>
      <c r="P47" s="179">
        <v>62770.152600845009</v>
      </c>
      <c r="Q47" s="179">
        <v>168170.152600845</v>
      </c>
      <c r="R47" s="180">
        <v>0.17</v>
      </c>
      <c r="S47" s="181">
        <v>69.872645607590442</v>
      </c>
      <c r="T47" s="182">
        <v>37.285000000000011</v>
      </c>
      <c r="U47" s="397">
        <v>1.2676649227253594</v>
      </c>
      <c r="V47" s="396">
        <v>11.071411869448289</v>
      </c>
      <c r="W47" s="397">
        <v>4.4488544109687895</v>
      </c>
      <c r="X47" s="396">
        <v>-1.0824463287028683E-4</v>
      </c>
      <c r="Y47" s="397">
        <v>0.13999455648752174</v>
      </c>
      <c r="Z47" s="396">
        <v>0.10223104215527092</v>
      </c>
      <c r="AA47" s="397">
        <v>0</v>
      </c>
      <c r="AB47" s="396">
        <v>0</v>
      </c>
      <c r="AC47" s="401">
        <v>2</v>
      </c>
    </row>
    <row r="48" spans="1:29" s="184" customFormat="1" x14ac:dyDescent="0.35">
      <c r="A48" s="278" t="s">
        <v>93</v>
      </c>
      <c r="B48" s="176" t="s">
        <v>69</v>
      </c>
      <c r="C48" s="279">
        <v>298.14999999999998</v>
      </c>
      <c r="D48" s="194">
        <v>1013</v>
      </c>
      <c r="E48" s="280">
        <v>60.7</v>
      </c>
      <c r="F48" s="196">
        <v>97.36563229031637</v>
      </c>
      <c r="G48" s="284">
        <v>27.61</v>
      </c>
      <c r="H48" s="284"/>
      <c r="I48" s="284"/>
      <c r="J48" s="284"/>
      <c r="K48" s="284"/>
      <c r="L48" s="196" t="s">
        <v>63</v>
      </c>
      <c r="M48" s="196" t="s">
        <v>63</v>
      </c>
      <c r="N48" s="176">
        <v>0.121</v>
      </c>
      <c r="O48" s="177">
        <v>60700</v>
      </c>
      <c r="P48" s="179">
        <v>82511.900000000009</v>
      </c>
      <c r="Q48" s="179">
        <v>82511.900000000009</v>
      </c>
      <c r="R48" s="180">
        <v>97.36563229031637</v>
      </c>
      <c r="S48" s="181">
        <v>111.24039781678164</v>
      </c>
      <c r="T48" s="182">
        <v>27.61</v>
      </c>
      <c r="U48" s="397">
        <v>0</v>
      </c>
      <c r="V48" s="396">
        <v>15.402847865666864</v>
      </c>
      <c r="W48" s="397">
        <v>3.3207047928317994</v>
      </c>
      <c r="X48" s="396">
        <v>0</v>
      </c>
      <c r="Y48" s="397">
        <v>-0.32824463287028693</v>
      </c>
      <c r="Z48" s="396">
        <v>0</v>
      </c>
      <c r="AA48" s="397">
        <v>0</v>
      </c>
      <c r="AB48" s="396">
        <v>0</v>
      </c>
      <c r="AC48" s="401">
        <v>2</v>
      </c>
    </row>
    <row r="49" spans="1:29" s="184" customFormat="1" x14ac:dyDescent="0.35">
      <c r="A49" s="278" t="s">
        <v>93</v>
      </c>
      <c r="B49" s="176" t="s">
        <v>62</v>
      </c>
      <c r="C49" s="279">
        <v>1013</v>
      </c>
      <c r="D49" s="194">
        <v>948</v>
      </c>
      <c r="E49" s="280">
        <v>-69</v>
      </c>
      <c r="F49" s="281">
        <v>78.2</v>
      </c>
      <c r="G49" s="282">
        <v>45.1</v>
      </c>
      <c r="H49" s="282">
        <v>16.399999999999999</v>
      </c>
      <c r="I49" s="282"/>
      <c r="J49" s="282"/>
      <c r="K49" s="282"/>
      <c r="L49" s="196">
        <v>24.651318264499999</v>
      </c>
      <c r="M49" s="196">
        <v>26.003500279008435</v>
      </c>
      <c r="N49" s="176">
        <v>2.9814999999999998E-2</v>
      </c>
      <c r="O49" s="177">
        <v>-69000</v>
      </c>
      <c r="P49" s="179">
        <v>35948.681735500002</v>
      </c>
      <c r="Q49" s="179">
        <v>-33051.318264499998</v>
      </c>
      <c r="R49" s="180">
        <v>78.2</v>
      </c>
      <c r="S49" s="181">
        <v>141.02731617953447</v>
      </c>
      <c r="T49" s="182">
        <v>60.647200000000005</v>
      </c>
      <c r="U49" s="397">
        <v>-0.82987551867219922</v>
      </c>
      <c r="V49" s="396">
        <v>22.446939551862265</v>
      </c>
      <c r="W49" s="397">
        <v>5.4242588249443742</v>
      </c>
      <c r="X49" s="396">
        <v>0</v>
      </c>
      <c r="Y49" s="397">
        <v>0.17049120289253711</v>
      </c>
      <c r="Z49" s="396">
        <v>9.862288772626135</v>
      </c>
      <c r="AA49" s="397">
        <v>0</v>
      </c>
      <c r="AB49" s="396">
        <v>0</v>
      </c>
      <c r="AC49" s="401">
        <v>2</v>
      </c>
    </row>
    <row r="50" spans="1:29" s="184" customFormat="1" x14ac:dyDescent="0.35">
      <c r="A50" s="185" t="s">
        <v>70</v>
      </c>
      <c r="B50" s="176" t="s">
        <v>65</v>
      </c>
      <c r="C50" s="279">
        <v>298.14999999999998</v>
      </c>
      <c r="D50" s="194">
        <v>2000</v>
      </c>
      <c r="E50" s="280">
        <v>272</v>
      </c>
      <c r="F50" s="281">
        <v>169</v>
      </c>
      <c r="G50" s="282">
        <v>24.87</v>
      </c>
      <c r="H50" s="282">
        <v>-1.38</v>
      </c>
      <c r="I50" s="282">
        <v>0.25</v>
      </c>
      <c r="J50" s="282"/>
      <c r="K50" s="282"/>
      <c r="L50" s="196" t="s">
        <v>63</v>
      </c>
      <c r="M50" s="196" t="s">
        <v>63</v>
      </c>
      <c r="N50" s="176">
        <v>2.9814999999999998E-2</v>
      </c>
      <c r="O50" s="177">
        <v>272000</v>
      </c>
      <c r="P50" s="178">
        <v>61801.516736861806</v>
      </c>
      <c r="Q50" s="179">
        <v>333801.51673686178</v>
      </c>
      <c r="R50" s="180">
        <v>169</v>
      </c>
      <c r="S50" s="181">
        <v>224.08286748288222</v>
      </c>
      <c r="T50" s="182">
        <v>20.757777777777779</v>
      </c>
      <c r="U50" s="397">
        <v>3.2713933489686688</v>
      </c>
      <c r="V50" s="396">
        <v>28.060564076656096</v>
      </c>
      <c r="W50" s="397">
        <v>2.9911600216489265</v>
      </c>
      <c r="X50" s="396">
        <v>1.503397678753984E-4</v>
      </c>
      <c r="Y50" s="397">
        <v>7.8358890249622545E-2</v>
      </c>
      <c r="Z50" s="396">
        <v>-0.829875518672199</v>
      </c>
      <c r="AA50" s="397">
        <v>0</v>
      </c>
      <c r="AB50" s="396">
        <v>0</v>
      </c>
      <c r="AC50" s="401">
        <v>2</v>
      </c>
    </row>
    <row r="51" spans="1:29" s="184" customFormat="1" x14ac:dyDescent="0.35">
      <c r="A51" s="185" t="s">
        <v>70</v>
      </c>
      <c r="B51" s="176" t="s">
        <v>69</v>
      </c>
      <c r="C51" s="279">
        <v>298.14999999999998</v>
      </c>
      <c r="D51" s="194">
        <f>IF(B51="end","N/D",C52)</f>
        <v>2000</v>
      </c>
      <c r="E51" s="280"/>
      <c r="F51" s="281">
        <v>31.1</v>
      </c>
      <c r="G51" s="282">
        <v>23.35</v>
      </c>
      <c r="H51" s="282">
        <v>3.9</v>
      </c>
      <c r="I51" s="282">
        <v>-0.11</v>
      </c>
      <c r="J51" s="282"/>
      <c r="K51" s="282"/>
      <c r="L51" s="196">
        <v>37.004682390780772</v>
      </c>
      <c r="M51" s="196">
        <v>30.582382141141132</v>
      </c>
      <c r="N51" s="176">
        <v>2.9814999999999998E-2</v>
      </c>
      <c r="O51" s="177">
        <v>0</v>
      </c>
      <c r="P51" s="179">
        <v>23695.317609219233</v>
      </c>
      <c r="Q51" s="179">
        <v>23695.317609219233</v>
      </c>
      <c r="R51" s="180">
        <v>31.1</v>
      </c>
      <c r="S51" s="181">
        <v>66.783250149175245</v>
      </c>
      <c r="T51" s="182">
        <v>27.993868519909846</v>
      </c>
      <c r="U51" s="397">
        <v>0</v>
      </c>
      <c r="V51" s="396">
        <v>10.582844540703489</v>
      </c>
      <c r="W51" s="397">
        <v>2.8083468639124423</v>
      </c>
      <c r="X51" s="396">
        <v>-6.6149497865175294E-5</v>
      </c>
      <c r="Y51" s="397">
        <v>9.0253009581933469E-2</v>
      </c>
      <c r="Z51" s="396">
        <v>2.3453003788562148</v>
      </c>
      <c r="AA51" s="397">
        <v>0</v>
      </c>
      <c r="AB51" s="396">
        <v>0</v>
      </c>
      <c r="AC51" s="401">
        <v>2</v>
      </c>
    </row>
    <row r="52" spans="1:29" s="184" customFormat="1" x14ac:dyDescent="0.35">
      <c r="A52" s="185" t="s">
        <v>70</v>
      </c>
      <c r="B52" s="176" t="s">
        <v>62</v>
      </c>
      <c r="C52" s="279">
        <v>2000</v>
      </c>
      <c r="D52" s="194">
        <v>2000</v>
      </c>
      <c r="E52" s="280"/>
      <c r="F52" s="196" t="s">
        <v>63</v>
      </c>
      <c r="G52" s="284"/>
      <c r="H52" s="284"/>
      <c r="I52" s="284"/>
      <c r="J52" s="284"/>
      <c r="K52" s="284"/>
      <c r="L52" s="196" t="s">
        <v>63</v>
      </c>
      <c r="M52" s="196" t="s">
        <v>63</v>
      </c>
      <c r="N52" s="176">
        <v>0.1278</v>
      </c>
      <c r="O52" s="177" t="s">
        <v>63</v>
      </c>
      <c r="P52" s="178" t="s">
        <v>63</v>
      </c>
      <c r="Q52" s="179" t="s">
        <v>63</v>
      </c>
      <c r="R52" s="180" t="s">
        <v>63</v>
      </c>
      <c r="S52" s="181" t="s">
        <v>63</v>
      </c>
      <c r="T52" s="182" t="s">
        <v>63</v>
      </c>
      <c r="U52" s="397" t="s">
        <v>63</v>
      </c>
      <c r="V52" s="396" t="s">
        <v>63</v>
      </c>
      <c r="W52" s="397" t="s">
        <v>63</v>
      </c>
      <c r="X52" s="396" t="s">
        <v>63</v>
      </c>
      <c r="Y52" s="397" t="s">
        <v>63</v>
      </c>
      <c r="Z52" s="396" t="s">
        <v>63</v>
      </c>
      <c r="AA52" s="397" t="s">
        <v>63</v>
      </c>
      <c r="AB52" s="396" t="s">
        <v>63</v>
      </c>
      <c r="AC52" s="401">
        <v>2</v>
      </c>
    </row>
  </sheetData>
  <sheetProtection formatCells="0" formatColumns="0" formatRows="0" insertColumns="0" insertRows="0" deleteRows="0" sort="0" autoFilter="0" pivotTables="0"/>
  <autoFilter ref="A27:AC27" xr:uid="{00000000-0009-0000-0000-000001000000}"/>
  <sortState xmlns:xlrd2="http://schemas.microsoft.com/office/spreadsheetml/2017/richdata2" ref="A28:AC52">
    <sortCondition ref="A28:A52"/>
    <sortCondition ref="C28:C52"/>
    <sortCondition ref="B28:B52"/>
  </sortState>
  <customSheetViews>
    <customSheetView guid="{5CD7248E-C04A-445B-8512-C9303DEF235B}" hiddenColumns="1">
      <pane xSplit="3" ySplit="1" topLeftCell="D2" activePane="bottomRight" state="frozen"/>
      <selection pane="bottomRight" activeCell="M9" sqref="M9"/>
      <pageMargins left="0.7" right="0.7" top="0.75" bottom="0.75" header="0.3" footer="0.3"/>
      <pageSetup paperSize="9" orientation="portrait" r:id="rId1"/>
    </customSheetView>
  </customSheetViews>
  <mergeCells count="1">
    <mergeCell ref="A26:AC26"/>
  </mergeCell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>
    <tabColor rgb="FF00B050"/>
  </sheetPr>
  <dimension ref="A1:AB57"/>
  <sheetViews>
    <sheetView zoomScale="85" zoomScaleNormal="85" workbookViewId="0">
      <pane xSplit="4" ySplit="1" topLeftCell="E26" activePane="bottomRight" state="frozen"/>
      <selection pane="topRight" activeCell="E1" sqref="E1"/>
      <selection pane="bottomLeft" activeCell="A2" sqref="A2"/>
      <selection pane="bottomRight" activeCell="X42" sqref="X42"/>
    </sheetView>
  </sheetViews>
  <sheetFormatPr defaultRowHeight="21" outlineLevelCol="1" x14ac:dyDescent="0.35"/>
  <cols>
    <col min="1" max="1" width="6.81640625" style="190" customWidth="1"/>
    <col min="2" max="2" width="7.1796875" style="139" bestFit="1" customWidth="1"/>
    <col min="3" max="3" width="5.1796875" style="139" customWidth="1"/>
    <col min="4" max="4" width="1.6328125" style="139" customWidth="1"/>
    <col min="5" max="5" width="8.1796875" style="139" customWidth="1" outlineLevel="1"/>
    <col min="6" max="10" width="9.6328125" style="139" customWidth="1" outlineLevel="1"/>
    <col min="11" max="12" width="3.6328125" style="139" customWidth="1" outlineLevel="1"/>
    <col min="13" max="13" width="2.6328125" style="139" customWidth="1"/>
    <col min="14" max="14" width="0.1796875" style="139" customWidth="1"/>
    <col min="15" max="16" width="12.6328125" style="139" hidden="1" customWidth="1" outlineLevel="1"/>
    <col min="17" max="18" width="7.6328125" style="139" hidden="1" customWidth="1" outlineLevel="1"/>
    <col min="19" max="19" width="10.1796875" style="139" customWidth="1" collapsed="1"/>
    <col min="20" max="26" width="10.1796875" style="139" customWidth="1"/>
    <col min="27" max="27" width="2.7265625" style="190" customWidth="1"/>
    <col min="28" max="28" width="5.6328125" style="139" customWidth="1"/>
    <col min="29" max="32" width="9.6328125" style="139" customWidth="1"/>
    <col min="33" max="16384" width="8.7265625" style="139"/>
  </cols>
  <sheetData>
    <row r="1" spans="1:27" s="347" customFormat="1" ht="22.5" thickTop="1" thickBot="1" x14ac:dyDescent="0.4">
      <c r="A1" s="393">
        <v>8.3145000000000007</v>
      </c>
      <c r="B1" s="390" t="s">
        <v>58</v>
      </c>
      <c r="C1" s="390" t="s">
        <v>59</v>
      </c>
      <c r="D1" s="390" t="s">
        <v>140</v>
      </c>
      <c r="E1" s="390" t="s">
        <v>128</v>
      </c>
      <c r="F1" s="390" t="s">
        <v>141</v>
      </c>
      <c r="G1" s="390" t="s">
        <v>40</v>
      </c>
      <c r="H1" s="390" t="s">
        <v>71</v>
      </c>
      <c r="I1" s="390" t="s">
        <v>72</v>
      </c>
      <c r="J1" s="390" t="s">
        <v>74</v>
      </c>
      <c r="K1" s="394" t="str">
        <f>"-3          e *T^(-3)"</f>
        <v>-3          e *T^(-3)</v>
      </c>
      <c r="L1" s="394" t="str">
        <f>" 3           f *T^3"</f>
        <v xml:space="preserve"> 3           f *T^3</v>
      </c>
      <c r="M1" s="394" t="s">
        <v>142</v>
      </c>
      <c r="N1" s="390" t="s">
        <v>143</v>
      </c>
      <c r="O1" s="390" t="s">
        <v>53</v>
      </c>
      <c r="P1" s="390" t="s">
        <v>51</v>
      </c>
      <c r="Q1" s="390" t="s">
        <v>54</v>
      </c>
      <c r="R1" s="390" t="s">
        <v>52</v>
      </c>
      <c r="S1" s="390" t="s">
        <v>41</v>
      </c>
      <c r="T1" s="390" t="s">
        <v>42</v>
      </c>
      <c r="U1" s="390" t="s">
        <v>43</v>
      </c>
      <c r="V1" s="390" t="s">
        <v>44</v>
      </c>
      <c r="W1" s="390" t="s">
        <v>45</v>
      </c>
      <c r="X1" s="390" t="s">
        <v>46</v>
      </c>
      <c r="Y1" s="390" t="s">
        <v>47</v>
      </c>
      <c r="Z1" s="390" t="s">
        <v>48</v>
      </c>
      <c r="AA1" s="395" t="s">
        <v>144</v>
      </c>
    </row>
    <row r="2" spans="1:27" s="348" customFormat="1" ht="22.5" thickTop="1" thickBot="1" x14ac:dyDescent="0.4">
      <c r="A2" s="524"/>
      <c r="B2" s="524"/>
      <c r="C2" s="524"/>
      <c r="D2" s="524"/>
      <c r="E2" s="524"/>
      <c r="F2" s="169" t="s">
        <v>139</v>
      </c>
      <c r="G2" s="169">
        <v>0</v>
      </c>
      <c r="H2" s="169">
        <v>-3</v>
      </c>
      <c r="I2" s="169">
        <v>5</v>
      </c>
      <c r="J2" s="169">
        <v>-6</v>
      </c>
      <c r="K2" s="169">
        <v>8</v>
      </c>
      <c r="L2" s="169">
        <v>-9</v>
      </c>
      <c r="M2" s="525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7"/>
    </row>
    <row r="3" spans="1:27" s="346" customFormat="1" ht="21.75" thickTop="1" x14ac:dyDescent="0.35">
      <c r="A3" s="246" t="s">
        <v>93</v>
      </c>
      <c r="B3" s="256">
        <v>298.14999999999998</v>
      </c>
      <c r="C3" s="257">
        <v>350</v>
      </c>
      <c r="D3" s="219" t="s">
        <v>69</v>
      </c>
      <c r="E3" s="271">
        <v>-112.968</v>
      </c>
      <c r="F3" s="272">
        <v>115.395</v>
      </c>
      <c r="G3" s="272">
        <v>146.40600000000001</v>
      </c>
      <c r="H3" s="272">
        <v>-419.279</v>
      </c>
      <c r="I3" s="272">
        <v>-9.6690000000000005</v>
      </c>
      <c r="J3" s="272">
        <v>690.01700000000005</v>
      </c>
      <c r="K3" s="238">
        <v>0</v>
      </c>
      <c r="L3" s="262">
        <v>0</v>
      </c>
      <c r="M3" s="278">
        <f t="shared" ref="M3:N5" si="0">B3/10000</f>
        <v>2.9814999999999998E-2</v>
      </c>
      <c r="N3" s="278">
        <f t="shared" si="0"/>
        <v>3.5000000000000003E-2</v>
      </c>
      <c r="O3" s="339">
        <f>E3*1000</f>
        <v>-112968</v>
      </c>
      <c r="P3" s="340">
        <f>10000*$A$1*(N3*U3-V3*2/N3+X3*N3^2+Y3*2*N3^3+Z3*3*N3^4-W3+S3)</f>
        <v>-109137.02129574418</v>
      </c>
      <c r="Q3" s="341">
        <f>F3</f>
        <v>115.395</v>
      </c>
      <c r="R3" s="342">
        <f>$A$1*(T3+U3+U3*LN(N3)-V3/N3^2+X3*2*N3+Y3*3*N3^2+Z3*4*N3^3)</f>
        <v>127.23215091363359</v>
      </c>
      <c r="S3" s="343">
        <f>SUM($E$3:E3)/$A$1/10</f>
        <v>-1.3586866317878405</v>
      </c>
      <c r="T3" s="344">
        <f>IF(D3="end","N/D",Q3/$A$1 - U3 - U3*LN(M3) + V3/(M3^2) - X3*2*M3 - Y3*3*M3^2 - Z3*4*M3^3)</f>
        <v>68.816676906083146</v>
      </c>
      <c r="U3" s="343">
        <f>G3*10^($G$2)/$A$1</f>
        <v>17.608515244452462</v>
      </c>
      <c r="V3" s="344">
        <f>I3/(2*$A$1)*(10^($I$2)/10^8)</f>
        <v>-5.8145408623489078E-4</v>
      </c>
      <c r="W3" s="343">
        <f>U3*M3 - V3*2/M3 + X3*M3^2 + Y3*2*M3^3 + Z3*3*M3^4 + S3-O3/10000/$A$1</f>
        <v>0.41318596346922787</v>
      </c>
      <c r="X3" s="344">
        <f>H3/2/$A$1*(10^($H$2)*10^4)</f>
        <v>-252.13723014011663</v>
      </c>
      <c r="Y3" s="343">
        <f>J3/6/$A$1*(10^($J$2)*10^8)</f>
        <v>1383.1599414677169</v>
      </c>
      <c r="Z3" s="344">
        <f>L3/12/$A$1*(10^($L$2)*10^12)</f>
        <v>0</v>
      </c>
      <c r="AA3" s="345" t="s">
        <v>137</v>
      </c>
    </row>
    <row r="4" spans="1:27" s="346" customFormat="1" x14ac:dyDescent="0.35">
      <c r="A4" s="247" t="s">
        <v>93</v>
      </c>
      <c r="B4" s="258">
        <v>350</v>
      </c>
      <c r="C4" s="259">
        <v>420</v>
      </c>
      <c r="D4" s="205" t="s">
        <v>69</v>
      </c>
      <c r="E4" s="273">
        <v>0</v>
      </c>
      <c r="F4" s="208">
        <v>0</v>
      </c>
      <c r="G4" s="208">
        <v>14.651999999999999</v>
      </c>
      <c r="H4" s="208">
        <v>175.816</v>
      </c>
      <c r="I4" s="208">
        <v>0</v>
      </c>
      <c r="J4" s="208">
        <v>0</v>
      </c>
      <c r="K4" s="207">
        <v>0</v>
      </c>
      <c r="L4" s="264">
        <v>0</v>
      </c>
      <c r="M4" s="278">
        <f t="shared" si="0"/>
        <v>3.5000000000000003E-2</v>
      </c>
      <c r="N4" s="278">
        <f t="shared" si="0"/>
        <v>4.2000000000000003E-2</v>
      </c>
      <c r="O4" s="339">
        <f>P3+E4*1000</f>
        <v>-109137.02129574418</v>
      </c>
      <c r="P4" s="340">
        <f>10000*$A$1*(N4*U4-V4*2/N4+X4*N4^2+Y4*2*N4^3+Z4*3*N4^4-W4+S4)</f>
        <v>-103373.14009574415</v>
      </c>
      <c r="Q4" s="341">
        <f>R3+F4</f>
        <v>127.23215091363359</v>
      </c>
      <c r="R4" s="342">
        <f>$A$1*(T4+U4+U4*LN(N4)-V4/N4^2+X4*2*N4+Y4*3*N4^2+Z4*4*N4^3)</f>
        <v>142.21064636377861</v>
      </c>
      <c r="S4" s="343">
        <f>SUM($E$3:E4)/$A$1/10</f>
        <v>-1.3586866317878405</v>
      </c>
      <c r="T4" s="344">
        <f t="shared" ref="T4:T5" si="1">IF(D4="end","N/D",Q4/$A$1 - U4 - U4*LN(M4) + V4/(M4^2) - X4*2*M4 - Y4*3*M4^2 - Z4*4*M4^3)</f>
        <v>12.046908589131874</v>
      </c>
      <c r="U4" s="343">
        <f t="shared" ref="U4:U5" si="2">G4*10^($G$2)/$A$1</f>
        <v>1.7622226231282696</v>
      </c>
      <c r="V4" s="344">
        <f t="shared" ref="V4:V5" si="3">I4/(2*$A$1)*(10^($I$2)/10^8)</f>
        <v>0</v>
      </c>
      <c r="W4" s="343">
        <f t="shared" ref="W4:W5" si="4">U4*M4 - V4*2/M4 + X4*M4^2 + Y4*2*M4^3 + Z4*3*M4^4 + S4-O4/10000/$A$1</f>
        <v>0.14511938535984314</v>
      </c>
      <c r="X4" s="344">
        <f t="shared" ref="X4:X5" si="5">H4/2/$A$1*(10^($H$2)*10^4)</f>
        <v>105.72854651512417</v>
      </c>
      <c r="Y4" s="343">
        <f t="shared" ref="Y4:Y5" si="6">J4/6/$A$1*(10^($J$2)*10^8)</f>
        <v>0</v>
      </c>
      <c r="Z4" s="344">
        <f t="shared" ref="Z4:Z5" si="7">L4/12/$A$1*(10^($L$2)*10^12)</f>
        <v>0</v>
      </c>
      <c r="AA4" s="345" t="s">
        <v>137</v>
      </c>
    </row>
    <row r="5" spans="1:27" s="346" customFormat="1" x14ac:dyDescent="0.35">
      <c r="A5" s="247" t="s">
        <v>93</v>
      </c>
      <c r="B5" s="258">
        <v>420</v>
      </c>
      <c r="C5" s="259">
        <v>450</v>
      </c>
      <c r="D5" s="205" t="s">
        <v>69</v>
      </c>
      <c r="E5" s="273">
        <v>0</v>
      </c>
      <c r="F5" s="208">
        <v>0</v>
      </c>
      <c r="G5" s="208">
        <v>83.006</v>
      </c>
      <c r="H5" s="208">
        <v>0</v>
      </c>
      <c r="I5" s="208">
        <v>0</v>
      </c>
      <c r="J5" s="208">
        <v>0</v>
      </c>
      <c r="K5" s="207">
        <v>0</v>
      </c>
      <c r="L5" s="264">
        <v>0</v>
      </c>
      <c r="M5" s="278">
        <f t="shared" si="0"/>
        <v>4.2000000000000003E-2</v>
      </c>
      <c r="N5" s="278">
        <f t="shared" si="0"/>
        <v>4.4999999999999998E-2</v>
      </c>
      <c r="O5" s="339">
        <f>P4+E5*1000</f>
        <v>-103373.14009574415</v>
      </c>
      <c r="P5" s="340">
        <f>10000*$A$1*(N5*U5-V5*2/N5+X5*N5^2+Y5*2*N5^3+Z5*3*N5^4-W5+S5)</f>
        <v>-100882.96009574414</v>
      </c>
      <c r="Q5" s="341">
        <f>R4+F5</f>
        <v>142.21064636377861</v>
      </c>
      <c r="R5" s="342">
        <f>$A$1*(T5+U5+U5*LN(N5)-V5/N5^2+X5*2*N5+Y5*3*N5^2+Z5*4*N5^3)</f>
        <v>147.93746865442452</v>
      </c>
      <c r="S5" s="343">
        <f>SUM($E$3:E5)/$A$1/10</f>
        <v>-1.3586866317878405</v>
      </c>
      <c r="T5" s="344">
        <f t="shared" si="1"/>
        <v>38.768510038576053</v>
      </c>
      <c r="U5" s="343">
        <f t="shared" si="2"/>
        <v>9.9832822178122544</v>
      </c>
      <c r="V5" s="344">
        <f t="shared" si="3"/>
        <v>0</v>
      </c>
      <c r="W5" s="343">
        <f t="shared" si="4"/>
        <v>0.30389873228389108</v>
      </c>
      <c r="X5" s="344">
        <f t="shared" si="5"/>
        <v>0</v>
      </c>
      <c r="Y5" s="343">
        <f t="shared" si="6"/>
        <v>0</v>
      </c>
      <c r="Z5" s="344">
        <f t="shared" si="7"/>
        <v>0</v>
      </c>
      <c r="AA5" s="345" t="s">
        <v>137</v>
      </c>
    </row>
    <row r="6" spans="1:27" s="338" customFormat="1" ht="21.75" thickBot="1" x14ac:dyDescent="0.4">
      <c r="A6" s="248" t="s">
        <v>93</v>
      </c>
      <c r="B6" s="260">
        <v>450</v>
      </c>
      <c r="C6" s="240">
        <v>900</v>
      </c>
      <c r="D6" s="229" t="s">
        <v>69</v>
      </c>
      <c r="E6" s="274">
        <v>0</v>
      </c>
      <c r="F6" s="275">
        <v>0</v>
      </c>
      <c r="G6" s="275">
        <v>16.878</v>
      </c>
      <c r="H6" s="275">
        <v>102.194</v>
      </c>
      <c r="I6" s="275">
        <v>45.500999999999998</v>
      </c>
      <c r="J6" s="275">
        <v>-39.966000000000001</v>
      </c>
      <c r="K6" s="239">
        <v>0</v>
      </c>
      <c r="L6" s="266">
        <v>0</v>
      </c>
      <c r="M6" s="278">
        <f t="shared" ref="M6" si="8">B6/10000</f>
        <v>4.4999999999999998E-2</v>
      </c>
      <c r="N6" s="278">
        <f t="shared" ref="N6" si="9">C6/10000</f>
        <v>0.09</v>
      </c>
      <c r="O6" s="339">
        <f>P5+E6*1000</f>
        <v>-100882.96009574414</v>
      </c>
      <c r="P6" s="340">
        <f>10000*$A$1*(N6*U6-V6*2/N6+X6*N6^2+Y6*2*N6^3+Z6*3*N6^4-W6+S6)</f>
        <v>-65688.536679077442</v>
      </c>
      <c r="Q6" s="341">
        <f>R5+F6</f>
        <v>147.93746865442452</v>
      </c>
      <c r="R6" s="342">
        <f>$A$1*(T6+U6+U6*LN(N6)-V6/N6^2+X6*2*N6+Y6*3*N6^2+Z6*4*N6^3)</f>
        <v>201.91014537902635</v>
      </c>
      <c r="S6" s="343">
        <f>SUM($E$3:E6)/$A$1/10</f>
        <v>-1.3586866317878405</v>
      </c>
      <c r="T6" s="344">
        <f t="shared" ref="T6" si="10">IF(D6="end","N/D",Q6/$A$1 - U6 - U6*LN(M6) + V6/(M6^2) - X6*2*M6 - Y6*3*M6^2 - Z6*4*M6^3)</f>
        <v>18.364758562217371</v>
      </c>
      <c r="U6" s="343">
        <f t="shared" ref="U6" si="11">G6*10^($G$2)/$A$1</f>
        <v>2.0299476817607793</v>
      </c>
      <c r="V6" s="344">
        <f t="shared" ref="V6" si="12">I6/(2*$A$1)*(10^($I$2)/10^8)</f>
        <v>2.736243911239401E-3</v>
      </c>
      <c r="W6" s="343">
        <f t="shared" ref="W6" si="13">U6*M6 - V6*2/M6 + X6*M6^2 + Y6*2*M6^3 + Z6*3*M6^4 + S6-O6/10000/$A$1</f>
        <v>-6.5765806573927721E-2</v>
      </c>
      <c r="X6" s="344">
        <f t="shared" ref="X6" si="14">H6/2/$A$1*(10^($H$2)*10^4)</f>
        <v>61.455288953033858</v>
      </c>
      <c r="Y6" s="343">
        <f t="shared" ref="Y6" si="15">J6/6/$A$1*(10^($J$2)*10^8)</f>
        <v>-80.113055505442304</v>
      </c>
      <c r="Z6" s="344">
        <f t="shared" ref="Z6" si="16">L6/12/$A$1*(10^($L$2)*10^12)</f>
        <v>0</v>
      </c>
      <c r="AA6" s="345" t="s">
        <v>137</v>
      </c>
    </row>
    <row r="7" spans="1:27" x14ac:dyDescent="0.35">
      <c r="A7" s="74"/>
      <c r="B7" s="74"/>
      <c r="C7" s="74"/>
      <c r="D7" s="205"/>
      <c r="E7" s="205"/>
      <c r="F7" s="74"/>
      <c r="G7" s="74"/>
      <c r="H7" s="74"/>
      <c r="I7" s="74"/>
      <c r="J7" s="74"/>
      <c r="K7" s="74"/>
      <c r="L7" s="74"/>
    </row>
    <row r="8" spans="1:27" x14ac:dyDescent="0.35">
      <c r="A8" s="139"/>
      <c r="AA8" s="139"/>
    </row>
    <row r="9" spans="1:27" x14ac:dyDescent="0.35">
      <c r="A9" s="139"/>
      <c r="AA9" s="139"/>
    </row>
    <row r="10" spans="1:27" x14ac:dyDescent="0.35">
      <c r="A10" s="139"/>
      <c r="AA10" s="139"/>
    </row>
    <row r="11" spans="1:27" x14ac:dyDescent="0.35">
      <c r="A11" s="139"/>
      <c r="AA11" s="139"/>
    </row>
    <row r="12" spans="1:27" x14ac:dyDescent="0.35">
      <c r="A12" s="139"/>
      <c r="AA12" s="139"/>
    </row>
    <row r="13" spans="1:27" x14ac:dyDescent="0.35">
      <c r="A13" s="139"/>
      <c r="AA13" s="139"/>
    </row>
    <row r="14" spans="1:27" x14ac:dyDescent="0.35">
      <c r="A14" s="139"/>
      <c r="AA14" s="139"/>
    </row>
    <row r="15" spans="1:27" x14ac:dyDescent="0.35">
      <c r="A15" s="139"/>
      <c r="AA15" s="139"/>
    </row>
    <row r="16" spans="1:27" x14ac:dyDescent="0.35">
      <c r="A16" s="139"/>
      <c r="AA16" s="139"/>
    </row>
    <row r="17" spans="1:27" x14ac:dyDescent="0.35">
      <c r="A17" s="206"/>
      <c r="B17" s="205"/>
      <c r="C17" s="184"/>
      <c r="D17" s="184"/>
      <c r="E17" s="74"/>
      <c r="F17" s="74"/>
      <c r="G17" s="74"/>
      <c r="H17" s="206"/>
      <c r="I17" s="206"/>
      <c r="J17" s="205"/>
      <c r="K17" s="205"/>
      <c r="L17" s="74"/>
    </row>
    <row r="18" spans="1:27" x14ac:dyDescent="0.35">
      <c r="A18" s="206"/>
      <c r="B18" s="205"/>
      <c r="C18" s="184"/>
      <c r="D18" s="184"/>
      <c r="E18" s="74"/>
      <c r="F18" s="74"/>
      <c r="G18" s="74"/>
      <c r="H18" s="206"/>
      <c r="I18" s="206"/>
      <c r="J18" s="205"/>
      <c r="K18" s="205"/>
      <c r="L18" s="74"/>
    </row>
    <row r="19" spans="1:27" x14ac:dyDescent="0.35">
      <c r="A19" s="206"/>
      <c r="B19" s="205"/>
      <c r="C19" s="184"/>
      <c r="D19" s="184"/>
      <c r="E19" s="74"/>
      <c r="F19" s="74"/>
      <c r="G19" s="74"/>
      <c r="H19" s="206"/>
      <c r="I19" s="206"/>
      <c r="J19" s="205"/>
      <c r="K19" s="205"/>
      <c r="L19" s="74"/>
    </row>
    <row r="20" spans="1:27" x14ac:dyDescent="0.35">
      <c r="A20" s="191"/>
      <c r="B20" s="205"/>
      <c r="C20" s="74"/>
      <c r="D20" s="74"/>
      <c r="E20" s="74"/>
      <c r="F20" s="74"/>
      <c r="G20" s="74"/>
      <c r="H20" s="191"/>
      <c r="I20" s="191"/>
      <c r="J20" s="74"/>
      <c r="K20" s="184"/>
      <c r="L20" s="74"/>
    </row>
    <row r="21" spans="1:27" x14ac:dyDescent="0.35">
      <c r="A21" s="74"/>
      <c r="B21" s="206"/>
      <c r="C21" s="74"/>
      <c r="D21" s="74"/>
      <c r="E21" s="74"/>
      <c r="F21" s="74"/>
      <c r="G21" s="74"/>
      <c r="H21" s="74"/>
      <c r="I21" s="74"/>
      <c r="J21" s="74"/>
      <c r="K21" s="184"/>
      <c r="L21" s="74"/>
    </row>
    <row r="22" spans="1:27" x14ac:dyDescent="0.35">
      <c r="A22" s="205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1:27" x14ac:dyDescent="0.35">
      <c r="A23" s="206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</row>
    <row r="24" spans="1:27" x14ac:dyDescent="0.35">
      <c r="A24" s="206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</row>
    <row r="25" spans="1:27" x14ac:dyDescent="0.35">
      <c r="A25" s="206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1:27" x14ac:dyDescent="0.35">
      <c r="A26" s="206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1:27" x14ac:dyDescent="0.35">
      <c r="A27" s="206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27" x14ac:dyDescent="0.35">
      <c r="A28" s="206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1:27" x14ac:dyDescent="0.35">
      <c r="A29" s="206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1:27" x14ac:dyDescent="0.35">
      <c r="A30" s="168"/>
    </row>
    <row r="31" spans="1:27" ht="27" thickBot="1" x14ac:dyDescent="0.45">
      <c r="A31" s="520" t="s">
        <v>129</v>
      </c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</row>
    <row r="32" spans="1:27" s="337" customFormat="1" ht="22.5" thickTop="1" thickBot="1" x14ac:dyDescent="0.4">
      <c r="A32" s="334">
        <v>8.3145000000000007</v>
      </c>
      <c r="B32" s="333" t="s">
        <v>58</v>
      </c>
      <c r="C32" s="333" t="s">
        <v>59</v>
      </c>
      <c r="D32" s="332" t="s">
        <v>140</v>
      </c>
      <c r="E32" s="332" t="s">
        <v>128</v>
      </c>
      <c r="F32" s="333" t="s">
        <v>141</v>
      </c>
      <c r="G32" s="333" t="s">
        <v>40</v>
      </c>
      <c r="H32" s="333" t="s">
        <v>71</v>
      </c>
      <c r="I32" s="333" t="s">
        <v>72</v>
      </c>
      <c r="J32" s="333" t="s">
        <v>74</v>
      </c>
      <c r="K32" s="333" t="str">
        <f>"-3          e *T^(-3)"</f>
        <v>-3          e *T^(-3)</v>
      </c>
      <c r="L32" s="333" t="str">
        <f>" 3           f *T^3"</f>
        <v xml:space="preserve"> 3           f *T^3</v>
      </c>
      <c r="M32" s="333" t="s">
        <v>142</v>
      </c>
      <c r="N32" s="333" t="s">
        <v>143</v>
      </c>
      <c r="O32" s="333" t="s">
        <v>53</v>
      </c>
      <c r="P32" s="333" t="s">
        <v>51</v>
      </c>
      <c r="Q32" s="333" t="s">
        <v>54</v>
      </c>
      <c r="R32" s="333" t="s">
        <v>52</v>
      </c>
      <c r="S32" s="333" t="s">
        <v>41</v>
      </c>
      <c r="T32" s="333" t="s">
        <v>42</v>
      </c>
      <c r="U32" s="333" t="s">
        <v>43</v>
      </c>
      <c r="V32" s="333" t="s">
        <v>44</v>
      </c>
      <c r="W32" s="333" t="s">
        <v>45</v>
      </c>
      <c r="X32" s="333" t="s">
        <v>46</v>
      </c>
      <c r="Y32" s="333" t="s">
        <v>47</v>
      </c>
      <c r="Z32" s="335" t="s">
        <v>48</v>
      </c>
      <c r="AA32" s="336" t="s">
        <v>144</v>
      </c>
    </row>
    <row r="33" spans="1:28" ht="22.5" thickTop="1" thickBot="1" x14ac:dyDescent="0.4">
      <c r="A33" s="243" t="s">
        <v>130</v>
      </c>
      <c r="B33" s="252">
        <v>298.14999999999998</v>
      </c>
      <c r="C33" s="253">
        <v>398</v>
      </c>
      <c r="D33" s="209" t="s">
        <v>69</v>
      </c>
      <c r="E33" s="269">
        <v>5.0209999999999999</v>
      </c>
      <c r="F33" s="270">
        <v>48.408999999999999</v>
      </c>
      <c r="G33" s="270">
        <v>27.15</v>
      </c>
      <c r="H33" s="270">
        <v>0</v>
      </c>
      <c r="I33" s="270">
        <v>0</v>
      </c>
      <c r="J33" s="270">
        <v>0</v>
      </c>
      <c r="K33" s="276">
        <v>0</v>
      </c>
      <c r="L33" s="277">
        <v>0</v>
      </c>
      <c r="M33" s="210">
        <v>2.9814999999999998E-2</v>
      </c>
      <c r="N33" s="210">
        <v>3.9800000000000002E-2</v>
      </c>
      <c r="O33" s="211">
        <v>5021</v>
      </c>
      <c r="P33" s="212">
        <v>7731.9275000000007</v>
      </c>
      <c r="Q33" s="213">
        <v>48.408999999999999</v>
      </c>
      <c r="R33" s="214">
        <v>56.251421115771024</v>
      </c>
      <c r="S33" s="215">
        <v>6.0388477960190028E-2</v>
      </c>
      <c r="T33" s="216">
        <v>14.027300531776039</v>
      </c>
      <c r="U33" s="215">
        <v>3.265379758253653</v>
      </c>
      <c r="V33" s="216">
        <v>0</v>
      </c>
      <c r="W33" s="215">
        <v>9.7357297492332656E-2</v>
      </c>
      <c r="X33" s="216">
        <v>0</v>
      </c>
      <c r="Y33" s="215">
        <v>0</v>
      </c>
      <c r="Z33" s="216">
        <v>0</v>
      </c>
      <c r="AA33" s="217" t="s">
        <v>137</v>
      </c>
      <c r="AB33" s="315">
        <v>0</v>
      </c>
    </row>
    <row r="34" spans="1:28" s="32" customFormat="1" ht="21.75" thickBot="1" x14ac:dyDescent="0.4">
      <c r="A34" s="244" t="s">
        <v>131</v>
      </c>
      <c r="B34" s="252">
        <v>298</v>
      </c>
      <c r="C34" s="253">
        <v>413</v>
      </c>
      <c r="D34" s="209" t="s">
        <v>69</v>
      </c>
      <c r="E34" s="269">
        <v>8.9540000000000006</v>
      </c>
      <c r="F34" s="270">
        <v>188.154</v>
      </c>
      <c r="G34" s="270">
        <v>107.52</v>
      </c>
      <c r="H34" s="270">
        <v>-9.06</v>
      </c>
      <c r="I34" s="270">
        <v>-4.3810000000000002</v>
      </c>
      <c r="J34" s="270">
        <v>57.073</v>
      </c>
      <c r="K34" s="276">
        <v>0</v>
      </c>
      <c r="L34" s="277">
        <v>0</v>
      </c>
      <c r="M34" s="210">
        <v>2.98E-2</v>
      </c>
      <c r="N34" s="210">
        <v>4.1300000000000003E-2</v>
      </c>
      <c r="O34" s="211">
        <v>8954</v>
      </c>
      <c r="P34" s="212">
        <v>21375.76204940235</v>
      </c>
      <c r="Q34" s="213">
        <v>188.154</v>
      </c>
      <c r="R34" s="214">
        <v>223.35254329552305</v>
      </c>
      <c r="S34" s="215">
        <v>0.10769138252450537</v>
      </c>
      <c r="T34" s="216">
        <v>54.853251742343801</v>
      </c>
      <c r="U34" s="215">
        <v>12.931625473570268</v>
      </c>
      <c r="V34" s="216">
        <v>-2.6345540922484819E-4</v>
      </c>
      <c r="W34" s="215">
        <v>0.40426080105349993</v>
      </c>
      <c r="X34" s="216">
        <v>-5.4483131878044384</v>
      </c>
      <c r="Y34" s="215">
        <v>114.404554292702</v>
      </c>
      <c r="Z34" s="216">
        <v>0</v>
      </c>
      <c r="AA34" s="217" t="s">
        <v>137</v>
      </c>
      <c r="AB34" s="309">
        <v>0</v>
      </c>
    </row>
    <row r="35" spans="1:28" s="32" customFormat="1" ht="21.75" thickBot="1" x14ac:dyDescent="0.4">
      <c r="A35" s="243" t="s">
        <v>76</v>
      </c>
      <c r="B35" s="252">
        <v>298.14999999999998</v>
      </c>
      <c r="C35" s="253">
        <v>398</v>
      </c>
      <c r="D35" s="209" t="s">
        <v>69</v>
      </c>
      <c r="E35" s="269">
        <v>-183.25899999999999</v>
      </c>
      <c r="F35" s="270">
        <v>112.968</v>
      </c>
      <c r="G35" s="270">
        <v>0</v>
      </c>
      <c r="H35" s="270">
        <v>0</v>
      </c>
      <c r="I35" s="270">
        <v>0</v>
      </c>
      <c r="J35" s="270">
        <v>0</v>
      </c>
      <c r="K35" s="276">
        <v>0</v>
      </c>
      <c r="L35" s="277">
        <v>0</v>
      </c>
      <c r="M35" s="210">
        <v>2.9814999999999998E-2</v>
      </c>
      <c r="N35" s="210">
        <v>3.9800000000000002E-2</v>
      </c>
      <c r="O35" s="211">
        <v>-183259</v>
      </c>
      <c r="P35" s="212">
        <v>-183258.99999999997</v>
      </c>
      <c r="Q35" s="213">
        <v>112.968</v>
      </c>
      <c r="R35" s="214">
        <v>112.968</v>
      </c>
      <c r="S35" s="215">
        <v>-2.2040892416862103</v>
      </c>
      <c r="T35" s="216">
        <v>13.586866317878405</v>
      </c>
      <c r="U35" s="215">
        <v>0</v>
      </c>
      <c r="V35" s="216">
        <v>0</v>
      </c>
      <c r="W35" s="215">
        <v>0</v>
      </c>
      <c r="X35" s="216">
        <v>0</v>
      </c>
      <c r="Y35" s="215">
        <v>0</v>
      </c>
      <c r="Z35" s="216">
        <v>0</v>
      </c>
      <c r="AA35" s="217" t="s">
        <v>137</v>
      </c>
      <c r="AB35" s="309">
        <v>0</v>
      </c>
    </row>
    <row r="36" spans="1:28" s="32" customFormat="1" ht="21.75" thickBot="1" x14ac:dyDescent="0.4">
      <c r="A36" s="245" t="s">
        <v>77</v>
      </c>
      <c r="B36" s="254">
        <v>298.14999999999998</v>
      </c>
      <c r="C36" s="255">
        <v>1293</v>
      </c>
      <c r="D36" s="218" t="s">
        <v>69</v>
      </c>
      <c r="E36" s="269">
        <v>-408.77699999999999</v>
      </c>
      <c r="F36" s="270">
        <v>179.91200000000001</v>
      </c>
      <c r="G36" s="270">
        <v>105.73</v>
      </c>
      <c r="H36" s="270">
        <v>35.313000000000002</v>
      </c>
      <c r="I36" s="270">
        <v>0</v>
      </c>
      <c r="J36" s="270">
        <v>0</v>
      </c>
      <c r="K36" s="276">
        <v>0</v>
      </c>
      <c r="L36" s="277">
        <v>0</v>
      </c>
      <c r="M36" s="210">
        <v>2.9814999999999998E-2</v>
      </c>
      <c r="N36" s="210">
        <v>0.1293</v>
      </c>
      <c r="O36" s="211">
        <v>-408777</v>
      </c>
      <c r="P36" s="212">
        <v>-275642.05434587126</v>
      </c>
      <c r="Q36" s="213">
        <v>179.91200000000001</v>
      </c>
      <c r="R36" s="214">
        <v>370.16212296042596</v>
      </c>
      <c r="S36" s="215">
        <v>-4.9164351434241382</v>
      </c>
      <c r="T36" s="216">
        <v>52.324952293212974</v>
      </c>
      <c r="U36" s="215">
        <v>12.716338925972698</v>
      </c>
      <c r="V36" s="216">
        <v>0</v>
      </c>
      <c r="W36" s="215">
        <v>0.39801486817452936</v>
      </c>
      <c r="X36" s="216">
        <v>21.235792891935773</v>
      </c>
      <c r="Y36" s="215">
        <v>0</v>
      </c>
      <c r="Z36" s="216">
        <v>0</v>
      </c>
      <c r="AA36" s="217" t="s">
        <v>137</v>
      </c>
      <c r="AB36" s="309" t="s">
        <v>133</v>
      </c>
    </row>
    <row r="37" spans="1:28" s="32" customFormat="1" x14ac:dyDescent="0.35">
      <c r="A37" s="246" t="s">
        <v>93</v>
      </c>
      <c r="B37" s="256">
        <v>298.14999999999998</v>
      </c>
      <c r="C37" s="257">
        <v>350</v>
      </c>
      <c r="D37" s="219" t="s">
        <v>69</v>
      </c>
      <c r="E37" s="271">
        <v>-112.968</v>
      </c>
      <c r="F37" s="272">
        <v>115.395</v>
      </c>
      <c r="G37" s="272">
        <v>146.40600000000001</v>
      </c>
      <c r="H37" s="272">
        <v>-419.279</v>
      </c>
      <c r="I37" s="272">
        <v>-9.6690000000000005</v>
      </c>
      <c r="J37" s="272">
        <v>690.01700000000005</v>
      </c>
      <c r="K37" s="238">
        <v>0</v>
      </c>
      <c r="L37" s="262">
        <v>0</v>
      </c>
      <c r="M37" s="220">
        <v>2.9814999999999998E-2</v>
      </c>
      <c r="N37" s="220">
        <v>3.5000000000000003E-2</v>
      </c>
      <c r="O37" s="221">
        <v>-112968</v>
      </c>
      <c r="P37" s="222">
        <v>-109137.02129574418</v>
      </c>
      <c r="Q37" s="223">
        <v>115.395</v>
      </c>
      <c r="R37" s="224">
        <v>127.2321509136336</v>
      </c>
      <c r="S37" s="225">
        <v>-1.3586866317878405</v>
      </c>
      <c r="T37" s="226">
        <v>68.816676906083146</v>
      </c>
      <c r="U37" s="225">
        <v>17.608515244452462</v>
      </c>
      <c r="V37" s="226">
        <v>-5.8145408623489088E-4</v>
      </c>
      <c r="W37" s="225">
        <v>0.41318596346922787</v>
      </c>
      <c r="X37" s="226">
        <v>-252.13723014011663</v>
      </c>
      <c r="Y37" s="225">
        <v>1383.1599414677171</v>
      </c>
      <c r="Z37" s="226">
        <v>0</v>
      </c>
      <c r="AA37" s="227" t="s">
        <v>137</v>
      </c>
      <c r="AB37" s="309">
        <v>0</v>
      </c>
    </row>
    <row r="38" spans="1:28" s="32" customFormat="1" x14ac:dyDescent="0.35">
      <c r="A38" s="247" t="s">
        <v>93</v>
      </c>
      <c r="B38" s="258">
        <v>350</v>
      </c>
      <c r="C38" s="259">
        <v>420</v>
      </c>
      <c r="D38" s="205" t="s">
        <v>69</v>
      </c>
      <c r="E38" s="273">
        <v>0</v>
      </c>
      <c r="F38" s="208">
        <v>0</v>
      </c>
      <c r="G38" s="208">
        <v>14.651999999999999</v>
      </c>
      <c r="H38" s="208">
        <v>175.816</v>
      </c>
      <c r="I38" s="208">
        <v>0</v>
      </c>
      <c r="J38" s="208">
        <v>0</v>
      </c>
      <c r="K38" s="207">
        <v>0</v>
      </c>
      <c r="L38" s="264">
        <v>0</v>
      </c>
      <c r="M38" s="176">
        <v>3.5000000000000003E-2</v>
      </c>
      <c r="N38" s="176">
        <v>4.2000000000000003E-2</v>
      </c>
      <c r="O38" s="186">
        <v>-109137.02129574418</v>
      </c>
      <c r="P38" s="187">
        <v>-103373.14009574415</v>
      </c>
      <c r="Q38" s="188">
        <v>127.2321509136336</v>
      </c>
      <c r="R38" s="189">
        <v>142.21064636377864</v>
      </c>
      <c r="S38" s="183">
        <v>-1.3586866317878405</v>
      </c>
      <c r="T38" s="182">
        <v>12.046908589131874</v>
      </c>
      <c r="U38" s="183">
        <v>1.7622226231282696</v>
      </c>
      <c r="V38" s="182">
        <v>0</v>
      </c>
      <c r="W38" s="183">
        <v>0.14511938535984314</v>
      </c>
      <c r="X38" s="182">
        <v>105.72854651512418</v>
      </c>
      <c r="Y38" s="183">
        <v>0</v>
      </c>
      <c r="Z38" s="182">
        <v>0</v>
      </c>
      <c r="AA38" s="228" t="s">
        <v>137</v>
      </c>
      <c r="AB38" s="309">
        <v>0</v>
      </c>
    </row>
    <row r="39" spans="1:28" s="32" customFormat="1" x14ac:dyDescent="0.35">
      <c r="A39" s="247" t="s">
        <v>93</v>
      </c>
      <c r="B39" s="258">
        <v>420</v>
      </c>
      <c r="C39" s="259">
        <v>450</v>
      </c>
      <c r="D39" s="205" t="s">
        <v>69</v>
      </c>
      <c r="E39" s="273">
        <v>0</v>
      </c>
      <c r="F39" s="208">
        <v>0</v>
      </c>
      <c r="G39" s="208">
        <v>83.006</v>
      </c>
      <c r="H39" s="208">
        <v>0</v>
      </c>
      <c r="I39" s="208">
        <v>0</v>
      </c>
      <c r="J39" s="208">
        <v>0</v>
      </c>
      <c r="K39" s="207">
        <v>0</v>
      </c>
      <c r="L39" s="264">
        <v>0</v>
      </c>
      <c r="M39" s="176">
        <v>4.2000000000000003E-2</v>
      </c>
      <c r="N39" s="176">
        <v>4.4999999999999998E-2</v>
      </c>
      <c r="O39" s="186">
        <v>-103373.14009574415</v>
      </c>
      <c r="P39" s="187">
        <v>-100882.96009574414</v>
      </c>
      <c r="Q39" s="188">
        <v>142.21064636377864</v>
      </c>
      <c r="R39" s="189">
        <v>147.93746865442452</v>
      </c>
      <c r="S39" s="183">
        <v>-1.3586866317878405</v>
      </c>
      <c r="T39" s="182">
        <v>38.768510038576053</v>
      </c>
      <c r="U39" s="183">
        <v>9.9832822178122544</v>
      </c>
      <c r="V39" s="182">
        <v>0</v>
      </c>
      <c r="W39" s="183">
        <v>0.30389873228389108</v>
      </c>
      <c r="X39" s="182">
        <v>0</v>
      </c>
      <c r="Y39" s="183">
        <v>0</v>
      </c>
      <c r="Z39" s="182">
        <v>0</v>
      </c>
      <c r="AA39" s="228" t="s">
        <v>137</v>
      </c>
      <c r="AB39" s="309">
        <v>0</v>
      </c>
    </row>
    <row r="40" spans="1:28" s="32" customFormat="1" ht="21.75" thickBot="1" x14ac:dyDescent="0.4">
      <c r="A40" s="248" t="s">
        <v>93</v>
      </c>
      <c r="B40" s="260">
        <v>450</v>
      </c>
      <c r="C40" s="240">
        <v>900</v>
      </c>
      <c r="D40" s="229" t="s">
        <v>69</v>
      </c>
      <c r="E40" s="274">
        <v>0</v>
      </c>
      <c r="F40" s="275">
        <v>0</v>
      </c>
      <c r="G40" s="275">
        <v>16.878</v>
      </c>
      <c r="H40" s="275">
        <v>102.194</v>
      </c>
      <c r="I40" s="275">
        <v>45.500999999999998</v>
      </c>
      <c r="J40" s="275">
        <v>-39.966000000000001</v>
      </c>
      <c r="K40" s="239">
        <v>0</v>
      </c>
      <c r="L40" s="266">
        <v>0</v>
      </c>
      <c r="M40" s="230">
        <v>4.4999999999999998E-2</v>
      </c>
      <c r="N40" s="230">
        <v>0.09</v>
      </c>
      <c r="O40" s="231">
        <v>-100882.96009574414</v>
      </c>
      <c r="P40" s="232">
        <v>-65688.536679077442</v>
      </c>
      <c r="Q40" s="233">
        <v>147.93746865442452</v>
      </c>
      <c r="R40" s="234">
        <v>201.91014537902635</v>
      </c>
      <c r="S40" s="235">
        <v>-1.3586866317878405</v>
      </c>
      <c r="T40" s="236">
        <v>18.364758562217371</v>
      </c>
      <c r="U40" s="235">
        <v>2.0299476817607793</v>
      </c>
      <c r="V40" s="236">
        <v>2.736243911239401E-3</v>
      </c>
      <c r="W40" s="235">
        <v>-6.5765806573927721E-2</v>
      </c>
      <c r="X40" s="236">
        <v>61.455288953033858</v>
      </c>
      <c r="Y40" s="235">
        <v>-80.11305550544229</v>
      </c>
      <c r="Z40" s="236">
        <v>0</v>
      </c>
      <c r="AA40" s="237" t="s">
        <v>137</v>
      </c>
      <c r="AB40" s="309">
        <v>0</v>
      </c>
    </row>
    <row r="41" spans="1:28" s="32" customFormat="1" ht="21.75" thickBot="1" x14ac:dyDescent="0.4">
      <c r="A41" s="244" t="s">
        <v>132</v>
      </c>
      <c r="B41" s="254">
        <v>298.14999999999998</v>
      </c>
      <c r="C41" s="253">
        <v>398</v>
      </c>
      <c r="D41" s="209" t="s">
        <v>69</v>
      </c>
      <c r="E41" s="269">
        <v>16.318000000000001</v>
      </c>
      <c r="F41" s="270">
        <v>52.3</v>
      </c>
      <c r="G41" s="270">
        <v>40.585000000000001</v>
      </c>
      <c r="H41" s="270">
        <v>0</v>
      </c>
      <c r="I41" s="270">
        <v>0</v>
      </c>
      <c r="J41" s="270">
        <v>0</v>
      </c>
      <c r="K41" s="276">
        <v>0</v>
      </c>
      <c r="L41" s="277">
        <v>0</v>
      </c>
      <c r="M41" s="210">
        <v>2.9814999999999998E-2</v>
      </c>
      <c r="N41" s="210">
        <v>3.9800000000000002E-2</v>
      </c>
      <c r="O41" s="211">
        <v>16318.000000000002</v>
      </c>
      <c r="P41" s="212">
        <v>20370.412250000005</v>
      </c>
      <c r="Q41" s="213">
        <v>52.3</v>
      </c>
      <c r="R41" s="214">
        <v>64.023191933096371</v>
      </c>
      <c r="S41" s="215">
        <v>0.1962595465752601</v>
      </c>
      <c r="T41" s="216">
        <v>18.555499584494658</v>
      </c>
      <c r="U41" s="215">
        <v>4.881231583378435</v>
      </c>
      <c r="V41" s="216">
        <v>0</v>
      </c>
      <c r="W41" s="215">
        <v>0.14553391965842802</v>
      </c>
      <c r="X41" s="216">
        <v>0</v>
      </c>
      <c r="Y41" s="215">
        <v>0</v>
      </c>
      <c r="Z41" s="216">
        <v>0</v>
      </c>
      <c r="AA41" s="217" t="s">
        <v>137</v>
      </c>
      <c r="AB41" s="309">
        <v>0</v>
      </c>
    </row>
    <row r="42" spans="1:28" s="32" customFormat="1" x14ac:dyDescent="0.35">
      <c r="A42" s="246" t="s">
        <v>75</v>
      </c>
      <c r="B42" s="261">
        <v>298.14999999999998</v>
      </c>
      <c r="C42" s="262">
        <v>302.91000000000003</v>
      </c>
      <c r="D42" s="219" t="s">
        <v>69</v>
      </c>
      <c r="E42" s="271">
        <v>0</v>
      </c>
      <c r="F42" s="272">
        <v>40.726999999999997</v>
      </c>
      <c r="G42" s="272">
        <v>-385.053</v>
      </c>
      <c r="H42" s="272">
        <v>1732.9169999999999</v>
      </c>
      <c r="I42" s="272">
        <v>65.540999999999997</v>
      </c>
      <c r="J42" s="272">
        <v>-2016.1869999999999</v>
      </c>
      <c r="K42" s="238">
        <v>0</v>
      </c>
      <c r="L42" s="262">
        <v>0</v>
      </c>
      <c r="M42" s="220">
        <v>2.9814999999999998E-2</v>
      </c>
      <c r="N42" s="220">
        <v>3.0291000000000002E-2</v>
      </c>
      <c r="O42" s="221">
        <v>0</v>
      </c>
      <c r="P42" s="222">
        <v>124.75698787267221</v>
      </c>
      <c r="Q42" s="223">
        <v>40.726999999999997</v>
      </c>
      <c r="R42" s="224">
        <v>41.142128128570683</v>
      </c>
      <c r="S42" s="225">
        <v>0</v>
      </c>
      <c r="T42" s="226">
        <v>-158.39844524532509</v>
      </c>
      <c r="U42" s="225">
        <v>-46.311022911780618</v>
      </c>
      <c r="V42" s="226">
        <v>3.9413674905285946E-3</v>
      </c>
      <c r="W42" s="225">
        <v>-0.93301705784567912</v>
      </c>
      <c r="X42" s="226">
        <v>1042.105358109327</v>
      </c>
      <c r="Y42" s="225">
        <v>-4041.5078076452774</v>
      </c>
      <c r="Z42" s="226">
        <v>0</v>
      </c>
      <c r="AA42" s="227" t="s">
        <v>137</v>
      </c>
      <c r="AB42" s="309">
        <v>0</v>
      </c>
    </row>
    <row r="43" spans="1:28" s="32" customFormat="1" x14ac:dyDescent="0.35">
      <c r="A43" s="247" t="s">
        <v>75</v>
      </c>
      <c r="B43" s="263">
        <v>302.91000000000003</v>
      </c>
      <c r="C43" s="264">
        <v>700</v>
      </c>
      <c r="D43" s="184" t="s">
        <v>61</v>
      </c>
      <c r="E43" s="273">
        <v>5.59</v>
      </c>
      <c r="F43" s="208">
        <v>18.454000000000001</v>
      </c>
      <c r="G43" s="208">
        <v>26.071000000000002</v>
      </c>
      <c r="H43" s="208">
        <v>-0.307</v>
      </c>
      <c r="I43" s="208">
        <v>2.3660000000000001</v>
      </c>
      <c r="J43" s="208">
        <v>0.246</v>
      </c>
      <c r="K43" s="207">
        <v>0</v>
      </c>
      <c r="L43" s="264">
        <v>0</v>
      </c>
      <c r="M43" s="176">
        <v>3.0291000000000002E-2</v>
      </c>
      <c r="N43" s="176">
        <v>7.0000000000000007E-2</v>
      </c>
      <c r="O43" s="186">
        <v>5714.7569878726727</v>
      </c>
      <c r="P43" s="187">
        <v>16475.096727126416</v>
      </c>
      <c r="Q43" s="188">
        <v>59.596128128570683</v>
      </c>
      <c r="R43" s="189">
        <v>82.409320091077461</v>
      </c>
      <c r="S43" s="183">
        <v>6.7231944193878151E-2</v>
      </c>
      <c r="T43" s="182">
        <v>15.161939633818086</v>
      </c>
      <c r="U43" s="183">
        <v>3.1356064706236091</v>
      </c>
      <c r="V43" s="182">
        <v>1.4228155631727706E-4</v>
      </c>
      <c r="W43" s="183">
        <v>8.3943884453347564E-2</v>
      </c>
      <c r="X43" s="182">
        <v>-0.18461723495098922</v>
      </c>
      <c r="Y43" s="183">
        <v>0.49311443863130677</v>
      </c>
      <c r="Z43" s="182">
        <v>0</v>
      </c>
      <c r="AA43" s="228" t="s">
        <v>137</v>
      </c>
      <c r="AB43" s="309">
        <v>0</v>
      </c>
    </row>
    <row r="44" spans="1:28" s="32" customFormat="1" ht="21.75" thickBot="1" x14ac:dyDescent="0.4">
      <c r="A44" s="248" t="s">
        <v>75</v>
      </c>
      <c r="B44" s="265">
        <v>700</v>
      </c>
      <c r="C44" s="266">
        <v>4000</v>
      </c>
      <c r="D44" s="229" t="s">
        <v>61</v>
      </c>
      <c r="E44" s="274">
        <v>0</v>
      </c>
      <c r="F44" s="275">
        <v>0</v>
      </c>
      <c r="G44" s="275">
        <v>26.068999999999999</v>
      </c>
      <c r="H44" s="275">
        <v>-0.30099999999999999</v>
      </c>
      <c r="I44" s="275">
        <v>2.37</v>
      </c>
      <c r="J44" s="275">
        <v>0.24099999999999999</v>
      </c>
      <c r="K44" s="239">
        <v>0</v>
      </c>
      <c r="L44" s="266">
        <v>0</v>
      </c>
      <c r="M44" s="230">
        <v>7.0000000000000007E-2</v>
      </c>
      <c r="N44" s="230">
        <v>0.4</v>
      </c>
      <c r="O44" s="231">
        <v>16475.096727126416</v>
      </c>
      <c r="P44" s="232">
        <v>105561.64215569783</v>
      </c>
      <c r="Q44" s="233">
        <v>82.409320091077461</v>
      </c>
      <c r="R44" s="234">
        <v>128.9568723893446</v>
      </c>
      <c r="S44" s="235">
        <v>6.7231944193878151E-2</v>
      </c>
      <c r="T44" s="236">
        <v>15.161231791276917</v>
      </c>
      <c r="U44" s="235">
        <v>3.1353659269950085</v>
      </c>
      <c r="V44" s="236">
        <v>1.4252209994587768E-4</v>
      </c>
      <c r="W44" s="235">
        <v>8.3930978142227303E-2</v>
      </c>
      <c r="X44" s="236">
        <v>-0.18100908052197964</v>
      </c>
      <c r="Y44" s="235">
        <v>0.48309178743961351</v>
      </c>
      <c r="Z44" s="236">
        <v>0</v>
      </c>
      <c r="AA44" s="237" t="s">
        <v>137</v>
      </c>
      <c r="AB44" s="309">
        <v>0</v>
      </c>
    </row>
    <row r="45" spans="1:28" s="32" customFormat="1" x14ac:dyDescent="0.35">
      <c r="A45" s="249" t="s">
        <v>68</v>
      </c>
      <c r="B45" s="256">
        <v>298.14999999999998</v>
      </c>
      <c r="C45" s="257">
        <v>1211.4000000000001</v>
      </c>
      <c r="D45" s="219" t="s">
        <v>69</v>
      </c>
      <c r="E45" s="271">
        <v>0</v>
      </c>
      <c r="F45" s="272">
        <v>31.087</v>
      </c>
      <c r="G45" s="272">
        <v>24.1</v>
      </c>
      <c r="H45" s="272">
        <v>2.99</v>
      </c>
      <c r="I45" s="272">
        <v>-1.57</v>
      </c>
      <c r="J45" s="272">
        <v>0</v>
      </c>
      <c r="K45" s="238">
        <v>0</v>
      </c>
      <c r="L45" s="262">
        <v>0</v>
      </c>
      <c r="M45" s="220">
        <v>2.9814999999999998E-2</v>
      </c>
      <c r="N45" s="220">
        <v>0.12114000000000001</v>
      </c>
      <c r="O45" s="221">
        <v>0</v>
      </c>
      <c r="P45" s="222">
        <v>23673.348356575047</v>
      </c>
      <c r="Q45" s="223">
        <v>31.087</v>
      </c>
      <c r="R45" s="224">
        <v>66.774670463076021</v>
      </c>
      <c r="S45" s="225">
        <v>0</v>
      </c>
      <c r="T45" s="226">
        <v>10.808776674393879</v>
      </c>
      <c r="U45" s="225">
        <v>2.8985507246376812</v>
      </c>
      <c r="V45" s="226">
        <v>-9.4413374225750193E-5</v>
      </c>
      <c r="W45" s="225">
        <v>9.4351930325122887E-2</v>
      </c>
      <c r="X45" s="226">
        <v>1.7980636237897649</v>
      </c>
      <c r="Y45" s="225">
        <v>0</v>
      </c>
      <c r="Z45" s="226">
        <v>0</v>
      </c>
      <c r="AA45" s="227" t="s">
        <v>137</v>
      </c>
      <c r="AB45" s="309" t="s">
        <v>133</v>
      </c>
    </row>
    <row r="46" spans="1:28" s="32" customFormat="1" ht="21.75" thickBot="1" x14ac:dyDescent="0.4">
      <c r="A46" s="250" t="s">
        <v>68</v>
      </c>
      <c r="B46" s="267">
        <v>1211.4000000000001</v>
      </c>
      <c r="C46" s="268">
        <v>4900</v>
      </c>
      <c r="D46" s="184" t="s">
        <v>61</v>
      </c>
      <c r="E46" s="273">
        <v>36.945</v>
      </c>
      <c r="F46" s="208">
        <v>30.521999999999998</v>
      </c>
      <c r="G46" s="208">
        <v>27.6</v>
      </c>
      <c r="H46" s="208">
        <v>0</v>
      </c>
      <c r="I46" s="208">
        <v>0</v>
      </c>
      <c r="J46" s="208">
        <v>0</v>
      </c>
      <c r="K46" s="207">
        <v>0</v>
      </c>
      <c r="L46" s="264">
        <v>0</v>
      </c>
      <c r="M46" s="230">
        <v>0.12114000000000001</v>
      </c>
      <c r="N46" s="230">
        <v>0.49</v>
      </c>
      <c r="O46" s="231">
        <v>60618.34835657505</v>
      </c>
      <c r="P46" s="232">
        <v>162423.70835657502</v>
      </c>
      <c r="Q46" s="233">
        <v>97.296670463076026</v>
      </c>
      <c r="R46" s="234">
        <v>135.86652477470767</v>
      </c>
      <c r="S46" s="183">
        <v>0.44434421793252749</v>
      </c>
      <c r="T46" s="182">
        <v>15.389377795432761</v>
      </c>
      <c r="U46" s="183">
        <v>3.3195020746887964</v>
      </c>
      <c r="V46" s="182">
        <v>0</v>
      </c>
      <c r="W46" s="183">
        <v>0.11740082558692588</v>
      </c>
      <c r="X46" s="182">
        <v>0</v>
      </c>
      <c r="Y46" s="183">
        <v>0</v>
      </c>
      <c r="Z46" s="182">
        <v>0</v>
      </c>
      <c r="AA46" s="228" t="s">
        <v>137</v>
      </c>
      <c r="AB46" s="309"/>
    </row>
    <row r="47" spans="1:28" s="32" customFormat="1" x14ac:dyDescent="0.35">
      <c r="A47" s="246" t="s">
        <v>92</v>
      </c>
      <c r="B47" s="256">
        <v>298.14999999999998</v>
      </c>
      <c r="C47" s="257">
        <v>948</v>
      </c>
      <c r="D47" s="219" t="s">
        <v>69</v>
      </c>
      <c r="E47" s="271">
        <v>-69.036000000000001</v>
      </c>
      <c r="F47" s="272">
        <v>78.241</v>
      </c>
      <c r="G47" s="272">
        <v>45.104999999999997</v>
      </c>
      <c r="H47" s="272">
        <v>16.393999999999998</v>
      </c>
      <c r="I47" s="272">
        <v>0</v>
      </c>
      <c r="J47" s="272">
        <v>6.0000000000000001E-3</v>
      </c>
      <c r="K47" s="238">
        <v>0</v>
      </c>
      <c r="L47" s="262">
        <v>0</v>
      </c>
      <c r="M47" s="220">
        <v>2.9814999999999998E-2</v>
      </c>
      <c r="N47" s="220">
        <v>9.4799999999999995E-2</v>
      </c>
      <c r="O47" s="221">
        <v>-69036</v>
      </c>
      <c r="P47" s="222">
        <v>-33084.847510596337</v>
      </c>
      <c r="Q47" s="223">
        <v>78.241</v>
      </c>
      <c r="R47" s="224">
        <v>141.07263030020036</v>
      </c>
      <c r="S47" s="241">
        <v>-0.83030849720368027</v>
      </c>
      <c r="T47" s="226">
        <v>22.453564837569701</v>
      </c>
      <c r="U47" s="225">
        <v>5.4248601840158752</v>
      </c>
      <c r="V47" s="226">
        <v>0</v>
      </c>
      <c r="W47" s="225">
        <v>0.17050656252787699</v>
      </c>
      <c r="X47" s="226">
        <v>9.8586806181971252</v>
      </c>
      <c r="Y47" s="225">
        <v>1.2027181430031871E-2</v>
      </c>
      <c r="Z47" s="226">
        <v>0</v>
      </c>
      <c r="AA47" s="227" t="s">
        <v>137</v>
      </c>
      <c r="AB47" s="309"/>
    </row>
    <row r="48" spans="1:28" s="32" customFormat="1" ht="21.75" thickBot="1" x14ac:dyDescent="0.4">
      <c r="A48" s="248" t="s">
        <v>92</v>
      </c>
      <c r="B48" s="260">
        <v>948</v>
      </c>
      <c r="C48" s="240">
        <v>1200</v>
      </c>
      <c r="D48" s="229" t="s">
        <v>61</v>
      </c>
      <c r="E48" s="274">
        <v>24.686</v>
      </c>
      <c r="F48" s="275">
        <v>26.041</v>
      </c>
      <c r="G48" s="275">
        <v>63.597000000000001</v>
      </c>
      <c r="H48" s="275">
        <v>0</v>
      </c>
      <c r="I48" s="275">
        <v>0</v>
      </c>
      <c r="J48" s="275">
        <v>0</v>
      </c>
      <c r="K48" s="239">
        <v>0</v>
      </c>
      <c r="L48" s="266">
        <v>0</v>
      </c>
      <c r="M48" s="230">
        <v>9.4799999999999995E-2</v>
      </c>
      <c r="N48" s="230">
        <v>0.12</v>
      </c>
      <c r="O48" s="231">
        <v>-8398.8475105963371</v>
      </c>
      <c r="P48" s="232">
        <v>7627.5964894036615</v>
      </c>
      <c r="Q48" s="233">
        <v>167.11363030020036</v>
      </c>
      <c r="R48" s="234">
        <v>182.10486354513984</v>
      </c>
      <c r="S48" s="242">
        <v>-0.53340549642191348</v>
      </c>
      <c r="T48" s="236">
        <v>30.47089586347429</v>
      </c>
      <c r="U48" s="235">
        <v>7.6489265740573691</v>
      </c>
      <c r="V48" s="236">
        <v>0</v>
      </c>
      <c r="W48" s="235">
        <v>0.29272720561183874</v>
      </c>
      <c r="X48" s="236">
        <v>0</v>
      </c>
      <c r="Y48" s="235">
        <v>0</v>
      </c>
      <c r="Z48" s="236">
        <v>0</v>
      </c>
      <c r="AA48" s="237" t="s">
        <v>137</v>
      </c>
      <c r="AB48" s="309"/>
    </row>
    <row r="49" spans="1:28" s="32" customFormat="1" x14ac:dyDescent="0.35">
      <c r="A49" s="249" t="s">
        <v>70</v>
      </c>
      <c r="B49" s="256">
        <v>298.14999999999998</v>
      </c>
      <c r="C49" s="257">
        <v>494.3</v>
      </c>
      <c r="D49" s="219" t="s">
        <v>69</v>
      </c>
      <c r="E49" s="271">
        <v>0</v>
      </c>
      <c r="F49" s="272">
        <v>42.442</v>
      </c>
      <c r="G49" s="272">
        <v>19.399999999999999</v>
      </c>
      <c r="H49" s="272">
        <v>22.7</v>
      </c>
      <c r="I49" s="272">
        <v>0</v>
      </c>
      <c r="J49" s="272">
        <v>-12.9</v>
      </c>
      <c r="K49" s="238">
        <v>0</v>
      </c>
      <c r="L49" s="262">
        <v>0</v>
      </c>
      <c r="M49" s="220">
        <v>2.9814999999999998E-2</v>
      </c>
      <c r="N49" s="220">
        <v>4.9430000000000002E-2</v>
      </c>
      <c r="O49" s="221">
        <v>0</v>
      </c>
      <c r="P49" s="222">
        <v>5164.1825198039123</v>
      </c>
      <c r="Q49" s="223">
        <v>42.442</v>
      </c>
      <c r="R49" s="224">
        <v>55.699613566654705</v>
      </c>
      <c r="S49" s="225">
        <v>0</v>
      </c>
      <c r="T49" s="226">
        <v>10.222452884649963</v>
      </c>
      <c r="U49" s="225">
        <v>2.3332731974261827</v>
      </c>
      <c r="V49" s="226">
        <v>0</v>
      </c>
      <c r="W49" s="225">
        <v>8.0330566811305376E-2</v>
      </c>
      <c r="X49" s="226">
        <v>13.650850923086173</v>
      </c>
      <c r="Y49" s="225">
        <v>-25.858440074568524</v>
      </c>
      <c r="Z49" s="226">
        <v>0</v>
      </c>
      <c r="AA49" s="227" t="s">
        <v>137</v>
      </c>
      <c r="AB49" s="309"/>
    </row>
    <row r="50" spans="1:28" s="32" customFormat="1" x14ac:dyDescent="0.35">
      <c r="A50" s="250" t="s">
        <v>70</v>
      </c>
      <c r="B50" s="267">
        <v>494.3</v>
      </c>
      <c r="C50" s="268">
        <v>1000</v>
      </c>
      <c r="D50" s="184" t="s">
        <v>61</v>
      </c>
      <c r="E50" s="273">
        <v>6.1589999999999998</v>
      </c>
      <c r="F50" s="208">
        <v>12.46</v>
      </c>
      <c r="G50" s="208">
        <v>52.4</v>
      </c>
      <c r="H50" s="208">
        <v>-49.6</v>
      </c>
      <c r="I50" s="208">
        <v>0</v>
      </c>
      <c r="J50" s="208">
        <v>32.4</v>
      </c>
      <c r="K50" s="207">
        <v>0</v>
      </c>
      <c r="L50" s="264">
        <v>0</v>
      </c>
      <c r="M50" s="176">
        <v>4.9430000000000002E-2</v>
      </c>
      <c r="N50" s="176">
        <v>0.1</v>
      </c>
      <c r="O50" s="186">
        <v>11323.182519803911</v>
      </c>
      <c r="P50" s="187">
        <v>28576.953933888308</v>
      </c>
      <c r="Q50" s="188">
        <v>68.159613566654713</v>
      </c>
      <c r="R50" s="189">
        <v>92.240410542922049</v>
      </c>
      <c r="S50" s="183">
        <v>7.4075410427566296E-2</v>
      </c>
      <c r="T50" s="182">
        <v>23.32020799997715</v>
      </c>
      <c r="U50" s="183">
        <v>6.3022430693367006</v>
      </c>
      <c r="V50" s="182">
        <v>0</v>
      </c>
      <c r="W50" s="183">
        <v>0.19221896766025248</v>
      </c>
      <c r="X50" s="182">
        <v>-29.82740994647904</v>
      </c>
      <c r="Y50" s="183">
        <v>64.94677972217211</v>
      </c>
      <c r="Z50" s="182">
        <v>0</v>
      </c>
      <c r="AA50" s="228" t="s">
        <v>137</v>
      </c>
      <c r="AB50" s="309"/>
    </row>
    <row r="51" spans="1:28" s="32" customFormat="1" ht="21.75" thickBot="1" x14ac:dyDescent="0.4">
      <c r="A51" s="251" t="s">
        <v>70</v>
      </c>
      <c r="B51" s="260">
        <v>1000</v>
      </c>
      <c r="C51" s="240">
        <v>1800</v>
      </c>
      <c r="D51" s="229" t="s">
        <v>61</v>
      </c>
      <c r="E51" s="274">
        <v>0</v>
      </c>
      <c r="F51" s="275">
        <v>0</v>
      </c>
      <c r="G51" s="275">
        <v>35.299999999999997</v>
      </c>
      <c r="H51" s="275">
        <v>0</v>
      </c>
      <c r="I51" s="275">
        <v>0</v>
      </c>
      <c r="J51" s="275">
        <v>0</v>
      </c>
      <c r="K51" s="239">
        <v>0</v>
      </c>
      <c r="L51" s="266">
        <v>0</v>
      </c>
      <c r="M51" s="230">
        <v>0.1</v>
      </c>
      <c r="N51" s="230">
        <v>0.18</v>
      </c>
      <c r="O51" s="231">
        <v>28576.953933888308</v>
      </c>
      <c r="P51" s="232">
        <v>56816.953933888297</v>
      </c>
      <c r="Q51" s="233">
        <v>92.240410542922049</v>
      </c>
      <c r="R51" s="234">
        <v>112.9892798139668</v>
      </c>
      <c r="S51" s="235">
        <v>7.4075410427566296E-2</v>
      </c>
      <c r="T51" s="236">
        <v>16.624170344050974</v>
      </c>
      <c r="U51" s="235">
        <v>4.2455950448012505</v>
      </c>
      <c r="V51" s="236">
        <v>0</v>
      </c>
      <c r="W51" s="235">
        <v>0.15493470522715369</v>
      </c>
      <c r="X51" s="236">
        <v>0</v>
      </c>
      <c r="Y51" s="235">
        <v>0</v>
      </c>
      <c r="Z51" s="236">
        <v>0</v>
      </c>
      <c r="AA51" s="237" t="s">
        <v>137</v>
      </c>
      <c r="AB51" s="309"/>
    </row>
    <row r="52" spans="1:28" x14ac:dyDescent="0.35">
      <c r="AB52" s="315"/>
    </row>
    <row r="53" spans="1:28" x14ac:dyDescent="0.35">
      <c r="AB53" s="315"/>
    </row>
    <row r="54" spans="1:28" ht="23.25" x14ac:dyDescent="0.35">
      <c r="S54" s="174"/>
      <c r="T54" s="174"/>
      <c r="AB54" s="315"/>
    </row>
    <row r="55" spans="1:28" ht="23.25" x14ac:dyDescent="0.35">
      <c r="S55" s="174"/>
      <c r="T55" s="174"/>
      <c r="AB55" s="315"/>
    </row>
    <row r="56" spans="1:28" x14ac:dyDescent="0.35">
      <c r="AB56" s="315"/>
    </row>
    <row r="57" spans="1:28" x14ac:dyDescent="0.35">
      <c r="AB57" s="315"/>
    </row>
  </sheetData>
  <sheetProtection formatCells="0" formatColumns="0" formatRows="0" insertColumns="0" insertRows="0" sort="0" autoFilter="0" pivotTables="0"/>
  <autoFilter ref="A32:AB51" xr:uid="{00000000-0009-0000-0000-000002000000}"/>
  <mergeCells count="3">
    <mergeCell ref="A31:AA31"/>
    <mergeCell ref="A2:E2"/>
    <mergeCell ref="M2:AA2"/>
  </mergeCell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4C230-E9C5-4998-8813-D62AE81A50A0}">
  <sheetPr>
    <tabColor rgb="FFFF0000"/>
  </sheetPr>
  <dimension ref="A1:AP66"/>
  <sheetViews>
    <sheetView tabSelected="1" zoomScale="85" zoomScaleNormal="85" workbookViewId="0">
      <pane ySplit="2" topLeftCell="A27" activePane="bottomLeft" state="frozen"/>
      <selection pane="bottomLeft" activeCell="Q39" sqref="Q39"/>
    </sheetView>
  </sheetViews>
  <sheetFormatPr defaultRowHeight="21" x14ac:dyDescent="0.35"/>
  <cols>
    <col min="1" max="1" width="10.36328125" style="396" customWidth="1"/>
    <col min="2" max="2" width="2.81640625" style="396" customWidth="1"/>
    <col min="3" max="3" width="7" style="518" customWidth="1"/>
    <col min="4" max="4" width="9.54296875" style="518" customWidth="1"/>
    <col min="5" max="12" width="2.1796875" style="519" customWidth="1"/>
    <col min="13" max="13" width="10.08984375" style="518" bestFit="1" customWidth="1"/>
    <col min="14" max="14" width="3.1796875" style="518" customWidth="1"/>
    <col min="15" max="15" width="11.1796875" style="396" customWidth="1"/>
    <col min="16" max="16" width="3.1796875" style="396" customWidth="1"/>
    <col min="17" max="18" width="8" style="518" customWidth="1"/>
    <col min="19" max="26" width="2.1796875" style="396" customWidth="1"/>
    <col min="27" max="27" width="8.7265625" style="518" customWidth="1"/>
    <col min="28" max="28" width="2.1796875" style="396" customWidth="1"/>
    <col min="29" max="29" width="10.08984375" style="397" hidden="1" customWidth="1"/>
    <col min="30" max="30" width="9.6328125" style="544" customWidth="1"/>
    <col min="31" max="41" width="3.90625" style="544" customWidth="1"/>
    <col min="42" max="42" width="10.08984375" style="518" customWidth="1"/>
    <col min="43" max="16384" width="8.7265625" style="396"/>
  </cols>
  <sheetData>
    <row r="1" spans="1:41" ht="21.75" thickBot="1" x14ac:dyDescent="0.4">
      <c r="A1" s="543" t="s">
        <v>201</v>
      </c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  <c r="O1" s="543" t="s">
        <v>202</v>
      </c>
      <c r="P1" s="543"/>
      <c r="Q1" s="543"/>
      <c r="R1" s="543"/>
      <c r="S1" s="543"/>
      <c r="T1" s="543"/>
      <c r="U1" s="543"/>
      <c r="V1" s="543"/>
      <c r="W1" s="543"/>
      <c r="X1" s="543"/>
      <c r="Y1" s="543"/>
      <c r="Z1" s="543"/>
    </row>
    <row r="2" spans="1:41" ht="21.75" thickTop="1" x14ac:dyDescent="0.35">
      <c r="A2" s="396" t="s">
        <v>198</v>
      </c>
      <c r="B2" s="396" t="s">
        <v>199</v>
      </c>
      <c r="C2" s="518" t="s">
        <v>84</v>
      </c>
      <c r="D2" s="518" t="s">
        <v>86</v>
      </c>
      <c r="E2" s="519" t="s">
        <v>41</v>
      </c>
      <c r="F2" s="519" t="s">
        <v>42</v>
      </c>
      <c r="G2" s="519" t="s">
        <v>43</v>
      </c>
      <c r="H2" s="519" t="s">
        <v>44</v>
      </c>
      <c r="I2" s="519" t="s">
        <v>45</v>
      </c>
      <c r="J2" s="519" t="s">
        <v>46</v>
      </c>
      <c r="K2" s="519" t="s">
        <v>47</v>
      </c>
      <c r="L2" s="519" t="s">
        <v>48</v>
      </c>
      <c r="M2" s="518" t="s">
        <v>200</v>
      </c>
      <c r="O2" s="396" t="s">
        <v>198</v>
      </c>
      <c r="P2" s="396" t="s">
        <v>116</v>
      </c>
      <c r="Q2" s="518" t="s">
        <v>84</v>
      </c>
      <c r="R2" s="518" t="s">
        <v>86</v>
      </c>
      <c r="S2" s="396" t="s">
        <v>41</v>
      </c>
      <c r="T2" s="396" t="s">
        <v>42</v>
      </c>
      <c r="U2" s="396" t="s">
        <v>43</v>
      </c>
      <c r="V2" s="396" t="s">
        <v>44</v>
      </c>
      <c r="W2" s="396" t="s">
        <v>45</v>
      </c>
      <c r="X2" s="396" t="s">
        <v>46</v>
      </c>
      <c r="Y2" s="396" t="s">
        <v>47</v>
      </c>
      <c r="Z2" s="396" t="s">
        <v>48</v>
      </c>
      <c r="AC2" s="545" t="s">
        <v>203</v>
      </c>
      <c r="AD2" s="545" t="s">
        <v>198</v>
      </c>
      <c r="AE2" s="546" t="s">
        <v>116</v>
      </c>
      <c r="AF2" s="547" t="s">
        <v>84</v>
      </c>
      <c r="AG2" s="547" t="s">
        <v>86</v>
      </c>
      <c r="AH2" s="546" t="s">
        <v>41</v>
      </c>
      <c r="AI2" s="546" t="s">
        <v>42</v>
      </c>
      <c r="AJ2" s="546" t="s">
        <v>43</v>
      </c>
      <c r="AK2" s="546" t="s">
        <v>44</v>
      </c>
      <c r="AL2" s="546" t="s">
        <v>45</v>
      </c>
      <c r="AM2" s="546" t="s">
        <v>46</v>
      </c>
      <c r="AN2" s="546" t="s">
        <v>47</v>
      </c>
      <c r="AO2" s="548" t="s">
        <v>48</v>
      </c>
    </row>
    <row r="3" spans="1:41" x14ac:dyDescent="0.35">
      <c r="A3" s="396" t="s">
        <v>75</v>
      </c>
      <c r="B3" s="396" t="s">
        <v>65</v>
      </c>
      <c r="C3" s="518">
        <v>298.14999999999998</v>
      </c>
      <c r="D3" s="518">
        <v>1500</v>
      </c>
      <c r="E3" s="519">
        <v>3.192504</v>
      </c>
      <c r="F3" s="519">
        <v>33.995229999999999</v>
      </c>
      <c r="G3" s="519">
        <v>5.1932309999999999</v>
      </c>
      <c r="H3" s="519">
        <v>-4.8091060000000002E-4</v>
      </c>
      <c r="I3" s="519">
        <v>9.1439489999999998E-2</v>
      </c>
      <c r="J3" s="519">
        <v>-21.466670000000001</v>
      </c>
      <c r="K3" s="519">
        <v>42.981879999999997</v>
      </c>
      <c r="L3" s="519">
        <v>-45.813839999999999</v>
      </c>
      <c r="M3" s="518">
        <f>AA3</f>
        <v>1</v>
      </c>
      <c r="O3" s="396" t="s">
        <v>75</v>
      </c>
      <c r="P3" s="396" t="s">
        <v>65</v>
      </c>
      <c r="Q3" s="518">
        <v>298.14999999999998</v>
      </c>
      <c r="R3" s="518">
        <v>1500</v>
      </c>
      <c r="S3" s="396">
        <v>3.192504</v>
      </c>
      <c r="T3" s="396">
        <v>33.995229999999999</v>
      </c>
      <c r="U3" s="396">
        <v>5.1932309999999999</v>
      </c>
      <c r="V3" s="396">
        <v>-4.8091060000000002E-4</v>
      </c>
      <c r="W3" s="396">
        <v>9.1439489999999998E-2</v>
      </c>
      <c r="X3" s="396">
        <v>-21.466670000000001</v>
      </c>
      <c r="Y3" s="396">
        <v>42.981879999999997</v>
      </c>
      <c r="Z3" s="396">
        <v>-45.813839999999999</v>
      </c>
      <c r="AA3" s="518">
        <v>1</v>
      </c>
      <c r="AE3" s="544">
        <f>IF(B3=Таблица3[[#This Row],[Фаза]],0,2)</f>
        <v>0</v>
      </c>
      <c r="AF3" s="544">
        <f>IF(C3=Таблица3[[#This Row],[To]],0,IF(ABS((C3-Таблица3[[#This Row],[To]])/(C3+Таблица3[[#This Row],[To]]))&lt;0.01,1,2))</f>
        <v>0</v>
      </c>
      <c r="AG3" s="544">
        <f>IF(D3=Таблица3[[#This Row],[T]],0,IF(ABS((D3-Таблица3[[#This Row],[T]])/(D3+Таблица3[[#This Row],[T]]))&lt;0.01,1,2))</f>
        <v>0</v>
      </c>
      <c r="AH3" s="544">
        <f>IF(E3=Таблица3[[#This Row],[ho]],0,IF(ABS((E3-Таблица3[[#This Row],[ho]])/(E3+Таблица3[[#This Row],[ho]]))&lt;0.01,1,2))</f>
        <v>0</v>
      </c>
      <c r="AI3" s="544">
        <f>IF(F3=Таблица3[[#This Row],[ф1]],0,IF(ABS((F3-Таблица3[[#This Row],[ф1]])/(F3+Таблица3[[#This Row],[ф1]]))&lt;0.01,1,2))</f>
        <v>0</v>
      </c>
      <c r="AJ3" s="544">
        <f>IF(G3=Таблица3[[#This Row],[ф2 *lnX]],0,IF(ABS((G3-Таблица3[[#This Row],[ф2 *lnX]])/(G3+Таблица3[[#This Row],[ф2 *lnX]]))&lt;0.01,1,2))</f>
        <v>0</v>
      </c>
      <c r="AK3" s="544">
        <f>IF(H3=Таблица3[[#This Row],[ф3 *X^(-2)]],0,IF(ABS((H3-Таблица3[[#This Row],[ф3 *X^(-2)]])/(H3+Таблица3[[#This Row],[ф3 *X^(-2)]]))&lt;0.01,1,2))</f>
        <v>0</v>
      </c>
      <c r="AL3" s="544">
        <f>IF(I3=Таблица3[[#This Row],[ф4 *X^(-1)]],0,IF(ABS((I3-Таблица3[[#This Row],[ф4 *X^(-1)]])/(I3+Таблица3[[#This Row],[ф4 *X^(-1)]]))&lt;0.01,1,2))</f>
        <v>0</v>
      </c>
      <c r="AM3" s="544">
        <f>IF(J3=Таблица3[[#This Row],[ф5 *X]],0,IF(ABS((J3-Таблица3[[#This Row],[ф5 *X]])/(J3+Таблица3[[#This Row],[ф5 *X]]))&lt;0.01,1,2))</f>
        <v>0</v>
      </c>
      <c r="AN3" s="544">
        <f>IF(K3=Таблица3[[#This Row],[ф6 *X^2]],0,IF(ABS((K3-Таблица3[[#This Row],[ф6 *X^2]])/(K3+Таблица3[[#This Row],[ф6 *X^2]]))&lt;0.01,1,2))</f>
        <v>0</v>
      </c>
      <c r="AO3" s="544">
        <f>IF(L3=Таблица3[[#This Row],[ф7 *Х^3]],0,IF(ABS((L3-Таблица3[[#This Row],[ф7 *Х^3]])/(L3+Таблица3[[#This Row],[ф7 *Х^3]]))&lt;0.01,1,2))</f>
        <v>0</v>
      </c>
    </row>
    <row r="4" spans="1:41" x14ac:dyDescent="0.35">
      <c r="A4" s="396" t="s">
        <v>75</v>
      </c>
      <c r="B4" s="396" t="s">
        <v>65</v>
      </c>
      <c r="C4" s="518">
        <v>1500</v>
      </c>
      <c r="D4" s="518">
        <v>6000</v>
      </c>
      <c r="E4" s="519">
        <v>3.192504</v>
      </c>
      <c r="F4" s="519">
        <v>27.29757</v>
      </c>
      <c r="G4" s="519">
        <v>2.370241</v>
      </c>
      <c r="H4" s="519">
        <v>2.138671E-3</v>
      </c>
      <c r="I4" s="519">
        <v>-9.5885429999999994E-2</v>
      </c>
      <c r="J4" s="519">
        <v>0.51440149999999996</v>
      </c>
      <c r="K4" s="519">
        <v>-0.49555690000000002</v>
      </c>
      <c r="L4" s="519">
        <v>0.24712329999999999</v>
      </c>
      <c r="M4" s="518">
        <f>AA4</f>
        <v>1</v>
      </c>
      <c r="O4" s="396" t="s">
        <v>75</v>
      </c>
      <c r="P4" s="396" t="s">
        <v>65</v>
      </c>
      <c r="Q4" s="518">
        <v>1500</v>
      </c>
      <c r="R4" s="518">
        <v>6000</v>
      </c>
      <c r="S4" s="396">
        <v>3.192504</v>
      </c>
      <c r="T4" s="396">
        <v>27.29757</v>
      </c>
      <c r="U4" s="396">
        <v>2.370241</v>
      </c>
      <c r="V4" s="396">
        <v>2.138671E-3</v>
      </c>
      <c r="W4" s="396">
        <v>-9.5885429999999994E-2</v>
      </c>
      <c r="X4" s="396">
        <v>0.51440149999999996</v>
      </c>
      <c r="Y4" s="396">
        <v>-0.49555690000000002</v>
      </c>
      <c r="Z4" s="396">
        <v>0.24712329999999999</v>
      </c>
      <c r="AA4" s="518">
        <v>1</v>
      </c>
      <c r="AC4" s="397" t="str">
        <f t="shared" ref="AC4:AC8" si="0">A1</f>
        <v>новое</v>
      </c>
      <c r="AD4" s="544" t="str">
        <f>Таблица3[[#This Row],[Вещество]]</f>
        <v>Ga</v>
      </c>
      <c r="AE4" s="544">
        <f>IF(B4=Таблица3[[#This Row],[Фаза]],0,2)</f>
        <v>0</v>
      </c>
      <c r="AF4" s="544">
        <f>IF(C4=Таблица3[[#This Row],[To]],0,IF(ABS((C4-Таблица3[[#This Row],[To]])/(C4+Таблица3[[#This Row],[To]]))&lt;0.01,1,2))</f>
        <v>0</v>
      </c>
      <c r="AG4" s="544">
        <f>IF(D4=Таблица3[[#This Row],[T]],0,IF(ABS((D4-Таблица3[[#This Row],[T]])/(D4+Таблица3[[#This Row],[T]]))&lt;0.01,1,2))</f>
        <v>0</v>
      </c>
      <c r="AH4" s="544">
        <f>IF(E4=Таблица3[[#This Row],[ho]],0,IF(ABS((E4-Таблица3[[#This Row],[ho]])/(E4+Таблица3[[#This Row],[ho]]))&lt;0.01,1,2))</f>
        <v>0</v>
      </c>
      <c r="AI4" s="544">
        <f>IF(F4=Таблица3[[#This Row],[ф1]],0,IF(ABS((F4-Таблица3[[#This Row],[ф1]])/(F4+Таблица3[[#This Row],[ф1]]))&lt;0.01,1,2))</f>
        <v>0</v>
      </c>
      <c r="AJ4" s="544">
        <f>IF(G4=Таблица3[[#This Row],[ф2 *lnX]],0,IF(ABS((G4-Таблица3[[#This Row],[ф2 *lnX]])/(G4+Таблица3[[#This Row],[ф2 *lnX]]))&lt;0.01,1,2))</f>
        <v>0</v>
      </c>
      <c r="AK4" s="544">
        <f>IF(H4=Таблица3[[#This Row],[ф3 *X^(-2)]],0,IF(ABS((H4-Таблица3[[#This Row],[ф3 *X^(-2)]])/(H4+Таблица3[[#This Row],[ф3 *X^(-2)]]))&lt;0.01,1,2))</f>
        <v>0</v>
      </c>
      <c r="AL4" s="544">
        <f>IF(I4=Таблица3[[#This Row],[ф4 *X^(-1)]],0,IF(ABS((I4-Таблица3[[#This Row],[ф4 *X^(-1)]])/(I4+Таблица3[[#This Row],[ф4 *X^(-1)]]))&lt;0.01,1,2))</f>
        <v>0</v>
      </c>
      <c r="AM4" s="544">
        <f>IF(J4=Таблица3[[#This Row],[ф5 *X]],0,IF(ABS((J4-Таблица3[[#This Row],[ф5 *X]])/(J4+Таблица3[[#This Row],[ф5 *X]]))&lt;0.01,1,2))</f>
        <v>0</v>
      </c>
      <c r="AN4" s="544">
        <f>IF(K4=Таблица3[[#This Row],[ф6 *X^2]],0,IF(ABS((K4-Таблица3[[#This Row],[ф6 *X^2]])/(K4+Таблица3[[#This Row],[ф6 *X^2]]))&lt;0.01,1,2))</f>
        <v>0</v>
      </c>
      <c r="AO4" s="544">
        <f>IF(L4=Таблица3[[#This Row],[ф7 *Х^3]],0,IF(ABS((L4-Таблица3[[#This Row],[ф7 *Х^3]])/(L4+Таблица3[[#This Row],[ф7 *Х^3]]))&lt;0.01,1,2))</f>
        <v>0</v>
      </c>
    </row>
    <row r="5" spans="1:41" ht="21.75" thickBot="1" x14ac:dyDescent="0.4">
      <c r="A5" s="396" t="s">
        <v>75</v>
      </c>
      <c r="B5" s="396" t="s">
        <v>65</v>
      </c>
      <c r="C5" s="518">
        <v>6000</v>
      </c>
      <c r="D5" s="518">
        <v>10000</v>
      </c>
      <c r="E5" s="519">
        <v>3.192504</v>
      </c>
      <c r="F5" s="519">
        <v>31.29327</v>
      </c>
      <c r="G5" s="519">
        <v>7.3013729999999999</v>
      </c>
      <c r="H5" s="519">
        <v>-9.3193609999999996E-2</v>
      </c>
      <c r="I5" s="519">
        <v>1.4353830000000001</v>
      </c>
      <c r="J5" s="519">
        <v>-7.4299809999999997</v>
      </c>
      <c r="K5" s="519">
        <v>2.6981959999999998</v>
      </c>
      <c r="L5" s="519">
        <v>-0.43421900000000002</v>
      </c>
      <c r="M5" s="518">
        <f>AA5</f>
        <v>1</v>
      </c>
      <c r="O5" s="396" t="s">
        <v>75</v>
      </c>
      <c r="P5" s="396" t="s">
        <v>65</v>
      </c>
      <c r="Q5" s="518">
        <v>6000</v>
      </c>
      <c r="R5" s="518">
        <v>10000</v>
      </c>
      <c r="S5" s="396">
        <v>3.192504</v>
      </c>
      <c r="T5" s="396">
        <v>31.29327</v>
      </c>
      <c r="U5" s="396">
        <v>7.3013729999999999</v>
      </c>
      <c r="V5" s="396">
        <v>-9.3193609999999996E-2</v>
      </c>
      <c r="W5" s="396">
        <v>1.4353830000000001</v>
      </c>
      <c r="X5" s="396">
        <v>-7.4299809999999997</v>
      </c>
      <c r="Y5" s="396">
        <v>2.6981959999999998</v>
      </c>
      <c r="Z5" s="396">
        <v>-0.43421900000000002</v>
      </c>
      <c r="AA5" s="518">
        <v>1</v>
      </c>
      <c r="AC5" s="397" t="str">
        <f t="shared" si="0"/>
        <v>Вещество</v>
      </c>
      <c r="AD5" s="544" t="str">
        <f>Таблица3[[#This Row],[Вещество]]</f>
        <v>Ga</v>
      </c>
      <c r="AE5" s="544">
        <f>IF(B5=Таблица3[[#This Row],[Фаза]],0,2)</f>
        <v>0</v>
      </c>
      <c r="AF5" s="544">
        <f>IF(C5=Таблица3[[#This Row],[To]],0,IF(ABS((C5-Таблица3[[#This Row],[To]])/(C5+Таблица3[[#This Row],[To]]))&lt;0.01,1,2))</f>
        <v>0</v>
      </c>
      <c r="AG5" s="544">
        <f>IF(D5=Таблица3[[#This Row],[T]],0,IF(ABS((D5-Таблица3[[#This Row],[T]])/(D5+Таблица3[[#This Row],[T]]))&lt;0.01,1,2))</f>
        <v>0</v>
      </c>
      <c r="AH5" s="544">
        <f>IF(E5=Таблица3[[#This Row],[ho]],0,IF(ABS((E5-Таблица3[[#This Row],[ho]])/(E5+Таблица3[[#This Row],[ho]]))&lt;0.01,1,2))</f>
        <v>0</v>
      </c>
      <c r="AI5" s="544">
        <f>IF(F5=Таблица3[[#This Row],[ф1]],0,IF(ABS((F5-Таблица3[[#This Row],[ф1]])/(F5+Таблица3[[#This Row],[ф1]]))&lt;0.01,1,2))</f>
        <v>0</v>
      </c>
      <c r="AJ5" s="544">
        <f>IF(G5=Таблица3[[#This Row],[ф2 *lnX]],0,IF(ABS((G5-Таблица3[[#This Row],[ф2 *lnX]])/(G5+Таблица3[[#This Row],[ф2 *lnX]]))&lt;0.01,1,2))</f>
        <v>0</v>
      </c>
      <c r="AK5" s="544">
        <f>IF(H5=Таблица3[[#This Row],[ф3 *X^(-2)]],0,IF(ABS((H5-Таблица3[[#This Row],[ф3 *X^(-2)]])/(H5+Таблица3[[#This Row],[ф3 *X^(-2)]]))&lt;0.01,1,2))</f>
        <v>0</v>
      </c>
      <c r="AL5" s="544">
        <f>IF(I5=Таблица3[[#This Row],[ф4 *X^(-1)]],0,IF(ABS((I5-Таблица3[[#This Row],[ф4 *X^(-1)]])/(I5+Таблица3[[#This Row],[ф4 *X^(-1)]]))&lt;0.01,1,2))</f>
        <v>0</v>
      </c>
      <c r="AM5" s="544">
        <f>IF(J5=Таблица3[[#This Row],[ф5 *X]],0,IF(ABS((J5-Таблица3[[#This Row],[ф5 *X]])/(J5+Таблица3[[#This Row],[ф5 *X]]))&lt;0.01,1,2))</f>
        <v>0</v>
      </c>
      <c r="AN5" s="544">
        <f>IF(K5=Таблица3[[#This Row],[ф6 *X^2]],0,IF(ABS((K5-Таблица3[[#This Row],[ф6 *X^2]])/(K5+Таблица3[[#This Row],[ф6 *X^2]]))&lt;0.01,1,2))</f>
        <v>0</v>
      </c>
      <c r="AO5" s="544">
        <f>IF(L5=Таблица3[[#This Row],[ф7 *Х^3]],0,IF(ABS((L5-Таблица3[[#This Row],[ф7 *Х^3]])/(L5+Таблица3[[#This Row],[ф7 *Х^3]]))&lt;0.01,1,2))</f>
        <v>0</v>
      </c>
    </row>
    <row r="6" spans="1:41" ht="21.75" thickBot="1" x14ac:dyDescent="0.4">
      <c r="A6" s="396" t="s">
        <v>75</v>
      </c>
      <c r="B6" s="396" t="s">
        <v>61</v>
      </c>
      <c r="C6" s="518">
        <v>303</v>
      </c>
      <c r="D6" s="518">
        <v>699.99990000000003</v>
      </c>
      <c r="E6" s="519">
        <v>6.7230010000000007E-2</v>
      </c>
      <c r="F6" s="519">
        <v>15.16</v>
      </c>
      <c r="G6" s="519">
        <v>3.1360000000000001</v>
      </c>
      <c r="H6" s="519">
        <v>1.4229999999999999E-4</v>
      </c>
      <c r="I6" s="519">
        <v>8.3939990000000006E-2</v>
      </c>
      <c r="J6" s="519">
        <v>-0.18459999999999999</v>
      </c>
      <c r="K6" s="519">
        <v>0.49309999999999998</v>
      </c>
      <c r="L6" s="519">
        <v>0</v>
      </c>
      <c r="M6" s="560">
        <f>AA6</f>
        <v>1</v>
      </c>
      <c r="O6" s="396" t="s">
        <v>75</v>
      </c>
      <c r="P6" s="396" t="s">
        <v>61</v>
      </c>
      <c r="Q6" s="518">
        <v>302.91000000000003</v>
      </c>
      <c r="R6" s="518">
        <v>700</v>
      </c>
      <c r="S6" s="396">
        <v>6.7231944193878151E-2</v>
      </c>
      <c r="T6" s="396">
        <v>15.161939633818086</v>
      </c>
      <c r="U6" s="396">
        <v>3.1356064706236091</v>
      </c>
      <c r="V6" s="396">
        <v>1.4228155631727706E-4</v>
      </c>
      <c r="W6" s="396">
        <v>8.3943884453347564E-2</v>
      </c>
      <c r="X6" s="396">
        <v>-0.18461723495098922</v>
      </c>
      <c r="Y6" s="396">
        <v>0.49311443863130677</v>
      </c>
      <c r="Z6" s="396">
        <v>0</v>
      </c>
      <c r="AA6" s="518">
        <v>1</v>
      </c>
      <c r="AC6" s="397" t="str">
        <f t="shared" si="0"/>
        <v>Ga</v>
      </c>
      <c r="AD6" s="544" t="str">
        <f>Таблица3[[#This Row],[Вещество]]</f>
        <v>Ga</v>
      </c>
      <c r="AE6" s="544">
        <f>IF(B6=Таблица3[[#This Row],[Фаза]],0,2)</f>
        <v>0</v>
      </c>
      <c r="AF6" s="544">
        <f>IF(C6=Таблица3[[#This Row],[To]],0,IF(ABS((C6-Таблица3[[#This Row],[To]])/(C6+Таблица3[[#This Row],[To]]))&lt;0.01,1,2))</f>
        <v>1</v>
      </c>
      <c r="AG6" s="544">
        <f>IF(D6=Таблица3[[#This Row],[T]],0,IF(ABS((D6-Таблица3[[#This Row],[T]])/(D6+Таблица3[[#This Row],[T]]))&lt;0.01,1,2))</f>
        <v>1</v>
      </c>
      <c r="AH6" s="544">
        <f>IF(E6=Таблица3[[#This Row],[ho]],0,IF(ABS((E6-Таблица3[[#This Row],[ho]])/(E6+Таблица3[[#This Row],[ho]]))&lt;0.01,1,2))</f>
        <v>1</v>
      </c>
      <c r="AI6" s="544">
        <f>IF(F6=Таблица3[[#This Row],[ф1]],0,IF(ABS((F6-Таблица3[[#This Row],[ф1]])/(F6+Таблица3[[#This Row],[ф1]]))&lt;0.01,1,2))</f>
        <v>1</v>
      </c>
      <c r="AJ6" s="544">
        <f>IF(G6=Таблица3[[#This Row],[ф2 *lnX]],0,IF(ABS((G6-Таблица3[[#This Row],[ф2 *lnX]])/(G6+Таблица3[[#This Row],[ф2 *lnX]]))&lt;0.01,1,2))</f>
        <v>1</v>
      </c>
      <c r="AK6" s="544">
        <f>IF(H6=Таблица3[[#This Row],[ф3 *X^(-2)]],0,IF(ABS((H6-Таблица3[[#This Row],[ф3 *X^(-2)]])/(H6+Таблица3[[#This Row],[ф3 *X^(-2)]]))&lt;0.01,1,2))</f>
        <v>1</v>
      </c>
      <c r="AL6" s="544">
        <f>IF(I6=Таблица3[[#This Row],[ф4 *X^(-1)]],0,IF(ABS((I6-Таблица3[[#This Row],[ф4 *X^(-1)]])/(I6+Таблица3[[#This Row],[ф4 *X^(-1)]]))&lt;0.01,1,2))</f>
        <v>1</v>
      </c>
      <c r="AM6" s="544">
        <f>IF(J6=Таблица3[[#This Row],[ф5 *X]],0,IF(ABS((J6-Таблица3[[#This Row],[ф5 *X]])/(J6+Таблица3[[#This Row],[ф5 *X]]))&lt;0.01,1,2))</f>
        <v>1</v>
      </c>
      <c r="AN6" s="544">
        <f>IF(K6=Таблица3[[#This Row],[ф6 *X^2]],0,IF(ABS((K6-Таблица3[[#This Row],[ф6 *X^2]])/(K6+Таблица3[[#This Row],[ф6 *X^2]]))&lt;0.01,1,2))</f>
        <v>1</v>
      </c>
      <c r="AO6" s="544">
        <f>IF(L6=Таблица3[[#This Row],[ф7 *Х^3]],0,IF(ABS((L6-Таблица3[[#This Row],[ф7 *Х^3]])/(L6+Таблица3[[#This Row],[ф7 *Х^3]]))&lt;0.01,1,2))</f>
        <v>0</v>
      </c>
    </row>
    <row r="7" spans="1:41" ht="21.75" thickBot="1" x14ac:dyDescent="0.4">
      <c r="A7" s="396" t="s">
        <v>75</v>
      </c>
      <c r="B7" s="396" t="s">
        <v>61</v>
      </c>
      <c r="C7" s="518">
        <v>699.99990000000003</v>
      </c>
      <c r="D7" s="518">
        <v>4000.0010000000002</v>
      </c>
      <c r="E7" s="519">
        <v>6.7230010000000007E-2</v>
      </c>
      <c r="F7" s="519">
        <v>15.16</v>
      </c>
      <c r="G7" s="519">
        <v>3.1349999999999998</v>
      </c>
      <c r="H7" s="519">
        <v>1.4249999999999999E-4</v>
      </c>
      <c r="I7" s="519">
        <v>8.3929989999999996E-2</v>
      </c>
      <c r="J7" s="519">
        <v>-0.18099999999999999</v>
      </c>
      <c r="K7" s="519">
        <v>0.48309999999999997</v>
      </c>
      <c r="L7" s="519">
        <v>0</v>
      </c>
      <c r="M7" s="518">
        <f>AA8</f>
        <v>1</v>
      </c>
      <c r="O7" s="555" t="s">
        <v>75</v>
      </c>
      <c r="P7" s="555" t="s">
        <v>61</v>
      </c>
      <c r="Q7" s="556">
        <v>303</v>
      </c>
      <c r="R7" s="556">
        <v>699.99990000000003</v>
      </c>
      <c r="S7" s="555">
        <v>0</v>
      </c>
      <c r="T7" s="555">
        <v>14.61</v>
      </c>
      <c r="U7" s="555">
        <v>2.9321999999999999</v>
      </c>
      <c r="V7" s="555">
        <v>1.8641999999999999E-4</v>
      </c>
      <c r="W7" s="555">
        <v>9.2508020000000007E-3</v>
      </c>
      <c r="X7" s="555">
        <v>1.3771</v>
      </c>
      <c r="Y7" s="555">
        <v>0</v>
      </c>
      <c r="Z7" s="555">
        <v>0</v>
      </c>
      <c r="AC7" s="397" t="str">
        <f t="shared" si="0"/>
        <v>Ga</v>
      </c>
      <c r="AD7" s="544" t="str">
        <f>Таблица3[[#This Row],[Вещество]]</f>
        <v>Ga</v>
      </c>
    </row>
    <row r="8" spans="1:41" ht="21.75" thickBot="1" x14ac:dyDescent="0.4">
      <c r="A8" s="396" t="s">
        <v>75</v>
      </c>
      <c r="B8" s="396" t="s">
        <v>69</v>
      </c>
      <c r="C8" s="518">
        <v>298.14999999999998</v>
      </c>
      <c r="D8" s="518">
        <v>303</v>
      </c>
      <c r="E8" s="519">
        <v>0</v>
      </c>
      <c r="F8" s="519">
        <v>-158.4</v>
      </c>
      <c r="G8" s="519">
        <v>-46.31</v>
      </c>
      <c r="H8" s="519">
        <v>3.9409989999999997E-3</v>
      </c>
      <c r="I8" s="542">
        <v>-0.93300000000000005</v>
      </c>
      <c r="J8" s="542">
        <v>1042.105</v>
      </c>
      <c r="K8" s="519">
        <v>-4041.9989999999998</v>
      </c>
      <c r="L8" s="519">
        <v>0</v>
      </c>
      <c r="M8" s="560">
        <f>AA10</f>
        <v>1</v>
      </c>
      <c r="O8" s="396" t="s">
        <v>75</v>
      </c>
      <c r="P8" s="396" t="s">
        <v>61</v>
      </c>
      <c r="Q8" s="518">
        <v>700</v>
      </c>
      <c r="R8" s="518">
        <v>4000</v>
      </c>
      <c r="S8" s="396">
        <v>6.7231944193878151E-2</v>
      </c>
      <c r="T8" s="396">
        <v>15.161231791276917</v>
      </c>
      <c r="U8" s="396">
        <v>3.1353659269950085</v>
      </c>
      <c r="V8" s="396">
        <v>1.4252209994587768E-4</v>
      </c>
      <c r="W8" s="396">
        <v>8.3930978142227303E-2</v>
      </c>
      <c r="X8" s="396">
        <v>-0.18100908052197964</v>
      </c>
      <c r="Y8" s="396">
        <v>0.48309178743961351</v>
      </c>
      <c r="Z8" s="396">
        <v>0</v>
      </c>
      <c r="AA8" s="518">
        <v>1</v>
      </c>
      <c r="AC8" s="397" t="str">
        <f t="shared" si="0"/>
        <v>Ga</v>
      </c>
      <c r="AD8" s="544" t="str">
        <f>Таблица3[[#This Row],[Вещество]]</f>
        <v>Ga</v>
      </c>
      <c r="AE8" s="544">
        <f>IF(B7=Таблица3[[#This Row],[Фаза]],0,2)</f>
        <v>0</v>
      </c>
      <c r="AF8" s="544">
        <f>IF(C7=Таблица3[[#This Row],[To]],0,IF(ABS((C7-Таблица3[[#This Row],[To]])/(C7+Таблица3[[#This Row],[To]]))&lt;0.01,1,2))</f>
        <v>1</v>
      </c>
      <c r="AG8" s="544">
        <f>IF(D7=Таблица3[[#This Row],[T]],0,IF(ABS((D7-Таблица3[[#This Row],[T]])/(D7+Таблица3[[#This Row],[T]]))&lt;0.01,1,2))</f>
        <v>1</v>
      </c>
      <c r="AH8" s="544">
        <f>IF(E7=Таблица3[[#This Row],[ho]],0,IF(ABS((E7-Таблица3[[#This Row],[ho]])/(E7+Таблица3[[#This Row],[ho]]))&lt;0.01,1,2))</f>
        <v>1</v>
      </c>
      <c r="AI8" s="544">
        <f>IF(F7=Таблица3[[#This Row],[ф1]],0,IF(ABS((F7-Таблица3[[#This Row],[ф1]])/(F7+Таблица3[[#This Row],[ф1]]))&lt;0.01,1,2))</f>
        <v>1</v>
      </c>
      <c r="AJ8" s="544">
        <f>IF(G7=Таблица3[[#This Row],[ф2 *lnX]],0,IF(ABS((G7-Таблица3[[#This Row],[ф2 *lnX]])/(G7+Таблица3[[#This Row],[ф2 *lnX]]))&lt;0.01,1,2))</f>
        <v>1</v>
      </c>
      <c r="AK8" s="544">
        <f>IF(H7=Таблица3[[#This Row],[ф3 *X^(-2)]],0,IF(ABS((H7-Таблица3[[#This Row],[ф3 *X^(-2)]])/(H7+Таблица3[[#This Row],[ф3 *X^(-2)]]))&lt;0.01,1,2))</f>
        <v>1</v>
      </c>
      <c r="AL8" s="544">
        <f>IF(I7=Таблица3[[#This Row],[ф4 *X^(-1)]],0,IF(ABS((I7-Таблица3[[#This Row],[ф4 *X^(-1)]])/(I7+Таблица3[[#This Row],[ф4 *X^(-1)]]))&lt;0.01,1,2))</f>
        <v>1</v>
      </c>
      <c r="AM8" s="544">
        <f>IF(J7=Таблица3[[#This Row],[ф5 *X]],0,IF(ABS((J7-Таблица3[[#This Row],[ф5 *X]])/(J7+Таблица3[[#This Row],[ф5 *X]]))&lt;0.01,1,2))</f>
        <v>1</v>
      </c>
      <c r="AN8" s="544">
        <f>IF(K7=Таблица3[[#This Row],[ф6 *X^2]],0,IF(ABS((K7-Таблица3[[#This Row],[ф6 *X^2]])/(K7+Таблица3[[#This Row],[ф6 *X^2]]))&lt;0.01,1,2))</f>
        <v>1</v>
      </c>
      <c r="AO8" s="544">
        <f>IF(L7=Таблица3[[#This Row],[ф7 *Х^3]],0,IF(ABS((L7-Таблица3[[#This Row],[ф7 *Х^3]])/(L7+Таблица3[[#This Row],[ф7 *Х^3]]))&lt;0.01,1,2))</f>
        <v>0</v>
      </c>
    </row>
    <row r="9" spans="1:41" x14ac:dyDescent="0.35">
      <c r="A9" s="396" t="s">
        <v>197</v>
      </c>
      <c r="B9" s="396" t="s">
        <v>69</v>
      </c>
      <c r="C9" s="518">
        <v>298.14999999999998</v>
      </c>
      <c r="D9" s="518">
        <v>500.00009999999997</v>
      </c>
      <c r="E9" s="519">
        <v>-39.299999999999997</v>
      </c>
      <c r="F9" s="519">
        <v>1631</v>
      </c>
      <c r="G9" s="519">
        <v>409.1</v>
      </c>
      <c r="H9" s="519">
        <v>-8.7220010000000001E-3</v>
      </c>
      <c r="I9" s="519">
        <v>10.75</v>
      </c>
      <c r="J9" s="519">
        <v>-3528</v>
      </c>
      <c r="K9" s="519">
        <v>20750</v>
      </c>
      <c r="L9" s="519">
        <v>0</v>
      </c>
      <c r="M9" s="557">
        <f t="shared" ref="M8:M38" si="1">AA12</f>
        <v>1</v>
      </c>
      <c r="O9" s="555" t="s">
        <v>75</v>
      </c>
      <c r="P9" s="555" t="s">
        <v>69</v>
      </c>
      <c r="Q9" s="556">
        <v>298.14999999999998</v>
      </c>
      <c r="R9" s="556">
        <v>302.92</v>
      </c>
      <c r="S9" s="555">
        <v>-6.7018670000000002E-2</v>
      </c>
      <c r="T9" s="555">
        <v>-1611406</v>
      </c>
      <c r="U9" s="555">
        <v>-370772.3</v>
      </c>
      <c r="V9" s="555">
        <v>0</v>
      </c>
      <c r="W9" s="555">
        <v>-2763.64</v>
      </c>
      <c r="X9" s="555">
        <v>18653810</v>
      </c>
      <c r="Y9" s="555">
        <v>-208550600</v>
      </c>
      <c r="Z9" s="555">
        <v>1165804000</v>
      </c>
      <c r="AC9" s="397" t="str">
        <f t="shared" ref="AC9:AC20" si="2">A6</f>
        <v>Ga</v>
      </c>
      <c r="AD9" s="544" t="str">
        <f>Таблица3[[#This Row],[Вещество]]</f>
        <v>Ga</v>
      </c>
    </row>
    <row r="10" spans="1:41" x14ac:dyDescent="0.35">
      <c r="A10" s="396" t="s">
        <v>176</v>
      </c>
      <c r="B10" s="396" t="s">
        <v>69</v>
      </c>
      <c r="C10" s="518">
        <v>298</v>
      </c>
      <c r="D10" s="518">
        <v>500.00009999999997</v>
      </c>
      <c r="E10" s="519">
        <v>-1.81</v>
      </c>
      <c r="F10" s="519">
        <v>71.790000000000006</v>
      </c>
      <c r="G10" s="519">
        <v>17.87</v>
      </c>
      <c r="H10" s="519">
        <v>-2.9069989999999998E-4</v>
      </c>
      <c r="I10" s="519">
        <v>0.49080000000000001</v>
      </c>
      <c r="J10" s="519">
        <v>-110.5</v>
      </c>
      <c r="K10" s="519">
        <v>691.6</v>
      </c>
      <c r="L10" s="519">
        <v>0</v>
      </c>
      <c r="M10" s="558">
        <f t="shared" si="1"/>
        <v>1</v>
      </c>
      <c r="O10" s="396" t="s">
        <v>75</v>
      </c>
      <c r="P10" s="396" t="s">
        <v>69</v>
      </c>
      <c r="Q10" s="518">
        <v>298.14999999999998</v>
      </c>
      <c r="R10" s="518">
        <v>302.91000000000003</v>
      </c>
      <c r="S10" s="396">
        <v>0</v>
      </c>
      <c r="T10" s="396">
        <v>-158.39844524532509</v>
      </c>
      <c r="U10" s="396">
        <v>-46.311022911780618</v>
      </c>
      <c r="V10" s="396">
        <v>3.9413674905285946E-3</v>
      </c>
      <c r="W10" s="396">
        <v>-0.93301705784567912</v>
      </c>
      <c r="X10" s="541">
        <v>1042.105358109327</v>
      </c>
      <c r="Y10" s="396">
        <v>-4041.5078076452774</v>
      </c>
      <c r="Z10" s="396">
        <v>0</v>
      </c>
      <c r="AA10" s="518">
        <v>1</v>
      </c>
      <c r="AC10" s="397" t="str">
        <f t="shared" si="2"/>
        <v>Ga</v>
      </c>
      <c r="AD10" s="544" t="str">
        <f>Таблица3[[#This Row],[Вещество]]</f>
        <v>Ga</v>
      </c>
      <c r="AE10" s="544">
        <f>IF(B8=Таблица3[[#This Row],[Фаза]],0,2)</f>
        <v>0</v>
      </c>
      <c r="AF10" s="544">
        <f>IF(C8=Таблица3[[#This Row],[To]],0,IF(ABS((C8-Таблица3[[#This Row],[To]])/(C8+Таблица3[[#This Row],[To]]))&lt;0.01,1,2))</f>
        <v>0</v>
      </c>
      <c r="AG10" s="544">
        <f>IF(D8=Таблица3[[#This Row],[T]],0,IF(ABS((D8-Таблица3[[#This Row],[T]])/(D8+Таблица3[[#This Row],[T]]))&lt;0.01,1,2))</f>
        <v>1</v>
      </c>
      <c r="AH10" s="544">
        <f>IF(E8=Таблица3[[#This Row],[ho]],0,IF(ABS((E8-Таблица3[[#This Row],[ho]])/(E8+Таблица3[[#This Row],[ho]]))&lt;0.01,1,2))</f>
        <v>0</v>
      </c>
      <c r="AI10" s="544">
        <f>IF(F8=Таблица3[[#This Row],[ф1]],0,IF(ABS((F8-Таблица3[[#This Row],[ф1]])/(F8+Таблица3[[#This Row],[ф1]]))&lt;0.01,1,2))</f>
        <v>1</v>
      </c>
      <c r="AJ10" s="544">
        <f>IF(G8=Таблица3[[#This Row],[ф2 *lnX]],0,IF(ABS((G8-Таблица3[[#This Row],[ф2 *lnX]])/(G8+Таблица3[[#This Row],[ф2 *lnX]]))&lt;0.01,1,2))</f>
        <v>1</v>
      </c>
      <c r="AK10" s="544">
        <f>IF(H8=Таблица3[[#This Row],[ф3 *X^(-2)]],0,IF(ABS((H8-Таблица3[[#This Row],[ф3 *X^(-2)]])/(H8+Таблица3[[#This Row],[ф3 *X^(-2)]]))&lt;0.01,1,2))</f>
        <v>1</v>
      </c>
      <c r="AL10" s="544">
        <f>IF(I8=Таблица3[[#This Row],[ф4 *X^(-1)]],0,IF(ABS((I8-Таблица3[[#This Row],[ф4 *X^(-1)]])/(I8+Таблица3[[#This Row],[ф4 *X^(-1)]]))&lt;0.01,1,2))</f>
        <v>1</v>
      </c>
      <c r="AM10" s="544">
        <f>IF(J8=Таблица3[[#This Row],[ф5 *X]],0,IF(ABS((J8-Таблица3[[#This Row],[ф5 *X]])/(J8+Таблица3[[#This Row],[ф5 *X]]))&lt;0.01,1,2))</f>
        <v>1</v>
      </c>
      <c r="AN10" s="544">
        <f>IF(K8=Таблица3[[#This Row],[ф6 *X^2]],0,IF(ABS((K8-Таблица3[[#This Row],[ф6 *X^2]])/(K8+Таблица3[[#This Row],[ф6 *X^2]]))&lt;0.01,1,2))</f>
        <v>1</v>
      </c>
      <c r="AO10" s="544">
        <f>IF(L8=Таблица3[[#This Row],[ф7 *Х^3]],0,IF(ABS((L8-Таблица3[[#This Row],[ф7 *Х^3]])/(L8+Таблица3[[#This Row],[ф7 *Х^3]]))&lt;0.01,1,2))</f>
        <v>0</v>
      </c>
    </row>
    <row r="11" spans="1:41" x14ac:dyDescent="0.35">
      <c r="A11" s="396" t="s">
        <v>126</v>
      </c>
      <c r="B11" s="396" t="s">
        <v>65</v>
      </c>
      <c r="C11" s="518">
        <v>298.14999999999998</v>
      </c>
      <c r="D11" s="518">
        <v>1100</v>
      </c>
      <c r="E11" s="519">
        <v>5.2149859999999997</v>
      </c>
      <c r="F11" s="519">
        <v>41.701000000000001</v>
      </c>
      <c r="G11" s="519">
        <v>4.0561670000000003</v>
      </c>
      <c r="H11" s="519">
        <v>2.357301E-5</v>
      </c>
      <c r="I11" s="519">
        <v>0.12889</v>
      </c>
      <c r="J11" s="519">
        <v>11.272</v>
      </c>
      <c r="K11" s="519">
        <v>-9.1847989999999999</v>
      </c>
      <c r="L11" s="519">
        <v>0</v>
      </c>
      <c r="M11" s="558">
        <f t="shared" si="1"/>
        <v>1</v>
      </c>
      <c r="O11" s="555" t="s">
        <v>75</v>
      </c>
      <c r="P11" s="555" t="s">
        <v>69</v>
      </c>
      <c r="Q11" s="556">
        <v>302.92</v>
      </c>
      <c r="R11" s="556">
        <v>4000</v>
      </c>
      <c r="S11" s="555">
        <v>-6.7018670000000002E-2</v>
      </c>
      <c r="T11" s="555">
        <v>15.167669999999999</v>
      </c>
      <c r="U11" s="555">
        <v>3.135516</v>
      </c>
      <c r="V11" s="555">
        <v>1.4234849999999999E-4</v>
      </c>
      <c r="W11" s="555">
        <v>-5.0186000000000001E-2</v>
      </c>
      <c r="X11" s="555">
        <v>-0.18101780000000001</v>
      </c>
      <c r="Y11" s="555">
        <v>0.48311500000000002</v>
      </c>
      <c r="Z11" s="555">
        <v>0</v>
      </c>
      <c r="AC11" s="397" t="str">
        <f t="shared" si="2"/>
        <v>Ga</v>
      </c>
      <c r="AD11" s="544" t="str">
        <f>Таблица3[[#This Row],[Вещество]]</f>
        <v>Ga</v>
      </c>
    </row>
    <row r="12" spans="1:41" x14ac:dyDescent="0.35">
      <c r="A12" s="396" t="s">
        <v>126</v>
      </c>
      <c r="B12" s="396" t="s">
        <v>65</v>
      </c>
      <c r="C12" s="518">
        <v>1100</v>
      </c>
      <c r="D12" s="518">
        <v>2500</v>
      </c>
      <c r="E12" s="519">
        <v>5.2149859999999997</v>
      </c>
      <c r="F12" s="519">
        <v>43.677999999999997</v>
      </c>
      <c r="G12" s="519">
        <v>4.8509000000000002</v>
      </c>
      <c r="H12" s="519">
        <v>-3.7446989999999998E-4</v>
      </c>
      <c r="I12" s="519">
        <v>0.1716596</v>
      </c>
      <c r="J12" s="519">
        <v>5.0346000000000002</v>
      </c>
      <c r="K12" s="519">
        <v>-0.32273000000000002</v>
      </c>
      <c r="L12" s="519">
        <v>0</v>
      </c>
      <c r="M12" s="558">
        <f t="shared" si="1"/>
        <v>1</v>
      </c>
      <c r="O12" s="396" t="s">
        <v>177</v>
      </c>
      <c r="P12" s="396" t="s">
        <v>69</v>
      </c>
      <c r="Q12" s="518">
        <v>298.14999999999998</v>
      </c>
      <c r="R12" s="518">
        <v>500</v>
      </c>
      <c r="S12" s="396">
        <v>-39.271554633471638</v>
      </c>
      <c r="T12" s="396">
        <v>1630.5742035912474</v>
      </c>
      <c r="U12" s="396">
        <v>409.0716136667869</v>
      </c>
      <c r="V12" s="396">
        <v>-8.7218112935233631E-3</v>
      </c>
      <c r="W12" s="396">
        <v>10.745207452038418</v>
      </c>
      <c r="X12" s="396">
        <v>-3527.9541171017495</v>
      </c>
      <c r="Y12" s="396">
        <v>20747.399122015755</v>
      </c>
      <c r="Z12" s="396">
        <v>0</v>
      </c>
      <c r="AA12" s="518">
        <v>1</v>
      </c>
      <c r="AC12" s="397" t="str">
        <f t="shared" si="2"/>
        <v>Ga10Ge30S</v>
      </c>
      <c r="AD12" s="544" t="str">
        <f>Таблица3[[#This Row],[Вещество]]</f>
        <v>Ga10Ge30Se60</v>
      </c>
      <c r="AE12" s="544">
        <f>IF(B9=Таблица3[[#This Row],[Фаза]],0,2)</f>
        <v>0</v>
      </c>
      <c r="AF12" s="544">
        <f>IF(C9=Таблица3[[#This Row],[To]],0,IF(ABS((C9-Таблица3[[#This Row],[To]])/(C9+Таблица3[[#This Row],[To]]))&lt;0.01,1,2))</f>
        <v>0</v>
      </c>
      <c r="AG12" s="544">
        <f>IF(D9=Таблица3[[#This Row],[T]],0,IF(ABS((D9-Таблица3[[#This Row],[T]])/(D9+Таблица3[[#This Row],[T]]))&lt;0.01,1,2))</f>
        <v>1</v>
      </c>
      <c r="AH12" s="544">
        <f>IF(E9=Таблица3[[#This Row],[ho]],0,IF(ABS((E9-Таблица3[[#This Row],[ho]])/(E9+Таблица3[[#This Row],[ho]]))&lt;0.01,1,2))</f>
        <v>1</v>
      </c>
      <c r="AI12" s="544">
        <f>IF(F9=Таблица3[[#This Row],[ф1]],0,IF(ABS((F9-Таблица3[[#This Row],[ф1]])/(F9+Таблица3[[#This Row],[ф1]]))&lt;0.01,1,2))</f>
        <v>1</v>
      </c>
      <c r="AJ12" s="544">
        <f>IF(G9=Таблица3[[#This Row],[ф2 *lnX]],0,IF(ABS((G9-Таблица3[[#This Row],[ф2 *lnX]])/(G9+Таблица3[[#This Row],[ф2 *lnX]]))&lt;0.01,1,2))</f>
        <v>1</v>
      </c>
      <c r="AK12" s="544">
        <f>IF(H9=Таблица3[[#This Row],[ф3 *X^(-2)]],0,IF(ABS((H9-Таблица3[[#This Row],[ф3 *X^(-2)]])/(H9+Таблица3[[#This Row],[ф3 *X^(-2)]]))&lt;0.01,1,2))</f>
        <v>1</v>
      </c>
      <c r="AL12" s="544">
        <f>IF(I9=Таблица3[[#This Row],[ф4 *X^(-1)]],0,IF(ABS((I9-Таблица3[[#This Row],[ф4 *X^(-1)]])/(I9+Таблица3[[#This Row],[ф4 *X^(-1)]]))&lt;0.01,1,2))</f>
        <v>1</v>
      </c>
      <c r="AM12" s="544">
        <f>IF(J9=Таблица3[[#This Row],[ф5 *X]],0,IF(ABS((J9-Таблица3[[#This Row],[ф5 *X]])/(J9+Таблица3[[#This Row],[ф5 *X]]))&lt;0.01,1,2))</f>
        <v>1</v>
      </c>
      <c r="AN12" s="544">
        <f>IF(K9=Таблица3[[#This Row],[ф6 *X^2]],0,IF(ABS((K9-Таблица3[[#This Row],[ф6 *X^2]])/(K9+Таблица3[[#This Row],[ф6 *X^2]]))&lt;0.01,1,2))</f>
        <v>1</v>
      </c>
      <c r="AO12" s="544">
        <f>IF(L9=Таблица3[[#This Row],[ф7 *Х^3]],0,IF(ABS((L9-Таблица3[[#This Row],[ф7 *Х^3]])/(L9+Таблица3[[#This Row],[ф7 *Х^3]]))&lt;0.01,1,2))</f>
        <v>0</v>
      </c>
    </row>
    <row r="13" spans="1:41" x14ac:dyDescent="0.35">
      <c r="A13" s="396" t="s">
        <v>174</v>
      </c>
      <c r="B13" s="396" t="s">
        <v>69</v>
      </c>
      <c r="C13" s="518">
        <v>298</v>
      </c>
      <c r="D13" s="518">
        <v>500.00009999999997</v>
      </c>
      <c r="E13" s="519">
        <v>-2.39</v>
      </c>
      <c r="F13" s="519">
        <v>74.769990000000007</v>
      </c>
      <c r="G13" s="519">
        <v>18.14</v>
      </c>
      <c r="H13" s="519">
        <v>0</v>
      </c>
      <c r="I13" s="519">
        <v>0.56850000000000001</v>
      </c>
      <c r="J13" s="519">
        <v>31.1</v>
      </c>
      <c r="K13" s="519">
        <v>0</v>
      </c>
      <c r="L13" s="519">
        <v>0</v>
      </c>
      <c r="M13" s="558">
        <f t="shared" si="1"/>
        <v>1</v>
      </c>
      <c r="O13" s="396" t="s">
        <v>176</v>
      </c>
      <c r="P13" s="396" t="s">
        <v>69</v>
      </c>
      <c r="Q13" s="518">
        <v>298.14999999999998</v>
      </c>
      <c r="R13" s="518">
        <v>500</v>
      </c>
      <c r="S13" s="396">
        <v>-1.8108390642852847</v>
      </c>
      <c r="T13" s="396">
        <v>71.793803453041576</v>
      </c>
      <c r="U13" s="396">
        <v>17.874387122226231</v>
      </c>
      <c r="V13" s="396">
        <v>-2.9072704311744544E-4</v>
      </c>
      <c r="W13" s="396">
        <v>0.49084358173461395</v>
      </c>
      <c r="X13" s="396">
        <v>-110.52047057005831</v>
      </c>
      <c r="Y13" s="396">
        <v>691.57997073385854</v>
      </c>
      <c r="Z13" s="396">
        <v>0</v>
      </c>
      <c r="AA13" s="518">
        <v>1</v>
      </c>
      <c r="AC13" s="397" t="str">
        <f t="shared" si="2"/>
        <v>Ga1Ge1Se3</v>
      </c>
      <c r="AD13" s="544" t="str">
        <f>Таблица3[[#This Row],[Вещество]]</f>
        <v>Ga1Ge1Se3</v>
      </c>
      <c r="AE13" s="544">
        <f>IF(B10=Таблица3[[#This Row],[Фаза]],0,2)</f>
        <v>0</v>
      </c>
      <c r="AF13" s="544">
        <f>IF(C10=Таблица3[[#This Row],[To]],0,IF(ABS((C10-Таблица3[[#This Row],[To]])/(C10+Таблица3[[#This Row],[To]]))&lt;0.01,1,2))</f>
        <v>1</v>
      </c>
      <c r="AG13" s="544">
        <f>IF(D10=Таблица3[[#This Row],[T]],0,IF(ABS((D10-Таблица3[[#This Row],[T]])/(D10+Таблица3[[#This Row],[T]]))&lt;0.01,1,2))</f>
        <v>1</v>
      </c>
      <c r="AH13" s="544">
        <f>IF(E10=Таблица3[[#This Row],[ho]],0,IF(ABS((E10-Таблица3[[#This Row],[ho]])/(E10+Таблица3[[#This Row],[ho]]))&lt;0.01,1,2))</f>
        <v>1</v>
      </c>
      <c r="AI13" s="544">
        <f>IF(F10=Таблица3[[#This Row],[ф1]],0,IF(ABS((F10-Таблица3[[#This Row],[ф1]])/(F10+Таблица3[[#This Row],[ф1]]))&lt;0.01,1,2))</f>
        <v>1</v>
      </c>
      <c r="AJ13" s="544">
        <f>IF(G10=Таблица3[[#This Row],[ф2 *lnX]],0,IF(ABS((G10-Таблица3[[#This Row],[ф2 *lnX]])/(G10+Таблица3[[#This Row],[ф2 *lnX]]))&lt;0.01,1,2))</f>
        <v>1</v>
      </c>
      <c r="AK13" s="544">
        <f>IF(H10=Таблица3[[#This Row],[ф3 *X^(-2)]],0,IF(ABS((H10-Таблица3[[#This Row],[ф3 *X^(-2)]])/(H10+Таблица3[[#This Row],[ф3 *X^(-2)]]))&lt;0.01,1,2))</f>
        <v>1</v>
      </c>
      <c r="AL13" s="544">
        <f>IF(I10=Таблица3[[#This Row],[ф4 *X^(-1)]],0,IF(ABS((I10-Таблица3[[#This Row],[ф4 *X^(-1)]])/(I10+Таблица3[[#This Row],[ф4 *X^(-1)]]))&lt;0.01,1,2))</f>
        <v>1</v>
      </c>
      <c r="AM13" s="544">
        <f>IF(J10=Таблица3[[#This Row],[ф5 *X]],0,IF(ABS((J10-Таблица3[[#This Row],[ф5 *X]])/(J10+Таблица3[[#This Row],[ф5 *X]]))&lt;0.01,1,2))</f>
        <v>1</v>
      </c>
      <c r="AN13" s="544">
        <f>IF(K10=Таблица3[[#This Row],[ф6 *X^2]],0,IF(ABS((K10-Таблица3[[#This Row],[ф6 *X^2]])/(K10+Таблица3[[#This Row],[ф6 *X^2]]))&lt;0.01,1,2))</f>
        <v>1</v>
      </c>
      <c r="AO13" s="544">
        <f>IF(L10=Таблица3[[#This Row],[ф7 *Х^3]],0,IF(ABS((L10-Таблица3[[#This Row],[ф7 *Х^3]])/(L10+Таблица3[[#This Row],[ф7 *Х^3]]))&lt;0.01,1,2))</f>
        <v>0</v>
      </c>
    </row>
    <row r="14" spans="1:41" x14ac:dyDescent="0.35">
      <c r="A14" s="396" t="s">
        <v>180</v>
      </c>
      <c r="B14" s="396" t="s">
        <v>69</v>
      </c>
      <c r="C14" s="518">
        <v>298.14999999999998</v>
      </c>
      <c r="D14" s="518">
        <v>500.00009999999997</v>
      </c>
      <c r="E14" s="519">
        <v>-4.8600000000000003</v>
      </c>
      <c r="F14" s="519">
        <v>212.3999</v>
      </c>
      <c r="G14" s="519">
        <v>53.359990000000003</v>
      </c>
      <c r="H14" s="519">
        <v>-1.163E-3</v>
      </c>
      <c r="I14" s="519">
        <v>1.395</v>
      </c>
      <c r="J14" s="519">
        <v>-473.2</v>
      </c>
      <c r="K14" s="519">
        <v>2766</v>
      </c>
      <c r="L14" s="519">
        <v>0</v>
      </c>
      <c r="M14" s="558">
        <f t="shared" si="1"/>
        <v>1</v>
      </c>
      <c r="O14" s="396" t="s">
        <v>126</v>
      </c>
      <c r="P14" s="396" t="s">
        <v>65</v>
      </c>
      <c r="Q14" s="518">
        <v>298.14999999999998</v>
      </c>
      <c r="R14" s="518">
        <v>1100</v>
      </c>
      <c r="S14" s="396">
        <v>5.2149859999999997</v>
      </c>
      <c r="T14" s="396">
        <v>41.701000000000001</v>
      </c>
      <c r="U14" s="396">
        <v>4.0561670000000003</v>
      </c>
      <c r="V14" s="396">
        <v>2.357301E-5</v>
      </c>
      <c r="W14" s="396">
        <v>0.12889</v>
      </c>
      <c r="X14" s="396">
        <v>11.272</v>
      </c>
      <c r="Y14" s="396">
        <v>-9.1847989999999999</v>
      </c>
      <c r="Z14" s="396">
        <v>0</v>
      </c>
      <c r="AA14" s="518">
        <v>1</v>
      </c>
      <c r="AC14" s="397" t="str">
        <f t="shared" si="2"/>
        <v>Ga2</v>
      </c>
      <c r="AD14" s="544" t="str">
        <f>Таблица3[[#This Row],[Вещество]]</f>
        <v>Ga2</v>
      </c>
      <c r="AE14" s="544">
        <f>IF(B11=Таблица3[[#This Row],[Фаза]],0,2)</f>
        <v>0</v>
      </c>
      <c r="AF14" s="544">
        <f>IF(C11=Таблица3[[#This Row],[To]],0,IF(ABS((C11-Таблица3[[#This Row],[To]])/(C11+Таблица3[[#This Row],[To]]))&lt;0.01,1,2))</f>
        <v>0</v>
      </c>
      <c r="AG14" s="544">
        <f>IF(D11=Таблица3[[#This Row],[T]],0,IF(ABS((D11-Таблица3[[#This Row],[T]])/(D11+Таблица3[[#This Row],[T]]))&lt;0.01,1,2))</f>
        <v>0</v>
      </c>
      <c r="AH14" s="544">
        <f>IF(E11=Таблица3[[#This Row],[ho]],0,IF(ABS((E11-Таблица3[[#This Row],[ho]])/(E11+Таблица3[[#This Row],[ho]]))&lt;0.01,1,2))</f>
        <v>0</v>
      </c>
      <c r="AI14" s="544">
        <f>IF(F11=Таблица3[[#This Row],[ф1]],0,IF(ABS((F11-Таблица3[[#This Row],[ф1]])/(F11+Таблица3[[#This Row],[ф1]]))&lt;0.01,1,2))</f>
        <v>0</v>
      </c>
      <c r="AJ14" s="544">
        <f>IF(G11=Таблица3[[#This Row],[ф2 *lnX]],0,IF(ABS((G11-Таблица3[[#This Row],[ф2 *lnX]])/(G11+Таблица3[[#This Row],[ф2 *lnX]]))&lt;0.01,1,2))</f>
        <v>0</v>
      </c>
      <c r="AK14" s="544">
        <f>IF(H11=Таблица3[[#This Row],[ф3 *X^(-2)]],0,IF(ABS((H11-Таблица3[[#This Row],[ф3 *X^(-2)]])/(H11+Таблица3[[#This Row],[ф3 *X^(-2)]]))&lt;0.01,1,2))</f>
        <v>0</v>
      </c>
      <c r="AL14" s="544">
        <f>IF(I11=Таблица3[[#This Row],[ф4 *X^(-1)]],0,IF(ABS((I11-Таблица3[[#This Row],[ф4 *X^(-1)]])/(I11+Таблица3[[#This Row],[ф4 *X^(-1)]]))&lt;0.01,1,2))</f>
        <v>0</v>
      </c>
      <c r="AM14" s="544">
        <f>IF(J11=Таблица3[[#This Row],[ф5 *X]],0,IF(ABS((J11-Таблица3[[#This Row],[ф5 *X]])/(J11+Таблица3[[#This Row],[ф5 *X]]))&lt;0.01,1,2))</f>
        <v>0</v>
      </c>
      <c r="AN14" s="544">
        <f>IF(K11=Таблица3[[#This Row],[ф6 *X^2]],0,IF(ABS((K11-Таблица3[[#This Row],[ф6 *X^2]])/(K11+Таблица3[[#This Row],[ф6 *X^2]]))&lt;0.01,1,2))</f>
        <v>0</v>
      </c>
      <c r="AO14" s="544">
        <f>IF(L11=Таблица3[[#This Row],[ф7 *Х^3]],0,IF(ABS((L11-Таблица3[[#This Row],[ф7 *Х^3]])/(L11+Таблица3[[#This Row],[ф7 *Х^3]]))&lt;0.01,1,2))</f>
        <v>0</v>
      </c>
    </row>
    <row r="15" spans="1:41" x14ac:dyDescent="0.35">
      <c r="A15" s="396" t="s">
        <v>179</v>
      </c>
      <c r="B15" s="396" t="s">
        <v>69</v>
      </c>
      <c r="C15" s="518">
        <v>298.14999999999998</v>
      </c>
      <c r="D15" s="518">
        <v>500.00009999999997</v>
      </c>
      <c r="E15" s="519">
        <v>-5.34</v>
      </c>
      <c r="F15" s="519">
        <v>188.5</v>
      </c>
      <c r="G15" s="519">
        <v>46.599989999999998</v>
      </c>
      <c r="H15" s="519">
        <v>-5.8149999999999999E-4</v>
      </c>
      <c r="I15" s="519">
        <v>1.323</v>
      </c>
      <c r="J15" s="519">
        <v>-201.3</v>
      </c>
      <c r="K15" s="519">
        <v>1383</v>
      </c>
      <c r="L15" s="519">
        <v>0</v>
      </c>
      <c r="M15" s="558">
        <f t="shared" si="1"/>
        <v>1</v>
      </c>
      <c r="O15" s="396" t="s">
        <v>126</v>
      </c>
      <c r="P15" s="396" t="s">
        <v>65</v>
      </c>
      <c r="Q15" s="518">
        <v>1100</v>
      </c>
      <c r="R15" s="518">
        <v>2500</v>
      </c>
      <c r="S15" s="396">
        <v>5.2149859999999997</v>
      </c>
      <c r="T15" s="396">
        <v>43.677999999999997</v>
      </c>
      <c r="U15" s="396">
        <v>4.8509000000000002</v>
      </c>
      <c r="V15" s="396">
        <v>-3.7446989999999998E-4</v>
      </c>
      <c r="W15" s="396">
        <v>0.1716596</v>
      </c>
      <c r="X15" s="396">
        <v>5.0346000000000002</v>
      </c>
      <c r="Y15" s="396">
        <v>-0.32273000000000002</v>
      </c>
      <c r="Z15" s="396">
        <v>0</v>
      </c>
      <c r="AA15" s="518">
        <v>1</v>
      </c>
      <c r="AC15" s="397" t="str">
        <f t="shared" si="2"/>
        <v>Ga2</v>
      </c>
      <c r="AD15" s="544" t="str">
        <f>Таблица3[[#This Row],[Вещество]]</f>
        <v>Ga2</v>
      </c>
      <c r="AE15" s="544">
        <f>IF(B12=Таблица3[[#This Row],[Фаза]],0,2)</f>
        <v>0</v>
      </c>
      <c r="AF15" s="544">
        <f>IF(C12=Таблица3[[#This Row],[To]],0,IF(ABS((C12-Таблица3[[#This Row],[To]])/(C12+Таблица3[[#This Row],[To]]))&lt;0.01,1,2))</f>
        <v>0</v>
      </c>
      <c r="AG15" s="544">
        <f>IF(D12=Таблица3[[#This Row],[T]],0,IF(ABS((D12-Таблица3[[#This Row],[T]])/(D12+Таблица3[[#This Row],[T]]))&lt;0.01,1,2))</f>
        <v>0</v>
      </c>
      <c r="AH15" s="544">
        <f>IF(E12=Таблица3[[#This Row],[ho]],0,IF(ABS((E12-Таблица3[[#This Row],[ho]])/(E12+Таблица3[[#This Row],[ho]]))&lt;0.01,1,2))</f>
        <v>0</v>
      </c>
      <c r="AI15" s="544">
        <f>IF(F12=Таблица3[[#This Row],[ф1]],0,IF(ABS((F12-Таблица3[[#This Row],[ф1]])/(F12+Таблица3[[#This Row],[ф1]]))&lt;0.01,1,2))</f>
        <v>0</v>
      </c>
      <c r="AJ15" s="544">
        <f>IF(G12=Таблица3[[#This Row],[ф2 *lnX]],0,IF(ABS((G12-Таблица3[[#This Row],[ф2 *lnX]])/(G12+Таблица3[[#This Row],[ф2 *lnX]]))&lt;0.01,1,2))</f>
        <v>0</v>
      </c>
      <c r="AK15" s="544">
        <f>IF(H12=Таблица3[[#This Row],[ф3 *X^(-2)]],0,IF(ABS((H12-Таблица3[[#This Row],[ф3 *X^(-2)]])/(H12+Таблица3[[#This Row],[ф3 *X^(-2)]]))&lt;0.01,1,2))</f>
        <v>0</v>
      </c>
      <c r="AL15" s="544">
        <f>IF(I12=Таблица3[[#This Row],[ф4 *X^(-1)]],0,IF(ABS((I12-Таблица3[[#This Row],[ф4 *X^(-1)]])/(I12+Таблица3[[#This Row],[ф4 *X^(-1)]]))&lt;0.01,1,2))</f>
        <v>0</v>
      </c>
      <c r="AM15" s="544">
        <f>IF(J12=Таблица3[[#This Row],[ф5 *X]],0,IF(ABS((J12-Таблица3[[#This Row],[ф5 *X]])/(J12+Таблица3[[#This Row],[ф5 *X]]))&lt;0.01,1,2))</f>
        <v>0</v>
      </c>
      <c r="AN15" s="544">
        <f>IF(K12=Таблица3[[#This Row],[ф6 *X^2]],0,IF(ABS((K12-Таблица3[[#This Row],[ф6 *X^2]])/(K12+Таблица3[[#This Row],[ф6 *X^2]]))&lt;0.01,1,2))</f>
        <v>0</v>
      </c>
      <c r="AO15" s="544">
        <f>IF(L12=Таблица3[[#This Row],[ф7 *Х^3]],0,IF(ABS((L12-Таблица3[[#This Row],[ф7 *Х^3]])/(L12+Таблица3[[#This Row],[ф7 *Х^3]]))&lt;0.01,1,2))</f>
        <v>0</v>
      </c>
    </row>
    <row r="16" spans="1:41" x14ac:dyDescent="0.35">
      <c r="A16" s="396" t="s">
        <v>76</v>
      </c>
      <c r="B16" s="396" t="s">
        <v>65</v>
      </c>
      <c r="C16" s="518">
        <v>298.14999999999998</v>
      </c>
      <c r="D16" s="518">
        <v>2000</v>
      </c>
      <c r="E16" s="519">
        <v>1.157</v>
      </c>
      <c r="F16" s="519">
        <v>55.30301</v>
      </c>
      <c r="G16" s="519">
        <v>6.9866000000000001</v>
      </c>
      <c r="H16" s="519">
        <v>-1.7438999999999999E-4</v>
      </c>
      <c r="I16" s="519">
        <v>0.22003</v>
      </c>
      <c r="J16" s="519">
        <v>3.0068000000000001E-2</v>
      </c>
      <c r="K16" s="519">
        <v>0</v>
      </c>
      <c r="L16" s="519">
        <v>0</v>
      </c>
      <c r="M16" s="558">
        <f t="shared" si="1"/>
        <v>1</v>
      </c>
      <c r="O16" s="396" t="s">
        <v>174</v>
      </c>
      <c r="P16" s="396" t="s">
        <v>69</v>
      </c>
      <c r="Q16" s="518">
        <v>298.14999999999998</v>
      </c>
      <c r="R16" s="518">
        <v>500</v>
      </c>
      <c r="S16" s="396">
        <v>-2.3913798664982862</v>
      </c>
      <c r="T16" s="396">
        <v>74.770930000000007</v>
      </c>
      <c r="U16" s="396">
        <v>18.140259</v>
      </c>
      <c r="V16" s="396">
        <v>0</v>
      </c>
      <c r="W16" s="396">
        <v>0.56850120000000004</v>
      </c>
      <c r="X16" s="396">
        <v>31.096289000000002</v>
      </c>
      <c r="Y16" s="396">
        <v>0</v>
      </c>
      <c r="Z16" s="396">
        <v>0</v>
      </c>
      <c r="AA16" s="518">
        <v>1</v>
      </c>
      <c r="AC16" s="397" t="str">
        <f t="shared" si="2"/>
        <v>Ga2Ge1Se4</v>
      </c>
      <c r="AD16" s="544" t="str">
        <f>Таблица3[[#This Row],[Вещество]]</f>
        <v>Ga2Ge1Se4</v>
      </c>
      <c r="AE16" s="544">
        <f>IF(B13=Таблица3[[#This Row],[Фаза]],0,2)</f>
        <v>0</v>
      </c>
      <c r="AF16" s="544">
        <f>IF(C13=Таблица3[[#This Row],[To]],0,IF(ABS((C13-Таблица3[[#This Row],[To]])/(C13+Таблица3[[#This Row],[To]]))&lt;0.01,1,2))</f>
        <v>1</v>
      </c>
      <c r="AG16" s="544">
        <f>IF(D13=Таблица3[[#This Row],[T]],0,IF(ABS((D13-Таблица3[[#This Row],[T]])/(D13+Таблица3[[#This Row],[T]]))&lt;0.01,1,2))</f>
        <v>1</v>
      </c>
      <c r="AH16" s="544">
        <f>IF(E13=Таблица3[[#This Row],[ho]],0,IF(ABS((E13-Таблица3[[#This Row],[ho]])/(E13+Таблица3[[#This Row],[ho]]))&lt;0.01,1,2))</f>
        <v>1</v>
      </c>
      <c r="AI16" s="544">
        <f>IF(F13=Таблица3[[#This Row],[ф1]],0,IF(ABS((F13-Таблица3[[#This Row],[ф1]])/(F13+Таблица3[[#This Row],[ф1]]))&lt;0.01,1,2))</f>
        <v>1</v>
      </c>
      <c r="AJ16" s="544">
        <f>IF(G13=Таблица3[[#This Row],[ф2 *lnX]],0,IF(ABS((G13-Таблица3[[#This Row],[ф2 *lnX]])/(G13+Таблица3[[#This Row],[ф2 *lnX]]))&lt;0.01,1,2))</f>
        <v>1</v>
      </c>
      <c r="AK16" s="544">
        <f>IF(H13=Таблица3[[#This Row],[ф3 *X^(-2)]],0,IF(ABS((H13-Таблица3[[#This Row],[ф3 *X^(-2)]])/(H13+Таблица3[[#This Row],[ф3 *X^(-2)]]))&lt;0.01,1,2))</f>
        <v>0</v>
      </c>
      <c r="AL16" s="544">
        <f>IF(I13=Таблица3[[#This Row],[ф4 *X^(-1)]],0,IF(ABS((I13-Таблица3[[#This Row],[ф4 *X^(-1)]])/(I13+Таблица3[[#This Row],[ф4 *X^(-1)]]))&lt;0.01,1,2))</f>
        <v>1</v>
      </c>
      <c r="AM16" s="544">
        <f>IF(J13=Таблица3[[#This Row],[ф5 *X]],0,IF(ABS((J13-Таблица3[[#This Row],[ф5 *X]])/(J13+Таблица3[[#This Row],[ф5 *X]]))&lt;0.01,1,2))</f>
        <v>1</v>
      </c>
      <c r="AN16" s="544">
        <f>IF(K13=Таблица3[[#This Row],[ф6 *X^2]],0,IF(ABS((K13-Таблица3[[#This Row],[ф6 *X^2]])/(K13+Таблица3[[#This Row],[ф6 *X^2]]))&lt;0.01,1,2))</f>
        <v>0</v>
      </c>
      <c r="AO16" s="544">
        <f>IF(L13=Таблица3[[#This Row],[ф7 *Х^3]],0,IF(ABS((L13-Таблица3[[#This Row],[ф7 *Х^3]])/(L13+Таблица3[[#This Row],[ф7 *Х^3]]))&lt;0.01,1,2))</f>
        <v>0</v>
      </c>
    </row>
    <row r="17" spans="1:41" x14ac:dyDescent="0.35">
      <c r="A17" s="396" t="s">
        <v>76</v>
      </c>
      <c r="B17" s="396" t="s">
        <v>69</v>
      </c>
      <c r="C17" s="518">
        <v>298.14999999999998</v>
      </c>
      <c r="D17" s="518">
        <v>398</v>
      </c>
      <c r="E17" s="519">
        <v>-2.2040000000000002</v>
      </c>
      <c r="F17" s="519">
        <v>13.59</v>
      </c>
      <c r="G17" s="519">
        <v>0</v>
      </c>
      <c r="H17" s="519">
        <v>0</v>
      </c>
      <c r="I17" s="519">
        <v>0</v>
      </c>
      <c r="J17" s="519">
        <v>0</v>
      </c>
      <c r="K17" s="519">
        <v>0</v>
      </c>
      <c r="L17" s="519">
        <v>0</v>
      </c>
      <c r="M17" s="558">
        <f t="shared" si="1"/>
        <v>1</v>
      </c>
      <c r="O17" s="396" t="s">
        <v>180</v>
      </c>
      <c r="P17" s="396" t="s">
        <v>69</v>
      </c>
      <c r="Q17" s="518">
        <v>298.14999999999998</v>
      </c>
      <c r="R17" s="518">
        <v>500</v>
      </c>
      <c r="S17" s="396">
        <v>-4.8580355403211248</v>
      </c>
      <c r="T17" s="396">
        <v>212.40428381216631</v>
      </c>
      <c r="U17" s="396">
        <v>53.357289488904925</v>
      </c>
      <c r="V17" s="396">
        <v>-1.1629081724697818E-3</v>
      </c>
      <c r="W17" s="396">
        <v>1.3948731269384558</v>
      </c>
      <c r="X17" s="396">
        <v>-473.1781712802333</v>
      </c>
      <c r="Y17" s="396">
        <v>2766.3198829354342</v>
      </c>
      <c r="Z17" s="396">
        <v>0</v>
      </c>
      <c r="AA17" s="518">
        <v>1</v>
      </c>
      <c r="AC17" s="397" t="str">
        <f t="shared" si="2"/>
        <v>Ga2Ge3Se8</v>
      </c>
      <c r="AD17" s="544" t="str">
        <f>Таблица3[[#This Row],[Вещество]]</f>
        <v>Ga2Ge3Se8</v>
      </c>
      <c r="AE17" s="544">
        <f>IF(B14=Таблица3[[#This Row],[Фаза]],0,2)</f>
        <v>0</v>
      </c>
      <c r="AF17" s="544">
        <f>IF(C14=Таблица3[[#This Row],[To]],0,IF(ABS((C14-Таблица3[[#This Row],[To]])/(C14+Таблица3[[#This Row],[To]]))&lt;0.01,1,2))</f>
        <v>0</v>
      </c>
      <c r="AG17" s="544">
        <f>IF(D14=Таблица3[[#This Row],[T]],0,IF(ABS((D14-Таблица3[[#This Row],[T]])/(D14+Таблица3[[#This Row],[T]]))&lt;0.01,1,2))</f>
        <v>1</v>
      </c>
      <c r="AH17" s="544">
        <f>IF(E14=Таблица3[[#This Row],[ho]],0,IF(ABS((E14-Таблица3[[#This Row],[ho]])/(E14+Таблица3[[#This Row],[ho]]))&lt;0.01,1,2))</f>
        <v>1</v>
      </c>
      <c r="AI17" s="544">
        <f>IF(F14=Таблица3[[#This Row],[ф1]],0,IF(ABS((F14-Таблица3[[#This Row],[ф1]])/(F14+Таблица3[[#This Row],[ф1]]))&lt;0.01,1,2))</f>
        <v>1</v>
      </c>
      <c r="AJ17" s="544">
        <f>IF(G14=Таблица3[[#This Row],[ф2 *lnX]],0,IF(ABS((G14-Таблица3[[#This Row],[ф2 *lnX]])/(G14+Таблица3[[#This Row],[ф2 *lnX]]))&lt;0.01,1,2))</f>
        <v>1</v>
      </c>
      <c r="AK17" s="544">
        <f>IF(H14=Таблица3[[#This Row],[ф3 *X^(-2)]],0,IF(ABS((H14-Таблица3[[#This Row],[ф3 *X^(-2)]])/(H14+Таблица3[[#This Row],[ф3 *X^(-2)]]))&lt;0.01,1,2))</f>
        <v>1</v>
      </c>
      <c r="AL17" s="544">
        <f>IF(I14=Таблица3[[#This Row],[ф4 *X^(-1)]],0,IF(ABS((I14-Таблица3[[#This Row],[ф4 *X^(-1)]])/(I14+Таблица3[[#This Row],[ф4 *X^(-1)]]))&lt;0.01,1,2))</f>
        <v>1</v>
      </c>
      <c r="AM17" s="544">
        <f>IF(J14=Таблица3[[#This Row],[ф5 *X]],0,IF(ABS((J14-Таблица3[[#This Row],[ф5 *X]])/(J14+Таблица3[[#This Row],[ф5 *X]]))&lt;0.01,1,2))</f>
        <v>1</v>
      </c>
      <c r="AN17" s="544">
        <f>IF(K14=Таблица3[[#This Row],[ф6 *X^2]],0,IF(ABS((K14-Таблица3[[#This Row],[ф6 *X^2]])/(K14+Таблица3[[#This Row],[ф6 *X^2]]))&lt;0.01,1,2))</f>
        <v>1</v>
      </c>
      <c r="AO17" s="544">
        <f>IF(L14=Таблица3[[#This Row],[ф7 *Х^3]],0,IF(ABS((L14-Таблица3[[#This Row],[ф7 *Х^3]])/(L14+Таблица3[[#This Row],[ф7 *Х^3]]))&lt;0.01,1,2))</f>
        <v>0</v>
      </c>
    </row>
    <row r="18" spans="1:41" x14ac:dyDescent="0.35">
      <c r="A18" s="396" t="s">
        <v>77</v>
      </c>
      <c r="B18" s="396" t="s">
        <v>69</v>
      </c>
      <c r="C18" s="518">
        <v>298.14999999999998</v>
      </c>
      <c r="D18" s="518">
        <v>1278</v>
      </c>
      <c r="E18" s="519">
        <v>-4.9166999999999996</v>
      </c>
      <c r="F18" s="519">
        <v>52.323990000000002</v>
      </c>
      <c r="G18" s="519">
        <v>12.715999999999999</v>
      </c>
      <c r="H18" s="519">
        <v>0</v>
      </c>
      <c r="I18" s="519">
        <v>0.39800999999999997</v>
      </c>
      <c r="J18" s="519">
        <v>21.234000000000002</v>
      </c>
      <c r="K18" s="519">
        <v>0</v>
      </c>
      <c r="L18" s="519">
        <v>0</v>
      </c>
      <c r="M18" s="558">
        <f t="shared" si="1"/>
        <v>1</v>
      </c>
      <c r="O18" s="396" t="s">
        <v>179</v>
      </c>
      <c r="P18" s="396" t="s">
        <v>69</v>
      </c>
      <c r="Q18" s="518">
        <v>298.14999999999998</v>
      </c>
      <c r="R18" s="518">
        <v>500</v>
      </c>
      <c r="S18" s="396">
        <v>-5.3441197185639542</v>
      </c>
      <c r="T18" s="396">
        <v>188.48148690608318</v>
      </c>
      <c r="U18" s="396">
        <v>46.597292244452468</v>
      </c>
      <c r="V18" s="396">
        <v>-5.8145408623489088E-4</v>
      </c>
      <c r="W18" s="396">
        <v>1.3226695634692278</v>
      </c>
      <c r="X18" s="396">
        <v>-201.31636314011661</v>
      </c>
      <c r="Y18" s="396">
        <v>1383.1599414677171</v>
      </c>
      <c r="Z18" s="396">
        <v>0</v>
      </c>
      <c r="AA18" s="518">
        <v>1</v>
      </c>
      <c r="AC18" s="397" t="str">
        <f t="shared" si="2"/>
        <v>Ga2Ge4Se8</v>
      </c>
      <c r="AD18" s="544" t="str">
        <f>Таблица3[[#This Row],[Вещество]]</f>
        <v>Ga2Ge4Se8</v>
      </c>
      <c r="AE18" s="544">
        <f>IF(B15=Таблица3[[#This Row],[Фаза]],0,2)</f>
        <v>0</v>
      </c>
      <c r="AF18" s="544">
        <f>IF(C15=Таблица3[[#This Row],[To]],0,IF(ABS((C15-Таблица3[[#This Row],[To]])/(C15+Таблица3[[#This Row],[To]]))&lt;0.01,1,2))</f>
        <v>0</v>
      </c>
      <c r="AG18" s="544">
        <f>IF(D15=Таблица3[[#This Row],[T]],0,IF(ABS((D15-Таблица3[[#This Row],[T]])/(D15+Таблица3[[#This Row],[T]]))&lt;0.01,1,2))</f>
        <v>1</v>
      </c>
      <c r="AH18" s="544">
        <f>IF(E15=Таблица3[[#This Row],[ho]],0,IF(ABS((E15-Таблица3[[#This Row],[ho]])/(E15+Таблица3[[#This Row],[ho]]))&lt;0.01,1,2))</f>
        <v>1</v>
      </c>
      <c r="AI18" s="544">
        <f>IF(F15=Таблица3[[#This Row],[ф1]],0,IF(ABS((F15-Таблица3[[#This Row],[ф1]])/(F15+Таблица3[[#This Row],[ф1]]))&lt;0.01,1,2))</f>
        <v>1</v>
      </c>
      <c r="AJ18" s="544">
        <f>IF(G15=Таблица3[[#This Row],[ф2 *lnX]],0,IF(ABS((G15-Таблица3[[#This Row],[ф2 *lnX]])/(G15+Таблица3[[#This Row],[ф2 *lnX]]))&lt;0.01,1,2))</f>
        <v>1</v>
      </c>
      <c r="AK18" s="544">
        <f>IF(H15=Таблица3[[#This Row],[ф3 *X^(-2)]],0,IF(ABS((H15-Таблица3[[#This Row],[ф3 *X^(-2)]])/(H15+Таблица3[[#This Row],[ф3 *X^(-2)]]))&lt;0.01,1,2))</f>
        <v>1</v>
      </c>
      <c r="AL18" s="544">
        <f>IF(I15=Таблица3[[#This Row],[ф4 *X^(-1)]],0,IF(ABS((I15-Таблица3[[#This Row],[ф4 *X^(-1)]])/(I15+Таблица3[[#This Row],[ф4 *X^(-1)]]))&lt;0.01,1,2))</f>
        <v>1</v>
      </c>
      <c r="AM18" s="544">
        <f>IF(J15=Таблица3[[#This Row],[ф5 *X]],0,IF(ABS((J15-Таблица3[[#This Row],[ф5 *X]])/(J15+Таблица3[[#This Row],[ф5 *X]]))&lt;0.01,1,2))</f>
        <v>1</v>
      </c>
      <c r="AN18" s="544">
        <f>IF(K15=Таблица3[[#This Row],[ф6 *X^2]],0,IF(ABS((K15-Таблица3[[#This Row],[ф6 *X^2]])/(K15+Таблица3[[#This Row],[ф6 *X^2]]))&lt;0.01,1,2))</f>
        <v>1</v>
      </c>
      <c r="AO18" s="544">
        <f>IF(L15=Таблица3[[#This Row],[ф7 *Х^3]],0,IF(ABS((L15-Таблица3[[#This Row],[ф7 *Х^3]])/(L15+Таблица3[[#This Row],[ф7 *Х^3]]))&lt;0.01,1,2))</f>
        <v>0</v>
      </c>
    </row>
    <row r="19" spans="1:41" x14ac:dyDescent="0.35">
      <c r="A19" s="396" t="s">
        <v>175</v>
      </c>
      <c r="B19" s="396" t="s">
        <v>69</v>
      </c>
      <c r="C19" s="518">
        <v>298</v>
      </c>
      <c r="D19" s="518">
        <v>500.00009999999997</v>
      </c>
      <c r="E19" s="519">
        <v>-4.22</v>
      </c>
      <c r="F19" s="519">
        <v>173.5</v>
      </c>
      <c r="G19" s="519">
        <v>43.04</v>
      </c>
      <c r="H19" s="519">
        <v>-5.8149999999999999E-4</v>
      </c>
      <c r="I19" s="519">
        <v>1.2090000000000001</v>
      </c>
      <c r="J19" s="519">
        <v>-209.7</v>
      </c>
      <c r="K19" s="519">
        <v>1383</v>
      </c>
      <c r="L19" s="519">
        <v>0</v>
      </c>
      <c r="M19" s="558">
        <f t="shared" si="1"/>
        <v>1</v>
      </c>
      <c r="O19" s="396" t="s">
        <v>76</v>
      </c>
      <c r="P19" s="396" t="s">
        <v>65</v>
      </c>
      <c r="Q19" s="518">
        <v>298.14999999999998</v>
      </c>
      <c r="R19" s="518">
        <v>2000</v>
      </c>
      <c r="S19" s="396">
        <v>1.157</v>
      </c>
      <c r="T19" s="396">
        <v>55.30301</v>
      </c>
      <c r="U19" s="396">
        <v>6.9866000000000001</v>
      </c>
      <c r="V19" s="396">
        <v>-1.7438999999999999E-4</v>
      </c>
      <c r="W19" s="396">
        <v>0.22003</v>
      </c>
      <c r="X19" s="396">
        <v>3.0068000000000001E-2</v>
      </c>
      <c r="Y19" s="396">
        <v>0</v>
      </c>
      <c r="Z19" s="396">
        <v>0</v>
      </c>
      <c r="AA19" s="518">
        <v>1</v>
      </c>
      <c r="AC19" s="397" t="str">
        <f t="shared" si="2"/>
        <v>Ga2Se</v>
      </c>
      <c r="AD19" s="544" t="str">
        <f>Таблица3[[#This Row],[Вещество]]</f>
        <v>Ga2Se</v>
      </c>
      <c r="AE19" s="544">
        <f>IF(B16=Таблица3[[#This Row],[Фаза]],0,2)</f>
        <v>0</v>
      </c>
      <c r="AF19" s="544">
        <f>IF(C16=Таблица3[[#This Row],[To]],0,IF(ABS((C16-Таблица3[[#This Row],[To]])/(C16+Таблица3[[#This Row],[To]]))&lt;0.01,1,2))</f>
        <v>0</v>
      </c>
      <c r="AG19" s="544">
        <f>IF(D16=Таблица3[[#This Row],[T]],0,IF(ABS((D16-Таблица3[[#This Row],[T]])/(D16+Таблица3[[#This Row],[T]]))&lt;0.01,1,2))</f>
        <v>0</v>
      </c>
      <c r="AH19" s="544">
        <f>IF(E16=Таблица3[[#This Row],[ho]],0,IF(ABS((E16-Таблица3[[#This Row],[ho]])/(E16+Таблица3[[#This Row],[ho]]))&lt;0.01,1,2))</f>
        <v>0</v>
      </c>
      <c r="AI19" s="544">
        <f>IF(F16=Таблица3[[#This Row],[ф1]],0,IF(ABS((F16-Таблица3[[#This Row],[ф1]])/(F16+Таблица3[[#This Row],[ф1]]))&lt;0.01,1,2))</f>
        <v>0</v>
      </c>
      <c r="AJ19" s="544">
        <f>IF(G16=Таблица3[[#This Row],[ф2 *lnX]],0,IF(ABS((G16-Таблица3[[#This Row],[ф2 *lnX]])/(G16+Таблица3[[#This Row],[ф2 *lnX]]))&lt;0.01,1,2))</f>
        <v>0</v>
      </c>
      <c r="AK19" s="544">
        <f>IF(H16=Таблица3[[#This Row],[ф3 *X^(-2)]],0,IF(ABS((H16-Таблица3[[#This Row],[ф3 *X^(-2)]])/(H16+Таблица3[[#This Row],[ф3 *X^(-2)]]))&lt;0.01,1,2))</f>
        <v>0</v>
      </c>
      <c r="AL19" s="544">
        <f>IF(I16=Таблица3[[#This Row],[ф4 *X^(-1)]],0,IF(ABS((I16-Таблица3[[#This Row],[ф4 *X^(-1)]])/(I16+Таблица3[[#This Row],[ф4 *X^(-1)]]))&lt;0.01,1,2))</f>
        <v>0</v>
      </c>
      <c r="AM19" s="544">
        <f>IF(J16=Таблица3[[#This Row],[ф5 *X]],0,IF(ABS((J16-Таблица3[[#This Row],[ф5 *X]])/(J16+Таблица3[[#This Row],[ф5 *X]]))&lt;0.01,1,2))</f>
        <v>0</v>
      </c>
      <c r="AN19" s="544">
        <f>IF(K16=Таблица3[[#This Row],[ф6 *X^2]],0,IF(ABS((K16-Таблица3[[#This Row],[ф6 *X^2]])/(K16+Таблица3[[#This Row],[ф6 *X^2]]))&lt;0.01,1,2))</f>
        <v>0</v>
      </c>
      <c r="AO19" s="544">
        <f>IF(L16=Таблица3[[#This Row],[ф7 *Х^3]],0,IF(ABS((L16-Таблица3[[#This Row],[ф7 *Х^3]])/(L16+Таблица3[[#This Row],[ф7 *Х^3]]))&lt;0.01,1,2))</f>
        <v>0</v>
      </c>
    </row>
    <row r="20" spans="1:41" x14ac:dyDescent="0.35">
      <c r="A20" s="396" t="s">
        <v>178</v>
      </c>
      <c r="B20" s="396" t="s">
        <v>69</v>
      </c>
      <c r="C20" s="518">
        <v>298.14999999999998</v>
      </c>
      <c r="D20" s="518">
        <v>500.00009999999997</v>
      </c>
      <c r="E20" s="519">
        <v>-4.78</v>
      </c>
      <c r="F20" s="519">
        <v>149.5</v>
      </c>
      <c r="G20" s="519">
        <v>36.279989999999998</v>
      </c>
      <c r="H20" s="519">
        <v>0</v>
      </c>
      <c r="I20" s="519">
        <v>1.137</v>
      </c>
      <c r="J20" s="519">
        <v>62.190010000000001</v>
      </c>
      <c r="K20" s="519">
        <v>0</v>
      </c>
      <c r="L20" s="519">
        <v>0</v>
      </c>
      <c r="M20" s="558">
        <f t="shared" si="1"/>
        <v>1</v>
      </c>
      <c r="O20" s="396" t="s">
        <v>76</v>
      </c>
      <c r="P20" s="396" t="s">
        <v>69</v>
      </c>
      <c r="Q20" s="518">
        <v>298.14999999999998</v>
      </c>
      <c r="R20" s="518">
        <v>398</v>
      </c>
      <c r="S20" s="396">
        <v>-2.2040892416862103</v>
      </c>
      <c r="T20" s="396">
        <v>13.586866317878405</v>
      </c>
      <c r="U20" s="396">
        <v>0</v>
      </c>
      <c r="V20" s="396">
        <v>0</v>
      </c>
      <c r="W20" s="396">
        <v>0</v>
      </c>
      <c r="X20" s="396">
        <v>0</v>
      </c>
      <c r="Y20" s="396">
        <v>0</v>
      </c>
      <c r="Z20" s="396">
        <v>0</v>
      </c>
      <c r="AA20" s="518">
        <v>1</v>
      </c>
      <c r="AC20" s="397" t="str">
        <f t="shared" si="2"/>
        <v>Ga2Se</v>
      </c>
      <c r="AD20" s="544" t="str">
        <f>Таблица3[[#This Row],[Вещество]]</f>
        <v>Ga2Se</v>
      </c>
      <c r="AE20" s="544">
        <f>IF(B17=Таблица3[[#This Row],[Фаза]],0,2)</f>
        <v>0</v>
      </c>
      <c r="AF20" s="544">
        <f>IF(C17=Таблица3[[#This Row],[To]],0,IF(ABS((C17-Таблица3[[#This Row],[To]])/(C17+Таблица3[[#This Row],[To]]))&lt;0.01,1,2))</f>
        <v>0</v>
      </c>
      <c r="AG20" s="544">
        <f>IF(D17=Таблица3[[#This Row],[T]],0,IF(ABS((D17-Таблица3[[#This Row],[T]])/(D17+Таблица3[[#This Row],[T]]))&lt;0.01,1,2))</f>
        <v>0</v>
      </c>
      <c r="AH20" s="544">
        <f>IF(E17=Таблица3[[#This Row],[ho]],0,IF(ABS((E17-Таблица3[[#This Row],[ho]])/(E17+Таблица3[[#This Row],[ho]]))&lt;0.01,1,2))</f>
        <v>1</v>
      </c>
      <c r="AI20" s="544">
        <f>IF(F17=Таблица3[[#This Row],[ф1]],0,IF(ABS((F17-Таблица3[[#This Row],[ф1]])/(F17+Таблица3[[#This Row],[ф1]]))&lt;0.01,1,2))</f>
        <v>1</v>
      </c>
      <c r="AJ20" s="544">
        <f>IF(G17=Таблица3[[#This Row],[ф2 *lnX]],0,IF(ABS((G17-Таблица3[[#This Row],[ф2 *lnX]])/(G17+Таблица3[[#This Row],[ф2 *lnX]]))&lt;0.01,1,2))</f>
        <v>0</v>
      </c>
      <c r="AK20" s="544">
        <f>IF(H17=Таблица3[[#This Row],[ф3 *X^(-2)]],0,IF(ABS((H17-Таблица3[[#This Row],[ф3 *X^(-2)]])/(H17+Таблица3[[#This Row],[ф3 *X^(-2)]]))&lt;0.01,1,2))</f>
        <v>0</v>
      </c>
      <c r="AL20" s="544">
        <f>IF(I17=Таблица3[[#This Row],[ф4 *X^(-1)]],0,IF(ABS((I17-Таблица3[[#This Row],[ф4 *X^(-1)]])/(I17+Таблица3[[#This Row],[ф4 *X^(-1)]]))&lt;0.01,1,2))</f>
        <v>0</v>
      </c>
      <c r="AM20" s="544">
        <f>IF(J17=Таблица3[[#This Row],[ф5 *X]],0,IF(ABS((J17-Таблица3[[#This Row],[ф5 *X]])/(J17+Таблица3[[#This Row],[ф5 *X]]))&lt;0.01,1,2))</f>
        <v>0</v>
      </c>
      <c r="AN20" s="544">
        <f>IF(K17=Таблица3[[#This Row],[ф6 *X^2]],0,IF(ABS((K17-Таблица3[[#This Row],[ф6 *X^2]])/(K17+Таблица3[[#This Row],[ф6 *X^2]]))&lt;0.01,1,2))</f>
        <v>0</v>
      </c>
      <c r="AO20" s="544">
        <f>IF(L17=Таблица3[[#This Row],[ф7 *Х^3]],0,IF(ABS((L17-Таблица3[[#This Row],[ф7 *Х^3]])/(L17+Таблица3[[#This Row],[ф7 *Х^3]]))&lt;0.01,1,2))</f>
        <v>0</v>
      </c>
    </row>
    <row r="21" spans="1:41" x14ac:dyDescent="0.35">
      <c r="A21" s="396" t="s">
        <v>68</v>
      </c>
      <c r="B21" s="396" t="s">
        <v>65</v>
      </c>
      <c r="C21" s="518">
        <v>298.14999999999998</v>
      </c>
      <c r="D21" s="518">
        <v>1500</v>
      </c>
      <c r="E21" s="519">
        <v>4.3829390000000004</v>
      </c>
      <c r="F21" s="519">
        <v>34.862279999999998</v>
      </c>
      <c r="G21" s="519">
        <v>5.530119</v>
      </c>
      <c r="H21" s="519">
        <v>-3.3787839999999998E-4</v>
      </c>
      <c r="I21" s="519">
        <v>8.1663529999999998E-2</v>
      </c>
      <c r="J21" s="519">
        <v>-21.130780000000001</v>
      </c>
      <c r="K21" s="519">
        <v>36.52984</v>
      </c>
      <c r="L21" s="519">
        <v>-31.421589999999998</v>
      </c>
      <c r="M21" s="558">
        <f t="shared" si="1"/>
        <v>1</v>
      </c>
      <c r="O21" s="396" t="s">
        <v>77</v>
      </c>
      <c r="P21" s="396" t="s">
        <v>69</v>
      </c>
      <c r="Q21" s="556">
        <v>150</v>
      </c>
      <c r="R21" s="518">
        <v>1278</v>
      </c>
      <c r="S21" s="396">
        <v>-4.9166999999999996</v>
      </c>
      <c r="T21" s="396">
        <v>52.323990000000002</v>
      </c>
      <c r="U21" s="396">
        <v>12.715999999999999</v>
      </c>
      <c r="V21" s="396">
        <v>0</v>
      </c>
      <c r="W21" s="396">
        <v>0.39800999999999997</v>
      </c>
      <c r="X21" s="396">
        <v>21.234000000000002</v>
      </c>
      <c r="Y21" s="396">
        <v>0</v>
      </c>
      <c r="Z21" s="396">
        <v>0</v>
      </c>
      <c r="AA21" s="518">
        <v>1</v>
      </c>
      <c r="AC21" s="397" t="str">
        <f t="shared" ref="AC21:AC41" si="3">A18</f>
        <v>Ga2Se3</v>
      </c>
      <c r="AD21" s="544" t="str">
        <f>Таблица3[[#This Row],[Вещество]]</f>
        <v>Ga2Se3</v>
      </c>
      <c r="AE21" s="544">
        <f>IF(B18=Таблица3[[#This Row],[Фаза]],0,2)</f>
        <v>0</v>
      </c>
      <c r="AF21" s="544">
        <f>IF(C18=Таблица3[[#This Row],[To]],0,IF(ABS((C18-Таблица3[[#This Row],[To]])/(C18+Таблица3[[#This Row],[To]]))&lt;0.01,1,2))</f>
        <v>2</v>
      </c>
      <c r="AG21" s="544">
        <f>IF(D18=Таблица3[[#This Row],[T]],0,IF(ABS((D18-Таблица3[[#This Row],[T]])/(D18+Таблица3[[#This Row],[T]]))&lt;0.01,1,2))</f>
        <v>0</v>
      </c>
      <c r="AH21" s="544">
        <f>IF(E18=Таблица3[[#This Row],[ho]],0,IF(ABS((E18-Таблица3[[#This Row],[ho]])/(E18+Таблица3[[#This Row],[ho]]))&lt;0.01,1,2))</f>
        <v>0</v>
      </c>
      <c r="AI21" s="544">
        <f>IF(F18=Таблица3[[#This Row],[ф1]],0,IF(ABS((F18-Таблица3[[#This Row],[ф1]])/(F18+Таблица3[[#This Row],[ф1]]))&lt;0.01,1,2))</f>
        <v>0</v>
      </c>
      <c r="AJ21" s="544">
        <f>IF(G18=Таблица3[[#This Row],[ф2 *lnX]],0,IF(ABS((G18-Таблица3[[#This Row],[ф2 *lnX]])/(G18+Таблица3[[#This Row],[ф2 *lnX]]))&lt;0.01,1,2))</f>
        <v>0</v>
      </c>
      <c r="AK21" s="544">
        <f>IF(H18=Таблица3[[#This Row],[ф3 *X^(-2)]],0,IF(ABS((H18-Таблица3[[#This Row],[ф3 *X^(-2)]])/(H18+Таблица3[[#This Row],[ф3 *X^(-2)]]))&lt;0.01,1,2))</f>
        <v>0</v>
      </c>
      <c r="AL21" s="544">
        <f>IF(I18=Таблица3[[#This Row],[ф4 *X^(-1)]],0,IF(ABS((I18-Таблица3[[#This Row],[ф4 *X^(-1)]])/(I18+Таблица3[[#This Row],[ф4 *X^(-1)]]))&lt;0.01,1,2))</f>
        <v>0</v>
      </c>
      <c r="AM21" s="544">
        <f>IF(J18=Таблица3[[#This Row],[ф5 *X]],0,IF(ABS((J18-Таблица3[[#This Row],[ф5 *X]])/(J18+Таблица3[[#This Row],[ф5 *X]]))&lt;0.01,1,2))</f>
        <v>0</v>
      </c>
      <c r="AN21" s="544">
        <f>IF(K18=Таблица3[[#This Row],[ф6 *X^2]],0,IF(ABS((K18-Таблица3[[#This Row],[ф6 *X^2]])/(K18+Таблица3[[#This Row],[ф6 *X^2]]))&lt;0.01,1,2))</f>
        <v>0</v>
      </c>
      <c r="AO21" s="544">
        <f>IF(L18=Таблица3[[#This Row],[ф7 *Х^3]],0,IF(ABS((L18-Таблица3[[#This Row],[ф7 *Х^3]])/(L18+Таблица3[[#This Row],[ф7 *Х^3]]))&lt;0.01,1,2))</f>
        <v>0</v>
      </c>
    </row>
    <row r="22" spans="1:41" x14ac:dyDescent="0.35">
      <c r="A22" s="396" t="s">
        <v>68</v>
      </c>
      <c r="B22" s="396" t="s">
        <v>65</v>
      </c>
      <c r="C22" s="518">
        <v>1500</v>
      </c>
      <c r="D22" s="518">
        <v>6000</v>
      </c>
      <c r="E22" s="519">
        <v>4.3829390000000004</v>
      </c>
      <c r="F22" s="519">
        <v>26.704419999999999</v>
      </c>
      <c r="G22" s="519">
        <v>1.8358589999999999</v>
      </c>
      <c r="H22" s="519">
        <v>3.9919220000000002E-3</v>
      </c>
      <c r="I22" s="519">
        <v>-0.2011674</v>
      </c>
      <c r="J22" s="519">
        <v>2.865237</v>
      </c>
      <c r="K22" s="519">
        <v>-1.920703</v>
      </c>
      <c r="L22" s="519">
        <v>0.6292025</v>
      </c>
      <c r="M22" s="558">
        <f t="shared" si="1"/>
        <v>1</v>
      </c>
      <c r="O22" s="396" t="s">
        <v>175</v>
      </c>
      <c r="P22" s="396" t="s">
        <v>69</v>
      </c>
      <c r="Q22" s="518">
        <v>298.14999999999998</v>
      </c>
      <c r="R22" s="518">
        <v>500</v>
      </c>
      <c r="S22" s="396">
        <v>-4.2169772565999155</v>
      </c>
      <c r="T22" s="396">
        <v>173.46465690608315</v>
      </c>
      <c r="U22" s="396">
        <v>43.040515244452465</v>
      </c>
      <c r="V22" s="396">
        <v>-5.8145408623489088E-4</v>
      </c>
      <c r="W22" s="396">
        <v>1.2092059634692278</v>
      </c>
      <c r="X22" s="396">
        <v>-209.66923014011661</v>
      </c>
      <c r="Y22" s="396">
        <v>1383.1599414677171</v>
      </c>
      <c r="Z22" s="396">
        <v>0</v>
      </c>
      <c r="AA22" s="518">
        <v>1</v>
      </c>
      <c r="AC22" s="397" t="str">
        <f t="shared" si="3"/>
        <v>Ga4Ge1Se8</v>
      </c>
      <c r="AD22" s="544" t="str">
        <f>Таблица3[[#This Row],[Вещество]]</f>
        <v>Ga4Ge1Se8</v>
      </c>
      <c r="AE22" s="544">
        <f>IF(B19=Таблица3[[#This Row],[Фаза]],0,2)</f>
        <v>0</v>
      </c>
      <c r="AF22" s="544">
        <f>IF(C19=Таблица3[[#This Row],[To]],0,IF(ABS((C19-Таблица3[[#This Row],[To]])/(C19+Таблица3[[#This Row],[To]]))&lt;0.01,1,2))</f>
        <v>1</v>
      </c>
      <c r="AG22" s="544">
        <f>IF(D19=Таблица3[[#This Row],[T]],0,IF(ABS((D19-Таблица3[[#This Row],[T]])/(D19+Таблица3[[#This Row],[T]]))&lt;0.01,1,2))</f>
        <v>1</v>
      </c>
      <c r="AH22" s="544">
        <f>IF(E19=Таблица3[[#This Row],[ho]],0,IF(ABS((E19-Таблица3[[#This Row],[ho]])/(E19+Таблица3[[#This Row],[ho]]))&lt;0.01,1,2))</f>
        <v>1</v>
      </c>
      <c r="AI22" s="544">
        <f>IF(F19=Таблица3[[#This Row],[ф1]],0,IF(ABS((F19-Таблица3[[#This Row],[ф1]])/(F19+Таблица3[[#This Row],[ф1]]))&lt;0.01,1,2))</f>
        <v>1</v>
      </c>
      <c r="AJ22" s="544">
        <f>IF(G19=Таблица3[[#This Row],[ф2 *lnX]],0,IF(ABS((G19-Таблица3[[#This Row],[ф2 *lnX]])/(G19+Таблица3[[#This Row],[ф2 *lnX]]))&lt;0.01,1,2))</f>
        <v>1</v>
      </c>
      <c r="AK22" s="544">
        <f>IF(H19=Таблица3[[#This Row],[ф3 *X^(-2)]],0,IF(ABS((H19-Таблица3[[#This Row],[ф3 *X^(-2)]])/(H19+Таблица3[[#This Row],[ф3 *X^(-2)]]))&lt;0.01,1,2))</f>
        <v>1</v>
      </c>
      <c r="AL22" s="544">
        <f>IF(I19=Таблица3[[#This Row],[ф4 *X^(-1)]],0,IF(ABS((I19-Таблица3[[#This Row],[ф4 *X^(-1)]])/(I19+Таблица3[[#This Row],[ф4 *X^(-1)]]))&lt;0.01,1,2))</f>
        <v>1</v>
      </c>
      <c r="AM22" s="544">
        <f>IF(J19=Таблица3[[#This Row],[ф5 *X]],0,IF(ABS((J19-Таблица3[[#This Row],[ф5 *X]])/(J19+Таблица3[[#This Row],[ф5 *X]]))&lt;0.01,1,2))</f>
        <v>1</v>
      </c>
      <c r="AN22" s="544">
        <f>IF(K19=Таблица3[[#This Row],[ф6 *X^2]],0,IF(ABS((K19-Таблица3[[#This Row],[ф6 *X^2]])/(K19+Таблица3[[#This Row],[ф6 *X^2]]))&lt;0.01,1,2))</f>
        <v>1</v>
      </c>
      <c r="AO22" s="544">
        <f>IF(L19=Таблица3[[#This Row],[ф7 *Х^3]],0,IF(ABS((L19-Таблица3[[#This Row],[ф7 *Х^3]])/(L19+Таблица3[[#This Row],[ф7 *Х^3]]))&lt;0.01,1,2))</f>
        <v>0</v>
      </c>
    </row>
    <row r="23" spans="1:41" x14ac:dyDescent="0.35">
      <c r="A23" s="396" t="s">
        <v>68</v>
      </c>
      <c r="B23" s="396" t="s">
        <v>65</v>
      </c>
      <c r="C23" s="518">
        <v>6000</v>
      </c>
      <c r="D23" s="518">
        <v>10000</v>
      </c>
      <c r="E23" s="519">
        <v>4.3829390000000004</v>
      </c>
      <c r="F23" s="519">
        <v>30.185140000000001</v>
      </c>
      <c r="G23" s="519">
        <v>6.3430540000000004</v>
      </c>
      <c r="H23" s="519">
        <v>-9.5135109999999995E-2</v>
      </c>
      <c r="I23" s="519">
        <v>1.2754369999999999</v>
      </c>
      <c r="J23" s="519">
        <v>-4.2694150000000004</v>
      </c>
      <c r="K23" s="519">
        <v>1.041687</v>
      </c>
      <c r="L23" s="519">
        <v>-6.3588229999999996E-2</v>
      </c>
      <c r="M23" s="558">
        <f t="shared" si="1"/>
        <v>1</v>
      </c>
      <c r="O23" s="396" t="s">
        <v>178</v>
      </c>
      <c r="P23" s="396" t="s">
        <v>69</v>
      </c>
      <c r="Q23" s="518">
        <v>298.14999999999998</v>
      </c>
      <c r="R23" s="518">
        <v>500</v>
      </c>
      <c r="S23" s="396">
        <v>-4.7827597329965723</v>
      </c>
      <c r="T23" s="396">
        <v>149.54186000000001</v>
      </c>
      <c r="U23" s="396">
        <v>36.280518000000001</v>
      </c>
      <c r="V23" s="396">
        <v>0</v>
      </c>
      <c r="W23" s="396">
        <v>1.1370024000000001</v>
      </c>
      <c r="X23" s="396">
        <v>62.192578000000005</v>
      </c>
      <c r="Y23" s="396">
        <v>0</v>
      </c>
      <c r="Z23" s="396">
        <v>0</v>
      </c>
      <c r="AA23" s="518">
        <v>1</v>
      </c>
      <c r="AC23" s="397" t="str">
        <f t="shared" si="3"/>
        <v>Ga4Ge2Se8</v>
      </c>
      <c r="AD23" s="544" t="str">
        <f>Таблица3[[#This Row],[Вещество]]</f>
        <v>Ga4Ge2Se8</v>
      </c>
      <c r="AE23" s="544">
        <f>IF(B20=Таблица3[[#This Row],[Фаза]],0,2)</f>
        <v>0</v>
      </c>
      <c r="AF23" s="544">
        <f>IF(C20=Таблица3[[#This Row],[To]],0,IF(ABS((C20-Таблица3[[#This Row],[To]])/(C20+Таблица3[[#This Row],[To]]))&lt;0.01,1,2))</f>
        <v>0</v>
      </c>
      <c r="AG23" s="544">
        <f>IF(D20=Таблица3[[#This Row],[T]],0,IF(ABS((D20-Таблица3[[#This Row],[T]])/(D20+Таблица3[[#This Row],[T]]))&lt;0.01,1,2))</f>
        <v>1</v>
      </c>
      <c r="AH23" s="544">
        <f>IF(E20=Таблица3[[#This Row],[ho]],0,IF(ABS((E20-Таблица3[[#This Row],[ho]])/(E20+Таблица3[[#This Row],[ho]]))&lt;0.01,1,2))</f>
        <v>1</v>
      </c>
      <c r="AI23" s="544">
        <f>IF(F20=Таблица3[[#This Row],[ф1]],0,IF(ABS((F20-Таблица3[[#This Row],[ф1]])/(F20+Таблица3[[#This Row],[ф1]]))&lt;0.01,1,2))</f>
        <v>1</v>
      </c>
      <c r="AJ23" s="544">
        <f>IF(G20=Таблица3[[#This Row],[ф2 *lnX]],0,IF(ABS((G20-Таблица3[[#This Row],[ф2 *lnX]])/(G20+Таблица3[[#This Row],[ф2 *lnX]]))&lt;0.01,1,2))</f>
        <v>1</v>
      </c>
      <c r="AK23" s="544">
        <f>IF(H20=Таблица3[[#This Row],[ф3 *X^(-2)]],0,IF(ABS((H20-Таблица3[[#This Row],[ф3 *X^(-2)]])/(H20+Таблица3[[#This Row],[ф3 *X^(-2)]]))&lt;0.01,1,2))</f>
        <v>0</v>
      </c>
      <c r="AL23" s="544">
        <f>IF(I20=Таблица3[[#This Row],[ф4 *X^(-1)]],0,IF(ABS((I20-Таблица3[[#This Row],[ф4 *X^(-1)]])/(I20+Таблица3[[#This Row],[ф4 *X^(-1)]]))&lt;0.01,1,2))</f>
        <v>1</v>
      </c>
      <c r="AM23" s="544">
        <f>IF(J20=Таблица3[[#This Row],[ф5 *X]],0,IF(ABS((J20-Таблица3[[#This Row],[ф5 *X]])/(J20+Таблица3[[#This Row],[ф5 *X]]))&lt;0.01,1,2))</f>
        <v>1</v>
      </c>
      <c r="AN23" s="544">
        <f>IF(K20=Таблица3[[#This Row],[ф6 *X^2]],0,IF(ABS((K20-Таблица3[[#This Row],[ф6 *X^2]])/(K20+Таблица3[[#This Row],[ф6 *X^2]]))&lt;0.01,1,2))</f>
        <v>0</v>
      </c>
      <c r="AO23" s="544">
        <f>IF(L20=Таблица3[[#This Row],[ф7 *Х^3]],0,IF(ABS((L20-Таблица3[[#This Row],[ф7 *Х^3]])/(L20+Таблица3[[#This Row],[ф7 *Х^3]]))&lt;0.01,1,2))</f>
        <v>0</v>
      </c>
    </row>
    <row r="24" spans="1:41" x14ac:dyDescent="0.35">
      <c r="A24" s="396" t="s">
        <v>68</v>
      </c>
      <c r="B24" s="396" t="s">
        <v>61</v>
      </c>
      <c r="C24" s="518">
        <v>1211.4000000000001</v>
      </c>
      <c r="D24" s="518">
        <v>4900</v>
      </c>
      <c r="E24" s="519">
        <v>-5.5760690000000002E-2</v>
      </c>
      <c r="F24" s="519">
        <v>15.395060000000001</v>
      </c>
      <c r="G24" s="519">
        <v>3.319661</v>
      </c>
      <c r="H24" s="519">
        <v>0</v>
      </c>
      <c r="I24" s="519">
        <v>-0.38367639999999997</v>
      </c>
      <c r="J24" s="519">
        <v>0</v>
      </c>
      <c r="K24" s="519">
        <v>0</v>
      </c>
      <c r="L24" s="519">
        <v>0</v>
      </c>
      <c r="M24" s="558">
        <f t="shared" si="1"/>
        <v>1</v>
      </c>
      <c r="O24" s="396" t="s">
        <v>68</v>
      </c>
      <c r="P24" s="396" t="s">
        <v>65</v>
      </c>
      <c r="Q24" s="518">
        <v>298.14999999999998</v>
      </c>
      <c r="R24" s="518">
        <v>1500</v>
      </c>
      <c r="S24" s="396">
        <v>4.3829390000000004</v>
      </c>
      <c r="T24" s="396">
        <v>34.862279999999998</v>
      </c>
      <c r="U24" s="396">
        <v>5.530119</v>
      </c>
      <c r="V24" s="396">
        <v>-3.3787839999999998E-4</v>
      </c>
      <c r="W24" s="396">
        <v>8.1663529999999998E-2</v>
      </c>
      <c r="X24" s="396">
        <v>-21.130780000000001</v>
      </c>
      <c r="Y24" s="396">
        <v>36.52984</v>
      </c>
      <c r="Z24" s="396">
        <v>-31.421589999999998</v>
      </c>
      <c r="AA24" s="518">
        <v>1</v>
      </c>
      <c r="AC24" s="397" t="str">
        <f t="shared" si="3"/>
        <v>Ge</v>
      </c>
      <c r="AD24" s="544" t="str">
        <f>Таблица3[[#This Row],[Вещество]]</f>
        <v>Ge</v>
      </c>
      <c r="AE24" s="544">
        <f>IF(B21=Таблица3[[#This Row],[Фаза]],0,2)</f>
        <v>0</v>
      </c>
      <c r="AF24" s="544">
        <f>IF(C21=Таблица3[[#This Row],[To]],0,IF(ABS((C21-Таблица3[[#This Row],[To]])/(C21+Таблица3[[#This Row],[To]]))&lt;0.01,1,2))</f>
        <v>0</v>
      </c>
      <c r="AG24" s="544">
        <f>IF(D21=Таблица3[[#This Row],[T]],0,IF(ABS((D21-Таблица3[[#This Row],[T]])/(D21+Таблица3[[#This Row],[T]]))&lt;0.01,1,2))</f>
        <v>0</v>
      </c>
      <c r="AH24" s="544">
        <f>IF(E21=Таблица3[[#This Row],[ho]],0,IF(ABS((E21-Таблица3[[#This Row],[ho]])/(E21+Таблица3[[#This Row],[ho]]))&lt;0.01,1,2))</f>
        <v>0</v>
      </c>
      <c r="AI24" s="544">
        <f>IF(F21=Таблица3[[#This Row],[ф1]],0,IF(ABS((F21-Таблица3[[#This Row],[ф1]])/(F21+Таблица3[[#This Row],[ф1]]))&lt;0.01,1,2))</f>
        <v>0</v>
      </c>
      <c r="AJ24" s="544">
        <f>IF(G21=Таблица3[[#This Row],[ф2 *lnX]],0,IF(ABS((G21-Таблица3[[#This Row],[ф2 *lnX]])/(G21+Таблица3[[#This Row],[ф2 *lnX]]))&lt;0.01,1,2))</f>
        <v>0</v>
      </c>
      <c r="AK24" s="544">
        <f>IF(H21=Таблица3[[#This Row],[ф3 *X^(-2)]],0,IF(ABS((H21-Таблица3[[#This Row],[ф3 *X^(-2)]])/(H21+Таблица3[[#This Row],[ф3 *X^(-2)]]))&lt;0.01,1,2))</f>
        <v>0</v>
      </c>
      <c r="AL24" s="544">
        <f>IF(I21=Таблица3[[#This Row],[ф4 *X^(-1)]],0,IF(ABS((I21-Таблица3[[#This Row],[ф4 *X^(-1)]])/(I21+Таблица3[[#This Row],[ф4 *X^(-1)]]))&lt;0.01,1,2))</f>
        <v>0</v>
      </c>
      <c r="AM24" s="544">
        <f>IF(J21=Таблица3[[#This Row],[ф5 *X]],0,IF(ABS((J21-Таблица3[[#This Row],[ф5 *X]])/(J21+Таблица3[[#This Row],[ф5 *X]]))&lt;0.01,1,2))</f>
        <v>0</v>
      </c>
      <c r="AN24" s="544">
        <f>IF(K21=Таблица3[[#This Row],[ф6 *X^2]],0,IF(ABS((K21-Таблица3[[#This Row],[ф6 *X^2]])/(K21+Таблица3[[#This Row],[ф6 *X^2]]))&lt;0.01,1,2))</f>
        <v>0</v>
      </c>
      <c r="AO24" s="544">
        <f>IF(L21=Таблица3[[#This Row],[ф7 *Х^3]],0,IF(ABS((L21-Таблица3[[#This Row],[ф7 *Х^3]])/(L21+Таблица3[[#This Row],[ф7 *Х^3]]))&lt;0.01,1,2))</f>
        <v>0</v>
      </c>
    </row>
    <row r="25" spans="1:41" x14ac:dyDescent="0.35">
      <c r="A25" s="396" t="s">
        <v>68</v>
      </c>
      <c r="B25" s="396" t="s">
        <v>69</v>
      </c>
      <c r="C25" s="518">
        <v>298.14999999999998</v>
      </c>
      <c r="D25" s="518">
        <v>1211.4000000000001</v>
      </c>
      <c r="E25" s="519">
        <v>-5.5760690000000002E-2</v>
      </c>
      <c r="F25" s="519">
        <v>10.808619999999999</v>
      </c>
      <c r="G25" s="519">
        <v>2.898209</v>
      </c>
      <c r="H25" s="519">
        <v>-9.4357770000000004E-5</v>
      </c>
      <c r="I25" s="519">
        <v>3.8575789999999999E-2</v>
      </c>
      <c r="J25" s="519">
        <v>1.796346</v>
      </c>
      <c r="K25" s="519">
        <v>0</v>
      </c>
      <c r="L25" s="519">
        <v>0</v>
      </c>
      <c r="M25" s="558">
        <f t="shared" si="1"/>
        <v>1</v>
      </c>
      <c r="O25" s="396" t="s">
        <v>68</v>
      </c>
      <c r="P25" s="396" t="s">
        <v>65</v>
      </c>
      <c r="Q25" s="518">
        <v>1500</v>
      </c>
      <c r="R25" s="518">
        <v>6000</v>
      </c>
      <c r="S25" s="396">
        <v>4.3829390000000004</v>
      </c>
      <c r="T25" s="396">
        <v>26.704419999999999</v>
      </c>
      <c r="U25" s="396">
        <v>1.8358589999999999</v>
      </c>
      <c r="V25" s="396">
        <v>3.9919220000000002E-3</v>
      </c>
      <c r="W25" s="396">
        <v>-0.2011674</v>
      </c>
      <c r="X25" s="396">
        <v>2.865237</v>
      </c>
      <c r="Y25" s="396">
        <v>-1.920703</v>
      </c>
      <c r="Z25" s="396">
        <v>0.6292025</v>
      </c>
      <c r="AA25" s="518">
        <v>1</v>
      </c>
      <c r="AC25" s="397" t="str">
        <f t="shared" si="3"/>
        <v>Ge</v>
      </c>
      <c r="AD25" s="544" t="str">
        <f>Таблица3[[#This Row],[Вещество]]</f>
        <v>Ge</v>
      </c>
      <c r="AE25" s="544">
        <f>IF(B22=Таблица3[[#This Row],[Фаза]],0,2)</f>
        <v>0</v>
      </c>
      <c r="AF25" s="544">
        <f>IF(C22=Таблица3[[#This Row],[To]],0,IF(ABS((C22-Таблица3[[#This Row],[To]])/(C22+Таблица3[[#This Row],[To]]))&lt;0.01,1,2))</f>
        <v>0</v>
      </c>
      <c r="AG25" s="544">
        <f>IF(D22=Таблица3[[#This Row],[T]],0,IF(ABS((D22-Таблица3[[#This Row],[T]])/(D22+Таблица3[[#This Row],[T]]))&lt;0.01,1,2))</f>
        <v>0</v>
      </c>
      <c r="AH25" s="544">
        <f>IF(E22=Таблица3[[#This Row],[ho]],0,IF(ABS((E22-Таблица3[[#This Row],[ho]])/(E22+Таблица3[[#This Row],[ho]]))&lt;0.01,1,2))</f>
        <v>0</v>
      </c>
      <c r="AI25" s="544">
        <f>IF(F22=Таблица3[[#This Row],[ф1]],0,IF(ABS((F22-Таблица3[[#This Row],[ф1]])/(F22+Таблица3[[#This Row],[ф1]]))&lt;0.01,1,2))</f>
        <v>0</v>
      </c>
      <c r="AJ25" s="544">
        <f>IF(G22=Таблица3[[#This Row],[ф2 *lnX]],0,IF(ABS((G22-Таблица3[[#This Row],[ф2 *lnX]])/(G22+Таблица3[[#This Row],[ф2 *lnX]]))&lt;0.01,1,2))</f>
        <v>0</v>
      </c>
      <c r="AK25" s="544">
        <f>IF(H22=Таблица3[[#This Row],[ф3 *X^(-2)]],0,IF(ABS((H22-Таблица3[[#This Row],[ф3 *X^(-2)]])/(H22+Таблица3[[#This Row],[ф3 *X^(-2)]]))&lt;0.01,1,2))</f>
        <v>0</v>
      </c>
      <c r="AL25" s="544">
        <f>IF(I22=Таблица3[[#This Row],[ф4 *X^(-1)]],0,IF(ABS((I22-Таблица3[[#This Row],[ф4 *X^(-1)]])/(I22+Таблица3[[#This Row],[ф4 *X^(-1)]]))&lt;0.01,1,2))</f>
        <v>0</v>
      </c>
      <c r="AM25" s="544">
        <f>IF(J22=Таблица3[[#This Row],[ф5 *X]],0,IF(ABS((J22-Таблица3[[#This Row],[ф5 *X]])/(J22+Таблица3[[#This Row],[ф5 *X]]))&lt;0.01,1,2))</f>
        <v>0</v>
      </c>
      <c r="AN25" s="544">
        <f>IF(K22=Таблица3[[#This Row],[ф6 *X^2]],0,IF(ABS((K22-Таблица3[[#This Row],[ф6 *X^2]])/(K22+Таблица3[[#This Row],[ф6 *X^2]]))&lt;0.01,1,2))</f>
        <v>0</v>
      </c>
      <c r="AO25" s="544">
        <f>IF(L22=Таблица3[[#This Row],[ф7 *Х^3]],0,IF(ABS((L22-Таблица3[[#This Row],[ф7 *Х^3]])/(L22+Таблица3[[#This Row],[ф7 *Х^3]]))&lt;0.01,1,2))</f>
        <v>0</v>
      </c>
    </row>
    <row r="26" spans="1:41" x14ac:dyDescent="0.35">
      <c r="A26" s="396" t="s">
        <v>68</v>
      </c>
      <c r="B26" s="396" t="s">
        <v>183</v>
      </c>
      <c r="C26" s="518">
        <v>298.14999999999998</v>
      </c>
      <c r="D26" s="518">
        <v>1211.4000000000001</v>
      </c>
      <c r="E26" s="519">
        <v>-5.5760690000000002E-2</v>
      </c>
      <c r="F26" s="519">
        <v>10.808619999999999</v>
      </c>
      <c r="G26" s="519">
        <v>2.898209</v>
      </c>
      <c r="H26" s="519">
        <v>-9.4357770000000004E-5</v>
      </c>
      <c r="I26" s="519">
        <v>3.8575789999999999E-2</v>
      </c>
      <c r="J26" s="519">
        <v>1.796346</v>
      </c>
      <c r="K26" s="519">
        <v>0</v>
      </c>
      <c r="L26" s="519">
        <v>0</v>
      </c>
      <c r="M26" s="558">
        <f t="shared" si="1"/>
        <v>1</v>
      </c>
      <c r="O26" s="396" t="s">
        <v>68</v>
      </c>
      <c r="P26" s="396" t="s">
        <v>65</v>
      </c>
      <c r="Q26" s="518">
        <v>6000</v>
      </c>
      <c r="R26" s="518">
        <v>10000</v>
      </c>
      <c r="S26" s="396">
        <v>4.3829390000000004</v>
      </c>
      <c r="T26" s="396">
        <v>30.185140000000001</v>
      </c>
      <c r="U26" s="396">
        <v>6.3430540000000004</v>
      </c>
      <c r="V26" s="396">
        <v>-9.5135109999999995E-2</v>
      </c>
      <c r="W26" s="396">
        <v>1.2754369999999999</v>
      </c>
      <c r="X26" s="396">
        <v>-4.2694150000000004</v>
      </c>
      <c r="Y26" s="396">
        <v>1.041687</v>
      </c>
      <c r="Z26" s="396">
        <v>-6.3588229999999996E-2</v>
      </c>
      <c r="AA26" s="518">
        <v>1</v>
      </c>
      <c r="AC26" s="397" t="str">
        <f t="shared" si="3"/>
        <v>Ge</v>
      </c>
      <c r="AD26" s="544" t="str">
        <f>Таблица3[[#This Row],[Вещество]]</f>
        <v>Ge</v>
      </c>
      <c r="AE26" s="544">
        <f>IF(B23=Таблица3[[#This Row],[Фаза]],0,2)</f>
        <v>0</v>
      </c>
      <c r="AF26" s="544">
        <f>IF(C23=Таблица3[[#This Row],[To]],0,IF(ABS((C23-Таблица3[[#This Row],[To]])/(C23+Таблица3[[#This Row],[To]]))&lt;0.01,1,2))</f>
        <v>0</v>
      </c>
      <c r="AG26" s="544">
        <f>IF(D23=Таблица3[[#This Row],[T]],0,IF(ABS((D23-Таблица3[[#This Row],[T]])/(D23+Таблица3[[#This Row],[T]]))&lt;0.01,1,2))</f>
        <v>0</v>
      </c>
      <c r="AH26" s="544">
        <f>IF(E23=Таблица3[[#This Row],[ho]],0,IF(ABS((E23-Таблица3[[#This Row],[ho]])/(E23+Таблица3[[#This Row],[ho]]))&lt;0.01,1,2))</f>
        <v>0</v>
      </c>
      <c r="AI26" s="544">
        <f>IF(F23=Таблица3[[#This Row],[ф1]],0,IF(ABS((F23-Таблица3[[#This Row],[ф1]])/(F23+Таблица3[[#This Row],[ф1]]))&lt;0.01,1,2))</f>
        <v>0</v>
      </c>
      <c r="AJ26" s="544">
        <f>IF(G23=Таблица3[[#This Row],[ф2 *lnX]],0,IF(ABS((G23-Таблица3[[#This Row],[ф2 *lnX]])/(G23+Таблица3[[#This Row],[ф2 *lnX]]))&lt;0.01,1,2))</f>
        <v>0</v>
      </c>
      <c r="AK26" s="544">
        <f>IF(H23=Таблица3[[#This Row],[ф3 *X^(-2)]],0,IF(ABS((H23-Таблица3[[#This Row],[ф3 *X^(-2)]])/(H23+Таблица3[[#This Row],[ф3 *X^(-2)]]))&lt;0.01,1,2))</f>
        <v>0</v>
      </c>
      <c r="AL26" s="544">
        <f>IF(I23=Таблица3[[#This Row],[ф4 *X^(-1)]],0,IF(ABS((I23-Таблица3[[#This Row],[ф4 *X^(-1)]])/(I23+Таблица3[[#This Row],[ф4 *X^(-1)]]))&lt;0.01,1,2))</f>
        <v>0</v>
      </c>
      <c r="AM26" s="544">
        <f>IF(J23=Таблица3[[#This Row],[ф5 *X]],0,IF(ABS((J23-Таблица3[[#This Row],[ф5 *X]])/(J23+Таблица3[[#This Row],[ф5 *X]]))&lt;0.01,1,2))</f>
        <v>0</v>
      </c>
      <c r="AN26" s="544">
        <f>IF(K23=Таблица3[[#This Row],[ф6 *X^2]],0,IF(ABS((K23-Таблица3[[#This Row],[ф6 *X^2]])/(K23+Таблица3[[#This Row],[ф6 *X^2]]))&lt;0.01,1,2))</f>
        <v>0</v>
      </c>
      <c r="AO26" s="544">
        <f>IF(L23=Таблица3[[#This Row],[ф7 *Х^3]],0,IF(ABS((L23-Таблица3[[#This Row],[ф7 *Х^3]])/(L23+Таблица3[[#This Row],[ф7 *Х^3]]))&lt;0.01,1,2))</f>
        <v>0</v>
      </c>
    </row>
    <row r="27" spans="1:41" x14ac:dyDescent="0.35">
      <c r="A27" s="396" t="s">
        <v>124</v>
      </c>
      <c r="B27" s="396" t="s">
        <v>65</v>
      </c>
      <c r="C27" s="518">
        <v>298.14999999999998</v>
      </c>
      <c r="D27" s="518">
        <v>1500</v>
      </c>
      <c r="E27" s="519">
        <v>5.674709</v>
      </c>
      <c r="F27" s="519">
        <v>49.524940000000001</v>
      </c>
      <c r="G27" s="519">
        <v>7.0513279999999998</v>
      </c>
      <c r="H27" s="519">
        <v>-1.341195E-5</v>
      </c>
      <c r="I27" s="519">
        <v>5.245814E-2</v>
      </c>
      <c r="J27" s="519">
        <v>-24.580100000000002</v>
      </c>
      <c r="K27" s="519">
        <v>62.099780000000003</v>
      </c>
      <c r="L27" s="519">
        <v>-81.046109999999999</v>
      </c>
      <c r="M27" s="558">
        <f t="shared" si="1"/>
        <v>1</v>
      </c>
      <c r="O27" s="396" t="s">
        <v>68</v>
      </c>
      <c r="P27" s="396" t="s">
        <v>61</v>
      </c>
      <c r="Q27" s="518">
        <v>1211.4000000000001</v>
      </c>
      <c r="R27" s="518">
        <v>4900</v>
      </c>
      <c r="S27" s="396">
        <v>-5.5760690000000002E-2</v>
      </c>
      <c r="T27" s="396">
        <v>15.395060000000001</v>
      </c>
      <c r="U27" s="396">
        <v>3.319661</v>
      </c>
      <c r="V27" s="396">
        <v>0</v>
      </c>
      <c r="W27" s="396">
        <v>-0.38367639999999997</v>
      </c>
      <c r="X27" s="396">
        <v>0</v>
      </c>
      <c r="Y27" s="396">
        <v>0</v>
      </c>
      <c r="Z27" s="396">
        <v>0</v>
      </c>
      <c r="AA27" s="518">
        <v>1</v>
      </c>
      <c r="AC27" s="397" t="str">
        <f t="shared" si="3"/>
        <v>Ge</v>
      </c>
      <c r="AD27" s="544" t="str">
        <f>Таблица3[[#This Row],[Вещество]]</f>
        <v>Ge</v>
      </c>
      <c r="AE27" s="544">
        <f>IF(B24=Таблица3[[#This Row],[Фаза]],0,2)</f>
        <v>0</v>
      </c>
      <c r="AF27" s="544">
        <f>IF(C24=Таблица3[[#This Row],[To]],0,IF(ABS((C24-Таблица3[[#This Row],[To]])/(C24+Таблица3[[#This Row],[To]]))&lt;0.01,1,2))</f>
        <v>0</v>
      </c>
      <c r="AG27" s="544">
        <f>IF(D24=Таблица3[[#This Row],[T]],0,IF(ABS((D24-Таблица3[[#This Row],[T]])/(D24+Таблица3[[#This Row],[T]]))&lt;0.01,1,2))</f>
        <v>0</v>
      </c>
      <c r="AH27" s="544">
        <f>IF(E24=Таблица3[[#This Row],[ho]],0,IF(ABS((E24-Таблица3[[#This Row],[ho]])/(E24+Таблица3[[#This Row],[ho]]))&lt;0.01,1,2))</f>
        <v>0</v>
      </c>
      <c r="AI27" s="544">
        <f>IF(F24=Таблица3[[#This Row],[ф1]],0,IF(ABS((F24-Таблица3[[#This Row],[ф1]])/(F24+Таблица3[[#This Row],[ф1]]))&lt;0.01,1,2))</f>
        <v>0</v>
      </c>
      <c r="AJ27" s="544">
        <f>IF(G24=Таблица3[[#This Row],[ф2 *lnX]],0,IF(ABS((G24-Таблица3[[#This Row],[ф2 *lnX]])/(G24+Таблица3[[#This Row],[ф2 *lnX]]))&lt;0.01,1,2))</f>
        <v>0</v>
      </c>
      <c r="AK27" s="544">
        <f>IF(H24=Таблица3[[#This Row],[ф3 *X^(-2)]],0,IF(ABS((H24-Таблица3[[#This Row],[ф3 *X^(-2)]])/(H24+Таблица3[[#This Row],[ф3 *X^(-2)]]))&lt;0.01,1,2))</f>
        <v>0</v>
      </c>
      <c r="AL27" s="544">
        <f>IF(I24=Таблица3[[#This Row],[ф4 *X^(-1)]],0,IF(ABS((I24-Таблица3[[#This Row],[ф4 *X^(-1)]])/(I24+Таблица3[[#This Row],[ф4 *X^(-1)]]))&lt;0.01,1,2))</f>
        <v>0</v>
      </c>
      <c r="AM27" s="544">
        <f>IF(J24=Таблица3[[#This Row],[ф5 *X]],0,IF(ABS((J24-Таблица3[[#This Row],[ф5 *X]])/(J24+Таблица3[[#This Row],[ф5 *X]]))&lt;0.01,1,2))</f>
        <v>0</v>
      </c>
      <c r="AN27" s="544">
        <f>IF(K24=Таблица3[[#This Row],[ф6 *X^2]],0,IF(ABS((K24-Таблица3[[#This Row],[ф6 *X^2]])/(K24+Таблица3[[#This Row],[ф6 *X^2]]))&lt;0.01,1,2))</f>
        <v>0</v>
      </c>
      <c r="AO27" s="544">
        <f>IF(L24=Таблица3[[#This Row],[ф7 *Х^3]],0,IF(ABS((L24-Таблица3[[#This Row],[ф7 *Х^3]])/(L24+Таблица3[[#This Row],[ф7 *Х^3]]))&lt;0.01,1,2))</f>
        <v>0</v>
      </c>
    </row>
    <row r="28" spans="1:41" x14ac:dyDescent="0.35">
      <c r="A28" s="396" t="s">
        <v>124</v>
      </c>
      <c r="B28" s="396" t="s">
        <v>65</v>
      </c>
      <c r="C28" s="518">
        <v>1500</v>
      </c>
      <c r="D28" s="518">
        <v>6000</v>
      </c>
      <c r="E28" s="519">
        <v>5.674709</v>
      </c>
      <c r="F28" s="519">
        <v>40.162990000000001</v>
      </c>
      <c r="G28" s="519">
        <v>2.7510140000000001</v>
      </c>
      <c r="H28" s="519">
        <v>7.8054969999999998E-3</v>
      </c>
      <c r="I28" s="519">
        <v>-0.32734089999999999</v>
      </c>
      <c r="J28" s="519">
        <v>6.01546</v>
      </c>
      <c r="K28" s="519">
        <v>-3.5431430000000002</v>
      </c>
      <c r="L28" s="519">
        <v>0.75900279999999998</v>
      </c>
      <c r="M28" s="558">
        <f t="shared" si="1"/>
        <v>1</v>
      </c>
      <c r="O28" s="396" t="s">
        <v>68</v>
      </c>
      <c r="P28" s="396" t="s">
        <v>69</v>
      </c>
      <c r="Q28" s="518">
        <v>298.14999999999998</v>
      </c>
      <c r="R28" s="518">
        <v>1211.4000000000001</v>
      </c>
      <c r="S28" s="396">
        <v>-5.5760690000000002E-2</v>
      </c>
      <c r="T28" s="396">
        <v>10.808619999999999</v>
      </c>
      <c r="U28" s="396">
        <v>2.898209</v>
      </c>
      <c r="V28" s="396">
        <v>-9.4357770000000004E-5</v>
      </c>
      <c r="W28" s="396">
        <v>3.8575789999999999E-2</v>
      </c>
      <c r="X28" s="396">
        <v>1.796346</v>
      </c>
      <c r="Y28" s="396">
        <v>0</v>
      </c>
      <c r="Z28" s="396">
        <v>0</v>
      </c>
      <c r="AA28" s="518">
        <v>1</v>
      </c>
      <c r="AC28" s="397" t="str">
        <f t="shared" si="3"/>
        <v>Ge</v>
      </c>
      <c r="AD28" s="544" t="str">
        <f>Таблица3[[#This Row],[Вещество]]</f>
        <v>Ge</v>
      </c>
      <c r="AE28" s="544">
        <f>IF(B25=Таблица3[[#This Row],[Фаза]],0,2)</f>
        <v>0</v>
      </c>
      <c r="AF28" s="544">
        <f>IF(C25=Таблица3[[#This Row],[To]],0,IF(ABS((C25-Таблица3[[#This Row],[To]])/(C25+Таблица3[[#This Row],[To]]))&lt;0.01,1,2))</f>
        <v>0</v>
      </c>
      <c r="AG28" s="544">
        <f>IF(D25=Таблица3[[#This Row],[T]],0,IF(ABS((D25-Таблица3[[#This Row],[T]])/(D25+Таблица3[[#This Row],[T]]))&lt;0.01,1,2))</f>
        <v>0</v>
      </c>
      <c r="AH28" s="544">
        <f>IF(E25=Таблица3[[#This Row],[ho]],0,IF(ABS((E25-Таблица3[[#This Row],[ho]])/(E25+Таблица3[[#This Row],[ho]]))&lt;0.01,1,2))</f>
        <v>0</v>
      </c>
      <c r="AI28" s="544">
        <f>IF(F25=Таблица3[[#This Row],[ф1]],0,IF(ABS((F25-Таблица3[[#This Row],[ф1]])/(F25+Таблица3[[#This Row],[ф1]]))&lt;0.01,1,2))</f>
        <v>0</v>
      </c>
      <c r="AJ28" s="544">
        <f>IF(G25=Таблица3[[#This Row],[ф2 *lnX]],0,IF(ABS((G25-Таблица3[[#This Row],[ф2 *lnX]])/(G25+Таблица3[[#This Row],[ф2 *lnX]]))&lt;0.01,1,2))</f>
        <v>0</v>
      </c>
      <c r="AK28" s="544">
        <f>IF(H25=Таблица3[[#This Row],[ф3 *X^(-2)]],0,IF(ABS((H25-Таблица3[[#This Row],[ф3 *X^(-2)]])/(H25+Таблица3[[#This Row],[ф3 *X^(-2)]]))&lt;0.01,1,2))</f>
        <v>0</v>
      </c>
      <c r="AL28" s="544">
        <f>IF(I25=Таблица3[[#This Row],[ф4 *X^(-1)]],0,IF(ABS((I25-Таблица3[[#This Row],[ф4 *X^(-1)]])/(I25+Таблица3[[#This Row],[ф4 *X^(-1)]]))&lt;0.01,1,2))</f>
        <v>0</v>
      </c>
      <c r="AM28" s="544">
        <f>IF(J25=Таблица3[[#This Row],[ф5 *X]],0,IF(ABS((J25-Таблица3[[#This Row],[ф5 *X]])/(J25+Таблица3[[#This Row],[ф5 *X]]))&lt;0.01,1,2))</f>
        <v>0</v>
      </c>
      <c r="AN28" s="544">
        <f>IF(K25=Таблица3[[#This Row],[ф6 *X^2]],0,IF(ABS((K25-Таблица3[[#This Row],[ф6 *X^2]])/(K25+Таблица3[[#This Row],[ф6 *X^2]]))&lt;0.01,1,2))</f>
        <v>0</v>
      </c>
      <c r="AO28" s="544">
        <f>IF(L25=Таблица3[[#This Row],[ф7 *Х^3]],0,IF(ABS((L25-Таблица3[[#This Row],[ф7 *Х^3]])/(L25+Таблица3[[#This Row],[ф7 *Х^3]]))&lt;0.01,1,2))</f>
        <v>0</v>
      </c>
    </row>
    <row r="29" spans="1:41" x14ac:dyDescent="0.35">
      <c r="A29" s="396" t="s">
        <v>182</v>
      </c>
      <c r="B29" s="396" t="s">
        <v>69</v>
      </c>
      <c r="C29" s="518">
        <v>298.14999999999998</v>
      </c>
      <c r="D29" s="518">
        <v>500.00009999999997</v>
      </c>
      <c r="E29" s="519">
        <v>-2.95</v>
      </c>
      <c r="F29" s="519">
        <v>113.7</v>
      </c>
      <c r="G29" s="519">
        <v>28.46</v>
      </c>
      <c r="H29" s="519">
        <v>-5.8149999999999999E-4</v>
      </c>
      <c r="I29" s="519">
        <v>0.75419999999999998</v>
      </c>
      <c r="J29" s="519">
        <v>-232.4</v>
      </c>
      <c r="K29" s="519">
        <v>1383</v>
      </c>
      <c r="L29" s="519">
        <v>0</v>
      </c>
      <c r="M29" s="558">
        <f t="shared" si="1"/>
        <v>1</v>
      </c>
      <c r="O29" s="396" t="s">
        <v>68</v>
      </c>
      <c r="P29" s="396" t="s">
        <v>183</v>
      </c>
      <c r="Q29" s="518">
        <v>298.14999999999998</v>
      </c>
      <c r="R29" s="518">
        <v>1211.4000000000001</v>
      </c>
      <c r="S29" s="396">
        <v>-5.5760690000000002E-2</v>
      </c>
      <c r="T29" s="396">
        <v>10.808619999999999</v>
      </c>
      <c r="U29" s="396">
        <v>2.898209</v>
      </c>
      <c r="V29" s="396">
        <v>-9.4357770000000004E-5</v>
      </c>
      <c r="W29" s="396">
        <v>3.8575789999999999E-2</v>
      </c>
      <c r="X29" s="396">
        <v>1.796346</v>
      </c>
      <c r="Y29" s="396">
        <v>0</v>
      </c>
      <c r="Z29" s="396">
        <v>0</v>
      </c>
      <c r="AA29" s="518">
        <v>1</v>
      </c>
      <c r="AC29" s="397" t="str">
        <f t="shared" si="3"/>
        <v>Ge</v>
      </c>
      <c r="AD29" s="544" t="str">
        <f>Таблица3[[#This Row],[Вещество]]</f>
        <v>Ge</v>
      </c>
      <c r="AE29" s="544">
        <f>IF(B26=Таблица3[[#This Row],[Фаза]],0,2)</f>
        <v>0</v>
      </c>
      <c r="AF29" s="544">
        <f>IF(C26=Таблица3[[#This Row],[To]],0,IF(ABS((C26-Таблица3[[#This Row],[To]])/(C26+Таблица3[[#This Row],[To]]))&lt;0.01,1,2))</f>
        <v>0</v>
      </c>
      <c r="AG29" s="544">
        <f>IF(D26=Таблица3[[#This Row],[T]],0,IF(ABS((D26-Таблица3[[#This Row],[T]])/(D26+Таблица3[[#This Row],[T]]))&lt;0.01,1,2))</f>
        <v>0</v>
      </c>
      <c r="AH29" s="544">
        <f>IF(E26=Таблица3[[#This Row],[ho]],0,IF(ABS((E26-Таблица3[[#This Row],[ho]])/(E26+Таблица3[[#This Row],[ho]]))&lt;0.01,1,2))</f>
        <v>0</v>
      </c>
      <c r="AI29" s="544">
        <f>IF(F26=Таблица3[[#This Row],[ф1]],0,IF(ABS((F26-Таблица3[[#This Row],[ф1]])/(F26+Таблица3[[#This Row],[ф1]]))&lt;0.01,1,2))</f>
        <v>0</v>
      </c>
      <c r="AJ29" s="544">
        <f>IF(G26=Таблица3[[#This Row],[ф2 *lnX]],0,IF(ABS((G26-Таблица3[[#This Row],[ф2 *lnX]])/(G26+Таблица3[[#This Row],[ф2 *lnX]]))&lt;0.01,1,2))</f>
        <v>0</v>
      </c>
      <c r="AK29" s="544">
        <f>IF(H26=Таблица3[[#This Row],[ф3 *X^(-2)]],0,IF(ABS((H26-Таблица3[[#This Row],[ф3 *X^(-2)]])/(H26+Таблица3[[#This Row],[ф3 *X^(-2)]]))&lt;0.01,1,2))</f>
        <v>0</v>
      </c>
      <c r="AL29" s="544">
        <f>IF(I26=Таблица3[[#This Row],[ф4 *X^(-1)]],0,IF(ABS((I26-Таблица3[[#This Row],[ф4 *X^(-1)]])/(I26+Таблица3[[#This Row],[ф4 *X^(-1)]]))&lt;0.01,1,2))</f>
        <v>0</v>
      </c>
      <c r="AM29" s="544">
        <f>IF(J26=Таблица3[[#This Row],[ф5 *X]],0,IF(ABS((J26-Таблица3[[#This Row],[ф5 *X]])/(J26+Таблица3[[#This Row],[ф5 *X]]))&lt;0.01,1,2))</f>
        <v>0</v>
      </c>
      <c r="AN29" s="544">
        <f>IF(K26=Таблица3[[#This Row],[ф6 *X^2]],0,IF(ABS((K26-Таблица3[[#This Row],[ф6 *X^2]])/(K26+Таблица3[[#This Row],[ф6 *X^2]]))&lt;0.01,1,2))</f>
        <v>0</v>
      </c>
      <c r="AO29" s="544">
        <f>IF(L26=Таблица3[[#This Row],[ф7 *Х^3]],0,IF(ABS((L26-Таблица3[[#This Row],[ф7 *Х^3]])/(L26+Таблица3[[#This Row],[ф7 *Х^3]]))&lt;0.01,1,2))</f>
        <v>0</v>
      </c>
    </row>
    <row r="30" spans="1:41" x14ac:dyDescent="0.35">
      <c r="A30" s="396" t="s">
        <v>181</v>
      </c>
      <c r="B30" s="396" t="s">
        <v>69</v>
      </c>
      <c r="C30" s="518">
        <v>298.14999999999998</v>
      </c>
      <c r="D30" s="518">
        <v>500.00009999999997</v>
      </c>
      <c r="E30" s="519">
        <v>-3.78</v>
      </c>
      <c r="F30" s="519">
        <v>136.19999999999999</v>
      </c>
      <c r="G30" s="519">
        <v>33.880000000000003</v>
      </c>
      <c r="H30" s="519">
        <v>-5.8149999999999999E-4</v>
      </c>
      <c r="I30" s="519">
        <v>0.92469999999999997</v>
      </c>
      <c r="J30" s="519">
        <v>-222.6</v>
      </c>
      <c r="K30" s="519">
        <v>1383</v>
      </c>
      <c r="L30" s="519">
        <v>0</v>
      </c>
      <c r="M30" s="558">
        <f t="shared" si="1"/>
        <v>1</v>
      </c>
      <c r="O30" s="396" t="s">
        <v>124</v>
      </c>
      <c r="P30" s="396" t="s">
        <v>65</v>
      </c>
      <c r="Q30" s="518">
        <v>298.14999999999998</v>
      </c>
      <c r="R30" s="518">
        <v>1500</v>
      </c>
      <c r="S30" s="396">
        <v>5.674709</v>
      </c>
      <c r="T30" s="396">
        <v>49.524940000000001</v>
      </c>
      <c r="U30" s="396">
        <v>7.0513279999999998</v>
      </c>
      <c r="V30" s="396">
        <v>-1.341195E-5</v>
      </c>
      <c r="W30" s="396">
        <v>5.245814E-2</v>
      </c>
      <c r="X30" s="396">
        <v>-24.580100000000002</v>
      </c>
      <c r="Y30" s="396">
        <v>62.099780000000003</v>
      </c>
      <c r="Z30" s="396">
        <v>-81.046109999999999</v>
      </c>
      <c r="AA30" s="518">
        <v>1</v>
      </c>
      <c r="AC30" s="397" t="str">
        <f t="shared" si="3"/>
        <v>Ge2</v>
      </c>
      <c r="AD30" s="544" t="str">
        <f>Таблица3[[#This Row],[Вещество]]</f>
        <v>Ge2</v>
      </c>
      <c r="AE30" s="544">
        <f>IF(B27=Таблица3[[#This Row],[Фаза]],0,2)</f>
        <v>0</v>
      </c>
      <c r="AF30" s="544">
        <f>IF(C27=Таблица3[[#This Row],[To]],0,IF(ABS((C27-Таблица3[[#This Row],[To]])/(C27+Таблица3[[#This Row],[To]]))&lt;0.01,1,2))</f>
        <v>0</v>
      </c>
      <c r="AG30" s="544">
        <f>IF(D27=Таблица3[[#This Row],[T]],0,IF(ABS((D27-Таблица3[[#This Row],[T]])/(D27+Таблица3[[#This Row],[T]]))&lt;0.01,1,2))</f>
        <v>0</v>
      </c>
      <c r="AH30" s="544">
        <f>IF(E27=Таблица3[[#This Row],[ho]],0,IF(ABS((E27-Таблица3[[#This Row],[ho]])/(E27+Таблица3[[#This Row],[ho]]))&lt;0.01,1,2))</f>
        <v>0</v>
      </c>
      <c r="AI30" s="544">
        <f>IF(F27=Таблица3[[#This Row],[ф1]],0,IF(ABS((F27-Таблица3[[#This Row],[ф1]])/(F27+Таблица3[[#This Row],[ф1]]))&lt;0.01,1,2))</f>
        <v>0</v>
      </c>
      <c r="AJ30" s="544">
        <f>IF(G27=Таблица3[[#This Row],[ф2 *lnX]],0,IF(ABS((G27-Таблица3[[#This Row],[ф2 *lnX]])/(G27+Таблица3[[#This Row],[ф2 *lnX]]))&lt;0.01,1,2))</f>
        <v>0</v>
      </c>
      <c r="AK30" s="544">
        <f>IF(H27=Таблица3[[#This Row],[ф3 *X^(-2)]],0,IF(ABS((H27-Таблица3[[#This Row],[ф3 *X^(-2)]])/(H27+Таблица3[[#This Row],[ф3 *X^(-2)]]))&lt;0.01,1,2))</f>
        <v>0</v>
      </c>
      <c r="AL30" s="544">
        <f>IF(I27=Таблица3[[#This Row],[ф4 *X^(-1)]],0,IF(ABS((I27-Таблица3[[#This Row],[ф4 *X^(-1)]])/(I27+Таблица3[[#This Row],[ф4 *X^(-1)]]))&lt;0.01,1,2))</f>
        <v>0</v>
      </c>
      <c r="AM30" s="544">
        <f>IF(J27=Таблица3[[#This Row],[ф5 *X]],0,IF(ABS((J27-Таблица3[[#This Row],[ф5 *X]])/(J27+Таблица3[[#This Row],[ф5 *X]]))&lt;0.01,1,2))</f>
        <v>0</v>
      </c>
      <c r="AN30" s="544">
        <f>IF(K27=Таблица3[[#This Row],[ф6 *X^2]],0,IF(ABS((K27-Таблица3[[#This Row],[ф6 *X^2]])/(K27+Таблица3[[#This Row],[ф6 *X^2]]))&lt;0.01,1,2))</f>
        <v>0</v>
      </c>
      <c r="AO30" s="544">
        <f>IF(L27=Таблица3[[#This Row],[ф7 *Х^3]],0,IF(ABS((L27-Таблица3[[#This Row],[ф7 *Х^3]])/(L27+Таблица3[[#This Row],[ф7 *Х^3]]))&lt;0.01,1,2))</f>
        <v>0</v>
      </c>
    </row>
    <row r="31" spans="1:41" x14ac:dyDescent="0.35">
      <c r="A31" s="396" t="s">
        <v>92</v>
      </c>
      <c r="B31" s="396" t="s">
        <v>65</v>
      </c>
      <c r="C31" s="518">
        <v>298.14999999999998</v>
      </c>
      <c r="D31" s="518">
        <v>2000</v>
      </c>
      <c r="E31" s="519">
        <v>1.2677</v>
      </c>
      <c r="F31" s="519">
        <v>11.071</v>
      </c>
      <c r="G31" s="519">
        <v>4.4489000000000001</v>
      </c>
      <c r="H31" s="519">
        <v>-1.0823999999999999E-4</v>
      </c>
      <c r="I31" s="519">
        <v>0.13999</v>
      </c>
      <c r="J31" s="519">
        <v>0.10223</v>
      </c>
      <c r="K31" s="519">
        <v>0</v>
      </c>
      <c r="L31" s="519">
        <v>0</v>
      </c>
      <c r="M31" s="558">
        <f t="shared" si="1"/>
        <v>1</v>
      </c>
      <c r="O31" s="396" t="s">
        <v>124</v>
      </c>
      <c r="P31" s="396" t="s">
        <v>65</v>
      </c>
      <c r="Q31" s="518">
        <v>1500</v>
      </c>
      <c r="R31" s="518">
        <v>6000</v>
      </c>
      <c r="S31" s="396">
        <v>5.674709</v>
      </c>
      <c r="T31" s="396">
        <v>40.162990000000001</v>
      </c>
      <c r="U31" s="396">
        <v>2.7510140000000001</v>
      </c>
      <c r="V31" s="396">
        <v>7.8054969999999998E-3</v>
      </c>
      <c r="W31" s="396">
        <v>-0.32734089999999999</v>
      </c>
      <c r="X31" s="396">
        <v>6.01546</v>
      </c>
      <c r="Y31" s="396">
        <v>-3.5431430000000002</v>
      </c>
      <c r="Z31" s="396">
        <v>0.75900279999999998</v>
      </c>
      <c r="AA31" s="518">
        <v>1</v>
      </c>
      <c r="AC31" s="397" t="str">
        <f t="shared" si="3"/>
        <v>Ge2</v>
      </c>
      <c r="AD31" s="544" t="str">
        <f>Таблица3[[#This Row],[Вещество]]</f>
        <v>Ge2</v>
      </c>
      <c r="AE31" s="544">
        <f>IF(B28=Таблица3[[#This Row],[Фаза]],0,2)</f>
        <v>0</v>
      </c>
      <c r="AF31" s="544">
        <f>IF(C28=Таблица3[[#This Row],[To]],0,IF(ABS((C28-Таблица3[[#This Row],[To]])/(C28+Таблица3[[#This Row],[To]]))&lt;0.01,1,2))</f>
        <v>0</v>
      </c>
      <c r="AG31" s="544">
        <f>IF(D28=Таблица3[[#This Row],[T]],0,IF(ABS((D28-Таблица3[[#This Row],[T]])/(D28+Таблица3[[#This Row],[T]]))&lt;0.01,1,2))</f>
        <v>0</v>
      </c>
      <c r="AH31" s="544">
        <f>IF(E28=Таблица3[[#This Row],[ho]],0,IF(ABS((E28-Таблица3[[#This Row],[ho]])/(E28+Таблица3[[#This Row],[ho]]))&lt;0.01,1,2))</f>
        <v>0</v>
      </c>
      <c r="AI31" s="544">
        <f>IF(F28=Таблица3[[#This Row],[ф1]],0,IF(ABS((F28-Таблица3[[#This Row],[ф1]])/(F28+Таблица3[[#This Row],[ф1]]))&lt;0.01,1,2))</f>
        <v>0</v>
      </c>
      <c r="AJ31" s="544">
        <f>IF(G28=Таблица3[[#This Row],[ф2 *lnX]],0,IF(ABS((G28-Таблица3[[#This Row],[ф2 *lnX]])/(G28+Таблица3[[#This Row],[ф2 *lnX]]))&lt;0.01,1,2))</f>
        <v>0</v>
      </c>
      <c r="AK31" s="544">
        <f>IF(H28=Таблица3[[#This Row],[ф3 *X^(-2)]],0,IF(ABS((H28-Таблица3[[#This Row],[ф3 *X^(-2)]])/(H28+Таблица3[[#This Row],[ф3 *X^(-2)]]))&lt;0.01,1,2))</f>
        <v>0</v>
      </c>
      <c r="AL31" s="544">
        <f>IF(I28=Таблица3[[#This Row],[ф4 *X^(-1)]],0,IF(ABS((I28-Таблица3[[#This Row],[ф4 *X^(-1)]])/(I28+Таблица3[[#This Row],[ф4 *X^(-1)]]))&lt;0.01,1,2))</f>
        <v>0</v>
      </c>
      <c r="AM31" s="544">
        <f>IF(J28=Таблица3[[#This Row],[ф5 *X]],0,IF(ABS((J28-Таблица3[[#This Row],[ф5 *X]])/(J28+Таблица3[[#This Row],[ф5 *X]]))&lt;0.01,1,2))</f>
        <v>0</v>
      </c>
      <c r="AN31" s="544">
        <f>IF(K28=Таблица3[[#This Row],[ф6 *X^2]],0,IF(ABS((K28-Таблица3[[#This Row],[ф6 *X^2]])/(K28+Таблица3[[#This Row],[ф6 *X^2]]))&lt;0.01,1,2))</f>
        <v>0</v>
      </c>
      <c r="AO31" s="544">
        <f>IF(L28=Таблица3[[#This Row],[ф7 *Х^3]],0,IF(ABS((L28-Таблица3[[#This Row],[ф7 *Х^3]])/(L28+Таблица3[[#This Row],[ф7 *Х^3]]))&lt;0.01,1,2))</f>
        <v>0</v>
      </c>
    </row>
    <row r="32" spans="1:41" x14ac:dyDescent="0.35">
      <c r="A32" s="396" t="s">
        <v>92</v>
      </c>
      <c r="B32" s="396" t="s">
        <v>69</v>
      </c>
      <c r="C32" s="518">
        <v>298.14999999999998</v>
      </c>
      <c r="D32" s="518">
        <v>947.99990000000003</v>
      </c>
      <c r="E32" s="519">
        <v>-0.82987549999999999</v>
      </c>
      <c r="F32" s="519">
        <v>22.446940000000001</v>
      </c>
      <c r="G32" s="519">
        <v>5.4242590000000002</v>
      </c>
      <c r="H32" s="519">
        <v>0</v>
      </c>
      <c r="I32" s="519">
        <v>0.17049120000000001</v>
      </c>
      <c r="J32" s="519">
        <v>9.8622890000000005</v>
      </c>
      <c r="K32" s="519">
        <v>0</v>
      </c>
      <c r="L32" s="519">
        <v>0</v>
      </c>
      <c r="M32" s="558">
        <f t="shared" si="1"/>
        <v>1</v>
      </c>
      <c r="O32" s="396" t="s">
        <v>182</v>
      </c>
      <c r="P32" s="396" t="s">
        <v>69</v>
      </c>
      <c r="Q32" s="518">
        <v>298.14999999999998</v>
      </c>
      <c r="R32" s="518">
        <v>500</v>
      </c>
      <c r="S32" s="396">
        <v>-2.9538579229057667</v>
      </c>
      <c r="T32" s="396">
        <v>113.71055690608316</v>
      </c>
      <c r="U32" s="396">
        <v>28.457033244452461</v>
      </c>
      <c r="V32" s="396">
        <v>-5.8145408623489088E-4</v>
      </c>
      <c r="W32" s="396">
        <v>0.75416836346922789</v>
      </c>
      <c r="X32" s="396">
        <v>-232.41265214011662</v>
      </c>
      <c r="Y32" s="396">
        <v>1383.1599414677171</v>
      </c>
      <c r="Z32" s="396">
        <v>0</v>
      </c>
      <c r="AA32" s="518">
        <v>1</v>
      </c>
      <c r="AC32" s="397" t="str">
        <f t="shared" si="3"/>
        <v>Ge3Se4</v>
      </c>
      <c r="AD32" s="544" t="str">
        <f>Таблица3[[#This Row],[Вещество]]</f>
        <v>Ge3Se4</v>
      </c>
      <c r="AE32" s="544">
        <f>IF(B29=Таблица3[[#This Row],[Фаза]],0,2)</f>
        <v>0</v>
      </c>
      <c r="AF32" s="544">
        <f>IF(C29=Таблица3[[#This Row],[To]],0,IF(ABS((C29-Таблица3[[#This Row],[To]])/(C29+Таблица3[[#This Row],[To]]))&lt;0.01,1,2))</f>
        <v>0</v>
      </c>
      <c r="AG32" s="544">
        <f>IF(D29=Таблица3[[#This Row],[T]],0,IF(ABS((D29-Таблица3[[#This Row],[T]])/(D29+Таблица3[[#This Row],[T]]))&lt;0.01,1,2))</f>
        <v>1</v>
      </c>
      <c r="AH32" s="544">
        <f>IF(E29=Таблица3[[#This Row],[ho]],0,IF(ABS((E29-Таблица3[[#This Row],[ho]])/(E29+Таблица3[[#This Row],[ho]]))&lt;0.01,1,2))</f>
        <v>1</v>
      </c>
      <c r="AI32" s="544">
        <f>IF(F29=Таблица3[[#This Row],[ф1]],0,IF(ABS((F29-Таблица3[[#This Row],[ф1]])/(F29+Таблица3[[#This Row],[ф1]]))&lt;0.01,1,2))</f>
        <v>1</v>
      </c>
      <c r="AJ32" s="544">
        <f>IF(G29=Таблица3[[#This Row],[ф2 *lnX]],0,IF(ABS((G29-Таблица3[[#This Row],[ф2 *lnX]])/(G29+Таблица3[[#This Row],[ф2 *lnX]]))&lt;0.01,1,2))</f>
        <v>1</v>
      </c>
      <c r="AK32" s="544">
        <f>IF(H29=Таблица3[[#This Row],[ф3 *X^(-2)]],0,IF(ABS((H29-Таблица3[[#This Row],[ф3 *X^(-2)]])/(H29+Таблица3[[#This Row],[ф3 *X^(-2)]]))&lt;0.01,1,2))</f>
        <v>1</v>
      </c>
      <c r="AL32" s="544">
        <f>IF(I29=Таблица3[[#This Row],[ф4 *X^(-1)]],0,IF(ABS((I29-Таблица3[[#This Row],[ф4 *X^(-1)]])/(I29+Таблица3[[#This Row],[ф4 *X^(-1)]]))&lt;0.01,1,2))</f>
        <v>1</v>
      </c>
      <c r="AM32" s="544">
        <f>IF(J29=Таблица3[[#This Row],[ф5 *X]],0,IF(ABS((J29-Таблица3[[#This Row],[ф5 *X]])/(J29+Таблица3[[#This Row],[ф5 *X]]))&lt;0.01,1,2))</f>
        <v>1</v>
      </c>
      <c r="AN32" s="544">
        <f>IF(K29=Таблица3[[#This Row],[ф6 *X^2]],0,IF(ABS((K29-Таблица3[[#This Row],[ф6 *X^2]])/(K29+Таблица3[[#This Row],[ф6 *X^2]]))&lt;0.01,1,2))</f>
        <v>1</v>
      </c>
      <c r="AO32" s="544">
        <f>IF(L29=Таблица3[[#This Row],[ф7 *Х^3]],0,IF(ABS((L29-Таблица3[[#This Row],[ф7 *Х^3]])/(L29+Таблица3[[#This Row],[ф7 *Х^3]]))&lt;0.01,1,2))</f>
        <v>0</v>
      </c>
    </row>
    <row r="33" spans="1:41" x14ac:dyDescent="0.35">
      <c r="A33" s="396" t="s">
        <v>93</v>
      </c>
      <c r="B33" s="396" t="s">
        <v>69</v>
      </c>
      <c r="C33" s="518">
        <v>298.14999999999998</v>
      </c>
      <c r="D33" s="518">
        <v>1013</v>
      </c>
      <c r="E33" s="519">
        <v>-1.3591</v>
      </c>
      <c r="F33" s="519">
        <v>31.553999999999998</v>
      </c>
      <c r="G33" s="519">
        <v>7.5639000000000003</v>
      </c>
      <c r="H33" s="519">
        <v>0</v>
      </c>
      <c r="I33" s="519">
        <v>0.24035000000000001</v>
      </c>
      <c r="J33" s="519">
        <v>16.681999999999999</v>
      </c>
      <c r="K33" s="519">
        <v>0</v>
      </c>
      <c r="L33" s="519">
        <v>0</v>
      </c>
      <c r="M33" s="558">
        <f t="shared" si="1"/>
        <v>1</v>
      </c>
      <c r="O33" s="396" t="s">
        <v>181</v>
      </c>
      <c r="P33" s="396" t="s">
        <v>69</v>
      </c>
      <c r="Q33" s="518">
        <v>298.14999999999998</v>
      </c>
      <c r="R33" s="518">
        <v>500</v>
      </c>
      <c r="S33" s="396">
        <v>-3.7810713933489688</v>
      </c>
      <c r="T33" s="396">
        <v>136.15749690608317</v>
      </c>
      <c r="U33" s="396">
        <v>33.881292244452467</v>
      </c>
      <c r="V33" s="396">
        <v>-5.8145408623489088E-4</v>
      </c>
      <c r="W33" s="396">
        <v>0.92465956346922784</v>
      </c>
      <c r="X33" s="396">
        <v>-222.55036314011662</v>
      </c>
      <c r="Y33" s="396">
        <v>1383.1599414677171</v>
      </c>
      <c r="Z33" s="396">
        <v>0</v>
      </c>
      <c r="AA33" s="518">
        <v>1</v>
      </c>
      <c r="AC33" s="397" t="str">
        <f t="shared" si="3"/>
        <v>Ge4Se5</v>
      </c>
      <c r="AD33" s="544" t="str">
        <f>Таблица3[[#This Row],[Вещество]]</f>
        <v>Ge4Se5</v>
      </c>
      <c r="AE33" s="544">
        <f>IF(B30=Таблица3[[#This Row],[Фаза]],0,2)</f>
        <v>0</v>
      </c>
      <c r="AF33" s="544">
        <f>IF(C30=Таблица3[[#This Row],[To]],0,IF(ABS((C30-Таблица3[[#This Row],[To]])/(C30+Таблица3[[#This Row],[To]]))&lt;0.01,1,2))</f>
        <v>0</v>
      </c>
      <c r="AG33" s="544">
        <f>IF(D30=Таблица3[[#This Row],[T]],0,IF(ABS((D30-Таблица3[[#This Row],[T]])/(D30+Таблица3[[#This Row],[T]]))&lt;0.01,1,2))</f>
        <v>1</v>
      </c>
      <c r="AH33" s="544">
        <f>IF(E30=Таблица3[[#This Row],[ho]],0,IF(ABS((E30-Таблица3[[#This Row],[ho]])/(E30+Таблица3[[#This Row],[ho]]))&lt;0.01,1,2))</f>
        <v>1</v>
      </c>
      <c r="AI33" s="544">
        <f>IF(F30=Таблица3[[#This Row],[ф1]],0,IF(ABS((F30-Таблица3[[#This Row],[ф1]])/(F30+Таблица3[[#This Row],[ф1]]))&lt;0.01,1,2))</f>
        <v>1</v>
      </c>
      <c r="AJ33" s="544">
        <f>IF(G30=Таблица3[[#This Row],[ф2 *lnX]],0,IF(ABS((G30-Таблица3[[#This Row],[ф2 *lnX]])/(G30+Таблица3[[#This Row],[ф2 *lnX]]))&lt;0.01,1,2))</f>
        <v>1</v>
      </c>
      <c r="AK33" s="544">
        <f>IF(H30=Таблица3[[#This Row],[ф3 *X^(-2)]],0,IF(ABS((H30-Таблица3[[#This Row],[ф3 *X^(-2)]])/(H30+Таблица3[[#This Row],[ф3 *X^(-2)]]))&lt;0.01,1,2))</f>
        <v>1</v>
      </c>
      <c r="AL33" s="544">
        <f>IF(I30=Таблица3[[#This Row],[ф4 *X^(-1)]],0,IF(ABS((I30-Таблица3[[#This Row],[ф4 *X^(-1)]])/(I30+Таблица3[[#This Row],[ф4 *X^(-1)]]))&lt;0.01,1,2))</f>
        <v>1</v>
      </c>
      <c r="AM33" s="544">
        <f>IF(J30=Таблица3[[#This Row],[ф5 *X]],0,IF(ABS((J30-Таблица3[[#This Row],[ф5 *X]])/(J30+Таблица3[[#This Row],[ф5 *X]]))&lt;0.01,1,2))</f>
        <v>1</v>
      </c>
      <c r="AN33" s="544">
        <f>IF(K30=Таблица3[[#This Row],[ф6 *X^2]],0,IF(ABS((K30-Таблица3[[#This Row],[ф6 *X^2]])/(K30+Таблица3[[#This Row],[ф6 *X^2]]))&lt;0.01,1,2))</f>
        <v>1</v>
      </c>
      <c r="AO33" s="544">
        <f>IF(L30=Таблица3[[#This Row],[ф7 *Х^3]],0,IF(ABS((L30-Таблица3[[#This Row],[ф7 *Х^3]])/(L30+Таблица3[[#This Row],[ф7 *Х^3]]))&lt;0.01,1,2))</f>
        <v>0</v>
      </c>
    </row>
    <row r="34" spans="1:41" x14ac:dyDescent="0.35">
      <c r="A34" s="396" t="s">
        <v>93</v>
      </c>
      <c r="B34" s="396" t="s">
        <v>69</v>
      </c>
      <c r="C34" s="518">
        <v>298.14999999999998</v>
      </c>
      <c r="D34" s="518">
        <v>350</v>
      </c>
      <c r="E34" s="519">
        <v>-1.3591</v>
      </c>
      <c r="F34" s="519">
        <v>68.819999999999993</v>
      </c>
      <c r="G34" s="519">
        <v>17.670000000000002</v>
      </c>
      <c r="H34" s="519">
        <v>-5.8149999999999999E-4</v>
      </c>
      <c r="I34" s="519">
        <v>0.41320000000000001</v>
      </c>
      <c r="J34" s="519">
        <v>-252.1001</v>
      </c>
      <c r="K34" s="519">
        <v>1383</v>
      </c>
      <c r="L34" s="519">
        <v>0</v>
      </c>
      <c r="M34" s="558">
        <f t="shared" si="1"/>
        <v>1</v>
      </c>
      <c r="O34" s="396" t="s">
        <v>92</v>
      </c>
      <c r="P34" s="396" t="s">
        <v>65</v>
      </c>
      <c r="Q34" s="518">
        <v>298.14999999999998</v>
      </c>
      <c r="R34" s="518">
        <v>2000</v>
      </c>
      <c r="S34" s="396">
        <v>1.2677</v>
      </c>
      <c r="T34" s="396">
        <v>11.071</v>
      </c>
      <c r="U34" s="396">
        <v>4.4489000000000001</v>
      </c>
      <c r="V34" s="396">
        <v>-1.0823999999999999E-4</v>
      </c>
      <c r="W34" s="396">
        <v>0.13999</v>
      </c>
      <c r="X34" s="396">
        <v>0.10223</v>
      </c>
      <c r="Y34" s="396">
        <v>0</v>
      </c>
      <c r="Z34" s="396">
        <v>0</v>
      </c>
      <c r="AA34" s="518">
        <v>1</v>
      </c>
      <c r="AC34" s="397" t="str">
        <f t="shared" si="3"/>
        <v>GeSe</v>
      </c>
      <c r="AD34" s="544" t="str">
        <f>Таблица3[[#This Row],[Вещество]]</f>
        <v>GeSe</v>
      </c>
      <c r="AE34" s="544">
        <f>IF(B31=Таблица3[[#This Row],[Фаза]],0,2)</f>
        <v>0</v>
      </c>
      <c r="AF34" s="544">
        <f>IF(C31=Таблица3[[#This Row],[To]],0,IF(ABS((C31-Таблица3[[#This Row],[To]])/(C31+Таблица3[[#This Row],[To]]))&lt;0.01,1,2))</f>
        <v>0</v>
      </c>
      <c r="AG34" s="544">
        <f>IF(D31=Таблица3[[#This Row],[T]],0,IF(ABS((D31-Таблица3[[#This Row],[T]])/(D31+Таблица3[[#This Row],[T]]))&lt;0.01,1,2))</f>
        <v>0</v>
      </c>
      <c r="AH34" s="544">
        <f>IF(E31=Таблица3[[#This Row],[ho]],0,IF(ABS((E31-Таблица3[[#This Row],[ho]])/(E31+Таблица3[[#This Row],[ho]]))&lt;0.01,1,2))</f>
        <v>0</v>
      </c>
      <c r="AI34" s="544">
        <f>IF(F31=Таблица3[[#This Row],[ф1]],0,IF(ABS((F31-Таблица3[[#This Row],[ф1]])/(F31+Таблица3[[#This Row],[ф1]]))&lt;0.01,1,2))</f>
        <v>0</v>
      </c>
      <c r="AJ34" s="544">
        <f>IF(G31=Таблица3[[#This Row],[ф2 *lnX]],0,IF(ABS((G31-Таблица3[[#This Row],[ф2 *lnX]])/(G31+Таблица3[[#This Row],[ф2 *lnX]]))&lt;0.01,1,2))</f>
        <v>0</v>
      </c>
      <c r="AK34" s="544">
        <f>IF(H31=Таблица3[[#This Row],[ф3 *X^(-2)]],0,IF(ABS((H31-Таблица3[[#This Row],[ф3 *X^(-2)]])/(H31+Таблица3[[#This Row],[ф3 *X^(-2)]]))&lt;0.01,1,2))</f>
        <v>0</v>
      </c>
      <c r="AL34" s="544">
        <f>IF(I31=Таблица3[[#This Row],[ф4 *X^(-1)]],0,IF(ABS((I31-Таблица3[[#This Row],[ф4 *X^(-1)]])/(I31+Таблица3[[#This Row],[ф4 *X^(-1)]]))&lt;0.01,1,2))</f>
        <v>0</v>
      </c>
      <c r="AM34" s="544">
        <f>IF(J31=Таблица3[[#This Row],[ф5 *X]],0,IF(ABS((J31-Таблица3[[#This Row],[ф5 *X]])/(J31+Таблица3[[#This Row],[ф5 *X]]))&lt;0.01,1,2))</f>
        <v>0</v>
      </c>
      <c r="AN34" s="544">
        <f>IF(K31=Таблица3[[#This Row],[ф6 *X^2]],0,IF(ABS((K31-Таблица3[[#This Row],[ф6 *X^2]])/(K31+Таблица3[[#This Row],[ф6 *X^2]]))&lt;0.01,1,2))</f>
        <v>0</v>
      </c>
      <c r="AO34" s="544">
        <f>IF(L31=Таблица3[[#This Row],[ф7 *Х^3]],0,IF(ABS((L31-Таблица3[[#This Row],[ф7 *Х^3]])/(L31+Таблица3[[#This Row],[ф7 *Х^3]]))&lt;0.01,1,2))</f>
        <v>0</v>
      </c>
    </row>
    <row r="35" spans="1:41" x14ac:dyDescent="0.35">
      <c r="A35" s="396" t="s">
        <v>93</v>
      </c>
      <c r="B35" s="396" t="s">
        <v>69</v>
      </c>
      <c r="C35" s="518">
        <v>350</v>
      </c>
      <c r="D35" s="518">
        <v>420</v>
      </c>
      <c r="E35" s="519">
        <v>-1.359</v>
      </c>
      <c r="F35" s="519">
        <v>12.05</v>
      </c>
      <c r="G35" s="519">
        <v>1.762</v>
      </c>
      <c r="H35" s="519">
        <v>0</v>
      </c>
      <c r="I35" s="519">
        <v>0.14510000000000001</v>
      </c>
      <c r="J35" s="519">
        <v>105.7</v>
      </c>
      <c r="K35" s="519">
        <v>0</v>
      </c>
      <c r="L35" s="519">
        <v>0</v>
      </c>
      <c r="M35" s="558">
        <f t="shared" si="1"/>
        <v>1</v>
      </c>
      <c r="O35" s="396" t="s">
        <v>92</v>
      </c>
      <c r="P35" s="396" t="s">
        <v>69</v>
      </c>
      <c r="Q35" s="518">
        <v>298.14999999999998</v>
      </c>
      <c r="R35" s="518">
        <v>947.99990000000003</v>
      </c>
      <c r="S35" s="396">
        <v>-0.82987549999999999</v>
      </c>
      <c r="T35" s="396">
        <v>22.446940000000001</v>
      </c>
      <c r="U35" s="396">
        <v>5.4242590000000002</v>
      </c>
      <c r="V35" s="396">
        <v>0</v>
      </c>
      <c r="W35" s="396">
        <v>0.17049120000000001</v>
      </c>
      <c r="X35" s="396">
        <v>9.8622890000000005</v>
      </c>
      <c r="Y35" s="396">
        <v>0</v>
      </c>
      <c r="Z35" s="396">
        <v>0</v>
      </c>
      <c r="AA35" s="518">
        <v>1</v>
      </c>
      <c r="AC35" s="397" t="str">
        <f t="shared" si="3"/>
        <v>GeSe</v>
      </c>
      <c r="AD35" s="544" t="str">
        <f>Таблица3[[#This Row],[Вещество]]</f>
        <v>GeSe</v>
      </c>
      <c r="AE35" s="544">
        <f>IF(B32=Таблица3[[#This Row],[Фаза]],0,2)</f>
        <v>0</v>
      </c>
      <c r="AF35" s="544">
        <f>IF(C32=Таблица3[[#This Row],[To]],0,IF(ABS((C32-Таблица3[[#This Row],[To]])/(C32+Таблица3[[#This Row],[To]]))&lt;0.01,1,2))</f>
        <v>0</v>
      </c>
      <c r="AG35" s="544">
        <f>IF(D32=Таблица3[[#This Row],[T]],0,IF(ABS((D32-Таблица3[[#This Row],[T]])/(D32+Таблица3[[#This Row],[T]]))&lt;0.01,1,2))</f>
        <v>0</v>
      </c>
      <c r="AH35" s="544">
        <f>IF(E32=Таблица3[[#This Row],[ho]],0,IF(ABS((E32-Таблица3[[#This Row],[ho]])/(E32+Таблица3[[#This Row],[ho]]))&lt;0.01,1,2))</f>
        <v>0</v>
      </c>
      <c r="AI35" s="544">
        <f>IF(F32=Таблица3[[#This Row],[ф1]],0,IF(ABS((F32-Таблица3[[#This Row],[ф1]])/(F32+Таблица3[[#This Row],[ф1]]))&lt;0.01,1,2))</f>
        <v>0</v>
      </c>
      <c r="AJ35" s="544">
        <f>IF(G32=Таблица3[[#This Row],[ф2 *lnX]],0,IF(ABS((G32-Таблица3[[#This Row],[ф2 *lnX]])/(G32+Таблица3[[#This Row],[ф2 *lnX]]))&lt;0.01,1,2))</f>
        <v>0</v>
      </c>
      <c r="AK35" s="544">
        <f>IF(H32=Таблица3[[#This Row],[ф3 *X^(-2)]],0,IF(ABS((H32-Таблица3[[#This Row],[ф3 *X^(-2)]])/(H32+Таблица3[[#This Row],[ф3 *X^(-2)]]))&lt;0.01,1,2))</f>
        <v>0</v>
      </c>
      <c r="AL35" s="544">
        <f>IF(I32=Таблица3[[#This Row],[ф4 *X^(-1)]],0,IF(ABS((I32-Таблица3[[#This Row],[ф4 *X^(-1)]])/(I32+Таблица3[[#This Row],[ф4 *X^(-1)]]))&lt;0.01,1,2))</f>
        <v>0</v>
      </c>
      <c r="AM35" s="544">
        <f>IF(J32=Таблица3[[#This Row],[ф5 *X]],0,IF(ABS((J32-Таблица3[[#This Row],[ф5 *X]])/(J32+Таблица3[[#This Row],[ф5 *X]]))&lt;0.01,1,2))</f>
        <v>0</v>
      </c>
      <c r="AN35" s="544">
        <f>IF(K32=Таблица3[[#This Row],[ф6 *X^2]],0,IF(ABS((K32-Таблица3[[#This Row],[ф6 *X^2]])/(K32+Таблица3[[#This Row],[ф6 *X^2]]))&lt;0.01,1,2))</f>
        <v>0</v>
      </c>
      <c r="AO35" s="544">
        <f>IF(L32=Таблица3[[#This Row],[ф7 *Х^3]],0,IF(ABS((L32-Таблица3[[#This Row],[ф7 *Х^3]])/(L32+Таблица3[[#This Row],[ф7 *Х^3]]))&lt;0.01,1,2))</f>
        <v>0</v>
      </c>
    </row>
    <row r="36" spans="1:41" x14ac:dyDescent="0.35">
      <c r="A36" s="396" t="s">
        <v>93</v>
      </c>
      <c r="B36" s="396" t="s">
        <v>69</v>
      </c>
      <c r="C36" s="518">
        <v>420</v>
      </c>
      <c r="D36" s="518">
        <v>450</v>
      </c>
      <c r="E36" s="519">
        <v>-1.359</v>
      </c>
      <c r="F36" s="519">
        <v>38.770000000000003</v>
      </c>
      <c r="G36" s="519">
        <v>9.9830000000000005</v>
      </c>
      <c r="H36" s="519">
        <v>0</v>
      </c>
      <c r="I36" s="519">
        <v>0.3039</v>
      </c>
      <c r="J36" s="519">
        <v>0</v>
      </c>
      <c r="K36" s="519">
        <v>0</v>
      </c>
      <c r="L36" s="519">
        <v>0</v>
      </c>
      <c r="M36" s="558">
        <f t="shared" si="1"/>
        <v>1</v>
      </c>
      <c r="O36" s="396" t="s">
        <v>93</v>
      </c>
      <c r="P36" s="396" t="s">
        <v>69</v>
      </c>
      <c r="Q36" s="518">
        <v>298.14999999999998</v>
      </c>
      <c r="R36" s="518">
        <v>1013</v>
      </c>
      <c r="S36" s="396">
        <v>-1.3591</v>
      </c>
      <c r="T36" s="396">
        <v>31.553999999999998</v>
      </c>
      <c r="U36" s="396">
        <v>7.5639000000000003</v>
      </c>
      <c r="V36" s="396">
        <v>0</v>
      </c>
      <c r="W36" s="396">
        <v>0.24035000000000001</v>
      </c>
      <c r="X36" s="396">
        <v>16.681999999999999</v>
      </c>
      <c r="Y36" s="396">
        <v>0</v>
      </c>
      <c r="Z36" s="396">
        <v>0</v>
      </c>
      <c r="AA36" s="518">
        <v>1</v>
      </c>
      <c r="AC36" s="397" t="str">
        <f t="shared" si="3"/>
        <v>GeSe2</v>
      </c>
      <c r="AD36" s="544" t="str">
        <f>Таблица3[[#This Row],[Вещество]]</f>
        <v>GeSe2</v>
      </c>
      <c r="AE36" s="544">
        <f>IF(B33=Таблица3[[#This Row],[Фаза]],0,2)</f>
        <v>0</v>
      </c>
      <c r="AF36" s="544">
        <f>IF(C33=Таблица3[[#This Row],[To]],0,IF(ABS((C33-Таблица3[[#This Row],[To]])/(C33+Таблица3[[#This Row],[To]]))&lt;0.01,1,2))</f>
        <v>0</v>
      </c>
      <c r="AG36" s="544">
        <f>IF(D33=Таблица3[[#This Row],[T]],0,IF(ABS((D33-Таблица3[[#This Row],[T]])/(D33+Таблица3[[#This Row],[T]]))&lt;0.01,1,2))</f>
        <v>0</v>
      </c>
      <c r="AH36" s="544">
        <f>IF(E33=Таблица3[[#This Row],[ho]],0,IF(ABS((E33-Таблица3[[#This Row],[ho]])/(E33+Таблица3[[#This Row],[ho]]))&lt;0.01,1,2))</f>
        <v>0</v>
      </c>
      <c r="AI36" s="544">
        <f>IF(F33=Таблица3[[#This Row],[ф1]],0,IF(ABS((F33-Таблица3[[#This Row],[ф1]])/(F33+Таблица3[[#This Row],[ф1]]))&lt;0.01,1,2))</f>
        <v>0</v>
      </c>
      <c r="AJ36" s="544">
        <f>IF(G33=Таблица3[[#This Row],[ф2 *lnX]],0,IF(ABS((G33-Таблица3[[#This Row],[ф2 *lnX]])/(G33+Таблица3[[#This Row],[ф2 *lnX]]))&lt;0.01,1,2))</f>
        <v>0</v>
      </c>
      <c r="AK36" s="544">
        <f>IF(H33=Таблица3[[#This Row],[ф3 *X^(-2)]],0,IF(ABS((H33-Таблица3[[#This Row],[ф3 *X^(-2)]])/(H33+Таблица3[[#This Row],[ф3 *X^(-2)]]))&lt;0.01,1,2))</f>
        <v>0</v>
      </c>
      <c r="AL36" s="544">
        <f>IF(I33=Таблица3[[#This Row],[ф4 *X^(-1)]],0,IF(ABS((I33-Таблица3[[#This Row],[ф4 *X^(-1)]])/(I33+Таблица3[[#This Row],[ф4 *X^(-1)]]))&lt;0.01,1,2))</f>
        <v>0</v>
      </c>
      <c r="AM36" s="544">
        <f>IF(J33=Таблица3[[#This Row],[ф5 *X]],0,IF(ABS((J33-Таблица3[[#This Row],[ф5 *X]])/(J33+Таблица3[[#This Row],[ф5 *X]]))&lt;0.01,1,2))</f>
        <v>0</v>
      </c>
      <c r="AN36" s="544">
        <f>IF(K33=Таблица3[[#This Row],[ф6 *X^2]],0,IF(ABS((K33-Таблица3[[#This Row],[ф6 *X^2]])/(K33+Таблица3[[#This Row],[ф6 *X^2]]))&lt;0.01,1,2))</f>
        <v>0</v>
      </c>
      <c r="AO36" s="544">
        <f>IF(L33=Таблица3[[#This Row],[ф7 *Х^3]],0,IF(ABS((L33-Таблица3[[#This Row],[ф7 *Х^3]])/(L33+Таблица3[[#This Row],[ф7 *Х^3]]))&lt;0.01,1,2))</f>
        <v>0</v>
      </c>
    </row>
    <row r="37" spans="1:41" x14ac:dyDescent="0.35">
      <c r="A37" s="396" t="s">
        <v>93</v>
      </c>
      <c r="B37" s="396" t="s">
        <v>69</v>
      </c>
      <c r="C37" s="518">
        <v>450</v>
      </c>
      <c r="D37" s="518">
        <v>899.99990000000003</v>
      </c>
      <c r="E37" s="519">
        <v>-1.359</v>
      </c>
      <c r="F37" s="519">
        <v>18.36</v>
      </c>
      <c r="G37" s="519">
        <v>2.0299999999999998</v>
      </c>
      <c r="H37" s="519">
        <v>2.7360000000000002E-3</v>
      </c>
      <c r="I37" s="519">
        <v>-6.5769999999999995E-2</v>
      </c>
      <c r="J37" s="519">
        <v>61.46</v>
      </c>
      <c r="K37" s="519">
        <v>-80.110010000000003</v>
      </c>
      <c r="L37" s="519">
        <v>0</v>
      </c>
      <c r="M37" s="558">
        <f t="shared" si="1"/>
        <v>1</v>
      </c>
      <c r="O37" s="396" t="s">
        <v>93</v>
      </c>
      <c r="P37" s="396" t="s">
        <v>69</v>
      </c>
      <c r="Q37" s="518">
        <v>298.14999999999998</v>
      </c>
      <c r="R37" s="518">
        <v>350</v>
      </c>
      <c r="S37" s="396">
        <v>-1.3586866317878405</v>
      </c>
      <c r="T37" s="396">
        <v>68.816676906083146</v>
      </c>
      <c r="U37" s="396">
        <v>17.608515244452462</v>
      </c>
      <c r="V37" s="396">
        <v>-5.8145408623489088E-4</v>
      </c>
      <c r="W37" s="396">
        <v>0.41318596346922787</v>
      </c>
      <c r="X37" s="396">
        <v>-252.13723014011663</v>
      </c>
      <c r="Y37" s="396">
        <v>1383.1599414677171</v>
      </c>
      <c r="Z37" s="396">
        <v>0</v>
      </c>
      <c r="AA37" s="518">
        <v>1</v>
      </c>
      <c r="AC37" s="397" t="str">
        <f t="shared" si="3"/>
        <v>GeSe2</v>
      </c>
      <c r="AD37" s="544" t="str">
        <f>Таблица3[[#This Row],[Вещество]]</f>
        <v>GeSe2</v>
      </c>
      <c r="AE37" s="544">
        <f>IF(B34=Таблица3[[#This Row],[Фаза]],0,2)</f>
        <v>0</v>
      </c>
      <c r="AF37" s="544">
        <f>IF(C34=Таблица3[[#This Row],[To]],0,IF(ABS((C34-Таблица3[[#This Row],[To]])/(C34+Таблица3[[#This Row],[To]]))&lt;0.01,1,2))</f>
        <v>0</v>
      </c>
      <c r="AG37" s="544">
        <f>IF(D34=Таблица3[[#This Row],[T]],0,IF(ABS((D34-Таблица3[[#This Row],[T]])/(D34+Таблица3[[#This Row],[T]]))&lt;0.01,1,2))</f>
        <v>0</v>
      </c>
      <c r="AH37" s="544">
        <f>IF(E34=Таблица3[[#This Row],[ho]],0,IF(ABS((E34-Таблица3[[#This Row],[ho]])/(E34+Таблица3[[#This Row],[ho]]))&lt;0.01,1,2))</f>
        <v>1</v>
      </c>
      <c r="AI37" s="544">
        <f>IF(F34=Таблица3[[#This Row],[ф1]],0,IF(ABS((F34-Таблица3[[#This Row],[ф1]])/(F34+Таблица3[[#This Row],[ф1]]))&lt;0.01,1,2))</f>
        <v>1</v>
      </c>
      <c r="AJ37" s="544">
        <f>IF(G34=Таблица3[[#This Row],[ф2 *lnX]],0,IF(ABS((G34-Таблица3[[#This Row],[ф2 *lnX]])/(G34+Таблица3[[#This Row],[ф2 *lnX]]))&lt;0.01,1,2))</f>
        <v>1</v>
      </c>
      <c r="AK37" s="544">
        <f>IF(H34=Таблица3[[#This Row],[ф3 *X^(-2)]],0,IF(ABS((H34-Таблица3[[#This Row],[ф3 *X^(-2)]])/(H34+Таблица3[[#This Row],[ф3 *X^(-2)]]))&lt;0.01,1,2))</f>
        <v>1</v>
      </c>
      <c r="AL37" s="544">
        <f>IF(I34=Таблица3[[#This Row],[ф4 *X^(-1)]],0,IF(ABS((I34-Таблица3[[#This Row],[ф4 *X^(-1)]])/(I34+Таблица3[[#This Row],[ф4 *X^(-1)]]))&lt;0.01,1,2))</f>
        <v>1</v>
      </c>
      <c r="AM37" s="544">
        <f>IF(J34=Таблица3[[#This Row],[ф5 *X]],0,IF(ABS((J34-Таблица3[[#This Row],[ф5 *X]])/(J34+Таблица3[[#This Row],[ф5 *X]]))&lt;0.01,1,2))</f>
        <v>1</v>
      </c>
      <c r="AN37" s="544">
        <f>IF(K34=Таблица3[[#This Row],[ф6 *X^2]],0,IF(ABS((K34-Таблица3[[#This Row],[ф6 *X^2]])/(K34+Таблица3[[#This Row],[ф6 *X^2]]))&lt;0.01,1,2))</f>
        <v>1</v>
      </c>
      <c r="AO37" s="544">
        <f>IF(L34=Таблица3[[#This Row],[ф7 *Х^3]],0,IF(ABS((L34-Таблица3[[#This Row],[ф7 *Х^3]])/(L34+Таблица3[[#This Row],[ф7 *Х^3]]))&lt;0.01,1,2))</f>
        <v>0</v>
      </c>
    </row>
    <row r="38" spans="1:41" x14ac:dyDescent="0.35">
      <c r="A38" s="396" t="s">
        <v>70</v>
      </c>
      <c r="B38" s="396" t="s">
        <v>65</v>
      </c>
      <c r="C38" s="518">
        <v>298.14999999999998</v>
      </c>
      <c r="D38" s="518">
        <v>1500</v>
      </c>
      <c r="E38" s="519">
        <v>2.783115</v>
      </c>
      <c r="F38" s="519">
        <v>25.378499999999999</v>
      </c>
      <c r="G38" s="519">
        <v>1.797085</v>
      </c>
      <c r="H38" s="519">
        <v>1.090393E-4</v>
      </c>
      <c r="I38" s="519">
        <v>-2.1003919999999999E-2</v>
      </c>
      <c r="J38" s="519">
        <v>9.1604179999999999</v>
      </c>
      <c r="K38" s="519">
        <v>-16.28604</v>
      </c>
      <c r="L38" s="519">
        <v>12.30222</v>
      </c>
      <c r="M38" s="558">
        <f t="shared" si="1"/>
        <v>1</v>
      </c>
      <c r="O38" s="396" t="s">
        <v>93</v>
      </c>
      <c r="P38" s="396" t="s">
        <v>69</v>
      </c>
      <c r="Q38" s="518">
        <v>350</v>
      </c>
      <c r="R38" s="518">
        <v>420</v>
      </c>
      <c r="S38" s="396">
        <v>-1.3586866317878405</v>
      </c>
      <c r="T38" s="396">
        <v>12.046908589131874</v>
      </c>
      <c r="U38" s="396">
        <v>1.7622226231282696</v>
      </c>
      <c r="V38" s="396">
        <v>0</v>
      </c>
      <c r="W38" s="396">
        <v>0.14511938535984314</v>
      </c>
      <c r="X38" s="396">
        <v>105.72854651512418</v>
      </c>
      <c r="Y38" s="396">
        <v>0</v>
      </c>
      <c r="Z38" s="396">
        <v>0</v>
      </c>
      <c r="AA38" s="518">
        <v>1</v>
      </c>
      <c r="AC38" s="397" t="str">
        <f t="shared" si="3"/>
        <v>GeSe2</v>
      </c>
      <c r="AD38" s="544" t="str">
        <f>Таблица3[[#This Row],[Вещество]]</f>
        <v>GeSe2</v>
      </c>
      <c r="AE38" s="544">
        <f>IF(B35=Таблица3[[#This Row],[Фаза]],0,2)</f>
        <v>0</v>
      </c>
      <c r="AF38" s="544">
        <f>IF(C35=Таблица3[[#This Row],[To]],0,IF(ABS((C35-Таблица3[[#This Row],[To]])/(C35+Таблица3[[#This Row],[To]]))&lt;0.01,1,2))</f>
        <v>0</v>
      </c>
      <c r="AG38" s="544">
        <f>IF(D35=Таблица3[[#This Row],[T]],0,IF(ABS((D35-Таблица3[[#This Row],[T]])/(D35+Таблица3[[#This Row],[T]]))&lt;0.01,1,2))</f>
        <v>0</v>
      </c>
      <c r="AH38" s="544">
        <f>IF(E35=Таблица3[[#This Row],[ho]],0,IF(ABS((E35-Таблица3[[#This Row],[ho]])/(E35+Таблица3[[#This Row],[ho]]))&lt;0.01,1,2))</f>
        <v>1</v>
      </c>
      <c r="AI38" s="544">
        <f>IF(F35=Таблица3[[#This Row],[ф1]],0,IF(ABS((F35-Таблица3[[#This Row],[ф1]])/(F35+Таблица3[[#This Row],[ф1]]))&lt;0.01,1,2))</f>
        <v>1</v>
      </c>
      <c r="AJ38" s="544">
        <f>IF(G35=Таблица3[[#This Row],[ф2 *lnX]],0,IF(ABS((G35-Таблица3[[#This Row],[ф2 *lnX]])/(G35+Таблица3[[#This Row],[ф2 *lnX]]))&lt;0.01,1,2))</f>
        <v>1</v>
      </c>
      <c r="AK38" s="544">
        <f>IF(H35=Таблица3[[#This Row],[ф3 *X^(-2)]],0,IF(ABS((H35-Таблица3[[#This Row],[ф3 *X^(-2)]])/(H35+Таблица3[[#This Row],[ф3 *X^(-2)]]))&lt;0.01,1,2))</f>
        <v>0</v>
      </c>
      <c r="AL38" s="544">
        <f>IF(I35=Таблица3[[#This Row],[ф4 *X^(-1)]],0,IF(ABS((I35-Таблица3[[#This Row],[ф4 *X^(-1)]])/(I35+Таблица3[[#This Row],[ф4 *X^(-1)]]))&lt;0.01,1,2))</f>
        <v>1</v>
      </c>
      <c r="AM38" s="544">
        <f>IF(J35=Таблица3[[#This Row],[ф5 *X]],0,IF(ABS((J35-Таблица3[[#This Row],[ф5 *X]])/(J35+Таблица3[[#This Row],[ф5 *X]]))&lt;0.01,1,2))</f>
        <v>1</v>
      </c>
      <c r="AN38" s="544">
        <f>IF(K35=Таблица3[[#This Row],[ф6 *X^2]],0,IF(ABS((K35-Таблица3[[#This Row],[ф6 *X^2]])/(K35+Таблица3[[#This Row],[ф6 *X^2]]))&lt;0.01,1,2))</f>
        <v>0</v>
      </c>
      <c r="AO38" s="544">
        <f>IF(L35=Таблица3[[#This Row],[ф7 *Х^3]],0,IF(ABS((L35-Таблица3[[#This Row],[ф7 *Х^3]])/(L35+Таблица3[[#This Row],[ф7 *Х^3]]))&lt;0.01,1,2))</f>
        <v>0</v>
      </c>
    </row>
    <row r="39" spans="1:41" ht="21.75" thickBot="1" x14ac:dyDescent="0.4">
      <c r="A39" s="396" t="s">
        <v>70</v>
      </c>
      <c r="B39" s="396" t="s">
        <v>65</v>
      </c>
      <c r="C39" s="518">
        <v>1500</v>
      </c>
      <c r="D39" s="518">
        <v>10000</v>
      </c>
      <c r="E39" s="519">
        <v>2.783115</v>
      </c>
      <c r="F39" s="519">
        <v>27.619869999999999</v>
      </c>
      <c r="G39" s="519">
        <v>2.4307400000000001</v>
      </c>
      <c r="H39" s="519">
        <v>2.4488410000000002E-3</v>
      </c>
      <c r="I39" s="519">
        <v>-5.4265309999999997E-2</v>
      </c>
      <c r="J39" s="519">
        <v>0.91438399999999997</v>
      </c>
      <c r="K39" s="519">
        <v>-0.4321508</v>
      </c>
      <c r="L39" s="519">
        <v>8.956944E-2</v>
      </c>
      <c r="M39" s="559">
        <f>AA42</f>
        <v>1</v>
      </c>
      <c r="O39" s="396" t="s">
        <v>93</v>
      </c>
      <c r="P39" s="396" t="s">
        <v>69</v>
      </c>
      <c r="Q39" s="518">
        <v>420</v>
      </c>
      <c r="R39" s="518">
        <v>450</v>
      </c>
      <c r="S39" s="396">
        <v>-1.3586866317878405</v>
      </c>
      <c r="T39" s="396">
        <v>38.768510038576053</v>
      </c>
      <c r="U39" s="396">
        <v>9.9832822178122544</v>
      </c>
      <c r="V39" s="396">
        <v>0</v>
      </c>
      <c r="W39" s="396">
        <v>0.30389873228389108</v>
      </c>
      <c r="X39" s="396">
        <v>0</v>
      </c>
      <c r="Y39" s="396">
        <v>0</v>
      </c>
      <c r="Z39" s="396">
        <v>0</v>
      </c>
      <c r="AA39" s="518">
        <v>1</v>
      </c>
      <c r="AC39" s="397" t="str">
        <f t="shared" si="3"/>
        <v>GeSe2</v>
      </c>
      <c r="AD39" s="544" t="str">
        <f>Таблица3[[#This Row],[Вещество]]</f>
        <v>GeSe2</v>
      </c>
      <c r="AE39" s="544">
        <f>IF(B36=Таблица3[[#This Row],[Фаза]],0,2)</f>
        <v>0</v>
      </c>
      <c r="AF39" s="544">
        <f>IF(C36=Таблица3[[#This Row],[To]],0,IF(ABS((C36-Таблица3[[#This Row],[To]])/(C36+Таблица3[[#This Row],[To]]))&lt;0.01,1,2))</f>
        <v>0</v>
      </c>
      <c r="AG39" s="544">
        <f>IF(D36=Таблица3[[#This Row],[T]],0,IF(ABS((D36-Таблица3[[#This Row],[T]])/(D36+Таблица3[[#This Row],[T]]))&lt;0.01,1,2))</f>
        <v>0</v>
      </c>
      <c r="AH39" s="544">
        <f>IF(E36=Таблица3[[#This Row],[ho]],0,IF(ABS((E36-Таблица3[[#This Row],[ho]])/(E36+Таблица3[[#This Row],[ho]]))&lt;0.01,1,2))</f>
        <v>1</v>
      </c>
      <c r="AI39" s="544">
        <f>IF(F36=Таблица3[[#This Row],[ф1]],0,IF(ABS((F36-Таблица3[[#This Row],[ф1]])/(F36+Таблица3[[#This Row],[ф1]]))&lt;0.01,1,2))</f>
        <v>1</v>
      </c>
      <c r="AJ39" s="544">
        <f>IF(G36=Таблица3[[#This Row],[ф2 *lnX]],0,IF(ABS((G36-Таблица3[[#This Row],[ф2 *lnX]])/(G36+Таблица3[[#This Row],[ф2 *lnX]]))&lt;0.01,1,2))</f>
        <v>1</v>
      </c>
      <c r="AK39" s="544">
        <f>IF(H36=Таблица3[[#This Row],[ф3 *X^(-2)]],0,IF(ABS((H36-Таблица3[[#This Row],[ф3 *X^(-2)]])/(H36+Таблица3[[#This Row],[ф3 *X^(-2)]]))&lt;0.01,1,2))</f>
        <v>0</v>
      </c>
      <c r="AL39" s="544">
        <f>IF(I36=Таблица3[[#This Row],[ф4 *X^(-1)]],0,IF(ABS((I36-Таблица3[[#This Row],[ф4 *X^(-1)]])/(I36+Таблица3[[#This Row],[ф4 *X^(-1)]]))&lt;0.01,1,2))</f>
        <v>1</v>
      </c>
      <c r="AM39" s="544">
        <f>IF(J36=Таблица3[[#This Row],[ф5 *X]],0,IF(ABS((J36-Таблица3[[#This Row],[ф5 *X]])/(J36+Таблица3[[#This Row],[ф5 *X]]))&lt;0.01,1,2))</f>
        <v>0</v>
      </c>
      <c r="AN39" s="544">
        <f>IF(K36=Таблица3[[#This Row],[ф6 *X^2]],0,IF(ABS((K36-Таблица3[[#This Row],[ф6 *X^2]])/(K36+Таблица3[[#This Row],[ф6 *X^2]]))&lt;0.01,1,2))</f>
        <v>0</v>
      </c>
      <c r="AO39" s="544">
        <f>IF(L36=Таблица3[[#This Row],[ф7 *Х^3]],0,IF(ABS((L36-Таблица3[[#This Row],[ф7 *Х^3]])/(L36+Таблица3[[#This Row],[ф7 *Х^3]]))&lt;0.01,1,2))</f>
        <v>0</v>
      </c>
    </row>
    <row r="40" spans="1:41" x14ac:dyDescent="0.35">
      <c r="A40" s="397" t="s">
        <v>70</v>
      </c>
      <c r="B40" s="397" t="s">
        <v>61</v>
      </c>
      <c r="C40" s="550">
        <v>494.00009999999997</v>
      </c>
      <c r="D40" s="550">
        <v>1000</v>
      </c>
      <c r="E40" s="551">
        <v>7.4080010000000002E-2</v>
      </c>
      <c r="F40" s="551">
        <v>23.32</v>
      </c>
      <c r="G40" s="551">
        <v>6.3019999999999996</v>
      </c>
      <c r="H40" s="551">
        <v>0</v>
      </c>
      <c r="I40" s="551">
        <v>0.19220000000000001</v>
      </c>
      <c r="J40" s="551">
        <v>-29.83</v>
      </c>
      <c r="K40" s="551">
        <v>64.95</v>
      </c>
      <c r="L40" s="551">
        <v>0</v>
      </c>
      <c r="M40" s="557">
        <f>AA44</f>
        <v>1</v>
      </c>
      <c r="O40" s="396" t="s">
        <v>93</v>
      </c>
      <c r="P40" s="396" t="s">
        <v>69</v>
      </c>
      <c r="Q40" s="518">
        <v>450</v>
      </c>
      <c r="R40" s="518">
        <v>900</v>
      </c>
      <c r="S40" s="396">
        <v>-1.3586866317878405</v>
      </c>
      <c r="T40" s="396">
        <v>18.364758562217371</v>
      </c>
      <c r="U40" s="396">
        <v>2.0299476817607793</v>
      </c>
      <c r="V40" s="396">
        <v>2.736243911239401E-3</v>
      </c>
      <c r="W40" s="396">
        <v>-6.5765806573927721E-2</v>
      </c>
      <c r="X40" s="396">
        <v>61.455288953033858</v>
      </c>
      <c r="Y40" s="396">
        <v>-80.11305550544229</v>
      </c>
      <c r="Z40" s="396">
        <v>0</v>
      </c>
      <c r="AA40" s="518">
        <v>1</v>
      </c>
      <c r="AC40" s="397" t="str">
        <f t="shared" si="3"/>
        <v>GeSe2</v>
      </c>
      <c r="AD40" s="544" t="str">
        <f>Таблица3[[#This Row],[Вещество]]</f>
        <v>GeSe2</v>
      </c>
      <c r="AE40" s="544">
        <f>IF(B37=Таблица3[[#This Row],[Фаза]],0,2)</f>
        <v>0</v>
      </c>
      <c r="AF40" s="544">
        <f>IF(C37=Таблица3[[#This Row],[To]],0,IF(ABS((C37-Таблица3[[#This Row],[To]])/(C37+Таблица3[[#This Row],[To]]))&lt;0.01,1,2))</f>
        <v>0</v>
      </c>
      <c r="AG40" s="544">
        <f>IF(D37=Таблица3[[#This Row],[T]],0,IF(ABS((D37-Таблица3[[#This Row],[T]])/(D37+Таблица3[[#This Row],[T]]))&lt;0.01,1,2))</f>
        <v>1</v>
      </c>
      <c r="AH40" s="544">
        <f>IF(E37=Таблица3[[#This Row],[ho]],0,IF(ABS((E37-Таблица3[[#This Row],[ho]])/(E37+Таблица3[[#This Row],[ho]]))&lt;0.01,1,2))</f>
        <v>1</v>
      </c>
      <c r="AI40" s="544">
        <f>IF(F37=Таблица3[[#This Row],[ф1]],0,IF(ABS((F37-Таблица3[[#This Row],[ф1]])/(F37+Таблица3[[#This Row],[ф1]]))&lt;0.01,1,2))</f>
        <v>1</v>
      </c>
      <c r="AJ40" s="544">
        <f>IF(G37=Таблица3[[#This Row],[ф2 *lnX]],0,IF(ABS((G37-Таблица3[[#This Row],[ф2 *lnX]])/(G37+Таблица3[[#This Row],[ф2 *lnX]]))&lt;0.01,1,2))</f>
        <v>1</v>
      </c>
      <c r="AK40" s="544">
        <f>IF(H37=Таблица3[[#This Row],[ф3 *X^(-2)]],0,IF(ABS((H37-Таблица3[[#This Row],[ф3 *X^(-2)]])/(H37+Таблица3[[#This Row],[ф3 *X^(-2)]]))&lt;0.01,1,2))</f>
        <v>1</v>
      </c>
      <c r="AL40" s="544">
        <f>IF(I37=Таблица3[[#This Row],[ф4 *X^(-1)]],0,IF(ABS((I37-Таблица3[[#This Row],[ф4 *X^(-1)]])/(I37+Таблица3[[#This Row],[ф4 *X^(-1)]]))&lt;0.01,1,2))</f>
        <v>1</v>
      </c>
      <c r="AM40" s="544">
        <f>IF(J37=Таблица3[[#This Row],[ф5 *X]],0,IF(ABS((J37-Таблица3[[#This Row],[ф5 *X]])/(J37+Таблица3[[#This Row],[ф5 *X]]))&lt;0.01,1,2))</f>
        <v>1</v>
      </c>
      <c r="AN40" s="544">
        <f>IF(K37=Таблица3[[#This Row],[ф6 *X^2]],0,IF(ABS((K37-Таблица3[[#This Row],[ф6 *X^2]])/(K37+Таблица3[[#This Row],[ф6 *X^2]]))&lt;0.01,1,2))</f>
        <v>1</v>
      </c>
      <c r="AO40" s="544">
        <f>IF(L37=Таблица3[[#This Row],[ф7 *Х^3]],0,IF(ABS((L37-Таблица3[[#This Row],[ф7 *Х^3]])/(L37+Таблица3[[#This Row],[ф7 *Х^3]]))&lt;0.01,1,2))</f>
        <v>0</v>
      </c>
    </row>
    <row r="41" spans="1:41" x14ac:dyDescent="0.35">
      <c r="A41" s="397" t="s">
        <v>70</v>
      </c>
      <c r="B41" s="397" t="s">
        <v>61</v>
      </c>
      <c r="C41" s="550">
        <v>1000</v>
      </c>
      <c r="D41" s="550">
        <v>1800</v>
      </c>
      <c r="E41" s="551">
        <v>7.4080010000000002E-2</v>
      </c>
      <c r="F41" s="551">
        <v>16.62</v>
      </c>
      <c r="G41" s="551">
        <v>4.2460000000000004</v>
      </c>
      <c r="H41" s="551">
        <v>0</v>
      </c>
      <c r="I41" s="551">
        <v>0.15490000000000001</v>
      </c>
      <c r="J41" s="551">
        <v>0</v>
      </c>
      <c r="K41" s="551">
        <v>0</v>
      </c>
      <c r="L41" s="551">
        <v>0</v>
      </c>
      <c r="M41" s="558">
        <f t="shared" ref="M41:M61" si="4">AA45</f>
        <v>1</v>
      </c>
      <c r="O41" s="396" t="s">
        <v>70</v>
      </c>
      <c r="P41" s="396" t="s">
        <v>65</v>
      </c>
      <c r="Q41" s="518">
        <v>298.14999999999998</v>
      </c>
      <c r="R41" s="518">
        <v>1500</v>
      </c>
      <c r="S41" s="396">
        <v>2.783115</v>
      </c>
      <c r="T41" s="396">
        <v>25.378499999999999</v>
      </c>
      <c r="U41" s="396">
        <v>1.797085</v>
      </c>
      <c r="V41" s="396">
        <v>1.090393E-4</v>
      </c>
      <c r="W41" s="396">
        <v>-2.1003919999999999E-2</v>
      </c>
      <c r="X41" s="396">
        <v>9.1604179999999999</v>
      </c>
      <c r="Y41" s="396">
        <v>-16.28604</v>
      </c>
      <c r="Z41" s="396">
        <v>12.30222</v>
      </c>
      <c r="AA41" s="518">
        <v>1</v>
      </c>
      <c r="AC41" s="397" t="str">
        <f t="shared" si="3"/>
        <v>Se</v>
      </c>
      <c r="AD41" s="544" t="str">
        <f>Таблица3[[#This Row],[Вещество]]</f>
        <v>Se</v>
      </c>
      <c r="AE41" s="544">
        <f>IF(B38=Таблица3[[#This Row],[Фаза]],0,2)</f>
        <v>0</v>
      </c>
      <c r="AF41" s="544">
        <f>IF(C38=Таблица3[[#This Row],[To]],0,IF(ABS((C38-Таблица3[[#This Row],[To]])/(C38+Таблица3[[#This Row],[To]]))&lt;0.01,1,2))</f>
        <v>0</v>
      </c>
      <c r="AG41" s="544">
        <f>IF(D38=Таблица3[[#This Row],[T]],0,IF(ABS((D38-Таблица3[[#This Row],[T]])/(D38+Таблица3[[#This Row],[T]]))&lt;0.01,1,2))</f>
        <v>0</v>
      </c>
      <c r="AH41" s="544">
        <f>IF(E38=Таблица3[[#This Row],[ho]],0,IF(ABS((E38-Таблица3[[#This Row],[ho]])/(E38+Таблица3[[#This Row],[ho]]))&lt;0.01,1,2))</f>
        <v>0</v>
      </c>
      <c r="AI41" s="544">
        <f>IF(F38=Таблица3[[#This Row],[ф1]],0,IF(ABS((F38-Таблица3[[#This Row],[ф1]])/(F38+Таблица3[[#This Row],[ф1]]))&lt;0.01,1,2))</f>
        <v>0</v>
      </c>
      <c r="AJ41" s="544">
        <f>IF(G38=Таблица3[[#This Row],[ф2 *lnX]],0,IF(ABS((G38-Таблица3[[#This Row],[ф2 *lnX]])/(G38+Таблица3[[#This Row],[ф2 *lnX]]))&lt;0.01,1,2))</f>
        <v>0</v>
      </c>
      <c r="AK41" s="544">
        <f>IF(H38=Таблица3[[#This Row],[ф3 *X^(-2)]],0,IF(ABS((H38-Таблица3[[#This Row],[ф3 *X^(-2)]])/(H38+Таблица3[[#This Row],[ф3 *X^(-2)]]))&lt;0.01,1,2))</f>
        <v>0</v>
      </c>
      <c r="AL41" s="544">
        <f>IF(I38=Таблица3[[#This Row],[ф4 *X^(-1)]],0,IF(ABS((I38-Таблица3[[#This Row],[ф4 *X^(-1)]])/(I38+Таблица3[[#This Row],[ф4 *X^(-1)]]))&lt;0.01,1,2))</f>
        <v>0</v>
      </c>
      <c r="AM41" s="544">
        <f>IF(J38=Таблица3[[#This Row],[ф5 *X]],0,IF(ABS((J38-Таблица3[[#This Row],[ф5 *X]])/(J38+Таблица3[[#This Row],[ф5 *X]]))&lt;0.01,1,2))</f>
        <v>0</v>
      </c>
      <c r="AN41" s="544">
        <f>IF(K38=Таблица3[[#This Row],[ф6 *X^2]],0,IF(ABS((K38-Таблица3[[#This Row],[ф6 *X^2]])/(K38+Таблица3[[#This Row],[ф6 *X^2]]))&lt;0.01,1,2))</f>
        <v>0</v>
      </c>
      <c r="AO41" s="544">
        <f>IF(L38=Таблица3[[#This Row],[ф7 *Х^3]],0,IF(ABS((L38-Таблица3[[#This Row],[ф7 *Х^3]])/(L38+Таблица3[[#This Row],[ф7 *Х^3]]))&lt;0.01,1,2))</f>
        <v>0</v>
      </c>
    </row>
    <row r="42" spans="1:41" x14ac:dyDescent="0.35">
      <c r="A42" s="397" t="s">
        <v>70</v>
      </c>
      <c r="B42" s="397" t="s">
        <v>69</v>
      </c>
      <c r="C42" s="550">
        <v>298.14999999999998</v>
      </c>
      <c r="D42" s="550">
        <v>494.3</v>
      </c>
      <c r="E42" s="551">
        <v>-6.6260929999999996E-2</v>
      </c>
      <c r="F42" s="551">
        <v>10.212899999999999</v>
      </c>
      <c r="G42" s="551">
        <v>2.3373539999999999</v>
      </c>
      <c r="H42" s="551">
        <v>0</v>
      </c>
      <c r="I42" s="551">
        <v>1.4182739999999999E-2</v>
      </c>
      <c r="J42" s="551">
        <v>13.63707</v>
      </c>
      <c r="K42" s="551">
        <v>-25.78952</v>
      </c>
      <c r="L42" s="551">
        <v>0</v>
      </c>
      <c r="M42" s="558">
        <f t="shared" si="4"/>
        <v>1</v>
      </c>
      <c r="O42" s="396" t="s">
        <v>70</v>
      </c>
      <c r="P42" s="396" t="s">
        <v>65</v>
      </c>
      <c r="Q42" s="518">
        <v>1500</v>
      </c>
      <c r="R42" s="518">
        <v>10000</v>
      </c>
      <c r="S42" s="396">
        <v>2.783115</v>
      </c>
      <c r="T42" s="396">
        <v>27.619869999999999</v>
      </c>
      <c r="U42" s="396">
        <v>2.4307400000000001</v>
      </c>
      <c r="V42" s="396">
        <v>2.4488410000000002E-3</v>
      </c>
      <c r="W42" s="396">
        <v>-5.4265309999999997E-2</v>
      </c>
      <c r="X42" s="396">
        <v>0.91438399999999997</v>
      </c>
      <c r="Y42" s="396">
        <v>-0.4321508</v>
      </c>
      <c r="Z42" s="396">
        <v>8.956944E-2</v>
      </c>
      <c r="AA42" s="518">
        <v>1</v>
      </c>
      <c r="AC42" s="397" t="str">
        <f>A39</f>
        <v>Se</v>
      </c>
      <c r="AD42" s="544" t="str">
        <f>Таблица3[[#This Row],[Вещество]]</f>
        <v>Se</v>
      </c>
      <c r="AE42" s="544">
        <f>IF(B39=Таблица3[[#This Row],[Фаза]],0,2)</f>
        <v>0</v>
      </c>
      <c r="AF42" s="544">
        <f>IF(C39=Таблица3[[#This Row],[To]],0,IF(ABS((C39-Таблица3[[#This Row],[To]])/(C39+Таблица3[[#This Row],[To]]))&lt;0.01,1,2))</f>
        <v>0</v>
      </c>
      <c r="AG42" s="544">
        <f>IF(D39=Таблица3[[#This Row],[T]],0,IF(ABS((D39-Таблица3[[#This Row],[T]])/(D39+Таблица3[[#This Row],[T]]))&lt;0.01,1,2))</f>
        <v>0</v>
      </c>
      <c r="AH42" s="544">
        <f>IF(E39=Таблица3[[#This Row],[ho]],0,IF(ABS((E39-Таблица3[[#This Row],[ho]])/(E39+Таблица3[[#This Row],[ho]]))&lt;0.01,1,2))</f>
        <v>0</v>
      </c>
      <c r="AI42" s="544">
        <f>IF(F39=Таблица3[[#This Row],[ф1]],0,IF(ABS((F39-Таблица3[[#This Row],[ф1]])/(F39+Таблица3[[#This Row],[ф1]]))&lt;0.01,1,2))</f>
        <v>0</v>
      </c>
      <c r="AJ42" s="544">
        <f>IF(G39=Таблица3[[#This Row],[ф2 *lnX]],0,IF(ABS((G39-Таблица3[[#This Row],[ф2 *lnX]])/(G39+Таблица3[[#This Row],[ф2 *lnX]]))&lt;0.01,1,2))</f>
        <v>0</v>
      </c>
      <c r="AK42" s="544">
        <f>IF(H39=Таблица3[[#This Row],[ф3 *X^(-2)]],0,IF(ABS((H39-Таблица3[[#This Row],[ф3 *X^(-2)]])/(H39+Таблица3[[#This Row],[ф3 *X^(-2)]]))&lt;0.01,1,2))</f>
        <v>0</v>
      </c>
      <c r="AL42" s="544">
        <f>IF(I39=Таблица3[[#This Row],[ф4 *X^(-1)]],0,IF(ABS((I39-Таблица3[[#This Row],[ф4 *X^(-1)]])/(I39+Таблица3[[#This Row],[ф4 *X^(-1)]]))&lt;0.01,1,2))</f>
        <v>0</v>
      </c>
      <c r="AM42" s="544">
        <f>IF(J39=Таблица3[[#This Row],[ф5 *X]],0,IF(ABS((J39-Таблица3[[#This Row],[ф5 *X]])/(J39+Таблица3[[#This Row],[ф5 *X]]))&lt;0.01,1,2))</f>
        <v>0</v>
      </c>
      <c r="AN42" s="544">
        <f>IF(K39=Таблица3[[#This Row],[ф6 *X^2]],0,IF(ABS((K39-Таблица3[[#This Row],[ф6 *X^2]])/(K39+Таблица3[[#This Row],[ф6 *X^2]]))&lt;0.01,1,2))</f>
        <v>0</v>
      </c>
      <c r="AO42" s="544">
        <f>IF(L39=Таблица3[[#This Row],[ф7 *Х^3]],0,IF(ABS((L39-Таблица3[[#This Row],[ф7 *Х^3]])/(L39+Таблица3[[#This Row],[ф7 *Х^3]]))&lt;0.01,1,2))</f>
        <v>0</v>
      </c>
    </row>
    <row r="43" spans="1:41" x14ac:dyDescent="0.35">
      <c r="A43" s="397" t="s">
        <v>70</v>
      </c>
      <c r="B43" s="397" t="s">
        <v>69</v>
      </c>
      <c r="C43" s="550">
        <v>494.3</v>
      </c>
      <c r="D43" s="550">
        <v>1000</v>
      </c>
      <c r="E43" s="551">
        <v>-6.6260929999999996E-2</v>
      </c>
      <c r="F43" s="551">
        <v>23.305810000000001</v>
      </c>
      <c r="G43" s="551">
        <v>6.3044700000000002</v>
      </c>
      <c r="H43" s="551">
        <v>0</v>
      </c>
      <c r="I43" s="551">
        <v>5.1929419999999997E-2</v>
      </c>
      <c r="J43" s="551">
        <v>-29.829440000000002</v>
      </c>
      <c r="K43" s="551">
        <v>65.022059999999996</v>
      </c>
      <c r="L43" s="551">
        <v>0</v>
      </c>
      <c r="M43" s="558">
        <f t="shared" si="4"/>
        <v>1</v>
      </c>
      <c r="O43" s="555" t="s">
        <v>70</v>
      </c>
      <c r="P43" s="555" t="s">
        <v>61</v>
      </c>
      <c r="Q43" s="556">
        <v>493.00009999999997</v>
      </c>
      <c r="R43" s="556">
        <v>957.00009999999997</v>
      </c>
      <c r="S43" s="555">
        <v>0</v>
      </c>
      <c r="T43" s="555">
        <v>16.690000000000001</v>
      </c>
      <c r="U43" s="555">
        <v>4.2279999999999998</v>
      </c>
      <c r="V43" s="555">
        <v>0</v>
      </c>
      <c r="W43" s="555">
        <v>7.2510000000000005E-2</v>
      </c>
      <c r="X43" s="555">
        <v>0</v>
      </c>
      <c r="Y43" s="555">
        <v>0</v>
      </c>
      <c r="Z43" s="555">
        <v>0</v>
      </c>
    </row>
    <row r="44" spans="1:41" x14ac:dyDescent="0.35">
      <c r="A44" s="397" t="s">
        <v>70</v>
      </c>
      <c r="B44" s="397" t="s">
        <v>69</v>
      </c>
      <c r="C44" s="550">
        <v>1000</v>
      </c>
      <c r="D44" s="550">
        <v>1800</v>
      </c>
      <c r="E44" s="551">
        <v>-6.6260929999999996E-2</v>
      </c>
      <c r="F44" s="551">
        <v>16.601150000000001</v>
      </c>
      <c r="G44" s="551">
        <v>4.2397850000000004</v>
      </c>
      <c r="H44" s="551">
        <v>0</v>
      </c>
      <c r="I44" s="551">
        <v>1.3699609999999999E-2</v>
      </c>
      <c r="J44" s="551">
        <v>0</v>
      </c>
      <c r="K44" s="551">
        <v>0</v>
      </c>
      <c r="L44" s="551">
        <v>0</v>
      </c>
      <c r="M44" s="558">
        <f t="shared" si="4"/>
        <v>1</v>
      </c>
      <c r="O44" s="397" t="s">
        <v>70</v>
      </c>
      <c r="P44" s="397" t="s">
        <v>61</v>
      </c>
      <c r="Q44" s="550">
        <v>494.00009999999997</v>
      </c>
      <c r="R44" s="550">
        <v>1000</v>
      </c>
      <c r="S44" s="397">
        <v>7.4080010000000002E-2</v>
      </c>
      <c r="T44" s="397">
        <v>23.32</v>
      </c>
      <c r="U44" s="397">
        <v>6.3019999999999996</v>
      </c>
      <c r="V44" s="397">
        <v>0</v>
      </c>
      <c r="W44" s="397">
        <v>0.19220000000000001</v>
      </c>
      <c r="X44" s="397">
        <v>-29.83</v>
      </c>
      <c r="Y44" s="397">
        <v>64.95</v>
      </c>
      <c r="Z44" s="397">
        <v>0</v>
      </c>
      <c r="AA44" s="518">
        <v>1</v>
      </c>
      <c r="AC44" s="397" t="str">
        <f t="shared" ref="AC43:AC64" si="5">A40</f>
        <v>Se</v>
      </c>
      <c r="AD44" s="544" t="str">
        <f>Таблица3[[#This Row],[Вещество]]</f>
        <v>Se</v>
      </c>
      <c r="AE44" s="544">
        <f>IF(B40=Таблица3[[#This Row],[Фаза]],0,2)</f>
        <v>0</v>
      </c>
      <c r="AF44" s="544">
        <f>IF(C40=Таблица3[[#This Row],[To]],0,IF(ABS((C40-Таблица3[[#This Row],[To]])/(C40+Таблица3[[#This Row],[To]]))&lt;0.01,1,2))</f>
        <v>0</v>
      </c>
      <c r="AG44" s="544">
        <f>IF(D40=Таблица3[[#This Row],[T]],0,IF(ABS((D40-Таблица3[[#This Row],[T]])/(D40+Таблица3[[#This Row],[T]]))&lt;0.01,1,2))</f>
        <v>0</v>
      </c>
      <c r="AH44" s="544">
        <f>IF(E40=Таблица3[[#This Row],[ho]],0,IF(ABS((E40-Таблица3[[#This Row],[ho]])/(E40+Таблица3[[#This Row],[ho]]))&lt;0.01,1,2))</f>
        <v>0</v>
      </c>
      <c r="AI44" s="544">
        <f>IF(F40=Таблица3[[#This Row],[ф1]],0,IF(ABS((F40-Таблица3[[#This Row],[ф1]])/(F40+Таблица3[[#This Row],[ф1]]))&lt;0.01,1,2))</f>
        <v>0</v>
      </c>
      <c r="AJ44" s="544">
        <f>IF(G40=Таблица3[[#This Row],[ф2 *lnX]],0,IF(ABS((G40-Таблица3[[#This Row],[ф2 *lnX]])/(G40+Таблица3[[#This Row],[ф2 *lnX]]))&lt;0.01,1,2))</f>
        <v>0</v>
      </c>
      <c r="AK44" s="544">
        <f>IF(H40=Таблица3[[#This Row],[ф3 *X^(-2)]],0,IF(ABS((H40-Таблица3[[#This Row],[ф3 *X^(-2)]])/(H40+Таблица3[[#This Row],[ф3 *X^(-2)]]))&lt;0.01,1,2))</f>
        <v>0</v>
      </c>
      <c r="AL44" s="544">
        <f>IF(I40=Таблица3[[#This Row],[ф4 *X^(-1)]],0,IF(ABS((I40-Таблица3[[#This Row],[ф4 *X^(-1)]])/(I40+Таблица3[[#This Row],[ф4 *X^(-1)]]))&lt;0.01,1,2))</f>
        <v>0</v>
      </c>
      <c r="AM44" s="544">
        <f>IF(J40=Таблица3[[#This Row],[ф5 *X]],0,IF(ABS((J40-Таблица3[[#This Row],[ф5 *X]])/(J40+Таблица3[[#This Row],[ф5 *X]]))&lt;0.01,1,2))</f>
        <v>0</v>
      </c>
      <c r="AN44" s="544">
        <f>IF(K40=Таблица3[[#This Row],[ф6 *X^2]],0,IF(ABS((K40-Таблица3[[#This Row],[ф6 *X^2]])/(K40+Таблица3[[#This Row],[ф6 *X^2]]))&lt;0.01,1,2))</f>
        <v>0</v>
      </c>
      <c r="AO44" s="544">
        <f>IF(L40=Таблица3[[#This Row],[ф7 *Х^3]],0,IF(ABS((L40-Таблица3[[#This Row],[ф7 *Х^3]])/(L40+Таблица3[[#This Row],[ф7 *Х^3]]))&lt;0.01,1,2))</f>
        <v>0</v>
      </c>
    </row>
    <row r="45" spans="1:41" x14ac:dyDescent="0.35">
      <c r="A45" s="552" t="s">
        <v>130</v>
      </c>
      <c r="B45" s="552" t="s">
        <v>189</v>
      </c>
      <c r="C45" s="553">
        <v>298.14999999999998</v>
      </c>
      <c r="D45" s="553">
        <v>398</v>
      </c>
      <c r="E45" s="554">
        <v>6.0389989999999998E-2</v>
      </c>
      <c r="F45" s="554">
        <v>14.03</v>
      </c>
      <c r="G45" s="554">
        <v>3.2650000000000001</v>
      </c>
      <c r="H45" s="554">
        <v>0</v>
      </c>
      <c r="I45" s="554">
        <v>9.7360000000000002E-2</v>
      </c>
      <c r="J45" s="554">
        <v>0</v>
      </c>
      <c r="K45" s="554">
        <v>0</v>
      </c>
      <c r="L45" s="554">
        <v>0</v>
      </c>
      <c r="M45" s="558">
        <f t="shared" si="4"/>
        <v>1</v>
      </c>
      <c r="O45" s="397" t="s">
        <v>70</v>
      </c>
      <c r="P45" s="397" t="s">
        <v>61</v>
      </c>
      <c r="Q45" s="550">
        <v>1000</v>
      </c>
      <c r="R45" s="550">
        <v>1800</v>
      </c>
      <c r="S45" s="397">
        <v>7.4080010000000002E-2</v>
      </c>
      <c r="T45" s="397">
        <v>16.62</v>
      </c>
      <c r="U45" s="397">
        <v>4.2460000000000004</v>
      </c>
      <c r="V45" s="397">
        <v>0</v>
      </c>
      <c r="W45" s="397">
        <v>0.15490000000000001</v>
      </c>
      <c r="X45" s="397">
        <v>0</v>
      </c>
      <c r="Y45" s="397">
        <v>0</v>
      </c>
      <c r="Z45" s="397">
        <v>0</v>
      </c>
      <c r="AA45" s="518">
        <v>1</v>
      </c>
      <c r="AC45" s="397" t="str">
        <f t="shared" si="5"/>
        <v>Se</v>
      </c>
      <c r="AD45" s="544" t="str">
        <f>Таблица3[[#This Row],[Вещество]]</f>
        <v>Se</v>
      </c>
      <c r="AE45" s="544">
        <f>IF(B41=Таблица3[[#This Row],[Фаза]],0,2)</f>
        <v>0</v>
      </c>
      <c r="AF45" s="544">
        <f>IF(C41=Таблица3[[#This Row],[To]],0,IF(ABS((C41-Таблица3[[#This Row],[To]])/(C41+Таблица3[[#This Row],[To]]))&lt;0.01,1,2))</f>
        <v>0</v>
      </c>
      <c r="AG45" s="544">
        <f>IF(D41=Таблица3[[#This Row],[T]],0,IF(ABS((D41-Таблица3[[#This Row],[T]])/(D41+Таблица3[[#This Row],[T]]))&lt;0.01,1,2))</f>
        <v>0</v>
      </c>
      <c r="AH45" s="544">
        <f>IF(E41=Таблица3[[#This Row],[ho]],0,IF(ABS((E41-Таблица3[[#This Row],[ho]])/(E41+Таблица3[[#This Row],[ho]]))&lt;0.01,1,2))</f>
        <v>0</v>
      </c>
      <c r="AI45" s="544">
        <f>IF(F41=Таблица3[[#This Row],[ф1]],0,IF(ABS((F41-Таблица3[[#This Row],[ф1]])/(F41+Таблица3[[#This Row],[ф1]]))&lt;0.01,1,2))</f>
        <v>0</v>
      </c>
      <c r="AJ45" s="544">
        <f>IF(G41=Таблица3[[#This Row],[ф2 *lnX]],0,IF(ABS((G41-Таблица3[[#This Row],[ф2 *lnX]])/(G41+Таблица3[[#This Row],[ф2 *lnX]]))&lt;0.01,1,2))</f>
        <v>0</v>
      </c>
      <c r="AK45" s="544">
        <f>IF(H41=Таблица3[[#This Row],[ф3 *X^(-2)]],0,IF(ABS((H41-Таблица3[[#This Row],[ф3 *X^(-2)]])/(H41+Таблица3[[#This Row],[ф3 *X^(-2)]]))&lt;0.01,1,2))</f>
        <v>0</v>
      </c>
      <c r="AL45" s="544">
        <f>IF(I41=Таблица3[[#This Row],[ф4 *X^(-1)]],0,IF(ABS((I41-Таблица3[[#This Row],[ф4 *X^(-1)]])/(I41+Таблица3[[#This Row],[ф4 *X^(-1)]]))&lt;0.01,1,2))</f>
        <v>0</v>
      </c>
      <c r="AM45" s="544">
        <f>IF(J41=Таблица3[[#This Row],[ф5 *X]],0,IF(ABS((J41-Таблица3[[#This Row],[ф5 *X]])/(J41+Таблица3[[#This Row],[ф5 *X]]))&lt;0.01,1,2))</f>
        <v>0</v>
      </c>
      <c r="AN45" s="544">
        <f>IF(K41=Таблица3[[#This Row],[ф6 *X^2]],0,IF(ABS((K41-Таблица3[[#This Row],[ф6 *X^2]])/(K41+Таблица3[[#This Row],[ф6 *X^2]]))&lt;0.01,1,2))</f>
        <v>0</v>
      </c>
      <c r="AO45" s="544">
        <f>IF(L41=Таблица3[[#This Row],[ф7 *Х^3]],0,IF(ABS((L41-Таблица3[[#This Row],[ф7 *Х^3]])/(L41+Таблица3[[#This Row],[ф7 *Х^3]]))&lt;0.01,1,2))</f>
        <v>0</v>
      </c>
    </row>
    <row r="46" spans="1:41" x14ac:dyDescent="0.35">
      <c r="A46" s="552" t="s">
        <v>131</v>
      </c>
      <c r="B46" s="552" t="s">
        <v>192</v>
      </c>
      <c r="C46" s="553">
        <v>298.14999999999998</v>
      </c>
      <c r="D46" s="553">
        <v>413.00009999999997</v>
      </c>
      <c r="E46" s="554">
        <v>0.1077</v>
      </c>
      <c r="F46" s="554">
        <v>54.85</v>
      </c>
      <c r="G46" s="554">
        <v>12.93</v>
      </c>
      <c r="H46" s="554">
        <v>-2.6350000000000001E-4</v>
      </c>
      <c r="I46" s="554">
        <v>0.40429999999999999</v>
      </c>
      <c r="J46" s="554">
        <v>-5.4480000000000004</v>
      </c>
      <c r="K46" s="554">
        <v>114.404554292702</v>
      </c>
      <c r="L46" s="554">
        <v>0</v>
      </c>
      <c r="M46" s="558">
        <f t="shared" si="4"/>
        <v>1</v>
      </c>
      <c r="O46" s="397" t="s">
        <v>70</v>
      </c>
      <c r="P46" s="397" t="s">
        <v>69</v>
      </c>
      <c r="Q46" s="550">
        <v>298.14999999999998</v>
      </c>
      <c r="R46" s="550">
        <v>494.3</v>
      </c>
      <c r="S46" s="397">
        <v>-6.6260929999999996E-2</v>
      </c>
      <c r="T46" s="397">
        <v>10.212899999999999</v>
      </c>
      <c r="U46" s="397">
        <v>2.3373539999999999</v>
      </c>
      <c r="V46" s="397">
        <v>0</v>
      </c>
      <c r="W46" s="397">
        <v>1.4182739999999999E-2</v>
      </c>
      <c r="X46" s="397">
        <v>13.63707</v>
      </c>
      <c r="Y46" s="397">
        <v>-25.78952</v>
      </c>
      <c r="Z46" s="397">
        <v>0</v>
      </c>
      <c r="AA46" s="518">
        <v>1</v>
      </c>
      <c r="AC46" s="397" t="str">
        <f t="shared" si="5"/>
        <v>Se</v>
      </c>
      <c r="AD46" s="544" t="str">
        <f>Таблица3[[#This Row],[Вещество]]</f>
        <v>Se</v>
      </c>
      <c r="AE46" s="544">
        <f>IF(B42=Таблица3[[#This Row],[Фаза]],0,2)</f>
        <v>0</v>
      </c>
      <c r="AF46" s="544">
        <f>IF(C42=Таблица3[[#This Row],[To]],0,IF(ABS((C42-Таблица3[[#This Row],[To]])/(C42+Таблица3[[#This Row],[To]]))&lt;0.01,1,2))</f>
        <v>0</v>
      </c>
      <c r="AG46" s="544">
        <f>IF(D42=Таблица3[[#This Row],[T]],0,IF(ABS((D42-Таблица3[[#This Row],[T]])/(D42+Таблица3[[#This Row],[T]]))&lt;0.01,1,2))</f>
        <v>0</v>
      </c>
      <c r="AH46" s="544">
        <f>IF(E42=Таблица3[[#This Row],[ho]],0,IF(ABS((E42-Таблица3[[#This Row],[ho]])/(E42+Таблица3[[#This Row],[ho]]))&lt;0.01,1,2))</f>
        <v>0</v>
      </c>
      <c r="AI46" s="544">
        <f>IF(F42=Таблица3[[#This Row],[ф1]],0,IF(ABS((F42-Таблица3[[#This Row],[ф1]])/(F42+Таблица3[[#This Row],[ф1]]))&lt;0.01,1,2))</f>
        <v>0</v>
      </c>
      <c r="AJ46" s="544">
        <f>IF(G42=Таблица3[[#This Row],[ф2 *lnX]],0,IF(ABS((G42-Таблица3[[#This Row],[ф2 *lnX]])/(G42+Таблица3[[#This Row],[ф2 *lnX]]))&lt;0.01,1,2))</f>
        <v>0</v>
      </c>
      <c r="AK46" s="544">
        <f>IF(H42=Таблица3[[#This Row],[ф3 *X^(-2)]],0,IF(ABS((H42-Таблица3[[#This Row],[ф3 *X^(-2)]])/(H42+Таблица3[[#This Row],[ф3 *X^(-2)]]))&lt;0.01,1,2))</f>
        <v>0</v>
      </c>
      <c r="AL46" s="544">
        <f>IF(I42=Таблица3[[#This Row],[ф4 *X^(-1)]],0,IF(ABS((I42-Таблица3[[#This Row],[ф4 *X^(-1)]])/(I42+Таблица3[[#This Row],[ф4 *X^(-1)]]))&lt;0.01,1,2))</f>
        <v>0</v>
      </c>
      <c r="AM46" s="544">
        <f>IF(J42=Таблица3[[#This Row],[ф5 *X]],0,IF(ABS((J42-Таблица3[[#This Row],[ф5 *X]])/(J42+Таблица3[[#This Row],[ф5 *X]]))&lt;0.01,1,2))</f>
        <v>0</v>
      </c>
      <c r="AN46" s="544">
        <f>IF(K42=Таблица3[[#This Row],[ф6 *X^2]],0,IF(ABS((K42-Таблица3[[#This Row],[ф6 *X^2]])/(K42+Таблица3[[#This Row],[ф6 *X^2]]))&lt;0.01,1,2))</f>
        <v>0</v>
      </c>
      <c r="AO46" s="544">
        <f>IF(L42=Таблица3[[#This Row],[ф7 *Х^3]],0,IF(ABS((L42-Таблица3[[#This Row],[ф7 *Х^3]])/(L42+Таблица3[[#This Row],[ф7 *Х^3]]))&lt;0.01,1,2))</f>
        <v>0</v>
      </c>
    </row>
    <row r="47" spans="1:41" x14ac:dyDescent="0.35">
      <c r="A47" s="552" t="s">
        <v>132</v>
      </c>
      <c r="B47" s="552" t="s">
        <v>193</v>
      </c>
      <c r="C47" s="553">
        <v>298.14999999999998</v>
      </c>
      <c r="D47" s="553">
        <v>398</v>
      </c>
      <c r="E47" s="554">
        <v>0.1963</v>
      </c>
      <c r="F47" s="554">
        <v>18.559999999999999</v>
      </c>
      <c r="G47" s="554">
        <v>4.8810000000000002</v>
      </c>
      <c r="H47" s="554">
        <v>0</v>
      </c>
      <c r="I47" s="554">
        <v>0.14549999999999999</v>
      </c>
      <c r="J47" s="554">
        <v>0</v>
      </c>
      <c r="K47" s="554">
        <v>0</v>
      </c>
      <c r="L47" s="554">
        <v>0</v>
      </c>
      <c r="M47" s="558">
        <f t="shared" si="4"/>
        <v>1</v>
      </c>
      <c r="O47" s="397" t="s">
        <v>70</v>
      </c>
      <c r="P47" s="397" t="s">
        <v>69</v>
      </c>
      <c r="Q47" s="550">
        <v>494.3</v>
      </c>
      <c r="R47" s="550">
        <v>1000</v>
      </c>
      <c r="S47" s="397">
        <v>-6.6260929999999996E-2</v>
      </c>
      <c r="T47" s="397">
        <v>23.305810000000001</v>
      </c>
      <c r="U47" s="397">
        <v>6.3044700000000002</v>
      </c>
      <c r="V47" s="397">
        <v>0</v>
      </c>
      <c r="W47" s="397">
        <v>5.1929419999999997E-2</v>
      </c>
      <c r="X47" s="397">
        <v>-29.829440000000002</v>
      </c>
      <c r="Y47" s="397">
        <v>65.022059999999996</v>
      </c>
      <c r="Z47" s="397">
        <v>0</v>
      </c>
      <c r="AA47" s="518">
        <v>1</v>
      </c>
      <c r="AC47" s="397" t="str">
        <f t="shared" si="5"/>
        <v>Se</v>
      </c>
      <c r="AD47" s="544" t="str">
        <f>Таблица3[[#This Row],[Вещество]]</f>
        <v>Se</v>
      </c>
      <c r="AE47" s="544">
        <f>IF(B43=Таблица3[[#This Row],[Фаза]],0,2)</f>
        <v>0</v>
      </c>
      <c r="AF47" s="544">
        <f>IF(C43=Таблица3[[#This Row],[To]],0,IF(ABS((C43-Таблица3[[#This Row],[To]])/(C43+Таблица3[[#This Row],[To]]))&lt;0.01,1,2))</f>
        <v>0</v>
      </c>
      <c r="AG47" s="544">
        <f>IF(D43=Таблица3[[#This Row],[T]],0,IF(ABS((D43-Таблица3[[#This Row],[T]])/(D43+Таблица3[[#This Row],[T]]))&lt;0.01,1,2))</f>
        <v>0</v>
      </c>
      <c r="AH47" s="544">
        <f>IF(E43=Таблица3[[#This Row],[ho]],0,IF(ABS((E43-Таблица3[[#This Row],[ho]])/(E43+Таблица3[[#This Row],[ho]]))&lt;0.01,1,2))</f>
        <v>0</v>
      </c>
      <c r="AI47" s="544">
        <f>IF(F43=Таблица3[[#This Row],[ф1]],0,IF(ABS((F43-Таблица3[[#This Row],[ф1]])/(F43+Таблица3[[#This Row],[ф1]]))&lt;0.01,1,2))</f>
        <v>0</v>
      </c>
      <c r="AJ47" s="544">
        <f>IF(G43=Таблица3[[#This Row],[ф2 *lnX]],0,IF(ABS((G43-Таблица3[[#This Row],[ф2 *lnX]])/(G43+Таблица3[[#This Row],[ф2 *lnX]]))&lt;0.01,1,2))</f>
        <v>0</v>
      </c>
      <c r="AK47" s="544">
        <f>IF(H43=Таблица3[[#This Row],[ф3 *X^(-2)]],0,IF(ABS((H43-Таблица3[[#This Row],[ф3 *X^(-2)]])/(H43+Таблица3[[#This Row],[ф3 *X^(-2)]]))&lt;0.01,1,2))</f>
        <v>0</v>
      </c>
      <c r="AL47" s="544">
        <f>IF(I43=Таблица3[[#This Row],[ф4 *X^(-1)]],0,IF(ABS((I43-Таблица3[[#This Row],[ф4 *X^(-1)]])/(I43+Таблица3[[#This Row],[ф4 *X^(-1)]]))&lt;0.01,1,2))</f>
        <v>0</v>
      </c>
      <c r="AM47" s="544">
        <f>IF(J43=Таблица3[[#This Row],[ф5 *X]],0,IF(ABS((J43-Таблица3[[#This Row],[ф5 *X]])/(J43+Таблица3[[#This Row],[ф5 *X]]))&lt;0.01,1,2))</f>
        <v>0</v>
      </c>
      <c r="AN47" s="544">
        <f>IF(K43=Таблица3[[#This Row],[ф6 *X^2]],0,IF(ABS((K43-Таблица3[[#This Row],[ф6 *X^2]])/(K43+Таблица3[[#This Row],[ф6 *X^2]]))&lt;0.01,1,2))</f>
        <v>0</v>
      </c>
      <c r="AO47" s="544">
        <f>IF(L43=Таблица3[[#This Row],[ф7 *Х^3]],0,IF(ABS((L43-Таблица3[[#This Row],[ф7 *Х^3]])/(L43+Таблица3[[#This Row],[ф7 *Х^3]]))&lt;0.01,1,2))</f>
        <v>0</v>
      </c>
    </row>
    <row r="48" spans="1:41" x14ac:dyDescent="0.35">
      <c r="A48" s="397" t="s">
        <v>117</v>
      </c>
      <c r="B48" s="397" t="s">
        <v>65</v>
      </c>
      <c r="C48" s="550">
        <v>298.14999999999998</v>
      </c>
      <c r="D48" s="550">
        <v>1500</v>
      </c>
      <c r="E48" s="551">
        <v>1.6083639999999999</v>
      </c>
      <c r="F48" s="551">
        <v>46.654719999999998</v>
      </c>
      <c r="G48" s="551">
        <v>6.370749</v>
      </c>
      <c r="H48" s="551">
        <v>-1.7220000000000001E-4</v>
      </c>
      <c r="I48" s="551">
        <v>6.049562E-2</v>
      </c>
      <c r="J48" s="551">
        <v>-20.810030000000001</v>
      </c>
      <c r="K48" s="551">
        <v>56.994140000000002</v>
      </c>
      <c r="L48" s="551">
        <v>-73.985680000000002</v>
      </c>
      <c r="M48" s="558">
        <f t="shared" si="4"/>
        <v>1</v>
      </c>
      <c r="O48" s="397" t="s">
        <v>70</v>
      </c>
      <c r="P48" s="397" t="s">
        <v>69</v>
      </c>
      <c r="Q48" s="550">
        <v>1000</v>
      </c>
      <c r="R48" s="550">
        <v>1800</v>
      </c>
      <c r="S48" s="397">
        <v>-6.6260929999999996E-2</v>
      </c>
      <c r="T48" s="397">
        <v>16.601150000000001</v>
      </c>
      <c r="U48" s="397">
        <v>4.2397850000000004</v>
      </c>
      <c r="V48" s="397">
        <v>0</v>
      </c>
      <c r="W48" s="397">
        <v>1.3699609999999999E-2</v>
      </c>
      <c r="X48" s="397">
        <v>0</v>
      </c>
      <c r="Y48" s="397">
        <v>0</v>
      </c>
      <c r="Z48" s="397">
        <v>0</v>
      </c>
      <c r="AA48" s="518">
        <v>1</v>
      </c>
      <c r="AC48" s="397" t="str">
        <f t="shared" si="5"/>
        <v>Se</v>
      </c>
      <c r="AD48" s="544" t="str">
        <f>Таблица3[[#This Row],[Вещество]]</f>
        <v>Se</v>
      </c>
      <c r="AE48" s="544">
        <f>IF(B44=Таблица3[[#This Row],[Фаза]],0,2)</f>
        <v>0</v>
      </c>
      <c r="AF48" s="544">
        <f>IF(C44=Таблица3[[#This Row],[To]],0,IF(ABS((C44-Таблица3[[#This Row],[To]])/(C44+Таблица3[[#This Row],[To]]))&lt;0.01,1,2))</f>
        <v>0</v>
      </c>
      <c r="AG48" s="544">
        <f>IF(D44=Таблица3[[#This Row],[T]],0,IF(ABS((D44-Таблица3[[#This Row],[T]])/(D44+Таблица3[[#This Row],[T]]))&lt;0.01,1,2))</f>
        <v>0</v>
      </c>
      <c r="AH48" s="544">
        <f>IF(E44=Таблица3[[#This Row],[ho]],0,IF(ABS((E44-Таблица3[[#This Row],[ho]])/(E44+Таблица3[[#This Row],[ho]]))&lt;0.01,1,2))</f>
        <v>0</v>
      </c>
      <c r="AI48" s="544">
        <f>IF(F44=Таблица3[[#This Row],[ф1]],0,IF(ABS((F44-Таблица3[[#This Row],[ф1]])/(F44+Таблица3[[#This Row],[ф1]]))&lt;0.01,1,2))</f>
        <v>0</v>
      </c>
      <c r="AJ48" s="544">
        <f>IF(G44=Таблица3[[#This Row],[ф2 *lnX]],0,IF(ABS((G44-Таблица3[[#This Row],[ф2 *lnX]])/(G44+Таблица3[[#This Row],[ф2 *lnX]]))&lt;0.01,1,2))</f>
        <v>0</v>
      </c>
      <c r="AK48" s="544">
        <f>IF(H44=Таблица3[[#This Row],[ф3 *X^(-2)]],0,IF(ABS((H44-Таблица3[[#This Row],[ф3 *X^(-2)]])/(H44+Таблица3[[#This Row],[ф3 *X^(-2)]]))&lt;0.01,1,2))</f>
        <v>0</v>
      </c>
      <c r="AL48" s="544">
        <f>IF(I44=Таблица3[[#This Row],[ф4 *X^(-1)]],0,IF(ABS((I44-Таблица3[[#This Row],[ф4 *X^(-1)]])/(I44+Таблица3[[#This Row],[ф4 *X^(-1)]]))&lt;0.01,1,2))</f>
        <v>0</v>
      </c>
      <c r="AM48" s="544">
        <f>IF(J44=Таблица3[[#This Row],[ф5 *X]],0,IF(ABS((J44-Таблица3[[#This Row],[ф5 *X]])/(J44+Таблица3[[#This Row],[ф5 *X]]))&lt;0.01,1,2))</f>
        <v>0</v>
      </c>
      <c r="AN48" s="544">
        <f>IF(K44=Таблица3[[#This Row],[ф6 *X^2]],0,IF(ABS((K44-Таблица3[[#This Row],[ф6 *X^2]])/(K44+Таблица3[[#This Row],[ф6 *X^2]]))&lt;0.01,1,2))</f>
        <v>0</v>
      </c>
      <c r="AO48" s="544">
        <f>IF(L44=Таблица3[[#This Row],[ф7 *Х^3]],0,IF(ABS((L44-Таблица3[[#This Row],[ф7 *Х^3]])/(L44+Таблица3[[#This Row],[ф7 *Х^3]]))&lt;0.01,1,2))</f>
        <v>0</v>
      </c>
    </row>
    <row r="49" spans="1:41" x14ac:dyDescent="0.35">
      <c r="A49" s="397" t="s">
        <v>117</v>
      </c>
      <c r="B49" s="397" t="s">
        <v>65</v>
      </c>
      <c r="C49" s="550">
        <v>1500</v>
      </c>
      <c r="D49" s="550">
        <v>6000</v>
      </c>
      <c r="E49" s="551">
        <v>1.6083639999999999</v>
      </c>
      <c r="F49" s="551">
        <v>41.393599999999999</v>
      </c>
      <c r="G49" s="551">
        <v>4.6638549999999999</v>
      </c>
      <c r="H49" s="551">
        <v>-1.334432E-3</v>
      </c>
      <c r="I49" s="551">
        <v>3.6780319999999998E-2</v>
      </c>
      <c r="J49" s="551">
        <v>0.98545360000000004</v>
      </c>
      <c r="K49" s="551">
        <v>-0.13838919999999999</v>
      </c>
      <c r="L49" s="551">
        <v>-0.2247374</v>
      </c>
      <c r="M49" s="558">
        <f t="shared" si="4"/>
        <v>1</v>
      </c>
      <c r="O49" s="552" t="s">
        <v>130</v>
      </c>
      <c r="P49" s="552" t="s">
        <v>69</v>
      </c>
      <c r="Q49" s="553">
        <v>298.14999999999998</v>
      </c>
      <c r="R49" s="553">
        <v>398</v>
      </c>
      <c r="S49" s="552">
        <v>6.0388477960190028E-2</v>
      </c>
      <c r="T49" s="552">
        <v>14.027300531776039</v>
      </c>
      <c r="U49" s="552">
        <v>3.265379758253653</v>
      </c>
      <c r="V49" s="552">
        <v>0</v>
      </c>
      <c r="W49" s="552">
        <v>9.7357297492332656E-2</v>
      </c>
      <c r="X49" s="552">
        <v>0</v>
      </c>
      <c r="Y49" s="552">
        <v>0</v>
      </c>
      <c r="Z49" s="552">
        <v>0</v>
      </c>
      <c r="AA49" s="518">
        <v>1</v>
      </c>
      <c r="AC49" s="397" t="str">
        <f t="shared" si="5"/>
        <v>Se[A]</v>
      </c>
      <c r="AD49" s="544" t="str">
        <f>Таблица3[[#This Row],[Вещество]]</f>
        <v>Se[A]</v>
      </c>
      <c r="AE49" s="544">
        <f>IF(B45=Таблица3[[#This Row],[Фаза]],0,2)</f>
        <v>2</v>
      </c>
      <c r="AF49" s="544">
        <f>IF(C45=Таблица3[[#This Row],[To]],0,IF(ABS((C45-Таблица3[[#This Row],[To]])/(C45+Таблица3[[#This Row],[To]]))&lt;0.01,1,2))</f>
        <v>0</v>
      </c>
      <c r="AG49" s="544">
        <f>IF(D45=Таблица3[[#This Row],[T]],0,IF(ABS((D45-Таблица3[[#This Row],[T]])/(D45+Таблица3[[#This Row],[T]]))&lt;0.01,1,2))</f>
        <v>0</v>
      </c>
      <c r="AH49" s="544">
        <f>IF(E45=Таблица3[[#This Row],[ho]],0,IF(ABS((E45-Таблица3[[#This Row],[ho]])/(E45+Таблица3[[#This Row],[ho]]))&lt;0.01,1,2))</f>
        <v>1</v>
      </c>
      <c r="AI49" s="544">
        <f>IF(F45=Таблица3[[#This Row],[ф1]],0,IF(ABS((F45-Таблица3[[#This Row],[ф1]])/(F45+Таблица3[[#This Row],[ф1]]))&lt;0.01,1,2))</f>
        <v>1</v>
      </c>
      <c r="AJ49" s="544">
        <f>IF(G45=Таблица3[[#This Row],[ф2 *lnX]],0,IF(ABS((G45-Таблица3[[#This Row],[ф2 *lnX]])/(G45+Таблица3[[#This Row],[ф2 *lnX]]))&lt;0.01,1,2))</f>
        <v>1</v>
      </c>
      <c r="AK49" s="544">
        <f>IF(H45=Таблица3[[#This Row],[ф3 *X^(-2)]],0,IF(ABS((H45-Таблица3[[#This Row],[ф3 *X^(-2)]])/(H45+Таблица3[[#This Row],[ф3 *X^(-2)]]))&lt;0.01,1,2))</f>
        <v>0</v>
      </c>
      <c r="AL49" s="544">
        <f>IF(I45=Таблица3[[#This Row],[ф4 *X^(-1)]],0,IF(ABS((I45-Таблица3[[#This Row],[ф4 *X^(-1)]])/(I45+Таблица3[[#This Row],[ф4 *X^(-1)]]))&lt;0.01,1,2))</f>
        <v>1</v>
      </c>
      <c r="AM49" s="544">
        <f>IF(J45=Таблица3[[#This Row],[ф5 *X]],0,IF(ABS((J45-Таблица3[[#This Row],[ф5 *X]])/(J45+Таблица3[[#This Row],[ф5 *X]]))&lt;0.01,1,2))</f>
        <v>0</v>
      </c>
      <c r="AN49" s="544">
        <f>IF(K45=Таблица3[[#This Row],[ф6 *X^2]],0,IF(ABS((K45-Таблица3[[#This Row],[ф6 *X^2]])/(K45+Таблица3[[#This Row],[ф6 *X^2]]))&lt;0.01,1,2))</f>
        <v>0</v>
      </c>
      <c r="AO49" s="544">
        <f>IF(L45=Таблица3[[#This Row],[ф7 *Х^3]],0,IF(ABS((L45-Таблица3[[#This Row],[ф7 *Х^3]])/(L45+Таблица3[[#This Row],[ф7 *Х^3]]))&lt;0.01,1,2))</f>
        <v>0</v>
      </c>
    </row>
    <row r="50" spans="1:41" x14ac:dyDescent="0.35">
      <c r="A50" s="397" t="s">
        <v>118</v>
      </c>
      <c r="B50" s="397" t="s">
        <v>65</v>
      </c>
      <c r="C50" s="550">
        <v>298.14999999999998</v>
      </c>
      <c r="D50" s="550">
        <v>1500</v>
      </c>
      <c r="E50" s="551">
        <v>1.9782420000000001</v>
      </c>
      <c r="F50" s="551">
        <v>54.51784</v>
      </c>
      <c r="G50" s="551">
        <v>6.89046</v>
      </c>
      <c r="H50" s="551">
        <v>-1.736525E-4</v>
      </c>
      <c r="I50" s="551">
        <v>5.6347979999999999E-2</v>
      </c>
      <c r="J50" s="551">
        <v>1.1843140000000001</v>
      </c>
      <c r="K50" s="551">
        <v>-3.094471</v>
      </c>
      <c r="L50" s="551">
        <v>4.1616710000000001</v>
      </c>
      <c r="M50" s="558">
        <f t="shared" si="4"/>
        <v>1</v>
      </c>
      <c r="O50" s="552" t="s">
        <v>131</v>
      </c>
      <c r="P50" s="552" t="s">
        <v>69</v>
      </c>
      <c r="Q50" s="553">
        <v>298.14999999999998</v>
      </c>
      <c r="R50" s="553">
        <v>413</v>
      </c>
      <c r="S50" s="552">
        <v>0.10769138252450537</v>
      </c>
      <c r="T50" s="552">
        <v>54.853251742343801</v>
      </c>
      <c r="U50" s="552">
        <v>12.931625473570268</v>
      </c>
      <c r="V50" s="552">
        <v>-2.6345540922484819E-4</v>
      </c>
      <c r="W50" s="552">
        <v>0.40426080105349993</v>
      </c>
      <c r="X50" s="552">
        <v>-5.4483131878044384</v>
      </c>
      <c r="Y50" s="552">
        <v>114.4045542927015</v>
      </c>
      <c r="Z50" s="552">
        <v>0</v>
      </c>
      <c r="AA50" s="518">
        <v>1</v>
      </c>
      <c r="AC50" s="397" t="str">
        <f t="shared" si="5"/>
        <v>Se[M]</v>
      </c>
      <c r="AD50" s="544" t="str">
        <f>Таблица3[[#This Row],[Вещество]]</f>
        <v>Se[M]</v>
      </c>
      <c r="AE50" s="544">
        <f>IF(B46=Таблица3[[#This Row],[Фаза]],0,2)</f>
        <v>2</v>
      </c>
      <c r="AF50" s="544">
        <f>IF(C46=Таблица3[[#This Row],[To]],0,IF(ABS((C46-Таблица3[[#This Row],[To]])/(C46+Таблица3[[#This Row],[To]]))&lt;0.01,1,2))</f>
        <v>0</v>
      </c>
      <c r="AG50" s="544">
        <f>IF(D46=Таблица3[[#This Row],[T]],0,IF(ABS((D46-Таблица3[[#This Row],[T]])/(D46+Таблица3[[#This Row],[T]]))&lt;0.01,1,2))</f>
        <v>1</v>
      </c>
      <c r="AH50" s="544">
        <f>IF(E46=Таблица3[[#This Row],[ho]],0,IF(ABS((E46-Таблица3[[#This Row],[ho]])/(E46+Таблица3[[#This Row],[ho]]))&lt;0.01,1,2))</f>
        <v>1</v>
      </c>
      <c r="AI50" s="544">
        <f>IF(F46=Таблица3[[#This Row],[ф1]],0,IF(ABS((F46-Таблица3[[#This Row],[ф1]])/(F46+Таблица3[[#This Row],[ф1]]))&lt;0.01,1,2))</f>
        <v>1</v>
      </c>
      <c r="AJ50" s="544">
        <f>IF(G46=Таблица3[[#This Row],[ф2 *lnX]],0,IF(ABS((G46-Таблица3[[#This Row],[ф2 *lnX]])/(G46+Таблица3[[#This Row],[ф2 *lnX]]))&lt;0.01,1,2))</f>
        <v>1</v>
      </c>
      <c r="AK50" s="544">
        <f>IF(H46=Таблица3[[#This Row],[ф3 *X^(-2)]],0,IF(ABS((H46-Таблица3[[#This Row],[ф3 *X^(-2)]])/(H46+Таблица3[[#This Row],[ф3 *X^(-2)]]))&lt;0.01,1,2))</f>
        <v>1</v>
      </c>
      <c r="AL50" s="544">
        <f>IF(I46=Таблица3[[#This Row],[ф4 *X^(-1)]],0,IF(ABS((I46-Таблица3[[#This Row],[ф4 *X^(-1)]])/(I46+Таблица3[[#This Row],[ф4 *X^(-1)]]))&lt;0.01,1,2))</f>
        <v>1</v>
      </c>
      <c r="AM50" s="544">
        <f>IF(J46=Таблица3[[#This Row],[ф5 *X]],0,IF(ABS((J46-Таблица3[[#This Row],[ф5 *X]])/(J46+Таблица3[[#This Row],[ф5 *X]]))&lt;0.01,1,2))</f>
        <v>1</v>
      </c>
      <c r="AN50" s="544">
        <f>IF(K46=Таблица3[[#This Row],[ф6 *X^2]],0,IF(ABS((K46-Таблица3[[#This Row],[ф6 *X^2]])/(K46+Таблица3[[#This Row],[ф6 *X^2]]))&lt;0.01,1,2))</f>
        <v>0</v>
      </c>
      <c r="AO50" s="544">
        <f>IF(L46=Таблица3[[#This Row],[ф7 *Х^3]],0,IF(ABS((L46-Таблица3[[#This Row],[ф7 *Х^3]])/(L46+Таблица3[[#This Row],[ф7 *Х^3]]))&lt;0.01,1,2))</f>
        <v>0</v>
      </c>
    </row>
    <row r="51" spans="1:41" x14ac:dyDescent="0.35">
      <c r="A51" s="397" t="s">
        <v>118</v>
      </c>
      <c r="B51" s="397" t="s">
        <v>65</v>
      </c>
      <c r="C51" s="550">
        <v>1500</v>
      </c>
      <c r="D51" s="550">
        <v>6000</v>
      </c>
      <c r="E51" s="551">
        <v>1.9782420000000001</v>
      </c>
      <c r="F51" s="551">
        <v>54.816650000000003</v>
      </c>
      <c r="G51" s="551">
        <v>7.0000840000000002</v>
      </c>
      <c r="H51" s="551">
        <v>-2.193664E-4</v>
      </c>
      <c r="I51" s="551">
        <v>6.1325909999999997E-2</v>
      </c>
      <c r="J51" s="551">
        <v>3.7539989999999998E-4</v>
      </c>
      <c r="K51" s="551">
        <v>-1.8322499999999999E-4</v>
      </c>
      <c r="L51" s="551">
        <v>4.3410669999999999E-5</v>
      </c>
      <c r="M51" s="558">
        <f t="shared" si="4"/>
        <v>1</v>
      </c>
      <c r="O51" s="552" t="s">
        <v>132</v>
      </c>
      <c r="P51" s="552" t="s">
        <v>69</v>
      </c>
      <c r="Q51" s="553">
        <v>298.14999999999998</v>
      </c>
      <c r="R51" s="553">
        <v>398</v>
      </c>
      <c r="S51" s="552">
        <v>0.1962595465752601</v>
      </c>
      <c r="T51" s="552">
        <v>18.555499584494658</v>
      </c>
      <c r="U51" s="552">
        <v>4.881231583378435</v>
      </c>
      <c r="V51" s="552">
        <v>0</v>
      </c>
      <c r="W51" s="552">
        <v>0.14553391965842802</v>
      </c>
      <c r="X51" s="552">
        <v>0</v>
      </c>
      <c r="Y51" s="552">
        <v>0</v>
      </c>
      <c r="Z51" s="552">
        <v>0</v>
      </c>
      <c r="AA51" s="518">
        <v>1</v>
      </c>
      <c r="AC51" s="397" t="str">
        <f t="shared" si="5"/>
        <v>Se[R]</v>
      </c>
      <c r="AD51" s="544" t="str">
        <f>Таблица3[[#This Row],[Вещество]]</f>
        <v>Se[R]</v>
      </c>
      <c r="AE51" s="544">
        <f>IF(B47=Таблица3[[#This Row],[Фаза]],0,2)</f>
        <v>2</v>
      </c>
      <c r="AF51" s="544">
        <f>IF(C47=Таблица3[[#This Row],[To]],0,IF(ABS((C47-Таблица3[[#This Row],[To]])/(C47+Таблица3[[#This Row],[To]]))&lt;0.01,1,2))</f>
        <v>0</v>
      </c>
      <c r="AG51" s="544">
        <f>IF(D47=Таблица3[[#This Row],[T]],0,IF(ABS((D47-Таблица3[[#This Row],[T]])/(D47+Таблица3[[#This Row],[T]]))&lt;0.01,1,2))</f>
        <v>0</v>
      </c>
      <c r="AH51" s="544">
        <f>IF(E47=Таблица3[[#This Row],[ho]],0,IF(ABS((E47-Таблица3[[#This Row],[ho]])/(E47+Таблица3[[#This Row],[ho]]))&lt;0.01,1,2))</f>
        <v>1</v>
      </c>
      <c r="AI51" s="544">
        <f>IF(F47=Таблица3[[#This Row],[ф1]],0,IF(ABS((F47-Таблица3[[#This Row],[ф1]])/(F47+Таблица3[[#This Row],[ф1]]))&lt;0.01,1,2))</f>
        <v>1</v>
      </c>
      <c r="AJ51" s="544">
        <f>IF(G47=Таблица3[[#This Row],[ф2 *lnX]],0,IF(ABS((G47-Таблица3[[#This Row],[ф2 *lnX]])/(G47+Таблица3[[#This Row],[ф2 *lnX]]))&lt;0.01,1,2))</f>
        <v>1</v>
      </c>
      <c r="AK51" s="544">
        <f>IF(H47=Таблица3[[#This Row],[ф3 *X^(-2)]],0,IF(ABS((H47-Таблица3[[#This Row],[ф3 *X^(-2)]])/(H47+Таблица3[[#This Row],[ф3 *X^(-2)]]))&lt;0.01,1,2))</f>
        <v>0</v>
      </c>
      <c r="AL51" s="544">
        <f>IF(I47=Таблица3[[#This Row],[ф4 *X^(-1)]],0,IF(ABS((I47-Таблица3[[#This Row],[ф4 *X^(-1)]])/(I47+Таблица3[[#This Row],[ф4 *X^(-1)]]))&lt;0.01,1,2))</f>
        <v>1</v>
      </c>
      <c r="AM51" s="544">
        <f>IF(J47=Таблица3[[#This Row],[ф5 *X]],0,IF(ABS((J47-Таблица3[[#This Row],[ф5 *X]])/(J47+Таблица3[[#This Row],[ф5 *X]]))&lt;0.01,1,2))</f>
        <v>0</v>
      </c>
      <c r="AN51" s="544">
        <f>IF(K47=Таблица3[[#This Row],[ф6 *X^2]],0,IF(ABS((K47-Таблица3[[#This Row],[ф6 *X^2]])/(K47+Таблица3[[#This Row],[ф6 *X^2]]))&lt;0.01,1,2))</f>
        <v>0</v>
      </c>
      <c r="AO51" s="544">
        <f>IF(L47=Таблица3[[#This Row],[ф7 *Х^3]],0,IF(ABS((L47-Таблица3[[#This Row],[ф7 *Х^3]])/(L47+Таблица3[[#This Row],[ф7 *Х^3]]))&lt;0.01,1,2))</f>
        <v>0</v>
      </c>
    </row>
    <row r="52" spans="1:41" x14ac:dyDescent="0.35">
      <c r="A52" s="397" t="s">
        <v>119</v>
      </c>
      <c r="B52" s="397" t="s">
        <v>65</v>
      </c>
      <c r="C52" s="550">
        <v>298.14999999999998</v>
      </c>
      <c r="D52" s="550">
        <v>1500</v>
      </c>
      <c r="E52" s="551">
        <v>1.7796749999999999</v>
      </c>
      <c r="F52" s="551">
        <v>65.627989999999997</v>
      </c>
      <c r="G52" s="551">
        <v>9.8077830000000006</v>
      </c>
      <c r="H52" s="551">
        <v>-2.9475889999999998E-4</v>
      </c>
      <c r="I52" s="551">
        <v>0.1005359</v>
      </c>
      <c r="J52" s="551">
        <v>2.0750869999999999</v>
      </c>
      <c r="K52" s="551">
        <v>-5.417872</v>
      </c>
      <c r="L52" s="551">
        <v>7.2822940000000003</v>
      </c>
      <c r="M52" s="558">
        <f t="shared" si="4"/>
        <v>1</v>
      </c>
      <c r="O52" s="397" t="s">
        <v>117</v>
      </c>
      <c r="P52" s="397" t="s">
        <v>65</v>
      </c>
      <c r="Q52" s="550">
        <v>298.14999999999998</v>
      </c>
      <c r="R52" s="550">
        <v>1500</v>
      </c>
      <c r="S52" s="397">
        <v>1.6083639999999999</v>
      </c>
      <c r="T52" s="397">
        <v>46.654719999999998</v>
      </c>
      <c r="U52" s="397">
        <v>6.370749</v>
      </c>
      <c r="V52" s="397">
        <v>-1.7220000000000001E-4</v>
      </c>
      <c r="W52" s="397">
        <v>6.049562E-2</v>
      </c>
      <c r="X52" s="397">
        <v>-20.810030000000001</v>
      </c>
      <c r="Y52" s="397">
        <v>56.994140000000002</v>
      </c>
      <c r="Z52" s="397">
        <v>-73.985680000000002</v>
      </c>
      <c r="AA52" s="518">
        <v>1</v>
      </c>
      <c r="AC52" s="397" t="str">
        <f t="shared" si="5"/>
        <v>Se2</v>
      </c>
      <c r="AD52" s="544" t="str">
        <f>Таблица3[[#This Row],[Вещество]]</f>
        <v>Se2</v>
      </c>
      <c r="AE52" s="544">
        <f>IF(B48=Таблица3[[#This Row],[Фаза]],0,2)</f>
        <v>0</v>
      </c>
      <c r="AF52" s="544">
        <f>IF(C48=Таблица3[[#This Row],[To]],0,IF(ABS((C48-Таблица3[[#This Row],[To]])/(C48+Таблица3[[#This Row],[To]]))&lt;0.01,1,2))</f>
        <v>0</v>
      </c>
      <c r="AG52" s="544">
        <f>IF(D48=Таблица3[[#This Row],[T]],0,IF(ABS((D48-Таблица3[[#This Row],[T]])/(D48+Таблица3[[#This Row],[T]]))&lt;0.01,1,2))</f>
        <v>0</v>
      </c>
      <c r="AH52" s="544">
        <f>IF(E48=Таблица3[[#This Row],[ho]],0,IF(ABS((E48-Таблица3[[#This Row],[ho]])/(E48+Таблица3[[#This Row],[ho]]))&lt;0.01,1,2))</f>
        <v>0</v>
      </c>
      <c r="AI52" s="544">
        <f>IF(F48=Таблица3[[#This Row],[ф1]],0,IF(ABS((F48-Таблица3[[#This Row],[ф1]])/(F48+Таблица3[[#This Row],[ф1]]))&lt;0.01,1,2))</f>
        <v>0</v>
      </c>
      <c r="AJ52" s="544">
        <f>IF(G48=Таблица3[[#This Row],[ф2 *lnX]],0,IF(ABS((G48-Таблица3[[#This Row],[ф2 *lnX]])/(G48+Таблица3[[#This Row],[ф2 *lnX]]))&lt;0.01,1,2))</f>
        <v>0</v>
      </c>
      <c r="AK52" s="544">
        <f>IF(H48=Таблица3[[#This Row],[ф3 *X^(-2)]],0,IF(ABS((H48-Таблица3[[#This Row],[ф3 *X^(-2)]])/(H48+Таблица3[[#This Row],[ф3 *X^(-2)]]))&lt;0.01,1,2))</f>
        <v>0</v>
      </c>
      <c r="AL52" s="544">
        <f>IF(I48=Таблица3[[#This Row],[ф4 *X^(-1)]],0,IF(ABS((I48-Таблица3[[#This Row],[ф4 *X^(-1)]])/(I48+Таблица3[[#This Row],[ф4 *X^(-1)]]))&lt;0.01,1,2))</f>
        <v>0</v>
      </c>
      <c r="AM52" s="544">
        <f>IF(J48=Таблица3[[#This Row],[ф5 *X]],0,IF(ABS((J48-Таблица3[[#This Row],[ф5 *X]])/(J48+Таблица3[[#This Row],[ф5 *X]]))&lt;0.01,1,2))</f>
        <v>0</v>
      </c>
      <c r="AN52" s="544">
        <f>IF(K48=Таблица3[[#This Row],[ф6 *X^2]],0,IF(ABS((K48-Таблица3[[#This Row],[ф6 *X^2]])/(K48+Таблица3[[#This Row],[ф6 *X^2]]))&lt;0.01,1,2))</f>
        <v>0</v>
      </c>
      <c r="AO52" s="544">
        <f>IF(L48=Таблица3[[#This Row],[ф7 *Х^3]],0,IF(ABS((L48-Таблица3[[#This Row],[ф7 *Х^3]])/(L48+Таблица3[[#This Row],[ф7 *Х^3]]))&lt;0.01,1,2))</f>
        <v>0</v>
      </c>
    </row>
    <row r="53" spans="1:41" x14ac:dyDescent="0.35">
      <c r="A53" s="397" t="s">
        <v>119</v>
      </c>
      <c r="B53" s="397" t="s">
        <v>65</v>
      </c>
      <c r="C53" s="550">
        <v>1500</v>
      </c>
      <c r="D53" s="550">
        <v>6000</v>
      </c>
      <c r="E53" s="551">
        <v>1.7796749999999999</v>
      </c>
      <c r="F53" s="551">
        <v>66.151300000000006</v>
      </c>
      <c r="G53" s="551">
        <v>9.9996779999999994</v>
      </c>
      <c r="H53" s="551">
        <v>-3.7359040000000001E-4</v>
      </c>
      <c r="I53" s="551">
        <v>0.1092219</v>
      </c>
      <c r="J53" s="551">
        <v>1.8328540000000001E-3</v>
      </c>
      <c r="K53" s="551">
        <v>-1.155547E-3</v>
      </c>
      <c r="L53" s="551">
        <v>3.7609010000000002E-4</v>
      </c>
      <c r="M53" s="558">
        <f t="shared" si="4"/>
        <v>1</v>
      </c>
      <c r="O53" s="397" t="s">
        <v>117</v>
      </c>
      <c r="P53" s="397" t="s">
        <v>65</v>
      </c>
      <c r="Q53" s="550">
        <v>1500</v>
      </c>
      <c r="R53" s="550">
        <v>6000</v>
      </c>
      <c r="S53" s="397">
        <v>1.6083639999999999</v>
      </c>
      <c r="T53" s="397">
        <v>41.393599999999999</v>
      </c>
      <c r="U53" s="397">
        <v>4.6638549999999999</v>
      </c>
      <c r="V53" s="397">
        <v>-1.334432E-3</v>
      </c>
      <c r="W53" s="397">
        <v>3.6780319999999998E-2</v>
      </c>
      <c r="X53" s="397">
        <v>0.98545360000000004</v>
      </c>
      <c r="Y53" s="397">
        <v>-0.13838919999999999</v>
      </c>
      <c r="Z53" s="397">
        <v>-0.2247374</v>
      </c>
      <c r="AA53" s="518">
        <v>1</v>
      </c>
      <c r="AC53" s="397" t="str">
        <f t="shared" si="5"/>
        <v>Se2</v>
      </c>
      <c r="AD53" s="544" t="str">
        <f>Таблица3[[#This Row],[Вещество]]</f>
        <v>Se2</v>
      </c>
      <c r="AE53" s="544">
        <f>IF(B49=Таблица3[[#This Row],[Фаза]],0,2)</f>
        <v>0</v>
      </c>
      <c r="AF53" s="544">
        <f>IF(C49=Таблица3[[#This Row],[To]],0,IF(ABS((C49-Таблица3[[#This Row],[To]])/(C49+Таблица3[[#This Row],[To]]))&lt;0.01,1,2))</f>
        <v>0</v>
      </c>
      <c r="AG53" s="544">
        <f>IF(D49=Таблица3[[#This Row],[T]],0,IF(ABS((D49-Таблица3[[#This Row],[T]])/(D49+Таблица3[[#This Row],[T]]))&lt;0.01,1,2))</f>
        <v>0</v>
      </c>
      <c r="AH53" s="544">
        <f>IF(E49=Таблица3[[#This Row],[ho]],0,IF(ABS((E49-Таблица3[[#This Row],[ho]])/(E49+Таблица3[[#This Row],[ho]]))&lt;0.01,1,2))</f>
        <v>0</v>
      </c>
      <c r="AI53" s="544">
        <f>IF(F49=Таблица3[[#This Row],[ф1]],0,IF(ABS((F49-Таблица3[[#This Row],[ф1]])/(F49+Таблица3[[#This Row],[ф1]]))&lt;0.01,1,2))</f>
        <v>0</v>
      </c>
      <c r="AJ53" s="544">
        <f>IF(G49=Таблица3[[#This Row],[ф2 *lnX]],0,IF(ABS((G49-Таблица3[[#This Row],[ф2 *lnX]])/(G49+Таблица3[[#This Row],[ф2 *lnX]]))&lt;0.01,1,2))</f>
        <v>0</v>
      </c>
      <c r="AK53" s="544">
        <f>IF(H49=Таблица3[[#This Row],[ф3 *X^(-2)]],0,IF(ABS((H49-Таблица3[[#This Row],[ф3 *X^(-2)]])/(H49+Таблица3[[#This Row],[ф3 *X^(-2)]]))&lt;0.01,1,2))</f>
        <v>0</v>
      </c>
      <c r="AL53" s="544">
        <f>IF(I49=Таблица3[[#This Row],[ф4 *X^(-1)]],0,IF(ABS((I49-Таблица3[[#This Row],[ф4 *X^(-1)]])/(I49+Таблица3[[#This Row],[ф4 *X^(-1)]]))&lt;0.01,1,2))</f>
        <v>0</v>
      </c>
      <c r="AM53" s="544">
        <f>IF(J49=Таблица3[[#This Row],[ф5 *X]],0,IF(ABS((J49-Таблица3[[#This Row],[ф5 *X]])/(J49+Таблица3[[#This Row],[ф5 *X]]))&lt;0.01,1,2))</f>
        <v>0</v>
      </c>
      <c r="AN53" s="544">
        <f>IF(K49=Таблица3[[#This Row],[ф6 *X^2]],0,IF(ABS((K49-Таблица3[[#This Row],[ф6 *X^2]])/(K49+Таблица3[[#This Row],[ф6 *X^2]]))&lt;0.01,1,2))</f>
        <v>0</v>
      </c>
      <c r="AO53" s="544">
        <f>IF(L49=Таблица3[[#This Row],[ф7 *Х^3]],0,IF(ABS((L49-Таблица3[[#This Row],[ф7 *Х^3]])/(L49+Таблица3[[#This Row],[ф7 *Х^3]]))&lt;0.01,1,2))</f>
        <v>0</v>
      </c>
    </row>
    <row r="54" spans="1:41" x14ac:dyDescent="0.35">
      <c r="A54" s="397" t="s">
        <v>120</v>
      </c>
      <c r="B54" s="397" t="s">
        <v>65</v>
      </c>
      <c r="C54" s="550">
        <v>298.14999999999998</v>
      </c>
      <c r="D54" s="550">
        <v>1500</v>
      </c>
      <c r="E54" s="551">
        <v>1.593137</v>
      </c>
      <c r="F54" s="551">
        <v>82.10181</v>
      </c>
      <c r="G54" s="551">
        <v>12.889200000000001</v>
      </c>
      <c r="H54" s="551">
        <v>-2.7534359999999998E-4</v>
      </c>
      <c r="I54" s="551">
        <v>0.11292489999999999</v>
      </c>
      <c r="J54" s="551">
        <v>1.2045049999999999</v>
      </c>
      <c r="K54" s="551">
        <v>-3.1549330000000002</v>
      </c>
      <c r="L54" s="551">
        <v>4.2508710000000001</v>
      </c>
      <c r="M54" s="558">
        <f t="shared" si="4"/>
        <v>1</v>
      </c>
      <c r="O54" s="397" t="s">
        <v>118</v>
      </c>
      <c r="P54" s="397" t="s">
        <v>65</v>
      </c>
      <c r="Q54" s="550">
        <v>298.14999999999998</v>
      </c>
      <c r="R54" s="550">
        <v>1500</v>
      </c>
      <c r="S54" s="397">
        <v>1.9782420000000001</v>
      </c>
      <c r="T54" s="397">
        <v>54.51784</v>
      </c>
      <c r="U54" s="397">
        <v>6.89046</v>
      </c>
      <c r="V54" s="397">
        <v>-1.736525E-4</v>
      </c>
      <c r="W54" s="397">
        <v>5.6347979999999999E-2</v>
      </c>
      <c r="X54" s="397">
        <v>1.1843140000000001</v>
      </c>
      <c r="Y54" s="397">
        <v>-3.094471</v>
      </c>
      <c r="Z54" s="397">
        <v>4.1616710000000001</v>
      </c>
      <c r="AA54" s="518">
        <v>1</v>
      </c>
      <c r="AC54" s="397" t="str">
        <f t="shared" si="5"/>
        <v>Se3</v>
      </c>
      <c r="AD54" s="544" t="str">
        <f>Таблица3[[#This Row],[Вещество]]</f>
        <v>Se3</v>
      </c>
      <c r="AE54" s="544">
        <f>IF(B50=Таблица3[[#This Row],[Фаза]],0,2)</f>
        <v>0</v>
      </c>
      <c r="AF54" s="544">
        <f>IF(C50=Таблица3[[#This Row],[To]],0,IF(ABS((C50-Таблица3[[#This Row],[To]])/(C50+Таблица3[[#This Row],[To]]))&lt;0.01,1,2))</f>
        <v>0</v>
      </c>
      <c r="AG54" s="544">
        <f>IF(D50=Таблица3[[#This Row],[T]],0,IF(ABS((D50-Таблица3[[#This Row],[T]])/(D50+Таблица3[[#This Row],[T]]))&lt;0.01,1,2))</f>
        <v>0</v>
      </c>
      <c r="AH54" s="544">
        <f>IF(E50=Таблица3[[#This Row],[ho]],0,IF(ABS((E50-Таблица3[[#This Row],[ho]])/(E50+Таблица3[[#This Row],[ho]]))&lt;0.01,1,2))</f>
        <v>0</v>
      </c>
      <c r="AI54" s="544">
        <f>IF(F50=Таблица3[[#This Row],[ф1]],0,IF(ABS((F50-Таблица3[[#This Row],[ф1]])/(F50+Таблица3[[#This Row],[ф1]]))&lt;0.01,1,2))</f>
        <v>0</v>
      </c>
      <c r="AJ54" s="544">
        <f>IF(G50=Таблица3[[#This Row],[ф2 *lnX]],0,IF(ABS((G50-Таблица3[[#This Row],[ф2 *lnX]])/(G50+Таблица3[[#This Row],[ф2 *lnX]]))&lt;0.01,1,2))</f>
        <v>0</v>
      </c>
      <c r="AK54" s="544">
        <f>IF(H50=Таблица3[[#This Row],[ф3 *X^(-2)]],0,IF(ABS((H50-Таблица3[[#This Row],[ф3 *X^(-2)]])/(H50+Таблица3[[#This Row],[ф3 *X^(-2)]]))&lt;0.01,1,2))</f>
        <v>0</v>
      </c>
      <c r="AL54" s="544">
        <f>IF(I50=Таблица3[[#This Row],[ф4 *X^(-1)]],0,IF(ABS((I50-Таблица3[[#This Row],[ф4 *X^(-1)]])/(I50+Таблица3[[#This Row],[ф4 *X^(-1)]]))&lt;0.01,1,2))</f>
        <v>0</v>
      </c>
      <c r="AM54" s="544">
        <f>IF(J50=Таблица3[[#This Row],[ф5 *X]],0,IF(ABS((J50-Таблица3[[#This Row],[ф5 *X]])/(J50+Таблица3[[#This Row],[ф5 *X]]))&lt;0.01,1,2))</f>
        <v>0</v>
      </c>
      <c r="AN54" s="544">
        <f>IF(K50=Таблица3[[#This Row],[ф6 *X^2]],0,IF(ABS((K50-Таблица3[[#This Row],[ф6 *X^2]])/(K50+Таблица3[[#This Row],[ф6 *X^2]]))&lt;0.01,1,2))</f>
        <v>0</v>
      </c>
      <c r="AO54" s="544">
        <f>IF(L50=Таблица3[[#This Row],[ф7 *Х^3]],0,IF(ABS((L50-Таблица3[[#This Row],[ф7 *Х^3]])/(L50+Таблица3[[#This Row],[ф7 *Х^3]]))&lt;0.01,1,2))</f>
        <v>0</v>
      </c>
    </row>
    <row r="55" spans="1:41" x14ac:dyDescent="0.35">
      <c r="A55" s="397" t="s">
        <v>120</v>
      </c>
      <c r="B55" s="397" t="s">
        <v>65</v>
      </c>
      <c r="C55" s="550">
        <v>1500</v>
      </c>
      <c r="D55" s="550">
        <v>6000</v>
      </c>
      <c r="E55" s="551">
        <v>1.593137</v>
      </c>
      <c r="F55" s="551">
        <v>82.404619999999994</v>
      </c>
      <c r="G55" s="551">
        <v>12.999980000000001</v>
      </c>
      <c r="H55" s="551">
        <v>-3.1975439999999998E-4</v>
      </c>
      <c r="I55" s="551">
        <v>0.117897</v>
      </c>
      <c r="J55" s="551">
        <v>1.496076E-3</v>
      </c>
      <c r="K55" s="551">
        <v>-1.046272E-3</v>
      </c>
      <c r="L55" s="551">
        <v>3.8618760000000001E-4</v>
      </c>
      <c r="M55" s="558">
        <f t="shared" si="4"/>
        <v>1</v>
      </c>
      <c r="O55" s="397" t="s">
        <v>118</v>
      </c>
      <c r="P55" s="397" t="s">
        <v>65</v>
      </c>
      <c r="Q55" s="550">
        <v>1500</v>
      </c>
      <c r="R55" s="550">
        <v>6000</v>
      </c>
      <c r="S55" s="397">
        <v>1.9782420000000001</v>
      </c>
      <c r="T55" s="397">
        <v>54.816650000000003</v>
      </c>
      <c r="U55" s="397">
        <v>7.0000840000000002</v>
      </c>
      <c r="V55" s="397">
        <v>-2.193664E-4</v>
      </c>
      <c r="W55" s="397">
        <v>6.1325909999999997E-2</v>
      </c>
      <c r="X55" s="397">
        <v>3.7539989999999998E-4</v>
      </c>
      <c r="Y55" s="397">
        <v>-1.8322499999999999E-4</v>
      </c>
      <c r="Z55" s="397">
        <v>4.3410669999999999E-5</v>
      </c>
      <c r="AA55" s="518">
        <v>1</v>
      </c>
      <c r="AC55" s="397" t="str">
        <f t="shared" si="5"/>
        <v>Se3</v>
      </c>
      <c r="AD55" s="544" t="str">
        <f>Таблица3[[#This Row],[Вещество]]</f>
        <v>Se3</v>
      </c>
      <c r="AE55" s="544">
        <f>IF(B51=Таблица3[[#This Row],[Фаза]],0,2)</f>
        <v>0</v>
      </c>
      <c r="AF55" s="544">
        <f>IF(C51=Таблица3[[#This Row],[To]],0,IF(ABS((C51-Таблица3[[#This Row],[To]])/(C51+Таблица3[[#This Row],[To]]))&lt;0.01,1,2))</f>
        <v>0</v>
      </c>
      <c r="AG55" s="544">
        <f>IF(D51=Таблица3[[#This Row],[T]],0,IF(ABS((D51-Таблица3[[#This Row],[T]])/(D51+Таблица3[[#This Row],[T]]))&lt;0.01,1,2))</f>
        <v>0</v>
      </c>
      <c r="AH55" s="544">
        <f>IF(E51=Таблица3[[#This Row],[ho]],0,IF(ABS((E51-Таблица3[[#This Row],[ho]])/(E51+Таблица3[[#This Row],[ho]]))&lt;0.01,1,2))</f>
        <v>0</v>
      </c>
      <c r="AI55" s="544">
        <f>IF(F51=Таблица3[[#This Row],[ф1]],0,IF(ABS((F51-Таблица3[[#This Row],[ф1]])/(F51+Таблица3[[#This Row],[ф1]]))&lt;0.01,1,2))</f>
        <v>0</v>
      </c>
      <c r="AJ55" s="544">
        <f>IF(G51=Таблица3[[#This Row],[ф2 *lnX]],0,IF(ABS((G51-Таблица3[[#This Row],[ф2 *lnX]])/(G51+Таблица3[[#This Row],[ф2 *lnX]]))&lt;0.01,1,2))</f>
        <v>0</v>
      </c>
      <c r="AK55" s="544">
        <f>IF(H51=Таблица3[[#This Row],[ф3 *X^(-2)]],0,IF(ABS((H51-Таблица3[[#This Row],[ф3 *X^(-2)]])/(H51+Таблица3[[#This Row],[ф3 *X^(-2)]]))&lt;0.01,1,2))</f>
        <v>0</v>
      </c>
      <c r="AL55" s="544">
        <f>IF(I51=Таблица3[[#This Row],[ф4 *X^(-1)]],0,IF(ABS((I51-Таблица3[[#This Row],[ф4 *X^(-1)]])/(I51+Таблица3[[#This Row],[ф4 *X^(-1)]]))&lt;0.01,1,2))</f>
        <v>0</v>
      </c>
      <c r="AM55" s="544">
        <f>IF(J51=Таблица3[[#This Row],[ф5 *X]],0,IF(ABS((J51-Таблица3[[#This Row],[ф5 *X]])/(J51+Таблица3[[#This Row],[ф5 *X]]))&lt;0.01,1,2))</f>
        <v>0</v>
      </c>
      <c r="AN55" s="544">
        <f>IF(K51=Таблица3[[#This Row],[ф6 *X^2]],0,IF(ABS((K51-Таблица3[[#This Row],[ф6 *X^2]])/(K51+Таблица3[[#This Row],[ф6 *X^2]]))&lt;0.01,1,2))</f>
        <v>0</v>
      </c>
      <c r="AO55" s="544">
        <f>IF(L51=Таблица3[[#This Row],[ф7 *Х^3]],0,IF(ABS((L51-Таблица3[[#This Row],[ф7 *Х^3]])/(L51+Таблица3[[#This Row],[ф7 *Х^3]]))&lt;0.01,1,2))</f>
        <v>0</v>
      </c>
    </row>
    <row r="56" spans="1:41" x14ac:dyDescent="0.35">
      <c r="A56" s="397" t="s">
        <v>121</v>
      </c>
      <c r="B56" s="397" t="s">
        <v>65</v>
      </c>
      <c r="C56" s="550">
        <v>298.14999999999998</v>
      </c>
      <c r="D56" s="550">
        <v>1500</v>
      </c>
      <c r="E56" s="551">
        <v>1.310376</v>
      </c>
      <c r="F56" s="551">
        <v>92.080410000000001</v>
      </c>
      <c r="G56" s="551">
        <v>15.90657</v>
      </c>
      <c r="H56" s="551">
        <v>-3.1941130000000002E-4</v>
      </c>
      <c r="I56" s="551">
        <v>0.14695030000000001</v>
      </c>
      <c r="J56" s="551">
        <v>1.017784</v>
      </c>
      <c r="K56" s="551">
        <v>-2.6653210000000001</v>
      </c>
      <c r="L56" s="551">
        <v>3.5898659999999998</v>
      </c>
      <c r="M56" s="558">
        <f t="shared" si="4"/>
        <v>1</v>
      </c>
      <c r="O56" s="397" t="s">
        <v>119</v>
      </c>
      <c r="P56" s="397" t="s">
        <v>65</v>
      </c>
      <c r="Q56" s="550">
        <v>298.14999999999998</v>
      </c>
      <c r="R56" s="550">
        <v>1500</v>
      </c>
      <c r="S56" s="397">
        <v>1.7796749999999999</v>
      </c>
      <c r="T56" s="397">
        <v>65.627989999999997</v>
      </c>
      <c r="U56" s="397">
        <v>9.8077830000000006</v>
      </c>
      <c r="V56" s="397">
        <v>-2.9475889999999998E-4</v>
      </c>
      <c r="W56" s="397">
        <v>0.1005359</v>
      </c>
      <c r="X56" s="397">
        <v>2.0750869999999999</v>
      </c>
      <c r="Y56" s="397">
        <v>-5.417872</v>
      </c>
      <c r="Z56" s="397">
        <v>7.2822940000000003</v>
      </c>
      <c r="AA56" s="518">
        <v>1</v>
      </c>
      <c r="AC56" s="397" t="str">
        <f t="shared" si="5"/>
        <v>Se4</v>
      </c>
      <c r="AD56" s="544" t="str">
        <f>Таблица3[[#This Row],[Вещество]]</f>
        <v>Se4</v>
      </c>
      <c r="AE56" s="544">
        <f>IF(B52=Таблица3[[#This Row],[Фаза]],0,2)</f>
        <v>0</v>
      </c>
      <c r="AF56" s="544">
        <f>IF(C52=Таблица3[[#This Row],[To]],0,IF(ABS((C52-Таблица3[[#This Row],[To]])/(C52+Таблица3[[#This Row],[To]]))&lt;0.01,1,2))</f>
        <v>0</v>
      </c>
      <c r="AG56" s="544">
        <f>IF(D52=Таблица3[[#This Row],[T]],0,IF(ABS((D52-Таблица3[[#This Row],[T]])/(D52+Таблица3[[#This Row],[T]]))&lt;0.01,1,2))</f>
        <v>0</v>
      </c>
      <c r="AH56" s="544">
        <f>IF(E52=Таблица3[[#This Row],[ho]],0,IF(ABS((E52-Таблица3[[#This Row],[ho]])/(E52+Таблица3[[#This Row],[ho]]))&lt;0.01,1,2))</f>
        <v>0</v>
      </c>
      <c r="AI56" s="544">
        <f>IF(F52=Таблица3[[#This Row],[ф1]],0,IF(ABS((F52-Таблица3[[#This Row],[ф1]])/(F52+Таблица3[[#This Row],[ф1]]))&lt;0.01,1,2))</f>
        <v>0</v>
      </c>
      <c r="AJ56" s="544">
        <f>IF(G52=Таблица3[[#This Row],[ф2 *lnX]],0,IF(ABS((G52-Таблица3[[#This Row],[ф2 *lnX]])/(G52+Таблица3[[#This Row],[ф2 *lnX]]))&lt;0.01,1,2))</f>
        <v>0</v>
      </c>
      <c r="AK56" s="544">
        <f>IF(H52=Таблица3[[#This Row],[ф3 *X^(-2)]],0,IF(ABS((H52-Таблица3[[#This Row],[ф3 *X^(-2)]])/(H52+Таблица3[[#This Row],[ф3 *X^(-2)]]))&lt;0.01,1,2))</f>
        <v>0</v>
      </c>
      <c r="AL56" s="544">
        <f>IF(I52=Таблица3[[#This Row],[ф4 *X^(-1)]],0,IF(ABS((I52-Таблица3[[#This Row],[ф4 *X^(-1)]])/(I52+Таблица3[[#This Row],[ф4 *X^(-1)]]))&lt;0.01,1,2))</f>
        <v>0</v>
      </c>
      <c r="AM56" s="544">
        <f>IF(J52=Таблица3[[#This Row],[ф5 *X]],0,IF(ABS((J52-Таблица3[[#This Row],[ф5 *X]])/(J52+Таблица3[[#This Row],[ф5 *X]]))&lt;0.01,1,2))</f>
        <v>0</v>
      </c>
      <c r="AN56" s="544">
        <f>IF(K52=Таблица3[[#This Row],[ф6 *X^2]],0,IF(ABS((K52-Таблица3[[#This Row],[ф6 *X^2]])/(K52+Таблица3[[#This Row],[ф6 *X^2]]))&lt;0.01,1,2))</f>
        <v>0</v>
      </c>
      <c r="AO56" s="544">
        <f>IF(L52=Таблица3[[#This Row],[ф7 *Х^3]],0,IF(ABS((L52-Таблица3[[#This Row],[ф7 *Х^3]])/(L52+Таблица3[[#This Row],[ф7 *Х^3]]))&lt;0.01,1,2))</f>
        <v>0</v>
      </c>
    </row>
    <row r="57" spans="1:41" x14ac:dyDescent="0.35">
      <c r="A57" s="397" t="s">
        <v>121</v>
      </c>
      <c r="B57" s="397" t="s">
        <v>65</v>
      </c>
      <c r="C57" s="550">
        <v>1500</v>
      </c>
      <c r="D57" s="550">
        <v>6000</v>
      </c>
      <c r="E57" s="551">
        <v>1.310376</v>
      </c>
      <c r="F57" s="551">
        <v>92.335269999999994</v>
      </c>
      <c r="G57" s="551">
        <v>15.99952</v>
      </c>
      <c r="H57" s="551">
        <v>-3.5474159999999999E-4</v>
      </c>
      <c r="I57" s="551">
        <v>0.151062</v>
      </c>
      <c r="J57" s="551">
        <v>3.4559289999999999E-3</v>
      </c>
      <c r="K57" s="551">
        <v>-2.5853989999999999E-3</v>
      </c>
      <c r="L57" s="551">
        <v>9.828650999999999E-4</v>
      </c>
      <c r="M57" s="558">
        <f t="shared" si="4"/>
        <v>1</v>
      </c>
      <c r="O57" s="397" t="s">
        <v>119</v>
      </c>
      <c r="P57" s="397" t="s">
        <v>65</v>
      </c>
      <c r="Q57" s="550">
        <v>1500</v>
      </c>
      <c r="R57" s="550">
        <v>6000</v>
      </c>
      <c r="S57" s="397">
        <v>1.7796749999999999</v>
      </c>
      <c r="T57" s="397">
        <v>66.151300000000006</v>
      </c>
      <c r="U57" s="397">
        <v>9.9996779999999994</v>
      </c>
      <c r="V57" s="397">
        <v>-3.7359040000000001E-4</v>
      </c>
      <c r="W57" s="397">
        <v>0.1092219</v>
      </c>
      <c r="X57" s="397">
        <v>1.8328540000000001E-3</v>
      </c>
      <c r="Y57" s="397">
        <v>-1.155547E-3</v>
      </c>
      <c r="Z57" s="397">
        <v>3.7609010000000002E-4</v>
      </c>
      <c r="AA57" s="518">
        <v>1</v>
      </c>
      <c r="AC57" s="397" t="str">
        <f t="shared" si="5"/>
        <v>Se4</v>
      </c>
      <c r="AD57" s="544" t="str">
        <f>Таблица3[[#This Row],[Вещество]]</f>
        <v>Se4</v>
      </c>
      <c r="AE57" s="544">
        <f>IF(B53=Таблица3[[#This Row],[Фаза]],0,2)</f>
        <v>0</v>
      </c>
      <c r="AF57" s="544">
        <f>IF(C53=Таблица3[[#This Row],[To]],0,IF(ABS((C53-Таблица3[[#This Row],[To]])/(C53+Таблица3[[#This Row],[To]]))&lt;0.01,1,2))</f>
        <v>0</v>
      </c>
      <c r="AG57" s="544">
        <f>IF(D53=Таблица3[[#This Row],[T]],0,IF(ABS((D53-Таблица3[[#This Row],[T]])/(D53+Таблица3[[#This Row],[T]]))&lt;0.01,1,2))</f>
        <v>0</v>
      </c>
      <c r="AH57" s="544">
        <f>IF(E53=Таблица3[[#This Row],[ho]],0,IF(ABS((E53-Таблица3[[#This Row],[ho]])/(E53+Таблица3[[#This Row],[ho]]))&lt;0.01,1,2))</f>
        <v>0</v>
      </c>
      <c r="AI57" s="544">
        <f>IF(F53=Таблица3[[#This Row],[ф1]],0,IF(ABS((F53-Таблица3[[#This Row],[ф1]])/(F53+Таблица3[[#This Row],[ф1]]))&lt;0.01,1,2))</f>
        <v>0</v>
      </c>
      <c r="AJ57" s="544">
        <f>IF(G53=Таблица3[[#This Row],[ф2 *lnX]],0,IF(ABS((G53-Таблица3[[#This Row],[ф2 *lnX]])/(G53+Таблица3[[#This Row],[ф2 *lnX]]))&lt;0.01,1,2))</f>
        <v>0</v>
      </c>
      <c r="AK57" s="544">
        <f>IF(H53=Таблица3[[#This Row],[ф3 *X^(-2)]],0,IF(ABS((H53-Таблица3[[#This Row],[ф3 *X^(-2)]])/(H53+Таблица3[[#This Row],[ф3 *X^(-2)]]))&lt;0.01,1,2))</f>
        <v>0</v>
      </c>
      <c r="AL57" s="544">
        <f>IF(I53=Таблица3[[#This Row],[ф4 *X^(-1)]],0,IF(ABS((I53-Таблица3[[#This Row],[ф4 *X^(-1)]])/(I53+Таблица3[[#This Row],[ф4 *X^(-1)]]))&lt;0.01,1,2))</f>
        <v>0</v>
      </c>
      <c r="AM57" s="544">
        <f>IF(J53=Таблица3[[#This Row],[ф5 *X]],0,IF(ABS((J53-Таблица3[[#This Row],[ф5 *X]])/(J53+Таблица3[[#This Row],[ф5 *X]]))&lt;0.01,1,2))</f>
        <v>0</v>
      </c>
      <c r="AN57" s="544">
        <f>IF(K53=Таблица3[[#This Row],[ф6 *X^2]],0,IF(ABS((K53-Таблица3[[#This Row],[ф6 *X^2]])/(K53+Таблица3[[#This Row],[ф6 *X^2]]))&lt;0.01,1,2))</f>
        <v>0</v>
      </c>
      <c r="AO57" s="544">
        <f>IF(L53=Таблица3[[#This Row],[ф7 *Х^3]],0,IF(ABS((L53-Таблица3[[#This Row],[ф7 *Х^3]])/(L53+Таблица3[[#This Row],[ф7 *Х^3]]))&lt;0.01,1,2))</f>
        <v>0</v>
      </c>
    </row>
    <row r="58" spans="1:41" x14ac:dyDescent="0.35">
      <c r="A58" s="397" t="s">
        <v>122</v>
      </c>
      <c r="B58" s="397" t="s">
        <v>65</v>
      </c>
      <c r="C58" s="550">
        <v>298.14999999999998</v>
      </c>
      <c r="D58" s="550">
        <v>1500</v>
      </c>
      <c r="E58" s="551">
        <v>1.3764209999999999</v>
      </c>
      <c r="F58" s="551">
        <v>106.2873</v>
      </c>
      <c r="G58" s="551">
        <v>18.87481</v>
      </c>
      <c r="H58" s="551">
        <v>-3.9471889999999999E-4</v>
      </c>
      <c r="I58" s="551">
        <v>0.18061250000000001</v>
      </c>
      <c r="J58" s="551">
        <v>1.363551</v>
      </c>
      <c r="K58" s="551">
        <v>-3.5720109999999998</v>
      </c>
      <c r="L58" s="551">
        <v>4.8116719999999997</v>
      </c>
      <c r="M58" s="558">
        <f t="shared" si="4"/>
        <v>1</v>
      </c>
      <c r="O58" s="397" t="s">
        <v>120</v>
      </c>
      <c r="P58" s="397" t="s">
        <v>65</v>
      </c>
      <c r="Q58" s="550">
        <v>298.14999999999998</v>
      </c>
      <c r="R58" s="550">
        <v>1500</v>
      </c>
      <c r="S58" s="397">
        <v>1.593137</v>
      </c>
      <c r="T58" s="397">
        <v>82.10181</v>
      </c>
      <c r="U58" s="397">
        <v>12.889200000000001</v>
      </c>
      <c r="V58" s="397">
        <v>-2.7534359999999998E-4</v>
      </c>
      <c r="W58" s="397">
        <v>0.11292489999999999</v>
      </c>
      <c r="X58" s="397">
        <v>1.2045049999999999</v>
      </c>
      <c r="Y58" s="397">
        <v>-3.1549330000000002</v>
      </c>
      <c r="Z58" s="397">
        <v>4.2508710000000001</v>
      </c>
      <c r="AA58" s="518">
        <v>1</v>
      </c>
      <c r="AC58" s="397" t="str">
        <f t="shared" si="5"/>
        <v>Se5</v>
      </c>
      <c r="AD58" s="544" t="str">
        <f>Таблица3[[#This Row],[Вещество]]</f>
        <v>Se5</v>
      </c>
      <c r="AE58" s="544">
        <f>IF(B54=Таблица3[[#This Row],[Фаза]],0,2)</f>
        <v>0</v>
      </c>
      <c r="AF58" s="544">
        <f>IF(C54=Таблица3[[#This Row],[To]],0,IF(ABS((C54-Таблица3[[#This Row],[To]])/(C54+Таблица3[[#This Row],[To]]))&lt;0.01,1,2))</f>
        <v>0</v>
      </c>
      <c r="AG58" s="544">
        <f>IF(D54=Таблица3[[#This Row],[T]],0,IF(ABS((D54-Таблица3[[#This Row],[T]])/(D54+Таблица3[[#This Row],[T]]))&lt;0.01,1,2))</f>
        <v>0</v>
      </c>
      <c r="AH58" s="544">
        <f>IF(E54=Таблица3[[#This Row],[ho]],0,IF(ABS((E54-Таблица3[[#This Row],[ho]])/(E54+Таблица3[[#This Row],[ho]]))&lt;0.01,1,2))</f>
        <v>0</v>
      </c>
      <c r="AI58" s="544">
        <f>IF(F54=Таблица3[[#This Row],[ф1]],0,IF(ABS((F54-Таблица3[[#This Row],[ф1]])/(F54+Таблица3[[#This Row],[ф1]]))&lt;0.01,1,2))</f>
        <v>0</v>
      </c>
      <c r="AJ58" s="544">
        <f>IF(G54=Таблица3[[#This Row],[ф2 *lnX]],0,IF(ABS((G54-Таблица3[[#This Row],[ф2 *lnX]])/(G54+Таблица3[[#This Row],[ф2 *lnX]]))&lt;0.01,1,2))</f>
        <v>0</v>
      </c>
      <c r="AK58" s="544">
        <f>IF(H54=Таблица3[[#This Row],[ф3 *X^(-2)]],0,IF(ABS((H54-Таблица3[[#This Row],[ф3 *X^(-2)]])/(H54+Таблица3[[#This Row],[ф3 *X^(-2)]]))&lt;0.01,1,2))</f>
        <v>0</v>
      </c>
      <c r="AL58" s="544">
        <f>IF(I54=Таблица3[[#This Row],[ф4 *X^(-1)]],0,IF(ABS((I54-Таблица3[[#This Row],[ф4 *X^(-1)]])/(I54+Таблица3[[#This Row],[ф4 *X^(-1)]]))&lt;0.01,1,2))</f>
        <v>0</v>
      </c>
      <c r="AM58" s="544">
        <f>IF(J54=Таблица3[[#This Row],[ф5 *X]],0,IF(ABS((J54-Таблица3[[#This Row],[ф5 *X]])/(J54+Таблица3[[#This Row],[ф5 *X]]))&lt;0.01,1,2))</f>
        <v>0</v>
      </c>
      <c r="AN58" s="544">
        <f>IF(K54=Таблица3[[#This Row],[ф6 *X^2]],0,IF(ABS((K54-Таблица3[[#This Row],[ф6 *X^2]])/(K54+Таблица3[[#This Row],[ф6 *X^2]]))&lt;0.01,1,2))</f>
        <v>0</v>
      </c>
      <c r="AO58" s="544">
        <f>IF(L54=Таблица3[[#This Row],[ф7 *Х^3]],0,IF(ABS((L54-Таблица3[[#This Row],[ф7 *Х^3]])/(L54+Таблица3[[#This Row],[ф7 *Х^3]]))&lt;0.01,1,2))</f>
        <v>0</v>
      </c>
    </row>
    <row r="59" spans="1:41" x14ac:dyDescent="0.35">
      <c r="A59" s="397" t="s">
        <v>122</v>
      </c>
      <c r="B59" s="397" t="s">
        <v>65</v>
      </c>
      <c r="C59" s="550">
        <v>1500</v>
      </c>
      <c r="D59" s="550">
        <v>6000</v>
      </c>
      <c r="E59" s="551">
        <v>1.3764209999999999</v>
      </c>
      <c r="F59" s="551">
        <v>106.6301</v>
      </c>
      <c r="G59" s="551">
        <v>19.000219999999999</v>
      </c>
      <c r="H59" s="551">
        <v>-4.455711E-4</v>
      </c>
      <c r="I59" s="551">
        <v>0.18625030000000001</v>
      </c>
      <c r="J59" s="551">
        <v>1.466539E-3</v>
      </c>
      <c r="K59" s="551">
        <v>-9.910276E-4</v>
      </c>
      <c r="L59" s="551">
        <v>3.4599259999999998E-4</v>
      </c>
      <c r="M59" s="558">
        <f t="shared" si="4"/>
        <v>1</v>
      </c>
      <c r="O59" s="397" t="s">
        <v>120</v>
      </c>
      <c r="P59" s="397" t="s">
        <v>65</v>
      </c>
      <c r="Q59" s="550">
        <v>1500</v>
      </c>
      <c r="R59" s="550">
        <v>6000</v>
      </c>
      <c r="S59" s="397">
        <v>1.593137</v>
      </c>
      <c r="T59" s="397">
        <v>82.404619999999994</v>
      </c>
      <c r="U59" s="397">
        <v>12.999980000000001</v>
      </c>
      <c r="V59" s="397">
        <v>-3.1975439999999998E-4</v>
      </c>
      <c r="W59" s="397">
        <v>0.117897</v>
      </c>
      <c r="X59" s="397">
        <v>1.496076E-3</v>
      </c>
      <c r="Y59" s="397">
        <v>-1.046272E-3</v>
      </c>
      <c r="Z59" s="397">
        <v>3.8618760000000001E-4</v>
      </c>
      <c r="AA59" s="518">
        <v>1</v>
      </c>
      <c r="AC59" s="397" t="str">
        <f t="shared" si="5"/>
        <v>Se5</v>
      </c>
      <c r="AD59" s="544" t="str">
        <f>Таблица3[[#This Row],[Вещество]]</f>
        <v>Se5</v>
      </c>
      <c r="AE59" s="544">
        <f>IF(B55=Таблица3[[#This Row],[Фаза]],0,2)</f>
        <v>0</v>
      </c>
      <c r="AF59" s="544">
        <f>IF(C55=Таблица3[[#This Row],[To]],0,IF(ABS((C55-Таблица3[[#This Row],[To]])/(C55+Таблица3[[#This Row],[To]]))&lt;0.01,1,2))</f>
        <v>0</v>
      </c>
      <c r="AG59" s="544">
        <f>IF(D55=Таблица3[[#This Row],[T]],0,IF(ABS((D55-Таблица3[[#This Row],[T]])/(D55+Таблица3[[#This Row],[T]]))&lt;0.01,1,2))</f>
        <v>0</v>
      </c>
      <c r="AH59" s="544">
        <f>IF(E55=Таблица3[[#This Row],[ho]],0,IF(ABS((E55-Таблица3[[#This Row],[ho]])/(E55+Таблица3[[#This Row],[ho]]))&lt;0.01,1,2))</f>
        <v>0</v>
      </c>
      <c r="AI59" s="544">
        <f>IF(F55=Таблица3[[#This Row],[ф1]],0,IF(ABS((F55-Таблица3[[#This Row],[ф1]])/(F55+Таблица3[[#This Row],[ф1]]))&lt;0.01,1,2))</f>
        <v>0</v>
      </c>
      <c r="AJ59" s="544">
        <f>IF(G55=Таблица3[[#This Row],[ф2 *lnX]],0,IF(ABS((G55-Таблица3[[#This Row],[ф2 *lnX]])/(G55+Таблица3[[#This Row],[ф2 *lnX]]))&lt;0.01,1,2))</f>
        <v>0</v>
      </c>
      <c r="AK59" s="544">
        <f>IF(H55=Таблица3[[#This Row],[ф3 *X^(-2)]],0,IF(ABS((H55-Таблица3[[#This Row],[ф3 *X^(-2)]])/(H55+Таблица3[[#This Row],[ф3 *X^(-2)]]))&lt;0.01,1,2))</f>
        <v>0</v>
      </c>
      <c r="AL59" s="544">
        <f>IF(I55=Таблица3[[#This Row],[ф4 *X^(-1)]],0,IF(ABS((I55-Таблица3[[#This Row],[ф4 *X^(-1)]])/(I55+Таблица3[[#This Row],[ф4 *X^(-1)]]))&lt;0.01,1,2))</f>
        <v>0</v>
      </c>
      <c r="AM59" s="544">
        <f>IF(J55=Таблица3[[#This Row],[ф5 *X]],0,IF(ABS((J55-Таблица3[[#This Row],[ф5 *X]])/(J55+Таблица3[[#This Row],[ф5 *X]]))&lt;0.01,1,2))</f>
        <v>0</v>
      </c>
      <c r="AN59" s="544">
        <f>IF(K55=Таблица3[[#This Row],[ф6 *X^2]],0,IF(ABS((K55-Таблица3[[#This Row],[ф6 *X^2]])/(K55+Таблица3[[#This Row],[ф6 *X^2]]))&lt;0.01,1,2))</f>
        <v>0</v>
      </c>
      <c r="AO59" s="544">
        <f>IF(L55=Таблица3[[#This Row],[ф7 *Х^3]],0,IF(ABS((L55-Таблица3[[#This Row],[ф7 *Х^3]])/(L55+Таблица3[[#This Row],[ф7 *Х^3]]))&lt;0.01,1,2))</f>
        <v>0</v>
      </c>
    </row>
    <row r="60" spans="1:41" x14ac:dyDescent="0.35">
      <c r="A60" s="397" t="s">
        <v>123</v>
      </c>
      <c r="B60" s="397" t="s">
        <v>65</v>
      </c>
      <c r="C60" s="550">
        <v>298.14999999999998</v>
      </c>
      <c r="D60" s="550">
        <v>1500</v>
      </c>
      <c r="E60" s="551">
        <v>1.4184099999999999</v>
      </c>
      <c r="F60" s="551">
        <v>118.3836</v>
      </c>
      <c r="G60" s="551">
        <v>21.846499999999999</v>
      </c>
      <c r="H60" s="551">
        <v>-4.55196E-4</v>
      </c>
      <c r="I60" s="551">
        <v>0.2049985</v>
      </c>
      <c r="J60" s="551">
        <v>1.669807</v>
      </c>
      <c r="K60" s="551">
        <v>-4.3705270000000001</v>
      </c>
      <c r="L60" s="551">
        <v>5.8827660000000002</v>
      </c>
      <c r="M60" s="558">
        <f t="shared" si="4"/>
        <v>1</v>
      </c>
      <c r="O60" s="397" t="s">
        <v>121</v>
      </c>
      <c r="P60" s="397" t="s">
        <v>65</v>
      </c>
      <c r="Q60" s="550">
        <v>298.14999999999998</v>
      </c>
      <c r="R60" s="550">
        <v>1500</v>
      </c>
      <c r="S60" s="397">
        <v>1.310376</v>
      </c>
      <c r="T60" s="397">
        <v>92.080410000000001</v>
      </c>
      <c r="U60" s="397">
        <v>15.90657</v>
      </c>
      <c r="V60" s="397">
        <v>-3.1941130000000002E-4</v>
      </c>
      <c r="W60" s="397">
        <v>0.14695030000000001</v>
      </c>
      <c r="X60" s="397">
        <v>1.017784</v>
      </c>
      <c r="Y60" s="397">
        <v>-2.6653210000000001</v>
      </c>
      <c r="Z60" s="397">
        <v>3.5898659999999998</v>
      </c>
      <c r="AA60" s="518">
        <v>1</v>
      </c>
      <c r="AC60" s="397" t="str">
        <f t="shared" si="5"/>
        <v>Se6</v>
      </c>
      <c r="AD60" s="544" t="str">
        <f>Таблица3[[#This Row],[Вещество]]</f>
        <v>Se6</v>
      </c>
      <c r="AE60" s="544">
        <f>IF(B56=Таблица3[[#This Row],[Фаза]],0,2)</f>
        <v>0</v>
      </c>
      <c r="AF60" s="544">
        <f>IF(C56=Таблица3[[#This Row],[To]],0,IF(ABS((C56-Таблица3[[#This Row],[To]])/(C56+Таблица3[[#This Row],[To]]))&lt;0.01,1,2))</f>
        <v>0</v>
      </c>
      <c r="AG60" s="544">
        <f>IF(D56=Таблица3[[#This Row],[T]],0,IF(ABS((D56-Таблица3[[#This Row],[T]])/(D56+Таблица3[[#This Row],[T]]))&lt;0.01,1,2))</f>
        <v>0</v>
      </c>
      <c r="AH60" s="544">
        <f>IF(E56=Таблица3[[#This Row],[ho]],0,IF(ABS((E56-Таблица3[[#This Row],[ho]])/(E56+Таблица3[[#This Row],[ho]]))&lt;0.01,1,2))</f>
        <v>0</v>
      </c>
      <c r="AI60" s="544">
        <f>IF(F56=Таблица3[[#This Row],[ф1]],0,IF(ABS((F56-Таблица3[[#This Row],[ф1]])/(F56+Таблица3[[#This Row],[ф1]]))&lt;0.01,1,2))</f>
        <v>0</v>
      </c>
      <c r="AJ60" s="544">
        <f>IF(G56=Таблица3[[#This Row],[ф2 *lnX]],0,IF(ABS((G56-Таблица3[[#This Row],[ф2 *lnX]])/(G56+Таблица3[[#This Row],[ф2 *lnX]]))&lt;0.01,1,2))</f>
        <v>0</v>
      </c>
      <c r="AK60" s="544">
        <f>IF(H56=Таблица3[[#This Row],[ф3 *X^(-2)]],0,IF(ABS((H56-Таблица3[[#This Row],[ф3 *X^(-2)]])/(H56+Таблица3[[#This Row],[ф3 *X^(-2)]]))&lt;0.01,1,2))</f>
        <v>0</v>
      </c>
      <c r="AL60" s="544">
        <f>IF(I56=Таблица3[[#This Row],[ф4 *X^(-1)]],0,IF(ABS((I56-Таблица3[[#This Row],[ф4 *X^(-1)]])/(I56+Таблица3[[#This Row],[ф4 *X^(-1)]]))&lt;0.01,1,2))</f>
        <v>0</v>
      </c>
      <c r="AM60" s="544">
        <f>IF(J56=Таблица3[[#This Row],[ф5 *X]],0,IF(ABS((J56-Таблица3[[#This Row],[ф5 *X]])/(J56+Таблица3[[#This Row],[ф5 *X]]))&lt;0.01,1,2))</f>
        <v>0</v>
      </c>
      <c r="AN60" s="544">
        <f>IF(K56=Таблица3[[#This Row],[ф6 *X^2]],0,IF(ABS((K56-Таблица3[[#This Row],[ф6 *X^2]])/(K56+Таблица3[[#This Row],[ф6 *X^2]]))&lt;0.01,1,2))</f>
        <v>0</v>
      </c>
      <c r="AO60" s="544">
        <f>IF(L56=Таблица3[[#This Row],[ф7 *Х^3]],0,IF(ABS((L56-Таблица3[[#This Row],[ф7 *Х^3]])/(L56+Таблица3[[#This Row],[ф7 *Х^3]]))&lt;0.01,1,2))</f>
        <v>0</v>
      </c>
    </row>
    <row r="61" spans="1:41" ht="21.75" thickBot="1" x14ac:dyDescent="0.4">
      <c r="A61" s="397" t="s">
        <v>123</v>
      </c>
      <c r="B61" s="397" t="s">
        <v>65</v>
      </c>
      <c r="C61" s="550">
        <v>1500</v>
      </c>
      <c r="D61" s="550">
        <v>6000</v>
      </c>
      <c r="E61" s="551">
        <v>1.4184099999999999</v>
      </c>
      <c r="F61" s="551">
        <v>118.80549999999999</v>
      </c>
      <c r="G61" s="551">
        <v>22.001380000000001</v>
      </c>
      <c r="H61" s="551">
        <v>-5.2171050000000005E-4</v>
      </c>
      <c r="I61" s="551">
        <v>0.21207509999999999</v>
      </c>
      <c r="J61" s="551">
        <v>-2.09779E-3</v>
      </c>
      <c r="K61" s="551">
        <v>1.840469E-3</v>
      </c>
      <c r="L61" s="551">
        <v>-7.697003E-4</v>
      </c>
      <c r="M61" s="559">
        <f t="shared" si="4"/>
        <v>1</v>
      </c>
      <c r="O61" s="397" t="s">
        <v>121</v>
      </c>
      <c r="P61" s="397" t="s">
        <v>65</v>
      </c>
      <c r="Q61" s="550">
        <v>1500</v>
      </c>
      <c r="R61" s="550">
        <v>6000</v>
      </c>
      <c r="S61" s="397">
        <v>1.310376</v>
      </c>
      <c r="T61" s="397">
        <v>92.335269999999994</v>
      </c>
      <c r="U61" s="397">
        <v>15.99952</v>
      </c>
      <c r="V61" s="397">
        <v>-3.5474159999999999E-4</v>
      </c>
      <c r="W61" s="397">
        <v>0.151062</v>
      </c>
      <c r="X61" s="397">
        <v>3.4559289999999999E-3</v>
      </c>
      <c r="Y61" s="397">
        <v>-2.5853989999999999E-3</v>
      </c>
      <c r="Z61" s="397">
        <v>9.828650999999999E-4</v>
      </c>
      <c r="AA61" s="518">
        <v>1</v>
      </c>
      <c r="AC61" s="397" t="str">
        <f t="shared" si="5"/>
        <v>Se6</v>
      </c>
      <c r="AD61" s="544" t="str">
        <f>Таблица3[[#This Row],[Вещество]]</f>
        <v>Se6</v>
      </c>
      <c r="AE61" s="544">
        <f>IF(B57=Таблица3[[#This Row],[Фаза]],0,2)</f>
        <v>0</v>
      </c>
      <c r="AF61" s="544">
        <f>IF(C57=Таблица3[[#This Row],[To]],0,IF(ABS((C57-Таблица3[[#This Row],[To]])/(C57+Таблица3[[#This Row],[To]]))&lt;0.01,1,2))</f>
        <v>0</v>
      </c>
      <c r="AG61" s="544">
        <f>IF(D57=Таблица3[[#This Row],[T]],0,IF(ABS((D57-Таблица3[[#This Row],[T]])/(D57+Таблица3[[#This Row],[T]]))&lt;0.01,1,2))</f>
        <v>0</v>
      </c>
      <c r="AH61" s="544">
        <f>IF(E57=Таблица3[[#This Row],[ho]],0,IF(ABS((E57-Таблица3[[#This Row],[ho]])/(E57+Таблица3[[#This Row],[ho]]))&lt;0.01,1,2))</f>
        <v>0</v>
      </c>
      <c r="AI61" s="544">
        <f>IF(F57=Таблица3[[#This Row],[ф1]],0,IF(ABS((F57-Таблица3[[#This Row],[ф1]])/(F57+Таблица3[[#This Row],[ф1]]))&lt;0.01,1,2))</f>
        <v>0</v>
      </c>
      <c r="AJ61" s="544">
        <f>IF(G57=Таблица3[[#This Row],[ф2 *lnX]],0,IF(ABS((G57-Таблица3[[#This Row],[ф2 *lnX]])/(G57+Таблица3[[#This Row],[ф2 *lnX]]))&lt;0.01,1,2))</f>
        <v>0</v>
      </c>
      <c r="AK61" s="544">
        <f>IF(H57=Таблица3[[#This Row],[ф3 *X^(-2)]],0,IF(ABS((H57-Таблица3[[#This Row],[ф3 *X^(-2)]])/(H57+Таблица3[[#This Row],[ф3 *X^(-2)]]))&lt;0.01,1,2))</f>
        <v>0</v>
      </c>
      <c r="AL61" s="544">
        <f>IF(I57=Таблица3[[#This Row],[ф4 *X^(-1)]],0,IF(ABS((I57-Таблица3[[#This Row],[ф4 *X^(-1)]])/(I57+Таблица3[[#This Row],[ф4 *X^(-1)]]))&lt;0.01,1,2))</f>
        <v>0</v>
      </c>
      <c r="AM61" s="544">
        <f>IF(J57=Таблица3[[#This Row],[ф5 *X]],0,IF(ABS((J57-Таблица3[[#This Row],[ф5 *X]])/(J57+Таблица3[[#This Row],[ф5 *X]]))&lt;0.01,1,2))</f>
        <v>0</v>
      </c>
      <c r="AN61" s="544">
        <f>IF(K57=Таблица3[[#This Row],[ф6 *X^2]],0,IF(ABS((K57-Таблица3[[#This Row],[ф6 *X^2]])/(K57+Таблица3[[#This Row],[ф6 *X^2]]))&lt;0.01,1,2))</f>
        <v>0</v>
      </c>
      <c r="AO61" s="544">
        <f>IF(L57=Таблица3[[#This Row],[ф7 *Х^3]],0,IF(ABS((L57-Таблица3[[#This Row],[ф7 *Х^3]])/(L57+Таблица3[[#This Row],[ф7 *Х^3]]))&lt;0.01,1,2))</f>
        <v>0</v>
      </c>
    </row>
    <row r="62" spans="1:41" x14ac:dyDescent="0.35">
      <c r="O62" s="397" t="s">
        <v>122</v>
      </c>
      <c r="P62" s="397" t="s">
        <v>65</v>
      </c>
      <c r="Q62" s="550">
        <v>298.14999999999998</v>
      </c>
      <c r="R62" s="550">
        <v>1500</v>
      </c>
      <c r="S62" s="397">
        <v>1.3764209999999999</v>
      </c>
      <c r="T62" s="397">
        <v>106.2873</v>
      </c>
      <c r="U62" s="397">
        <v>18.87481</v>
      </c>
      <c r="V62" s="397">
        <v>-3.9471889999999999E-4</v>
      </c>
      <c r="W62" s="397">
        <v>0.18061250000000001</v>
      </c>
      <c r="X62" s="397">
        <v>1.363551</v>
      </c>
      <c r="Y62" s="397">
        <v>-3.5720109999999998</v>
      </c>
      <c r="Z62" s="397">
        <v>4.8116719999999997</v>
      </c>
      <c r="AA62" s="518">
        <v>1</v>
      </c>
      <c r="AC62" s="397" t="str">
        <f t="shared" si="5"/>
        <v>Se7</v>
      </c>
      <c r="AD62" s="544" t="str">
        <f>Таблица3[[#This Row],[Вещество]]</f>
        <v>Se7</v>
      </c>
      <c r="AE62" s="544">
        <f>IF(B58=Таблица3[[#This Row],[Фаза]],0,2)</f>
        <v>0</v>
      </c>
      <c r="AF62" s="544">
        <f>IF(C58=Таблица3[[#This Row],[To]],0,IF(ABS((C58-Таблица3[[#This Row],[To]])/(C58+Таблица3[[#This Row],[To]]))&lt;0.01,1,2))</f>
        <v>0</v>
      </c>
      <c r="AG62" s="544">
        <f>IF(D58=Таблица3[[#This Row],[T]],0,IF(ABS((D58-Таблица3[[#This Row],[T]])/(D58+Таблица3[[#This Row],[T]]))&lt;0.01,1,2))</f>
        <v>0</v>
      </c>
      <c r="AH62" s="544">
        <f>IF(E58=Таблица3[[#This Row],[ho]],0,IF(ABS((E58-Таблица3[[#This Row],[ho]])/(E58+Таблица3[[#This Row],[ho]]))&lt;0.01,1,2))</f>
        <v>0</v>
      </c>
      <c r="AI62" s="544">
        <f>IF(F58=Таблица3[[#This Row],[ф1]],0,IF(ABS((F58-Таблица3[[#This Row],[ф1]])/(F58+Таблица3[[#This Row],[ф1]]))&lt;0.01,1,2))</f>
        <v>0</v>
      </c>
      <c r="AJ62" s="544">
        <f>IF(G58=Таблица3[[#This Row],[ф2 *lnX]],0,IF(ABS((G58-Таблица3[[#This Row],[ф2 *lnX]])/(G58+Таблица3[[#This Row],[ф2 *lnX]]))&lt;0.01,1,2))</f>
        <v>0</v>
      </c>
      <c r="AK62" s="544">
        <f>IF(H58=Таблица3[[#This Row],[ф3 *X^(-2)]],0,IF(ABS((H58-Таблица3[[#This Row],[ф3 *X^(-2)]])/(H58+Таблица3[[#This Row],[ф3 *X^(-2)]]))&lt;0.01,1,2))</f>
        <v>0</v>
      </c>
      <c r="AL62" s="544">
        <f>IF(I58=Таблица3[[#This Row],[ф4 *X^(-1)]],0,IF(ABS((I58-Таблица3[[#This Row],[ф4 *X^(-1)]])/(I58+Таблица3[[#This Row],[ф4 *X^(-1)]]))&lt;0.01,1,2))</f>
        <v>0</v>
      </c>
      <c r="AM62" s="544">
        <f>IF(J58=Таблица3[[#This Row],[ф5 *X]],0,IF(ABS((J58-Таблица3[[#This Row],[ф5 *X]])/(J58+Таблица3[[#This Row],[ф5 *X]]))&lt;0.01,1,2))</f>
        <v>0</v>
      </c>
      <c r="AN62" s="544">
        <f>IF(K58=Таблица3[[#This Row],[ф6 *X^2]],0,IF(ABS((K58-Таблица3[[#This Row],[ф6 *X^2]])/(K58+Таблица3[[#This Row],[ф6 *X^2]]))&lt;0.01,1,2))</f>
        <v>0</v>
      </c>
      <c r="AO62" s="544">
        <f>IF(L58=Таблица3[[#This Row],[ф7 *Х^3]],0,IF(ABS((L58-Таблица3[[#This Row],[ф7 *Х^3]])/(L58+Таблица3[[#This Row],[ф7 *Х^3]]))&lt;0.01,1,2))</f>
        <v>0</v>
      </c>
    </row>
    <row r="63" spans="1:41" x14ac:dyDescent="0.35">
      <c r="O63" s="397" t="s">
        <v>122</v>
      </c>
      <c r="P63" s="397" t="s">
        <v>65</v>
      </c>
      <c r="Q63" s="550">
        <v>1500</v>
      </c>
      <c r="R63" s="550">
        <v>6000</v>
      </c>
      <c r="S63" s="397">
        <v>1.3764209999999999</v>
      </c>
      <c r="T63" s="397">
        <v>106.6301</v>
      </c>
      <c r="U63" s="397">
        <v>19.000219999999999</v>
      </c>
      <c r="V63" s="397">
        <v>-4.455711E-4</v>
      </c>
      <c r="W63" s="397">
        <v>0.18625030000000001</v>
      </c>
      <c r="X63" s="397">
        <v>1.466539E-3</v>
      </c>
      <c r="Y63" s="397">
        <v>-9.910276E-4</v>
      </c>
      <c r="Z63" s="397">
        <v>3.4599259999999998E-4</v>
      </c>
      <c r="AA63" s="518">
        <v>1</v>
      </c>
      <c r="AC63" s="397" t="str">
        <f t="shared" si="5"/>
        <v>Se7</v>
      </c>
      <c r="AD63" s="544" t="str">
        <f>Таблица3[[#This Row],[Вещество]]</f>
        <v>Se7</v>
      </c>
      <c r="AE63" s="544">
        <f>IF(B59=Таблица3[[#This Row],[Фаза]],0,2)</f>
        <v>0</v>
      </c>
      <c r="AF63" s="544">
        <f>IF(C59=Таблица3[[#This Row],[To]],0,IF(ABS((C59-Таблица3[[#This Row],[To]])/(C59+Таблица3[[#This Row],[To]]))&lt;0.01,1,2))</f>
        <v>0</v>
      </c>
      <c r="AG63" s="544">
        <f>IF(D59=Таблица3[[#This Row],[T]],0,IF(ABS((D59-Таблица3[[#This Row],[T]])/(D59+Таблица3[[#This Row],[T]]))&lt;0.01,1,2))</f>
        <v>0</v>
      </c>
      <c r="AH63" s="544">
        <f>IF(E59=Таблица3[[#This Row],[ho]],0,IF(ABS((E59-Таблица3[[#This Row],[ho]])/(E59+Таблица3[[#This Row],[ho]]))&lt;0.01,1,2))</f>
        <v>0</v>
      </c>
      <c r="AI63" s="544">
        <f>IF(F59=Таблица3[[#This Row],[ф1]],0,IF(ABS((F59-Таблица3[[#This Row],[ф1]])/(F59+Таблица3[[#This Row],[ф1]]))&lt;0.01,1,2))</f>
        <v>0</v>
      </c>
      <c r="AJ63" s="544">
        <f>IF(G59=Таблица3[[#This Row],[ф2 *lnX]],0,IF(ABS((G59-Таблица3[[#This Row],[ф2 *lnX]])/(G59+Таблица3[[#This Row],[ф2 *lnX]]))&lt;0.01,1,2))</f>
        <v>0</v>
      </c>
      <c r="AK63" s="544">
        <f>IF(H59=Таблица3[[#This Row],[ф3 *X^(-2)]],0,IF(ABS((H59-Таблица3[[#This Row],[ф3 *X^(-2)]])/(H59+Таблица3[[#This Row],[ф3 *X^(-2)]]))&lt;0.01,1,2))</f>
        <v>0</v>
      </c>
      <c r="AL63" s="544">
        <f>IF(I59=Таблица3[[#This Row],[ф4 *X^(-1)]],0,IF(ABS((I59-Таблица3[[#This Row],[ф4 *X^(-1)]])/(I59+Таблица3[[#This Row],[ф4 *X^(-1)]]))&lt;0.01,1,2))</f>
        <v>0</v>
      </c>
      <c r="AM63" s="544">
        <f>IF(J59=Таблица3[[#This Row],[ф5 *X]],0,IF(ABS((J59-Таблица3[[#This Row],[ф5 *X]])/(J59+Таблица3[[#This Row],[ф5 *X]]))&lt;0.01,1,2))</f>
        <v>0</v>
      </c>
      <c r="AN63" s="544">
        <f>IF(K59=Таблица3[[#This Row],[ф6 *X^2]],0,IF(ABS((K59-Таблица3[[#This Row],[ф6 *X^2]])/(K59+Таблица3[[#This Row],[ф6 *X^2]]))&lt;0.01,1,2))</f>
        <v>0</v>
      </c>
      <c r="AO63" s="544">
        <f>IF(L59=Таблица3[[#This Row],[ф7 *Х^3]],0,IF(ABS((L59-Таблица3[[#This Row],[ф7 *Х^3]])/(L59+Таблица3[[#This Row],[ф7 *Х^3]]))&lt;0.01,1,2))</f>
        <v>0</v>
      </c>
    </row>
    <row r="64" spans="1:41" x14ac:dyDescent="0.35">
      <c r="O64" s="397" t="s">
        <v>123</v>
      </c>
      <c r="P64" s="397" t="s">
        <v>65</v>
      </c>
      <c r="Q64" s="550">
        <v>298.14999999999998</v>
      </c>
      <c r="R64" s="550">
        <v>1500</v>
      </c>
      <c r="S64" s="397">
        <v>1.4184099999999999</v>
      </c>
      <c r="T64" s="397">
        <v>118.3836</v>
      </c>
      <c r="U64" s="397">
        <v>21.846499999999999</v>
      </c>
      <c r="V64" s="397">
        <v>-4.55196E-4</v>
      </c>
      <c r="W64" s="397">
        <v>0.2049985</v>
      </c>
      <c r="X64" s="397">
        <v>1.669807</v>
      </c>
      <c r="Y64" s="397">
        <v>-4.3705270000000001</v>
      </c>
      <c r="Z64" s="397">
        <v>5.8827660000000002</v>
      </c>
      <c r="AA64" s="518">
        <v>1</v>
      </c>
      <c r="AC64" s="397" t="str">
        <f t="shared" si="5"/>
        <v>Se8</v>
      </c>
      <c r="AD64" s="544" t="str">
        <f>Таблица3[[#This Row],[Вещество]]</f>
        <v>Se8</v>
      </c>
      <c r="AE64" s="544">
        <f>IF(B60=Таблица3[[#This Row],[Фаза]],0,2)</f>
        <v>0</v>
      </c>
      <c r="AF64" s="544">
        <f>IF(C60=Таблица3[[#This Row],[To]],0,IF(ABS((C60-Таблица3[[#This Row],[To]])/(C60+Таблица3[[#This Row],[To]]))&lt;0.01,1,2))</f>
        <v>0</v>
      </c>
      <c r="AG64" s="544">
        <f>IF(D60=Таблица3[[#This Row],[T]],0,IF(ABS((D60-Таблица3[[#This Row],[T]])/(D60+Таблица3[[#This Row],[T]]))&lt;0.01,1,2))</f>
        <v>0</v>
      </c>
      <c r="AH64" s="544">
        <f>IF(E60=Таблица3[[#This Row],[ho]],0,IF(ABS((E60-Таблица3[[#This Row],[ho]])/(E60+Таблица3[[#This Row],[ho]]))&lt;0.01,1,2))</f>
        <v>0</v>
      </c>
      <c r="AI64" s="544">
        <f>IF(F60=Таблица3[[#This Row],[ф1]],0,IF(ABS((F60-Таблица3[[#This Row],[ф1]])/(F60+Таблица3[[#This Row],[ф1]]))&lt;0.01,1,2))</f>
        <v>0</v>
      </c>
      <c r="AJ64" s="544">
        <f>IF(G60=Таблица3[[#This Row],[ф2 *lnX]],0,IF(ABS((G60-Таблица3[[#This Row],[ф2 *lnX]])/(G60+Таблица3[[#This Row],[ф2 *lnX]]))&lt;0.01,1,2))</f>
        <v>0</v>
      </c>
      <c r="AK64" s="544">
        <f>IF(H60=Таблица3[[#This Row],[ф3 *X^(-2)]],0,IF(ABS((H60-Таблица3[[#This Row],[ф3 *X^(-2)]])/(H60+Таблица3[[#This Row],[ф3 *X^(-2)]]))&lt;0.01,1,2))</f>
        <v>0</v>
      </c>
      <c r="AL64" s="544">
        <f>IF(I60=Таблица3[[#This Row],[ф4 *X^(-1)]],0,IF(ABS((I60-Таблица3[[#This Row],[ф4 *X^(-1)]])/(I60+Таблица3[[#This Row],[ф4 *X^(-1)]]))&lt;0.01,1,2))</f>
        <v>0</v>
      </c>
      <c r="AM64" s="544">
        <f>IF(J60=Таблица3[[#This Row],[ф5 *X]],0,IF(ABS((J60-Таблица3[[#This Row],[ф5 *X]])/(J60+Таблица3[[#This Row],[ф5 *X]]))&lt;0.01,1,2))</f>
        <v>0</v>
      </c>
      <c r="AN64" s="544">
        <f>IF(K60=Таблица3[[#This Row],[ф6 *X^2]],0,IF(ABS((K60-Таблица3[[#This Row],[ф6 *X^2]])/(K60+Таблица3[[#This Row],[ф6 *X^2]]))&lt;0.01,1,2))</f>
        <v>0</v>
      </c>
      <c r="AO64" s="544">
        <f>IF(L60=Таблица3[[#This Row],[ф7 *Х^3]],0,IF(ABS((L60-Таблица3[[#This Row],[ф7 *Х^3]])/(L60+Таблица3[[#This Row],[ф7 *Х^3]]))&lt;0.01,1,2))</f>
        <v>0</v>
      </c>
    </row>
    <row r="65" spans="4:41" x14ac:dyDescent="0.35">
      <c r="O65" s="397" t="s">
        <v>123</v>
      </c>
      <c r="P65" s="397" t="s">
        <v>65</v>
      </c>
      <c r="Q65" s="550">
        <v>1500</v>
      </c>
      <c r="R65" s="550">
        <v>6000</v>
      </c>
      <c r="S65" s="397">
        <v>1.4184099999999999</v>
      </c>
      <c r="T65" s="397">
        <v>118.80549999999999</v>
      </c>
      <c r="U65" s="397">
        <v>22.001380000000001</v>
      </c>
      <c r="V65" s="397">
        <v>-5.2171050000000005E-4</v>
      </c>
      <c r="W65" s="397">
        <v>0.21207509999999999</v>
      </c>
      <c r="X65" s="397">
        <v>-2.09779E-3</v>
      </c>
      <c r="Y65" s="397">
        <v>1.840469E-3</v>
      </c>
      <c r="Z65" s="397">
        <v>-7.697003E-4</v>
      </c>
      <c r="AA65" s="518">
        <v>1</v>
      </c>
      <c r="AC65" s="397" t="str">
        <f>A61</f>
        <v>Se8</v>
      </c>
      <c r="AD65" s="544" t="str">
        <f>Таблица3[[#This Row],[Вещество]]</f>
        <v>Se8</v>
      </c>
      <c r="AE65" s="544">
        <f>IF(B61=Таблица3[[#This Row],[Фаза]],0,2)</f>
        <v>0</v>
      </c>
      <c r="AF65" s="544">
        <f>IF(C61=Таблица3[[#This Row],[To]],0,IF(ABS((C61-Таблица3[[#This Row],[To]])/(C61+Таблица3[[#This Row],[To]]))&lt;0.01,1,2))</f>
        <v>0</v>
      </c>
      <c r="AG65" s="544">
        <f>IF(D61=Таблица3[[#This Row],[T]],0,IF(ABS((D61-Таблица3[[#This Row],[T]])/(D61+Таблица3[[#This Row],[T]]))&lt;0.01,1,2))</f>
        <v>0</v>
      </c>
      <c r="AH65" s="544">
        <f>IF(E61=Таблица3[[#This Row],[ho]],0,IF(ABS((E61-Таблица3[[#This Row],[ho]])/(E61+Таблица3[[#This Row],[ho]]))&lt;0.01,1,2))</f>
        <v>0</v>
      </c>
      <c r="AI65" s="544">
        <f>IF(F61=Таблица3[[#This Row],[ф1]],0,IF(ABS((F61-Таблица3[[#This Row],[ф1]])/(F61+Таблица3[[#This Row],[ф1]]))&lt;0.01,1,2))</f>
        <v>0</v>
      </c>
      <c r="AJ65" s="544">
        <f>IF(G61=Таблица3[[#This Row],[ф2 *lnX]],0,IF(ABS((G61-Таблица3[[#This Row],[ф2 *lnX]])/(G61+Таблица3[[#This Row],[ф2 *lnX]]))&lt;0.01,1,2))</f>
        <v>0</v>
      </c>
      <c r="AK65" s="544">
        <f>IF(H61=Таблица3[[#This Row],[ф3 *X^(-2)]],0,IF(ABS((H61-Таблица3[[#This Row],[ф3 *X^(-2)]])/(H61+Таблица3[[#This Row],[ф3 *X^(-2)]]))&lt;0.01,1,2))</f>
        <v>0</v>
      </c>
      <c r="AL65" s="544">
        <f>IF(I61=Таблица3[[#This Row],[ф4 *X^(-1)]],0,IF(ABS((I61-Таблица3[[#This Row],[ф4 *X^(-1)]])/(I61+Таблица3[[#This Row],[ф4 *X^(-1)]]))&lt;0.01,1,2))</f>
        <v>0</v>
      </c>
      <c r="AM65" s="544">
        <f>IF(J61=Таблица3[[#This Row],[ф5 *X]],0,IF(ABS((J61-Таблица3[[#This Row],[ф5 *X]])/(J61+Таблица3[[#This Row],[ф5 *X]]))&lt;0.01,1,2))</f>
        <v>0</v>
      </c>
      <c r="AN65" s="544">
        <f>IF(K61=Таблица3[[#This Row],[ф6 *X^2]],0,IF(ABS((K61-Таблица3[[#This Row],[ф6 *X^2]])/(K61+Таблица3[[#This Row],[ф6 *X^2]]))&lt;0.01,1,2))</f>
        <v>0</v>
      </c>
      <c r="AO65" s="544">
        <f>IF(L61=Таблица3[[#This Row],[ф7 *Х^3]],0,IF(ABS((L61-Таблица3[[#This Row],[ф7 *Х^3]])/(L61+Таблица3[[#This Row],[ф7 *Х^3]]))&lt;0.01,1,2))</f>
        <v>0</v>
      </c>
    </row>
    <row r="66" spans="4:41" x14ac:dyDescent="0.35">
      <c r="D66" s="549"/>
    </row>
  </sheetData>
  <mergeCells count="2">
    <mergeCell ref="A1:L1"/>
    <mergeCell ref="O1:Z1"/>
  </mergeCells>
  <phoneticPr fontId="25" type="noConversion"/>
  <conditionalFormatting sqref="AD44:AO1048576 AD43 AD12:AO42 AD3:AO3 AE10:AO10 AE8:AO8 AD4:AD11 AE3:AO6">
    <cfRule type="expression" dxfId="11" priority="4">
      <formula>AD3=2</formula>
    </cfRule>
    <cfRule type="expression" dxfId="10" priority="5">
      <formula>AD3=1</formula>
    </cfRule>
  </conditionalFormatting>
  <conditionalFormatting sqref="AA1:AA71">
    <cfRule type="expression" dxfId="9" priority="3">
      <formula>AA1=1</formula>
    </cfRule>
  </conditionalFormatting>
  <conditionalFormatting sqref="M1:M1048576">
    <cfRule type="expression" dxfId="8" priority="1">
      <formula>M1=1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A748-DEDF-4CF7-AA41-69617F525750}">
  <sheetPr codeName="Лист12">
    <tabColor rgb="FFFF0000"/>
  </sheetPr>
  <dimension ref="A1:S279"/>
  <sheetViews>
    <sheetView zoomScaleNormal="100" workbookViewId="0">
      <pane xSplit="3" ySplit="1" topLeftCell="D18" activePane="bottomRight" state="frozen"/>
      <selection pane="topRight" activeCell="D1" sqref="D1"/>
      <selection pane="bottomLeft" activeCell="A2" sqref="A2"/>
      <selection pane="bottomRight" activeCell="C23" sqref="C23:N23"/>
    </sheetView>
  </sheetViews>
  <sheetFormatPr defaultRowHeight="23.25" outlineLevelCol="1" x14ac:dyDescent="0.35"/>
  <cols>
    <col min="1" max="1" width="10.26953125" style="202" bestFit="1" customWidth="1"/>
    <col min="2" max="2" width="1.6328125" style="202" customWidth="1"/>
    <col min="3" max="3" width="11.7265625" style="139" customWidth="1"/>
    <col min="4" max="4" width="2.90625" style="139" customWidth="1"/>
    <col min="5" max="6" width="8.81640625" style="139" customWidth="1"/>
    <col min="7" max="9" width="11.81640625" style="139" customWidth="1" outlineLevel="1"/>
    <col min="10" max="10" width="11.36328125" style="139" customWidth="1" outlineLevel="1"/>
    <col min="11" max="14" width="11.81640625" style="139" customWidth="1" outlineLevel="1"/>
    <col min="15" max="15" width="3" style="316" customWidth="1"/>
    <col min="16" max="16" width="6.453125" style="139" customWidth="1"/>
    <col min="17" max="17" width="10.1796875" style="139" bestFit="1" customWidth="1"/>
    <col min="18" max="19" width="10.54296875" style="139" bestFit="1" customWidth="1"/>
    <col min="20" max="21" width="11.1796875" style="139" bestFit="1" customWidth="1"/>
    <col min="22" max="22" width="10.54296875" style="139" bestFit="1" customWidth="1"/>
    <col min="23" max="23" width="11.1796875" style="139" bestFit="1" customWidth="1"/>
    <col min="24" max="26" width="13.1796875" style="139" customWidth="1"/>
    <col min="27" max="27" width="13.453125" style="139" customWidth="1"/>
    <col min="28" max="28" width="12.7265625" style="139" customWidth="1"/>
    <col min="29" max="29" width="13.90625" style="139" customWidth="1"/>
    <col min="30" max="30" width="13.1796875" style="139" customWidth="1"/>
    <col min="31" max="31" width="13.90625" style="139" customWidth="1"/>
    <col min="32" max="16384" width="8.7265625" style="139"/>
  </cols>
  <sheetData>
    <row r="1" spans="1:16" ht="22.5" thickTop="1" thickBot="1" x14ac:dyDescent="0.4">
      <c r="A1"/>
      <c r="B1" s="201"/>
      <c r="C1" s="437" t="s">
        <v>134</v>
      </c>
      <c r="D1" s="437" t="s">
        <v>125</v>
      </c>
      <c r="E1" s="437" t="s">
        <v>84</v>
      </c>
      <c r="F1" s="437" t="s">
        <v>86</v>
      </c>
      <c r="G1" s="438" t="s">
        <v>41</v>
      </c>
      <c r="H1" s="438" t="s">
        <v>42</v>
      </c>
      <c r="I1" s="438" t="s">
        <v>43</v>
      </c>
      <c r="J1" s="438" t="s">
        <v>44</v>
      </c>
      <c r="K1" s="438" t="s">
        <v>45</v>
      </c>
      <c r="L1" s="438" t="s">
        <v>46</v>
      </c>
      <c r="M1" s="438" t="s">
        <v>47</v>
      </c>
      <c r="N1" s="438" t="s">
        <v>48</v>
      </c>
      <c r="O1" s="439">
        <f>COUNTA(O2:O281)</f>
        <v>60</v>
      </c>
      <c r="P1" s="392" t="s">
        <v>135</v>
      </c>
    </row>
    <row r="2" spans="1:16" ht="24" thickTop="1" x14ac:dyDescent="0.35">
      <c r="A2"/>
      <c r="B2" s="201"/>
      <c r="C2" s="402" t="s">
        <v>70</v>
      </c>
      <c r="D2" s="403" t="s">
        <v>69</v>
      </c>
      <c r="E2" s="404">
        <v>298.14999999999998</v>
      </c>
      <c r="F2" s="405">
        <v>494.3</v>
      </c>
      <c r="G2" s="406">
        <v>-6.6260929999999996E-2</v>
      </c>
      <c r="H2" s="406">
        <v>10.212899999999999</v>
      </c>
      <c r="I2" s="406">
        <v>2.3373539999999999</v>
      </c>
      <c r="J2" s="406">
        <v>0</v>
      </c>
      <c r="K2" s="406">
        <v>1.4182739999999999E-2</v>
      </c>
      <c r="L2" s="406">
        <v>13.63707</v>
      </c>
      <c r="M2" s="406">
        <v>-25.78952</v>
      </c>
      <c r="N2" s="406">
        <v>0</v>
      </c>
      <c r="O2" s="499">
        <v>1</v>
      </c>
      <c r="P2" s="496"/>
    </row>
    <row r="3" spans="1:16" x14ac:dyDescent="0.35">
      <c r="A3"/>
      <c r="B3" s="201"/>
      <c r="C3" s="407" t="s">
        <v>70</v>
      </c>
      <c r="D3" s="372" t="s">
        <v>69</v>
      </c>
      <c r="E3" s="311">
        <v>494.3</v>
      </c>
      <c r="F3" s="312">
        <v>1000</v>
      </c>
      <c r="G3" s="408">
        <v>-6.6260929999999996E-2</v>
      </c>
      <c r="H3" s="408">
        <v>23.305810000000001</v>
      </c>
      <c r="I3" s="408">
        <v>6.3044700000000002</v>
      </c>
      <c r="J3" s="408">
        <v>0</v>
      </c>
      <c r="K3" s="408">
        <v>5.1929419999999997E-2</v>
      </c>
      <c r="L3" s="408">
        <v>-29.829440000000002</v>
      </c>
      <c r="M3" s="408">
        <v>65.022059999999996</v>
      </c>
      <c r="N3" s="408">
        <v>0</v>
      </c>
      <c r="O3" s="500">
        <v>1</v>
      </c>
      <c r="P3" s="496"/>
    </row>
    <row r="4" spans="1:16" ht="24" thickBot="1" x14ac:dyDescent="0.4">
      <c r="A4"/>
      <c r="B4" s="201"/>
      <c r="C4" s="407" t="s">
        <v>70</v>
      </c>
      <c r="D4" s="372" t="s">
        <v>69</v>
      </c>
      <c r="E4" s="311">
        <v>1000</v>
      </c>
      <c r="F4" s="312">
        <v>1800</v>
      </c>
      <c r="G4" s="408">
        <v>-6.6260929999999996E-2</v>
      </c>
      <c r="H4" s="408">
        <v>16.601150000000001</v>
      </c>
      <c r="I4" s="408">
        <v>4.2397850000000004</v>
      </c>
      <c r="J4" s="408">
        <v>0</v>
      </c>
      <c r="K4" s="408">
        <v>1.3699609999999999E-2</v>
      </c>
      <c r="L4" s="408">
        <v>0</v>
      </c>
      <c r="M4" s="408">
        <v>0</v>
      </c>
      <c r="N4" s="408">
        <v>0</v>
      </c>
      <c r="O4" s="501">
        <v>1</v>
      </c>
      <c r="P4" s="496"/>
    </row>
    <row r="5" spans="1:16" x14ac:dyDescent="0.35">
      <c r="A5"/>
      <c r="B5" s="201"/>
      <c r="C5" s="450" t="s">
        <v>70</v>
      </c>
      <c r="D5" s="453" t="s">
        <v>65</v>
      </c>
      <c r="E5" s="413">
        <v>298.14999999999998</v>
      </c>
      <c r="F5" s="414">
        <v>1500</v>
      </c>
      <c r="G5" s="415">
        <v>2.783115</v>
      </c>
      <c r="H5" s="415">
        <v>25.378499999999999</v>
      </c>
      <c r="I5" s="415">
        <v>1.797085</v>
      </c>
      <c r="J5" s="415">
        <v>1.090393E-4</v>
      </c>
      <c r="K5" s="415">
        <v>-2.1003919999999999E-2</v>
      </c>
      <c r="L5" s="415">
        <v>9.1604179999999999</v>
      </c>
      <c r="M5" s="415">
        <v>-16.28604</v>
      </c>
      <c r="N5" s="446">
        <v>12.30222</v>
      </c>
      <c r="O5" s="502">
        <v>1</v>
      </c>
      <c r="P5" s="465"/>
    </row>
    <row r="6" spans="1:16" ht="24" thickBot="1" x14ac:dyDescent="0.4">
      <c r="A6"/>
      <c r="B6" s="201"/>
      <c r="C6" s="451" t="s">
        <v>70</v>
      </c>
      <c r="D6" s="407" t="s">
        <v>65</v>
      </c>
      <c r="E6" s="311">
        <v>1500</v>
      </c>
      <c r="F6" s="312">
        <v>10000</v>
      </c>
      <c r="G6" s="373">
        <v>2.783115</v>
      </c>
      <c r="H6" s="373">
        <v>27.619869999999999</v>
      </c>
      <c r="I6" s="373">
        <v>2.4307400000000001</v>
      </c>
      <c r="J6" s="373">
        <v>2.4488410000000002E-3</v>
      </c>
      <c r="K6" s="373">
        <v>-5.4265309999999997E-2</v>
      </c>
      <c r="L6" s="373">
        <v>0.91438399999999997</v>
      </c>
      <c r="M6" s="373">
        <v>-0.4321508</v>
      </c>
      <c r="N6" s="447">
        <v>8.956944E-2</v>
      </c>
      <c r="O6" s="498">
        <v>1</v>
      </c>
      <c r="P6" s="310"/>
    </row>
    <row r="7" spans="1:16" ht="24" thickBot="1" x14ac:dyDescent="0.4">
      <c r="A7"/>
      <c r="B7" s="201"/>
      <c r="C7" s="452" t="s">
        <v>117</v>
      </c>
      <c r="D7" s="454" t="s">
        <v>65</v>
      </c>
      <c r="E7" s="455">
        <v>298.14999999999998</v>
      </c>
      <c r="F7" s="456">
        <v>1500</v>
      </c>
      <c r="G7" s="422">
        <v>1.6083639999999999</v>
      </c>
      <c r="H7" s="422">
        <v>46.654719999999998</v>
      </c>
      <c r="I7" s="422">
        <v>6.370749</v>
      </c>
      <c r="J7" s="422">
        <v>-1.7220000000000001E-4</v>
      </c>
      <c r="K7" s="422">
        <v>6.049562E-2</v>
      </c>
      <c r="L7" s="422">
        <v>-20.810030000000001</v>
      </c>
      <c r="M7" s="422">
        <v>56.994140000000002</v>
      </c>
      <c r="N7" s="449">
        <v>-73.985680000000002</v>
      </c>
      <c r="O7" s="503">
        <v>1</v>
      </c>
      <c r="P7" s="465"/>
    </row>
    <row r="8" spans="1:16" ht="24" thickBot="1" x14ac:dyDescent="0.4">
      <c r="A8"/>
      <c r="B8" s="201"/>
      <c r="C8" s="411" t="s">
        <v>117</v>
      </c>
      <c r="D8" s="378" t="s">
        <v>65</v>
      </c>
      <c r="E8" s="313">
        <v>1500</v>
      </c>
      <c r="F8" s="314">
        <v>6000</v>
      </c>
      <c r="G8" s="379">
        <v>1.6083639999999999</v>
      </c>
      <c r="H8" s="379">
        <v>41.393599999999999</v>
      </c>
      <c r="I8" s="379">
        <v>4.6638549999999999</v>
      </c>
      <c r="J8" s="379">
        <v>-1.334432E-3</v>
      </c>
      <c r="K8" s="379">
        <v>3.6780319999999998E-2</v>
      </c>
      <c r="L8" s="379">
        <v>0.98545360000000004</v>
      </c>
      <c r="M8" s="379">
        <v>-0.13838919999999999</v>
      </c>
      <c r="N8" s="379">
        <v>-0.2247374</v>
      </c>
      <c r="O8" s="504">
        <v>1</v>
      </c>
      <c r="P8" s="370"/>
    </row>
    <row r="9" spans="1:16" x14ac:dyDescent="0.35">
      <c r="A9"/>
      <c r="B9" s="201"/>
      <c r="C9" s="416" t="s">
        <v>118</v>
      </c>
      <c r="D9" s="412" t="s">
        <v>65</v>
      </c>
      <c r="E9" s="413">
        <v>298.14999999999998</v>
      </c>
      <c r="F9" s="414">
        <v>1500</v>
      </c>
      <c r="G9" s="415">
        <v>1.9782420000000001</v>
      </c>
      <c r="H9" s="415">
        <v>54.51784</v>
      </c>
      <c r="I9" s="415">
        <v>6.89046</v>
      </c>
      <c r="J9" s="415">
        <v>-1.736525E-4</v>
      </c>
      <c r="K9" s="415">
        <v>5.6347979999999999E-2</v>
      </c>
      <c r="L9" s="415">
        <v>1.1843140000000001</v>
      </c>
      <c r="M9" s="415">
        <v>-3.094471</v>
      </c>
      <c r="N9" s="415">
        <v>4.1616710000000001</v>
      </c>
      <c r="O9" s="469">
        <v>1</v>
      </c>
      <c r="P9" s="309"/>
    </row>
    <row r="10" spans="1:16" ht="24" thickBot="1" x14ac:dyDescent="0.4">
      <c r="A10"/>
      <c r="B10" s="201"/>
      <c r="C10" s="411" t="s">
        <v>118</v>
      </c>
      <c r="D10" s="378" t="s">
        <v>65</v>
      </c>
      <c r="E10" s="313">
        <v>1500</v>
      </c>
      <c r="F10" s="314">
        <v>6000</v>
      </c>
      <c r="G10" s="379">
        <v>1.9782420000000001</v>
      </c>
      <c r="H10" s="379">
        <v>54.816650000000003</v>
      </c>
      <c r="I10" s="379">
        <v>7.0000840000000002</v>
      </c>
      <c r="J10" s="379">
        <v>-2.193664E-4</v>
      </c>
      <c r="K10" s="379">
        <v>6.1325909999999997E-2</v>
      </c>
      <c r="L10" s="379">
        <v>3.7539989999999998E-4</v>
      </c>
      <c r="M10" s="379">
        <v>-1.8322499999999999E-4</v>
      </c>
      <c r="N10" s="379">
        <v>4.3410669999999999E-5</v>
      </c>
      <c r="O10" s="504">
        <v>1</v>
      </c>
      <c r="P10" s="370"/>
    </row>
    <row r="11" spans="1:16" x14ac:dyDescent="0.35">
      <c r="A11"/>
      <c r="B11" s="201"/>
      <c r="C11" s="402" t="s">
        <v>119</v>
      </c>
      <c r="D11" s="403" t="s">
        <v>65</v>
      </c>
      <c r="E11" s="404">
        <v>298.14999999999998</v>
      </c>
      <c r="F11" s="405">
        <v>1500</v>
      </c>
      <c r="G11" s="406">
        <v>1.7796749999999999</v>
      </c>
      <c r="H11" s="406">
        <v>65.627989999999997</v>
      </c>
      <c r="I11" s="406">
        <v>9.8077830000000006</v>
      </c>
      <c r="J11" s="406">
        <v>-2.9475889999999998E-4</v>
      </c>
      <c r="K11" s="406">
        <v>0.1005359</v>
      </c>
      <c r="L11" s="406">
        <v>2.0750869999999999</v>
      </c>
      <c r="M11" s="406">
        <v>-5.417872</v>
      </c>
      <c r="N11" s="406">
        <v>7.2822940000000003</v>
      </c>
      <c r="O11" s="505">
        <v>1</v>
      </c>
      <c r="P11" s="496"/>
    </row>
    <row r="12" spans="1:16" ht="24" thickBot="1" x14ac:dyDescent="0.4">
      <c r="A12"/>
      <c r="B12" s="200"/>
      <c r="C12" s="411" t="s">
        <v>119</v>
      </c>
      <c r="D12" s="378" t="s">
        <v>65</v>
      </c>
      <c r="E12" s="313">
        <v>1500</v>
      </c>
      <c r="F12" s="314">
        <v>6000</v>
      </c>
      <c r="G12" s="435">
        <v>1.7796749999999999</v>
      </c>
      <c r="H12" s="435">
        <v>66.151300000000006</v>
      </c>
      <c r="I12" s="435">
        <v>9.9996779999999994</v>
      </c>
      <c r="J12" s="435">
        <v>-3.7359040000000001E-4</v>
      </c>
      <c r="K12" s="435">
        <v>0.1092219</v>
      </c>
      <c r="L12" s="435">
        <v>1.8328540000000001E-3</v>
      </c>
      <c r="M12" s="435">
        <v>-1.155547E-3</v>
      </c>
      <c r="N12" s="435">
        <v>3.7609010000000002E-4</v>
      </c>
      <c r="O12" s="506">
        <v>1</v>
      </c>
      <c r="P12" s="496"/>
    </row>
    <row r="13" spans="1:16" ht="24" thickBot="1" x14ac:dyDescent="0.4">
      <c r="A13"/>
      <c r="B13" s="200"/>
      <c r="C13" s="436" t="s">
        <v>120</v>
      </c>
      <c r="D13" s="430" t="s">
        <v>65</v>
      </c>
      <c r="E13" s="431">
        <v>298.14999999999998</v>
      </c>
      <c r="F13" s="432">
        <v>1500</v>
      </c>
      <c r="G13" s="433">
        <v>1.593137</v>
      </c>
      <c r="H13" s="433">
        <v>82.10181</v>
      </c>
      <c r="I13" s="433">
        <v>12.889200000000001</v>
      </c>
      <c r="J13" s="433">
        <v>-2.7534359999999998E-4</v>
      </c>
      <c r="K13" s="433">
        <v>0.11292489999999999</v>
      </c>
      <c r="L13" s="433">
        <v>1.2045049999999999</v>
      </c>
      <c r="M13" s="433">
        <v>-3.1549330000000002</v>
      </c>
      <c r="N13" s="433">
        <v>4.2508710000000001</v>
      </c>
      <c r="O13" s="507">
        <v>1</v>
      </c>
      <c r="P13" s="310"/>
    </row>
    <row r="14" spans="1:16" ht="24" thickBot="1" x14ac:dyDescent="0.4">
      <c r="A14"/>
      <c r="B14" s="200"/>
      <c r="C14" s="425" t="s">
        <v>120</v>
      </c>
      <c r="D14" s="426" t="s">
        <v>65</v>
      </c>
      <c r="E14" s="427">
        <v>1500</v>
      </c>
      <c r="F14" s="428">
        <v>6000</v>
      </c>
      <c r="G14" s="423">
        <v>1.593137</v>
      </c>
      <c r="H14" s="423">
        <v>82.404619999999994</v>
      </c>
      <c r="I14" s="423">
        <v>12.999980000000001</v>
      </c>
      <c r="J14" s="423">
        <v>-3.1975439999999998E-4</v>
      </c>
      <c r="K14" s="423">
        <v>0.117897</v>
      </c>
      <c r="L14" s="423">
        <v>1.496076E-3</v>
      </c>
      <c r="M14" s="423">
        <v>-1.046272E-3</v>
      </c>
      <c r="N14" s="423">
        <v>3.8618760000000001E-4</v>
      </c>
      <c r="O14" s="470">
        <v>1</v>
      </c>
      <c r="P14" s="309"/>
    </row>
    <row r="15" spans="1:16" ht="24" thickBot="1" x14ac:dyDescent="0.4">
      <c r="A15"/>
      <c r="B15" s="200"/>
      <c r="C15" s="442" t="s">
        <v>121</v>
      </c>
      <c r="D15" s="430" t="s">
        <v>65</v>
      </c>
      <c r="E15" s="431">
        <v>298.14999999999998</v>
      </c>
      <c r="F15" s="432">
        <v>1500</v>
      </c>
      <c r="G15" s="443">
        <v>1.310376</v>
      </c>
      <c r="H15" s="443">
        <v>92.080410000000001</v>
      </c>
      <c r="I15" s="443">
        <v>15.90657</v>
      </c>
      <c r="J15" s="443">
        <v>-3.1941130000000002E-4</v>
      </c>
      <c r="K15" s="443">
        <v>0.14695030000000001</v>
      </c>
      <c r="L15" s="443">
        <v>1.017784</v>
      </c>
      <c r="M15" s="443">
        <v>-2.6653210000000001</v>
      </c>
      <c r="N15" s="443">
        <v>3.5898659999999998</v>
      </c>
      <c r="O15" s="508">
        <v>1</v>
      </c>
      <c r="P15" s="310"/>
    </row>
    <row r="16" spans="1:16" x14ac:dyDescent="0.35">
      <c r="A16"/>
      <c r="B16" s="200"/>
      <c r="C16" s="402" t="s">
        <v>121</v>
      </c>
      <c r="D16" s="403" t="s">
        <v>65</v>
      </c>
      <c r="E16" s="404">
        <v>1500</v>
      </c>
      <c r="F16" s="405">
        <v>6000</v>
      </c>
      <c r="G16" s="406">
        <v>1.310376</v>
      </c>
      <c r="H16" s="406">
        <v>92.335269999999994</v>
      </c>
      <c r="I16" s="406">
        <v>15.99952</v>
      </c>
      <c r="J16" s="406">
        <v>-3.5474159999999999E-4</v>
      </c>
      <c r="K16" s="406">
        <v>0.151062</v>
      </c>
      <c r="L16" s="406">
        <v>3.4559289999999999E-3</v>
      </c>
      <c r="M16" s="406">
        <v>-2.5853989999999999E-3</v>
      </c>
      <c r="N16" s="406">
        <v>9.828650999999999E-4</v>
      </c>
      <c r="O16" s="505">
        <v>1</v>
      </c>
      <c r="P16" s="496"/>
    </row>
    <row r="17" spans="1:19" x14ac:dyDescent="0.35">
      <c r="A17"/>
      <c r="B17" s="200"/>
      <c r="C17" s="407" t="s">
        <v>184</v>
      </c>
      <c r="D17" s="372" t="s">
        <v>65</v>
      </c>
      <c r="E17" s="311">
        <v>298.14999999999998</v>
      </c>
      <c r="F17" s="312">
        <v>1500</v>
      </c>
      <c r="G17" s="408">
        <v>1.3764209999999999</v>
      </c>
      <c r="H17" s="408">
        <v>106.2873</v>
      </c>
      <c r="I17" s="408">
        <v>18.87481</v>
      </c>
      <c r="J17" s="408">
        <v>-3.9471889999999999E-4</v>
      </c>
      <c r="K17" s="408">
        <v>0.18061250000000001</v>
      </c>
      <c r="L17" s="408">
        <v>1.363551</v>
      </c>
      <c r="M17" s="408">
        <v>-3.5720109999999998</v>
      </c>
      <c r="N17" s="408">
        <v>4.8116719999999997</v>
      </c>
      <c r="O17" s="509">
        <v>1</v>
      </c>
      <c r="P17" s="496"/>
      <c r="R17" s="497"/>
    </row>
    <row r="18" spans="1:19" ht="24" thickBot="1" x14ac:dyDescent="0.4">
      <c r="A18"/>
      <c r="B18" s="200"/>
      <c r="C18" s="411"/>
      <c r="D18" s="378"/>
      <c r="E18" s="313"/>
      <c r="F18" s="314"/>
      <c r="G18" s="435"/>
      <c r="H18" s="435"/>
      <c r="I18" s="435"/>
      <c r="J18" s="435"/>
      <c r="K18" s="435"/>
      <c r="L18" s="435"/>
      <c r="M18" s="435"/>
      <c r="N18" s="435"/>
      <c r="O18" s="506">
        <v>1</v>
      </c>
      <c r="P18" s="496"/>
    </row>
    <row r="19" spans="1:19" ht="24" thickBot="1" x14ac:dyDescent="0.4">
      <c r="A19"/>
      <c r="B19" s="200"/>
      <c r="C19" s="436" t="s">
        <v>122</v>
      </c>
      <c r="D19" s="430" t="s">
        <v>65</v>
      </c>
      <c r="E19" s="431">
        <v>1500</v>
      </c>
      <c r="F19" s="432">
        <v>6000</v>
      </c>
      <c r="G19" s="443">
        <v>1.3764209999999999</v>
      </c>
      <c r="H19" s="443">
        <v>106.6301</v>
      </c>
      <c r="I19" s="443">
        <v>19.000219999999999</v>
      </c>
      <c r="J19" s="443">
        <v>-4.455711E-4</v>
      </c>
      <c r="K19" s="443">
        <v>0.18625030000000001</v>
      </c>
      <c r="L19" s="443">
        <v>1.466539E-3</v>
      </c>
      <c r="M19" s="443">
        <v>-9.910276E-4</v>
      </c>
      <c r="N19" s="443">
        <v>3.4599259999999998E-4</v>
      </c>
      <c r="O19" s="510">
        <v>1</v>
      </c>
      <c r="P19" s="310"/>
    </row>
    <row r="20" spans="1:19" ht="24" thickBot="1" x14ac:dyDescent="0.4">
      <c r="A20"/>
      <c r="B20" s="200"/>
      <c r="C20" s="436" t="s">
        <v>123</v>
      </c>
      <c r="D20" s="430" t="s">
        <v>65</v>
      </c>
      <c r="E20" s="431">
        <v>298.14999999999998</v>
      </c>
      <c r="F20" s="432">
        <v>1500</v>
      </c>
      <c r="G20" s="443">
        <v>1.4184099999999999</v>
      </c>
      <c r="H20" s="443">
        <v>118.3836</v>
      </c>
      <c r="I20" s="443">
        <v>21.846499999999999</v>
      </c>
      <c r="J20" s="443">
        <v>-4.55196E-4</v>
      </c>
      <c r="K20" s="443">
        <v>0.2049985</v>
      </c>
      <c r="L20" s="443">
        <v>1.669807</v>
      </c>
      <c r="M20" s="443">
        <v>-4.3705270000000001</v>
      </c>
      <c r="N20" s="443">
        <v>5.8827660000000002</v>
      </c>
      <c r="O20" s="507">
        <v>1</v>
      </c>
      <c r="P20" s="496"/>
    </row>
    <row r="21" spans="1:19" x14ac:dyDescent="0.35">
      <c r="A21"/>
      <c r="B21" s="200"/>
      <c r="C21" s="402" t="s">
        <v>123</v>
      </c>
      <c r="D21" s="403" t="s">
        <v>65</v>
      </c>
      <c r="E21" s="404">
        <v>1500</v>
      </c>
      <c r="F21" s="405">
        <v>6000</v>
      </c>
      <c r="G21" s="406">
        <v>1.4184099999999999</v>
      </c>
      <c r="H21" s="406">
        <v>118.80549999999999</v>
      </c>
      <c r="I21" s="406">
        <v>22.001380000000001</v>
      </c>
      <c r="J21" s="406">
        <v>-5.2171050000000005E-4</v>
      </c>
      <c r="K21" s="406">
        <v>0.21207509999999999</v>
      </c>
      <c r="L21" s="406">
        <v>-2.09779E-3</v>
      </c>
      <c r="M21" s="406">
        <v>1.840469E-3</v>
      </c>
      <c r="N21" s="406">
        <v>-7.697003E-4</v>
      </c>
      <c r="O21" s="499">
        <v>1</v>
      </c>
      <c r="P21" s="496"/>
    </row>
    <row r="22" spans="1:19" ht="24" thickBot="1" x14ac:dyDescent="0.4">
      <c r="A22"/>
      <c r="B22" s="200"/>
      <c r="C22" s="411" t="s">
        <v>68</v>
      </c>
      <c r="D22" s="378" t="s">
        <v>61</v>
      </c>
      <c r="E22" s="313">
        <v>1211.4000000000001</v>
      </c>
      <c r="F22" s="314">
        <v>4900</v>
      </c>
      <c r="G22" s="435">
        <v>-5.5760690000000002E-2</v>
      </c>
      <c r="H22" s="435">
        <v>15.395060000000001</v>
      </c>
      <c r="I22" s="435">
        <v>3.319661</v>
      </c>
      <c r="J22" s="435">
        <v>0</v>
      </c>
      <c r="K22" s="435">
        <v>-0.38367639999999997</v>
      </c>
      <c r="L22" s="435">
        <v>0</v>
      </c>
      <c r="M22" s="435">
        <v>0</v>
      </c>
      <c r="N22" s="435">
        <v>0</v>
      </c>
      <c r="O22" s="501">
        <v>1</v>
      </c>
      <c r="P22" s="496"/>
    </row>
    <row r="23" spans="1:19" ht="24" thickBot="1" x14ac:dyDescent="0.4">
      <c r="A23"/>
      <c r="B23" s="200"/>
      <c r="C23" s="436" t="s">
        <v>68</v>
      </c>
      <c r="D23" s="430" t="s">
        <v>65</v>
      </c>
      <c r="E23" s="431">
        <v>298.14999999999998</v>
      </c>
      <c r="F23" s="432">
        <v>1500</v>
      </c>
      <c r="G23" s="433">
        <v>4.3829390000000004</v>
      </c>
      <c r="H23" s="433">
        <v>34.862279999999998</v>
      </c>
      <c r="I23" s="433">
        <v>5.530119</v>
      </c>
      <c r="J23" s="433">
        <v>-3.3787839999999998E-4</v>
      </c>
      <c r="K23" s="433">
        <v>8.1663529999999998E-2</v>
      </c>
      <c r="L23" s="433">
        <v>-21.130780000000001</v>
      </c>
      <c r="M23" s="433">
        <v>36.52984</v>
      </c>
      <c r="N23" s="433">
        <v>-31.421589999999998</v>
      </c>
      <c r="O23" s="507">
        <v>1</v>
      </c>
      <c r="P23" s="496"/>
    </row>
    <row r="24" spans="1:19" ht="24" thickBot="1" x14ac:dyDescent="0.4">
      <c r="A24"/>
      <c r="B24" s="200"/>
      <c r="C24" s="411" t="s">
        <v>68</v>
      </c>
      <c r="D24" s="378" t="s">
        <v>65</v>
      </c>
      <c r="E24" s="313">
        <v>1500</v>
      </c>
      <c r="F24" s="314">
        <v>6000</v>
      </c>
      <c r="G24" s="379">
        <v>4.3829390000000004</v>
      </c>
      <c r="H24" s="379">
        <v>26.704419999999999</v>
      </c>
      <c r="I24" s="379">
        <v>1.8358589999999999</v>
      </c>
      <c r="J24" s="379">
        <v>3.9919220000000002E-3</v>
      </c>
      <c r="K24" s="379">
        <v>-0.2011674</v>
      </c>
      <c r="L24" s="379">
        <v>2.865237</v>
      </c>
      <c r="M24" s="379">
        <v>-1.920703</v>
      </c>
      <c r="N24" s="379">
        <v>0.6292025</v>
      </c>
      <c r="O24" s="506">
        <v>1</v>
      </c>
      <c r="P24" s="496"/>
    </row>
    <row r="25" spans="1:19" ht="24" thickBot="1" x14ac:dyDescent="0.4">
      <c r="A25"/>
      <c r="B25" s="200"/>
      <c r="C25" s="402" t="s">
        <v>68</v>
      </c>
      <c r="D25" s="403" t="s">
        <v>65</v>
      </c>
      <c r="E25" s="404">
        <v>6000</v>
      </c>
      <c r="F25" s="405">
        <v>10000</v>
      </c>
      <c r="G25" s="419">
        <v>4.3829390000000004</v>
      </c>
      <c r="H25" s="419">
        <v>30.185140000000001</v>
      </c>
      <c r="I25" s="419">
        <v>6.3430540000000004</v>
      </c>
      <c r="J25" s="419">
        <v>-9.5135109999999995E-2</v>
      </c>
      <c r="K25" s="419">
        <v>1.2754369999999999</v>
      </c>
      <c r="L25" s="419">
        <v>-4.2694150000000004</v>
      </c>
      <c r="M25" s="419">
        <v>1.041687</v>
      </c>
      <c r="N25" s="419">
        <v>-6.3588229999999996E-2</v>
      </c>
      <c r="O25" s="511">
        <v>1</v>
      </c>
      <c r="P25" s="370"/>
    </row>
    <row r="26" spans="1:19" x14ac:dyDescent="0.35">
      <c r="A26"/>
      <c r="B26" s="200"/>
      <c r="C26" s="459" t="s">
        <v>185</v>
      </c>
      <c r="D26" s="453" t="s">
        <v>65</v>
      </c>
      <c r="E26" s="462">
        <v>298.14999999999998</v>
      </c>
      <c r="F26" s="463">
        <v>1500</v>
      </c>
      <c r="G26" s="415">
        <v>5.674709</v>
      </c>
      <c r="H26" s="415">
        <v>49.524940000000001</v>
      </c>
      <c r="I26" s="415">
        <v>7.0513279999999998</v>
      </c>
      <c r="J26" s="415">
        <v>-1.341195E-5</v>
      </c>
      <c r="K26" s="415">
        <v>5.245814E-2</v>
      </c>
      <c r="L26" s="415">
        <v>-24.580100000000002</v>
      </c>
      <c r="M26" s="415">
        <v>62.099780000000003</v>
      </c>
      <c r="N26" s="415">
        <v>-81.046109999999999</v>
      </c>
      <c r="O26" s="469">
        <v>1</v>
      </c>
      <c r="P26" s="309"/>
    </row>
    <row r="27" spans="1:19" x14ac:dyDescent="0.35">
      <c r="A27"/>
      <c r="B27" s="200"/>
      <c r="C27" s="460" t="s">
        <v>124</v>
      </c>
      <c r="D27" s="461" t="s">
        <v>65</v>
      </c>
      <c r="E27" s="429">
        <v>1500</v>
      </c>
      <c r="F27" s="457">
        <v>6000</v>
      </c>
      <c r="G27" s="410">
        <v>5.674709</v>
      </c>
      <c r="H27" s="410">
        <v>40.162990000000001</v>
      </c>
      <c r="I27" s="410">
        <v>2.7510140000000001</v>
      </c>
      <c r="J27" s="410">
        <v>7.8054969999999998E-3</v>
      </c>
      <c r="K27" s="410">
        <v>-0.32734089999999999</v>
      </c>
      <c r="L27" s="410">
        <v>6.01546</v>
      </c>
      <c r="M27" s="410">
        <v>-3.5431430000000002</v>
      </c>
      <c r="N27" s="410">
        <v>0.75900279999999998</v>
      </c>
      <c r="O27" s="512">
        <v>1</v>
      </c>
      <c r="P27" s="309"/>
    </row>
    <row r="28" spans="1:19" x14ac:dyDescent="0.35">
      <c r="A28"/>
      <c r="B28" s="200"/>
      <c r="C28" s="460" t="s">
        <v>92</v>
      </c>
      <c r="D28" s="461" t="s">
        <v>69</v>
      </c>
      <c r="E28" s="429">
        <v>298.14999999999998</v>
      </c>
      <c r="F28" s="457">
        <v>947.99990000000003</v>
      </c>
      <c r="G28" s="410">
        <v>-0.82987549999999999</v>
      </c>
      <c r="H28" s="410">
        <v>22.446940000000001</v>
      </c>
      <c r="I28" s="410">
        <v>5.4242590000000002</v>
      </c>
      <c r="J28" s="410">
        <v>0</v>
      </c>
      <c r="K28" s="410">
        <v>0.17049120000000001</v>
      </c>
      <c r="L28" s="410">
        <v>9.8622890000000005</v>
      </c>
      <c r="M28" s="410">
        <v>0</v>
      </c>
      <c r="N28" s="410">
        <v>0</v>
      </c>
      <c r="O28" s="513">
        <v>1</v>
      </c>
      <c r="P28" s="309"/>
      <c r="Q28" s="131"/>
      <c r="R28" s="131"/>
      <c r="S28" s="131"/>
    </row>
    <row r="29" spans="1:19" ht="24" thickBot="1" x14ac:dyDescent="0.4">
      <c r="A29"/>
      <c r="B29" s="200"/>
      <c r="C29" s="448" t="s">
        <v>75</v>
      </c>
      <c r="D29" s="454" t="s">
        <v>69</v>
      </c>
      <c r="E29" s="420">
        <v>298.14999999999998</v>
      </c>
      <c r="F29" s="421">
        <v>303</v>
      </c>
      <c r="G29" s="422">
        <v>0</v>
      </c>
      <c r="H29" s="422">
        <v>-158.4</v>
      </c>
      <c r="I29" s="422">
        <v>-46.31</v>
      </c>
      <c r="J29" s="422">
        <v>3.9409989999999997E-3</v>
      </c>
      <c r="K29" s="422">
        <v>-0.93300000000000005</v>
      </c>
      <c r="L29" s="422">
        <v>1420</v>
      </c>
      <c r="M29" s="422">
        <v>-4041.9989999999998</v>
      </c>
      <c r="N29" s="422">
        <v>0</v>
      </c>
      <c r="O29" s="514">
        <v>1</v>
      </c>
      <c r="P29" s="309"/>
    </row>
    <row r="30" spans="1:19" x14ac:dyDescent="0.35">
      <c r="A30"/>
      <c r="B30" s="200"/>
      <c r="C30" s="445" t="s">
        <v>75</v>
      </c>
      <c r="D30" s="403" t="s">
        <v>61</v>
      </c>
      <c r="E30" s="404">
        <v>699.99990000000003</v>
      </c>
      <c r="F30" s="405">
        <v>4000.0010000000002</v>
      </c>
      <c r="G30" s="406">
        <v>6.7230010000000007E-2</v>
      </c>
      <c r="H30" s="406">
        <v>15.16</v>
      </c>
      <c r="I30" s="406" t="s">
        <v>186</v>
      </c>
      <c r="J30" s="406" t="s">
        <v>187</v>
      </c>
      <c r="K30" s="406">
        <v>8.3929989999999996E-2</v>
      </c>
      <c r="L30" s="406">
        <v>-0.18099999999999999</v>
      </c>
      <c r="M30" s="406">
        <v>0.48309999999999997</v>
      </c>
      <c r="N30" s="406">
        <v>0</v>
      </c>
      <c r="O30" s="505">
        <v>1</v>
      </c>
      <c r="P30" s="496"/>
    </row>
    <row r="31" spans="1:19" ht="24" thickBot="1" x14ac:dyDescent="0.4">
      <c r="C31" s="434" t="s">
        <v>75</v>
      </c>
      <c r="D31" s="378" t="s">
        <v>65</v>
      </c>
      <c r="E31" s="313">
        <v>298.14999999999998</v>
      </c>
      <c r="F31" s="314">
        <v>1500</v>
      </c>
      <c r="G31" s="435">
        <v>3.192504</v>
      </c>
      <c r="H31" s="435">
        <v>33.995229999999999</v>
      </c>
      <c r="I31" s="435">
        <v>5.1932309999999999</v>
      </c>
      <c r="J31" s="435">
        <v>-4.8091060000000002E-4</v>
      </c>
      <c r="K31" s="435">
        <v>9.1439489999999998E-2</v>
      </c>
      <c r="L31" s="435">
        <v>-21.466670000000001</v>
      </c>
      <c r="M31" s="435">
        <v>42.981879999999997</v>
      </c>
      <c r="N31" s="435">
        <v>-45.813839999999999</v>
      </c>
      <c r="O31" s="506">
        <v>1</v>
      </c>
      <c r="P31" s="496"/>
    </row>
    <row r="32" spans="1:19" ht="24" thickBot="1" x14ac:dyDescent="0.4">
      <c r="C32" s="411" t="s">
        <v>75</v>
      </c>
      <c r="D32" s="378" t="s">
        <v>65</v>
      </c>
      <c r="E32" s="313">
        <v>1500</v>
      </c>
      <c r="F32" s="314">
        <v>6000</v>
      </c>
      <c r="G32" s="379">
        <v>3.192504</v>
      </c>
      <c r="H32" s="379">
        <v>27.29757</v>
      </c>
      <c r="I32" s="379">
        <v>2.370241</v>
      </c>
      <c r="J32" s="379">
        <v>2.138671E-3</v>
      </c>
      <c r="K32" s="379">
        <v>-9.5885429999999994E-2</v>
      </c>
      <c r="L32" s="379">
        <v>0.51440149999999996</v>
      </c>
      <c r="M32" s="379">
        <v>-0.49555690000000002</v>
      </c>
      <c r="N32" s="379">
        <v>0.24712329999999999</v>
      </c>
      <c r="O32" s="475">
        <v>1</v>
      </c>
      <c r="P32" s="310"/>
    </row>
    <row r="33" spans="1:16" x14ac:dyDescent="0.35">
      <c r="C33" s="424" t="s">
        <v>75</v>
      </c>
      <c r="D33" s="372" t="s">
        <v>65</v>
      </c>
      <c r="E33" s="311">
        <v>6000</v>
      </c>
      <c r="F33" s="312">
        <v>10000</v>
      </c>
      <c r="G33" s="373">
        <v>3.192504</v>
      </c>
      <c r="H33" s="373">
        <v>31.29327</v>
      </c>
      <c r="I33" s="373">
        <v>7.3013729999999999</v>
      </c>
      <c r="J33" s="373">
        <v>-9.3193609999999996E-2</v>
      </c>
      <c r="K33" s="373">
        <v>1.4353830000000001</v>
      </c>
      <c r="L33" s="373">
        <v>-7.4299809999999997</v>
      </c>
      <c r="M33" s="373">
        <v>2.6981959999999998</v>
      </c>
      <c r="N33" s="373">
        <v>-0.43421900000000002</v>
      </c>
      <c r="O33" s="515">
        <v>1</v>
      </c>
      <c r="P33" s="496"/>
    </row>
    <row r="34" spans="1:16" x14ac:dyDescent="0.35">
      <c r="C34" s="424" t="s">
        <v>68</v>
      </c>
      <c r="D34" s="372" t="s">
        <v>183</v>
      </c>
      <c r="E34" s="311">
        <v>298.14999999999998</v>
      </c>
      <c r="F34" s="312">
        <v>1211.4000000000001</v>
      </c>
      <c r="G34" s="373">
        <v>-5.5760690000000002E-2</v>
      </c>
      <c r="H34" s="373">
        <v>10.808619999999999</v>
      </c>
      <c r="I34" s="373">
        <v>2.898209</v>
      </c>
      <c r="J34" s="373">
        <v>-9.4357770000000004E-5</v>
      </c>
      <c r="K34" s="373">
        <v>3.8575789999999999E-2</v>
      </c>
      <c r="L34" s="373">
        <v>1.796346</v>
      </c>
      <c r="M34" s="373">
        <v>0</v>
      </c>
      <c r="N34" s="373">
        <v>0</v>
      </c>
      <c r="O34" s="515">
        <v>1</v>
      </c>
      <c r="P34" s="496"/>
    </row>
    <row r="35" spans="1:16" ht="24" thickBot="1" x14ac:dyDescent="0.4">
      <c r="C35" s="424" t="s">
        <v>188</v>
      </c>
      <c r="D35" s="372" t="s">
        <v>65</v>
      </c>
      <c r="E35" s="311">
        <v>298.14999999999998</v>
      </c>
      <c r="F35" s="312">
        <v>1100</v>
      </c>
      <c r="G35" s="373">
        <v>5.2149859999999997</v>
      </c>
      <c r="H35" s="373">
        <v>41.701000000000001</v>
      </c>
      <c r="I35" s="373">
        <v>4.0561670000000003</v>
      </c>
      <c r="J35" s="373">
        <v>2.357301E-5</v>
      </c>
      <c r="K35" s="373">
        <v>0.12889</v>
      </c>
      <c r="L35" s="373">
        <v>11.272</v>
      </c>
      <c r="M35" s="373">
        <v>-9.1847989999999999</v>
      </c>
      <c r="N35" s="373">
        <v>0</v>
      </c>
      <c r="O35" s="515">
        <v>1</v>
      </c>
      <c r="P35" s="496"/>
    </row>
    <row r="36" spans="1:16" ht="24" thickBot="1" x14ac:dyDescent="0.4">
      <c r="C36" s="425" t="s">
        <v>188</v>
      </c>
      <c r="D36" s="426" t="s">
        <v>65</v>
      </c>
      <c r="E36" s="427">
        <v>1100</v>
      </c>
      <c r="F36" s="428">
        <v>2500</v>
      </c>
      <c r="G36" s="423">
        <v>5.2149859999999997</v>
      </c>
      <c r="H36" s="423">
        <v>43.677999999999997</v>
      </c>
      <c r="I36" s="423">
        <v>4.8509000000000002</v>
      </c>
      <c r="J36" s="423">
        <v>-3.7446989999999998E-4</v>
      </c>
      <c r="K36" s="423">
        <v>0.1716596</v>
      </c>
      <c r="L36" s="423">
        <v>5.0346000000000002</v>
      </c>
      <c r="M36" s="423">
        <v>-0.32273000000000002</v>
      </c>
      <c r="N36" s="423">
        <v>0</v>
      </c>
      <c r="O36" s="470">
        <v>1</v>
      </c>
      <c r="P36" s="496"/>
    </row>
    <row r="37" spans="1:16" s="170" customFormat="1" ht="24" thickBot="1" x14ac:dyDescent="0.4">
      <c r="A37" s="203"/>
      <c r="B37" s="203"/>
      <c r="C37" s="425" t="s">
        <v>92</v>
      </c>
      <c r="D37" s="426" t="s">
        <v>65</v>
      </c>
      <c r="E37" s="427">
        <v>298.14999999999998</v>
      </c>
      <c r="F37" s="428">
        <v>2000</v>
      </c>
      <c r="G37" s="423">
        <v>1.2677</v>
      </c>
      <c r="H37" s="423">
        <v>11.071</v>
      </c>
      <c r="I37" s="423">
        <v>4.4489000000000001</v>
      </c>
      <c r="J37" s="423">
        <v>-1.0823999999999999E-4</v>
      </c>
      <c r="K37" s="423">
        <v>0.13999</v>
      </c>
      <c r="L37" s="423">
        <v>0.10223</v>
      </c>
      <c r="M37" s="423">
        <v>0</v>
      </c>
      <c r="N37" s="423">
        <v>0</v>
      </c>
      <c r="O37" s="516">
        <v>1</v>
      </c>
      <c r="P37" s="309"/>
    </row>
    <row r="38" spans="1:16" s="170" customFormat="1" ht="24" thickBot="1" x14ac:dyDescent="0.4">
      <c r="A38" s="203"/>
      <c r="B38" s="203"/>
      <c r="C38" s="417" t="s">
        <v>93</v>
      </c>
      <c r="D38" s="409" t="s">
        <v>69</v>
      </c>
      <c r="E38" s="429">
        <v>298.14999999999998</v>
      </c>
      <c r="F38" s="418">
        <v>1013</v>
      </c>
      <c r="G38" s="410">
        <v>-1.3591</v>
      </c>
      <c r="H38" s="410">
        <v>31.553999999999998</v>
      </c>
      <c r="I38" s="410">
        <v>7.5639000000000003</v>
      </c>
      <c r="J38" s="410">
        <v>0</v>
      </c>
      <c r="K38" s="410">
        <v>0.24035000000000001</v>
      </c>
      <c r="L38" s="410">
        <v>16.681999999999999</v>
      </c>
      <c r="M38" s="410">
        <v>0</v>
      </c>
      <c r="N38" s="410">
        <v>0</v>
      </c>
      <c r="O38" s="517">
        <v>1</v>
      </c>
      <c r="P38" s="309"/>
    </row>
    <row r="39" spans="1:16" s="170" customFormat="1" x14ac:dyDescent="0.35">
      <c r="A39" s="203"/>
      <c r="B39" s="203"/>
      <c r="C39" s="445" t="s">
        <v>75</v>
      </c>
      <c r="D39" s="402" t="s">
        <v>61</v>
      </c>
      <c r="E39" s="404">
        <v>303</v>
      </c>
      <c r="F39" s="405">
        <v>699.99990000000003</v>
      </c>
      <c r="G39" s="406">
        <v>6.7230010000000007E-2</v>
      </c>
      <c r="H39" s="406">
        <v>15.16</v>
      </c>
      <c r="I39" s="406">
        <v>3.1360000000000001</v>
      </c>
      <c r="J39" s="406">
        <v>1.4229999999999999E-4</v>
      </c>
      <c r="K39" s="406">
        <v>8.3939990000000006E-2</v>
      </c>
      <c r="L39" s="406">
        <v>-0.18459999999999999</v>
      </c>
      <c r="M39" s="406">
        <v>0.49309999999999998</v>
      </c>
      <c r="N39" s="406">
        <v>0</v>
      </c>
      <c r="O39" s="505">
        <v>1</v>
      </c>
      <c r="P39" s="496"/>
    </row>
    <row r="40" spans="1:16" s="170" customFormat="1" ht="24" thickBot="1" x14ac:dyDescent="0.4">
      <c r="A40" s="203"/>
      <c r="B40" s="203"/>
      <c r="C40" s="424" t="s">
        <v>76</v>
      </c>
      <c r="D40" s="407" t="s">
        <v>69</v>
      </c>
      <c r="E40" s="311">
        <v>298.14999999999998</v>
      </c>
      <c r="F40" s="312">
        <v>2000</v>
      </c>
      <c r="G40" s="408">
        <v>1.157</v>
      </c>
      <c r="H40" s="408">
        <v>55.30301</v>
      </c>
      <c r="I40" s="408">
        <v>6.9866000000000001</v>
      </c>
      <c r="J40" s="408">
        <v>-1.7438999999999999E-4</v>
      </c>
      <c r="K40" s="408">
        <v>0.22003</v>
      </c>
      <c r="L40" s="408">
        <v>3.0068000000000001E-2</v>
      </c>
      <c r="M40" s="408">
        <v>0</v>
      </c>
      <c r="N40" s="408">
        <v>0</v>
      </c>
      <c r="O40" s="509">
        <v>1</v>
      </c>
      <c r="P40" s="496"/>
    </row>
    <row r="41" spans="1:16" x14ac:dyDescent="0.35">
      <c r="C41" s="494" t="s">
        <v>77</v>
      </c>
      <c r="D41" s="402" t="s">
        <v>69</v>
      </c>
      <c r="E41" s="404">
        <v>298.14999999999998</v>
      </c>
      <c r="F41" s="405">
        <v>1278</v>
      </c>
      <c r="G41" s="406">
        <v>-4.9166999999999996</v>
      </c>
      <c r="H41" s="406">
        <v>52.323990000000002</v>
      </c>
      <c r="I41" s="406">
        <v>12.715999999999999</v>
      </c>
      <c r="J41" s="406">
        <v>0</v>
      </c>
      <c r="K41" s="406">
        <v>0.39800999999999997</v>
      </c>
      <c r="L41" s="406">
        <v>21.234000000000002</v>
      </c>
      <c r="M41" s="406">
        <v>0</v>
      </c>
      <c r="N41" s="406">
        <v>0</v>
      </c>
      <c r="O41" s="505">
        <v>1</v>
      </c>
      <c r="P41" s="496"/>
    </row>
    <row r="42" spans="1:16" ht="24" thickBot="1" x14ac:dyDescent="0.4">
      <c r="C42" s="495" t="s">
        <v>70</v>
      </c>
      <c r="D42" s="407" t="s">
        <v>61</v>
      </c>
      <c r="E42" s="311">
        <v>494.00009999999997</v>
      </c>
      <c r="F42" s="312">
        <v>1000</v>
      </c>
      <c r="G42" s="408">
        <v>7.4080010000000002E-2</v>
      </c>
      <c r="H42" s="408">
        <v>23.32</v>
      </c>
      <c r="I42" s="408">
        <v>6.3019999999999996</v>
      </c>
      <c r="J42" s="408">
        <v>0</v>
      </c>
      <c r="K42" s="408">
        <v>0.19220000000000001</v>
      </c>
      <c r="L42" s="408">
        <v>-29.83</v>
      </c>
      <c r="M42" s="408">
        <v>64.95</v>
      </c>
      <c r="N42" s="408">
        <v>0</v>
      </c>
      <c r="O42" s="509">
        <v>1</v>
      </c>
      <c r="P42" s="496"/>
    </row>
    <row r="43" spans="1:16" x14ac:dyDescent="0.35">
      <c r="C43" s="494" t="s">
        <v>70</v>
      </c>
      <c r="D43" s="402" t="s">
        <v>189</v>
      </c>
      <c r="E43" s="404">
        <v>298.14999999999998</v>
      </c>
      <c r="F43" s="405">
        <v>398</v>
      </c>
      <c r="G43" s="406">
        <v>6.0389989999999998E-2</v>
      </c>
      <c r="H43" s="406">
        <v>14.03</v>
      </c>
      <c r="I43" s="406">
        <v>3.2650000000000001</v>
      </c>
      <c r="J43" s="406">
        <v>0</v>
      </c>
      <c r="K43" s="406">
        <v>9.7360000000000002E-2</v>
      </c>
      <c r="L43" s="406">
        <v>0</v>
      </c>
      <c r="M43" s="406">
        <v>0</v>
      </c>
      <c r="N43" s="406">
        <v>0</v>
      </c>
      <c r="O43" s="505">
        <v>1</v>
      </c>
      <c r="P43" s="496"/>
    </row>
    <row r="44" spans="1:16" ht="24" thickBot="1" x14ac:dyDescent="0.4">
      <c r="C44" s="313" t="s">
        <v>70</v>
      </c>
      <c r="D44" s="411" t="s">
        <v>192</v>
      </c>
      <c r="E44" s="313">
        <v>298.14999999999998</v>
      </c>
      <c r="F44" s="314">
        <v>413.00009999999997</v>
      </c>
      <c r="G44" s="435">
        <v>0.1077</v>
      </c>
      <c r="H44" s="435">
        <v>54.85</v>
      </c>
      <c r="I44" s="435" t="s">
        <v>190</v>
      </c>
      <c r="J44" s="435" t="s">
        <v>191</v>
      </c>
      <c r="K44" s="435">
        <v>0.40429999999999999</v>
      </c>
      <c r="L44" s="435">
        <v>-5.4480000000000004</v>
      </c>
      <c r="M44" s="435">
        <v>144</v>
      </c>
      <c r="N44" s="435">
        <v>0</v>
      </c>
      <c r="O44" s="506">
        <v>1</v>
      </c>
      <c r="P44" s="496"/>
    </row>
    <row r="45" spans="1:16" x14ac:dyDescent="0.35">
      <c r="C45" s="407" t="s">
        <v>76</v>
      </c>
      <c r="D45" s="372" t="s">
        <v>69</v>
      </c>
      <c r="E45" s="311">
        <v>298.14999999999998</v>
      </c>
      <c r="F45" s="312">
        <v>398</v>
      </c>
      <c r="G45" s="408">
        <v>-2.2040000000000002</v>
      </c>
      <c r="H45" s="408">
        <v>13.59</v>
      </c>
      <c r="I45" s="408">
        <v>0</v>
      </c>
      <c r="J45" s="408">
        <v>0</v>
      </c>
      <c r="K45" s="408">
        <v>0</v>
      </c>
      <c r="L45" s="408">
        <v>0</v>
      </c>
      <c r="M45" s="408">
        <v>0</v>
      </c>
      <c r="N45" s="408">
        <v>0</v>
      </c>
      <c r="O45" s="500">
        <v>1</v>
      </c>
      <c r="P45" s="496"/>
    </row>
    <row r="46" spans="1:16" ht="24" thickBot="1" x14ac:dyDescent="0.4">
      <c r="C46" s="407" t="s">
        <v>93</v>
      </c>
      <c r="D46" s="372" t="s">
        <v>69</v>
      </c>
      <c r="E46" s="311">
        <v>350</v>
      </c>
      <c r="F46" s="312">
        <v>420</v>
      </c>
      <c r="G46" s="408">
        <v>-1.359</v>
      </c>
      <c r="H46" s="408">
        <v>12.05</v>
      </c>
      <c r="I46" s="408">
        <v>1.762</v>
      </c>
      <c r="J46" s="408">
        <v>0</v>
      </c>
      <c r="K46" s="408">
        <v>0.14510000000000001</v>
      </c>
      <c r="L46" s="408">
        <v>105.7</v>
      </c>
      <c r="M46" s="408">
        <v>0</v>
      </c>
      <c r="N46" s="408">
        <v>0</v>
      </c>
      <c r="O46" s="500">
        <v>1</v>
      </c>
      <c r="P46" s="496"/>
    </row>
    <row r="47" spans="1:16" x14ac:dyDescent="0.35">
      <c r="C47" s="404" t="s">
        <v>93</v>
      </c>
      <c r="D47" s="402" t="s">
        <v>69</v>
      </c>
      <c r="E47" s="404">
        <v>420</v>
      </c>
      <c r="F47" s="405">
        <v>450</v>
      </c>
      <c r="G47" s="406">
        <v>-1.359</v>
      </c>
      <c r="H47" s="406">
        <v>38.770000000000003</v>
      </c>
      <c r="I47" s="406">
        <v>9.9830000000000005</v>
      </c>
      <c r="J47" s="406">
        <v>0</v>
      </c>
      <c r="K47" s="406">
        <v>0.3039</v>
      </c>
      <c r="L47" s="406">
        <v>0</v>
      </c>
      <c r="M47" s="406">
        <v>0</v>
      </c>
      <c r="N47" s="406">
        <v>0</v>
      </c>
      <c r="O47" s="505">
        <v>1</v>
      </c>
      <c r="P47" s="496"/>
    </row>
    <row r="48" spans="1:16" ht="24" thickBot="1" x14ac:dyDescent="0.4">
      <c r="C48" s="311" t="s">
        <v>93</v>
      </c>
      <c r="D48" s="407" t="s">
        <v>69</v>
      </c>
      <c r="E48" s="311">
        <v>450</v>
      </c>
      <c r="F48" s="312">
        <v>899.99990000000003</v>
      </c>
      <c r="G48" s="408">
        <v>-1.359</v>
      </c>
      <c r="H48" s="408">
        <v>18.36</v>
      </c>
      <c r="I48" s="408">
        <v>2.0299999999999998</v>
      </c>
      <c r="J48" s="408">
        <v>2.7360000000000002E-3</v>
      </c>
      <c r="K48" s="408">
        <v>-6.5769999999999995E-2</v>
      </c>
      <c r="L48" s="408">
        <v>61.46</v>
      </c>
      <c r="M48" s="408">
        <v>-80.110010000000003</v>
      </c>
      <c r="N48" s="408">
        <v>0</v>
      </c>
      <c r="O48" s="509">
        <v>1</v>
      </c>
      <c r="P48" s="496"/>
    </row>
    <row r="49" spans="3:16" x14ac:dyDescent="0.35">
      <c r="C49" s="404" t="s">
        <v>70</v>
      </c>
      <c r="D49" s="402" t="s">
        <v>61</v>
      </c>
      <c r="E49" s="404">
        <v>1000</v>
      </c>
      <c r="F49" s="405">
        <v>1800</v>
      </c>
      <c r="G49" s="406">
        <v>7.4080010000000002E-2</v>
      </c>
      <c r="H49" s="406">
        <v>16.62</v>
      </c>
      <c r="I49" s="406">
        <v>4.2460000000000004</v>
      </c>
      <c r="J49" s="406">
        <v>0</v>
      </c>
      <c r="K49" s="406">
        <v>0.15490000000000001</v>
      </c>
      <c r="L49" s="406">
        <v>0</v>
      </c>
      <c r="M49" s="406">
        <v>0</v>
      </c>
      <c r="N49" s="406">
        <v>0</v>
      </c>
      <c r="O49" s="505">
        <v>1</v>
      </c>
      <c r="P49" s="496"/>
    </row>
    <row r="50" spans="3:16" ht="24" thickBot="1" x14ac:dyDescent="0.4">
      <c r="C50" s="311" t="s">
        <v>70</v>
      </c>
      <c r="D50" s="407" t="s">
        <v>193</v>
      </c>
      <c r="E50" s="311">
        <v>298.14999999999998</v>
      </c>
      <c r="F50" s="312">
        <v>398</v>
      </c>
      <c r="G50" s="408">
        <v>0.1963</v>
      </c>
      <c r="H50" s="408">
        <v>18.559999999999999</v>
      </c>
      <c r="I50" s="408">
        <v>4.8810000000000002</v>
      </c>
      <c r="J50" s="408">
        <v>0</v>
      </c>
      <c r="K50" s="408">
        <v>0.14549999999999999</v>
      </c>
      <c r="L50" s="408">
        <v>0</v>
      </c>
      <c r="M50" s="408">
        <v>0</v>
      </c>
      <c r="N50" s="408">
        <v>0</v>
      </c>
      <c r="O50" s="509">
        <v>1</v>
      </c>
      <c r="P50" s="496"/>
    </row>
    <row r="51" spans="3:16" x14ac:dyDescent="0.35">
      <c r="C51" s="404" t="s">
        <v>68</v>
      </c>
      <c r="D51" s="403" t="s">
        <v>69</v>
      </c>
      <c r="E51" s="404">
        <v>298.14999999999998</v>
      </c>
      <c r="F51" s="405">
        <v>1211.4000000000001</v>
      </c>
      <c r="G51" s="406">
        <v>-5.5760690000000002E-2</v>
      </c>
      <c r="H51" s="406">
        <v>10.808619999999999</v>
      </c>
      <c r="I51" s="406">
        <v>2.898209</v>
      </c>
      <c r="J51" s="406">
        <v>-9.4357770000000004E-5</v>
      </c>
      <c r="K51" s="406">
        <v>3.8575789999999999E-2</v>
      </c>
      <c r="L51" s="406">
        <v>1.796346</v>
      </c>
      <c r="M51" s="406">
        <v>0</v>
      </c>
      <c r="N51" s="406">
        <v>0</v>
      </c>
      <c r="O51" s="505">
        <v>1</v>
      </c>
      <c r="P51" s="496"/>
    </row>
    <row r="52" spans="3:16" ht="24" thickBot="1" x14ac:dyDescent="0.4">
      <c r="C52" s="313" t="s">
        <v>93</v>
      </c>
      <c r="D52" s="378" t="s">
        <v>69</v>
      </c>
      <c r="E52" s="313">
        <v>298.14999999999998</v>
      </c>
      <c r="F52" s="314">
        <v>350</v>
      </c>
      <c r="G52" s="435"/>
      <c r="H52" s="435">
        <v>68.819999999999993</v>
      </c>
      <c r="I52" s="435">
        <v>17.670000000000002</v>
      </c>
      <c r="J52" s="435">
        <v>-5.8149999999999999E-4</v>
      </c>
      <c r="K52" s="435">
        <v>0.41320000000000001</v>
      </c>
      <c r="L52" s="435">
        <v>-252.1001</v>
      </c>
      <c r="M52" s="435">
        <v>1383</v>
      </c>
      <c r="N52" s="435"/>
      <c r="O52" s="506">
        <v>1</v>
      </c>
      <c r="P52" s="496"/>
    </row>
    <row r="53" spans="3:16" x14ac:dyDescent="0.35">
      <c r="C53" s="471" t="s">
        <v>194</v>
      </c>
      <c r="D53" s="478" t="s">
        <v>69</v>
      </c>
      <c r="E53" s="471">
        <v>298</v>
      </c>
      <c r="F53" s="476">
        <v>500.00009999999997</v>
      </c>
      <c r="G53" s="356">
        <v>-2.39</v>
      </c>
      <c r="H53" s="356">
        <v>74.769990000000007</v>
      </c>
      <c r="I53" s="356">
        <v>18.14</v>
      </c>
      <c r="J53" s="356">
        <v>0</v>
      </c>
      <c r="K53" s="356">
        <v>0.56850000000000001</v>
      </c>
      <c r="L53" s="356">
        <v>31.1</v>
      </c>
      <c r="M53" s="356">
        <v>0</v>
      </c>
      <c r="N53" s="356">
        <v>0</v>
      </c>
      <c r="O53" s="472">
        <v>1</v>
      </c>
      <c r="P53" s="310"/>
    </row>
    <row r="54" spans="3:16" x14ac:dyDescent="0.35">
      <c r="C54" s="471" t="s">
        <v>195</v>
      </c>
      <c r="D54" s="478" t="s">
        <v>69</v>
      </c>
      <c r="E54" s="471">
        <v>298</v>
      </c>
      <c r="F54" s="476">
        <v>500.00009999999997</v>
      </c>
      <c r="G54" s="356">
        <v>-4.22</v>
      </c>
      <c r="H54" s="356">
        <v>173.5</v>
      </c>
      <c r="I54" s="356">
        <v>43.04</v>
      </c>
      <c r="J54" s="356">
        <v>-5.8149999999999999E-4</v>
      </c>
      <c r="K54" s="356">
        <v>1.2090000000000001</v>
      </c>
      <c r="L54" s="356">
        <v>-209.7</v>
      </c>
      <c r="M54" s="356">
        <v>1383</v>
      </c>
      <c r="N54" s="356">
        <v>0</v>
      </c>
      <c r="O54" s="472">
        <v>1</v>
      </c>
      <c r="P54" s="310"/>
    </row>
    <row r="55" spans="3:16" x14ac:dyDescent="0.35">
      <c r="C55" s="471" t="s">
        <v>196</v>
      </c>
      <c r="D55" s="478" t="s">
        <v>69</v>
      </c>
      <c r="E55" s="471">
        <v>298</v>
      </c>
      <c r="F55" s="476">
        <v>500.00009999999997</v>
      </c>
      <c r="G55" s="356">
        <v>-1.81</v>
      </c>
      <c r="H55" s="356">
        <v>71.790000000000006</v>
      </c>
      <c r="I55" s="356">
        <v>17.87</v>
      </c>
      <c r="J55" s="356">
        <v>-2.9069989999999998E-4</v>
      </c>
      <c r="K55" s="356">
        <v>0.49080000000000001</v>
      </c>
      <c r="L55" s="356">
        <v>-110.5</v>
      </c>
      <c r="M55" s="356">
        <v>691.6</v>
      </c>
      <c r="N55" s="356">
        <v>0</v>
      </c>
      <c r="O55" s="472">
        <v>1</v>
      </c>
      <c r="P55" s="310"/>
    </row>
    <row r="56" spans="3:16" x14ac:dyDescent="0.35">
      <c r="C56" s="480" t="s">
        <v>178</v>
      </c>
      <c r="D56" s="478" t="s">
        <v>69</v>
      </c>
      <c r="E56" s="471">
        <v>298.14999999999998</v>
      </c>
      <c r="F56" s="476">
        <v>500.00009999999997</v>
      </c>
      <c r="G56" s="356">
        <v>-4.78</v>
      </c>
      <c r="H56" s="356">
        <v>149.5</v>
      </c>
      <c r="I56" s="356">
        <v>36.279989999999998</v>
      </c>
      <c r="J56" s="356">
        <v>0</v>
      </c>
      <c r="K56" s="356">
        <v>1.137</v>
      </c>
      <c r="L56" s="356">
        <v>62.190010000000001</v>
      </c>
      <c r="M56" s="356">
        <v>0</v>
      </c>
      <c r="N56" s="356">
        <v>0</v>
      </c>
      <c r="O56" s="472">
        <v>1</v>
      </c>
      <c r="P56" s="496"/>
    </row>
    <row r="57" spans="3:16" x14ac:dyDescent="0.35">
      <c r="C57" s="471" t="s">
        <v>179</v>
      </c>
      <c r="D57" s="478" t="s">
        <v>69</v>
      </c>
      <c r="E57" s="471">
        <v>298.14999999999998</v>
      </c>
      <c r="F57" s="476">
        <v>500.00009999999997</v>
      </c>
      <c r="G57" s="356">
        <v>-5.34</v>
      </c>
      <c r="H57" s="356">
        <v>188.5</v>
      </c>
      <c r="I57" s="356">
        <v>46.599989999999998</v>
      </c>
      <c r="J57" s="356">
        <v>-5.8149999999999999E-4</v>
      </c>
      <c r="K57" s="356">
        <v>1.323</v>
      </c>
      <c r="L57" s="356">
        <v>-201.3</v>
      </c>
      <c r="M57" s="356">
        <v>1383</v>
      </c>
      <c r="N57" s="356">
        <v>0</v>
      </c>
      <c r="O57" s="472">
        <v>1</v>
      </c>
      <c r="P57" s="496"/>
    </row>
    <row r="58" spans="3:16" x14ac:dyDescent="0.35">
      <c r="C58" s="471" t="s">
        <v>180</v>
      </c>
      <c r="D58" s="478" t="s">
        <v>69</v>
      </c>
      <c r="E58" s="471">
        <v>298.14999999999998</v>
      </c>
      <c r="F58" s="476">
        <v>500.00009999999997</v>
      </c>
      <c r="G58" s="356">
        <v>-4.8600000000000003</v>
      </c>
      <c r="H58" s="356">
        <v>212.3999</v>
      </c>
      <c r="I58" s="356">
        <v>53.359990000000003</v>
      </c>
      <c r="J58" s="356">
        <v>-1.163E-3</v>
      </c>
      <c r="K58" s="356">
        <v>1.395</v>
      </c>
      <c r="L58" s="356">
        <v>-473.2</v>
      </c>
      <c r="M58" s="356">
        <v>2766</v>
      </c>
      <c r="N58" s="356">
        <v>0</v>
      </c>
      <c r="O58" s="472">
        <v>1</v>
      </c>
      <c r="P58" s="496"/>
    </row>
    <row r="59" spans="3:16" x14ac:dyDescent="0.35">
      <c r="C59" s="471" t="s">
        <v>181</v>
      </c>
      <c r="D59" s="478" t="s">
        <v>69</v>
      </c>
      <c r="E59" s="471">
        <v>298.14999999999998</v>
      </c>
      <c r="F59" s="476">
        <v>500.00009999999997</v>
      </c>
      <c r="G59" s="356">
        <v>-3.78</v>
      </c>
      <c r="H59" s="356">
        <v>136.19999999999999</v>
      </c>
      <c r="I59" s="356">
        <v>33.880000000000003</v>
      </c>
      <c r="J59" s="356">
        <v>-5.8149999999999999E-4</v>
      </c>
      <c r="K59" s="356">
        <v>0.92469999999999997</v>
      </c>
      <c r="L59" s="356">
        <v>-222.6</v>
      </c>
      <c r="M59" s="356">
        <v>1383</v>
      </c>
      <c r="N59" s="356">
        <v>0</v>
      </c>
      <c r="O59" s="472">
        <v>1</v>
      </c>
      <c r="P59" s="496"/>
    </row>
    <row r="60" spans="3:16" x14ac:dyDescent="0.35">
      <c r="C60" s="471" t="s">
        <v>197</v>
      </c>
      <c r="D60" s="478" t="s">
        <v>69</v>
      </c>
      <c r="E60" s="471">
        <v>298.14999999999998</v>
      </c>
      <c r="F60" s="476">
        <v>500.00009999999997</v>
      </c>
      <c r="G60" s="356">
        <v>-39.299999999999997</v>
      </c>
      <c r="H60" s="356">
        <v>1631</v>
      </c>
      <c r="I60" s="356">
        <v>409.1</v>
      </c>
      <c r="J60" s="356">
        <v>-8.7220010000000001E-3</v>
      </c>
      <c r="K60" s="356">
        <v>10.75</v>
      </c>
      <c r="L60" s="356">
        <v>-3528</v>
      </c>
      <c r="M60" s="356">
        <v>20750</v>
      </c>
      <c r="N60" s="356">
        <v>0</v>
      </c>
      <c r="O60" s="472">
        <v>1</v>
      </c>
      <c r="P60" s="496"/>
    </row>
    <row r="61" spans="3:16" ht="24" thickBot="1" x14ac:dyDescent="0.4">
      <c r="C61" s="473" t="s">
        <v>182</v>
      </c>
      <c r="D61" s="479" t="s">
        <v>69</v>
      </c>
      <c r="E61" s="473">
        <v>298.14999999999998</v>
      </c>
      <c r="F61" s="477">
        <v>500.00009999999997</v>
      </c>
      <c r="G61" s="474">
        <v>-2.95</v>
      </c>
      <c r="H61" s="474">
        <v>113.7</v>
      </c>
      <c r="I61" s="474">
        <v>28.46</v>
      </c>
      <c r="J61" s="474">
        <v>-5.8149999999999999E-4</v>
      </c>
      <c r="K61" s="474">
        <v>0.75419999999999998</v>
      </c>
      <c r="L61" s="474">
        <v>-232.4</v>
      </c>
      <c r="M61" s="474">
        <v>1383</v>
      </c>
      <c r="N61" s="474">
        <v>0</v>
      </c>
      <c r="O61" s="475">
        <v>1</v>
      </c>
      <c r="P61" s="496"/>
    </row>
    <row r="62" spans="3:16" ht="24" thickBot="1" x14ac:dyDescent="0.4">
      <c r="C62" s="41"/>
      <c r="D62" s="481"/>
      <c r="E62" s="41"/>
      <c r="F62" s="482"/>
      <c r="G62" s="488"/>
      <c r="H62" s="489"/>
      <c r="I62" s="489"/>
      <c r="J62" s="489"/>
      <c r="K62" s="489"/>
      <c r="L62" s="489"/>
      <c r="M62" s="489"/>
      <c r="N62" s="489"/>
      <c r="O62" s="467"/>
      <c r="P62" s="496"/>
    </row>
    <row r="63" spans="3:16" x14ac:dyDescent="0.35">
      <c r="C63" s="1"/>
      <c r="D63" s="484"/>
      <c r="E63" s="1"/>
      <c r="F63" s="486"/>
      <c r="G63" s="490"/>
      <c r="H63" s="491"/>
      <c r="I63" s="491"/>
      <c r="J63" s="491"/>
      <c r="K63" s="491"/>
      <c r="L63" s="491"/>
      <c r="M63" s="491"/>
      <c r="N63" s="491"/>
      <c r="O63" s="483"/>
      <c r="P63" s="496"/>
    </row>
    <row r="64" spans="3:16" ht="24" thickBot="1" x14ac:dyDescent="0.4">
      <c r="C64" s="35"/>
      <c r="D64" s="485"/>
      <c r="E64" s="35"/>
      <c r="F64" s="487"/>
      <c r="G64" s="492"/>
      <c r="H64" s="493"/>
      <c r="I64" s="493"/>
      <c r="J64" s="493"/>
      <c r="K64" s="493"/>
      <c r="L64" s="493"/>
      <c r="M64" s="493"/>
      <c r="N64" s="493"/>
      <c r="O64" s="468"/>
      <c r="P64" s="496"/>
    </row>
    <row r="65" spans="3:16" x14ac:dyDescent="0.35">
      <c r="C65" s="167"/>
      <c r="D65" s="167"/>
      <c r="E65" s="167"/>
      <c r="F65" s="167"/>
      <c r="G65" s="357"/>
      <c r="H65" s="357"/>
      <c r="I65" s="357"/>
      <c r="J65" s="357"/>
      <c r="K65" s="357"/>
      <c r="L65" s="357"/>
      <c r="M65" s="357"/>
      <c r="N65" s="357"/>
      <c r="P65" s="496"/>
    </row>
    <row r="66" spans="3:16" x14ac:dyDescent="0.35">
      <c r="C66" s="167"/>
      <c r="D66" s="167"/>
      <c r="E66" s="167"/>
      <c r="F66" s="167"/>
      <c r="G66" s="357"/>
      <c r="H66" s="357"/>
      <c r="I66" s="357"/>
      <c r="J66" s="357"/>
      <c r="K66" s="357"/>
      <c r="L66" s="357"/>
      <c r="M66" s="357"/>
      <c r="N66" s="357"/>
      <c r="P66" s="496"/>
    </row>
    <row r="67" spans="3:16" x14ac:dyDescent="0.35">
      <c r="C67" s="167"/>
      <c r="D67" s="167"/>
      <c r="E67" s="167"/>
      <c r="F67" s="167"/>
      <c r="G67" s="357"/>
      <c r="H67" s="357"/>
      <c r="I67" s="357"/>
      <c r="J67" s="357"/>
      <c r="K67" s="357"/>
      <c r="L67" s="357"/>
      <c r="M67" s="357"/>
      <c r="N67" s="357"/>
      <c r="P67" s="496"/>
    </row>
    <row r="68" spans="3:16" x14ac:dyDescent="0.35">
      <c r="C68" s="167"/>
      <c r="D68" s="167"/>
      <c r="E68" s="167"/>
      <c r="F68" s="167"/>
      <c r="G68" s="357"/>
      <c r="H68" s="357"/>
      <c r="I68" s="357"/>
      <c r="J68" s="357"/>
      <c r="K68" s="357"/>
      <c r="L68" s="357"/>
      <c r="M68" s="357"/>
      <c r="N68" s="357"/>
      <c r="P68" s="496"/>
    </row>
    <row r="69" spans="3:16" x14ac:dyDescent="0.35">
      <c r="C69" s="167"/>
      <c r="D69" s="167"/>
      <c r="E69" s="167"/>
      <c r="F69" s="167"/>
      <c r="G69" s="357"/>
      <c r="H69" s="357"/>
      <c r="I69" s="357"/>
      <c r="J69" s="357"/>
      <c r="K69" s="357"/>
      <c r="L69" s="357"/>
      <c r="M69" s="357"/>
      <c r="N69" s="357"/>
      <c r="P69" s="496"/>
    </row>
    <row r="70" spans="3:16" x14ac:dyDescent="0.35">
      <c r="C70" s="167"/>
      <c r="D70" s="167"/>
      <c r="E70" s="167"/>
      <c r="F70" s="167"/>
      <c r="G70" s="357"/>
      <c r="H70" s="357"/>
      <c r="I70" s="357"/>
      <c r="J70" s="357"/>
      <c r="K70" s="357"/>
      <c r="L70" s="357"/>
      <c r="M70" s="357"/>
      <c r="N70" s="357"/>
      <c r="P70" s="496"/>
    </row>
    <row r="71" spans="3:16" x14ac:dyDescent="0.35">
      <c r="C71" s="167"/>
      <c r="D71" s="167"/>
      <c r="E71" s="167"/>
      <c r="F71" s="167"/>
      <c r="G71" s="357"/>
      <c r="H71" s="357"/>
      <c r="I71" s="357"/>
      <c r="J71" s="357"/>
      <c r="K71" s="357"/>
      <c r="L71" s="357"/>
      <c r="M71" s="357"/>
      <c r="N71" s="357"/>
      <c r="P71" s="496"/>
    </row>
    <row r="72" spans="3:16" x14ac:dyDescent="0.35">
      <c r="C72" s="167"/>
      <c r="D72" s="167"/>
      <c r="E72" s="167"/>
      <c r="F72" s="167"/>
      <c r="G72" s="357"/>
      <c r="H72" s="357"/>
      <c r="I72" s="357"/>
      <c r="J72" s="357"/>
      <c r="K72" s="357"/>
      <c r="L72" s="357"/>
      <c r="M72" s="357"/>
      <c r="N72" s="357"/>
      <c r="P72" s="496"/>
    </row>
    <row r="73" spans="3:16" x14ac:dyDescent="0.35">
      <c r="C73" s="167"/>
      <c r="D73" s="167"/>
      <c r="E73" s="167"/>
      <c r="F73" s="167"/>
      <c r="G73" s="357"/>
      <c r="H73" s="357"/>
      <c r="I73" s="357"/>
      <c r="J73" s="357"/>
      <c r="K73" s="357"/>
      <c r="L73" s="357"/>
      <c r="M73" s="357"/>
      <c r="N73" s="357"/>
      <c r="P73" s="496"/>
    </row>
    <row r="74" spans="3:16" x14ac:dyDescent="0.35">
      <c r="C74" s="167"/>
      <c r="D74" s="167"/>
      <c r="E74" s="167"/>
      <c r="F74" s="167"/>
      <c r="G74" s="357"/>
      <c r="H74" s="357"/>
      <c r="I74" s="357"/>
      <c r="J74" s="357"/>
      <c r="K74" s="357"/>
      <c r="L74" s="357"/>
      <c r="M74" s="357"/>
      <c r="N74" s="357"/>
      <c r="P74" s="496"/>
    </row>
    <row r="75" spans="3:16" x14ac:dyDescent="0.35">
      <c r="C75" s="167"/>
      <c r="D75" s="167"/>
      <c r="E75" s="167"/>
      <c r="F75" s="167"/>
      <c r="G75" s="357"/>
      <c r="H75" s="357"/>
      <c r="I75" s="357"/>
      <c r="J75" s="357"/>
      <c r="K75" s="357"/>
      <c r="L75" s="357"/>
      <c r="M75" s="357"/>
      <c r="N75" s="357"/>
      <c r="P75" s="496"/>
    </row>
    <row r="76" spans="3:16" x14ac:dyDescent="0.35">
      <c r="C76" s="167"/>
      <c r="D76" s="167"/>
      <c r="E76" s="167"/>
      <c r="F76" s="167"/>
      <c r="G76" s="357"/>
      <c r="H76" s="357"/>
      <c r="I76" s="357"/>
      <c r="J76" s="357"/>
      <c r="K76" s="357"/>
      <c r="L76" s="357"/>
      <c r="M76" s="357"/>
      <c r="N76" s="357"/>
      <c r="P76" s="496"/>
    </row>
    <row r="77" spans="3:16" x14ac:dyDescent="0.35">
      <c r="C77" s="167"/>
      <c r="D77" s="167"/>
      <c r="E77" s="167"/>
      <c r="F77" s="167"/>
      <c r="G77" s="357"/>
      <c r="H77" s="357"/>
      <c r="I77" s="357"/>
      <c r="J77" s="357"/>
      <c r="K77" s="357"/>
      <c r="L77" s="357"/>
      <c r="M77" s="357"/>
      <c r="N77" s="357"/>
      <c r="P77" s="496"/>
    </row>
    <row r="78" spans="3:16" x14ac:dyDescent="0.35">
      <c r="C78" s="167"/>
      <c r="D78" s="167"/>
      <c r="E78" s="167"/>
      <c r="F78" s="167"/>
      <c r="G78" s="357"/>
      <c r="H78" s="357"/>
      <c r="I78" s="357"/>
      <c r="J78" s="357"/>
      <c r="K78" s="357"/>
      <c r="L78" s="357"/>
      <c r="M78" s="357"/>
      <c r="N78" s="357"/>
      <c r="P78" s="496"/>
    </row>
    <row r="79" spans="3:16" x14ac:dyDescent="0.35">
      <c r="C79" s="167"/>
      <c r="D79" s="167"/>
      <c r="E79" s="167"/>
      <c r="F79" s="167"/>
      <c r="G79" s="357"/>
      <c r="H79" s="357"/>
      <c r="I79" s="357"/>
      <c r="J79" s="357"/>
      <c r="K79" s="357"/>
      <c r="L79" s="357"/>
      <c r="M79" s="357"/>
      <c r="N79" s="357"/>
      <c r="P79" s="496"/>
    </row>
    <row r="80" spans="3:16" x14ac:dyDescent="0.35">
      <c r="C80" s="167"/>
      <c r="D80" s="167"/>
      <c r="E80" s="167"/>
      <c r="F80" s="167"/>
      <c r="G80" s="357"/>
      <c r="H80" s="357"/>
      <c r="I80" s="357"/>
      <c r="J80" s="357"/>
      <c r="K80" s="357"/>
      <c r="L80" s="357"/>
      <c r="M80" s="357"/>
      <c r="N80" s="357"/>
      <c r="P80" s="496"/>
    </row>
    <row r="81" spans="3:16" x14ac:dyDescent="0.35">
      <c r="C81" s="167"/>
      <c r="D81" s="167"/>
      <c r="E81" s="167"/>
      <c r="F81" s="167"/>
      <c r="G81" s="357"/>
      <c r="H81" s="357"/>
      <c r="I81" s="357"/>
      <c r="J81" s="357"/>
      <c r="K81" s="357"/>
      <c r="L81" s="357"/>
      <c r="M81" s="357"/>
      <c r="N81" s="357"/>
      <c r="P81" s="496"/>
    </row>
    <row r="82" spans="3:16" x14ac:dyDescent="0.35">
      <c r="C82" s="167"/>
      <c r="D82" s="167"/>
      <c r="E82" s="167"/>
      <c r="F82" s="167"/>
      <c r="G82" s="357"/>
      <c r="H82" s="357"/>
      <c r="I82" s="357"/>
      <c r="J82" s="357"/>
      <c r="K82" s="357"/>
      <c r="L82" s="357"/>
      <c r="M82" s="357"/>
      <c r="N82" s="357"/>
      <c r="P82" s="496"/>
    </row>
    <row r="83" spans="3:16" x14ac:dyDescent="0.35">
      <c r="C83" s="167"/>
      <c r="D83" s="167"/>
      <c r="E83" s="167"/>
      <c r="F83" s="167"/>
      <c r="G83" s="357"/>
      <c r="H83" s="357"/>
      <c r="I83" s="357"/>
      <c r="J83" s="357"/>
      <c r="K83" s="357"/>
      <c r="L83" s="357"/>
      <c r="M83" s="357"/>
      <c r="N83" s="357"/>
      <c r="P83" s="496"/>
    </row>
    <row r="84" spans="3:16" x14ac:dyDescent="0.35">
      <c r="C84" s="167"/>
      <c r="D84" s="167"/>
      <c r="E84" s="167"/>
      <c r="F84" s="167"/>
      <c r="G84" s="357"/>
      <c r="H84" s="357"/>
      <c r="I84" s="357"/>
      <c r="J84" s="357"/>
      <c r="K84" s="357"/>
      <c r="L84" s="357"/>
      <c r="M84" s="357"/>
      <c r="N84" s="357"/>
      <c r="P84" s="496"/>
    </row>
    <row r="85" spans="3:16" x14ac:dyDescent="0.35">
      <c r="C85" s="167"/>
      <c r="D85" s="167"/>
      <c r="E85" s="167"/>
      <c r="F85" s="167"/>
      <c r="G85" s="357"/>
      <c r="H85" s="357"/>
      <c r="I85" s="357"/>
      <c r="J85" s="357"/>
      <c r="K85" s="357"/>
      <c r="L85" s="357"/>
      <c r="M85" s="357"/>
      <c r="N85" s="357"/>
      <c r="P85" s="496"/>
    </row>
    <row r="86" spans="3:16" x14ac:dyDescent="0.35">
      <c r="C86" s="167"/>
      <c r="D86" s="167"/>
      <c r="E86" s="167"/>
      <c r="F86" s="167"/>
      <c r="G86" s="357"/>
      <c r="H86" s="357"/>
      <c r="I86" s="357"/>
      <c r="J86" s="357"/>
      <c r="K86" s="357"/>
      <c r="L86" s="357"/>
      <c r="M86" s="357"/>
      <c r="N86" s="357"/>
      <c r="P86" s="496"/>
    </row>
    <row r="87" spans="3:16" x14ac:dyDescent="0.35">
      <c r="C87" s="167"/>
      <c r="D87" s="167"/>
      <c r="E87" s="167"/>
      <c r="F87" s="167"/>
      <c r="G87" s="357"/>
      <c r="H87" s="357"/>
      <c r="I87" s="357"/>
      <c r="J87" s="357"/>
      <c r="K87" s="357"/>
      <c r="L87" s="357"/>
      <c r="M87" s="357"/>
      <c r="N87" s="357"/>
      <c r="P87" s="496"/>
    </row>
    <row r="88" spans="3:16" x14ac:dyDescent="0.35">
      <c r="C88" s="167"/>
      <c r="D88" s="167"/>
      <c r="E88" s="167"/>
      <c r="F88" s="167"/>
      <c r="G88" s="357"/>
      <c r="H88" s="357"/>
      <c r="I88" s="357"/>
      <c r="J88" s="357"/>
      <c r="K88" s="357"/>
      <c r="L88" s="357"/>
      <c r="M88" s="357"/>
      <c r="N88" s="357"/>
      <c r="P88" s="496"/>
    </row>
    <row r="89" spans="3:16" x14ac:dyDescent="0.35">
      <c r="C89" s="167"/>
      <c r="D89" s="167"/>
      <c r="E89" s="167"/>
      <c r="F89" s="167"/>
      <c r="G89" s="357"/>
      <c r="H89" s="357"/>
      <c r="I89" s="357"/>
      <c r="J89" s="357"/>
      <c r="K89" s="357"/>
      <c r="L89" s="357"/>
      <c r="M89" s="357"/>
      <c r="N89" s="357"/>
      <c r="P89" s="496"/>
    </row>
    <row r="90" spans="3:16" x14ac:dyDescent="0.35">
      <c r="C90" s="167"/>
      <c r="D90" s="167"/>
      <c r="E90" s="167"/>
      <c r="F90" s="167"/>
      <c r="G90" s="357"/>
      <c r="H90" s="357"/>
      <c r="I90" s="357"/>
      <c r="J90" s="357"/>
      <c r="K90" s="357"/>
      <c r="L90" s="357"/>
      <c r="M90" s="357"/>
      <c r="N90" s="357"/>
      <c r="P90" s="496"/>
    </row>
    <row r="91" spans="3:16" x14ac:dyDescent="0.35">
      <c r="C91" s="167"/>
      <c r="D91" s="167"/>
      <c r="E91" s="167"/>
      <c r="F91" s="167"/>
      <c r="G91" s="357"/>
      <c r="H91" s="357"/>
      <c r="I91" s="357"/>
      <c r="J91" s="357"/>
      <c r="K91" s="357"/>
      <c r="L91" s="357"/>
      <c r="M91" s="357"/>
      <c r="N91" s="357"/>
      <c r="P91" s="496"/>
    </row>
    <row r="92" spans="3:16" x14ac:dyDescent="0.35">
      <c r="C92" s="167"/>
      <c r="D92" s="167"/>
      <c r="E92" s="167"/>
      <c r="F92" s="167"/>
      <c r="G92" s="357"/>
      <c r="H92" s="357"/>
      <c r="I92" s="357"/>
      <c r="J92" s="357"/>
      <c r="K92" s="357"/>
      <c r="L92" s="357"/>
      <c r="M92" s="357"/>
      <c r="N92" s="357"/>
      <c r="P92" s="496"/>
    </row>
    <row r="93" spans="3:16" x14ac:dyDescent="0.35">
      <c r="C93" s="167"/>
      <c r="D93" s="167"/>
      <c r="E93" s="167"/>
      <c r="F93" s="167"/>
      <c r="G93" s="357"/>
      <c r="H93" s="357"/>
      <c r="I93" s="357"/>
      <c r="J93" s="357"/>
      <c r="K93" s="357"/>
      <c r="L93" s="357"/>
      <c r="M93" s="357"/>
      <c r="N93" s="357"/>
      <c r="P93" s="496"/>
    </row>
    <row r="94" spans="3:16" x14ac:dyDescent="0.35">
      <c r="C94" s="167"/>
      <c r="D94" s="167"/>
      <c r="E94" s="167"/>
      <c r="F94" s="167"/>
      <c r="G94" s="357"/>
      <c r="H94" s="357"/>
      <c r="I94" s="357"/>
      <c r="J94" s="357"/>
      <c r="K94" s="357"/>
      <c r="L94" s="357"/>
      <c r="M94" s="357"/>
      <c r="N94" s="357"/>
      <c r="P94" s="496"/>
    </row>
    <row r="95" spans="3:16" x14ac:dyDescent="0.35">
      <c r="C95" s="167"/>
      <c r="D95" s="167"/>
      <c r="E95" s="167"/>
      <c r="F95" s="167"/>
      <c r="G95" s="357"/>
      <c r="H95" s="357"/>
      <c r="I95" s="357"/>
      <c r="J95" s="357"/>
      <c r="K95" s="357"/>
      <c r="L95" s="357"/>
      <c r="M95" s="357"/>
      <c r="N95" s="357"/>
      <c r="P95" s="496"/>
    </row>
    <row r="96" spans="3:16" x14ac:dyDescent="0.35">
      <c r="C96" s="167"/>
      <c r="D96" s="167"/>
      <c r="E96" s="167"/>
      <c r="F96" s="167"/>
      <c r="G96" s="357"/>
      <c r="H96" s="357"/>
      <c r="I96" s="357"/>
      <c r="J96" s="357"/>
      <c r="K96" s="357"/>
      <c r="L96" s="357"/>
      <c r="M96" s="357"/>
      <c r="N96" s="357"/>
      <c r="P96" s="496"/>
    </row>
    <row r="97" spans="3:16" x14ac:dyDescent="0.35">
      <c r="C97" s="167"/>
      <c r="D97" s="167"/>
      <c r="E97" s="167"/>
      <c r="F97" s="167"/>
      <c r="G97" s="357"/>
      <c r="H97" s="357"/>
      <c r="I97" s="357"/>
      <c r="J97" s="357"/>
      <c r="K97" s="357"/>
      <c r="L97" s="357"/>
      <c r="M97" s="357"/>
      <c r="N97" s="357"/>
      <c r="P97" s="496"/>
    </row>
    <row r="98" spans="3:16" x14ac:dyDescent="0.35">
      <c r="C98" s="167"/>
      <c r="D98" s="167"/>
      <c r="E98" s="167"/>
      <c r="F98" s="167"/>
      <c r="G98" s="357"/>
      <c r="H98" s="357"/>
      <c r="I98" s="357"/>
      <c r="J98" s="357"/>
      <c r="K98" s="357"/>
      <c r="L98" s="357"/>
      <c r="M98" s="357"/>
      <c r="N98" s="357"/>
      <c r="P98" s="496"/>
    </row>
    <row r="99" spans="3:16" x14ac:dyDescent="0.35">
      <c r="C99" s="167"/>
      <c r="D99" s="167"/>
      <c r="E99" s="167"/>
      <c r="F99" s="167"/>
      <c r="G99" s="357"/>
      <c r="H99" s="357"/>
      <c r="I99" s="357"/>
      <c r="J99" s="357"/>
      <c r="K99" s="357"/>
      <c r="L99" s="357"/>
      <c r="M99" s="357"/>
      <c r="N99" s="357"/>
      <c r="P99" s="496"/>
    </row>
    <row r="100" spans="3:16" x14ac:dyDescent="0.35">
      <c r="C100" s="167"/>
      <c r="D100" s="167"/>
      <c r="E100" s="167"/>
      <c r="F100" s="167"/>
      <c r="G100" s="357"/>
      <c r="H100" s="357"/>
      <c r="I100" s="357"/>
      <c r="J100" s="357"/>
      <c r="K100" s="357"/>
      <c r="L100" s="357"/>
      <c r="M100" s="357"/>
      <c r="N100" s="357"/>
      <c r="P100" s="496"/>
    </row>
    <row r="101" spans="3:16" x14ac:dyDescent="0.35">
      <c r="C101" s="167"/>
      <c r="D101" s="167"/>
      <c r="E101" s="167"/>
      <c r="F101" s="167"/>
      <c r="G101" s="357"/>
      <c r="H101" s="357"/>
      <c r="I101" s="357"/>
      <c r="J101" s="357"/>
      <c r="K101" s="357"/>
      <c r="L101" s="357"/>
      <c r="M101" s="357"/>
      <c r="N101" s="357"/>
      <c r="P101" s="496"/>
    </row>
    <row r="102" spans="3:16" x14ac:dyDescent="0.35">
      <c r="C102" s="167"/>
      <c r="D102" s="167"/>
      <c r="E102" s="167"/>
      <c r="F102" s="167"/>
      <c r="G102" s="357"/>
      <c r="H102" s="357"/>
      <c r="I102" s="357"/>
      <c r="J102" s="357"/>
      <c r="K102" s="357"/>
      <c r="L102" s="357"/>
      <c r="M102" s="357"/>
      <c r="N102" s="357"/>
      <c r="P102" s="496"/>
    </row>
    <row r="103" spans="3:16" x14ac:dyDescent="0.35">
      <c r="C103" s="167"/>
      <c r="D103" s="167"/>
      <c r="E103" s="167"/>
      <c r="F103" s="167"/>
      <c r="G103" s="357"/>
      <c r="H103" s="357"/>
      <c r="I103" s="357"/>
      <c r="J103" s="357"/>
      <c r="K103" s="357"/>
      <c r="L103" s="357"/>
      <c r="M103" s="357"/>
      <c r="N103" s="357"/>
    </row>
    <row r="104" spans="3:16" x14ac:dyDescent="0.35">
      <c r="C104" s="167"/>
      <c r="D104" s="167"/>
      <c r="E104" s="167"/>
      <c r="F104" s="167"/>
      <c r="G104" s="357"/>
      <c r="H104" s="357"/>
      <c r="I104" s="357"/>
      <c r="J104" s="357"/>
      <c r="K104" s="357"/>
      <c r="L104" s="357"/>
      <c r="M104" s="357"/>
      <c r="N104" s="357"/>
    </row>
    <row r="105" spans="3:16" x14ac:dyDescent="0.35">
      <c r="C105" s="167"/>
      <c r="D105" s="167"/>
      <c r="E105" s="167"/>
      <c r="F105" s="167"/>
      <c r="G105" s="357"/>
      <c r="H105" s="357"/>
      <c r="I105" s="357"/>
      <c r="J105" s="357"/>
      <c r="K105" s="357"/>
      <c r="L105" s="357"/>
      <c r="M105" s="357"/>
      <c r="N105" s="357"/>
    </row>
    <row r="106" spans="3:16" x14ac:dyDescent="0.35">
      <c r="C106" s="167"/>
      <c r="D106" s="167"/>
      <c r="E106" s="167"/>
      <c r="F106" s="167"/>
      <c r="G106" s="357"/>
      <c r="H106" s="357"/>
      <c r="I106" s="357"/>
      <c r="J106" s="357"/>
      <c r="K106" s="357"/>
      <c r="L106" s="357"/>
      <c r="M106" s="357"/>
      <c r="N106" s="357"/>
    </row>
    <row r="107" spans="3:16" x14ac:dyDescent="0.35">
      <c r="C107" s="167"/>
      <c r="D107" s="167"/>
      <c r="E107" s="167"/>
      <c r="F107" s="167"/>
      <c r="G107" s="357"/>
      <c r="H107" s="357"/>
      <c r="I107" s="357"/>
      <c r="J107" s="357"/>
      <c r="K107" s="357"/>
      <c r="L107" s="357"/>
      <c r="M107" s="357"/>
      <c r="N107" s="357"/>
    </row>
    <row r="108" spans="3:16" x14ac:dyDescent="0.35">
      <c r="C108" s="167"/>
      <c r="D108" s="167"/>
      <c r="E108" s="167"/>
      <c r="F108" s="167"/>
      <c r="G108" s="357"/>
      <c r="H108" s="357"/>
      <c r="I108" s="357"/>
      <c r="J108" s="357"/>
      <c r="K108" s="357"/>
      <c r="L108" s="357"/>
      <c r="M108" s="357"/>
      <c r="N108" s="357"/>
    </row>
    <row r="109" spans="3:16" x14ac:dyDescent="0.35">
      <c r="C109" s="167"/>
      <c r="D109" s="167"/>
      <c r="E109" s="167"/>
      <c r="F109" s="167"/>
      <c r="G109" s="357"/>
      <c r="H109" s="357"/>
      <c r="I109" s="357"/>
      <c r="J109" s="357"/>
      <c r="K109" s="357"/>
      <c r="L109" s="357"/>
      <c r="M109" s="357"/>
      <c r="N109" s="357"/>
    </row>
    <row r="110" spans="3:16" x14ac:dyDescent="0.35">
      <c r="C110" s="167"/>
      <c r="D110" s="167"/>
      <c r="E110" s="167"/>
      <c r="F110" s="167"/>
      <c r="G110" s="357"/>
      <c r="H110" s="357"/>
      <c r="I110" s="357"/>
      <c r="J110" s="357"/>
      <c r="K110" s="357"/>
      <c r="L110" s="357"/>
      <c r="M110" s="357"/>
      <c r="N110" s="357"/>
    </row>
    <row r="111" spans="3:16" x14ac:dyDescent="0.35">
      <c r="C111" s="167"/>
      <c r="D111" s="167"/>
      <c r="E111" s="167"/>
      <c r="F111" s="167"/>
      <c r="G111" s="357"/>
      <c r="H111" s="357"/>
      <c r="I111" s="357"/>
      <c r="J111" s="357"/>
      <c r="K111" s="357"/>
      <c r="L111" s="357"/>
      <c r="M111" s="357"/>
      <c r="N111" s="357"/>
    </row>
    <row r="112" spans="3:16" x14ac:dyDescent="0.35">
      <c r="C112" s="167"/>
      <c r="D112" s="167"/>
      <c r="E112" s="167"/>
      <c r="F112" s="167"/>
      <c r="G112" s="357"/>
      <c r="H112" s="357"/>
      <c r="I112" s="357"/>
      <c r="J112" s="357"/>
      <c r="K112" s="357"/>
      <c r="L112" s="357"/>
      <c r="M112" s="357"/>
      <c r="N112" s="357"/>
    </row>
    <row r="113" spans="3:14" x14ac:dyDescent="0.35">
      <c r="C113" s="167"/>
      <c r="D113" s="167"/>
      <c r="E113" s="167"/>
      <c r="F113" s="167"/>
      <c r="G113" s="357"/>
      <c r="H113" s="357"/>
      <c r="I113" s="357"/>
      <c r="J113" s="357"/>
      <c r="K113" s="357"/>
      <c r="L113" s="357"/>
      <c r="M113" s="357"/>
      <c r="N113" s="357"/>
    </row>
    <row r="114" spans="3:14" x14ac:dyDescent="0.35">
      <c r="C114" s="167"/>
      <c r="D114" s="167"/>
      <c r="E114" s="167"/>
      <c r="F114" s="167"/>
      <c r="G114" s="357"/>
      <c r="H114" s="357"/>
      <c r="I114" s="357"/>
      <c r="J114" s="357"/>
      <c r="K114" s="357"/>
      <c r="L114" s="357"/>
      <c r="M114" s="357"/>
      <c r="N114" s="357"/>
    </row>
    <row r="115" spans="3:14" x14ac:dyDescent="0.35">
      <c r="C115" s="167"/>
      <c r="D115" s="167"/>
      <c r="E115" s="167"/>
      <c r="F115" s="167"/>
      <c r="G115" s="357"/>
      <c r="H115" s="357"/>
      <c r="I115" s="357"/>
      <c r="J115" s="357"/>
      <c r="K115" s="357"/>
      <c r="L115" s="357"/>
      <c r="M115" s="357"/>
      <c r="N115" s="357"/>
    </row>
    <row r="116" spans="3:14" x14ac:dyDescent="0.35">
      <c r="C116" s="167"/>
      <c r="D116" s="167"/>
      <c r="E116" s="167"/>
      <c r="F116" s="167"/>
      <c r="G116" s="357"/>
      <c r="H116" s="357"/>
      <c r="I116" s="357"/>
      <c r="J116" s="357"/>
      <c r="K116" s="357"/>
      <c r="L116" s="357"/>
      <c r="M116" s="357"/>
      <c r="N116" s="357"/>
    </row>
    <row r="117" spans="3:14" x14ac:dyDescent="0.35">
      <c r="C117" s="167"/>
      <c r="D117" s="167"/>
      <c r="E117" s="167"/>
      <c r="F117" s="167"/>
      <c r="G117" s="357"/>
      <c r="H117" s="357"/>
      <c r="I117" s="357"/>
      <c r="J117" s="357"/>
      <c r="K117" s="357"/>
      <c r="L117" s="357"/>
      <c r="M117" s="357"/>
      <c r="N117" s="357"/>
    </row>
    <row r="118" spans="3:14" x14ac:dyDescent="0.35">
      <c r="C118" s="167"/>
      <c r="D118" s="167"/>
      <c r="E118" s="167"/>
      <c r="F118" s="167"/>
      <c r="G118" s="357"/>
      <c r="H118" s="357"/>
      <c r="I118" s="357"/>
      <c r="J118" s="357"/>
      <c r="K118" s="357"/>
      <c r="L118" s="357"/>
      <c r="M118" s="357"/>
      <c r="N118" s="357"/>
    </row>
    <row r="119" spans="3:14" x14ac:dyDescent="0.35">
      <c r="C119" s="167"/>
      <c r="D119" s="167"/>
      <c r="E119" s="167"/>
      <c r="F119" s="167"/>
      <c r="G119" s="357"/>
      <c r="H119" s="357"/>
      <c r="I119" s="357"/>
      <c r="J119" s="357"/>
      <c r="K119" s="357"/>
      <c r="L119" s="357"/>
      <c r="M119" s="357"/>
      <c r="N119" s="357"/>
    </row>
    <row r="120" spans="3:14" x14ac:dyDescent="0.35">
      <c r="C120" s="167"/>
      <c r="D120" s="167"/>
      <c r="E120" s="167"/>
      <c r="F120" s="167"/>
      <c r="G120" s="357"/>
      <c r="H120" s="357"/>
      <c r="I120" s="357"/>
      <c r="J120" s="357"/>
      <c r="K120" s="357"/>
      <c r="L120" s="357"/>
      <c r="M120" s="357"/>
      <c r="N120" s="357"/>
    </row>
    <row r="121" spans="3:14" x14ac:dyDescent="0.35">
      <c r="C121" s="167"/>
      <c r="D121" s="167"/>
      <c r="E121" s="167"/>
      <c r="F121" s="167"/>
      <c r="G121" s="357"/>
      <c r="H121" s="357"/>
      <c r="I121" s="357"/>
      <c r="J121" s="357"/>
      <c r="K121" s="357"/>
      <c r="L121" s="357"/>
      <c r="M121" s="357"/>
      <c r="N121" s="357"/>
    </row>
    <row r="122" spans="3:14" x14ac:dyDescent="0.35">
      <c r="C122" s="167"/>
      <c r="D122" s="167"/>
      <c r="E122" s="167"/>
      <c r="F122" s="167"/>
      <c r="G122" s="357"/>
      <c r="H122" s="357"/>
      <c r="I122" s="357"/>
      <c r="J122" s="357"/>
      <c r="K122" s="357"/>
      <c r="L122" s="357"/>
      <c r="M122" s="357"/>
      <c r="N122" s="357"/>
    </row>
    <row r="123" spans="3:14" x14ac:dyDescent="0.35">
      <c r="C123" s="167"/>
      <c r="D123" s="167"/>
      <c r="E123" s="167"/>
      <c r="F123" s="167"/>
      <c r="G123" s="357"/>
      <c r="H123" s="357"/>
      <c r="I123" s="357"/>
      <c r="J123" s="357"/>
      <c r="K123" s="357"/>
      <c r="L123" s="357"/>
      <c r="M123" s="357"/>
      <c r="N123" s="357"/>
    </row>
    <row r="124" spans="3:14" x14ac:dyDescent="0.35">
      <c r="C124" s="167"/>
      <c r="D124" s="167"/>
      <c r="E124" s="167"/>
      <c r="F124" s="167"/>
      <c r="G124" s="357"/>
      <c r="H124" s="357"/>
      <c r="I124" s="357"/>
      <c r="J124" s="357"/>
      <c r="K124" s="357"/>
      <c r="L124" s="357"/>
      <c r="M124" s="357"/>
      <c r="N124" s="357"/>
    </row>
    <row r="125" spans="3:14" x14ac:dyDescent="0.35">
      <c r="C125" s="167"/>
      <c r="D125" s="167"/>
      <c r="E125" s="167"/>
      <c r="F125" s="167"/>
      <c r="G125" s="357"/>
      <c r="H125" s="357"/>
      <c r="I125" s="357"/>
      <c r="J125" s="357"/>
      <c r="K125" s="357"/>
      <c r="L125" s="357"/>
      <c r="M125" s="357"/>
      <c r="N125" s="357"/>
    </row>
    <row r="126" spans="3:14" x14ac:dyDescent="0.35">
      <c r="C126" s="167"/>
      <c r="D126" s="167"/>
      <c r="E126" s="167"/>
      <c r="F126" s="167"/>
      <c r="G126" s="357"/>
      <c r="H126" s="357"/>
      <c r="I126" s="357"/>
      <c r="J126" s="357"/>
      <c r="K126" s="357"/>
      <c r="L126" s="357"/>
      <c r="M126" s="357"/>
      <c r="N126" s="357"/>
    </row>
    <row r="127" spans="3:14" x14ac:dyDescent="0.35">
      <c r="C127" s="167"/>
      <c r="D127" s="167"/>
      <c r="E127" s="167"/>
      <c r="F127" s="167"/>
      <c r="G127" s="357"/>
      <c r="H127" s="357"/>
      <c r="I127" s="357"/>
      <c r="J127" s="357"/>
      <c r="K127" s="357"/>
      <c r="L127" s="357"/>
      <c r="M127" s="357"/>
      <c r="N127" s="357"/>
    </row>
    <row r="128" spans="3:14" x14ac:dyDescent="0.35">
      <c r="C128" s="167"/>
      <c r="D128" s="167"/>
      <c r="E128" s="167"/>
      <c r="F128" s="167"/>
      <c r="G128" s="357"/>
      <c r="H128" s="357"/>
      <c r="I128" s="357"/>
      <c r="J128" s="357"/>
      <c r="K128" s="357"/>
      <c r="L128" s="357"/>
      <c r="M128" s="357"/>
      <c r="N128" s="357"/>
    </row>
    <row r="129" spans="3:14" x14ac:dyDescent="0.35">
      <c r="C129" s="167"/>
      <c r="D129" s="167"/>
      <c r="E129" s="167"/>
      <c r="F129" s="167"/>
      <c r="G129" s="357"/>
      <c r="H129" s="357"/>
      <c r="I129" s="357"/>
      <c r="J129" s="357"/>
      <c r="K129" s="357"/>
      <c r="L129" s="357"/>
      <c r="M129" s="357"/>
      <c r="N129" s="357"/>
    </row>
    <row r="130" spans="3:14" x14ac:dyDescent="0.35">
      <c r="C130" s="167"/>
      <c r="D130" s="167"/>
      <c r="E130" s="167"/>
      <c r="F130" s="167"/>
      <c r="G130" s="357"/>
      <c r="H130" s="357"/>
      <c r="I130" s="357"/>
      <c r="J130" s="357"/>
      <c r="K130" s="357"/>
      <c r="L130" s="357"/>
      <c r="M130" s="357"/>
      <c r="N130" s="357"/>
    </row>
    <row r="131" spans="3:14" x14ac:dyDescent="0.35">
      <c r="C131" s="167"/>
      <c r="D131" s="167"/>
      <c r="E131" s="167"/>
      <c r="F131" s="167"/>
      <c r="G131" s="357"/>
      <c r="H131" s="357"/>
      <c r="I131" s="357"/>
      <c r="J131" s="357"/>
      <c r="K131" s="357"/>
      <c r="L131" s="357"/>
      <c r="M131" s="357"/>
      <c r="N131" s="357"/>
    </row>
    <row r="132" spans="3:14" x14ac:dyDescent="0.35">
      <c r="C132" s="167"/>
      <c r="D132" s="167"/>
      <c r="E132" s="167"/>
      <c r="F132" s="167"/>
      <c r="G132" s="357"/>
      <c r="H132" s="357"/>
      <c r="I132" s="357"/>
      <c r="J132" s="357"/>
      <c r="K132" s="357"/>
      <c r="L132" s="357"/>
      <c r="M132" s="357"/>
      <c r="N132" s="357"/>
    </row>
    <row r="133" spans="3:14" x14ac:dyDescent="0.35">
      <c r="C133" s="167"/>
      <c r="D133" s="167"/>
      <c r="E133" s="167"/>
      <c r="F133" s="167"/>
      <c r="G133" s="357"/>
      <c r="H133" s="357"/>
      <c r="I133" s="357"/>
      <c r="J133" s="357"/>
      <c r="K133" s="357"/>
      <c r="L133" s="357"/>
      <c r="M133" s="357"/>
      <c r="N133" s="357"/>
    </row>
    <row r="134" spans="3:14" x14ac:dyDescent="0.35">
      <c r="C134" s="167"/>
      <c r="D134" s="167"/>
      <c r="E134" s="167"/>
      <c r="F134" s="167"/>
      <c r="G134" s="357"/>
      <c r="H134" s="357"/>
      <c r="I134" s="357"/>
      <c r="J134" s="357"/>
      <c r="K134" s="357"/>
      <c r="L134" s="357"/>
      <c r="M134" s="357"/>
      <c r="N134" s="357"/>
    </row>
    <row r="135" spans="3:14" x14ac:dyDescent="0.35">
      <c r="C135" s="167"/>
      <c r="D135" s="167"/>
      <c r="E135" s="167"/>
      <c r="F135" s="167"/>
      <c r="G135" s="357"/>
      <c r="H135" s="357"/>
      <c r="I135" s="357"/>
      <c r="J135" s="357"/>
      <c r="K135" s="357"/>
      <c r="L135" s="357"/>
      <c r="M135" s="357"/>
      <c r="N135" s="357"/>
    </row>
    <row r="136" spans="3:14" x14ac:dyDescent="0.35">
      <c r="C136" s="167"/>
      <c r="D136" s="167"/>
      <c r="E136" s="167"/>
      <c r="F136" s="167"/>
      <c r="G136" s="357"/>
      <c r="H136" s="357"/>
      <c r="I136" s="357"/>
      <c r="J136" s="357"/>
      <c r="K136" s="357"/>
      <c r="L136" s="357"/>
      <c r="M136" s="357"/>
      <c r="N136" s="357"/>
    </row>
    <row r="137" spans="3:14" x14ac:dyDescent="0.35">
      <c r="C137" s="167"/>
      <c r="D137" s="167"/>
      <c r="E137" s="167"/>
      <c r="F137" s="167"/>
      <c r="G137" s="357"/>
      <c r="H137" s="357"/>
      <c r="I137" s="357"/>
      <c r="J137" s="357"/>
      <c r="K137" s="357"/>
      <c r="L137" s="357"/>
      <c r="M137" s="357"/>
      <c r="N137" s="357"/>
    </row>
    <row r="138" spans="3:14" x14ac:dyDescent="0.35">
      <c r="C138" s="167"/>
      <c r="D138" s="167"/>
      <c r="E138" s="167"/>
      <c r="F138" s="167"/>
      <c r="G138" s="357"/>
      <c r="H138" s="357"/>
      <c r="I138" s="357"/>
      <c r="J138" s="357"/>
      <c r="K138" s="357"/>
      <c r="L138" s="357"/>
      <c r="M138" s="357"/>
      <c r="N138" s="357"/>
    </row>
    <row r="139" spans="3:14" x14ac:dyDescent="0.35">
      <c r="C139" s="167"/>
      <c r="D139" s="167"/>
      <c r="E139" s="167"/>
      <c r="F139" s="167"/>
      <c r="G139" s="357"/>
      <c r="H139" s="357"/>
      <c r="I139" s="357"/>
      <c r="J139" s="357"/>
      <c r="K139" s="357"/>
      <c r="L139" s="357"/>
      <c r="M139" s="357"/>
      <c r="N139" s="357"/>
    </row>
    <row r="140" spans="3:14" x14ac:dyDescent="0.35">
      <c r="C140" s="167"/>
      <c r="D140" s="167"/>
      <c r="E140" s="167"/>
      <c r="F140" s="167"/>
      <c r="G140" s="357"/>
      <c r="H140" s="357"/>
      <c r="I140" s="357"/>
      <c r="J140" s="357"/>
      <c r="K140" s="357"/>
      <c r="L140" s="357"/>
      <c r="M140" s="357"/>
      <c r="N140" s="357"/>
    </row>
    <row r="141" spans="3:14" x14ac:dyDescent="0.35">
      <c r="C141" s="167"/>
      <c r="D141" s="167"/>
      <c r="E141" s="167"/>
      <c r="F141" s="167"/>
      <c r="G141" s="357"/>
      <c r="H141" s="357"/>
      <c r="I141" s="357"/>
      <c r="J141" s="357"/>
      <c r="K141" s="357"/>
      <c r="L141" s="357"/>
      <c r="M141" s="357"/>
      <c r="N141" s="357"/>
    </row>
    <row r="142" spans="3:14" x14ac:dyDescent="0.35">
      <c r="C142" s="167"/>
      <c r="D142" s="167"/>
      <c r="E142" s="167"/>
      <c r="F142" s="167"/>
      <c r="G142" s="357"/>
      <c r="H142" s="357"/>
      <c r="I142" s="357"/>
      <c r="J142" s="357"/>
      <c r="K142" s="357"/>
      <c r="L142" s="357"/>
      <c r="M142" s="357"/>
      <c r="N142" s="357"/>
    </row>
    <row r="143" spans="3:14" x14ac:dyDescent="0.35">
      <c r="C143" s="167"/>
      <c r="D143" s="167"/>
      <c r="E143" s="167"/>
      <c r="F143" s="167"/>
      <c r="G143" s="357"/>
      <c r="H143" s="357"/>
      <c r="I143" s="357"/>
      <c r="J143" s="357"/>
      <c r="K143" s="357"/>
      <c r="L143" s="357"/>
      <c r="M143" s="357"/>
      <c r="N143" s="357"/>
    </row>
    <row r="144" spans="3:14" x14ac:dyDescent="0.35">
      <c r="C144" s="167"/>
      <c r="D144" s="167"/>
      <c r="E144" s="167"/>
      <c r="F144" s="167"/>
      <c r="G144" s="357"/>
      <c r="H144" s="357"/>
      <c r="I144" s="357"/>
      <c r="J144" s="357"/>
      <c r="K144" s="357"/>
      <c r="L144" s="357"/>
      <c r="M144" s="357"/>
      <c r="N144" s="357"/>
    </row>
    <row r="145" spans="3:14" x14ac:dyDescent="0.35">
      <c r="C145" s="167"/>
      <c r="D145" s="167"/>
      <c r="E145" s="167"/>
      <c r="F145" s="167"/>
      <c r="G145" s="357"/>
      <c r="H145" s="357"/>
      <c r="I145" s="357"/>
      <c r="J145" s="357"/>
      <c r="K145" s="357"/>
      <c r="L145" s="357"/>
      <c r="M145" s="357"/>
      <c r="N145" s="357"/>
    </row>
    <row r="146" spans="3:14" x14ac:dyDescent="0.35">
      <c r="C146" s="167"/>
      <c r="D146" s="167"/>
      <c r="E146" s="167"/>
      <c r="F146" s="167"/>
      <c r="G146" s="357"/>
      <c r="H146" s="357"/>
      <c r="I146" s="357"/>
      <c r="J146" s="357"/>
      <c r="K146" s="357"/>
      <c r="L146" s="357"/>
      <c r="M146" s="357"/>
      <c r="N146" s="357"/>
    </row>
    <row r="147" spans="3:14" x14ac:dyDescent="0.35">
      <c r="C147" s="167"/>
      <c r="D147" s="167"/>
      <c r="E147" s="167"/>
      <c r="F147" s="167"/>
      <c r="G147" s="357"/>
      <c r="H147" s="357"/>
      <c r="I147" s="357"/>
      <c r="J147" s="357"/>
      <c r="K147" s="357"/>
      <c r="L147" s="357"/>
      <c r="M147" s="357"/>
      <c r="N147" s="357"/>
    </row>
    <row r="148" spans="3:14" x14ac:dyDescent="0.35">
      <c r="C148" s="167"/>
      <c r="D148" s="167"/>
      <c r="E148" s="167"/>
      <c r="F148" s="167"/>
      <c r="G148" s="357"/>
      <c r="H148" s="357"/>
      <c r="I148" s="357"/>
      <c r="J148" s="357"/>
      <c r="K148" s="357"/>
      <c r="L148" s="357"/>
      <c r="M148" s="357"/>
      <c r="N148" s="357"/>
    </row>
    <row r="149" spans="3:14" x14ac:dyDescent="0.35">
      <c r="C149" s="167"/>
      <c r="D149" s="167"/>
      <c r="E149" s="167"/>
      <c r="F149" s="167"/>
      <c r="G149" s="357"/>
      <c r="H149" s="357"/>
      <c r="I149" s="357"/>
      <c r="J149" s="357"/>
      <c r="K149" s="357"/>
      <c r="L149" s="357"/>
      <c r="M149" s="357"/>
      <c r="N149" s="357"/>
    </row>
    <row r="150" spans="3:14" x14ac:dyDescent="0.35">
      <c r="C150" s="167"/>
      <c r="D150" s="167"/>
      <c r="E150" s="167"/>
      <c r="F150" s="167"/>
      <c r="G150" s="357"/>
      <c r="H150" s="357"/>
      <c r="I150" s="357"/>
      <c r="J150" s="357"/>
      <c r="K150" s="357"/>
      <c r="L150" s="357"/>
      <c r="M150" s="357"/>
      <c r="N150" s="357"/>
    </row>
    <row r="151" spans="3:14" x14ac:dyDescent="0.35">
      <c r="C151" s="167"/>
      <c r="D151" s="167"/>
      <c r="E151" s="167"/>
      <c r="F151" s="167"/>
      <c r="G151" s="357"/>
      <c r="H151" s="357"/>
      <c r="I151" s="357"/>
      <c r="J151" s="357"/>
      <c r="K151" s="357"/>
      <c r="L151" s="357"/>
      <c r="M151" s="357"/>
      <c r="N151" s="357"/>
    </row>
    <row r="152" spans="3:14" x14ac:dyDescent="0.35">
      <c r="C152" s="167"/>
      <c r="D152" s="167"/>
      <c r="E152" s="167"/>
      <c r="F152" s="167"/>
      <c r="G152" s="357"/>
      <c r="H152" s="357"/>
      <c r="I152" s="357"/>
      <c r="J152" s="357"/>
      <c r="K152" s="357"/>
      <c r="L152" s="357"/>
      <c r="M152" s="357"/>
      <c r="N152" s="357"/>
    </row>
    <row r="153" spans="3:14" x14ac:dyDescent="0.35">
      <c r="C153" s="167"/>
      <c r="D153" s="167"/>
      <c r="E153" s="167"/>
      <c r="F153" s="167"/>
      <c r="G153" s="357"/>
      <c r="H153" s="357"/>
      <c r="I153" s="357"/>
      <c r="J153" s="357"/>
      <c r="K153" s="357"/>
      <c r="L153" s="357"/>
      <c r="M153" s="357"/>
      <c r="N153" s="357"/>
    </row>
    <row r="154" spans="3:14" x14ac:dyDescent="0.35">
      <c r="C154" s="167"/>
      <c r="D154" s="167"/>
      <c r="E154" s="167"/>
      <c r="F154" s="167"/>
      <c r="G154" s="357"/>
      <c r="H154" s="357"/>
      <c r="I154" s="357"/>
      <c r="J154" s="357"/>
      <c r="K154" s="357"/>
      <c r="L154" s="357"/>
      <c r="M154" s="357"/>
      <c r="N154" s="357"/>
    </row>
    <row r="155" spans="3:14" x14ac:dyDescent="0.35">
      <c r="C155" s="167"/>
      <c r="D155" s="167"/>
      <c r="E155" s="167"/>
      <c r="F155" s="167"/>
      <c r="G155" s="357"/>
      <c r="H155" s="357"/>
      <c r="I155" s="357"/>
      <c r="J155" s="357"/>
      <c r="K155" s="357"/>
      <c r="L155" s="357"/>
      <c r="M155" s="357"/>
      <c r="N155" s="357"/>
    </row>
    <row r="156" spans="3:14" x14ac:dyDescent="0.35">
      <c r="C156" s="167"/>
      <c r="D156" s="167"/>
      <c r="E156" s="167"/>
      <c r="F156" s="167"/>
      <c r="G156" s="357"/>
      <c r="H156" s="357"/>
      <c r="I156" s="357"/>
      <c r="J156" s="357"/>
      <c r="K156" s="357"/>
      <c r="L156" s="357"/>
      <c r="M156" s="357"/>
      <c r="N156" s="357"/>
    </row>
    <row r="157" spans="3:14" x14ac:dyDescent="0.35">
      <c r="C157" s="167"/>
      <c r="D157" s="167"/>
      <c r="E157" s="167"/>
      <c r="F157" s="167"/>
      <c r="G157" s="357"/>
      <c r="H157" s="357"/>
      <c r="I157" s="357"/>
      <c r="J157" s="357"/>
      <c r="K157" s="357"/>
      <c r="L157" s="357"/>
      <c r="M157" s="357"/>
      <c r="N157" s="357"/>
    </row>
    <row r="158" spans="3:14" x14ac:dyDescent="0.35">
      <c r="C158" s="167"/>
      <c r="D158" s="167"/>
      <c r="E158" s="167"/>
      <c r="F158" s="167"/>
      <c r="G158" s="357"/>
      <c r="H158" s="357"/>
      <c r="I158" s="357"/>
      <c r="J158" s="357"/>
      <c r="K158" s="357"/>
      <c r="L158" s="357"/>
      <c r="M158" s="357"/>
      <c r="N158" s="357"/>
    </row>
    <row r="159" spans="3:14" x14ac:dyDescent="0.35">
      <c r="C159" s="167"/>
      <c r="D159" s="167"/>
      <c r="E159" s="167"/>
      <c r="F159" s="167"/>
      <c r="G159" s="357"/>
      <c r="H159" s="357"/>
      <c r="I159" s="357"/>
      <c r="J159" s="357"/>
      <c r="K159" s="357"/>
      <c r="L159" s="357"/>
      <c r="M159" s="357"/>
      <c r="N159" s="357"/>
    </row>
    <row r="160" spans="3:14" x14ac:dyDescent="0.35">
      <c r="C160" s="167"/>
      <c r="D160" s="167"/>
      <c r="E160" s="167"/>
      <c r="F160" s="167"/>
      <c r="G160" s="357"/>
      <c r="H160" s="357"/>
      <c r="I160" s="357"/>
      <c r="J160" s="357"/>
      <c r="K160" s="357"/>
      <c r="L160" s="357"/>
      <c r="M160" s="357"/>
      <c r="N160" s="357"/>
    </row>
    <row r="161" spans="3:14" x14ac:dyDescent="0.35">
      <c r="C161" s="167"/>
      <c r="D161" s="167"/>
      <c r="E161" s="167"/>
      <c r="F161" s="167"/>
      <c r="G161" s="357"/>
      <c r="H161" s="357"/>
      <c r="I161" s="357"/>
      <c r="J161" s="357"/>
      <c r="K161" s="357"/>
      <c r="L161" s="357"/>
      <c r="M161" s="357"/>
      <c r="N161" s="357"/>
    </row>
    <row r="162" spans="3:14" x14ac:dyDescent="0.35">
      <c r="C162" s="167"/>
      <c r="D162" s="167"/>
      <c r="E162" s="167"/>
      <c r="F162" s="167"/>
      <c r="G162" s="357"/>
      <c r="H162" s="357"/>
      <c r="I162" s="357"/>
      <c r="J162" s="357"/>
      <c r="K162" s="357"/>
      <c r="L162" s="357"/>
      <c r="M162" s="357"/>
      <c r="N162" s="357"/>
    </row>
    <row r="163" spans="3:14" x14ac:dyDescent="0.35">
      <c r="C163" s="167"/>
      <c r="D163" s="167"/>
      <c r="E163" s="167"/>
      <c r="F163" s="167"/>
      <c r="G163" s="357"/>
      <c r="H163" s="357"/>
      <c r="I163" s="357"/>
      <c r="J163" s="357"/>
      <c r="K163" s="357"/>
      <c r="L163" s="357"/>
      <c r="M163" s="357"/>
      <c r="N163" s="357"/>
    </row>
    <row r="164" spans="3:14" x14ac:dyDescent="0.35">
      <c r="C164" s="167"/>
      <c r="D164" s="167"/>
      <c r="E164" s="167"/>
      <c r="F164" s="167"/>
      <c r="G164" s="357"/>
      <c r="H164" s="357"/>
      <c r="I164" s="357"/>
      <c r="J164" s="357"/>
      <c r="K164" s="357"/>
      <c r="L164" s="357"/>
      <c r="M164" s="357"/>
      <c r="N164" s="357"/>
    </row>
    <row r="165" spans="3:14" x14ac:dyDescent="0.35">
      <c r="C165" s="167"/>
      <c r="D165" s="167"/>
      <c r="E165" s="167"/>
      <c r="F165" s="167"/>
      <c r="G165" s="357"/>
      <c r="H165" s="357"/>
      <c r="I165" s="357"/>
      <c r="J165" s="357"/>
      <c r="K165" s="357"/>
      <c r="L165" s="357"/>
      <c r="M165" s="357"/>
      <c r="N165" s="357"/>
    </row>
    <row r="166" spans="3:14" x14ac:dyDescent="0.35">
      <c r="C166" s="167"/>
      <c r="D166" s="167"/>
      <c r="E166" s="167"/>
      <c r="F166" s="167"/>
      <c r="G166" s="357"/>
      <c r="H166" s="357"/>
      <c r="I166" s="357"/>
      <c r="J166" s="357"/>
      <c r="K166" s="357"/>
      <c r="L166" s="357"/>
      <c r="M166" s="357"/>
      <c r="N166" s="357"/>
    </row>
    <row r="167" spans="3:14" x14ac:dyDescent="0.35">
      <c r="C167" s="167"/>
      <c r="D167" s="167"/>
      <c r="E167" s="167"/>
      <c r="F167" s="167"/>
      <c r="G167" s="357"/>
      <c r="H167" s="357"/>
      <c r="I167" s="357"/>
      <c r="J167" s="357"/>
      <c r="K167" s="357"/>
      <c r="L167" s="357"/>
      <c r="M167" s="357"/>
      <c r="N167" s="357"/>
    </row>
    <row r="168" spans="3:14" x14ac:dyDescent="0.35">
      <c r="C168" s="167"/>
      <c r="D168" s="167"/>
      <c r="E168" s="167"/>
      <c r="F168" s="167"/>
      <c r="G168" s="357"/>
      <c r="H168" s="357"/>
      <c r="I168" s="357"/>
      <c r="J168" s="357"/>
      <c r="K168" s="357"/>
      <c r="L168" s="357"/>
      <c r="M168" s="357"/>
      <c r="N168" s="357"/>
    </row>
    <row r="169" spans="3:14" x14ac:dyDescent="0.35">
      <c r="C169" s="167"/>
      <c r="D169" s="167"/>
      <c r="E169" s="167"/>
      <c r="F169" s="167"/>
      <c r="G169" s="357"/>
      <c r="H169" s="357"/>
      <c r="I169" s="357"/>
      <c r="J169" s="357"/>
      <c r="K169" s="357"/>
      <c r="L169" s="357"/>
      <c r="M169" s="357"/>
      <c r="N169" s="357"/>
    </row>
    <row r="170" spans="3:14" x14ac:dyDescent="0.35">
      <c r="C170" s="167"/>
      <c r="D170" s="167"/>
      <c r="E170" s="167"/>
      <c r="F170" s="167"/>
      <c r="G170" s="357"/>
      <c r="H170" s="357"/>
      <c r="I170" s="357"/>
      <c r="J170" s="357"/>
      <c r="K170" s="357"/>
      <c r="L170" s="357"/>
      <c r="M170" s="357"/>
      <c r="N170" s="357"/>
    </row>
    <row r="171" spans="3:14" x14ac:dyDescent="0.35">
      <c r="C171" s="167"/>
      <c r="D171" s="167"/>
      <c r="E171" s="167"/>
      <c r="F171" s="167"/>
      <c r="G171" s="357"/>
      <c r="H171" s="357"/>
      <c r="I171" s="357"/>
      <c r="J171" s="357"/>
      <c r="K171" s="357"/>
      <c r="L171" s="357"/>
      <c r="M171" s="357"/>
      <c r="N171" s="357"/>
    </row>
    <row r="172" spans="3:14" x14ac:dyDescent="0.35">
      <c r="C172" s="167"/>
      <c r="D172" s="167"/>
      <c r="E172" s="167"/>
      <c r="F172" s="167"/>
      <c r="G172" s="357"/>
      <c r="H172" s="357"/>
      <c r="I172" s="357"/>
      <c r="J172" s="357"/>
      <c r="K172" s="357"/>
      <c r="L172" s="357"/>
      <c r="M172" s="357"/>
      <c r="N172" s="357"/>
    </row>
    <row r="173" spans="3:14" x14ac:dyDescent="0.35">
      <c r="C173" s="167"/>
      <c r="D173" s="167"/>
      <c r="E173" s="167"/>
      <c r="F173" s="167"/>
      <c r="G173" s="357"/>
      <c r="H173" s="357"/>
      <c r="I173" s="357"/>
      <c r="J173" s="357"/>
      <c r="K173" s="357"/>
      <c r="L173" s="357"/>
      <c r="M173" s="357"/>
      <c r="N173" s="357"/>
    </row>
    <row r="174" spans="3:14" x14ac:dyDescent="0.35">
      <c r="C174" s="167"/>
      <c r="D174" s="167"/>
      <c r="E174" s="167"/>
      <c r="F174" s="167"/>
      <c r="G174" s="357"/>
      <c r="H174" s="357"/>
      <c r="I174" s="357"/>
      <c r="J174" s="357"/>
      <c r="K174" s="357"/>
      <c r="L174" s="357"/>
      <c r="M174" s="357"/>
      <c r="N174" s="357"/>
    </row>
    <row r="175" spans="3:14" x14ac:dyDescent="0.35">
      <c r="C175" s="167"/>
      <c r="D175" s="167"/>
      <c r="E175" s="167"/>
      <c r="F175" s="167"/>
      <c r="G175" s="357"/>
      <c r="H175" s="357"/>
      <c r="I175" s="357"/>
      <c r="J175" s="357"/>
      <c r="K175" s="357"/>
      <c r="L175" s="357"/>
      <c r="M175" s="357"/>
      <c r="N175" s="357"/>
    </row>
    <row r="176" spans="3:14" x14ac:dyDescent="0.35">
      <c r="C176" s="167"/>
      <c r="D176" s="167"/>
      <c r="E176" s="167"/>
      <c r="F176" s="167"/>
      <c r="G176" s="357"/>
      <c r="H176" s="357"/>
      <c r="I176" s="357"/>
      <c r="J176" s="357"/>
      <c r="K176" s="357"/>
      <c r="L176" s="357"/>
      <c r="M176" s="357"/>
      <c r="N176" s="357"/>
    </row>
    <row r="177" spans="3:14" x14ac:dyDescent="0.35">
      <c r="C177" s="167"/>
      <c r="D177" s="167"/>
      <c r="E177" s="167"/>
      <c r="F177" s="167"/>
      <c r="G177" s="357"/>
      <c r="H177" s="357"/>
      <c r="I177" s="357"/>
      <c r="J177" s="357"/>
      <c r="K177" s="357"/>
      <c r="L177" s="357"/>
      <c r="M177" s="357"/>
      <c r="N177" s="357"/>
    </row>
    <row r="178" spans="3:14" x14ac:dyDescent="0.35">
      <c r="C178" s="167"/>
      <c r="D178" s="167"/>
      <c r="E178" s="167"/>
      <c r="F178" s="167"/>
      <c r="G178" s="357"/>
      <c r="H178" s="357"/>
      <c r="I178" s="357"/>
      <c r="J178" s="357"/>
      <c r="K178" s="357"/>
      <c r="L178" s="357"/>
      <c r="M178" s="357"/>
      <c r="N178" s="357"/>
    </row>
    <row r="179" spans="3:14" x14ac:dyDescent="0.35">
      <c r="C179" s="167"/>
      <c r="D179" s="167"/>
      <c r="E179" s="167"/>
      <c r="F179" s="167"/>
      <c r="G179" s="357"/>
      <c r="H179" s="357"/>
      <c r="I179" s="357"/>
      <c r="J179" s="357"/>
      <c r="K179" s="357"/>
      <c r="L179" s="357"/>
      <c r="M179" s="357"/>
      <c r="N179" s="357"/>
    </row>
    <row r="180" spans="3:14" x14ac:dyDescent="0.35">
      <c r="C180" s="167"/>
      <c r="D180" s="167"/>
      <c r="E180" s="167"/>
      <c r="F180" s="167"/>
      <c r="G180" s="357"/>
      <c r="H180" s="357"/>
      <c r="I180" s="357"/>
      <c r="J180" s="357"/>
      <c r="K180" s="357"/>
      <c r="L180" s="357"/>
      <c r="M180" s="357"/>
      <c r="N180" s="357"/>
    </row>
    <row r="181" spans="3:14" x14ac:dyDescent="0.35">
      <c r="C181" s="167"/>
      <c r="D181" s="167"/>
      <c r="E181" s="167"/>
      <c r="F181" s="167"/>
      <c r="G181" s="357"/>
      <c r="H181" s="357"/>
      <c r="I181" s="357"/>
      <c r="J181" s="357"/>
      <c r="K181" s="357"/>
      <c r="L181" s="357"/>
      <c r="M181" s="357"/>
      <c r="N181" s="357"/>
    </row>
    <row r="182" spans="3:14" x14ac:dyDescent="0.35">
      <c r="C182" s="167"/>
      <c r="D182" s="167"/>
      <c r="E182" s="167"/>
      <c r="F182" s="167"/>
      <c r="G182" s="357"/>
      <c r="H182" s="357"/>
      <c r="I182" s="357"/>
      <c r="J182" s="357"/>
      <c r="K182" s="357"/>
      <c r="L182" s="357"/>
      <c r="M182" s="357"/>
      <c r="N182" s="357"/>
    </row>
    <row r="183" spans="3:14" x14ac:dyDescent="0.35">
      <c r="C183" s="167"/>
      <c r="D183" s="167"/>
      <c r="E183" s="167"/>
      <c r="F183" s="167"/>
      <c r="G183" s="357"/>
      <c r="H183" s="357"/>
      <c r="I183" s="357"/>
      <c r="J183" s="357"/>
      <c r="K183" s="357"/>
      <c r="L183" s="357"/>
      <c r="M183" s="357"/>
      <c r="N183" s="357"/>
    </row>
    <row r="184" spans="3:14" x14ac:dyDescent="0.35">
      <c r="C184" s="167"/>
      <c r="D184" s="167"/>
      <c r="E184" s="167"/>
      <c r="F184" s="167"/>
      <c r="G184" s="357"/>
      <c r="H184" s="357"/>
      <c r="I184" s="357"/>
      <c r="J184" s="357"/>
      <c r="K184" s="357"/>
      <c r="L184" s="357"/>
      <c r="M184" s="357"/>
      <c r="N184" s="357"/>
    </row>
    <row r="185" spans="3:14" x14ac:dyDescent="0.35">
      <c r="C185" s="167"/>
      <c r="D185" s="167"/>
      <c r="E185" s="167"/>
      <c r="F185" s="167"/>
      <c r="G185" s="357"/>
      <c r="H185" s="357"/>
      <c r="I185" s="357"/>
      <c r="J185" s="357"/>
      <c r="K185" s="357"/>
      <c r="L185" s="357"/>
      <c r="M185" s="357"/>
      <c r="N185" s="357"/>
    </row>
    <row r="186" spans="3:14" x14ac:dyDescent="0.35">
      <c r="C186" s="167"/>
      <c r="D186" s="167"/>
      <c r="E186" s="167"/>
      <c r="F186" s="167"/>
      <c r="G186" s="357"/>
      <c r="H186" s="357"/>
      <c r="I186" s="357"/>
      <c r="J186" s="357"/>
      <c r="K186" s="357"/>
      <c r="L186" s="357"/>
      <c r="M186" s="357"/>
      <c r="N186" s="357"/>
    </row>
    <row r="187" spans="3:14" x14ac:dyDescent="0.35">
      <c r="C187" s="167"/>
      <c r="D187" s="167"/>
      <c r="E187" s="167"/>
      <c r="F187" s="167"/>
      <c r="G187" s="357"/>
      <c r="H187" s="357"/>
      <c r="I187" s="357"/>
      <c r="J187" s="357"/>
      <c r="K187" s="357"/>
      <c r="L187" s="357"/>
      <c r="M187" s="357"/>
      <c r="N187" s="357"/>
    </row>
    <row r="188" spans="3:14" x14ac:dyDescent="0.35">
      <c r="C188" s="167"/>
      <c r="D188" s="167"/>
      <c r="E188" s="167"/>
      <c r="F188" s="167"/>
      <c r="G188" s="357"/>
      <c r="H188" s="357"/>
      <c r="I188" s="357"/>
      <c r="J188" s="357"/>
      <c r="K188" s="357"/>
      <c r="L188" s="357"/>
      <c r="M188" s="357"/>
      <c r="N188" s="357"/>
    </row>
    <row r="189" spans="3:14" x14ac:dyDescent="0.35">
      <c r="C189" s="167"/>
      <c r="D189" s="167"/>
      <c r="E189" s="167"/>
      <c r="F189" s="167"/>
      <c r="G189" s="357"/>
      <c r="H189" s="357"/>
      <c r="I189" s="357"/>
      <c r="J189" s="357"/>
      <c r="K189" s="357"/>
      <c r="L189" s="357"/>
      <c r="M189" s="357"/>
      <c r="N189" s="357"/>
    </row>
    <row r="190" spans="3:14" x14ac:dyDescent="0.35">
      <c r="C190" s="167"/>
      <c r="D190" s="167"/>
      <c r="E190" s="167"/>
      <c r="F190" s="167"/>
      <c r="G190" s="357"/>
      <c r="H190" s="357"/>
      <c r="I190" s="357"/>
      <c r="J190" s="357"/>
      <c r="K190" s="357"/>
      <c r="L190" s="357"/>
      <c r="M190" s="357"/>
      <c r="N190" s="357"/>
    </row>
    <row r="191" spans="3:14" x14ac:dyDescent="0.35">
      <c r="C191" s="167"/>
      <c r="D191" s="167"/>
      <c r="E191" s="167"/>
      <c r="F191" s="167"/>
      <c r="G191" s="357"/>
      <c r="H191" s="357"/>
      <c r="I191" s="357"/>
      <c r="J191" s="357"/>
      <c r="K191" s="357"/>
      <c r="L191" s="357"/>
      <c r="M191" s="357"/>
      <c r="N191" s="357"/>
    </row>
    <row r="192" spans="3:14" x14ac:dyDescent="0.35">
      <c r="C192" s="167"/>
      <c r="D192" s="167"/>
      <c r="E192" s="167"/>
      <c r="F192" s="167"/>
      <c r="G192" s="357"/>
      <c r="H192" s="357"/>
      <c r="I192" s="357"/>
      <c r="J192" s="357"/>
      <c r="K192" s="357"/>
      <c r="L192" s="357"/>
      <c r="M192" s="357"/>
      <c r="N192" s="357"/>
    </row>
    <row r="193" spans="3:14" x14ac:dyDescent="0.35">
      <c r="C193" s="167"/>
      <c r="D193" s="167"/>
      <c r="E193" s="167"/>
      <c r="F193" s="167"/>
      <c r="G193" s="357"/>
      <c r="H193" s="357"/>
      <c r="I193" s="357"/>
      <c r="J193" s="357"/>
      <c r="K193" s="357"/>
      <c r="L193" s="357"/>
      <c r="M193" s="357"/>
      <c r="N193" s="357"/>
    </row>
    <row r="194" spans="3:14" x14ac:dyDescent="0.35">
      <c r="C194" s="167"/>
      <c r="D194" s="167"/>
      <c r="E194" s="167"/>
      <c r="F194" s="167"/>
      <c r="G194" s="357"/>
      <c r="H194" s="357"/>
      <c r="I194" s="357"/>
      <c r="J194" s="357"/>
      <c r="K194" s="357"/>
      <c r="L194" s="357"/>
      <c r="M194" s="357"/>
      <c r="N194" s="357"/>
    </row>
    <row r="195" spans="3:14" x14ac:dyDescent="0.35">
      <c r="C195" s="167"/>
      <c r="D195" s="167"/>
      <c r="E195" s="167"/>
      <c r="F195" s="167"/>
      <c r="G195" s="357"/>
      <c r="H195" s="357"/>
      <c r="I195" s="357"/>
      <c r="J195" s="357"/>
      <c r="K195" s="357"/>
      <c r="L195" s="357"/>
      <c r="M195" s="357"/>
      <c r="N195" s="357"/>
    </row>
    <row r="196" spans="3:14" x14ac:dyDescent="0.35">
      <c r="C196" s="167"/>
      <c r="D196" s="167"/>
      <c r="E196" s="167"/>
      <c r="F196" s="167"/>
      <c r="G196" s="357"/>
      <c r="H196" s="357"/>
      <c r="I196" s="357"/>
      <c r="J196" s="357"/>
      <c r="K196" s="357"/>
      <c r="L196" s="357"/>
      <c r="M196" s="357"/>
      <c r="N196" s="357"/>
    </row>
    <row r="197" spans="3:14" x14ac:dyDescent="0.35">
      <c r="C197" s="167"/>
      <c r="D197" s="167"/>
      <c r="E197" s="167"/>
      <c r="F197" s="167"/>
      <c r="G197" s="357"/>
      <c r="H197" s="357"/>
      <c r="I197" s="357"/>
      <c r="J197" s="357"/>
      <c r="K197" s="357"/>
      <c r="L197" s="357"/>
      <c r="M197" s="357"/>
      <c r="N197" s="357"/>
    </row>
    <row r="198" spans="3:14" x14ac:dyDescent="0.35">
      <c r="C198" s="167"/>
      <c r="D198" s="167"/>
      <c r="E198" s="167"/>
      <c r="F198" s="167"/>
      <c r="G198" s="357"/>
      <c r="H198" s="357"/>
      <c r="I198" s="357"/>
      <c r="J198" s="357"/>
      <c r="K198" s="357"/>
      <c r="L198" s="357"/>
      <c r="M198" s="357"/>
      <c r="N198" s="357"/>
    </row>
    <row r="199" spans="3:14" x14ac:dyDescent="0.35">
      <c r="C199" s="167"/>
      <c r="D199" s="167"/>
      <c r="E199" s="167"/>
      <c r="F199" s="167"/>
      <c r="G199" s="357"/>
      <c r="H199" s="357"/>
      <c r="I199" s="357"/>
      <c r="J199" s="357"/>
      <c r="K199" s="357"/>
      <c r="L199" s="357"/>
      <c r="M199" s="357"/>
      <c r="N199" s="357"/>
    </row>
    <row r="200" spans="3:14" x14ac:dyDescent="0.35">
      <c r="C200" s="167"/>
      <c r="D200" s="167"/>
      <c r="E200" s="167"/>
      <c r="F200" s="167"/>
      <c r="G200" s="357"/>
      <c r="H200" s="357"/>
      <c r="I200" s="357"/>
      <c r="J200" s="357"/>
      <c r="K200" s="357"/>
      <c r="L200" s="357"/>
      <c r="M200" s="357"/>
      <c r="N200" s="357"/>
    </row>
    <row r="201" spans="3:14" x14ac:dyDescent="0.35">
      <c r="C201" s="167"/>
      <c r="D201" s="167"/>
      <c r="E201" s="167"/>
      <c r="F201" s="167"/>
      <c r="G201" s="357"/>
      <c r="H201" s="357"/>
      <c r="I201" s="357"/>
      <c r="J201" s="357"/>
      <c r="K201" s="357"/>
      <c r="L201" s="357"/>
      <c r="M201" s="357"/>
      <c r="N201" s="357"/>
    </row>
    <row r="202" spans="3:14" x14ac:dyDescent="0.35">
      <c r="C202" s="167"/>
      <c r="D202" s="167"/>
      <c r="E202" s="167"/>
      <c r="F202" s="167"/>
      <c r="G202" s="167"/>
      <c r="H202" s="167"/>
      <c r="I202" s="167"/>
      <c r="J202" s="167"/>
      <c r="K202" s="167"/>
      <c r="L202" s="167"/>
      <c r="M202" s="167"/>
      <c r="N202" s="167"/>
    </row>
    <row r="203" spans="3:14" x14ac:dyDescent="0.35">
      <c r="C203" s="167"/>
      <c r="D203" s="167"/>
      <c r="E203" s="167"/>
      <c r="F203" s="167"/>
      <c r="G203" s="167"/>
      <c r="H203" s="167"/>
      <c r="I203" s="167"/>
      <c r="J203" s="167"/>
      <c r="K203" s="167"/>
      <c r="L203" s="167"/>
      <c r="M203" s="167"/>
      <c r="N203" s="167"/>
    </row>
    <row r="204" spans="3:14" x14ac:dyDescent="0.35">
      <c r="C204" s="167"/>
      <c r="D204" s="167"/>
      <c r="E204" s="167"/>
      <c r="F204" s="167"/>
      <c r="G204" s="167"/>
      <c r="H204" s="167"/>
      <c r="I204" s="167"/>
      <c r="J204" s="167"/>
      <c r="K204" s="167"/>
      <c r="L204" s="167"/>
      <c r="M204" s="167"/>
      <c r="N204" s="167"/>
    </row>
    <row r="205" spans="3:14" x14ac:dyDescent="0.35">
      <c r="C205" s="167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</row>
    <row r="206" spans="3:14" x14ac:dyDescent="0.35">
      <c r="C206" s="167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</row>
    <row r="207" spans="3:14" x14ac:dyDescent="0.35">
      <c r="C207" s="167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</row>
    <row r="208" spans="3:14" x14ac:dyDescent="0.35">
      <c r="C208" s="167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</row>
    <row r="209" spans="3:14" x14ac:dyDescent="0.35">
      <c r="C209" s="167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</row>
    <row r="210" spans="3:14" x14ac:dyDescent="0.35"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</row>
    <row r="211" spans="3:14" x14ac:dyDescent="0.35">
      <c r="C211" s="167"/>
      <c r="D211" s="167"/>
      <c r="E211" s="167"/>
      <c r="F211" s="167"/>
      <c r="G211" s="167"/>
      <c r="H211" s="167"/>
      <c r="I211" s="167"/>
      <c r="J211" s="167"/>
      <c r="K211" s="167"/>
      <c r="L211" s="167"/>
      <c r="M211" s="167"/>
      <c r="N211" s="167"/>
    </row>
    <row r="212" spans="3:14" x14ac:dyDescent="0.35">
      <c r="C212" s="167"/>
      <c r="D212" s="167"/>
      <c r="E212" s="167"/>
      <c r="F212" s="167"/>
      <c r="G212" s="167"/>
      <c r="H212" s="167"/>
      <c r="I212" s="167"/>
      <c r="J212" s="167"/>
      <c r="K212" s="167"/>
      <c r="L212" s="167"/>
      <c r="M212" s="167"/>
      <c r="N212" s="167"/>
    </row>
    <row r="213" spans="3:14" x14ac:dyDescent="0.35">
      <c r="C213" s="167"/>
      <c r="D213" s="167"/>
      <c r="E213" s="167"/>
      <c r="F213" s="167"/>
      <c r="G213" s="167"/>
      <c r="H213" s="167"/>
      <c r="I213" s="167"/>
      <c r="J213" s="167"/>
      <c r="K213" s="167"/>
      <c r="L213" s="167"/>
      <c r="M213" s="167"/>
      <c r="N213" s="167"/>
    </row>
    <row r="214" spans="3:14" x14ac:dyDescent="0.35">
      <c r="C214" s="167"/>
      <c r="D214" s="167"/>
      <c r="E214" s="167"/>
      <c r="F214" s="167"/>
      <c r="G214" s="167"/>
      <c r="H214" s="167"/>
      <c r="I214" s="167"/>
      <c r="J214" s="167"/>
      <c r="K214" s="167"/>
      <c r="L214" s="167"/>
      <c r="M214" s="167"/>
      <c r="N214" s="167"/>
    </row>
    <row r="215" spans="3:14" x14ac:dyDescent="0.35">
      <c r="C215" s="167"/>
      <c r="D215" s="167"/>
      <c r="E215" s="167"/>
      <c r="F215" s="167"/>
      <c r="G215" s="167"/>
      <c r="H215" s="167"/>
      <c r="I215" s="167"/>
      <c r="J215" s="167"/>
      <c r="K215" s="167"/>
      <c r="L215" s="167"/>
      <c r="M215" s="167"/>
      <c r="N215" s="167"/>
    </row>
    <row r="216" spans="3:14" x14ac:dyDescent="0.35">
      <c r="C216" s="167"/>
      <c r="D216" s="167"/>
      <c r="E216" s="167"/>
      <c r="F216" s="167"/>
      <c r="G216" s="167"/>
      <c r="H216" s="167"/>
      <c r="I216" s="167"/>
      <c r="J216" s="167"/>
      <c r="K216" s="167"/>
      <c r="L216" s="167"/>
      <c r="M216" s="167"/>
      <c r="N216" s="167"/>
    </row>
    <row r="217" spans="3:14" x14ac:dyDescent="0.35">
      <c r="C217" s="167"/>
      <c r="D217" s="167"/>
      <c r="E217" s="167"/>
      <c r="F217" s="167"/>
      <c r="G217" s="167"/>
      <c r="H217" s="167"/>
      <c r="I217" s="167"/>
      <c r="J217" s="167"/>
      <c r="K217" s="167"/>
      <c r="L217" s="167"/>
      <c r="M217" s="167"/>
      <c r="N217" s="167"/>
    </row>
    <row r="218" spans="3:14" x14ac:dyDescent="0.35">
      <c r="C218" s="167"/>
      <c r="D218" s="167"/>
      <c r="E218" s="167"/>
      <c r="F218" s="167"/>
      <c r="G218" s="167"/>
      <c r="H218" s="167"/>
      <c r="I218" s="167"/>
      <c r="J218" s="167"/>
      <c r="K218" s="167"/>
      <c r="L218" s="167"/>
      <c r="M218" s="167"/>
      <c r="N218" s="167"/>
    </row>
    <row r="219" spans="3:14" x14ac:dyDescent="0.35">
      <c r="C219" s="167"/>
      <c r="D219" s="167"/>
      <c r="E219" s="167"/>
      <c r="F219" s="167"/>
      <c r="G219" s="167"/>
      <c r="H219" s="167"/>
      <c r="I219" s="167"/>
      <c r="J219" s="167"/>
      <c r="K219" s="167"/>
      <c r="L219" s="167"/>
      <c r="M219" s="167"/>
      <c r="N219" s="167"/>
    </row>
    <row r="220" spans="3:14" x14ac:dyDescent="0.35">
      <c r="C220" s="167"/>
      <c r="D220" s="167"/>
      <c r="E220" s="167"/>
      <c r="F220" s="167"/>
      <c r="G220" s="167"/>
      <c r="H220" s="167"/>
      <c r="I220" s="167"/>
      <c r="J220" s="167"/>
      <c r="K220" s="167"/>
      <c r="L220" s="167"/>
      <c r="M220" s="167"/>
      <c r="N220" s="167"/>
    </row>
    <row r="221" spans="3:14" x14ac:dyDescent="0.35">
      <c r="C221" s="167"/>
      <c r="D221" s="167"/>
      <c r="E221" s="167"/>
      <c r="F221" s="167"/>
      <c r="G221" s="167"/>
      <c r="H221" s="167"/>
      <c r="I221" s="167"/>
      <c r="J221" s="167"/>
      <c r="K221" s="167"/>
      <c r="L221" s="167"/>
      <c r="M221" s="167"/>
      <c r="N221" s="167"/>
    </row>
    <row r="222" spans="3:14" x14ac:dyDescent="0.35">
      <c r="C222" s="167"/>
      <c r="D222" s="167"/>
      <c r="E222" s="167"/>
      <c r="F222" s="167"/>
      <c r="G222" s="167"/>
      <c r="H222" s="167"/>
      <c r="I222" s="167"/>
      <c r="J222" s="167"/>
      <c r="K222" s="167"/>
      <c r="L222" s="167"/>
      <c r="M222" s="167"/>
      <c r="N222" s="167"/>
    </row>
    <row r="223" spans="3:14" x14ac:dyDescent="0.35">
      <c r="C223" s="167"/>
      <c r="D223" s="167"/>
      <c r="E223" s="167"/>
      <c r="F223" s="167"/>
      <c r="G223" s="167"/>
      <c r="H223" s="167"/>
      <c r="I223" s="167"/>
      <c r="J223" s="167"/>
      <c r="K223" s="167"/>
      <c r="L223" s="167"/>
      <c r="M223" s="167"/>
      <c r="N223" s="167"/>
    </row>
    <row r="224" spans="3:14" x14ac:dyDescent="0.35">
      <c r="C224" s="167"/>
      <c r="D224" s="167"/>
      <c r="E224" s="167"/>
      <c r="F224" s="167"/>
      <c r="G224" s="167"/>
      <c r="H224" s="167"/>
      <c r="I224" s="167"/>
      <c r="J224" s="167"/>
      <c r="K224" s="167"/>
      <c r="L224" s="167"/>
      <c r="M224" s="167"/>
      <c r="N224" s="167"/>
    </row>
    <row r="225" spans="3:14" x14ac:dyDescent="0.35">
      <c r="C225" s="167"/>
      <c r="D225" s="167"/>
      <c r="E225" s="167"/>
      <c r="F225" s="167"/>
      <c r="G225" s="167"/>
      <c r="H225" s="167"/>
      <c r="I225" s="167"/>
      <c r="J225" s="167"/>
      <c r="K225" s="167"/>
      <c r="L225" s="167"/>
      <c r="M225" s="167"/>
      <c r="N225" s="167"/>
    </row>
    <row r="226" spans="3:14" x14ac:dyDescent="0.35">
      <c r="C226" s="167"/>
      <c r="D226" s="167"/>
      <c r="E226" s="167"/>
      <c r="F226" s="167"/>
      <c r="G226" s="167"/>
      <c r="H226" s="167"/>
      <c r="I226" s="167"/>
      <c r="J226" s="167"/>
      <c r="K226" s="167"/>
      <c r="L226" s="167"/>
      <c r="M226" s="167"/>
      <c r="N226" s="167"/>
    </row>
    <row r="227" spans="3:14" x14ac:dyDescent="0.35">
      <c r="C227" s="167"/>
      <c r="D227" s="167"/>
      <c r="E227" s="167"/>
      <c r="F227" s="167"/>
      <c r="G227" s="167"/>
      <c r="H227" s="167"/>
      <c r="I227" s="167"/>
      <c r="J227" s="167"/>
      <c r="K227" s="167"/>
      <c r="L227" s="167"/>
      <c r="M227" s="167"/>
      <c r="N227" s="167"/>
    </row>
    <row r="228" spans="3:14" x14ac:dyDescent="0.35">
      <c r="C228" s="167"/>
      <c r="D228" s="167"/>
      <c r="E228" s="167"/>
      <c r="F228" s="167"/>
      <c r="G228" s="167"/>
      <c r="H228" s="167"/>
      <c r="I228" s="167"/>
      <c r="J228" s="167"/>
      <c r="K228" s="167"/>
      <c r="L228" s="167"/>
      <c r="M228" s="167"/>
      <c r="N228" s="167"/>
    </row>
    <row r="229" spans="3:14" x14ac:dyDescent="0.35">
      <c r="C229" s="167"/>
      <c r="D229" s="167"/>
      <c r="E229" s="167"/>
      <c r="F229" s="167"/>
      <c r="G229" s="167"/>
      <c r="H229" s="167"/>
      <c r="I229" s="167"/>
      <c r="J229" s="167"/>
      <c r="K229" s="167"/>
      <c r="L229" s="167"/>
      <c r="M229" s="167"/>
      <c r="N229" s="167"/>
    </row>
    <row r="230" spans="3:14" x14ac:dyDescent="0.35">
      <c r="C230" s="167"/>
      <c r="D230" s="167"/>
      <c r="E230" s="167"/>
      <c r="F230" s="167"/>
      <c r="G230" s="167"/>
      <c r="H230" s="167"/>
      <c r="I230" s="167"/>
      <c r="J230" s="167"/>
      <c r="K230" s="167"/>
      <c r="L230" s="167"/>
      <c r="M230" s="167"/>
      <c r="N230" s="167"/>
    </row>
    <row r="231" spans="3:14" x14ac:dyDescent="0.35">
      <c r="C231" s="167"/>
      <c r="D231" s="167"/>
      <c r="E231" s="167"/>
      <c r="F231" s="167"/>
      <c r="G231" s="167"/>
      <c r="H231" s="167"/>
      <c r="I231" s="167"/>
      <c r="J231" s="167"/>
      <c r="K231" s="167"/>
      <c r="L231" s="167"/>
      <c r="M231" s="167"/>
      <c r="N231" s="167"/>
    </row>
    <row r="232" spans="3:14" x14ac:dyDescent="0.35">
      <c r="C232" s="167"/>
      <c r="D232" s="167"/>
      <c r="E232" s="167"/>
      <c r="F232" s="167"/>
      <c r="G232" s="167"/>
      <c r="H232" s="167"/>
      <c r="I232" s="167"/>
      <c r="J232" s="167"/>
      <c r="K232" s="167"/>
      <c r="L232" s="167"/>
      <c r="M232" s="167"/>
      <c r="N232" s="167"/>
    </row>
    <row r="233" spans="3:14" x14ac:dyDescent="0.35">
      <c r="C233" s="167"/>
      <c r="D233" s="167"/>
      <c r="E233" s="167"/>
      <c r="F233" s="167"/>
      <c r="G233" s="167"/>
      <c r="H233" s="167"/>
      <c r="I233" s="167"/>
      <c r="J233" s="167"/>
      <c r="K233" s="167"/>
      <c r="L233" s="167"/>
      <c r="M233" s="167"/>
      <c r="N233" s="167"/>
    </row>
    <row r="234" spans="3:14" x14ac:dyDescent="0.35">
      <c r="C234" s="167"/>
      <c r="D234" s="167"/>
      <c r="E234" s="167"/>
      <c r="F234" s="167"/>
      <c r="G234" s="167"/>
      <c r="H234" s="167"/>
      <c r="I234" s="167"/>
      <c r="J234" s="167"/>
      <c r="K234" s="167"/>
      <c r="L234" s="167"/>
      <c r="M234" s="167"/>
      <c r="N234" s="167"/>
    </row>
    <row r="235" spans="3:14" x14ac:dyDescent="0.35">
      <c r="C235" s="167"/>
      <c r="D235" s="167"/>
      <c r="E235" s="167"/>
      <c r="F235" s="167"/>
      <c r="G235" s="167"/>
      <c r="H235" s="167"/>
      <c r="I235" s="167"/>
      <c r="J235" s="167"/>
      <c r="K235" s="167"/>
      <c r="L235" s="167"/>
      <c r="M235" s="167"/>
      <c r="N235" s="167"/>
    </row>
    <row r="236" spans="3:14" x14ac:dyDescent="0.35">
      <c r="C236" s="167"/>
      <c r="D236" s="167"/>
      <c r="E236" s="167"/>
      <c r="F236" s="167"/>
      <c r="G236" s="167"/>
      <c r="H236" s="167"/>
      <c r="I236" s="167"/>
      <c r="J236" s="167"/>
      <c r="K236" s="167"/>
      <c r="L236" s="167"/>
      <c r="M236" s="167"/>
      <c r="N236" s="167"/>
    </row>
    <row r="237" spans="3:14" x14ac:dyDescent="0.35">
      <c r="C237" s="167"/>
      <c r="D237" s="167"/>
      <c r="E237" s="167"/>
      <c r="F237" s="167"/>
      <c r="G237" s="167"/>
      <c r="H237" s="167"/>
      <c r="I237" s="167"/>
      <c r="J237" s="167"/>
      <c r="K237" s="167"/>
      <c r="L237" s="167"/>
      <c r="M237" s="167"/>
      <c r="N237" s="167"/>
    </row>
    <row r="238" spans="3:14" x14ac:dyDescent="0.35">
      <c r="C238" s="167"/>
      <c r="D238" s="167"/>
      <c r="E238" s="167"/>
      <c r="F238" s="167"/>
      <c r="G238" s="167"/>
      <c r="H238" s="167"/>
      <c r="I238" s="167"/>
      <c r="J238" s="167"/>
      <c r="K238" s="167"/>
      <c r="L238" s="167"/>
      <c r="M238" s="167"/>
      <c r="N238" s="167"/>
    </row>
    <row r="239" spans="3:14" x14ac:dyDescent="0.35">
      <c r="C239" s="167"/>
      <c r="D239" s="167"/>
      <c r="E239" s="167"/>
      <c r="F239" s="167"/>
      <c r="G239" s="167"/>
      <c r="H239" s="167"/>
      <c r="I239" s="167"/>
      <c r="J239" s="167"/>
      <c r="K239" s="167"/>
      <c r="L239" s="167"/>
      <c r="M239" s="167"/>
      <c r="N239" s="167"/>
    </row>
    <row r="240" spans="3:14" x14ac:dyDescent="0.35">
      <c r="C240" s="167"/>
      <c r="D240" s="167"/>
      <c r="E240" s="167"/>
      <c r="F240" s="167"/>
      <c r="G240" s="167"/>
      <c r="H240" s="167"/>
      <c r="I240" s="167"/>
      <c r="J240" s="167"/>
      <c r="K240" s="167"/>
      <c r="L240" s="167"/>
      <c r="M240" s="167"/>
      <c r="N240" s="167"/>
    </row>
    <row r="241" spans="3:14" x14ac:dyDescent="0.35">
      <c r="C241" s="167"/>
      <c r="D241" s="167"/>
      <c r="E241" s="167"/>
      <c r="F241" s="167"/>
      <c r="G241" s="167"/>
      <c r="H241" s="167"/>
      <c r="I241" s="167"/>
      <c r="J241" s="167"/>
      <c r="K241" s="167"/>
      <c r="L241" s="167"/>
      <c r="M241" s="167"/>
      <c r="N241" s="167"/>
    </row>
    <row r="242" spans="3:14" x14ac:dyDescent="0.35">
      <c r="C242" s="167"/>
      <c r="D242" s="167"/>
      <c r="E242" s="167"/>
      <c r="F242" s="167"/>
      <c r="G242" s="167"/>
      <c r="H242" s="167"/>
      <c r="I242" s="167"/>
      <c r="J242" s="167"/>
      <c r="K242" s="167"/>
      <c r="L242" s="167"/>
      <c r="M242" s="167"/>
      <c r="N242" s="167"/>
    </row>
    <row r="243" spans="3:14" x14ac:dyDescent="0.35">
      <c r="C243" s="167"/>
      <c r="D243" s="167"/>
      <c r="E243" s="167"/>
      <c r="F243" s="167"/>
      <c r="G243" s="167"/>
      <c r="H243" s="167"/>
      <c r="I243" s="167"/>
      <c r="J243" s="167"/>
      <c r="K243" s="167"/>
      <c r="L243" s="167"/>
      <c r="M243" s="167"/>
      <c r="N243" s="167"/>
    </row>
    <row r="244" spans="3:14" x14ac:dyDescent="0.35">
      <c r="C244" s="167"/>
      <c r="D244" s="167"/>
      <c r="E244" s="167"/>
      <c r="F244" s="167"/>
      <c r="G244" s="167"/>
      <c r="H244" s="167"/>
      <c r="I244" s="167"/>
      <c r="J244" s="167"/>
      <c r="K244" s="167"/>
      <c r="L244" s="167"/>
      <c r="M244" s="167"/>
      <c r="N244" s="167"/>
    </row>
    <row r="245" spans="3:14" x14ac:dyDescent="0.35">
      <c r="C245" s="167"/>
      <c r="D245" s="167"/>
      <c r="E245" s="167"/>
      <c r="F245" s="167"/>
      <c r="G245" s="167"/>
      <c r="H245" s="167"/>
      <c r="I245" s="167"/>
      <c r="J245" s="167"/>
      <c r="K245" s="167"/>
      <c r="L245" s="167"/>
      <c r="M245" s="167"/>
      <c r="N245" s="167"/>
    </row>
    <row r="246" spans="3:14" x14ac:dyDescent="0.35">
      <c r="C246" s="167"/>
      <c r="D246" s="167"/>
      <c r="E246" s="167"/>
      <c r="F246" s="167"/>
      <c r="G246" s="167"/>
      <c r="H246" s="167"/>
      <c r="I246" s="167"/>
      <c r="J246" s="167"/>
      <c r="K246" s="167"/>
      <c r="L246" s="167"/>
      <c r="M246" s="167"/>
      <c r="N246" s="167"/>
    </row>
    <row r="247" spans="3:14" x14ac:dyDescent="0.35">
      <c r="C247" s="167"/>
      <c r="D247" s="167"/>
      <c r="E247" s="167"/>
      <c r="F247" s="167"/>
      <c r="G247" s="167"/>
      <c r="H247" s="167"/>
      <c r="I247" s="167"/>
      <c r="J247" s="167"/>
      <c r="K247" s="167"/>
      <c r="L247" s="167"/>
      <c r="M247" s="167"/>
      <c r="N247" s="167"/>
    </row>
    <row r="248" spans="3:14" x14ac:dyDescent="0.35">
      <c r="C248" s="167"/>
      <c r="D248" s="167"/>
      <c r="E248" s="167"/>
      <c r="F248" s="167"/>
      <c r="G248" s="167"/>
      <c r="H248" s="167"/>
      <c r="I248" s="167"/>
      <c r="J248" s="167"/>
      <c r="K248" s="167"/>
      <c r="L248" s="167"/>
      <c r="M248" s="167"/>
      <c r="N248" s="167"/>
    </row>
    <row r="249" spans="3:14" x14ac:dyDescent="0.35">
      <c r="C249" s="167"/>
      <c r="D249" s="167"/>
      <c r="E249" s="167"/>
      <c r="F249" s="167"/>
      <c r="G249" s="167"/>
      <c r="H249" s="167"/>
      <c r="I249" s="167"/>
      <c r="J249" s="167"/>
      <c r="K249" s="167"/>
      <c r="L249" s="167"/>
      <c r="M249" s="167"/>
      <c r="N249" s="167"/>
    </row>
    <row r="250" spans="3:14" x14ac:dyDescent="0.35">
      <c r="C250" s="167"/>
      <c r="D250" s="167"/>
      <c r="E250" s="167"/>
      <c r="F250" s="167"/>
      <c r="G250" s="167"/>
      <c r="H250" s="167"/>
      <c r="I250" s="167"/>
      <c r="J250" s="167"/>
      <c r="K250" s="167"/>
      <c r="L250" s="167"/>
      <c r="M250" s="167"/>
      <c r="N250" s="167"/>
    </row>
    <row r="251" spans="3:14" x14ac:dyDescent="0.35">
      <c r="C251" s="167"/>
      <c r="D251" s="167"/>
      <c r="E251" s="167"/>
      <c r="F251" s="167"/>
      <c r="G251" s="167"/>
      <c r="H251" s="167"/>
      <c r="I251" s="167"/>
      <c r="J251" s="167"/>
      <c r="K251" s="167"/>
      <c r="L251" s="167"/>
      <c r="M251" s="167"/>
      <c r="N251" s="167"/>
    </row>
    <row r="252" spans="3:14" x14ac:dyDescent="0.35">
      <c r="C252" s="167"/>
      <c r="D252" s="167"/>
      <c r="E252" s="167"/>
      <c r="F252" s="167"/>
      <c r="G252" s="167"/>
      <c r="H252" s="167"/>
      <c r="I252" s="167"/>
      <c r="J252" s="167"/>
      <c r="K252" s="167"/>
      <c r="L252" s="167"/>
      <c r="M252" s="167"/>
      <c r="N252" s="167"/>
    </row>
    <row r="253" spans="3:14" x14ac:dyDescent="0.35">
      <c r="C253" s="167"/>
      <c r="D253" s="167"/>
      <c r="E253" s="167"/>
      <c r="F253" s="167"/>
      <c r="G253" s="167"/>
      <c r="H253" s="167"/>
      <c r="I253" s="167"/>
      <c r="J253" s="167"/>
      <c r="K253" s="167"/>
      <c r="L253" s="167"/>
      <c r="M253" s="167"/>
      <c r="N253" s="167"/>
    </row>
    <row r="254" spans="3:14" x14ac:dyDescent="0.35">
      <c r="C254" s="167"/>
      <c r="D254" s="167"/>
      <c r="E254" s="167"/>
      <c r="F254" s="167"/>
      <c r="G254" s="167"/>
      <c r="H254" s="167"/>
      <c r="I254" s="167"/>
      <c r="J254" s="167"/>
      <c r="K254" s="167"/>
      <c r="L254" s="167"/>
      <c r="M254" s="167"/>
      <c r="N254" s="167"/>
    </row>
    <row r="255" spans="3:14" x14ac:dyDescent="0.35">
      <c r="C255" s="167"/>
      <c r="D255" s="167"/>
      <c r="E255" s="167"/>
      <c r="F255" s="167"/>
      <c r="G255" s="167"/>
      <c r="H255" s="167"/>
      <c r="I255" s="167"/>
      <c r="J255" s="167"/>
      <c r="K255" s="167"/>
      <c r="L255" s="167"/>
      <c r="M255" s="167"/>
      <c r="N255" s="167"/>
    </row>
    <row r="256" spans="3:14" x14ac:dyDescent="0.35">
      <c r="C256" s="167"/>
      <c r="D256" s="167"/>
      <c r="E256" s="167"/>
      <c r="F256" s="167"/>
      <c r="G256" s="167"/>
      <c r="H256" s="167"/>
      <c r="I256" s="167"/>
      <c r="J256" s="167"/>
      <c r="K256" s="167"/>
      <c r="L256" s="167"/>
      <c r="M256" s="167"/>
      <c r="N256" s="167"/>
    </row>
    <row r="257" spans="3:14" x14ac:dyDescent="0.35">
      <c r="C257" s="167"/>
      <c r="D257" s="167"/>
      <c r="E257" s="167"/>
      <c r="F257" s="167"/>
      <c r="G257" s="167"/>
      <c r="H257" s="167"/>
      <c r="I257" s="167"/>
      <c r="J257" s="167"/>
      <c r="K257" s="167"/>
      <c r="L257" s="167"/>
      <c r="M257" s="167"/>
      <c r="N257" s="167"/>
    </row>
    <row r="258" spans="3:14" x14ac:dyDescent="0.35">
      <c r="C258" s="167"/>
      <c r="D258" s="167"/>
      <c r="E258" s="167"/>
      <c r="F258" s="167"/>
      <c r="G258" s="167"/>
      <c r="H258" s="167"/>
      <c r="I258" s="167"/>
      <c r="J258" s="167"/>
      <c r="K258" s="167"/>
      <c r="L258" s="167"/>
      <c r="M258" s="167"/>
      <c r="N258" s="167"/>
    </row>
    <row r="259" spans="3:14" x14ac:dyDescent="0.35">
      <c r="C259" s="167"/>
      <c r="D259" s="167"/>
      <c r="E259" s="167"/>
      <c r="F259" s="167"/>
      <c r="G259" s="167"/>
      <c r="H259" s="167"/>
      <c r="I259" s="167"/>
      <c r="J259" s="167"/>
      <c r="K259" s="167"/>
      <c r="L259" s="167"/>
      <c r="M259" s="167"/>
      <c r="N259" s="167"/>
    </row>
    <row r="260" spans="3:14" x14ac:dyDescent="0.35">
      <c r="C260" s="167"/>
      <c r="D260" s="167"/>
      <c r="E260" s="167"/>
      <c r="F260" s="167"/>
      <c r="G260" s="167"/>
      <c r="H260" s="167"/>
      <c r="I260" s="167"/>
      <c r="J260" s="167"/>
      <c r="K260" s="167"/>
      <c r="L260" s="167"/>
      <c r="M260" s="167"/>
      <c r="N260" s="167"/>
    </row>
    <row r="261" spans="3:14" x14ac:dyDescent="0.35">
      <c r="C261" s="167"/>
      <c r="D261" s="167"/>
      <c r="E261" s="167"/>
      <c r="F261" s="167"/>
      <c r="G261" s="167"/>
      <c r="H261" s="167"/>
      <c r="I261" s="167"/>
      <c r="J261" s="167"/>
      <c r="K261" s="167"/>
      <c r="L261" s="167"/>
      <c r="M261" s="167"/>
      <c r="N261" s="167"/>
    </row>
    <row r="262" spans="3:14" x14ac:dyDescent="0.35">
      <c r="C262" s="167"/>
      <c r="D262" s="167"/>
      <c r="E262" s="167"/>
      <c r="F262" s="167"/>
      <c r="G262" s="167"/>
      <c r="H262" s="167"/>
      <c r="I262" s="167"/>
      <c r="J262" s="167"/>
      <c r="K262" s="167"/>
      <c r="L262" s="167"/>
      <c r="M262" s="167"/>
      <c r="N262" s="167"/>
    </row>
    <row r="263" spans="3:14" x14ac:dyDescent="0.35">
      <c r="C263" s="167"/>
      <c r="D263" s="167"/>
      <c r="E263" s="167"/>
      <c r="F263" s="167"/>
      <c r="G263" s="167"/>
      <c r="H263" s="167"/>
      <c r="I263" s="167"/>
      <c r="J263" s="167"/>
      <c r="K263" s="167"/>
      <c r="L263" s="167"/>
      <c r="M263" s="167"/>
      <c r="N263" s="167"/>
    </row>
    <row r="264" spans="3:14" x14ac:dyDescent="0.35">
      <c r="C264" s="167"/>
      <c r="D264" s="167"/>
      <c r="E264" s="167"/>
      <c r="F264" s="167"/>
      <c r="G264" s="167"/>
      <c r="H264" s="167"/>
      <c r="I264" s="167"/>
      <c r="J264" s="167"/>
      <c r="K264" s="167"/>
      <c r="L264" s="167"/>
      <c r="M264" s="167"/>
      <c r="N264" s="167"/>
    </row>
    <row r="265" spans="3:14" x14ac:dyDescent="0.35">
      <c r="C265" s="167"/>
      <c r="D265" s="167"/>
      <c r="E265" s="167"/>
      <c r="F265" s="167"/>
      <c r="G265" s="167"/>
      <c r="H265" s="167"/>
      <c r="I265" s="167"/>
      <c r="J265" s="167"/>
      <c r="K265" s="167"/>
      <c r="L265" s="167"/>
      <c r="M265" s="167"/>
      <c r="N265" s="167"/>
    </row>
    <row r="266" spans="3:14" x14ac:dyDescent="0.35">
      <c r="C266" s="167"/>
      <c r="D266" s="167"/>
      <c r="E266" s="167"/>
      <c r="F266" s="167"/>
      <c r="G266" s="167"/>
      <c r="H266" s="167"/>
      <c r="I266" s="167"/>
      <c r="J266" s="167"/>
      <c r="K266" s="167"/>
      <c r="L266" s="167"/>
      <c r="M266" s="167"/>
      <c r="N266" s="167"/>
    </row>
    <row r="267" spans="3:14" x14ac:dyDescent="0.35">
      <c r="C267" s="167"/>
      <c r="D267" s="167"/>
      <c r="E267" s="167"/>
      <c r="F267" s="167"/>
      <c r="G267" s="167"/>
      <c r="H267" s="167"/>
      <c r="I267" s="167"/>
      <c r="J267" s="167"/>
      <c r="K267" s="167"/>
      <c r="L267" s="167"/>
      <c r="M267" s="167"/>
      <c r="N267" s="167"/>
    </row>
    <row r="268" spans="3:14" x14ac:dyDescent="0.35">
      <c r="C268" s="167"/>
      <c r="D268" s="167"/>
      <c r="E268" s="167"/>
      <c r="F268" s="167"/>
      <c r="G268" s="167"/>
      <c r="H268" s="167"/>
      <c r="I268" s="167"/>
      <c r="J268" s="167"/>
      <c r="K268" s="167"/>
      <c r="L268" s="167"/>
      <c r="M268" s="167"/>
      <c r="N268" s="167"/>
    </row>
    <row r="269" spans="3:14" x14ac:dyDescent="0.35">
      <c r="C269" s="167"/>
      <c r="D269" s="167"/>
      <c r="E269" s="167"/>
      <c r="F269" s="167"/>
      <c r="G269" s="167"/>
      <c r="H269" s="167"/>
      <c r="I269" s="167"/>
      <c r="J269" s="167"/>
      <c r="K269" s="167"/>
      <c r="L269" s="167"/>
      <c r="M269" s="167"/>
      <c r="N269" s="167"/>
    </row>
    <row r="270" spans="3:14" x14ac:dyDescent="0.35">
      <c r="C270" s="167"/>
      <c r="D270" s="167"/>
      <c r="E270" s="167"/>
      <c r="F270" s="167"/>
      <c r="G270" s="167"/>
      <c r="H270" s="167"/>
      <c r="I270" s="167"/>
      <c r="J270" s="167"/>
      <c r="K270" s="167"/>
      <c r="L270" s="167"/>
      <c r="M270" s="167"/>
      <c r="N270" s="167"/>
    </row>
    <row r="271" spans="3:14" x14ac:dyDescent="0.35">
      <c r="C271" s="167"/>
      <c r="D271" s="167"/>
      <c r="E271" s="167"/>
      <c r="F271" s="167"/>
      <c r="G271" s="167"/>
      <c r="H271" s="167"/>
      <c r="I271" s="167"/>
      <c r="J271" s="167"/>
      <c r="K271" s="167"/>
      <c r="L271" s="167"/>
      <c r="M271" s="167"/>
      <c r="N271" s="167"/>
    </row>
    <row r="272" spans="3:14" x14ac:dyDescent="0.35">
      <c r="C272" s="167"/>
      <c r="D272" s="167"/>
      <c r="E272" s="167"/>
      <c r="F272" s="167"/>
      <c r="G272" s="167"/>
      <c r="H272" s="167"/>
      <c r="I272" s="167"/>
      <c r="J272" s="167"/>
      <c r="K272" s="167"/>
      <c r="L272" s="167"/>
      <c r="M272" s="167"/>
      <c r="N272" s="167"/>
    </row>
    <row r="273" spans="3:14" x14ac:dyDescent="0.35">
      <c r="C273" s="167"/>
      <c r="D273" s="167"/>
      <c r="E273" s="167"/>
      <c r="F273" s="167"/>
      <c r="G273" s="167"/>
      <c r="H273" s="167"/>
      <c r="I273" s="167"/>
      <c r="J273" s="167"/>
      <c r="K273" s="167"/>
      <c r="L273" s="167"/>
      <c r="M273" s="167"/>
      <c r="N273" s="167"/>
    </row>
    <row r="274" spans="3:14" x14ac:dyDescent="0.35">
      <c r="C274" s="167"/>
      <c r="D274" s="167"/>
      <c r="E274" s="167"/>
      <c r="F274" s="167"/>
      <c r="G274" s="167"/>
      <c r="H274" s="167"/>
      <c r="I274" s="167"/>
      <c r="J274" s="167"/>
      <c r="K274" s="167"/>
      <c r="L274" s="167"/>
      <c r="M274" s="167"/>
      <c r="N274" s="167"/>
    </row>
    <row r="275" spans="3:14" x14ac:dyDescent="0.35">
      <c r="C275" s="167"/>
      <c r="D275" s="167"/>
      <c r="E275" s="167"/>
      <c r="F275" s="167"/>
      <c r="G275" s="167"/>
      <c r="H275" s="167"/>
      <c r="I275" s="167"/>
      <c r="J275" s="167"/>
      <c r="K275" s="167"/>
      <c r="L275" s="167"/>
      <c r="M275" s="167"/>
      <c r="N275" s="167"/>
    </row>
    <row r="276" spans="3:14" x14ac:dyDescent="0.35">
      <c r="C276" s="167"/>
      <c r="D276" s="167"/>
      <c r="E276" s="167"/>
      <c r="F276" s="167"/>
      <c r="G276" s="167"/>
      <c r="H276" s="167"/>
      <c r="I276" s="167"/>
      <c r="J276" s="167"/>
      <c r="K276" s="167"/>
      <c r="L276" s="167"/>
      <c r="M276" s="167"/>
      <c r="N276" s="167"/>
    </row>
    <row r="277" spans="3:14" x14ac:dyDescent="0.35">
      <c r="C277" s="167"/>
      <c r="D277" s="167"/>
      <c r="E277" s="167"/>
      <c r="F277" s="167"/>
      <c r="G277" s="167"/>
      <c r="H277" s="167"/>
      <c r="I277" s="167"/>
      <c r="J277" s="167"/>
      <c r="K277" s="167"/>
      <c r="L277" s="167"/>
      <c r="M277" s="167"/>
      <c r="N277" s="167"/>
    </row>
    <row r="278" spans="3:14" x14ac:dyDescent="0.35">
      <c r="C278" s="167"/>
      <c r="D278" s="167"/>
      <c r="E278" s="167"/>
      <c r="F278" s="167"/>
      <c r="G278" s="167"/>
      <c r="H278" s="167"/>
      <c r="I278" s="167"/>
      <c r="J278" s="167"/>
      <c r="K278" s="167"/>
      <c r="L278" s="167"/>
      <c r="M278" s="167"/>
      <c r="N278" s="167"/>
    </row>
    <row r="279" spans="3:14" x14ac:dyDescent="0.35">
      <c r="C279" s="167"/>
      <c r="D279" s="167"/>
      <c r="E279" s="167"/>
      <c r="F279" s="167"/>
      <c r="G279" s="167"/>
      <c r="H279" s="167"/>
      <c r="I279" s="167"/>
      <c r="J279" s="167"/>
      <c r="K279" s="167"/>
      <c r="L279" s="167"/>
      <c r="M279" s="167"/>
      <c r="N279" s="167"/>
    </row>
  </sheetData>
  <autoFilter ref="C1:P64" xr:uid="{00000000-0009-0000-0000-000003000000}"/>
  <conditionalFormatting sqref="O65:O1048576 O1:O63">
    <cfRule type="cellIs" dxfId="7" priority="5" operator="equal">
      <formula>3</formula>
    </cfRule>
    <cfRule type="cellIs" dxfId="6" priority="6" operator="equal">
      <formula>2</formula>
    </cfRule>
    <cfRule type="cellIs" dxfId="5" priority="7" operator="equal">
      <formula>4</formula>
    </cfRule>
    <cfRule type="cellIs" dxfId="4" priority="8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>
    <tabColor rgb="FFFF0000"/>
  </sheetPr>
  <dimension ref="A1:Z279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8" sqref="F8:N9"/>
    </sheetView>
  </sheetViews>
  <sheetFormatPr defaultRowHeight="23.25" outlineLevelCol="1" x14ac:dyDescent="0.35"/>
  <cols>
    <col min="1" max="1" width="10.26953125" style="202" bestFit="1" customWidth="1"/>
    <col min="2" max="2" width="1.6328125" style="202" customWidth="1"/>
    <col min="3" max="3" width="11.7265625" style="139" customWidth="1"/>
    <col min="4" max="4" width="2.90625" customWidth="1"/>
    <col min="5" max="6" width="8.81640625" bestFit="1" customWidth="1"/>
    <col min="7" max="9" width="11.81640625" customWidth="1" outlineLevel="1"/>
    <col min="10" max="10" width="11.36328125" customWidth="1" outlineLevel="1"/>
    <col min="11" max="14" width="11.81640625" customWidth="1" outlineLevel="1"/>
    <col min="15" max="15" width="3" style="316" customWidth="1"/>
    <col min="16" max="16" width="6.45312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6" ht="22.5" thickTop="1" thickBot="1" x14ac:dyDescent="0.4">
      <c r="A1"/>
      <c r="B1" s="201"/>
      <c r="C1" s="437" t="s">
        <v>134</v>
      </c>
      <c r="D1" s="437" t="s">
        <v>125</v>
      </c>
      <c r="E1" s="437" t="s">
        <v>84</v>
      </c>
      <c r="F1" s="437" t="s">
        <v>86</v>
      </c>
      <c r="G1" s="438" t="s">
        <v>41</v>
      </c>
      <c r="H1" s="438" t="s">
        <v>42</v>
      </c>
      <c r="I1" s="438" t="s">
        <v>43</v>
      </c>
      <c r="J1" s="438" t="s">
        <v>44</v>
      </c>
      <c r="K1" s="438" t="s">
        <v>45</v>
      </c>
      <c r="L1" s="438" t="s">
        <v>46</v>
      </c>
      <c r="M1" s="438" t="s">
        <v>47</v>
      </c>
      <c r="N1" s="438" t="s">
        <v>48</v>
      </c>
      <c r="O1" s="439">
        <f>COUNTA(O2:O281)</f>
        <v>63</v>
      </c>
      <c r="P1" s="392" t="s">
        <v>135</v>
      </c>
    </row>
    <row r="2" spans="1:16" ht="24" thickTop="1" x14ac:dyDescent="0.35">
      <c r="A2"/>
      <c r="B2" s="201"/>
      <c r="C2" s="402" t="s">
        <v>75</v>
      </c>
      <c r="D2" s="403" t="s">
        <v>65</v>
      </c>
      <c r="E2" s="404">
        <v>298.14999999999998</v>
      </c>
      <c r="F2" s="405">
        <v>1500</v>
      </c>
      <c r="G2" s="406">
        <v>3.192504</v>
      </c>
      <c r="H2" s="406">
        <v>33.995229999999999</v>
      </c>
      <c r="I2" s="406">
        <v>5.1932309999999999</v>
      </c>
      <c r="J2" s="406">
        <v>-4.8091060000000002E-4</v>
      </c>
      <c r="K2" s="406">
        <v>9.1439489999999998E-2</v>
      </c>
      <c r="L2" s="406">
        <v>-21.466670000000001</v>
      </c>
      <c r="M2" s="406">
        <v>42.981879999999997</v>
      </c>
      <c r="N2" s="406">
        <v>-45.813839999999999</v>
      </c>
      <c r="O2" s="317">
        <v>1</v>
      </c>
      <c r="P2" s="369"/>
    </row>
    <row r="3" spans="1:16" x14ac:dyDescent="0.35">
      <c r="A3"/>
      <c r="B3" s="201"/>
      <c r="C3" s="407" t="s">
        <v>75</v>
      </c>
      <c r="D3" s="372" t="s">
        <v>65</v>
      </c>
      <c r="E3" s="311">
        <v>1500</v>
      </c>
      <c r="F3" s="312">
        <v>6000</v>
      </c>
      <c r="G3" s="408">
        <v>3.192504</v>
      </c>
      <c r="H3" s="408">
        <v>27.29757</v>
      </c>
      <c r="I3" s="408">
        <v>2.370241</v>
      </c>
      <c r="J3" s="408">
        <v>2.138671E-3</v>
      </c>
      <c r="K3" s="408">
        <v>-9.5885429999999994E-2</v>
      </c>
      <c r="L3" s="408">
        <v>0.51440149999999996</v>
      </c>
      <c r="M3" s="408">
        <v>-0.49555690000000002</v>
      </c>
      <c r="N3" s="408">
        <v>0.24712329999999999</v>
      </c>
      <c r="O3" s="318">
        <v>1</v>
      </c>
      <c r="P3" s="369"/>
    </row>
    <row r="4" spans="1:16" ht="24" thickBot="1" x14ac:dyDescent="0.4">
      <c r="A4"/>
      <c r="B4" s="201"/>
      <c r="C4" s="407" t="s">
        <v>75</v>
      </c>
      <c r="D4" s="372" t="s">
        <v>65</v>
      </c>
      <c r="E4" s="311">
        <v>6000</v>
      </c>
      <c r="F4" s="312">
        <v>10000</v>
      </c>
      <c r="G4" s="408">
        <v>3.192504</v>
      </c>
      <c r="H4" s="408">
        <v>31.29327</v>
      </c>
      <c r="I4" s="408">
        <v>7.3013729999999999</v>
      </c>
      <c r="J4" s="408">
        <v>-9.3193609999999996E-2</v>
      </c>
      <c r="K4" s="408">
        <v>1.4353830000000001</v>
      </c>
      <c r="L4" s="408">
        <v>-7.4299809999999997</v>
      </c>
      <c r="M4" s="408">
        <v>2.6981959999999998</v>
      </c>
      <c r="N4" s="408">
        <v>-0.43421900000000002</v>
      </c>
      <c r="O4" s="319">
        <v>1</v>
      </c>
      <c r="P4" s="369"/>
    </row>
    <row r="5" spans="1:16" x14ac:dyDescent="0.35">
      <c r="A5"/>
      <c r="B5" s="201"/>
      <c r="C5" s="450" t="s">
        <v>75</v>
      </c>
      <c r="D5" s="453" t="s">
        <v>61</v>
      </c>
      <c r="E5" s="413">
        <v>302.91000000000003</v>
      </c>
      <c r="F5" s="414">
        <v>700</v>
      </c>
      <c r="G5" s="415">
        <v>6.7231944193878151E-2</v>
      </c>
      <c r="H5" s="415">
        <v>15.161939633818086</v>
      </c>
      <c r="I5" s="415">
        <v>3.1356064706236091</v>
      </c>
      <c r="J5" s="415">
        <v>1.4228155631727706E-4</v>
      </c>
      <c r="K5" s="415">
        <v>8.3943884453347564E-2</v>
      </c>
      <c r="L5" s="415">
        <v>-0.18461723495098922</v>
      </c>
      <c r="M5" s="415">
        <v>0.49311443863130677</v>
      </c>
      <c r="N5" s="446">
        <v>0</v>
      </c>
      <c r="O5" s="464">
        <v>4</v>
      </c>
      <c r="P5" s="465">
        <v>0</v>
      </c>
    </row>
    <row r="6" spans="1:16" ht="24" thickBot="1" x14ac:dyDescent="0.4">
      <c r="A6"/>
      <c r="B6" s="201"/>
      <c r="C6" s="451" t="s">
        <v>75</v>
      </c>
      <c r="D6" s="407" t="s">
        <v>61</v>
      </c>
      <c r="E6" s="311">
        <v>303</v>
      </c>
      <c r="F6" s="312">
        <v>699.99990000000003</v>
      </c>
      <c r="G6" s="373">
        <v>0</v>
      </c>
      <c r="H6" s="373">
        <v>14.61</v>
      </c>
      <c r="I6" s="373">
        <v>2.9321999999999999</v>
      </c>
      <c r="J6" s="373">
        <v>1.8641999999999999E-4</v>
      </c>
      <c r="K6" s="373">
        <v>9.2508020000000007E-3</v>
      </c>
      <c r="L6" s="373">
        <v>1.3771</v>
      </c>
      <c r="M6" s="373">
        <v>0</v>
      </c>
      <c r="N6" s="447">
        <v>0</v>
      </c>
      <c r="O6" s="381">
        <v>2</v>
      </c>
      <c r="P6" s="310">
        <v>1</v>
      </c>
    </row>
    <row r="7" spans="1:16" ht="24" thickBot="1" x14ac:dyDescent="0.4">
      <c r="A7"/>
      <c r="B7" s="201"/>
      <c r="C7" s="452" t="s">
        <v>75</v>
      </c>
      <c r="D7" s="454" t="s">
        <v>61</v>
      </c>
      <c r="E7" s="455">
        <v>700</v>
      </c>
      <c r="F7" s="456">
        <v>4000</v>
      </c>
      <c r="G7" s="422">
        <v>6.7231944193878151E-2</v>
      </c>
      <c r="H7" s="422">
        <v>15.161231791276917</v>
      </c>
      <c r="I7" s="422">
        <v>3.1353659269950085</v>
      </c>
      <c r="J7" s="422">
        <v>1.4252209994587768E-4</v>
      </c>
      <c r="K7" s="422">
        <v>8.3930978142227303E-2</v>
      </c>
      <c r="L7" s="422">
        <v>-0.18100908052197964</v>
      </c>
      <c r="M7" s="422">
        <v>0.48309178743961351</v>
      </c>
      <c r="N7" s="449">
        <v>0</v>
      </c>
      <c r="O7" s="466">
        <v>4</v>
      </c>
      <c r="P7" s="465">
        <v>0</v>
      </c>
    </row>
    <row r="8" spans="1:16" ht="24" thickBot="1" x14ac:dyDescent="0.4">
      <c r="A8"/>
      <c r="B8" s="201"/>
      <c r="C8" s="411" t="s">
        <v>75</v>
      </c>
      <c r="D8" s="378" t="s">
        <v>69</v>
      </c>
      <c r="E8" s="313">
        <v>298.14999999999998</v>
      </c>
      <c r="F8" s="314">
        <v>302.92</v>
      </c>
      <c r="G8" s="379">
        <v>-6.7018670000000002E-2</v>
      </c>
      <c r="H8" s="379">
        <v>-1611406</v>
      </c>
      <c r="I8" s="379">
        <v>-370772.3</v>
      </c>
      <c r="J8" s="379">
        <v>0</v>
      </c>
      <c r="K8" s="379">
        <v>-2763.64</v>
      </c>
      <c r="L8" s="379">
        <v>18653810</v>
      </c>
      <c r="M8" s="379">
        <v>-208550600</v>
      </c>
      <c r="N8" s="379">
        <v>1165804000</v>
      </c>
      <c r="O8" s="382">
        <v>1</v>
      </c>
      <c r="P8" s="370" t="s">
        <v>136</v>
      </c>
    </row>
    <row r="9" spans="1:16" x14ac:dyDescent="0.35">
      <c r="A9"/>
      <c r="B9" s="201"/>
      <c r="C9" s="416" t="s">
        <v>75</v>
      </c>
      <c r="D9" s="412" t="s">
        <v>69</v>
      </c>
      <c r="E9" s="413">
        <v>298.14999999999998</v>
      </c>
      <c r="F9" s="414">
        <v>302.91000000000003</v>
      </c>
      <c r="G9" s="415">
        <v>0</v>
      </c>
      <c r="H9" s="415">
        <v>-158.39844524532509</v>
      </c>
      <c r="I9" s="415">
        <v>-46.311022911780618</v>
      </c>
      <c r="J9" s="415">
        <v>3.9413674905285946E-3</v>
      </c>
      <c r="K9" s="415">
        <v>-0.93301705784567912</v>
      </c>
      <c r="L9" s="415">
        <v>1042.105358109327</v>
      </c>
      <c r="M9" s="415">
        <v>-4041.5078076452774</v>
      </c>
      <c r="N9" s="415">
        <v>0</v>
      </c>
      <c r="O9" s="469">
        <v>4</v>
      </c>
      <c r="P9" s="309"/>
    </row>
    <row r="10" spans="1:16" ht="24" thickBot="1" x14ac:dyDescent="0.4">
      <c r="A10"/>
      <c r="B10" s="201"/>
      <c r="C10" s="411" t="s">
        <v>75</v>
      </c>
      <c r="D10" s="378" t="s">
        <v>69</v>
      </c>
      <c r="E10" s="313">
        <v>302.92</v>
      </c>
      <c r="F10" s="314">
        <v>4000</v>
      </c>
      <c r="G10" s="379">
        <v>-6.7018670000000002E-2</v>
      </c>
      <c r="H10" s="379">
        <v>15.167669999999999</v>
      </c>
      <c r="I10" s="379">
        <v>3.135516</v>
      </c>
      <c r="J10" s="379">
        <v>1.4234849999999999E-4</v>
      </c>
      <c r="K10" s="379">
        <v>-5.0186000000000001E-2</v>
      </c>
      <c r="L10" s="379">
        <v>-0.18101780000000001</v>
      </c>
      <c r="M10" s="379">
        <v>0.48311500000000002</v>
      </c>
      <c r="N10" s="379">
        <v>0</v>
      </c>
      <c r="O10" s="382">
        <v>1</v>
      </c>
      <c r="P10" s="370" t="s">
        <v>136</v>
      </c>
    </row>
    <row r="11" spans="1:16" x14ac:dyDescent="0.35">
      <c r="A11"/>
      <c r="B11" s="201"/>
      <c r="C11" s="402" t="s">
        <v>126</v>
      </c>
      <c r="D11" s="403" t="s">
        <v>65</v>
      </c>
      <c r="E11" s="404">
        <v>298.14999999999998</v>
      </c>
      <c r="F11" s="405">
        <v>1100</v>
      </c>
      <c r="G11" s="406">
        <v>5.2149859999999997</v>
      </c>
      <c r="H11" s="406">
        <v>41.701000000000001</v>
      </c>
      <c r="I11" s="406">
        <v>4.0561670000000003</v>
      </c>
      <c r="J11" s="406">
        <v>2.357301E-5</v>
      </c>
      <c r="K11" s="406">
        <v>0.12889</v>
      </c>
      <c r="L11" s="406">
        <v>11.272</v>
      </c>
      <c r="M11" s="406">
        <v>-9.1847989999999999</v>
      </c>
      <c r="N11" s="406">
        <v>0</v>
      </c>
      <c r="O11" s="441">
        <v>1</v>
      </c>
      <c r="P11" s="175"/>
    </row>
    <row r="12" spans="1:16" ht="24" thickBot="1" x14ac:dyDescent="0.4">
      <c r="A12"/>
      <c r="B12" s="200"/>
      <c r="C12" s="411" t="s">
        <v>126</v>
      </c>
      <c r="D12" s="378" t="s">
        <v>65</v>
      </c>
      <c r="E12" s="313">
        <v>1100</v>
      </c>
      <c r="F12" s="314">
        <v>2500</v>
      </c>
      <c r="G12" s="435">
        <v>5.2149859999999997</v>
      </c>
      <c r="H12" s="435">
        <v>43.677999999999997</v>
      </c>
      <c r="I12" s="435">
        <v>4.8509000000000002</v>
      </c>
      <c r="J12" s="435">
        <v>-3.7446989999999998E-4</v>
      </c>
      <c r="K12" s="435">
        <v>0.1716596</v>
      </c>
      <c r="L12" s="435">
        <v>5.0346000000000002</v>
      </c>
      <c r="M12" s="435">
        <v>-0.32273000000000002</v>
      </c>
      <c r="N12" s="435">
        <v>0</v>
      </c>
      <c r="O12" s="321">
        <v>1</v>
      </c>
      <c r="P12" s="175"/>
    </row>
    <row r="13" spans="1:16" ht="24" thickBot="1" x14ac:dyDescent="0.4">
      <c r="A13"/>
      <c r="B13" s="200"/>
      <c r="C13" s="436" t="s">
        <v>76</v>
      </c>
      <c r="D13" s="430" t="s">
        <v>65</v>
      </c>
      <c r="E13" s="431">
        <v>298.14999999999998</v>
      </c>
      <c r="F13" s="432">
        <v>2000</v>
      </c>
      <c r="G13" s="433">
        <v>1.157</v>
      </c>
      <c r="H13" s="433">
        <v>55.30301</v>
      </c>
      <c r="I13" s="433">
        <v>6.9866000000000001</v>
      </c>
      <c r="J13" s="433">
        <v>-1.7438999999999999E-4</v>
      </c>
      <c r="K13" s="433">
        <v>0.22003</v>
      </c>
      <c r="L13" s="433">
        <v>3.0068000000000001E-2</v>
      </c>
      <c r="M13" s="433">
        <v>0</v>
      </c>
      <c r="N13" s="433">
        <v>0</v>
      </c>
      <c r="O13" s="371">
        <v>1</v>
      </c>
      <c r="P13" s="310"/>
    </row>
    <row r="14" spans="1:16" ht="24" thickBot="1" x14ac:dyDescent="0.4">
      <c r="A14"/>
      <c r="B14" s="200"/>
      <c r="C14" s="425" t="s">
        <v>76</v>
      </c>
      <c r="D14" s="426" t="s">
        <v>69</v>
      </c>
      <c r="E14" s="427">
        <v>298.14999999999998</v>
      </c>
      <c r="F14" s="428">
        <v>398</v>
      </c>
      <c r="G14" s="423">
        <v>-2.2040892416862103</v>
      </c>
      <c r="H14" s="423">
        <v>13.586866317878405</v>
      </c>
      <c r="I14" s="423">
        <v>0</v>
      </c>
      <c r="J14" s="423">
        <v>0</v>
      </c>
      <c r="K14" s="423">
        <v>0</v>
      </c>
      <c r="L14" s="423">
        <v>0</v>
      </c>
      <c r="M14" s="423">
        <v>0</v>
      </c>
      <c r="N14" s="423">
        <v>0</v>
      </c>
      <c r="O14" s="470">
        <v>4</v>
      </c>
      <c r="P14" s="309"/>
    </row>
    <row r="15" spans="1:16" ht="24" thickBot="1" x14ac:dyDescent="0.4">
      <c r="A15"/>
      <c r="B15" s="200"/>
      <c r="C15" s="442" t="s">
        <v>77</v>
      </c>
      <c r="D15" s="430" t="s">
        <v>69</v>
      </c>
      <c r="E15" s="431">
        <v>150</v>
      </c>
      <c r="F15" s="432">
        <v>1278</v>
      </c>
      <c r="G15" s="443">
        <v>-4.9166999999999996</v>
      </c>
      <c r="H15" s="443">
        <v>52.323990000000002</v>
      </c>
      <c r="I15" s="443">
        <v>12.715999999999999</v>
      </c>
      <c r="J15" s="443">
        <v>0</v>
      </c>
      <c r="K15" s="443">
        <v>0.39800999999999997</v>
      </c>
      <c r="L15" s="443">
        <v>21.234000000000002</v>
      </c>
      <c r="M15" s="443">
        <v>0</v>
      </c>
      <c r="N15" s="443">
        <v>0</v>
      </c>
      <c r="O15" s="444">
        <v>2</v>
      </c>
      <c r="P15" s="310"/>
    </row>
    <row r="16" spans="1:16" x14ac:dyDescent="0.35">
      <c r="A16"/>
      <c r="B16" s="200"/>
      <c r="C16" s="402" t="s">
        <v>68</v>
      </c>
      <c r="D16" s="403" t="s">
        <v>65</v>
      </c>
      <c r="E16" s="404">
        <v>298.14999999999998</v>
      </c>
      <c r="F16" s="405">
        <v>1500</v>
      </c>
      <c r="G16" s="406">
        <v>4.3829390000000004</v>
      </c>
      <c r="H16" s="406">
        <v>34.862279999999998</v>
      </c>
      <c r="I16" s="406">
        <v>5.530119</v>
      </c>
      <c r="J16" s="406">
        <v>-3.3787839999999998E-4</v>
      </c>
      <c r="K16" s="406">
        <v>8.1663529999999998E-2</v>
      </c>
      <c r="L16" s="406">
        <v>-21.130780000000001</v>
      </c>
      <c r="M16" s="406">
        <v>36.52984</v>
      </c>
      <c r="N16" s="406">
        <v>-31.421589999999998</v>
      </c>
      <c r="O16" s="441">
        <v>1</v>
      </c>
      <c r="P16" s="175"/>
    </row>
    <row r="17" spans="1:26" x14ac:dyDescent="0.35">
      <c r="A17"/>
      <c r="B17" s="200"/>
      <c r="C17" s="407" t="s">
        <v>68</v>
      </c>
      <c r="D17" s="372" t="s">
        <v>65</v>
      </c>
      <c r="E17" s="311">
        <v>1500</v>
      </c>
      <c r="F17" s="312">
        <v>6000</v>
      </c>
      <c r="G17" s="408">
        <v>4.3829390000000004</v>
      </c>
      <c r="H17" s="408">
        <v>26.704419999999999</v>
      </c>
      <c r="I17" s="408">
        <v>1.8358589999999999</v>
      </c>
      <c r="J17" s="408">
        <v>3.9919220000000002E-3</v>
      </c>
      <c r="K17" s="408">
        <v>-0.2011674</v>
      </c>
      <c r="L17" s="408">
        <v>2.865237</v>
      </c>
      <c r="M17" s="408">
        <v>-1.920703</v>
      </c>
      <c r="N17" s="408">
        <v>0.6292025</v>
      </c>
      <c r="O17" s="320">
        <v>1</v>
      </c>
      <c r="P17" s="175"/>
    </row>
    <row r="18" spans="1:26" ht="24" thickBot="1" x14ac:dyDescent="0.4">
      <c r="A18"/>
      <c r="B18" s="200"/>
      <c r="C18" s="411" t="s">
        <v>68</v>
      </c>
      <c r="D18" s="378" t="s">
        <v>65</v>
      </c>
      <c r="E18" s="313">
        <v>6000</v>
      </c>
      <c r="F18" s="314">
        <v>10000</v>
      </c>
      <c r="G18" s="435">
        <v>4.3829390000000004</v>
      </c>
      <c r="H18" s="435">
        <v>30.185140000000001</v>
      </c>
      <c r="I18" s="435">
        <v>6.3430540000000004</v>
      </c>
      <c r="J18" s="435">
        <v>-9.5135109999999995E-2</v>
      </c>
      <c r="K18" s="435">
        <v>1.2754369999999999</v>
      </c>
      <c r="L18" s="435">
        <v>-4.2694150000000004</v>
      </c>
      <c r="M18" s="435">
        <v>1.041687</v>
      </c>
      <c r="N18" s="435">
        <v>-6.3588229999999996E-2</v>
      </c>
      <c r="O18" s="321">
        <v>1</v>
      </c>
      <c r="P18" s="175"/>
    </row>
    <row r="19" spans="1:26" ht="24" thickBot="1" x14ac:dyDescent="0.4">
      <c r="A19"/>
      <c r="B19" s="200"/>
      <c r="C19" s="436" t="s">
        <v>68</v>
      </c>
      <c r="D19" s="430" t="s">
        <v>61</v>
      </c>
      <c r="E19" s="431">
        <v>1211.4000000000001</v>
      </c>
      <c r="F19" s="432">
        <v>4900</v>
      </c>
      <c r="G19" s="443">
        <v>-5.5760690000000002E-2</v>
      </c>
      <c r="H19" s="443">
        <v>15.395060000000001</v>
      </c>
      <c r="I19" s="443">
        <v>3.319661</v>
      </c>
      <c r="J19" s="443">
        <v>0</v>
      </c>
      <c r="K19" s="443">
        <v>-0.38367639999999997</v>
      </c>
      <c r="L19" s="443">
        <v>0</v>
      </c>
      <c r="M19" s="443">
        <v>0</v>
      </c>
      <c r="N19" s="443">
        <v>0</v>
      </c>
      <c r="O19" s="467">
        <v>1</v>
      </c>
      <c r="P19" s="310"/>
    </row>
    <row r="20" spans="1:26" ht="24" thickBot="1" x14ac:dyDescent="0.4">
      <c r="A20"/>
      <c r="B20" s="200"/>
      <c r="C20" s="436" t="s">
        <v>68</v>
      </c>
      <c r="D20" s="430" t="s">
        <v>69</v>
      </c>
      <c r="E20" s="431">
        <v>298.14999999999998</v>
      </c>
      <c r="F20" s="432">
        <v>1211.4000000000001</v>
      </c>
      <c r="G20" s="443">
        <v>-5.5760690000000002E-2</v>
      </c>
      <c r="H20" s="443">
        <v>10.808619999999999</v>
      </c>
      <c r="I20" s="443">
        <v>2.898209</v>
      </c>
      <c r="J20" s="443">
        <v>-9.4357770000000004E-5</v>
      </c>
      <c r="K20" s="443">
        <v>3.8575789999999999E-2</v>
      </c>
      <c r="L20" s="443">
        <v>1.796346</v>
      </c>
      <c r="M20" s="443">
        <v>0</v>
      </c>
      <c r="N20" s="443">
        <v>0</v>
      </c>
      <c r="O20" s="371">
        <v>1</v>
      </c>
      <c r="P20" s="175"/>
    </row>
    <row r="21" spans="1:26" x14ac:dyDescent="0.35">
      <c r="A21"/>
      <c r="B21" s="200"/>
      <c r="C21" s="402" t="s">
        <v>124</v>
      </c>
      <c r="D21" s="403" t="s">
        <v>65</v>
      </c>
      <c r="E21" s="404">
        <v>298.14999999999998</v>
      </c>
      <c r="F21" s="405">
        <v>1500</v>
      </c>
      <c r="G21" s="406">
        <v>5.674709</v>
      </c>
      <c r="H21" s="406">
        <v>49.524940000000001</v>
      </c>
      <c r="I21" s="406">
        <v>7.0513279999999998</v>
      </c>
      <c r="J21" s="406">
        <v>-1.341195E-5</v>
      </c>
      <c r="K21" s="406">
        <v>5.245814E-2</v>
      </c>
      <c r="L21" s="406">
        <v>-24.580100000000002</v>
      </c>
      <c r="M21" s="406">
        <v>62.099780000000003</v>
      </c>
      <c r="N21" s="406">
        <v>-81.046109999999999</v>
      </c>
      <c r="O21" s="317">
        <v>1</v>
      </c>
      <c r="P21" s="369"/>
    </row>
    <row r="22" spans="1:26" ht="24" thickBot="1" x14ac:dyDescent="0.4">
      <c r="A22"/>
      <c r="B22" s="200"/>
      <c r="C22" s="411" t="s">
        <v>124</v>
      </c>
      <c r="D22" s="378" t="s">
        <v>65</v>
      </c>
      <c r="E22" s="313">
        <v>1500</v>
      </c>
      <c r="F22" s="314">
        <v>6000</v>
      </c>
      <c r="G22" s="435">
        <v>5.674709</v>
      </c>
      <c r="H22" s="435">
        <v>40.162990000000001</v>
      </c>
      <c r="I22" s="435">
        <v>2.7510140000000001</v>
      </c>
      <c r="J22" s="435">
        <v>7.8054969999999998E-3</v>
      </c>
      <c r="K22" s="435">
        <v>-0.32734089999999999</v>
      </c>
      <c r="L22" s="435">
        <v>6.01546</v>
      </c>
      <c r="M22" s="435">
        <v>-3.5431430000000002</v>
      </c>
      <c r="N22" s="435">
        <v>0.75900279999999998</v>
      </c>
      <c r="O22" s="319">
        <v>1</v>
      </c>
      <c r="P22" s="369"/>
    </row>
    <row r="23" spans="1:26" ht="24" thickBot="1" x14ac:dyDescent="0.4">
      <c r="A23"/>
      <c r="B23" s="200"/>
      <c r="C23" s="436" t="s">
        <v>92</v>
      </c>
      <c r="D23" s="430" t="s">
        <v>65</v>
      </c>
      <c r="E23" s="431">
        <v>298.14999999999998</v>
      </c>
      <c r="F23" s="432">
        <v>2000</v>
      </c>
      <c r="G23" s="433">
        <v>1.2677</v>
      </c>
      <c r="H23" s="433">
        <v>11.071</v>
      </c>
      <c r="I23" s="433">
        <v>4.4489000000000001</v>
      </c>
      <c r="J23" s="433">
        <v>-1.0823999999999999E-4</v>
      </c>
      <c r="K23" s="433">
        <v>0.13999</v>
      </c>
      <c r="L23" s="433">
        <v>0.10223</v>
      </c>
      <c r="M23" s="433">
        <v>0</v>
      </c>
      <c r="N23" s="433">
        <v>0</v>
      </c>
      <c r="O23" s="371">
        <v>1</v>
      </c>
      <c r="P23" s="175"/>
    </row>
    <row r="24" spans="1:26" ht="24" thickBot="1" x14ac:dyDescent="0.4">
      <c r="A24"/>
      <c r="B24" s="200"/>
      <c r="C24" s="411" t="s">
        <v>92</v>
      </c>
      <c r="D24" s="378" t="s">
        <v>69</v>
      </c>
      <c r="E24" s="313">
        <v>298.14999999999998</v>
      </c>
      <c r="F24" s="314">
        <v>947.99990000000003</v>
      </c>
      <c r="G24" s="379">
        <v>-0.82987549999999999</v>
      </c>
      <c r="H24" s="379">
        <v>22.446940000000001</v>
      </c>
      <c r="I24" s="379">
        <v>5.4242590000000002</v>
      </c>
      <c r="J24" s="379">
        <v>0</v>
      </c>
      <c r="K24" s="379">
        <v>0.17049120000000001</v>
      </c>
      <c r="L24" s="379">
        <v>9.8622890000000005</v>
      </c>
      <c r="M24" s="379">
        <v>0</v>
      </c>
      <c r="N24" s="379">
        <v>0</v>
      </c>
      <c r="O24" s="321">
        <v>1</v>
      </c>
      <c r="P24" s="369"/>
    </row>
    <row r="25" spans="1:26" ht="24" thickBot="1" x14ac:dyDescent="0.4">
      <c r="A25"/>
      <c r="B25" s="200"/>
      <c r="C25" s="402" t="s">
        <v>93</v>
      </c>
      <c r="D25" s="403" t="s">
        <v>69</v>
      </c>
      <c r="E25" s="404">
        <v>298.14999999999998</v>
      </c>
      <c r="F25" s="405">
        <v>1013</v>
      </c>
      <c r="G25" s="419">
        <v>-1.3591</v>
      </c>
      <c r="H25" s="419">
        <v>31.553999999999998</v>
      </c>
      <c r="I25" s="419">
        <v>7.5639000000000003</v>
      </c>
      <c r="J25" s="419">
        <v>0</v>
      </c>
      <c r="K25" s="419">
        <v>0.24035000000000001</v>
      </c>
      <c r="L25" s="419">
        <v>16.681999999999999</v>
      </c>
      <c r="M25" s="419">
        <v>0</v>
      </c>
      <c r="N25" s="419">
        <v>0</v>
      </c>
      <c r="O25" s="380">
        <v>2</v>
      </c>
      <c r="P25" s="370" t="s">
        <v>136</v>
      </c>
    </row>
    <row r="26" spans="1:26" x14ac:dyDescent="0.35">
      <c r="A26"/>
      <c r="B26" s="200"/>
      <c r="C26" s="459" t="s">
        <v>93</v>
      </c>
      <c r="D26" s="453" t="s">
        <v>69</v>
      </c>
      <c r="E26" s="462">
        <v>298.14999999999998</v>
      </c>
      <c r="F26" s="463">
        <v>350</v>
      </c>
      <c r="G26" s="415">
        <v>-1.3586866317878405</v>
      </c>
      <c r="H26" s="415">
        <v>68.816676906083146</v>
      </c>
      <c r="I26" s="415">
        <v>17.608515244452462</v>
      </c>
      <c r="J26" s="415">
        <v>-5.8145408623489088E-4</v>
      </c>
      <c r="K26" s="415">
        <v>0.41318596346922787</v>
      </c>
      <c r="L26" s="415">
        <v>-252.13723014011663</v>
      </c>
      <c r="M26" s="415">
        <v>1383.1599414677171</v>
      </c>
      <c r="N26" s="415">
        <v>0</v>
      </c>
      <c r="O26" s="376" t="s">
        <v>137</v>
      </c>
      <c r="P26" s="309"/>
    </row>
    <row r="27" spans="1:26" x14ac:dyDescent="0.35">
      <c r="A27"/>
      <c r="B27" s="200"/>
      <c r="C27" s="460" t="s">
        <v>93</v>
      </c>
      <c r="D27" s="461" t="s">
        <v>69</v>
      </c>
      <c r="E27" s="429">
        <v>350</v>
      </c>
      <c r="F27" s="457">
        <v>420</v>
      </c>
      <c r="G27" s="410">
        <v>-1.3586866317878405</v>
      </c>
      <c r="H27" s="410">
        <v>12.046908589131874</v>
      </c>
      <c r="I27" s="410">
        <v>1.7622226231282696</v>
      </c>
      <c r="J27" s="410">
        <v>0</v>
      </c>
      <c r="K27" s="410">
        <v>0.14511938535984314</v>
      </c>
      <c r="L27" s="410">
        <v>105.72854651512418</v>
      </c>
      <c r="M27" s="410">
        <v>0</v>
      </c>
      <c r="N27" s="410">
        <v>0</v>
      </c>
      <c r="O27" s="377" t="s">
        <v>137</v>
      </c>
      <c r="P27" s="309"/>
    </row>
    <row r="28" spans="1:26" x14ac:dyDescent="0.35">
      <c r="A28"/>
      <c r="B28" s="200"/>
      <c r="C28" s="460" t="s">
        <v>93</v>
      </c>
      <c r="D28" s="461" t="s">
        <v>69</v>
      </c>
      <c r="E28" s="429">
        <v>420</v>
      </c>
      <c r="F28" s="457">
        <v>450</v>
      </c>
      <c r="G28" s="410">
        <v>-1.3586866317878405</v>
      </c>
      <c r="H28" s="410">
        <v>38.768510038576053</v>
      </c>
      <c r="I28" s="410">
        <v>9.9832822178122544</v>
      </c>
      <c r="J28" s="410">
        <v>0</v>
      </c>
      <c r="K28" s="410">
        <v>0.30389873228389108</v>
      </c>
      <c r="L28" s="410">
        <v>0</v>
      </c>
      <c r="M28" s="410">
        <v>0</v>
      </c>
      <c r="N28" s="410">
        <v>0</v>
      </c>
      <c r="O28" s="458" t="s">
        <v>137</v>
      </c>
      <c r="P28" s="309"/>
      <c r="Q28" s="131"/>
      <c r="R28" s="131"/>
      <c r="S28" s="131"/>
      <c r="T28" s="131"/>
      <c r="U28" s="131"/>
      <c r="V28" s="131"/>
      <c r="W28" s="131"/>
      <c r="X28" s="131"/>
      <c r="Y28" s="131"/>
      <c r="Z28" s="131"/>
    </row>
    <row r="29" spans="1:26" ht="24" thickBot="1" x14ac:dyDescent="0.4">
      <c r="A29"/>
      <c r="B29" s="200"/>
      <c r="C29" s="448" t="s">
        <v>93</v>
      </c>
      <c r="D29" s="454" t="s">
        <v>69</v>
      </c>
      <c r="E29" s="420">
        <v>450</v>
      </c>
      <c r="F29" s="421">
        <v>900</v>
      </c>
      <c r="G29" s="422">
        <v>-1.3586866317878405</v>
      </c>
      <c r="H29" s="422">
        <v>18.364758562217371</v>
      </c>
      <c r="I29" s="422">
        <v>2.0299476817607793</v>
      </c>
      <c r="J29" s="422">
        <v>2.736243911239401E-3</v>
      </c>
      <c r="K29" s="422">
        <v>-6.5765806573927721E-2</v>
      </c>
      <c r="L29" s="422">
        <v>61.455288953033858</v>
      </c>
      <c r="M29" s="422">
        <v>-80.11305550544229</v>
      </c>
      <c r="N29" s="422">
        <v>0</v>
      </c>
      <c r="O29" s="323" t="s">
        <v>137</v>
      </c>
      <c r="P29" s="309"/>
    </row>
    <row r="30" spans="1:26" x14ac:dyDescent="0.35">
      <c r="A30"/>
      <c r="B30" s="200"/>
      <c r="C30" s="445" t="s">
        <v>70</v>
      </c>
      <c r="D30" s="403" t="s">
        <v>65</v>
      </c>
      <c r="E30" s="404">
        <v>298.14999999999998</v>
      </c>
      <c r="F30" s="405">
        <v>1500</v>
      </c>
      <c r="G30" s="406">
        <v>2.783115</v>
      </c>
      <c r="H30" s="406">
        <v>25.378499999999999</v>
      </c>
      <c r="I30" s="406">
        <v>1.797085</v>
      </c>
      <c r="J30" s="406">
        <v>1.090393E-4</v>
      </c>
      <c r="K30" s="406">
        <v>-2.1003919999999999E-2</v>
      </c>
      <c r="L30" s="406">
        <v>9.1604179999999999</v>
      </c>
      <c r="M30" s="406">
        <v>-16.28604</v>
      </c>
      <c r="N30" s="406">
        <v>12.30222</v>
      </c>
      <c r="O30" s="441">
        <v>1</v>
      </c>
      <c r="P30" s="369"/>
    </row>
    <row r="31" spans="1:26" ht="24" thickBot="1" x14ac:dyDescent="0.4">
      <c r="C31" s="434" t="s">
        <v>70</v>
      </c>
      <c r="D31" s="378" t="s">
        <v>65</v>
      </c>
      <c r="E31" s="313">
        <v>1500</v>
      </c>
      <c r="F31" s="314">
        <v>10000</v>
      </c>
      <c r="G31" s="435">
        <v>2.783115</v>
      </c>
      <c r="H31" s="435">
        <v>27.619869999999999</v>
      </c>
      <c r="I31" s="435">
        <v>2.4307400000000001</v>
      </c>
      <c r="J31" s="435">
        <v>2.4488410000000002E-3</v>
      </c>
      <c r="K31" s="435">
        <v>-5.4265309999999997E-2</v>
      </c>
      <c r="L31" s="435">
        <v>0.91438399999999997</v>
      </c>
      <c r="M31" s="435">
        <v>-0.4321508</v>
      </c>
      <c r="N31" s="435">
        <v>8.956944E-2</v>
      </c>
      <c r="O31" s="321">
        <v>1</v>
      </c>
      <c r="P31" s="369"/>
    </row>
    <row r="32" spans="1:26" ht="24" thickBot="1" x14ac:dyDescent="0.4">
      <c r="C32" s="411" t="s">
        <v>70</v>
      </c>
      <c r="D32" s="378" t="s">
        <v>61</v>
      </c>
      <c r="E32" s="313">
        <v>493.00009999999997</v>
      </c>
      <c r="F32" s="314">
        <v>957.00009999999997</v>
      </c>
      <c r="G32" s="379">
        <v>0</v>
      </c>
      <c r="H32" s="379">
        <v>16.690000000000001</v>
      </c>
      <c r="I32" s="379">
        <v>4.2279999999999998</v>
      </c>
      <c r="J32" s="379">
        <v>0</v>
      </c>
      <c r="K32" s="379">
        <v>7.2510000000000005E-2</v>
      </c>
      <c r="L32" s="379">
        <v>0</v>
      </c>
      <c r="M32" s="379">
        <v>0</v>
      </c>
      <c r="N32" s="379">
        <v>0</v>
      </c>
      <c r="O32" s="468">
        <v>2</v>
      </c>
      <c r="P32" s="310">
        <v>1</v>
      </c>
    </row>
    <row r="33" spans="1:16" x14ac:dyDescent="0.35">
      <c r="C33" s="424" t="s">
        <v>70</v>
      </c>
      <c r="D33" s="372" t="s">
        <v>69</v>
      </c>
      <c r="E33" s="311">
        <v>298.14999999999998</v>
      </c>
      <c r="F33" s="312">
        <v>494.3</v>
      </c>
      <c r="G33" s="373">
        <v>-6.6260929999999996E-2</v>
      </c>
      <c r="H33" s="373">
        <v>10.212899999999999</v>
      </c>
      <c r="I33" s="373">
        <v>2.3373539999999999</v>
      </c>
      <c r="J33" s="373">
        <v>0</v>
      </c>
      <c r="K33" s="373">
        <v>1.4182739999999999E-2</v>
      </c>
      <c r="L33" s="373">
        <v>13.63707</v>
      </c>
      <c r="M33" s="373">
        <v>-25.78952</v>
      </c>
      <c r="N33" s="373">
        <v>0</v>
      </c>
      <c r="O33" s="375" t="s">
        <v>170</v>
      </c>
      <c r="P33" s="369"/>
    </row>
    <row r="34" spans="1:16" x14ac:dyDescent="0.35">
      <c r="C34" s="424" t="s">
        <v>70</v>
      </c>
      <c r="D34" s="372" t="s">
        <v>69</v>
      </c>
      <c r="E34" s="311">
        <v>494.3</v>
      </c>
      <c r="F34" s="312">
        <v>1000</v>
      </c>
      <c r="G34" s="373">
        <v>-6.6260929999999996E-2</v>
      </c>
      <c r="H34" s="373">
        <v>23.305810000000001</v>
      </c>
      <c r="I34" s="373">
        <v>6.3044700000000002</v>
      </c>
      <c r="J34" s="373">
        <v>0</v>
      </c>
      <c r="K34" s="373">
        <v>5.1929419999999997E-2</v>
      </c>
      <c r="L34" s="373">
        <v>-29.829440000000002</v>
      </c>
      <c r="M34" s="373">
        <v>65.022059999999996</v>
      </c>
      <c r="N34" s="373">
        <v>0</v>
      </c>
      <c r="O34" s="375">
        <v>1</v>
      </c>
      <c r="P34" s="369"/>
    </row>
    <row r="35" spans="1:16" ht="24" thickBot="1" x14ac:dyDescent="0.4">
      <c r="C35" s="424" t="s">
        <v>70</v>
      </c>
      <c r="D35" s="372" t="s">
        <v>69</v>
      </c>
      <c r="E35" s="311">
        <v>1000</v>
      </c>
      <c r="F35" s="312">
        <v>1800</v>
      </c>
      <c r="G35" s="373">
        <v>-6.6260929999999996E-2</v>
      </c>
      <c r="H35" s="373">
        <v>16.601150000000001</v>
      </c>
      <c r="I35" s="373">
        <v>4.2397850000000004</v>
      </c>
      <c r="J35" s="373">
        <v>0</v>
      </c>
      <c r="K35" s="373">
        <v>1.3699609999999999E-2</v>
      </c>
      <c r="L35" s="373">
        <v>0</v>
      </c>
      <c r="M35" s="373">
        <v>0</v>
      </c>
      <c r="N35" s="373">
        <v>0</v>
      </c>
      <c r="O35" s="375">
        <v>1</v>
      </c>
      <c r="P35" s="369"/>
    </row>
    <row r="36" spans="1:16" ht="24" thickBot="1" x14ac:dyDescent="0.4">
      <c r="C36" s="425" t="s">
        <v>130</v>
      </c>
      <c r="D36" s="426" t="s">
        <v>69</v>
      </c>
      <c r="E36" s="427">
        <v>298.14999999999998</v>
      </c>
      <c r="F36" s="428">
        <v>398</v>
      </c>
      <c r="G36" s="423">
        <v>6.0388477960190028E-2</v>
      </c>
      <c r="H36" s="423">
        <v>14.027300531776039</v>
      </c>
      <c r="I36" s="423">
        <v>3.265379758253653</v>
      </c>
      <c r="J36" s="423">
        <v>0</v>
      </c>
      <c r="K36" s="423">
        <v>9.7357297492332656E-2</v>
      </c>
      <c r="L36" s="423">
        <v>0</v>
      </c>
      <c r="M36" s="423">
        <v>0</v>
      </c>
      <c r="N36" s="423">
        <v>0</v>
      </c>
      <c r="O36" s="440" t="s">
        <v>137</v>
      </c>
      <c r="P36" s="175"/>
    </row>
    <row r="37" spans="1:16" s="170" customFormat="1" ht="24" thickBot="1" x14ac:dyDescent="0.4">
      <c r="A37" s="203"/>
      <c r="B37" s="203"/>
      <c r="C37" s="425" t="s">
        <v>131</v>
      </c>
      <c r="D37" s="426" t="s">
        <v>69</v>
      </c>
      <c r="E37" s="427">
        <v>298</v>
      </c>
      <c r="F37" s="428">
        <v>413</v>
      </c>
      <c r="G37" s="423">
        <v>0.10769138252450537</v>
      </c>
      <c r="H37" s="423">
        <v>54.853251742343801</v>
      </c>
      <c r="I37" s="423">
        <v>12.931625473570268</v>
      </c>
      <c r="J37" s="423">
        <v>-2.6345540922484819E-4</v>
      </c>
      <c r="K37" s="423">
        <v>0.40426080105349993</v>
      </c>
      <c r="L37" s="423">
        <v>-5.4483131878044384</v>
      </c>
      <c r="M37" s="423">
        <v>114.4045542927015</v>
      </c>
      <c r="N37" s="423">
        <v>0</v>
      </c>
      <c r="O37" s="322" t="s">
        <v>137</v>
      </c>
      <c r="P37" s="309"/>
    </row>
    <row r="38" spans="1:16" s="170" customFormat="1" ht="24" thickBot="1" x14ac:dyDescent="0.4">
      <c r="A38" s="203"/>
      <c r="B38" s="203"/>
      <c r="C38" s="417" t="s">
        <v>132</v>
      </c>
      <c r="D38" s="409" t="s">
        <v>69</v>
      </c>
      <c r="E38" s="429">
        <v>298.14999999999998</v>
      </c>
      <c r="F38" s="418">
        <v>398</v>
      </c>
      <c r="G38" s="410">
        <v>0.1962595465752601</v>
      </c>
      <c r="H38" s="410">
        <v>18.555499584494658</v>
      </c>
      <c r="I38" s="410">
        <v>4.881231583378435</v>
      </c>
      <c r="J38" s="410">
        <v>0</v>
      </c>
      <c r="K38" s="410">
        <v>0.14553391965842802</v>
      </c>
      <c r="L38" s="410">
        <v>0</v>
      </c>
      <c r="M38" s="410">
        <v>0</v>
      </c>
      <c r="N38" s="410">
        <v>0</v>
      </c>
      <c r="O38" s="374" t="s">
        <v>137</v>
      </c>
      <c r="P38" s="309"/>
    </row>
    <row r="39" spans="1:16" s="170" customFormat="1" x14ac:dyDescent="0.35">
      <c r="A39" s="203"/>
      <c r="B39" s="203"/>
      <c r="C39" s="445" t="s">
        <v>117</v>
      </c>
      <c r="D39" s="402" t="s">
        <v>65</v>
      </c>
      <c r="E39" s="404">
        <v>298.14999999999998</v>
      </c>
      <c r="F39" s="405">
        <v>1500</v>
      </c>
      <c r="G39" s="406">
        <v>1.6083639999999999</v>
      </c>
      <c r="H39" s="406">
        <v>46.654719999999998</v>
      </c>
      <c r="I39" s="406">
        <v>6.370749</v>
      </c>
      <c r="J39" s="406">
        <v>-1.7220000000000001E-4</v>
      </c>
      <c r="K39" s="406">
        <v>6.049562E-2</v>
      </c>
      <c r="L39" s="406">
        <v>-20.810030000000001</v>
      </c>
      <c r="M39" s="406">
        <v>56.994140000000002</v>
      </c>
      <c r="N39" s="406">
        <v>-73.985680000000002</v>
      </c>
      <c r="O39" s="441">
        <v>1</v>
      </c>
      <c r="P39" s="369"/>
    </row>
    <row r="40" spans="1:16" s="170" customFormat="1" ht="24" thickBot="1" x14ac:dyDescent="0.4">
      <c r="A40" s="203"/>
      <c r="B40" s="203"/>
      <c r="C40" s="424" t="s">
        <v>117</v>
      </c>
      <c r="D40" s="407" t="s">
        <v>65</v>
      </c>
      <c r="E40" s="311">
        <v>1500</v>
      </c>
      <c r="F40" s="312">
        <v>6000</v>
      </c>
      <c r="G40" s="408">
        <v>1.6083639999999999</v>
      </c>
      <c r="H40" s="408">
        <v>41.393599999999999</v>
      </c>
      <c r="I40" s="408">
        <v>4.6638549999999999</v>
      </c>
      <c r="J40" s="408">
        <v>-1.334432E-3</v>
      </c>
      <c r="K40" s="408">
        <v>3.6780319999999998E-2</v>
      </c>
      <c r="L40" s="408">
        <v>0.98545360000000004</v>
      </c>
      <c r="M40" s="408">
        <v>-0.13838919999999999</v>
      </c>
      <c r="N40" s="408">
        <v>-0.2247374</v>
      </c>
      <c r="O40" s="320">
        <v>1</v>
      </c>
      <c r="P40" s="369"/>
    </row>
    <row r="41" spans="1:16" x14ac:dyDescent="0.35">
      <c r="C41" s="494" t="s">
        <v>118</v>
      </c>
      <c r="D41" s="402" t="s">
        <v>65</v>
      </c>
      <c r="E41" s="404">
        <v>298.14999999999998</v>
      </c>
      <c r="F41" s="405">
        <v>1500</v>
      </c>
      <c r="G41" s="406">
        <v>1.9782420000000001</v>
      </c>
      <c r="H41" s="406">
        <v>54.51784</v>
      </c>
      <c r="I41" s="406">
        <v>6.89046</v>
      </c>
      <c r="J41" s="406">
        <v>-1.736525E-4</v>
      </c>
      <c r="K41" s="406">
        <v>5.6347979999999999E-2</v>
      </c>
      <c r="L41" s="406">
        <v>1.1843140000000001</v>
      </c>
      <c r="M41" s="406">
        <v>-3.094471</v>
      </c>
      <c r="N41" s="406">
        <v>4.1616710000000001</v>
      </c>
      <c r="O41" s="441">
        <v>1</v>
      </c>
      <c r="P41" s="369"/>
    </row>
    <row r="42" spans="1:16" ht="24" thickBot="1" x14ac:dyDescent="0.4">
      <c r="C42" s="495" t="s">
        <v>118</v>
      </c>
      <c r="D42" s="407" t="s">
        <v>65</v>
      </c>
      <c r="E42" s="311">
        <v>1500</v>
      </c>
      <c r="F42" s="312">
        <v>6000</v>
      </c>
      <c r="G42" s="408">
        <v>1.9782420000000001</v>
      </c>
      <c r="H42" s="408">
        <v>54.816650000000003</v>
      </c>
      <c r="I42" s="408">
        <v>7.0000840000000002</v>
      </c>
      <c r="J42" s="408">
        <v>-2.193664E-4</v>
      </c>
      <c r="K42" s="408">
        <v>6.1325909999999997E-2</v>
      </c>
      <c r="L42" s="408">
        <v>3.7539989999999998E-4</v>
      </c>
      <c r="M42" s="408">
        <v>-1.8322499999999999E-4</v>
      </c>
      <c r="N42" s="408">
        <v>4.3410669999999999E-5</v>
      </c>
      <c r="O42" s="320">
        <v>1</v>
      </c>
      <c r="P42" s="369"/>
    </row>
    <row r="43" spans="1:16" x14ac:dyDescent="0.35">
      <c r="C43" s="494" t="s">
        <v>119</v>
      </c>
      <c r="D43" s="402" t="s">
        <v>65</v>
      </c>
      <c r="E43" s="404">
        <v>298.14999999999998</v>
      </c>
      <c r="F43" s="405">
        <v>1500</v>
      </c>
      <c r="G43" s="406">
        <v>1.7796749999999999</v>
      </c>
      <c r="H43" s="406">
        <v>65.627989999999997</v>
      </c>
      <c r="I43" s="406">
        <v>9.8077830000000006</v>
      </c>
      <c r="J43" s="406">
        <v>-2.9475889999999998E-4</v>
      </c>
      <c r="K43" s="406">
        <v>0.1005359</v>
      </c>
      <c r="L43" s="406">
        <v>2.0750869999999999</v>
      </c>
      <c r="M43" s="406">
        <v>-5.417872</v>
      </c>
      <c r="N43" s="406">
        <v>7.2822940000000003</v>
      </c>
      <c r="O43" s="441">
        <v>1</v>
      </c>
      <c r="P43" s="369"/>
    </row>
    <row r="44" spans="1:16" ht="24" thickBot="1" x14ac:dyDescent="0.4">
      <c r="C44" s="313" t="s">
        <v>119</v>
      </c>
      <c r="D44" s="411" t="s">
        <v>65</v>
      </c>
      <c r="E44" s="313">
        <v>1500</v>
      </c>
      <c r="F44" s="314">
        <v>6000</v>
      </c>
      <c r="G44" s="435">
        <v>1.7796749999999999</v>
      </c>
      <c r="H44" s="435">
        <v>66.151300000000006</v>
      </c>
      <c r="I44" s="435">
        <v>9.9996779999999994</v>
      </c>
      <c r="J44" s="435">
        <v>-3.7359040000000001E-4</v>
      </c>
      <c r="K44" s="435">
        <v>0.1092219</v>
      </c>
      <c r="L44" s="435">
        <v>1.8328540000000001E-3</v>
      </c>
      <c r="M44" s="435">
        <v>-1.155547E-3</v>
      </c>
      <c r="N44" s="435">
        <v>3.7609010000000002E-4</v>
      </c>
      <c r="O44" s="321">
        <v>1</v>
      </c>
      <c r="P44" s="369"/>
    </row>
    <row r="45" spans="1:16" x14ac:dyDescent="0.35">
      <c r="C45" s="407" t="s">
        <v>120</v>
      </c>
      <c r="D45" s="372" t="s">
        <v>65</v>
      </c>
      <c r="E45" s="311">
        <v>298.14999999999998</v>
      </c>
      <c r="F45" s="312">
        <v>1500</v>
      </c>
      <c r="G45" s="408">
        <v>1.593137</v>
      </c>
      <c r="H45" s="408">
        <v>82.10181</v>
      </c>
      <c r="I45" s="408">
        <v>12.889200000000001</v>
      </c>
      <c r="J45" s="408">
        <v>-2.7534359999999998E-4</v>
      </c>
      <c r="K45" s="408">
        <v>0.11292489999999999</v>
      </c>
      <c r="L45" s="408">
        <v>1.2045049999999999</v>
      </c>
      <c r="M45" s="408">
        <v>-3.1549330000000002</v>
      </c>
      <c r="N45" s="408">
        <v>4.2508710000000001</v>
      </c>
      <c r="O45" s="318">
        <v>1</v>
      </c>
      <c r="P45" s="369"/>
    </row>
    <row r="46" spans="1:16" ht="24" thickBot="1" x14ac:dyDescent="0.4">
      <c r="C46" s="407" t="s">
        <v>120</v>
      </c>
      <c r="D46" s="372" t="s">
        <v>65</v>
      </c>
      <c r="E46" s="311">
        <v>1500</v>
      </c>
      <c r="F46" s="312">
        <v>6000</v>
      </c>
      <c r="G46" s="408">
        <v>1.593137</v>
      </c>
      <c r="H46" s="408">
        <v>82.404619999999994</v>
      </c>
      <c r="I46" s="408">
        <v>12.999980000000001</v>
      </c>
      <c r="J46" s="408">
        <v>-3.1975439999999998E-4</v>
      </c>
      <c r="K46" s="408">
        <v>0.117897</v>
      </c>
      <c r="L46" s="408">
        <v>1.496076E-3</v>
      </c>
      <c r="M46" s="408">
        <v>-1.046272E-3</v>
      </c>
      <c r="N46" s="408">
        <v>3.8618760000000001E-4</v>
      </c>
      <c r="O46" s="318">
        <v>1</v>
      </c>
      <c r="P46" s="369"/>
    </row>
    <row r="47" spans="1:16" x14ac:dyDescent="0.35">
      <c r="C47" s="404" t="s">
        <v>121</v>
      </c>
      <c r="D47" s="402" t="s">
        <v>65</v>
      </c>
      <c r="E47" s="404">
        <v>298.14999999999998</v>
      </c>
      <c r="F47" s="405">
        <v>1500</v>
      </c>
      <c r="G47" s="406">
        <v>1.310376</v>
      </c>
      <c r="H47" s="406">
        <v>92.080410000000001</v>
      </c>
      <c r="I47" s="406">
        <v>15.90657</v>
      </c>
      <c r="J47" s="406">
        <v>-3.1941130000000002E-4</v>
      </c>
      <c r="K47" s="406">
        <v>0.14695030000000001</v>
      </c>
      <c r="L47" s="406">
        <v>1.017784</v>
      </c>
      <c r="M47" s="406">
        <v>-2.6653210000000001</v>
      </c>
      <c r="N47" s="406">
        <v>3.5898659999999998</v>
      </c>
      <c r="O47" s="441">
        <v>1</v>
      </c>
      <c r="P47" s="369"/>
    </row>
    <row r="48" spans="1:16" ht="24" thickBot="1" x14ac:dyDescent="0.4">
      <c r="C48" s="311" t="s">
        <v>121</v>
      </c>
      <c r="D48" s="407" t="s">
        <v>65</v>
      </c>
      <c r="E48" s="311">
        <v>1500</v>
      </c>
      <c r="F48" s="312">
        <v>6000</v>
      </c>
      <c r="G48" s="408">
        <v>1.310376</v>
      </c>
      <c r="H48" s="408">
        <v>92.335269999999994</v>
      </c>
      <c r="I48" s="408">
        <v>15.99952</v>
      </c>
      <c r="J48" s="408">
        <v>-3.5474159999999999E-4</v>
      </c>
      <c r="K48" s="408">
        <v>0.151062</v>
      </c>
      <c r="L48" s="408">
        <v>3.4559289999999999E-3</v>
      </c>
      <c r="M48" s="408">
        <v>-2.5853989999999999E-3</v>
      </c>
      <c r="N48" s="408">
        <v>9.828650999999999E-4</v>
      </c>
      <c r="O48" s="320">
        <v>1</v>
      </c>
      <c r="P48" s="369"/>
    </row>
    <row r="49" spans="3:16" x14ac:dyDescent="0.35">
      <c r="C49" s="404" t="s">
        <v>122</v>
      </c>
      <c r="D49" s="402" t="s">
        <v>65</v>
      </c>
      <c r="E49" s="404">
        <v>298.14999999999998</v>
      </c>
      <c r="F49" s="405">
        <v>1500</v>
      </c>
      <c r="G49" s="406">
        <v>1.3764209999999999</v>
      </c>
      <c r="H49" s="406">
        <v>106.2873</v>
      </c>
      <c r="I49" s="406">
        <v>18.87481</v>
      </c>
      <c r="J49" s="406">
        <v>-3.9471889999999999E-4</v>
      </c>
      <c r="K49" s="406">
        <v>0.18061250000000001</v>
      </c>
      <c r="L49" s="406">
        <v>1.363551</v>
      </c>
      <c r="M49" s="406">
        <v>-3.5720109999999998</v>
      </c>
      <c r="N49" s="406">
        <v>4.8116719999999997</v>
      </c>
      <c r="O49" s="441">
        <v>1</v>
      </c>
      <c r="P49" s="369"/>
    </row>
    <row r="50" spans="3:16" ht="24" thickBot="1" x14ac:dyDescent="0.4">
      <c r="C50" s="311" t="s">
        <v>122</v>
      </c>
      <c r="D50" s="407" t="s">
        <v>65</v>
      </c>
      <c r="E50" s="311">
        <v>1500</v>
      </c>
      <c r="F50" s="312">
        <v>6000</v>
      </c>
      <c r="G50" s="408">
        <v>1.3764209999999999</v>
      </c>
      <c r="H50" s="408">
        <v>106.6301</v>
      </c>
      <c r="I50" s="408">
        <v>19.000219999999999</v>
      </c>
      <c r="J50" s="408">
        <v>-4.455711E-4</v>
      </c>
      <c r="K50" s="408">
        <v>0.18625030000000001</v>
      </c>
      <c r="L50" s="408">
        <v>1.466539E-3</v>
      </c>
      <c r="M50" s="408">
        <v>-9.910276E-4</v>
      </c>
      <c r="N50" s="408">
        <v>3.4599259999999998E-4</v>
      </c>
      <c r="O50" s="320">
        <v>1</v>
      </c>
      <c r="P50" s="369"/>
    </row>
    <row r="51" spans="3:16" x14ac:dyDescent="0.35">
      <c r="C51" s="404" t="s">
        <v>123</v>
      </c>
      <c r="D51" s="403" t="s">
        <v>65</v>
      </c>
      <c r="E51" s="404">
        <v>298.14999999999998</v>
      </c>
      <c r="F51" s="405">
        <v>1500</v>
      </c>
      <c r="G51" s="406">
        <v>1.4184099999999999</v>
      </c>
      <c r="H51" s="406">
        <v>118.3836</v>
      </c>
      <c r="I51" s="406">
        <v>21.846499999999999</v>
      </c>
      <c r="J51" s="406">
        <v>-4.55196E-4</v>
      </c>
      <c r="K51" s="406">
        <v>0.2049985</v>
      </c>
      <c r="L51" s="406">
        <v>1.669807</v>
      </c>
      <c r="M51" s="406">
        <v>-4.3705270000000001</v>
      </c>
      <c r="N51" s="406">
        <v>5.8827660000000002</v>
      </c>
      <c r="O51" s="441">
        <v>1</v>
      </c>
      <c r="P51" s="369"/>
    </row>
    <row r="52" spans="3:16" ht="24" thickBot="1" x14ac:dyDescent="0.4">
      <c r="C52" s="313" t="s">
        <v>123</v>
      </c>
      <c r="D52" s="378" t="s">
        <v>65</v>
      </c>
      <c r="E52" s="313">
        <v>1500</v>
      </c>
      <c r="F52" s="314">
        <v>6000</v>
      </c>
      <c r="G52" s="435">
        <v>1.4184099999999999</v>
      </c>
      <c r="H52" s="435">
        <v>118.80549999999999</v>
      </c>
      <c r="I52" s="435">
        <v>22.001380000000001</v>
      </c>
      <c r="J52" s="435">
        <v>-5.2171050000000005E-4</v>
      </c>
      <c r="K52" s="435">
        <v>0.21207509999999999</v>
      </c>
      <c r="L52" s="435">
        <v>-2.09779E-3</v>
      </c>
      <c r="M52" s="435">
        <v>1.840469E-3</v>
      </c>
      <c r="N52" s="435">
        <v>-7.697003E-4</v>
      </c>
      <c r="O52" s="321">
        <v>1</v>
      </c>
      <c r="P52" s="369"/>
    </row>
    <row r="53" spans="3:16" x14ac:dyDescent="0.35">
      <c r="C53" s="471" t="s">
        <v>174</v>
      </c>
      <c r="D53" s="478" t="s">
        <v>69</v>
      </c>
      <c r="E53" s="471">
        <v>298.14999999999998</v>
      </c>
      <c r="F53" s="476">
        <v>500</v>
      </c>
      <c r="G53" s="356">
        <v>-2.3913798664982862</v>
      </c>
      <c r="H53" s="356">
        <v>74.770930000000007</v>
      </c>
      <c r="I53" s="356">
        <v>18.140259</v>
      </c>
      <c r="J53" s="356">
        <v>0</v>
      </c>
      <c r="K53" s="356">
        <v>0.56850120000000004</v>
      </c>
      <c r="L53" s="356">
        <v>31.096289000000002</v>
      </c>
      <c r="M53" s="356">
        <v>0</v>
      </c>
      <c r="N53" s="356">
        <v>0</v>
      </c>
      <c r="O53" s="472">
        <v>3</v>
      </c>
      <c r="P53" s="310"/>
    </row>
    <row r="54" spans="3:16" x14ac:dyDescent="0.35">
      <c r="C54" s="471" t="s">
        <v>175</v>
      </c>
      <c r="D54" s="478" t="s">
        <v>69</v>
      </c>
      <c r="E54" s="471">
        <v>298.14999999999998</v>
      </c>
      <c r="F54" s="476">
        <v>500</v>
      </c>
      <c r="G54" s="356">
        <v>-4.2169772565999155</v>
      </c>
      <c r="H54" s="356">
        <v>173.46465690608315</v>
      </c>
      <c r="I54" s="356">
        <v>43.040515244452465</v>
      </c>
      <c r="J54" s="356">
        <v>-5.8145408623489088E-4</v>
      </c>
      <c r="K54" s="356">
        <v>1.2092059634692278</v>
      </c>
      <c r="L54" s="356">
        <v>-209.66923014011661</v>
      </c>
      <c r="M54" s="356">
        <v>1383.1599414677171</v>
      </c>
      <c r="N54" s="356">
        <v>0</v>
      </c>
      <c r="O54" s="472">
        <v>3</v>
      </c>
      <c r="P54" s="310"/>
    </row>
    <row r="55" spans="3:16" x14ac:dyDescent="0.35">
      <c r="C55" s="471" t="s">
        <v>176</v>
      </c>
      <c r="D55" s="478" t="s">
        <v>69</v>
      </c>
      <c r="E55" s="471">
        <v>298.14999999999998</v>
      </c>
      <c r="F55" s="476">
        <v>500</v>
      </c>
      <c r="G55" s="356">
        <v>-1.8108390642852847</v>
      </c>
      <c r="H55" s="356">
        <v>71.793803453041576</v>
      </c>
      <c r="I55" s="356">
        <v>17.874387122226231</v>
      </c>
      <c r="J55" s="356">
        <v>-2.9072704311744544E-4</v>
      </c>
      <c r="K55" s="356">
        <v>0.49084358173461395</v>
      </c>
      <c r="L55" s="356">
        <v>-110.52047057005831</v>
      </c>
      <c r="M55" s="356">
        <v>691.57997073385854</v>
      </c>
      <c r="N55" s="356">
        <v>0</v>
      </c>
      <c r="O55" s="472">
        <v>3</v>
      </c>
      <c r="P55" s="310"/>
    </row>
    <row r="56" spans="3:16" x14ac:dyDescent="0.35">
      <c r="C56" s="480" t="s">
        <v>177</v>
      </c>
      <c r="D56" s="478" t="s">
        <v>69</v>
      </c>
      <c r="E56" s="471">
        <v>298.14999999999998</v>
      </c>
      <c r="F56" s="476">
        <v>500</v>
      </c>
      <c r="G56" s="356">
        <v>-39.271554633471638</v>
      </c>
      <c r="H56" s="356">
        <v>1630.5742035912474</v>
      </c>
      <c r="I56" s="356">
        <v>409.0716136667869</v>
      </c>
      <c r="J56" s="356">
        <v>-8.7218112935233631E-3</v>
      </c>
      <c r="K56" s="356">
        <v>10.745207452038418</v>
      </c>
      <c r="L56" s="356">
        <v>-3527.9541171017495</v>
      </c>
      <c r="M56" s="356">
        <v>20747.399122015755</v>
      </c>
      <c r="N56" s="356">
        <v>0</v>
      </c>
      <c r="O56" s="472">
        <v>3</v>
      </c>
      <c r="P56" s="175"/>
    </row>
    <row r="57" spans="3:16" x14ac:dyDescent="0.35">
      <c r="C57" s="471" t="s">
        <v>178</v>
      </c>
      <c r="D57" s="478" t="s">
        <v>69</v>
      </c>
      <c r="E57" s="471">
        <v>298.14999999999998</v>
      </c>
      <c r="F57" s="476">
        <v>500</v>
      </c>
      <c r="G57" s="356">
        <v>-4.7827597329965723</v>
      </c>
      <c r="H57" s="356">
        <v>149.54186000000001</v>
      </c>
      <c r="I57" s="356">
        <v>36.280518000000001</v>
      </c>
      <c r="J57" s="356">
        <v>0</v>
      </c>
      <c r="K57" s="356">
        <v>1.1370024000000001</v>
      </c>
      <c r="L57" s="356">
        <v>62.192578000000005</v>
      </c>
      <c r="M57" s="356">
        <v>0</v>
      </c>
      <c r="N57" s="356">
        <v>0</v>
      </c>
      <c r="O57" s="472">
        <v>3</v>
      </c>
      <c r="P57" s="175"/>
    </row>
    <row r="58" spans="3:16" x14ac:dyDescent="0.35">
      <c r="C58" s="471" t="s">
        <v>179</v>
      </c>
      <c r="D58" s="478" t="s">
        <v>69</v>
      </c>
      <c r="E58" s="471">
        <v>298.14999999999998</v>
      </c>
      <c r="F58" s="476">
        <v>500</v>
      </c>
      <c r="G58" s="356">
        <v>-5.3441197185639542</v>
      </c>
      <c r="H58" s="356">
        <v>188.48148690608318</v>
      </c>
      <c r="I58" s="356">
        <v>46.597292244452468</v>
      </c>
      <c r="J58" s="356">
        <v>-5.8145408623489088E-4</v>
      </c>
      <c r="K58" s="356">
        <v>1.3226695634692278</v>
      </c>
      <c r="L58" s="356">
        <v>-201.31636314011661</v>
      </c>
      <c r="M58" s="356">
        <v>1383.1599414677171</v>
      </c>
      <c r="N58" s="356">
        <v>0</v>
      </c>
      <c r="O58" s="472">
        <v>3</v>
      </c>
      <c r="P58" s="175"/>
    </row>
    <row r="59" spans="3:16" x14ac:dyDescent="0.35">
      <c r="C59" s="471" t="s">
        <v>180</v>
      </c>
      <c r="D59" s="478" t="s">
        <v>69</v>
      </c>
      <c r="E59" s="471">
        <v>298.14999999999998</v>
      </c>
      <c r="F59" s="476">
        <v>500</v>
      </c>
      <c r="G59" s="356">
        <v>-4.8580355403211248</v>
      </c>
      <c r="H59" s="356">
        <v>212.40428381216631</v>
      </c>
      <c r="I59" s="356">
        <v>53.357289488904925</v>
      </c>
      <c r="J59" s="356">
        <v>-1.1629081724697818E-3</v>
      </c>
      <c r="K59" s="356">
        <v>1.3948731269384558</v>
      </c>
      <c r="L59" s="356">
        <v>-473.1781712802333</v>
      </c>
      <c r="M59" s="356">
        <v>2766.3198829354342</v>
      </c>
      <c r="N59" s="356">
        <v>0</v>
      </c>
      <c r="O59" s="472">
        <v>3</v>
      </c>
      <c r="P59" s="175"/>
    </row>
    <row r="60" spans="3:16" x14ac:dyDescent="0.35">
      <c r="C60" s="471" t="s">
        <v>181</v>
      </c>
      <c r="D60" s="478" t="s">
        <v>69</v>
      </c>
      <c r="E60" s="471">
        <v>298.14999999999998</v>
      </c>
      <c r="F60" s="476">
        <v>500</v>
      </c>
      <c r="G60" s="356">
        <v>-3.7810713933489688</v>
      </c>
      <c r="H60" s="356">
        <v>136.15749690608317</v>
      </c>
      <c r="I60" s="356">
        <v>33.881292244452467</v>
      </c>
      <c r="J60" s="356">
        <v>-5.8145408623489088E-4</v>
      </c>
      <c r="K60" s="356">
        <v>0.92465956346922784</v>
      </c>
      <c r="L60" s="356">
        <v>-222.55036314011662</v>
      </c>
      <c r="M60" s="356">
        <v>1383.1599414677171</v>
      </c>
      <c r="N60" s="356">
        <v>0</v>
      </c>
      <c r="O60" s="472">
        <v>3</v>
      </c>
      <c r="P60" s="175"/>
    </row>
    <row r="61" spans="3:16" ht="24" thickBot="1" x14ac:dyDescent="0.4">
      <c r="C61" s="473" t="s">
        <v>182</v>
      </c>
      <c r="D61" s="479" t="s">
        <v>69</v>
      </c>
      <c r="E61" s="473">
        <v>298.14999999999998</v>
      </c>
      <c r="F61" s="477">
        <v>500</v>
      </c>
      <c r="G61" s="474">
        <v>-2.9538579229057667</v>
      </c>
      <c r="H61" s="474">
        <v>113.71055690608316</v>
      </c>
      <c r="I61" s="474">
        <v>28.457033244452461</v>
      </c>
      <c r="J61" s="474">
        <v>-5.8145408623489088E-4</v>
      </c>
      <c r="K61" s="474">
        <v>0.75416836346922789</v>
      </c>
      <c r="L61" s="474">
        <v>-232.41265214011662</v>
      </c>
      <c r="M61" s="474">
        <v>1383.1599414677171</v>
      </c>
      <c r="N61" s="474">
        <v>0</v>
      </c>
      <c r="O61" s="475">
        <v>3</v>
      </c>
      <c r="P61" s="175"/>
    </row>
    <row r="62" spans="3:16" ht="24" thickBot="1" x14ac:dyDescent="0.4">
      <c r="C62" s="41" t="s">
        <v>68</v>
      </c>
      <c r="D62" s="481" t="s">
        <v>183</v>
      </c>
      <c r="E62" s="41">
        <v>298.14999999999998</v>
      </c>
      <c r="F62" s="482">
        <v>1211.4000000000001</v>
      </c>
      <c r="G62" s="488">
        <v>-5.5760690000000002E-2</v>
      </c>
      <c r="H62" s="489">
        <v>10.808619999999999</v>
      </c>
      <c r="I62" s="489">
        <v>2.898209</v>
      </c>
      <c r="J62" s="489">
        <v>-9.4357770000000004E-5</v>
      </c>
      <c r="K62" s="489">
        <v>3.8575789999999999E-2</v>
      </c>
      <c r="L62" s="489">
        <v>1.796346</v>
      </c>
      <c r="M62" s="489">
        <v>0</v>
      </c>
      <c r="N62" s="489">
        <v>0</v>
      </c>
      <c r="O62" s="467" t="s">
        <v>170</v>
      </c>
      <c r="P62" s="175"/>
    </row>
    <row r="63" spans="3:16" x14ac:dyDescent="0.35">
      <c r="C63" s="1" t="s">
        <v>70</v>
      </c>
      <c r="D63" s="484" t="s">
        <v>61</v>
      </c>
      <c r="E63" s="1">
        <v>494.00009999999997</v>
      </c>
      <c r="F63" s="486">
        <v>1000</v>
      </c>
      <c r="G63" s="490">
        <v>7.4080010000000002E-2</v>
      </c>
      <c r="H63" s="491">
        <v>23.32</v>
      </c>
      <c r="I63" s="491">
        <v>6.3019999999999996</v>
      </c>
      <c r="J63" s="491">
        <v>0</v>
      </c>
      <c r="K63" s="491">
        <v>0.19220000000000001</v>
      </c>
      <c r="L63" s="491">
        <v>-29.83</v>
      </c>
      <c r="M63" s="491">
        <v>64.95</v>
      </c>
      <c r="N63" s="491">
        <v>0</v>
      </c>
      <c r="O63" s="483" t="s">
        <v>170</v>
      </c>
      <c r="P63" s="175">
        <v>0</v>
      </c>
    </row>
    <row r="64" spans="3:16" ht="24" thickBot="1" x14ac:dyDescent="0.4">
      <c r="C64" s="35" t="s">
        <v>70</v>
      </c>
      <c r="D64" s="485" t="s">
        <v>61</v>
      </c>
      <c r="E64" s="35">
        <v>1000</v>
      </c>
      <c r="F64" s="487">
        <v>1800</v>
      </c>
      <c r="G64" s="492">
        <v>7.4080010000000002E-2</v>
      </c>
      <c r="H64" s="493">
        <v>16.62</v>
      </c>
      <c r="I64" s="493">
        <v>4.2460000000000004</v>
      </c>
      <c r="J64" s="493">
        <v>0</v>
      </c>
      <c r="K64" s="493">
        <v>0.15490000000000001</v>
      </c>
      <c r="L64" s="493">
        <v>0</v>
      </c>
      <c r="M64" s="493">
        <v>0</v>
      </c>
      <c r="N64" s="493">
        <v>0</v>
      </c>
      <c r="O64" s="468" t="s">
        <v>170</v>
      </c>
      <c r="P64" s="175">
        <v>0</v>
      </c>
    </row>
    <row r="65" spans="3:16" x14ac:dyDescent="0.35">
      <c r="C65" s="167"/>
      <c r="D65" s="167"/>
      <c r="E65" s="167"/>
      <c r="F65" s="167"/>
      <c r="G65" s="357"/>
      <c r="H65" s="357"/>
      <c r="I65" s="357"/>
      <c r="J65" s="357"/>
      <c r="K65" s="357"/>
      <c r="L65" s="357"/>
      <c r="M65" s="357"/>
      <c r="N65" s="357"/>
      <c r="P65" s="175"/>
    </row>
    <row r="66" spans="3:16" x14ac:dyDescent="0.35">
      <c r="C66" s="167"/>
      <c r="D66" s="167"/>
      <c r="E66" s="167"/>
      <c r="F66" s="167"/>
      <c r="G66" s="357"/>
      <c r="H66" s="357"/>
      <c r="I66" s="357"/>
      <c r="J66" s="357"/>
      <c r="K66" s="357"/>
      <c r="L66" s="357"/>
      <c r="M66" s="357"/>
      <c r="N66" s="357"/>
      <c r="P66" s="175"/>
    </row>
    <row r="67" spans="3:16" x14ac:dyDescent="0.35">
      <c r="C67" s="167"/>
      <c r="D67" s="167"/>
      <c r="E67" s="167"/>
      <c r="F67" s="167"/>
      <c r="G67" s="357"/>
      <c r="H67" s="357"/>
      <c r="I67" s="357"/>
      <c r="J67" s="357"/>
      <c r="K67" s="357"/>
      <c r="L67" s="357"/>
      <c r="M67" s="357"/>
      <c r="N67" s="357"/>
      <c r="P67" s="175"/>
    </row>
    <row r="68" spans="3:16" x14ac:dyDescent="0.35">
      <c r="C68" s="167"/>
      <c r="D68" s="167"/>
      <c r="E68" s="167"/>
      <c r="F68" s="167"/>
      <c r="G68" s="357"/>
      <c r="H68" s="357"/>
      <c r="I68" s="357"/>
      <c r="J68" s="357"/>
      <c r="K68" s="357"/>
      <c r="L68" s="357"/>
      <c r="M68" s="357"/>
      <c r="N68" s="357"/>
      <c r="P68" s="175"/>
    </row>
    <row r="69" spans="3:16" x14ac:dyDescent="0.35">
      <c r="C69" s="167"/>
      <c r="D69" s="167"/>
      <c r="E69" s="167"/>
      <c r="F69" s="167"/>
      <c r="G69" s="357"/>
      <c r="H69" s="357"/>
      <c r="I69" s="357"/>
      <c r="J69" s="357"/>
      <c r="K69" s="357"/>
      <c r="L69" s="357"/>
      <c r="M69" s="357"/>
      <c r="N69" s="357"/>
      <c r="P69" s="175"/>
    </row>
    <row r="70" spans="3:16" x14ac:dyDescent="0.35">
      <c r="C70" s="167"/>
      <c r="D70" s="167"/>
      <c r="E70" s="167"/>
      <c r="F70" s="167"/>
      <c r="G70" s="357"/>
      <c r="H70" s="357"/>
      <c r="I70" s="357"/>
      <c r="J70" s="357"/>
      <c r="K70" s="357"/>
      <c r="L70" s="357"/>
      <c r="M70" s="357"/>
      <c r="N70" s="357"/>
      <c r="P70" s="175"/>
    </row>
    <row r="71" spans="3:16" x14ac:dyDescent="0.35">
      <c r="C71" s="167"/>
      <c r="D71" s="167"/>
      <c r="E71" s="167"/>
      <c r="F71" s="167"/>
      <c r="G71" s="357"/>
      <c r="H71" s="357"/>
      <c r="I71" s="357"/>
      <c r="J71" s="357"/>
      <c r="K71" s="357"/>
      <c r="L71" s="357"/>
      <c r="M71" s="357"/>
      <c r="N71" s="357"/>
      <c r="P71" s="175"/>
    </row>
    <row r="72" spans="3:16" x14ac:dyDescent="0.35">
      <c r="C72" s="167"/>
      <c r="D72" s="167"/>
      <c r="E72" s="167"/>
      <c r="F72" s="167"/>
      <c r="G72" s="357"/>
      <c r="H72" s="357"/>
      <c r="I72" s="357"/>
      <c r="J72" s="357"/>
      <c r="K72" s="357"/>
      <c r="L72" s="357"/>
      <c r="M72" s="357"/>
      <c r="N72" s="357"/>
      <c r="P72" s="175"/>
    </row>
    <row r="73" spans="3:16" x14ac:dyDescent="0.35">
      <c r="C73" s="167"/>
      <c r="D73" s="167"/>
      <c r="E73" s="167"/>
      <c r="F73" s="167"/>
      <c r="G73" s="357"/>
      <c r="H73" s="357"/>
      <c r="I73" s="357"/>
      <c r="J73" s="357"/>
      <c r="K73" s="357"/>
      <c r="L73" s="357"/>
      <c r="M73" s="357"/>
      <c r="N73" s="357"/>
      <c r="P73" s="175"/>
    </row>
    <row r="74" spans="3:16" x14ac:dyDescent="0.35">
      <c r="C74" s="167"/>
      <c r="D74" s="167"/>
      <c r="E74" s="167"/>
      <c r="F74" s="167"/>
      <c r="G74" s="357"/>
      <c r="H74" s="357"/>
      <c r="I74" s="357"/>
      <c r="J74" s="357"/>
      <c r="K74" s="357"/>
      <c r="L74" s="357"/>
      <c r="M74" s="357"/>
      <c r="N74" s="357"/>
      <c r="P74" s="175"/>
    </row>
    <row r="75" spans="3:16" x14ac:dyDescent="0.35">
      <c r="C75" s="167"/>
      <c r="D75" s="167"/>
      <c r="E75" s="167"/>
      <c r="F75" s="167"/>
      <c r="G75" s="357"/>
      <c r="H75" s="357"/>
      <c r="I75" s="357"/>
      <c r="J75" s="357"/>
      <c r="K75" s="357"/>
      <c r="L75" s="357"/>
      <c r="M75" s="357"/>
      <c r="N75" s="357"/>
      <c r="P75" s="175"/>
    </row>
    <row r="76" spans="3:16" x14ac:dyDescent="0.35">
      <c r="C76" s="167"/>
      <c r="D76" s="167"/>
      <c r="E76" s="167"/>
      <c r="F76" s="167"/>
      <c r="G76" s="357"/>
      <c r="H76" s="357"/>
      <c r="I76" s="357"/>
      <c r="J76" s="357"/>
      <c r="K76" s="357"/>
      <c r="L76" s="357"/>
      <c r="M76" s="357"/>
      <c r="N76" s="357"/>
      <c r="P76" s="175"/>
    </row>
    <row r="77" spans="3:16" x14ac:dyDescent="0.35">
      <c r="C77" s="167"/>
      <c r="D77" s="167"/>
      <c r="E77" s="167"/>
      <c r="F77" s="167"/>
      <c r="G77" s="357"/>
      <c r="H77" s="357"/>
      <c r="I77" s="357"/>
      <c r="J77" s="357"/>
      <c r="K77" s="357"/>
      <c r="L77" s="357"/>
      <c r="M77" s="357"/>
      <c r="N77" s="357"/>
      <c r="P77" s="175"/>
    </row>
    <row r="78" spans="3:16" x14ac:dyDescent="0.35">
      <c r="C78" s="167"/>
      <c r="D78" s="167"/>
      <c r="E78" s="167"/>
      <c r="F78" s="167"/>
      <c r="G78" s="357"/>
      <c r="H78" s="357"/>
      <c r="I78" s="357"/>
      <c r="J78" s="357"/>
      <c r="K78" s="357"/>
      <c r="L78" s="357"/>
      <c r="M78" s="357"/>
      <c r="N78" s="357"/>
      <c r="P78" s="175"/>
    </row>
    <row r="79" spans="3:16" x14ac:dyDescent="0.35">
      <c r="C79" s="167"/>
      <c r="D79" s="167"/>
      <c r="E79" s="167"/>
      <c r="F79" s="167"/>
      <c r="G79" s="357"/>
      <c r="H79" s="357"/>
      <c r="I79" s="357"/>
      <c r="J79" s="357"/>
      <c r="K79" s="357"/>
      <c r="L79" s="357"/>
      <c r="M79" s="357"/>
      <c r="N79" s="357"/>
      <c r="P79" s="175"/>
    </row>
    <row r="80" spans="3:16" x14ac:dyDescent="0.35">
      <c r="C80" s="167"/>
      <c r="D80" s="167"/>
      <c r="E80" s="167"/>
      <c r="F80" s="167"/>
      <c r="G80" s="357"/>
      <c r="H80" s="357"/>
      <c r="I80" s="357"/>
      <c r="J80" s="357"/>
      <c r="K80" s="357"/>
      <c r="L80" s="357"/>
      <c r="M80" s="357"/>
      <c r="N80" s="357"/>
      <c r="P80" s="175"/>
    </row>
    <row r="81" spans="3:16" x14ac:dyDescent="0.35">
      <c r="C81" s="167"/>
      <c r="D81" s="167"/>
      <c r="E81" s="167"/>
      <c r="F81" s="167"/>
      <c r="G81" s="357"/>
      <c r="H81" s="357"/>
      <c r="I81" s="357"/>
      <c r="J81" s="357"/>
      <c r="K81" s="357"/>
      <c r="L81" s="357"/>
      <c r="M81" s="357"/>
      <c r="N81" s="357"/>
      <c r="P81" s="175"/>
    </row>
    <row r="82" spans="3:16" x14ac:dyDescent="0.35">
      <c r="C82" s="167"/>
      <c r="D82" s="167"/>
      <c r="E82" s="167"/>
      <c r="F82" s="167"/>
      <c r="G82" s="357"/>
      <c r="H82" s="357"/>
      <c r="I82" s="357"/>
      <c r="J82" s="357"/>
      <c r="K82" s="357"/>
      <c r="L82" s="357"/>
      <c r="M82" s="357"/>
      <c r="N82" s="357"/>
      <c r="P82" s="175"/>
    </row>
    <row r="83" spans="3:16" x14ac:dyDescent="0.35">
      <c r="C83" s="167"/>
      <c r="D83" s="167"/>
      <c r="E83" s="167"/>
      <c r="F83" s="167"/>
      <c r="G83" s="357"/>
      <c r="H83" s="357"/>
      <c r="I83" s="357"/>
      <c r="J83" s="357"/>
      <c r="K83" s="357"/>
      <c r="L83" s="357"/>
      <c r="M83" s="357"/>
      <c r="N83" s="357"/>
      <c r="P83" s="175"/>
    </row>
    <row r="84" spans="3:16" x14ac:dyDescent="0.35">
      <c r="C84" s="167"/>
      <c r="D84" s="167"/>
      <c r="E84" s="167"/>
      <c r="F84" s="167"/>
      <c r="G84" s="357"/>
      <c r="H84" s="357"/>
      <c r="I84" s="357"/>
      <c r="J84" s="357"/>
      <c r="K84" s="357"/>
      <c r="L84" s="357"/>
      <c r="M84" s="357"/>
      <c r="N84" s="357"/>
      <c r="P84" s="175"/>
    </row>
    <row r="85" spans="3:16" x14ac:dyDescent="0.35">
      <c r="C85" s="167"/>
      <c r="D85" s="167"/>
      <c r="E85" s="167"/>
      <c r="F85" s="167"/>
      <c r="G85" s="357"/>
      <c r="H85" s="357"/>
      <c r="I85" s="357"/>
      <c r="J85" s="357"/>
      <c r="K85" s="357"/>
      <c r="L85" s="357"/>
      <c r="M85" s="357"/>
      <c r="N85" s="357"/>
      <c r="P85" s="175"/>
    </row>
    <row r="86" spans="3:16" x14ac:dyDescent="0.35">
      <c r="C86" s="167"/>
      <c r="D86" s="167"/>
      <c r="E86" s="167"/>
      <c r="F86" s="167"/>
      <c r="G86" s="357"/>
      <c r="H86" s="357"/>
      <c r="I86" s="357"/>
      <c r="J86" s="357"/>
      <c r="K86" s="357"/>
      <c r="L86" s="357"/>
      <c r="M86" s="357"/>
      <c r="N86" s="357"/>
      <c r="P86" s="175"/>
    </row>
    <row r="87" spans="3:16" x14ac:dyDescent="0.35">
      <c r="C87" s="167"/>
      <c r="D87" s="167"/>
      <c r="E87" s="167"/>
      <c r="F87" s="167"/>
      <c r="G87" s="357"/>
      <c r="H87" s="357"/>
      <c r="I87" s="357"/>
      <c r="J87" s="357"/>
      <c r="K87" s="357"/>
      <c r="L87" s="357"/>
      <c r="M87" s="357"/>
      <c r="N87" s="357"/>
      <c r="P87" s="175"/>
    </row>
    <row r="88" spans="3:16" x14ac:dyDescent="0.35">
      <c r="C88" s="167"/>
      <c r="D88" s="167"/>
      <c r="E88" s="167"/>
      <c r="F88" s="167"/>
      <c r="G88" s="357"/>
      <c r="H88" s="357"/>
      <c r="I88" s="357"/>
      <c r="J88" s="357"/>
      <c r="K88" s="357"/>
      <c r="L88" s="357"/>
      <c r="M88" s="357"/>
      <c r="N88" s="357"/>
      <c r="P88" s="175"/>
    </row>
    <row r="89" spans="3:16" x14ac:dyDescent="0.35">
      <c r="C89" s="167"/>
      <c r="D89" s="167"/>
      <c r="E89" s="167"/>
      <c r="F89" s="167"/>
      <c r="G89" s="357"/>
      <c r="H89" s="357"/>
      <c r="I89" s="357"/>
      <c r="J89" s="357"/>
      <c r="K89" s="357"/>
      <c r="L89" s="357"/>
      <c r="M89" s="357"/>
      <c r="N89" s="357"/>
      <c r="P89" s="175"/>
    </row>
    <row r="90" spans="3:16" x14ac:dyDescent="0.35">
      <c r="C90" s="167"/>
      <c r="D90" s="167"/>
      <c r="E90" s="167"/>
      <c r="F90" s="167"/>
      <c r="G90" s="357"/>
      <c r="H90" s="357"/>
      <c r="I90" s="357"/>
      <c r="J90" s="357"/>
      <c r="K90" s="357"/>
      <c r="L90" s="357"/>
      <c r="M90" s="357"/>
      <c r="N90" s="357"/>
      <c r="P90" s="175"/>
    </row>
    <row r="91" spans="3:16" x14ac:dyDescent="0.35">
      <c r="C91" s="167"/>
      <c r="D91" s="167"/>
      <c r="E91" s="167"/>
      <c r="F91" s="167"/>
      <c r="G91" s="357"/>
      <c r="H91" s="357"/>
      <c r="I91" s="357"/>
      <c r="J91" s="357"/>
      <c r="K91" s="357"/>
      <c r="L91" s="357"/>
      <c r="M91" s="357"/>
      <c r="N91" s="357"/>
      <c r="P91" s="175"/>
    </row>
    <row r="92" spans="3:16" x14ac:dyDescent="0.35">
      <c r="C92" s="167"/>
      <c r="D92" s="167"/>
      <c r="E92" s="167"/>
      <c r="F92" s="167"/>
      <c r="G92" s="357"/>
      <c r="H92" s="357"/>
      <c r="I92" s="357"/>
      <c r="J92" s="357"/>
      <c r="K92" s="357"/>
      <c r="L92" s="357"/>
      <c r="M92" s="357"/>
      <c r="N92" s="357"/>
      <c r="P92" s="175"/>
    </row>
    <row r="93" spans="3:16" x14ac:dyDescent="0.35">
      <c r="C93" s="167"/>
      <c r="D93" s="167"/>
      <c r="E93" s="167"/>
      <c r="F93" s="167"/>
      <c r="G93" s="357"/>
      <c r="H93" s="357"/>
      <c r="I93" s="357"/>
      <c r="J93" s="357"/>
      <c r="K93" s="357"/>
      <c r="L93" s="357"/>
      <c r="M93" s="357"/>
      <c r="N93" s="357"/>
      <c r="P93" s="175"/>
    </row>
    <row r="94" spans="3:16" x14ac:dyDescent="0.35">
      <c r="C94" s="167"/>
      <c r="D94" s="167"/>
      <c r="E94" s="167"/>
      <c r="F94" s="167"/>
      <c r="G94" s="357"/>
      <c r="H94" s="357"/>
      <c r="I94" s="357"/>
      <c r="J94" s="357"/>
      <c r="K94" s="357"/>
      <c r="L94" s="357"/>
      <c r="M94" s="357"/>
      <c r="N94" s="357"/>
      <c r="P94" s="175"/>
    </row>
    <row r="95" spans="3:16" x14ac:dyDescent="0.35">
      <c r="C95" s="167"/>
      <c r="D95" s="167"/>
      <c r="E95" s="167"/>
      <c r="F95" s="167"/>
      <c r="G95" s="357"/>
      <c r="H95" s="357"/>
      <c r="I95" s="357"/>
      <c r="J95" s="357"/>
      <c r="K95" s="357"/>
      <c r="L95" s="357"/>
      <c r="M95" s="357"/>
      <c r="N95" s="357"/>
      <c r="P95" s="175"/>
    </row>
    <row r="96" spans="3:16" x14ac:dyDescent="0.35">
      <c r="C96" s="167"/>
      <c r="D96" s="167"/>
      <c r="E96" s="167"/>
      <c r="F96" s="167"/>
      <c r="G96" s="357"/>
      <c r="H96" s="357"/>
      <c r="I96" s="357"/>
      <c r="J96" s="357"/>
      <c r="K96" s="357"/>
      <c r="L96" s="357"/>
      <c r="M96" s="357"/>
      <c r="N96" s="357"/>
      <c r="P96" s="175"/>
    </row>
    <row r="97" spans="3:16" x14ac:dyDescent="0.35">
      <c r="C97" s="167"/>
      <c r="D97" s="167"/>
      <c r="E97" s="167"/>
      <c r="F97" s="167"/>
      <c r="G97" s="357"/>
      <c r="H97" s="357"/>
      <c r="I97" s="357"/>
      <c r="J97" s="357"/>
      <c r="K97" s="357"/>
      <c r="L97" s="357"/>
      <c r="M97" s="357"/>
      <c r="N97" s="357"/>
      <c r="P97" s="175"/>
    </row>
    <row r="98" spans="3:16" x14ac:dyDescent="0.35">
      <c r="C98" s="167"/>
      <c r="D98" s="167"/>
      <c r="E98" s="167"/>
      <c r="F98" s="167"/>
      <c r="G98" s="357"/>
      <c r="H98" s="357"/>
      <c r="I98" s="357"/>
      <c r="J98" s="357"/>
      <c r="K98" s="357"/>
      <c r="L98" s="357"/>
      <c r="M98" s="357"/>
      <c r="N98" s="357"/>
      <c r="P98" s="175"/>
    </row>
    <row r="99" spans="3:16" x14ac:dyDescent="0.35">
      <c r="C99" s="167"/>
      <c r="D99" s="167"/>
      <c r="E99" s="167"/>
      <c r="F99" s="167"/>
      <c r="G99" s="357"/>
      <c r="H99" s="357"/>
      <c r="I99" s="357"/>
      <c r="J99" s="357"/>
      <c r="K99" s="357"/>
      <c r="L99" s="357"/>
      <c r="M99" s="357"/>
      <c r="N99" s="357"/>
      <c r="P99" s="175"/>
    </row>
    <row r="100" spans="3:16" x14ac:dyDescent="0.35">
      <c r="C100" s="167"/>
      <c r="D100" s="167"/>
      <c r="E100" s="167"/>
      <c r="F100" s="167"/>
      <c r="G100" s="357"/>
      <c r="H100" s="357"/>
      <c r="I100" s="357"/>
      <c r="J100" s="357"/>
      <c r="K100" s="357"/>
      <c r="L100" s="357"/>
      <c r="M100" s="357"/>
      <c r="N100" s="357"/>
      <c r="P100" s="175"/>
    </row>
    <row r="101" spans="3:16" x14ac:dyDescent="0.35">
      <c r="C101" s="167"/>
      <c r="D101" s="167"/>
      <c r="E101" s="167"/>
      <c r="F101" s="167"/>
      <c r="G101" s="357"/>
      <c r="H101" s="357"/>
      <c r="I101" s="357"/>
      <c r="J101" s="357"/>
      <c r="K101" s="357"/>
      <c r="L101" s="357"/>
      <c r="M101" s="357"/>
      <c r="N101" s="357"/>
      <c r="P101" s="175"/>
    </row>
    <row r="102" spans="3:16" x14ac:dyDescent="0.35">
      <c r="C102" s="167"/>
      <c r="D102" s="167"/>
      <c r="E102" s="167"/>
      <c r="F102" s="167"/>
      <c r="G102" s="357"/>
      <c r="H102" s="357"/>
      <c r="I102" s="357"/>
      <c r="J102" s="357"/>
      <c r="K102" s="357"/>
      <c r="L102" s="357"/>
      <c r="M102" s="357"/>
      <c r="N102" s="357"/>
      <c r="P102" s="175"/>
    </row>
    <row r="103" spans="3:16" x14ac:dyDescent="0.35">
      <c r="C103" s="167"/>
      <c r="D103" s="167"/>
      <c r="E103" s="167"/>
      <c r="F103" s="167"/>
      <c r="G103" s="357"/>
      <c r="H103" s="357"/>
      <c r="I103" s="357"/>
      <c r="J103" s="357"/>
      <c r="K103" s="357"/>
      <c r="L103" s="357"/>
      <c r="M103" s="357"/>
      <c r="N103" s="357"/>
    </row>
    <row r="104" spans="3:16" x14ac:dyDescent="0.35">
      <c r="C104" s="167"/>
      <c r="D104" s="167"/>
      <c r="E104" s="167"/>
      <c r="F104" s="167"/>
      <c r="G104" s="357"/>
      <c r="H104" s="357"/>
      <c r="I104" s="357"/>
      <c r="J104" s="357"/>
      <c r="K104" s="357"/>
      <c r="L104" s="357"/>
      <c r="M104" s="357"/>
      <c r="N104" s="357"/>
    </row>
    <row r="105" spans="3:16" x14ac:dyDescent="0.35">
      <c r="C105" s="167"/>
      <c r="D105" s="167"/>
      <c r="E105" s="167"/>
      <c r="F105" s="167"/>
      <c r="G105" s="357"/>
      <c r="H105" s="357"/>
      <c r="I105" s="357"/>
      <c r="J105" s="357"/>
      <c r="K105" s="357"/>
      <c r="L105" s="357"/>
      <c r="M105" s="357"/>
      <c r="N105" s="357"/>
    </row>
    <row r="106" spans="3:16" x14ac:dyDescent="0.35">
      <c r="C106" s="167"/>
      <c r="D106" s="167"/>
      <c r="E106" s="167"/>
      <c r="F106" s="167"/>
      <c r="G106" s="357"/>
      <c r="H106" s="357"/>
      <c r="I106" s="357"/>
      <c r="J106" s="357"/>
      <c r="K106" s="357"/>
      <c r="L106" s="357"/>
      <c r="M106" s="357"/>
      <c r="N106" s="357"/>
    </row>
    <row r="107" spans="3:16" x14ac:dyDescent="0.35">
      <c r="C107" s="167"/>
      <c r="D107" s="167"/>
      <c r="E107" s="167"/>
      <c r="F107" s="167"/>
      <c r="G107" s="357"/>
      <c r="H107" s="357"/>
      <c r="I107" s="357"/>
      <c r="J107" s="357"/>
      <c r="K107" s="357"/>
      <c r="L107" s="357"/>
      <c r="M107" s="357"/>
      <c r="N107" s="357"/>
    </row>
    <row r="108" spans="3:16" x14ac:dyDescent="0.35">
      <c r="C108" s="167"/>
      <c r="D108" s="167"/>
      <c r="E108" s="167"/>
      <c r="F108" s="167"/>
      <c r="G108" s="357"/>
      <c r="H108" s="357"/>
      <c r="I108" s="357"/>
      <c r="J108" s="357"/>
      <c r="K108" s="357"/>
      <c r="L108" s="357"/>
      <c r="M108" s="357"/>
      <c r="N108" s="357"/>
    </row>
    <row r="109" spans="3:16" x14ac:dyDescent="0.35">
      <c r="C109" s="167"/>
      <c r="D109" s="167"/>
      <c r="E109" s="167"/>
      <c r="F109" s="167"/>
      <c r="G109" s="357"/>
      <c r="H109" s="357"/>
      <c r="I109" s="357"/>
      <c r="J109" s="357"/>
      <c r="K109" s="357"/>
      <c r="L109" s="357"/>
      <c r="M109" s="357"/>
      <c r="N109" s="357"/>
    </row>
    <row r="110" spans="3:16" x14ac:dyDescent="0.35">
      <c r="C110" s="167"/>
      <c r="D110" s="167"/>
      <c r="E110" s="167"/>
      <c r="F110" s="167"/>
      <c r="G110" s="357"/>
      <c r="H110" s="357"/>
      <c r="I110" s="357"/>
      <c r="J110" s="357"/>
      <c r="K110" s="357"/>
      <c r="L110" s="357"/>
      <c r="M110" s="357"/>
      <c r="N110" s="357"/>
    </row>
    <row r="111" spans="3:16" x14ac:dyDescent="0.35">
      <c r="C111" s="167"/>
      <c r="D111" s="167"/>
      <c r="E111" s="167"/>
      <c r="F111" s="167"/>
      <c r="G111" s="357"/>
      <c r="H111" s="357"/>
      <c r="I111" s="357"/>
      <c r="J111" s="357"/>
      <c r="K111" s="357"/>
      <c r="L111" s="357"/>
      <c r="M111" s="357"/>
      <c r="N111" s="357"/>
    </row>
    <row r="112" spans="3:16" x14ac:dyDescent="0.35">
      <c r="C112" s="167"/>
      <c r="D112" s="167"/>
      <c r="E112" s="167"/>
      <c r="F112" s="167"/>
      <c r="G112" s="357"/>
      <c r="H112" s="357"/>
      <c r="I112" s="357"/>
      <c r="J112" s="357"/>
      <c r="K112" s="357"/>
      <c r="L112" s="357"/>
      <c r="M112" s="357"/>
      <c r="N112" s="357"/>
    </row>
    <row r="113" spans="3:14" x14ac:dyDescent="0.35">
      <c r="C113" s="167"/>
      <c r="D113" s="167"/>
      <c r="E113" s="167"/>
      <c r="F113" s="167"/>
      <c r="G113" s="357"/>
      <c r="H113" s="357"/>
      <c r="I113" s="357"/>
      <c r="J113" s="357"/>
      <c r="K113" s="357"/>
      <c r="L113" s="357"/>
      <c r="M113" s="357"/>
      <c r="N113" s="357"/>
    </row>
    <row r="114" spans="3:14" x14ac:dyDescent="0.35">
      <c r="C114" s="167"/>
      <c r="D114" s="167"/>
      <c r="E114" s="167"/>
      <c r="F114" s="167"/>
      <c r="G114" s="357"/>
      <c r="H114" s="357"/>
      <c r="I114" s="357"/>
      <c r="J114" s="357"/>
      <c r="K114" s="357"/>
      <c r="L114" s="357"/>
      <c r="M114" s="357"/>
      <c r="N114" s="357"/>
    </row>
    <row r="115" spans="3:14" x14ac:dyDescent="0.35">
      <c r="C115" s="167"/>
      <c r="D115" s="167"/>
      <c r="E115" s="167"/>
      <c r="F115" s="167"/>
      <c r="G115" s="357"/>
      <c r="H115" s="357"/>
      <c r="I115" s="357"/>
      <c r="J115" s="357"/>
      <c r="K115" s="357"/>
      <c r="L115" s="357"/>
      <c r="M115" s="357"/>
      <c r="N115" s="357"/>
    </row>
    <row r="116" spans="3:14" x14ac:dyDescent="0.35">
      <c r="C116" s="167"/>
      <c r="D116" s="167"/>
      <c r="E116" s="167"/>
      <c r="F116" s="167"/>
      <c r="G116" s="357"/>
      <c r="H116" s="357"/>
      <c r="I116" s="357"/>
      <c r="J116" s="357"/>
      <c r="K116" s="357"/>
      <c r="L116" s="357"/>
      <c r="M116" s="357"/>
      <c r="N116" s="357"/>
    </row>
    <row r="117" spans="3:14" x14ac:dyDescent="0.35">
      <c r="C117" s="167"/>
      <c r="D117" s="167"/>
      <c r="E117" s="167"/>
      <c r="F117" s="167"/>
      <c r="G117" s="357"/>
      <c r="H117" s="357"/>
      <c r="I117" s="357"/>
      <c r="J117" s="357"/>
      <c r="K117" s="357"/>
      <c r="L117" s="357"/>
      <c r="M117" s="357"/>
      <c r="N117" s="357"/>
    </row>
    <row r="118" spans="3:14" x14ac:dyDescent="0.35">
      <c r="C118" s="167"/>
      <c r="D118" s="167"/>
      <c r="E118" s="167"/>
      <c r="F118" s="167"/>
      <c r="G118" s="357"/>
      <c r="H118" s="357"/>
      <c r="I118" s="357"/>
      <c r="J118" s="357"/>
      <c r="K118" s="357"/>
      <c r="L118" s="357"/>
      <c r="M118" s="357"/>
      <c r="N118" s="357"/>
    </row>
    <row r="119" spans="3:14" x14ac:dyDescent="0.35">
      <c r="C119" s="167"/>
      <c r="D119" s="167"/>
      <c r="E119" s="167"/>
      <c r="F119" s="167"/>
      <c r="G119" s="357"/>
      <c r="H119" s="357"/>
      <c r="I119" s="357"/>
      <c r="J119" s="357"/>
      <c r="K119" s="357"/>
      <c r="L119" s="357"/>
      <c r="M119" s="357"/>
      <c r="N119" s="357"/>
    </row>
    <row r="120" spans="3:14" x14ac:dyDescent="0.35">
      <c r="C120" s="167"/>
      <c r="D120" s="167"/>
      <c r="E120" s="167"/>
      <c r="F120" s="167"/>
      <c r="G120" s="357"/>
      <c r="H120" s="357"/>
      <c r="I120" s="357"/>
      <c r="J120" s="357"/>
      <c r="K120" s="357"/>
      <c r="L120" s="357"/>
      <c r="M120" s="357"/>
      <c r="N120" s="357"/>
    </row>
    <row r="121" spans="3:14" x14ac:dyDescent="0.35">
      <c r="C121" s="167"/>
      <c r="D121" s="167"/>
      <c r="E121" s="167"/>
      <c r="F121" s="167"/>
      <c r="G121" s="357"/>
      <c r="H121" s="357"/>
      <c r="I121" s="357"/>
      <c r="J121" s="357"/>
      <c r="K121" s="357"/>
      <c r="L121" s="357"/>
      <c r="M121" s="357"/>
      <c r="N121" s="357"/>
    </row>
    <row r="122" spans="3:14" x14ac:dyDescent="0.35">
      <c r="C122" s="167"/>
      <c r="D122" s="167"/>
      <c r="E122" s="167"/>
      <c r="F122" s="167"/>
      <c r="G122" s="357"/>
      <c r="H122" s="357"/>
      <c r="I122" s="357"/>
      <c r="J122" s="357"/>
      <c r="K122" s="357"/>
      <c r="L122" s="357"/>
      <c r="M122" s="357"/>
      <c r="N122" s="357"/>
    </row>
    <row r="123" spans="3:14" x14ac:dyDescent="0.35">
      <c r="C123" s="167"/>
      <c r="D123" s="167"/>
      <c r="E123" s="167"/>
      <c r="F123" s="167"/>
      <c r="G123" s="357"/>
      <c r="H123" s="357"/>
      <c r="I123" s="357"/>
      <c r="J123" s="357"/>
      <c r="K123" s="357"/>
      <c r="L123" s="357"/>
      <c r="M123" s="357"/>
      <c r="N123" s="357"/>
    </row>
    <row r="124" spans="3:14" x14ac:dyDescent="0.35">
      <c r="C124" s="167"/>
      <c r="D124" s="167"/>
      <c r="E124" s="167"/>
      <c r="F124" s="167"/>
      <c r="G124" s="357"/>
      <c r="H124" s="357"/>
      <c r="I124" s="357"/>
      <c r="J124" s="357"/>
      <c r="K124" s="357"/>
      <c r="L124" s="357"/>
      <c r="M124" s="357"/>
      <c r="N124" s="357"/>
    </row>
    <row r="125" spans="3:14" x14ac:dyDescent="0.35">
      <c r="C125" s="167"/>
      <c r="D125" s="167"/>
      <c r="E125" s="167"/>
      <c r="F125" s="167"/>
      <c r="G125" s="357"/>
      <c r="H125" s="357"/>
      <c r="I125" s="357"/>
      <c r="J125" s="357"/>
      <c r="K125" s="357"/>
      <c r="L125" s="357"/>
      <c r="M125" s="357"/>
      <c r="N125" s="357"/>
    </row>
    <row r="126" spans="3:14" x14ac:dyDescent="0.35">
      <c r="C126" s="167"/>
      <c r="D126" s="167"/>
      <c r="E126" s="167"/>
      <c r="F126" s="167"/>
      <c r="G126" s="357"/>
      <c r="H126" s="357"/>
      <c r="I126" s="357"/>
      <c r="J126" s="357"/>
      <c r="K126" s="357"/>
      <c r="L126" s="357"/>
      <c r="M126" s="357"/>
      <c r="N126" s="357"/>
    </row>
    <row r="127" spans="3:14" x14ac:dyDescent="0.35">
      <c r="C127" s="167"/>
      <c r="D127" s="167"/>
      <c r="E127" s="167"/>
      <c r="F127" s="167"/>
      <c r="G127" s="357"/>
      <c r="H127" s="357"/>
      <c r="I127" s="357"/>
      <c r="J127" s="357"/>
      <c r="K127" s="357"/>
      <c r="L127" s="357"/>
      <c r="M127" s="357"/>
      <c r="N127" s="357"/>
    </row>
    <row r="128" spans="3:14" x14ac:dyDescent="0.35">
      <c r="C128" s="167"/>
      <c r="D128" s="167"/>
      <c r="E128" s="167"/>
      <c r="F128" s="167"/>
      <c r="G128" s="357"/>
      <c r="H128" s="357"/>
      <c r="I128" s="357"/>
      <c r="J128" s="357"/>
      <c r="K128" s="357"/>
      <c r="L128" s="357"/>
      <c r="M128" s="357"/>
      <c r="N128" s="357"/>
    </row>
    <row r="129" spans="3:14" x14ac:dyDescent="0.35">
      <c r="C129" s="167"/>
      <c r="D129" s="167"/>
      <c r="E129" s="167"/>
      <c r="F129" s="167"/>
      <c r="G129" s="357"/>
      <c r="H129" s="357"/>
      <c r="I129" s="357"/>
      <c r="J129" s="357"/>
      <c r="K129" s="357"/>
      <c r="L129" s="357"/>
      <c r="M129" s="357"/>
      <c r="N129" s="357"/>
    </row>
    <row r="130" spans="3:14" x14ac:dyDescent="0.35">
      <c r="C130" s="167"/>
      <c r="D130" s="167"/>
      <c r="E130" s="167"/>
      <c r="F130" s="167"/>
      <c r="G130" s="357"/>
      <c r="H130" s="357"/>
      <c r="I130" s="357"/>
      <c r="J130" s="357"/>
      <c r="K130" s="357"/>
      <c r="L130" s="357"/>
      <c r="M130" s="357"/>
      <c r="N130" s="357"/>
    </row>
    <row r="131" spans="3:14" x14ac:dyDescent="0.35">
      <c r="C131" s="167"/>
      <c r="D131" s="167"/>
      <c r="E131" s="167"/>
      <c r="F131" s="167"/>
      <c r="G131" s="357"/>
      <c r="H131" s="357"/>
      <c r="I131" s="357"/>
      <c r="J131" s="357"/>
      <c r="K131" s="357"/>
      <c r="L131" s="357"/>
      <c r="M131" s="357"/>
      <c r="N131" s="357"/>
    </row>
    <row r="132" spans="3:14" x14ac:dyDescent="0.35">
      <c r="C132" s="167"/>
      <c r="D132" s="167"/>
      <c r="E132" s="167"/>
      <c r="F132" s="167"/>
      <c r="G132" s="357"/>
      <c r="H132" s="357"/>
      <c r="I132" s="357"/>
      <c r="J132" s="357"/>
      <c r="K132" s="357"/>
      <c r="L132" s="357"/>
      <c r="M132" s="357"/>
      <c r="N132" s="357"/>
    </row>
    <row r="133" spans="3:14" x14ac:dyDescent="0.35">
      <c r="C133" s="167"/>
      <c r="D133" s="167"/>
      <c r="E133" s="167"/>
      <c r="F133" s="167"/>
      <c r="G133" s="357"/>
      <c r="H133" s="357"/>
      <c r="I133" s="357"/>
      <c r="J133" s="357"/>
      <c r="K133" s="357"/>
      <c r="L133" s="357"/>
      <c r="M133" s="357"/>
      <c r="N133" s="357"/>
    </row>
    <row r="134" spans="3:14" x14ac:dyDescent="0.35">
      <c r="C134" s="167"/>
      <c r="D134" s="167"/>
      <c r="E134" s="167"/>
      <c r="F134" s="167"/>
      <c r="G134" s="357"/>
      <c r="H134" s="357"/>
      <c r="I134" s="357"/>
      <c r="J134" s="357"/>
      <c r="K134" s="357"/>
      <c r="L134" s="357"/>
      <c r="M134" s="357"/>
      <c r="N134" s="357"/>
    </row>
    <row r="135" spans="3:14" x14ac:dyDescent="0.35">
      <c r="C135" s="167"/>
      <c r="D135" s="167"/>
      <c r="E135" s="167"/>
      <c r="F135" s="167"/>
      <c r="G135" s="357"/>
      <c r="H135" s="357"/>
      <c r="I135" s="357"/>
      <c r="J135" s="357"/>
      <c r="K135" s="357"/>
      <c r="L135" s="357"/>
      <c r="M135" s="357"/>
      <c r="N135" s="357"/>
    </row>
    <row r="136" spans="3:14" x14ac:dyDescent="0.35">
      <c r="C136" s="167"/>
      <c r="D136" s="167"/>
      <c r="E136" s="167"/>
      <c r="F136" s="167"/>
      <c r="G136" s="357"/>
      <c r="H136" s="357"/>
      <c r="I136" s="357"/>
      <c r="J136" s="357"/>
      <c r="K136" s="357"/>
      <c r="L136" s="357"/>
      <c r="M136" s="357"/>
      <c r="N136" s="357"/>
    </row>
    <row r="137" spans="3:14" x14ac:dyDescent="0.35">
      <c r="C137" s="167"/>
      <c r="D137" s="167"/>
      <c r="E137" s="167"/>
      <c r="F137" s="167"/>
      <c r="G137" s="357"/>
      <c r="H137" s="357"/>
      <c r="I137" s="357"/>
      <c r="J137" s="357"/>
      <c r="K137" s="357"/>
      <c r="L137" s="357"/>
      <c r="M137" s="357"/>
      <c r="N137" s="357"/>
    </row>
    <row r="138" spans="3:14" x14ac:dyDescent="0.35">
      <c r="C138" s="167"/>
      <c r="D138" s="167"/>
      <c r="E138" s="167"/>
      <c r="F138" s="167"/>
      <c r="G138" s="357"/>
      <c r="H138" s="357"/>
      <c r="I138" s="357"/>
      <c r="J138" s="357"/>
      <c r="K138" s="357"/>
      <c r="L138" s="357"/>
      <c r="M138" s="357"/>
      <c r="N138" s="357"/>
    </row>
    <row r="139" spans="3:14" x14ac:dyDescent="0.35">
      <c r="C139" s="167"/>
      <c r="D139" s="167"/>
      <c r="E139" s="167"/>
      <c r="F139" s="167"/>
      <c r="G139" s="357"/>
      <c r="H139" s="357"/>
      <c r="I139" s="357"/>
      <c r="J139" s="357"/>
      <c r="K139" s="357"/>
      <c r="L139" s="357"/>
      <c r="M139" s="357"/>
      <c r="N139" s="357"/>
    </row>
    <row r="140" spans="3:14" x14ac:dyDescent="0.35">
      <c r="C140" s="167"/>
      <c r="D140" s="167"/>
      <c r="E140" s="167"/>
      <c r="F140" s="167"/>
      <c r="G140" s="357"/>
      <c r="H140" s="357"/>
      <c r="I140" s="357"/>
      <c r="J140" s="357"/>
      <c r="K140" s="357"/>
      <c r="L140" s="357"/>
      <c r="M140" s="357"/>
      <c r="N140" s="357"/>
    </row>
    <row r="141" spans="3:14" x14ac:dyDescent="0.35">
      <c r="C141" s="167"/>
      <c r="D141" s="167"/>
      <c r="E141" s="167"/>
      <c r="F141" s="167"/>
      <c r="G141" s="357"/>
      <c r="H141" s="357"/>
      <c r="I141" s="357"/>
      <c r="J141" s="357"/>
      <c r="K141" s="357"/>
      <c r="L141" s="357"/>
      <c r="M141" s="357"/>
      <c r="N141" s="357"/>
    </row>
    <row r="142" spans="3:14" x14ac:dyDescent="0.35">
      <c r="C142" s="167"/>
      <c r="D142" s="167"/>
      <c r="E142" s="167"/>
      <c r="F142" s="167"/>
      <c r="G142" s="357"/>
      <c r="H142" s="357"/>
      <c r="I142" s="357"/>
      <c r="J142" s="357"/>
      <c r="K142" s="357"/>
      <c r="L142" s="357"/>
      <c r="M142" s="357"/>
      <c r="N142" s="357"/>
    </row>
    <row r="143" spans="3:14" x14ac:dyDescent="0.35">
      <c r="C143" s="167"/>
      <c r="D143" s="167"/>
      <c r="E143" s="167"/>
      <c r="F143" s="167"/>
      <c r="G143" s="357"/>
      <c r="H143" s="357"/>
      <c r="I143" s="357"/>
      <c r="J143" s="357"/>
      <c r="K143" s="357"/>
      <c r="L143" s="357"/>
      <c r="M143" s="357"/>
      <c r="N143" s="357"/>
    </row>
    <row r="144" spans="3:14" x14ac:dyDescent="0.35">
      <c r="C144" s="167"/>
      <c r="D144" s="167"/>
      <c r="E144" s="167"/>
      <c r="F144" s="167"/>
      <c r="G144" s="357"/>
      <c r="H144" s="357"/>
      <c r="I144" s="357"/>
      <c r="J144" s="357"/>
      <c r="K144" s="357"/>
      <c r="L144" s="357"/>
      <c r="M144" s="357"/>
      <c r="N144" s="357"/>
    </row>
    <row r="145" spans="3:14" x14ac:dyDescent="0.35">
      <c r="C145" s="167"/>
      <c r="D145" s="167"/>
      <c r="E145" s="167"/>
      <c r="F145" s="167"/>
      <c r="G145" s="357"/>
      <c r="H145" s="357"/>
      <c r="I145" s="357"/>
      <c r="J145" s="357"/>
      <c r="K145" s="357"/>
      <c r="L145" s="357"/>
      <c r="M145" s="357"/>
      <c r="N145" s="357"/>
    </row>
    <row r="146" spans="3:14" x14ac:dyDescent="0.35">
      <c r="C146" s="167"/>
      <c r="D146" s="167"/>
      <c r="E146" s="167"/>
      <c r="F146" s="167"/>
      <c r="G146" s="357"/>
      <c r="H146" s="357"/>
      <c r="I146" s="357"/>
      <c r="J146" s="357"/>
      <c r="K146" s="357"/>
      <c r="L146" s="357"/>
      <c r="M146" s="357"/>
      <c r="N146" s="357"/>
    </row>
    <row r="147" spans="3:14" x14ac:dyDescent="0.35">
      <c r="C147" s="167"/>
      <c r="D147" s="167"/>
      <c r="E147" s="167"/>
      <c r="F147" s="167"/>
      <c r="G147" s="357"/>
      <c r="H147" s="357"/>
      <c r="I147" s="357"/>
      <c r="J147" s="357"/>
      <c r="K147" s="357"/>
      <c r="L147" s="357"/>
      <c r="M147" s="357"/>
      <c r="N147" s="357"/>
    </row>
    <row r="148" spans="3:14" x14ac:dyDescent="0.35">
      <c r="C148" s="167"/>
      <c r="D148" s="167"/>
      <c r="E148" s="167"/>
      <c r="F148" s="167"/>
      <c r="G148" s="357"/>
      <c r="H148" s="357"/>
      <c r="I148" s="357"/>
      <c r="J148" s="357"/>
      <c r="K148" s="357"/>
      <c r="L148" s="357"/>
      <c r="M148" s="357"/>
      <c r="N148" s="357"/>
    </row>
    <row r="149" spans="3:14" x14ac:dyDescent="0.35">
      <c r="C149" s="167"/>
      <c r="D149" s="167"/>
      <c r="E149" s="167"/>
      <c r="F149" s="167"/>
      <c r="G149" s="357"/>
      <c r="H149" s="357"/>
      <c r="I149" s="357"/>
      <c r="J149" s="357"/>
      <c r="K149" s="357"/>
      <c r="L149" s="357"/>
      <c r="M149" s="357"/>
      <c r="N149" s="357"/>
    </row>
    <row r="150" spans="3:14" x14ac:dyDescent="0.35">
      <c r="C150" s="167"/>
      <c r="D150" s="167"/>
      <c r="E150" s="167"/>
      <c r="F150" s="167"/>
      <c r="G150" s="357"/>
      <c r="H150" s="357"/>
      <c r="I150" s="357"/>
      <c r="J150" s="357"/>
      <c r="K150" s="357"/>
      <c r="L150" s="357"/>
      <c r="M150" s="357"/>
      <c r="N150" s="357"/>
    </row>
    <row r="151" spans="3:14" x14ac:dyDescent="0.35">
      <c r="C151" s="167"/>
      <c r="D151" s="167"/>
      <c r="E151" s="167"/>
      <c r="F151" s="167"/>
      <c r="G151" s="357"/>
      <c r="H151" s="357"/>
      <c r="I151" s="357"/>
      <c r="J151" s="357"/>
      <c r="K151" s="357"/>
      <c r="L151" s="357"/>
      <c r="M151" s="357"/>
      <c r="N151" s="357"/>
    </row>
    <row r="152" spans="3:14" x14ac:dyDescent="0.35">
      <c r="C152" s="167"/>
      <c r="D152" s="167"/>
      <c r="E152" s="167"/>
      <c r="F152" s="167"/>
      <c r="G152" s="357"/>
      <c r="H152" s="357"/>
      <c r="I152" s="357"/>
      <c r="J152" s="357"/>
      <c r="K152" s="357"/>
      <c r="L152" s="357"/>
      <c r="M152" s="357"/>
      <c r="N152" s="357"/>
    </row>
    <row r="153" spans="3:14" x14ac:dyDescent="0.35">
      <c r="C153" s="167"/>
      <c r="D153" s="167"/>
      <c r="E153" s="167"/>
      <c r="F153" s="167"/>
      <c r="G153" s="357"/>
      <c r="H153" s="357"/>
      <c r="I153" s="357"/>
      <c r="J153" s="357"/>
      <c r="K153" s="357"/>
      <c r="L153" s="357"/>
      <c r="M153" s="357"/>
      <c r="N153" s="357"/>
    </row>
    <row r="154" spans="3:14" x14ac:dyDescent="0.35">
      <c r="C154" s="167"/>
      <c r="D154" s="167"/>
      <c r="E154" s="167"/>
      <c r="F154" s="167"/>
      <c r="G154" s="357"/>
      <c r="H154" s="357"/>
      <c r="I154" s="357"/>
      <c r="J154" s="357"/>
      <c r="K154" s="357"/>
      <c r="L154" s="357"/>
      <c r="M154" s="357"/>
      <c r="N154" s="357"/>
    </row>
    <row r="155" spans="3:14" x14ac:dyDescent="0.35">
      <c r="C155" s="167"/>
      <c r="D155" s="167"/>
      <c r="E155" s="167"/>
      <c r="F155" s="167"/>
      <c r="G155" s="357"/>
      <c r="H155" s="357"/>
      <c r="I155" s="357"/>
      <c r="J155" s="357"/>
      <c r="K155" s="357"/>
      <c r="L155" s="357"/>
      <c r="M155" s="357"/>
      <c r="N155" s="357"/>
    </row>
    <row r="156" spans="3:14" x14ac:dyDescent="0.35">
      <c r="C156" s="167"/>
      <c r="D156" s="167"/>
      <c r="E156" s="167"/>
      <c r="F156" s="167"/>
      <c r="G156" s="357"/>
      <c r="H156" s="357"/>
      <c r="I156" s="357"/>
      <c r="J156" s="357"/>
      <c r="K156" s="357"/>
      <c r="L156" s="357"/>
      <c r="M156" s="357"/>
      <c r="N156" s="357"/>
    </row>
    <row r="157" spans="3:14" x14ac:dyDescent="0.35">
      <c r="C157" s="167"/>
      <c r="D157" s="167"/>
      <c r="E157" s="167"/>
      <c r="F157" s="167"/>
      <c r="G157" s="357"/>
      <c r="H157" s="357"/>
      <c r="I157" s="357"/>
      <c r="J157" s="357"/>
      <c r="K157" s="357"/>
      <c r="L157" s="357"/>
      <c r="M157" s="357"/>
      <c r="N157" s="357"/>
    </row>
    <row r="158" spans="3:14" x14ac:dyDescent="0.35">
      <c r="C158" s="167"/>
      <c r="D158" s="167"/>
      <c r="E158" s="167"/>
      <c r="F158" s="167"/>
      <c r="G158" s="357"/>
      <c r="H158" s="357"/>
      <c r="I158" s="357"/>
      <c r="J158" s="357"/>
      <c r="K158" s="357"/>
      <c r="L158" s="357"/>
      <c r="M158" s="357"/>
      <c r="N158" s="357"/>
    </row>
    <row r="159" spans="3:14" x14ac:dyDescent="0.35">
      <c r="C159" s="167"/>
      <c r="D159" s="167"/>
      <c r="E159" s="167"/>
      <c r="F159" s="167"/>
      <c r="G159" s="357"/>
      <c r="H159" s="357"/>
      <c r="I159" s="357"/>
      <c r="J159" s="357"/>
      <c r="K159" s="357"/>
      <c r="L159" s="357"/>
      <c r="M159" s="357"/>
      <c r="N159" s="357"/>
    </row>
    <row r="160" spans="3:14" x14ac:dyDescent="0.35">
      <c r="C160" s="167"/>
      <c r="D160" s="167"/>
      <c r="E160" s="167"/>
      <c r="F160" s="167"/>
      <c r="G160" s="357"/>
      <c r="H160" s="357"/>
      <c r="I160" s="357"/>
      <c r="J160" s="357"/>
      <c r="K160" s="357"/>
      <c r="L160" s="357"/>
      <c r="M160" s="357"/>
      <c r="N160" s="357"/>
    </row>
    <row r="161" spans="3:14" x14ac:dyDescent="0.35">
      <c r="C161" s="167"/>
      <c r="D161" s="167"/>
      <c r="E161" s="167"/>
      <c r="F161" s="167"/>
      <c r="G161" s="357"/>
      <c r="H161" s="357"/>
      <c r="I161" s="357"/>
      <c r="J161" s="357"/>
      <c r="K161" s="357"/>
      <c r="L161" s="357"/>
      <c r="M161" s="357"/>
      <c r="N161" s="357"/>
    </row>
    <row r="162" spans="3:14" x14ac:dyDescent="0.35">
      <c r="C162" s="167"/>
      <c r="D162" s="167"/>
      <c r="E162" s="167"/>
      <c r="F162" s="167"/>
      <c r="G162" s="357"/>
      <c r="H162" s="357"/>
      <c r="I162" s="357"/>
      <c r="J162" s="357"/>
      <c r="K162" s="357"/>
      <c r="L162" s="357"/>
      <c r="M162" s="357"/>
      <c r="N162" s="357"/>
    </row>
    <row r="163" spans="3:14" x14ac:dyDescent="0.35">
      <c r="C163" s="167"/>
      <c r="D163" s="167"/>
      <c r="E163" s="167"/>
      <c r="F163" s="167"/>
      <c r="G163" s="357"/>
      <c r="H163" s="357"/>
      <c r="I163" s="357"/>
      <c r="J163" s="357"/>
      <c r="K163" s="357"/>
      <c r="L163" s="357"/>
      <c r="M163" s="357"/>
      <c r="N163" s="357"/>
    </row>
    <row r="164" spans="3:14" x14ac:dyDescent="0.35">
      <c r="C164" s="167"/>
      <c r="D164" s="167"/>
      <c r="E164" s="167"/>
      <c r="F164" s="167"/>
      <c r="G164" s="357"/>
      <c r="H164" s="357"/>
      <c r="I164" s="357"/>
      <c r="J164" s="357"/>
      <c r="K164" s="357"/>
      <c r="L164" s="357"/>
      <c r="M164" s="357"/>
      <c r="N164" s="357"/>
    </row>
    <row r="165" spans="3:14" x14ac:dyDescent="0.35">
      <c r="C165" s="167"/>
      <c r="D165" s="167"/>
      <c r="E165" s="167"/>
      <c r="F165" s="167"/>
      <c r="G165" s="357"/>
      <c r="H165" s="357"/>
      <c r="I165" s="357"/>
      <c r="J165" s="357"/>
      <c r="K165" s="357"/>
      <c r="L165" s="357"/>
      <c r="M165" s="357"/>
      <c r="N165" s="357"/>
    </row>
    <row r="166" spans="3:14" x14ac:dyDescent="0.35">
      <c r="C166" s="167"/>
      <c r="D166" s="167"/>
      <c r="E166" s="167"/>
      <c r="F166" s="167"/>
      <c r="G166" s="357"/>
      <c r="H166" s="357"/>
      <c r="I166" s="357"/>
      <c r="J166" s="357"/>
      <c r="K166" s="357"/>
      <c r="L166" s="357"/>
      <c r="M166" s="357"/>
      <c r="N166" s="357"/>
    </row>
    <row r="167" spans="3:14" x14ac:dyDescent="0.35">
      <c r="C167" s="167"/>
      <c r="D167" s="167"/>
      <c r="E167" s="167"/>
      <c r="F167" s="167"/>
      <c r="G167" s="357"/>
      <c r="H167" s="357"/>
      <c r="I167" s="357"/>
      <c r="J167" s="357"/>
      <c r="K167" s="357"/>
      <c r="L167" s="357"/>
      <c r="M167" s="357"/>
      <c r="N167" s="357"/>
    </row>
    <row r="168" spans="3:14" x14ac:dyDescent="0.35">
      <c r="C168" s="167"/>
      <c r="D168" s="167"/>
      <c r="E168" s="167"/>
      <c r="F168" s="167"/>
      <c r="G168" s="357"/>
      <c r="H168" s="357"/>
      <c r="I168" s="357"/>
      <c r="J168" s="357"/>
      <c r="K168" s="357"/>
      <c r="L168" s="357"/>
      <c r="M168" s="357"/>
      <c r="N168" s="357"/>
    </row>
    <row r="169" spans="3:14" x14ac:dyDescent="0.35">
      <c r="C169" s="167"/>
      <c r="D169" s="167"/>
      <c r="E169" s="167"/>
      <c r="F169" s="167"/>
      <c r="G169" s="357"/>
      <c r="H169" s="357"/>
      <c r="I169" s="357"/>
      <c r="J169" s="357"/>
      <c r="K169" s="357"/>
      <c r="L169" s="357"/>
      <c r="M169" s="357"/>
      <c r="N169" s="357"/>
    </row>
    <row r="170" spans="3:14" x14ac:dyDescent="0.35">
      <c r="C170" s="167"/>
      <c r="D170" s="167"/>
      <c r="E170" s="167"/>
      <c r="F170" s="167"/>
      <c r="G170" s="357"/>
      <c r="H170" s="357"/>
      <c r="I170" s="357"/>
      <c r="J170" s="357"/>
      <c r="K170" s="357"/>
      <c r="L170" s="357"/>
      <c r="M170" s="357"/>
      <c r="N170" s="357"/>
    </row>
    <row r="171" spans="3:14" x14ac:dyDescent="0.35">
      <c r="C171" s="167"/>
      <c r="D171" s="167"/>
      <c r="E171" s="167"/>
      <c r="F171" s="167"/>
      <c r="G171" s="357"/>
      <c r="H171" s="357"/>
      <c r="I171" s="357"/>
      <c r="J171" s="357"/>
      <c r="K171" s="357"/>
      <c r="L171" s="357"/>
      <c r="M171" s="357"/>
      <c r="N171" s="357"/>
    </row>
    <row r="172" spans="3:14" x14ac:dyDescent="0.35">
      <c r="C172" s="167"/>
      <c r="D172" s="167"/>
      <c r="E172" s="167"/>
      <c r="F172" s="167"/>
      <c r="G172" s="357"/>
      <c r="H172" s="357"/>
      <c r="I172" s="357"/>
      <c r="J172" s="357"/>
      <c r="K172" s="357"/>
      <c r="L172" s="357"/>
      <c r="M172" s="357"/>
      <c r="N172" s="357"/>
    </row>
    <row r="173" spans="3:14" x14ac:dyDescent="0.35">
      <c r="C173" s="167"/>
      <c r="D173" s="167"/>
      <c r="E173" s="167"/>
      <c r="F173" s="167"/>
      <c r="G173" s="357"/>
      <c r="H173" s="357"/>
      <c r="I173" s="357"/>
      <c r="J173" s="357"/>
      <c r="K173" s="357"/>
      <c r="L173" s="357"/>
      <c r="M173" s="357"/>
      <c r="N173" s="357"/>
    </row>
    <row r="174" spans="3:14" x14ac:dyDescent="0.35">
      <c r="C174" s="167"/>
      <c r="D174" s="167"/>
      <c r="E174" s="167"/>
      <c r="F174" s="167"/>
      <c r="G174" s="357"/>
      <c r="H174" s="357"/>
      <c r="I174" s="357"/>
      <c r="J174" s="357"/>
      <c r="K174" s="357"/>
      <c r="L174" s="357"/>
      <c r="M174" s="357"/>
      <c r="N174" s="357"/>
    </row>
    <row r="175" spans="3:14" x14ac:dyDescent="0.35">
      <c r="C175" s="167"/>
      <c r="D175" s="167"/>
      <c r="E175" s="167"/>
      <c r="F175" s="167"/>
      <c r="G175" s="357"/>
      <c r="H175" s="357"/>
      <c r="I175" s="357"/>
      <c r="J175" s="357"/>
      <c r="K175" s="357"/>
      <c r="L175" s="357"/>
      <c r="M175" s="357"/>
      <c r="N175" s="357"/>
    </row>
    <row r="176" spans="3:14" x14ac:dyDescent="0.35">
      <c r="C176" s="167"/>
      <c r="D176" s="167"/>
      <c r="E176" s="167"/>
      <c r="F176" s="167"/>
      <c r="G176" s="357"/>
      <c r="H176" s="357"/>
      <c r="I176" s="357"/>
      <c r="J176" s="357"/>
      <c r="K176" s="357"/>
      <c r="L176" s="357"/>
      <c r="M176" s="357"/>
      <c r="N176" s="357"/>
    </row>
    <row r="177" spans="3:14" x14ac:dyDescent="0.35">
      <c r="C177" s="167"/>
      <c r="D177" s="167"/>
      <c r="E177" s="167"/>
      <c r="F177" s="167"/>
      <c r="G177" s="357"/>
      <c r="H177" s="357"/>
      <c r="I177" s="357"/>
      <c r="J177" s="357"/>
      <c r="K177" s="357"/>
      <c r="L177" s="357"/>
      <c r="M177" s="357"/>
      <c r="N177" s="357"/>
    </row>
    <row r="178" spans="3:14" x14ac:dyDescent="0.35">
      <c r="C178" s="167"/>
      <c r="D178" s="167"/>
      <c r="E178" s="167"/>
      <c r="F178" s="167"/>
      <c r="G178" s="357"/>
      <c r="H178" s="357"/>
      <c r="I178" s="357"/>
      <c r="J178" s="357"/>
      <c r="K178" s="357"/>
      <c r="L178" s="357"/>
      <c r="M178" s="357"/>
      <c r="N178" s="357"/>
    </row>
    <row r="179" spans="3:14" x14ac:dyDescent="0.35">
      <c r="C179" s="167"/>
      <c r="D179" s="167"/>
      <c r="E179" s="167"/>
      <c r="F179" s="167"/>
      <c r="G179" s="357"/>
      <c r="H179" s="357"/>
      <c r="I179" s="357"/>
      <c r="J179" s="357"/>
      <c r="K179" s="357"/>
      <c r="L179" s="357"/>
      <c r="M179" s="357"/>
      <c r="N179" s="357"/>
    </row>
    <row r="180" spans="3:14" x14ac:dyDescent="0.35">
      <c r="C180" s="167"/>
      <c r="D180" s="167"/>
      <c r="E180" s="167"/>
      <c r="F180" s="167"/>
      <c r="G180" s="357"/>
      <c r="H180" s="357"/>
      <c r="I180" s="357"/>
      <c r="J180" s="357"/>
      <c r="K180" s="357"/>
      <c r="L180" s="357"/>
      <c r="M180" s="357"/>
      <c r="N180" s="357"/>
    </row>
    <row r="181" spans="3:14" x14ac:dyDescent="0.35">
      <c r="C181" s="167"/>
      <c r="D181" s="167"/>
      <c r="E181" s="167"/>
      <c r="F181" s="167"/>
      <c r="G181" s="357"/>
      <c r="H181" s="357"/>
      <c r="I181" s="357"/>
      <c r="J181" s="357"/>
      <c r="K181" s="357"/>
      <c r="L181" s="357"/>
      <c r="M181" s="357"/>
      <c r="N181" s="357"/>
    </row>
    <row r="182" spans="3:14" x14ac:dyDescent="0.35">
      <c r="C182" s="167"/>
      <c r="D182" s="167"/>
      <c r="E182" s="167"/>
      <c r="F182" s="167"/>
      <c r="G182" s="357"/>
      <c r="H182" s="357"/>
      <c r="I182" s="357"/>
      <c r="J182" s="357"/>
      <c r="K182" s="357"/>
      <c r="L182" s="357"/>
      <c r="M182" s="357"/>
      <c r="N182" s="357"/>
    </row>
    <row r="183" spans="3:14" x14ac:dyDescent="0.35">
      <c r="C183" s="167"/>
      <c r="D183" s="167"/>
      <c r="E183" s="167"/>
      <c r="F183" s="167"/>
      <c r="G183" s="357"/>
      <c r="H183" s="357"/>
      <c r="I183" s="357"/>
      <c r="J183" s="357"/>
      <c r="K183" s="357"/>
      <c r="L183" s="357"/>
      <c r="M183" s="357"/>
      <c r="N183" s="357"/>
    </row>
    <row r="184" spans="3:14" x14ac:dyDescent="0.35">
      <c r="C184" s="167"/>
      <c r="D184" s="167"/>
      <c r="E184" s="167"/>
      <c r="F184" s="167"/>
      <c r="G184" s="357"/>
      <c r="H184" s="357"/>
      <c r="I184" s="357"/>
      <c r="J184" s="357"/>
      <c r="K184" s="357"/>
      <c r="L184" s="357"/>
      <c r="M184" s="357"/>
      <c r="N184" s="357"/>
    </row>
    <row r="185" spans="3:14" x14ac:dyDescent="0.35">
      <c r="C185" s="167"/>
      <c r="D185" s="167"/>
      <c r="E185" s="167"/>
      <c r="F185" s="167"/>
      <c r="G185" s="357"/>
      <c r="H185" s="357"/>
      <c r="I185" s="357"/>
      <c r="J185" s="357"/>
      <c r="K185" s="357"/>
      <c r="L185" s="357"/>
      <c r="M185" s="357"/>
      <c r="N185" s="357"/>
    </row>
    <row r="186" spans="3:14" x14ac:dyDescent="0.35">
      <c r="C186" s="167"/>
      <c r="D186" s="167"/>
      <c r="E186" s="167"/>
      <c r="F186" s="167"/>
      <c r="G186" s="357"/>
      <c r="H186" s="357"/>
      <c r="I186" s="357"/>
      <c r="J186" s="357"/>
      <c r="K186" s="357"/>
      <c r="L186" s="357"/>
      <c r="M186" s="357"/>
      <c r="N186" s="357"/>
    </row>
    <row r="187" spans="3:14" x14ac:dyDescent="0.35">
      <c r="C187" s="167"/>
      <c r="D187" s="167"/>
      <c r="E187" s="167"/>
      <c r="F187" s="167"/>
      <c r="G187" s="357"/>
      <c r="H187" s="357"/>
      <c r="I187" s="357"/>
      <c r="J187" s="357"/>
      <c r="K187" s="357"/>
      <c r="L187" s="357"/>
      <c r="M187" s="357"/>
      <c r="N187" s="357"/>
    </row>
    <row r="188" spans="3:14" x14ac:dyDescent="0.35">
      <c r="C188" s="167"/>
      <c r="D188" s="167"/>
      <c r="E188" s="167"/>
      <c r="F188" s="167"/>
      <c r="G188" s="357"/>
      <c r="H188" s="357"/>
      <c r="I188" s="357"/>
      <c r="J188" s="357"/>
      <c r="K188" s="357"/>
      <c r="L188" s="357"/>
      <c r="M188" s="357"/>
      <c r="N188" s="357"/>
    </row>
    <row r="189" spans="3:14" x14ac:dyDescent="0.35">
      <c r="C189" s="167"/>
      <c r="D189" s="167"/>
      <c r="E189" s="167"/>
      <c r="F189" s="167"/>
      <c r="G189" s="357"/>
      <c r="H189" s="357"/>
      <c r="I189" s="357"/>
      <c r="J189" s="357"/>
      <c r="K189" s="357"/>
      <c r="L189" s="357"/>
      <c r="M189" s="357"/>
      <c r="N189" s="357"/>
    </row>
    <row r="190" spans="3:14" x14ac:dyDescent="0.35">
      <c r="C190" s="167"/>
      <c r="D190" s="167"/>
      <c r="E190" s="167"/>
      <c r="F190" s="167"/>
      <c r="G190" s="357"/>
      <c r="H190" s="357"/>
      <c r="I190" s="357"/>
      <c r="J190" s="357"/>
      <c r="K190" s="357"/>
      <c r="L190" s="357"/>
      <c r="M190" s="357"/>
      <c r="N190" s="357"/>
    </row>
    <row r="191" spans="3:14" x14ac:dyDescent="0.35">
      <c r="C191" s="167"/>
      <c r="D191" s="167"/>
      <c r="E191" s="167"/>
      <c r="F191" s="167"/>
      <c r="G191" s="357"/>
      <c r="H191" s="357"/>
      <c r="I191" s="357"/>
      <c r="J191" s="357"/>
      <c r="K191" s="357"/>
      <c r="L191" s="357"/>
      <c r="M191" s="357"/>
      <c r="N191" s="357"/>
    </row>
    <row r="192" spans="3:14" x14ac:dyDescent="0.35">
      <c r="C192" s="167"/>
      <c r="D192" s="167"/>
      <c r="E192" s="167"/>
      <c r="F192" s="167"/>
      <c r="G192" s="357"/>
      <c r="H192" s="357"/>
      <c r="I192" s="357"/>
      <c r="J192" s="357"/>
      <c r="K192" s="357"/>
      <c r="L192" s="357"/>
      <c r="M192" s="357"/>
      <c r="N192" s="357"/>
    </row>
    <row r="193" spans="3:14" x14ac:dyDescent="0.35">
      <c r="C193" s="167"/>
      <c r="D193" s="167"/>
      <c r="E193" s="167"/>
      <c r="F193" s="167"/>
      <c r="G193" s="357"/>
      <c r="H193" s="357"/>
      <c r="I193" s="357"/>
      <c r="J193" s="357"/>
      <c r="K193" s="357"/>
      <c r="L193" s="357"/>
      <c r="M193" s="357"/>
      <c r="N193" s="357"/>
    </row>
    <row r="194" spans="3:14" x14ac:dyDescent="0.35">
      <c r="C194" s="167"/>
      <c r="D194" s="167"/>
      <c r="E194" s="167"/>
      <c r="F194" s="167"/>
      <c r="G194" s="357"/>
      <c r="H194" s="357"/>
      <c r="I194" s="357"/>
      <c r="J194" s="357"/>
      <c r="K194" s="357"/>
      <c r="L194" s="357"/>
      <c r="M194" s="357"/>
      <c r="N194" s="357"/>
    </row>
    <row r="195" spans="3:14" x14ac:dyDescent="0.35">
      <c r="C195" s="167"/>
      <c r="D195" s="167"/>
      <c r="E195" s="167"/>
      <c r="F195" s="167"/>
      <c r="G195" s="357"/>
      <c r="H195" s="357"/>
      <c r="I195" s="357"/>
      <c r="J195" s="357"/>
      <c r="K195" s="357"/>
      <c r="L195" s="357"/>
      <c r="M195" s="357"/>
      <c r="N195" s="357"/>
    </row>
    <row r="196" spans="3:14" x14ac:dyDescent="0.35">
      <c r="C196" s="167"/>
      <c r="D196" s="167"/>
      <c r="E196" s="167"/>
      <c r="F196" s="167"/>
      <c r="G196" s="357"/>
      <c r="H196" s="357"/>
      <c r="I196" s="357"/>
      <c r="J196" s="357"/>
      <c r="K196" s="357"/>
      <c r="L196" s="357"/>
      <c r="M196" s="357"/>
      <c r="N196" s="357"/>
    </row>
    <row r="197" spans="3:14" x14ac:dyDescent="0.35">
      <c r="C197" s="167"/>
      <c r="D197" s="167"/>
      <c r="E197" s="167"/>
      <c r="F197" s="167"/>
      <c r="G197" s="357"/>
      <c r="H197" s="357"/>
      <c r="I197" s="357"/>
      <c r="J197" s="357"/>
      <c r="K197" s="357"/>
      <c r="L197" s="357"/>
      <c r="M197" s="357"/>
      <c r="N197" s="357"/>
    </row>
    <row r="198" spans="3:14" x14ac:dyDescent="0.35">
      <c r="C198" s="167"/>
      <c r="D198" s="167"/>
      <c r="E198" s="167"/>
      <c r="F198" s="167"/>
      <c r="G198" s="357"/>
      <c r="H198" s="357"/>
      <c r="I198" s="357"/>
      <c r="J198" s="357"/>
      <c r="K198" s="357"/>
      <c r="L198" s="357"/>
      <c r="M198" s="357"/>
      <c r="N198" s="357"/>
    </row>
    <row r="199" spans="3:14" x14ac:dyDescent="0.35">
      <c r="C199" s="167"/>
      <c r="D199" s="167"/>
      <c r="E199" s="167"/>
      <c r="F199" s="167"/>
      <c r="G199" s="357"/>
      <c r="H199" s="357"/>
      <c r="I199" s="357"/>
      <c r="J199" s="357"/>
      <c r="K199" s="357"/>
      <c r="L199" s="357"/>
      <c r="M199" s="357"/>
      <c r="N199" s="357"/>
    </row>
    <row r="200" spans="3:14" x14ac:dyDescent="0.35">
      <c r="C200" s="167"/>
      <c r="D200" s="167"/>
      <c r="E200" s="167"/>
      <c r="F200" s="167"/>
      <c r="G200" s="357"/>
      <c r="H200" s="357"/>
      <c r="I200" s="357"/>
      <c r="J200" s="357"/>
      <c r="K200" s="357"/>
      <c r="L200" s="357"/>
      <c r="M200" s="357"/>
      <c r="N200" s="357"/>
    </row>
    <row r="201" spans="3:14" x14ac:dyDescent="0.35">
      <c r="C201" s="167"/>
      <c r="D201" s="167"/>
      <c r="E201" s="167"/>
      <c r="F201" s="167"/>
      <c r="G201" s="357"/>
      <c r="H201" s="357"/>
      <c r="I201" s="357"/>
      <c r="J201" s="357"/>
      <c r="K201" s="357"/>
      <c r="L201" s="357"/>
      <c r="M201" s="357"/>
      <c r="N201" s="357"/>
    </row>
    <row r="202" spans="3:14" x14ac:dyDescent="0.35">
      <c r="C202" s="167"/>
      <c r="D202" s="167"/>
      <c r="E202" s="167"/>
      <c r="F202" s="167"/>
      <c r="G202" s="167"/>
      <c r="H202" s="167"/>
      <c r="I202" s="167"/>
      <c r="J202" s="167"/>
      <c r="K202" s="167"/>
      <c r="L202" s="167"/>
      <c r="M202" s="167"/>
      <c r="N202" s="167"/>
    </row>
    <row r="203" spans="3:14" x14ac:dyDescent="0.35">
      <c r="C203" s="167"/>
      <c r="D203" s="167"/>
      <c r="E203" s="167"/>
      <c r="F203" s="167"/>
      <c r="G203" s="167"/>
      <c r="H203" s="167"/>
      <c r="I203" s="167"/>
      <c r="J203" s="167"/>
      <c r="K203" s="167"/>
      <c r="L203" s="167"/>
      <c r="M203" s="167"/>
      <c r="N203" s="167"/>
    </row>
    <row r="204" spans="3:14" x14ac:dyDescent="0.35">
      <c r="C204" s="167"/>
      <c r="D204" s="167"/>
      <c r="E204" s="167"/>
      <c r="F204" s="167"/>
      <c r="G204" s="167"/>
      <c r="H204" s="167"/>
      <c r="I204" s="167"/>
      <c r="J204" s="167"/>
      <c r="K204" s="167"/>
      <c r="L204" s="167"/>
      <c r="M204" s="167"/>
      <c r="N204" s="167"/>
    </row>
    <row r="205" spans="3:14" x14ac:dyDescent="0.35">
      <c r="C205" s="167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</row>
    <row r="206" spans="3:14" x14ac:dyDescent="0.35">
      <c r="C206" s="167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</row>
    <row r="207" spans="3:14" x14ac:dyDescent="0.35">
      <c r="C207" s="167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</row>
    <row r="208" spans="3:14" x14ac:dyDescent="0.35">
      <c r="C208" s="167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</row>
    <row r="209" spans="3:14" x14ac:dyDescent="0.35">
      <c r="C209" s="167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</row>
    <row r="210" spans="3:14" x14ac:dyDescent="0.35"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</row>
    <row r="211" spans="3:14" x14ac:dyDescent="0.35">
      <c r="C211" s="167"/>
      <c r="D211" s="167"/>
      <c r="E211" s="167"/>
      <c r="F211" s="167"/>
      <c r="G211" s="167"/>
      <c r="H211" s="167"/>
      <c r="I211" s="167"/>
      <c r="J211" s="167"/>
      <c r="K211" s="167"/>
      <c r="L211" s="167"/>
      <c r="M211" s="167"/>
      <c r="N211" s="167"/>
    </row>
    <row r="212" spans="3:14" x14ac:dyDescent="0.35">
      <c r="C212" s="167"/>
      <c r="D212" s="167"/>
      <c r="E212" s="167"/>
      <c r="F212" s="167"/>
      <c r="G212" s="167"/>
      <c r="H212" s="167"/>
      <c r="I212" s="167"/>
      <c r="J212" s="167"/>
      <c r="K212" s="167"/>
      <c r="L212" s="167"/>
      <c r="M212" s="167"/>
      <c r="N212" s="167"/>
    </row>
    <row r="213" spans="3:14" x14ac:dyDescent="0.35">
      <c r="C213" s="167"/>
      <c r="D213" s="167"/>
      <c r="E213" s="167"/>
      <c r="F213" s="167"/>
      <c r="G213" s="167"/>
      <c r="H213" s="167"/>
      <c r="I213" s="167"/>
      <c r="J213" s="167"/>
      <c r="K213" s="167"/>
      <c r="L213" s="167"/>
      <c r="M213" s="167"/>
      <c r="N213" s="167"/>
    </row>
    <row r="214" spans="3:14" x14ac:dyDescent="0.35">
      <c r="C214" s="167"/>
      <c r="D214" s="167"/>
      <c r="E214" s="167"/>
      <c r="F214" s="167"/>
      <c r="G214" s="167"/>
      <c r="H214" s="167"/>
      <c r="I214" s="167"/>
      <c r="J214" s="167"/>
      <c r="K214" s="167"/>
      <c r="L214" s="167"/>
      <c r="M214" s="167"/>
      <c r="N214" s="167"/>
    </row>
    <row r="215" spans="3:14" x14ac:dyDescent="0.35">
      <c r="C215" s="167"/>
      <c r="D215" s="167"/>
      <c r="E215" s="167"/>
      <c r="F215" s="167"/>
      <c r="G215" s="167"/>
      <c r="H215" s="167"/>
      <c r="I215" s="167"/>
      <c r="J215" s="167"/>
      <c r="K215" s="167"/>
      <c r="L215" s="167"/>
      <c r="M215" s="167"/>
      <c r="N215" s="167"/>
    </row>
    <row r="216" spans="3:14" x14ac:dyDescent="0.35">
      <c r="C216" s="167"/>
      <c r="D216" s="167"/>
      <c r="E216" s="167"/>
      <c r="F216" s="167"/>
      <c r="G216" s="167"/>
      <c r="H216" s="167"/>
      <c r="I216" s="167"/>
      <c r="J216" s="167"/>
      <c r="K216" s="167"/>
      <c r="L216" s="167"/>
      <c r="M216" s="167"/>
      <c r="N216" s="167"/>
    </row>
    <row r="217" spans="3:14" x14ac:dyDescent="0.35">
      <c r="C217" s="167"/>
      <c r="D217" s="167"/>
      <c r="E217" s="167"/>
      <c r="F217" s="167"/>
      <c r="G217" s="167"/>
      <c r="H217" s="167"/>
      <c r="I217" s="167"/>
      <c r="J217" s="167"/>
      <c r="K217" s="167"/>
      <c r="L217" s="167"/>
      <c r="M217" s="167"/>
      <c r="N217" s="167"/>
    </row>
    <row r="218" spans="3:14" x14ac:dyDescent="0.35">
      <c r="C218" s="167"/>
      <c r="D218" s="167"/>
      <c r="E218" s="167"/>
      <c r="F218" s="167"/>
      <c r="G218" s="167"/>
      <c r="H218" s="167"/>
      <c r="I218" s="167"/>
      <c r="J218" s="167"/>
      <c r="K218" s="167"/>
      <c r="L218" s="167"/>
      <c r="M218" s="167"/>
      <c r="N218" s="167"/>
    </row>
    <row r="219" spans="3:14" x14ac:dyDescent="0.35">
      <c r="C219" s="167"/>
      <c r="D219" s="167"/>
      <c r="E219" s="167"/>
      <c r="F219" s="167"/>
      <c r="G219" s="167"/>
      <c r="H219" s="167"/>
      <c r="I219" s="167"/>
      <c r="J219" s="167"/>
      <c r="K219" s="167"/>
      <c r="L219" s="167"/>
      <c r="M219" s="167"/>
      <c r="N219" s="167"/>
    </row>
    <row r="220" spans="3:14" x14ac:dyDescent="0.35">
      <c r="C220" s="167"/>
      <c r="D220" s="167"/>
      <c r="E220" s="167"/>
      <c r="F220" s="167"/>
      <c r="G220" s="167"/>
      <c r="H220" s="167"/>
      <c r="I220" s="167"/>
      <c r="J220" s="167"/>
      <c r="K220" s="167"/>
      <c r="L220" s="167"/>
      <c r="M220" s="167"/>
      <c r="N220" s="167"/>
    </row>
    <row r="221" spans="3:14" x14ac:dyDescent="0.35">
      <c r="C221" s="167"/>
      <c r="D221" s="167"/>
      <c r="E221" s="167"/>
      <c r="F221" s="167"/>
      <c r="G221" s="167"/>
      <c r="H221" s="167"/>
      <c r="I221" s="167"/>
      <c r="J221" s="167"/>
      <c r="K221" s="167"/>
      <c r="L221" s="167"/>
      <c r="M221" s="167"/>
      <c r="N221" s="167"/>
    </row>
    <row r="222" spans="3:14" x14ac:dyDescent="0.35">
      <c r="C222" s="167"/>
      <c r="D222" s="167"/>
      <c r="E222" s="167"/>
      <c r="F222" s="167"/>
      <c r="G222" s="167"/>
      <c r="H222" s="167"/>
      <c r="I222" s="167"/>
      <c r="J222" s="167"/>
      <c r="K222" s="167"/>
      <c r="L222" s="167"/>
      <c r="M222" s="167"/>
      <c r="N222" s="167"/>
    </row>
    <row r="223" spans="3:14" x14ac:dyDescent="0.35">
      <c r="C223" s="167"/>
      <c r="D223" s="167"/>
      <c r="E223" s="167"/>
      <c r="F223" s="167"/>
      <c r="G223" s="167"/>
      <c r="H223" s="167"/>
      <c r="I223" s="167"/>
      <c r="J223" s="167"/>
      <c r="K223" s="167"/>
      <c r="L223" s="167"/>
      <c r="M223" s="167"/>
      <c r="N223" s="167"/>
    </row>
    <row r="224" spans="3:14" x14ac:dyDescent="0.35">
      <c r="C224" s="167"/>
      <c r="D224" s="167"/>
      <c r="E224" s="167"/>
      <c r="F224" s="167"/>
      <c r="G224" s="167"/>
      <c r="H224" s="167"/>
      <c r="I224" s="167"/>
      <c r="J224" s="167"/>
      <c r="K224" s="167"/>
      <c r="L224" s="167"/>
      <c r="M224" s="167"/>
      <c r="N224" s="167"/>
    </row>
    <row r="225" spans="3:14" x14ac:dyDescent="0.35">
      <c r="C225" s="167"/>
      <c r="D225" s="167"/>
      <c r="E225" s="167"/>
      <c r="F225" s="167"/>
      <c r="G225" s="167"/>
      <c r="H225" s="167"/>
      <c r="I225" s="167"/>
      <c r="J225" s="167"/>
      <c r="K225" s="167"/>
      <c r="L225" s="167"/>
      <c r="M225" s="167"/>
      <c r="N225" s="167"/>
    </row>
    <row r="226" spans="3:14" x14ac:dyDescent="0.35">
      <c r="C226" s="167"/>
      <c r="D226" s="167"/>
      <c r="E226" s="167"/>
      <c r="F226" s="167"/>
      <c r="G226" s="167"/>
      <c r="H226" s="167"/>
      <c r="I226" s="167"/>
      <c r="J226" s="167"/>
      <c r="K226" s="167"/>
      <c r="L226" s="167"/>
      <c r="M226" s="167"/>
      <c r="N226" s="167"/>
    </row>
    <row r="227" spans="3:14" x14ac:dyDescent="0.35">
      <c r="C227" s="167"/>
      <c r="D227" s="167"/>
      <c r="E227" s="167"/>
      <c r="F227" s="167"/>
      <c r="G227" s="167"/>
      <c r="H227" s="167"/>
      <c r="I227" s="167"/>
      <c r="J227" s="167"/>
      <c r="K227" s="167"/>
      <c r="L227" s="167"/>
      <c r="M227" s="167"/>
      <c r="N227" s="167"/>
    </row>
    <row r="228" spans="3:14" x14ac:dyDescent="0.35">
      <c r="C228" s="167"/>
      <c r="D228" s="167"/>
      <c r="E228" s="167"/>
      <c r="F228" s="167"/>
      <c r="G228" s="167"/>
      <c r="H228" s="167"/>
      <c r="I228" s="167"/>
      <c r="J228" s="167"/>
      <c r="K228" s="167"/>
      <c r="L228" s="167"/>
      <c r="M228" s="167"/>
      <c r="N228" s="167"/>
    </row>
    <row r="229" spans="3:14" x14ac:dyDescent="0.35">
      <c r="C229" s="167"/>
      <c r="D229" s="167"/>
      <c r="E229" s="167"/>
      <c r="F229" s="167"/>
      <c r="G229" s="167"/>
      <c r="H229" s="167"/>
      <c r="I229" s="167"/>
      <c r="J229" s="167"/>
      <c r="K229" s="167"/>
      <c r="L229" s="167"/>
      <c r="M229" s="167"/>
      <c r="N229" s="167"/>
    </row>
    <row r="230" spans="3:14" x14ac:dyDescent="0.35">
      <c r="C230" s="167"/>
      <c r="D230" s="167"/>
      <c r="E230" s="167"/>
      <c r="F230" s="167"/>
      <c r="G230" s="167"/>
      <c r="H230" s="167"/>
      <c r="I230" s="167"/>
      <c r="J230" s="167"/>
      <c r="K230" s="167"/>
      <c r="L230" s="167"/>
      <c r="M230" s="167"/>
      <c r="N230" s="167"/>
    </row>
    <row r="231" spans="3:14" x14ac:dyDescent="0.35">
      <c r="C231" s="167"/>
      <c r="D231" s="167"/>
      <c r="E231" s="167"/>
      <c r="F231" s="167"/>
      <c r="G231" s="167"/>
      <c r="H231" s="167"/>
      <c r="I231" s="167"/>
      <c r="J231" s="167"/>
      <c r="K231" s="167"/>
      <c r="L231" s="167"/>
      <c r="M231" s="167"/>
      <c r="N231" s="167"/>
    </row>
    <row r="232" spans="3:14" x14ac:dyDescent="0.35">
      <c r="C232" s="167"/>
      <c r="D232" s="167"/>
      <c r="E232" s="167"/>
      <c r="F232" s="167"/>
      <c r="G232" s="167"/>
      <c r="H232" s="167"/>
      <c r="I232" s="167"/>
      <c r="J232" s="167"/>
      <c r="K232" s="167"/>
      <c r="L232" s="167"/>
      <c r="M232" s="167"/>
      <c r="N232" s="167"/>
    </row>
    <row r="233" spans="3:14" x14ac:dyDescent="0.35">
      <c r="C233" s="167"/>
      <c r="D233" s="167"/>
      <c r="E233" s="167"/>
      <c r="F233" s="167"/>
      <c r="G233" s="167"/>
      <c r="H233" s="167"/>
      <c r="I233" s="167"/>
      <c r="J233" s="167"/>
      <c r="K233" s="167"/>
      <c r="L233" s="167"/>
      <c r="M233" s="167"/>
      <c r="N233" s="167"/>
    </row>
    <row r="234" spans="3:14" x14ac:dyDescent="0.35">
      <c r="C234" s="167"/>
      <c r="D234" s="167"/>
      <c r="E234" s="167"/>
      <c r="F234" s="167"/>
      <c r="G234" s="167"/>
      <c r="H234" s="167"/>
      <c r="I234" s="167"/>
      <c r="J234" s="167"/>
      <c r="K234" s="167"/>
      <c r="L234" s="167"/>
      <c r="M234" s="167"/>
      <c r="N234" s="167"/>
    </row>
    <row r="235" spans="3:14" x14ac:dyDescent="0.35">
      <c r="C235" s="167"/>
      <c r="D235" s="167"/>
      <c r="E235" s="167"/>
      <c r="F235" s="167"/>
      <c r="G235" s="167"/>
      <c r="H235" s="167"/>
      <c r="I235" s="167"/>
      <c r="J235" s="167"/>
      <c r="K235" s="167"/>
      <c r="L235" s="167"/>
      <c r="M235" s="167"/>
      <c r="N235" s="167"/>
    </row>
    <row r="236" spans="3:14" x14ac:dyDescent="0.35">
      <c r="C236" s="167"/>
      <c r="D236" s="167"/>
      <c r="E236" s="167"/>
      <c r="F236" s="167"/>
      <c r="G236" s="167"/>
      <c r="H236" s="167"/>
      <c r="I236" s="167"/>
      <c r="J236" s="167"/>
      <c r="K236" s="167"/>
      <c r="L236" s="167"/>
      <c r="M236" s="167"/>
      <c r="N236" s="167"/>
    </row>
    <row r="237" spans="3:14" x14ac:dyDescent="0.35">
      <c r="C237" s="167"/>
      <c r="D237" s="167"/>
      <c r="E237" s="167"/>
      <c r="F237" s="167"/>
      <c r="G237" s="167"/>
      <c r="H237" s="167"/>
      <c r="I237" s="167"/>
      <c r="J237" s="167"/>
      <c r="K237" s="167"/>
      <c r="L237" s="167"/>
      <c r="M237" s="167"/>
      <c r="N237" s="167"/>
    </row>
    <row r="238" spans="3:14" x14ac:dyDescent="0.35">
      <c r="C238" s="167"/>
      <c r="D238" s="167"/>
      <c r="E238" s="167"/>
      <c r="F238" s="167"/>
      <c r="G238" s="167"/>
      <c r="H238" s="167"/>
      <c r="I238" s="167"/>
      <c r="J238" s="167"/>
      <c r="K238" s="167"/>
      <c r="L238" s="167"/>
      <c r="M238" s="167"/>
      <c r="N238" s="167"/>
    </row>
    <row r="239" spans="3:14" x14ac:dyDescent="0.35">
      <c r="C239" s="167"/>
      <c r="D239" s="167"/>
      <c r="E239" s="167"/>
      <c r="F239" s="167"/>
      <c r="G239" s="167"/>
      <c r="H239" s="167"/>
      <c r="I239" s="167"/>
      <c r="J239" s="167"/>
      <c r="K239" s="167"/>
      <c r="L239" s="167"/>
      <c r="M239" s="167"/>
      <c r="N239" s="167"/>
    </row>
    <row r="240" spans="3:14" x14ac:dyDescent="0.35">
      <c r="C240" s="167"/>
      <c r="D240" s="167"/>
      <c r="E240" s="167"/>
      <c r="F240" s="167"/>
      <c r="G240" s="167"/>
      <c r="H240" s="167"/>
      <c r="I240" s="167"/>
      <c r="J240" s="167"/>
      <c r="K240" s="167"/>
      <c r="L240" s="167"/>
      <c r="M240" s="167"/>
      <c r="N240" s="167"/>
    </row>
    <row r="241" spans="3:14" x14ac:dyDescent="0.35">
      <c r="C241" s="167"/>
      <c r="D241" s="167"/>
      <c r="E241" s="167"/>
      <c r="F241" s="167"/>
      <c r="G241" s="167"/>
      <c r="H241" s="167"/>
      <c r="I241" s="167"/>
      <c r="J241" s="167"/>
      <c r="K241" s="167"/>
      <c r="L241" s="167"/>
      <c r="M241" s="167"/>
      <c r="N241" s="167"/>
    </row>
    <row r="242" spans="3:14" x14ac:dyDescent="0.35">
      <c r="C242" s="167"/>
      <c r="D242" s="167"/>
      <c r="E242" s="167"/>
      <c r="F242" s="167"/>
      <c r="G242" s="167"/>
      <c r="H242" s="167"/>
      <c r="I242" s="167"/>
      <c r="J242" s="167"/>
      <c r="K242" s="167"/>
      <c r="L242" s="167"/>
      <c r="M242" s="167"/>
      <c r="N242" s="167"/>
    </row>
    <row r="243" spans="3:14" x14ac:dyDescent="0.35">
      <c r="C243" s="167"/>
      <c r="D243" s="167"/>
      <c r="E243" s="167"/>
      <c r="F243" s="167"/>
      <c r="G243" s="167"/>
      <c r="H243" s="167"/>
      <c r="I243" s="167"/>
      <c r="J243" s="167"/>
      <c r="K243" s="167"/>
      <c r="L243" s="167"/>
      <c r="M243" s="167"/>
      <c r="N243" s="167"/>
    </row>
    <row r="244" spans="3:14" x14ac:dyDescent="0.35">
      <c r="C244" s="167"/>
      <c r="D244" s="167"/>
      <c r="E244" s="167"/>
      <c r="F244" s="167"/>
      <c r="G244" s="167"/>
      <c r="H244" s="167"/>
      <c r="I244" s="167"/>
      <c r="J244" s="167"/>
      <c r="K244" s="167"/>
      <c r="L244" s="167"/>
      <c r="M244" s="167"/>
      <c r="N244" s="167"/>
    </row>
    <row r="245" spans="3:14" x14ac:dyDescent="0.35">
      <c r="C245" s="167"/>
      <c r="D245" s="167"/>
      <c r="E245" s="167"/>
      <c r="F245" s="167"/>
      <c r="G245" s="167"/>
      <c r="H245" s="167"/>
      <c r="I245" s="167"/>
      <c r="J245" s="167"/>
      <c r="K245" s="167"/>
      <c r="L245" s="167"/>
      <c r="M245" s="167"/>
      <c r="N245" s="167"/>
    </row>
    <row r="246" spans="3:14" x14ac:dyDescent="0.35">
      <c r="C246" s="167"/>
      <c r="D246" s="167"/>
      <c r="E246" s="167"/>
      <c r="F246" s="167"/>
      <c r="G246" s="167"/>
      <c r="H246" s="167"/>
      <c r="I246" s="167"/>
      <c r="J246" s="167"/>
      <c r="K246" s="167"/>
      <c r="L246" s="167"/>
      <c r="M246" s="167"/>
      <c r="N246" s="167"/>
    </row>
    <row r="247" spans="3:14" x14ac:dyDescent="0.35">
      <c r="C247" s="167"/>
      <c r="D247" s="167"/>
      <c r="E247" s="167"/>
      <c r="F247" s="167"/>
      <c r="G247" s="167"/>
      <c r="H247" s="167"/>
      <c r="I247" s="167"/>
      <c r="J247" s="167"/>
      <c r="K247" s="167"/>
      <c r="L247" s="167"/>
      <c r="M247" s="167"/>
      <c r="N247" s="167"/>
    </row>
    <row r="248" spans="3:14" x14ac:dyDescent="0.35">
      <c r="C248" s="167"/>
      <c r="D248" s="167"/>
      <c r="E248" s="167"/>
      <c r="F248" s="167"/>
      <c r="G248" s="167"/>
      <c r="H248" s="167"/>
      <c r="I248" s="167"/>
      <c r="J248" s="167"/>
      <c r="K248" s="167"/>
      <c r="L248" s="167"/>
      <c r="M248" s="167"/>
      <c r="N248" s="167"/>
    </row>
    <row r="249" spans="3:14" x14ac:dyDescent="0.35">
      <c r="C249" s="167"/>
      <c r="D249" s="167"/>
      <c r="E249" s="167"/>
      <c r="F249" s="167"/>
      <c r="G249" s="167"/>
      <c r="H249" s="167"/>
      <c r="I249" s="167"/>
      <c r="J249" s="167"/>
      <c r="K249" s="167"/>
      <c r="L249" s="167"/>
      <c r="M249" s="167"/>
      <c r="N249" s="167"/>
    </row>
    <row r="250" spans="3:14" x14ac:dyDescent="0.35">
      <c r="C250" s="167"/>
      <c r="D250" s="167"/>
      <c r="E250" s="167"/>
      <c r="F250" s="167"/>
      <c r="G250" s="167"/>
      <c r="H250" s="167"/>
      <c r="I250" s="167"/>
      <c r="J250" s="167"/>
      <c r="K250" s="167"/>
      <c r="L250" s="167"/>
      <c r="M250" s="167"/>
      <c r="N250" s="167"/>
    </row>
    <row r="251" spans="3:14" x14ac:dyDescent="0.35">
      <c r="C251" s="167"/>
      <c r="D251" s="167"/>
      <c r="E251" s="167"/>
      <c r="F251" s="167"/>
      <c r="G251" s="167"/>
      <c r="H251" s="167"/>
      <c r="I251" s="167"/>
      <c r="J251" s="167"/>
      <c r="K251" s="167"/>
      <c r="L251" s="167"/>
      <c r="M251" s="167"/>
      <c r="N251" s="167"/>
    </row>
    <row r="252" spans="3:14" x14ac:dyDescent="0.35">
      <c r="C252" s="167"/>
      <c r="D252" s="167"/>
      <c r="E252" s="167"/>
      <c r="F252" s="167"/>
      <c r="G252" s="167"/>
      <c r="H252" s="167"/>
      <c r="I252" s="167"/>
      <c r="J252" s="167"/>
      <c r="K252" s="167"/>
      <c r="L252" s="167"/>
      <c r="M252" s="167"/>
      <c r="N252" s="167"/>
    </row>
    <row r="253" spans="3:14" x14ac:dyDescent="0.35">
      <c r="C253" s="167"/>
      <c r="D253" s="167"/>
      <c r="E253" s="167"/>
      <c r="F253" s="167"/>
      <c r="G253" s="167"/>
      <c r="H253" s="167"/>
      <c r="I253" s="167"/>
      <c r="J253" s="167"/>
      <c r="K253" s="167"/>
      <c r="L253" s="167"/>
      <c r="M253" s="167"/>
      <c r="N253" s="167"/>
    </row>
    <row r="254" spans="3:14" x14ac:dyDescent="0.35">
      <c r="C254" s="167"/>
      <c r="D254" s="167"/>
      <c r="E254" s="167"/>
      <c r="F254" s="167"/>
      <c r="G254" s="167"/>
      <c r="H254" s="167"/>
      <c r="I254" s="167"/>
      <c r="J254" s="167"/>
      <c r="K254" s="167"/>
      <c r="L254" s="167"/>
      <c r="M254" s="167"/>
      <c r="N254" s="167"/>
    </row>
    <row r="255" spans="3:14" x14ac:dyDescent="0.35">
      <c r="C255" s="167"/>
      <c r="D255" s="167"/>
      <c r="E255" s="167"/>
      <c r="F255" s="167"/>
      <c r="G255" s="167"/>
      <c r="H255" s="167"/>
      <c r="I255" s="167"/>
      <c r="J255" s="167"/>
      <c r="K255" s="167"/>
      <c r="L255" s="167"/>
      <c r="M255" s="167"/>
      <c r="N255" s="167"/>
    </row>
    <row r="256" spans="3:14" x14ac:dyDescent="0.35">
      <c r="C256" s="167"/>
      <c r="D256" s="167"/>
      <c r="E256" s="167"/>
      <c r="F256" s="167"/>
      <c r="G256" s="167"/>
      <c r="H256" s="167"/>
      <c r="I256" s="167"/>
      <c r="J256" s="167"/>
      <c r="K256" s="167"/>
      <c r="L256" s="167"/>
      <c r="M256" s="167"/>
      <c r="N256" s="167"/>
    </row>
    <row r="257" spans="3:14" x14ac:dyDescent="0.35">
      <c r="C257" s="167"/>
      <c r="D257" s="167"/>
      <c r="E257" s="167"/>
      <c r="F257" s="167"/>
      <c r="G257" s="167"/>
      <c r="H257" s="167"/>
      <c r="I257" s="167"/>
      <c r="J257" s="167"/>
      <c r="K257" s="167"/>
      <c r="L257" s="167"/>
      <c r="M257" s="167"/>
      <c r="N257" s="167"/>
    </row>
    <row r="258" spans="3:14" x14ac:dyDescent="0.35">
      <c r="C258" s="167"/>
      <c r="D258" s="167"/>
      <c r="E258" s="167"/>
      <c r="F258" s="167"/>
      <c r="G258" s="167"/>
      <c r="H258" s="167"/>
      <c r="I258" s="167"/>
      <c r="J258" s="167"/>
      <c r="K258" s="167"/>
      <c r="L258" s="167"/>
      <c r="M258" s="167"/>
      <c r="N258" s="167"/>
    </row>
    <row r="259" spans="3:14" x14ac:dyDescent="0.35">
      <c r="C259" s="167"/>
      <c r="D259" s="167"/>
      <c r="E259" s="167"/>
      <c r="F259" s="167"/>
      <c r="G259" s="167"/>
      <c r="H259" s="167"/>
      <c r="I259" s="167"/>
      <c r="J259" s="167"/>
      <c r="K259" s="167"/>
      <c r="L259" s="167"/>
      <c r="M259" s="167"/>
      <c r="N259" s="167"/>
    </row>
    <row r="260" spans="3:14" x14ac:dyDescent="0.35">
      <c r="C260" s="167"/>
      <c r="D260" s="167"/>
      <c r="E260" s="167"/>
      <c r="F260" s="167"/>
      <c r="G260" s="167"/>
      <c r="H260" s="167"/>
      <c r="I260" s="167"/>
      <c r="J260" s="167"/>
      <c r="K260" s="167"/>
      <c r="L260" s="167"/>
      <c r="M260" s="167"/>
      <c r="N260" s="167"/>
    </row>
    <row r="261" spans="3:14" x14ac:dyDescent="0.35">
      <c r="C261" s="167"/>
      <c r="D261" s="167"/>
      <c r="E261" s="167"/>
      <c r="F261" s="167"/>
      <c r="G261" s="167"/>
      <c r="H261" s="167"/>
      <c r="I261" s="167"/>
      <c r="J261" s="167"/>
      <c r="K261" s="167"/>
      <c r="L261" s="167"/>
      <c r="M261" s="167"/>
      <c r="N261" s="167"/>
    </row>
    <row r="262" spans="3:14" x14ac:dyDescent="0.35">
      <c r="C262" s="167"/>
      <c r="D262" s="167"/>
      <c r="E262" s="167"/>
      <c r="F262" s="167"/>
      <c r="G262" s="167"/>
      <c r="H262" s="167"/>
      <c r="I262" s="167"/>
      <c r="J262" s="167"/>
      <c r="K262" s="167"/>
      <c r="L262" s="167"/>
      <c r="M262" s="167"/>
      <c r="N262" s="167"/>
    </row>
    <row r="263" spans="3:14" x14ac:dyDescent="0.35">
      <c r="C263" s="167"/>
      <c r="D263" s="167"/>
      <c r="E263" s="167"/>
      <c r="F263" s="167"/>
      <c r="G263" s="167"/>
      <c r="H263" s="167"/>
      <c r="I263" s="167"/>
      <c r="J263" s="167"/>
      <c r="K263" s="167"/>
      <c r="L263" s="167"/>
      <c r="M263" s="167"/>
      <c r="N263" s="167"/>
    </row>
    <row r="264" spans="3:14" x14ac:dyDescent="0.35">
      <c r="C264" s="167"/>
      <c r="D264" s="167"/>
      <c r="E264" s="167"/>
      <c r="F264" s="167"/>
      <c r="G264" s="167"/>
      <c r="H264" s="167"/>
      <c r="I264" s="167"/>
      <c r="J264" s="167"/>
      <c r="K264" s="167"/>
      <c r="L264" s="167"/>
      <c r="M264" s="167"/>
      <c r="N264" s="167"/>
    </row>
    <row r="265" spans="3:14" x14ac:dyDescent="0.35">
      <c r="C265" s="167"/>
      <c r="D265" s="167"/>
      <c r="E265" s="167"/>
      <c r="F265" s="167"/>
      <c r="G265" s="167"/>
      <c r="H265" s="167"/>
      <c r="I265" s="167"/>
      <c r="J265" s="167"/>
      <c r="K265" s="167"/>
      <c r="L265" s="167"/>
      <c r="M265" s="167"/>
      <c r="N265" s="167"/>
    </row>
    <row r="266" spans="3:14" x14ac:dyDescent="0.35">
      <c r="C266" s="167"/>
      <c r="D266" s="167"/>
      <c r="E266" s="167"/>
      <c r="F266" s="167"/>
      <c r="G266" s="167"/>
      <c r="H266" s="167"/>
      <c r="I266" s="167"/>
      <c r="J266" s="167"/>
      <c r="K266" s="167"/>
      <c r="L266" s="167"/>
      <c r="M266" s="167"/>
      <c r="N266" s="167"/>
    </row>
    <row r="267" spans="3:14" x14ac:dyDescent="0.35">
      <c r="C267" s="167"/>
      <c r="D267" s="167"/>
      <c r="E267" s="167"/>
      <c r="F267" s="167"/>
      <c r="G267" s="167"/>
      <c r="H267" s="167"/>
      <c r="I267" s="167"/>
      <c r="J267" s="167"/>
      <c r="K267" s="167"/>
      <c r="L267" s="167"/>
      <c r="M267" s="167"/>
      <c r="N267" s="167"/>
    </row>
    <row r="268" spans="3:14" x14ac:dyDescent="0.35">
      <c r="C268" s="167"/>
      <c r="D268" s="167"/>
      <c r="E268" s="167"/>
      <c r="F268" s="167"/>
      <c r="G268" s="167"/>
      <c r="H268" s="167"/>
      <c r="I268" s="167"/>
      <c r="J268" s="167"/>
      <c r="K268" s="167"/>
      <c r="L268" s="167"/>
      <c r="M268" s="167"/>
      <c r="N268" s="167"/>
    </row>
    <row r="269" spans="3:14" x14ac:dyDescent="0.35">
      <c r="C269" s="167"/>
      <c r="D269" s="167"/>
      <c r="E269" s="167"/>
      <c r="F269" s="167"/>
      <c r="G269" s="167"/>
      <c r="H269" s="167"/>
      <c r="I269" s="167"/>
      <c r="J269" s="167"/>
      <c r="K269" s="167"/>
      <c r="L269" s="167"/>
      <c r="M269" s="167"/>
      <c r="N269" s="167"/>
    </row>
    <row r="270" spans="3:14" x14ac:dyDescent="0.35">
      <c r="C270" s="167"/>
      <c r="D270" s="167"/>
      <c r="E270" s="167"/>
      <c r="F270" s="167"/>
      <c r="G270" s="167"/>
      <c r="H270" s="167"/>
      <c r="I270" s="167"/>
      <c r="J270" s="167"/>
      <c r="K270" s="167"/>
      <c r="L270" s="167"/>
      <c r="M270" s="167"/>
      <c r="N270" s="167"/>
    </row>
    <row r="271" spans="3:14" x14ac:dyDescent="0.35">
      <c r="C271" s="167"/>
      <c r="D271" s="167"/>
      <c r="E271" s="167"/>
      <c r="F271" s="167"/>
      <c r="G271" s="167"/>
      <c r="H271" s="167"/>
      <c r="I271" s="167"/>
      <c r="J271" s="167"/>
      <c r="K271" s="167"/>
      <c r="L271" s="167"/>
      <c r="M271" s="167"/>
      <c r="N271" s="167"/>
    </row>
    <row r="272" spans="3:14" x14ac:dyDescent="0.35">
      <c r="C272" s="167"/>
      <c r="D272" s="167"/>
      <c r="E272" s="167"/>
      <c r="F272" s="167"/>
      <c r="G272" s="167"/>
      <c r="H272" s="167"/>
      <c r="I272" s="167"/>
      <c r="J272" s="167"/>
      <c r="K272" s="167"/>
      <c r="L272" s="167"/>
      <c r="M272" s="167"/>
      <c r="N272" s="167"/>
    </row>
    <row r="273" spans="3:14" x14ac:dyDescent="0.35">
      <c r="C273" s="167"/>
      <c r="D273" s="167"/>
      <c r="E273" s="167"/>
      <c r="F273" s="167"/>
      <c r="G273" s="167"/>
      <c r="H273" s="167"/>
      <c r="I273" s="167"/>
      <c r="J273" s="167"/>
      <c r="K273" s="167"/>
      <c r="L273" s="167"/>
      <c r="M273" s="167"/>
      <c r="N273" s="167"/>
    </row>
    <row r="274" spans="3:14" x14ac:dyDescent="0.35">
      <c r="C274" s="167"/>
      <c r="D274" s="167"/>
      <c r="E274" s="167"/>
      <c r="F274" s="167"/>
      <c r="G274" s="167"/>
      <c r="H274" s="167"/>
      <c r="I274" s="167"/>
      <c r="J274" s="167"/>
      <c r="K274" s="167"/>
      <c r="L274" s="167"/>
      <c r="M274" s="167"/>
      <c r="N274" s="167"/>
    </row>
    <row r="275" spans="3:14" x14ac:dyDescent="0.35">
      <c r="C275" s="167"/>
      <c r="D275" s="167"/>
      <c r="E275" s="167"/>
      <c r="F275" s="167"/>
      <c r="G275" s="167"/>
      <c r="H275" s="167"/>
      <c r="I275" s="167"/>
      <c r="J275" s="167"/>
      <c r="K275" s="167"/>
      <c r="L275" s="167"/>
      <c r="M275" s="167"/>
      <c r="N275" s="167"/>
    </row>
    <row r="276" spans="3:14" x14ac:dyDescent="0.35">
      <c r="C276" s="167"/>
      <c r="D276" s="167"/>
      <c r="E276" s="167"/>
      <c r="F276" s="167"/>
      <c r="G276" s="167"/>
      <c r="H276" s="167"/>
      <c r="I276" s="167"/>
      <c r="J276" s="167"/>
      <c r="K276" s="167"/>
      <c r="L276" s="167"/>
      <c r="M276" s="167"/>
      <c r="N276" s="167"/>
    </row>
    <row r="277" spans="3:14" x14ac:dyDescent="0.35">
      <c r="C277" s="167"/>
      <c r="D277" s="167"/>
      <c r="E277" s="167"/>
      <c r="F277" s="167"/>
      <c r="G277" s="167"/>
      <c r="H277" s="167"/>
      <c r="I277" s="167"/>
      <c r="J277" s="167"/>
      <c r="K277" s="167"/>
      <c r="L277" s="167"/>
      <c r="M277" s="167"/>
      <c r="N277" s="167"/>
    </row>
    <row r="278" spans="3:14" x14ac:dyDescent="0.35">
      <c r="C278" s="167"/>
      <c r="D278" s="167"/>
      <c r="E278" s="167"/>
      <c r="F278" s="167"/>
      <c r="G278" s="167"/>
      <c r="H278" s="167"/>
      <c r="I278" s="167"/>
      <c r="J278" s="167"/>
      <c r="K278" s="167"/>
      <c r="L278" s="167"/>
      <c r="M278" s="167"/>
      <c r="N278" s="167"/>
    </row>
    <row r="279" spans="3:14" x14ac:dyDescent="0.35">
      <c r="C279" s="167"/>
      <c r="D279" s="167"/>
      <c r="E279" s="167"/>
      <c r="F279" s="167"/>
      <c r="G279" s="167"/>
      <c r="H279" s="167"/>
      <c r="I279" s="167"/>
      <c r="J279" s="167"/>
      <c r="K279" s="167"/>
      <c r="L279" s="167"/>
      <c r="M279" s="167"/>
      <c r="N279" s="167"/>
    </row>
  </sheetData>
  <autoFilter ref="C1:P64" xr:uid="{00000000-0009-0000-0000-000003000000}"/>
  <conditionalFormatting sqref="O65:O1048576 O1:O63">
    <cfRule type="cellIs" dxfId="3" priority="1" operator="equal">
      <formula>3</formula>
    </cfRule>
    <cfRule type="cellIs" dxfId="2" priority="5" operator="equal">
      <formula>2</formula>
    </cfRule>
    <cfRule type="cellIs" dxfId="1" priority="6" operator="equal">
      <formula>4</formula>
    </cfRule>
    <cfRule type="cellIs" dxfId="0" priority="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6" r:id="rId4" name="Button 12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>
    <tabColor theme="1" tint="4.9989318521683403E-2"/>
  </sheetPr>
  <dimension ref="A1:BJ323"/>
  <sheetViews>
    <sheetView topLeftCell="A4" zoomScaleNormal="100" workbookViewId="0">
      <selection activeCell="M10" sqref="M10"/>
    </sheetView>
  </sheetViews>
  <sheetFormatPr defaultRowHeight="21" x14ac:dyDescent="0.35"/>
  <cols>
    <col min="1" max="1" width="1.6328125" style="190" customWidth="1"/>
    <col min="2" max="15" width="11.6328125" style="139" customWidth="1"/>
    <col min="16" max="16" width="2.7265625" style="139" customWidth="1"/>
    <col min="17" max="24" width="11.6328125" style="139" hidden="1" customWidth="1"/>
    <col min="25" max="25" width="2.54296875" style="139" hidden="1" customWidth="1"/>
    <col min="26" max="40" width="11.6328125" style="139" hidden="1" customWidth="1"/>
    <col min="41" max="41" width="2.54296875" style="139" customWidth="1"/>
    <col min="42" max="57" width="11.6328125" style="139" customWidth="1"/>
    <col min="58" max="60" width="8.7265625" style="139"/>
    <col min="61" max="61" width="8.6328125" style="139" customWidth="1"/>
    <col min="62" max="62" width="12.81640625" style="139" bestFit="1" customWidth="1"/>
    <col min="63" max="63" width="10.26953125" style="139" bestFit="1" customWidth="1"/>
    <col min="64" max="67" width="8.6328125" style="139" customWidth="1"/>
    <col min="68" max="68" width="10.7265625" style="139" bestFit="1" customWidth="1"/>
    <col min="69" max="70" width="8.6328125" style="139" customWidth="1"/>
    <col min="71" max="16384" width="8.7265625" style="139"/>
  </cols>
  <sheetData>
    <row r="1" spans="2:62" ht="24.95" customHeight="1" thickBot="1" x14ac:dyDescent="0.4">
      <c r="B1" s="143" t="s">
        <v>109</v>
      </c>
      <c r="C1" s="144">
        <v>300</v>
      </c>
      <c r="D1" s="530" t="s">
        <v>70</v>
      </c>
      <c r="E1" s="531" t="s">
        <v>155</v>
      </c>
      <c r="F1" s="532"/>
      <c r="G1" s="532"/>
      <c r="H1" s="532"/>
      <c r="I1" s="532"/>
      <c r="J1" s="532"/>
      <c r="K1" s="532"/>
      <c r="L1" s="533"/>
    </row>
    <row r="2" spans="2:62" ht="24.95" customHeight="1" thickBot="1" x14ac:dyDescent="0.4">
      <c r="B2" s="68" t="s">
        <v>110</v>
      </c>
      <c r="C2" s="69">
        <v>1000</v>
      </c>
      <c r="D2" s="530"/>
      <c r="E2" s="140" t="s">
        <v>41</v>
      </c>
      <c r="F2" s="141" t="s">
        <v>42</v>
      </c>
      <c r="G2" s="141" t="s">
        <v>43</v>
      </c>
      <c r="H2" s="141" t="s">
        <v>44</v>
      </c>
      <c r="I2" s="141" t="s">
        <v>45</v>
      </c>
      <c r="J2" s="141" t="s">
        <v>46</v>
      </c>
      <c r="K2" s="141" t="s">
        <v>47</v>
      </c>
      <c r="L2" s="142" t="s">
        <v>48</v>
      </c>
      <c r="AZ2" s="534"/>
    </row>
    <row r="3" spans="2:62" ht="24.95" customHeight="1" x14ac:dyDescent="0.35">
      <c r="B3" s="352">
        <v>8.3145000000000007</v>
      </c>
      <c r="E3" s="353">
        <v>-1.3586866317878405</v>
      </c>
      <c r="F3" s="354">
        <v>38.768510038576053</v>
      </c>
      <c r="G3" s="353">
        <v>9.9832822178122544</v>
      </c>
      <c r="H3" s="354">
        <v>0</v>
      </c>
      <c r="I3" s="353">
        <v>0.30389873228389108</v>
      </c>
      <c r="J3" s="354">
        <v>0</v>
      </c>
      <c r="K3" s="353">
        <v>0</v>
      </c>
      <c r="L3" s="354">
        <v>0</v>
      </c>
      <c r="AP3" s="345"/>
      <c r="AZ3" s="534"/>
    </row>
    <row r="4" spans="2:62" ht="24.95" customHeight="1" thickBot="1" x14ac:dyDescent="0.4">
      <c r="B4" s="147"/>
    </row>
    <row r="5" spans="2:62" ht="24.95" customHeight="1" thickBot="1" x14ac:dyDescent="0.45">
      <c r="B5" s="529" t="s">
        <v>171</v>
      </c>
      <c r="C5" s="529"/>
      <c r="D5" s="149"/>
      <c r="E5" s="535" t="s">
        <v>154</v>
      </c>
      <c r="F5" s="536"/>
      <c r="G5" s="536"/>
      <c r="H5" s="536"/>
      <c r="I5" s="536"/>
      <c r="J5" s="536"/>
      <c r="K5" s="536"/>
      <c r="L5" s="537"/>
    </row>
    <row r="6" spans="2:62" ht="24.95" customHeight="1" thickBot="1" x14ac:dyDescent="0.4">
      <c r="B6" s="364" t="s">
        <v>172</v>
      </c>
      <c r="C6" s="365" t="s">
        <v>173</v>
      </c>
      <c r="D6" s="149"/>
      <c r="E6" s="140" t="s">
        <v>41</v>
      </c>
      <c r="F6" s="141" t="s">
        <v>42</v>
      </c>
      <c r="G6" s="141" t="s">
        <v>43</v>
      </c>
      <c r="H6" s="141" t="s">
        <v>44</v>
      </c>
      <c r="I6" s="141" t="s">
        <v>45</v>
      </c>
      <c r="J6" s="141" t="s">
        <v>46</v>
      </c>
      <c r="K6" s="141" t="s">
        <v>47</v>
      </c>
      <c r="L6" s="142" t="s">
        <v>48</v>
      </c>
      <c r="N6" s="283"/>
      <c r="O6" s="283"/>
      <c r="P6" s="283"/>
      <c r="Q6" s="283"/>
      <c r="R6" s="283"/>
      <c r="S6" s="283"/>
      <c r="T6" s="283"/>
      <c r="BJ6" s="132"/>
    </row>
    <row r="7" spans="2:62" ht="24.95" customHeight="1" thickTop="1" x14ac:dyDescent="0.35">
      <c r="B7" s="367">
        <f>SUM(AP47:AS47)</f>
        <v>-330.95435614374537</v>
      </c>
      <c r="C7" s="366">
        <f>SUM(AT47:AW47)</f>
        <v>272.95853897432403</v>
      </c>
      <c r="E7" s="355">
        <v>-1.3586866317878405</v>
      </c>
      <c r="F7" s="356">
        <v>18.364758562217371</v>
      </c>
      <c r="G7" s="355">
        <v>2.0299476817607793</v>
      </c>
      <c r="H7" s="356">
        <v>2.736243911239401E-3</v>
      </c>
      <c r="I7" s="355">
        <v>-6.5765806573927721E-2</v>
      </c>
      <c r="J7" s="356">
        <v>61.455288953033858</v>
      </c>
      <c r="K7" s="355">
        <v>-80.11305550544229</v>
      </c>
      <c r="L7" s="356">
        <v>0</v>
      </c>
    </row>
    <row r="8" spans="2:62" ht="24.95" customHeight="1" thickBot="1" x14ac:dyDescent="0.4">
      <c r="B8" s="147"/>
    </row>
    <row r="9" spans="2:62" ht="24.95" customHeight="1" thickBot="1" x14ac:dyDescent="0.4">
      <c r="B9" s="148"/>
      <c r="E9" s="538">
        <v>2</v>
      </c>
      <c r="F9" s="539"/>
      <c r="G9" s="539"/>
      <c r="H9" s="539"/>
      <c r="I9" s="539"/>
      <c r="J9" s="539"/>
      <c r="K9" s="539"/>
      <c r="L9" s="540"/>
      <c r="U9" s="135"/>
      <c r="V9" s="135"/>
      <c r="W9" s="135"/>
      <c r="X9" s="135"/>
      <c r="Y9" s="135"/>
      <c r="Z9" s="135"/>
      <c r="AA9" s="135"/>
      <c r="AB9" s="135"/>
    </row>
    <row r="10" spans="2:62" ht="24.95" customHeight="1" thickBot="1" x14ac:dyDescent="0.4">
      <c r="B10" s="148"/>
      <c r="D10" s="139" t="s">
        <v>111</v>
      </c>
      <c r="E10" s="145">
        <v>0</v>
      </c>
      <c r="F10" s="145">
        <v>1</v>
      </c>
      <c r="G10" s="145" t="s">
        <v>106</v>
      </c>
      <c r="H10" s="145">
        <v>2</v>
      </c>
      <c r="I10" s="145">
        <v>3</v>
      </c>
      <c r="J10" s="145"/>
      <c r="K10" s="145"/>
      <c r="L10" s="145"/>
    </row>
    <row r="11" spans="2:62" ht="24.95" customHeight="1" thickTop="1" x14ac:dyDescent="0.35">
      <c r="B11" s="148"/>
      <c r="D11" s="139" t="s">
        <v>107</v>
      </c>
      <c r="E11" s="133">
        <v>-6657.6530000000002</v>
      </c>
      <c r="F11" s="134">
        <v>92.539694999999995</v>
      </c>
      <c r="G11" s="135">
        <v>-19.14</v>
      </c>
      <c r="H11" s="135">
        <v>-1.2295E-2</v>
      </c>
      <c r="I11" s="135">
        <v>2.6766599999999999E-6</v>
      </c>
      <c r="J11" s="135"/>
      <c r="K11" s="135"/>
      <c r="L11" s="135"/>
    </row>
    <row r="12" spans="2:62" ht="24.95" customHeight="1" x14ac:dyDescent="0.35">
      <c r="B12" s="148"/>
      <c r="E12" s="139">
        <v>-398698</v>
      </c>
      <c r="F12" s="139">
        <f>E12/8.3145/10000</f>
        <v>-4.7952131817908468</v>
      </c>
    </row>
    <row r="13" spans="2:62" ht="24.95" customHeight="1" x14ac:dyDescent="0.35">
      <c r="B13" s="148"/>
    </row>
    <row r="14" spans="2:62" ht="24.95" customHeight="1" x14ac:dyDescent="0.35">
      <c r="B14" s="148"/>
    </row>
    <row r="15" spans="2:62" ht="24.95" customHeight="1" x14ac:dyDescent="0.35">
      <c r="B15" s="148"/>
    </row>
    <row r="16" spans="2:62" ht="24.95" customHeight="1" x14ac:dyDescent="0.35">
      <c r="B16" s="148"/>
    </row>
    <row r="17" spans="2:2" ht="24.95" customHeight="1" x14ac:dyDescent="0.35">
      <c r="B17" s="148"/>
    </row>
    <row r="18" spans="2:2" ht="24.95" customHeight="1" x14ac:dyDescent="0.35">
      <c r="B18" s="148"/>
    </row>
    <row r="19" spans="2:2" ht="24.95" customHeight="1" x14ac:dyDescent="0.35">
      <c r="B19" s="148"/>
    </row>
    <row r="20" spans="2:2" ht="24.95" customHeight="1" x14ac:dyDescent="0.35">
      <c r="B20" s="148"/>
    </row>
    <row r="21" spans="2:2" ht="24.95" customHeight="1" x14ac:dyDescent="0.35">
      <c r="B21" s="148"/>
    </row>
    <row r="22" spans="2:2" ht="24.95" customHeight="1" x14ac:dyDescent="0.35">
      <c r="B22" s="148"/>
    </row>
    <row r="23" spans="2:2" ht="24.95" customHeight="1" x14ac:dyDescent="0.35">
      <c r="B23" s="148"/>
    </row>
    <row r="24" spans="2:2" ht="24.95" customHeight="1" x14ac:dyDescent="0.35">
      <c r="B24" s="148"/>
    </row>
    <row r="25" spans="2:2" ht="24.95" customHeight="1" x14ac:dyDescent="0.35">
      <c r="B25" s="148"/>
    </row>
    <row r="26" spans="2:2" ht="24.95" customHeight="1" x14ac:dyDescent="0.35">
      <c r="B26" s="148"/>
    </row>
    <row r="27" spans="2:2" ht="24.95" customHeight="1" x14ac:dyDescent="0.35">
      <c r="B27" s="148"/>
    </row>
    <row r="28" spans="2:2" ht="24.95" customHeight="1" x14ac:dyDescent="0.35">
      <c r="B28" s="148"/>
    </row>
    <row r="29" spans="2:2" ht="24.95" customHeight="1" x14ac:dyDescent="0.35">
      <c r="B29" s="148"/>
    </row>
    <row r="30" spans="2:2" ht="24.95" customHeight="1" x14ac:dyDescent="0.35">
      <c r="B30" s="148"/>
    </row>
    <row r="31" spans="2:2" ht="24.95" customHeight="1" x14ac:dyDescent="0.35">
      <c r="B31" s="148"/>
    </row>
    <row r="32" spans="2:2" ht="24.95" customHeight="1" x14ac:dyDescent="0.35">
      <c r="B32" s="148"/>
    </row>
    <row r="33" spans="1:49" ht="24.95" customHeight="1" x14ac:dyDescent="0.35">
      <c r="B33" s="148"/>
    </row>
    <row r="34" spans="1:49" ht="24.95" customHeight="1" x14ac:dyDescent="0.35">
      <c r="B34" s="148"/>
    </row>
    <row r="35" spans="1:49" ht="24.95" customHeight="1" x14ac:dyDescent="0.35">
      <c r="B35" s="148"/>
    </row>
    <row r="36" spans="1:49" ht="24.95" customHeight="1" x14ac:dyDescent="0.35">
      <c r="B36" s="148"/>
    </row>
    <row r="37" spans="1:49" ht="24.95" customHeight="1" x14ac:dyDescent="0.35">
      <c r="B37" s="148"/>
    </row>
    <row r="38" spans="1:49" ht="24.95" customHeight="1" x14ac:dyDescent="0.35">
      <c r="B38" s="148"/>
    </row>
    <row r="39" spans="1:49" ht="24.95" customHeight="1" x14ac:dyDescent="0.35">
      <c r="B39" s="148"/>
    </row>
    <row r="40" spans="1:49" ht="24.95" customHeight="1" x14ac:dyDescent="0.35">
      <c r="B40" s="148"/>
      <c r="E40" s="363"/>
      <c r="F40" s="363"/>
      <c r="G40" s="363"/>
      <c r="H40" s="363"/>
      <c r="I40" s="363"/>
      <c r="J40" s="363"/>
      <c r="K40" s="363"/>
      <c r="L40" s="363"/>
    </row>
    <row r="41" spans="1:49" ht="24.95" customHeight="1" x14ac:dyDescent="0.35">
      <c r="B41" s="148"/>
      <c r="F41" s="362"/>
    </row>
    <row r="43" spans="1:49" x14ac:dyDescent="0.35">
      <c r="C43" s="138"/>
    </row>
    <row r="47" spans="1:49" ht="21.75" thickBot="1" x14ac:dyDescent="0.4">
      <c r="D47" s="137"/>
      <c r="Q47" s="528" t="s">
        <v>165</v>
      </c>
      <c r="R47" s="528"/>
      <c r="S47" s="528"/>
      <c r="T47" s="528"/>
      <c r="U47" s="528"/>
      <c r="V47" s="528"/>
      <c r="W47" s="528"/>
      <c r="X47" s="528"/>
      <c r="Z47" s="361" t="s">
        <v>164</v>
      </c>
      <c r="AA47" s="361"/>
      <c r="AB47" s="361"/>
      <c r="AC47" s="361"/>
      <c r="AD47" s="361"/>
      <c r="AE47" s="361"/>
      <c r="AF47" s="361"/>
      <c r="AG47" s="361"/>
      <c r="AP47" s="149">
        <f>SUM(AP49:AP327)/1000</f>
        <v>-8.3825625656629127E-2</v>
      </c>
      <c r="AQ47" s="149">
        <f t="shared" ref="AQ47:AS47" si="0">SUM(AQ49:AQ327)</f>
        <v>-143.98675163641664</v>
      </c>
      <c r="AR47" s="149">
        <f t="shared" si="0"/>
        <v>32.715372465099577</v>
      </c>
      <c r="AS47" s="149">
        <f t="shared" si="0"/>
        <v>-219.59915134677166</v>
      </c>
      <c r="AT47" s="149">
        <f>SUM(AT49:AT327)/AT49</f>
        <v>62.814838117065449</v>
      </c>
      <c r="AU47" s="149">
        <f t="shared" ref="AU47:AV47" si="1">SUM(AU49:AU327)/AU49</f>
        <v>115.53911913690204</v>
      </c>
      <c r="AV47" s="149">
        <f t="shared" si="1"/>
        <v>94.604581720356492</v>
      </c>
      <c r="AW47" s="149">
        <f>SUM(AW49:AW327)</f>
        <v>0</v>
      </c>
    </row>
    <row r="48" spans="1:49" ht="24.75" thickTop="1" thickBot="1" x14ac:dyDescent="0.4">
      <c r="A48" s="350"/>
      <c r="B48" s="351" t="s">
        <v>108</v>
      </c>
      <c r="C48" s="351">
        <f>COUNTA(A50:A321)</f>
        <v>74</v>
      </c>
      <c r="D48" s="359" t="s">
        <v>146</v>
      </c>
      <c r="E48" s="359" t="s">
        <v>147</v>
      </c>
      <c r="F48" s="359" t="s">
        <v>148</v>
      </c>
      <c r="G48" s="359" t="s">
        <v>149</v>
      </c>
      <c r="H48" s="351" t="s">
        <v>150</v>
      </c>
      <c r="I48" s="351" t="s">
        <v>151</v>
      </c>
      <c r="J48" s="351" t="s">
        <v>152</v>
      </c>
      <c r="K48" s="351" t="s">
        <v>153</v>
      </c>
      <c r="L48" s="358" t="s">
        <v>160</v>
      </c>
      <c r="M48" s="358" t="s">
        <v>161</v>
      </c>
      <c r="N48" s="358" t="s">
        <v>162</v>
      </c>
      <c r="O48" s="358" t="s">
        <v>163</v>
      </c>
      <c r="Q48" s="360">
        <f t="shared" ref="Q48:X48" si="2">E10</f>
        <v>0</v>
      </c>
      <c r="R48" s="360">
        <f t="shared" si="2"/>
        <v>1</v>
      </c>
      <c r="S48" s="360" t="str">
        <f t="shared" si="2"/>
        <v>п</v>
      </c>
      <c r="T48" s="360">
        <f t="shared" si="2"/>
        <v>2</v>
      </c>
      <c r="U48" s="360">
        <f t="shared" si="2"/>
        <v>3</v>
      </c>
      <c r="V48" s="360">
        <f t="shared" si="2"/>
        <v>0</v>
      </c>
      <c r="W48" s="360">
        <f t="shared" si="2"/>
        <v>0</v>
      </c>
      <c r="X48" s="360">
        <f t="shared" si="2"/>
        <v>0</v>
      </c>
      <c r="Z48" s="351">
        <f t="shared" ref="Z48:AG48" si="3">E10</f>
        <v>0</v>
      </c>
      <c r="AA48" s="351">
        <f t="shared" si="3"/>
        <v>1</v>
      </c>
      <c r="AB48" s="351" t="str">
        <f t="shared" si="3"/>
        <v>п</v>
      </c>
      <c r="AC48" s="351">
        <f t="shared" si="3"/>
        <v>2</v>
      </c>
      <c r="AD48" s="351">
        <f t="shared" si="3"/>
        <v>3</v>
      </c>
      <c r="AE48" s="351">
        <f t="shared" si="3"/>
        <v>0</v>
      </c>
      <c r="AF48" s="351">
        <f t="shared" si="3"/>
        <v>0</v>
      </c>
      <c r="AG48" s="351">
        <f t="shared" si="3"/>
        <v>0</v>
      </c>
      <c r="AP48" s="351" t="s">
        <v>156</v>
      </c>
      <c r="AQ48" s="351" t="s">
        <v>158</v>
      </c>
      <c r="AR48" s="351" t="s">
        <v>157</v>
      </c>
      <c r="AS48" s="351" t="s">
        <v>159</v>
      </c>
      <c r="AT48" s="368" t="s">
        <v>167</v>
      </c>
      <c r="AU48" s="368" t="s">
        <v>166</v>
      </c>
      <c r="AV48" s="368" t="s">
        <v>168</v>
      </c>
      <c r="AW48" s="368" t="s">
        <v>169</v>
      </c>
    </row>
    <row r="49" spans="1:50" x14ac:dyDescent="0.35">
      <c r="B49" s="66">
        <f>$C$1</f>
        <v>300</v>
      </c>
      <c r="C49" s="118">
        <f t="shared" ref="C49" si="4">B49/10000</f>
        <v>0.03</v>
      </c>
      <c r="D49" s="349">
        <f>10000*$B$3*(C49*$G$3-$H$3*2/C49+$J$3*C49^2+$K$3*2*C49^3+$L$3*3*C49^4-$I$3+$E$3)</f>
        <v>-113333.86009574412</v>
      </c>
      <c r="E49" s="146">
        <f>$B$3*($F$3+$G$3+$G$3*LN(C49)-$H$3/C49^2+$J$3*2*C49+$K$3*3*C49^2+$L$3*4*C49^3)</f>
        <v>114.28143189079817</v>
      </c>
      <c r="F49" s="136">
        <f>($E$3-C49*($F$3+$G$3*LN(C49)+$H$3*C49^(-2)+$I$3*C49^(-1)+$J$3*C49+$K$3*C49^2+$L$3*C49^3))*$B$3*10000</f>
        <v>-147618.28966298359</v>
      </c>
      <c r="G49" s="146">
        <f>$B$3*($G$3+2*$H$3*C49^(-2)+2*$J$3*C49+ 6*$K$3*C49^2+ 12*$L$3*C49^3)</f>
        <v>83.006</v>
      </c>
      <c r="H49" s="349">
        <f t="shared" ref="H49:H80" si="5">10000*$B$3*(C49*$G$7-$H$7*2/C49+$J$7*C49^2+$K$7*2*C49^3+$L$7*3*C49^4-$I$7+$E$7)</f>
        <v>-113364.46601241078</v>
      </c>
      <c r="I49" s="146">
        <f t="shared" ref="I49:I80" si="6">$B$3*($F$7+$G$7+$G$7*LN(C49)-$H$7/C49^2+$J$7*2*C49+$K$7*3*C49^2+$L$7*4*C49^3)</f>
        <v>113.96949754125635</v>
      </c>
      <c r="J49" s="136">
        <f t="shared" ref="J49:J80" si="7">($E$7-C49*($F$7+$G$7*LN(C49)+$H$7*C49^(-2)+$I$7*C49^(-1)+$J$7*C49+$K$7*C49^2+$L$7*C49^3))*$B$3*10000</f>
        <v>-147555.31527478769</v>
      </c>
      <c r="K49" s="146">
        <f t="shared" ref="K49:K80" si="8">$B$3*($G$7+2*$H$7*C49^(-2)+2*$J$7*C49+ 6*$K$7*C49^2+ 12*$L$7*C49^3)</f>
        <v>94.495926666666676</v>
      </c>
      <c r="L49" s="146">
        <f>N49+M49*B49</f>
        <v>46.357360000005428</v>
      </c>
      <c r="M49" s="146">
        <f>-SUM(Q49:X49)</f>
        <v>42.425003364919704</v>
      </c>
      <c r="N49" s="134">
        <f>SUM(Z49:AG49)</f>
        <v>-12681.143649475905</v>
      </c>
      <c r="O49" s="134"/>
      <c r="Q49" s="139">
        <f t="shared" ref="Q49:Q80" si="9">IF( OR( E$10="д",E$10="l"),E$11/$B49,  IF( OR( E$10="g",E$10="п"),E$11*(LN($B49)+1),  $B49^(E$10-1)*E$10*E$11))</f>
        <v>0</v>
      </c>
      <c r="R49" s="139">
        <f t="shared" ref="R49:R80" si="10">IF( OR( F$10="д",F$10="l"),F$11/$B49,  IF( OR( F$10="g",F$10="п"),F$11*(LN($B49)+1),  $B49^(F$10-1)*F$10*F$11))</f>
        <v>92.539694999999995</v>
      </c>
      <c r="S49" s="139">
        <f t="shared" ref="S49:S80" si="11">IF( OR( G$10="д",G$10="l"),G$11/$B49,  IF( OR( G$10="g",G$10="п"),G$11*(LN($B49)+1),  $B49^(G$10-1)*G$10*G$11))</f>
        <v>-128.3103965649197</v>
      </c>
      <c r="T49" s="139">
        <f t="shared" ref="T49:T80" si="12">IF( OR( H$10="д",H$10="l"),H$11/$B49,  IF( OR( H$10="g",H$10="п"),H$11*(LN($B49)+1),  $B49^(H$10-1)*H$10*H$11))</f>
        <v>-7.3770000000000007</v>
      </c>
      <c r="U49" s="139">
        <f t="shared" ref="U49:U80" si="13">IF( OR( I$10="д",I$10="l"),I$11/$B49,  IF( OR( I$10="g",I$10="п"),I$11*(LN($B49)+1),  $B49^(I$10-1)*I$10*I$11))</f>
        <v>0.72269819999999996</v>
      </c>
      <c r="V49" s="139">
        <f t="shared" ref="V49:V80" si="14">IF( OR( J$10="д",J$10="l"),J$11/$B49,  IF( OR( J$10="g",J$10="п"),J$11*(LN($B49)+1),  $B49^(J$10-1)*J$10*J$11))</f>
        <v>0</v>
      </c>
      <c r="W49" s="139">
        <f t="shared" ref="W49:W80" si="15">IF( OR( K$10="д",K$10="l"),K$11/$B49,  IF( OR( K$10="g",K$10="п"),K$11*(LN($B49)+1),  $B49^(K$10-1)*K$10*K$11))</f>
        <v>0</v>
      </c>
      <c r="X49" s="139">
        <f t="shared" ref="X49:X80" si="16">IF( OR( L$10="д",L$10="l"),L$11/$B49,  IF( OR( L$10="g",L$10="п"),L$11*(LN($B49)+1),  $B49^(L$10-1)*L$10*L$11))</f>
        <v>0</v>
      </c>
      <c r="Z49" s="139">
        <f t="shared" ref="Z49:Z80" si="17">IF( OR( E$10="д",E$10="l"),E$11*LN($B49),  IF( OR( E$10="g",E$10="п"),E$11*$B49*LN($B49),  ($B49^E$10)*E$11))</f>
        <v>-6657.6530000000002</v>
      </c>
      <c r="AA49" s="139">
        <f t="shared" ref="AA49:AA80" si="18">IF( OR( F$10="д",F$10="l"),F$11*LN($B49),  IF( OR( F$10="g",F$10="п"),F$11*$B49*LN($B49),  ($B49^F$10)*F$11))</f>
        <v>27761.908499999998</v>
      </c>
      <c r="AB49" s="139">
        <f t="shared" ref="AB49:AB80" si="19">IF( OR( G$10="д",G$10="l"),G$11*LN($B49),  IF( OR( G$10="g",G$10="п"),G$11*$B49*LN($B49),  ($B49^G$10)*G$11))</f>
        <v>-32751.118969475905</v>
      </c>
      <c r="AC49" s="139">
        <f t="shared" ref="AC49:AC80" si="20">IF( OR( H$10="д",H$10="l"),H$11*LN($B49),  IF( OR( H$10="g",H$10="п"),H$11*$B49*LN($B49),  ($B49^H$10)*H$11))</f>
        <v>-1106.55</v>
      </c>
      <c r="AD49" s="139">
        <f t="shared" ref="AD49:AD80" si="21">IF( OR( I$10="д",I$10="l"),I$11*LN($B49),  IF( OR( I$10="g",I$10="п"),I$11*$B49*LN($B49),  ($B49^I$10)*I$11))</f>
        <v>72.269819999999996</v>
      </c>
      <c r="AE49" s="139">
        <f t="shared" ref="AE49:AE80" si="22">IF( OR( J$10="д",J$10="l"),J$11*LN($B49),  IF( OR( J$10="g",J$10="п"),J$11*$B49*LN($B49),  ($B49^J$10)*J$11))</f>
        <v>0</v>
      </c>
      <c r="AF49" s="139">
        <f t="shared" ref="AF49:AF80" si="23">IF( OR( K$10="д",K$10="l"),K$11*LN($B49),  IF( OR( K$10="g",K$10="п"),K$11*$B49*LN($B49),  ($B49^K$10)*K$11))</f>
        <v>0</v>
      </c>
      <c r="AG49" s="139">
        <f t="shared" ref="AG49:AG80" si="24">IF( OR( L$10="д",L$10="l"),L$11*LN($B49),  IF( OR( L$10="g",L$10="п"),L$11*$B49*LN($B49),  ($B49^L$10)*L$11))</f>
        <v>0</v>
      </c>
      <c r="AP49" s="134">
        <f>(H49-D49)/1000</f>
        <v>-3.0605916666652775E-2</v>
      </c>
      <c r="AQ49" s="134">
        <f>(I49-E49)</f>
        <v>-0.31193434954182919</v>
      </c>
      <c r="AR49" s="134">
        <f>(J49-F49)/1000</f>
        <v>6.2974388195900247E-2</v>
      </c>
      <c r="AS49" s="134">
        <f>K49-G49</f>
        <v>11.489926666666676</v>
      </c>
      <c r="AT49" s="134">
        <f>H49-L49</f>
        <v>-113410.82337241078</v>
      </c>
      <c r="AU49" s="136">
        <f>I49-M49</f>
        <v>71.544494176336642</v>
      </c>
      <c r="AV49" s="134">
        <f>J49-N49</f>
        <v>-134874.17162531178</v>
      </c>
      <c r="AX49" s="70"/>
    </row>
    <row r="50" spans="1:50" x14ac:dyDescent="0.35">
      <c r="A50" s="190" t="s">
        <v>145</v>
      </c>
      <c r="B50" s="66">
        <f t="shared" ref="B50:B81" si="25">B49+($C$2-$C$1)/$C$48</f>
        <v>309.45945945945948</v>
      </c>
      <c r="C50" s="118">
        <f t="shared" ref="C50:C52" si="26">B50/10000</f>
        <v>3.0945945945945949E-2</v>
      </c>
      <c r="D50" s="349">
        <f>10000*$B$3*(C50*$G$3-$H$3*2/C50+$J$3*C50^2+$K$3*2*C50^3+$L$3*3*C50^4-$I$3+$E$3)</f>
        <v>-112548.66820385223</v>
      </c>
      <c r="E50" s="146">
        <f>$B$3*($F$3+$G$3+$G$3*LN(C50)-$H$3/C50^2+$J$3*2*C50+$K$3*3*C50^2+$L$3*4*C50^3)</f>
        <v>116.858321758131</v>
      </c>
      <c r="F50" s="136">
        <f>($E$3-C50*($F$3+$G$3*LN(C50)+$H$3*C50^(-2)+$I$3*C50^(-1)+$J$3*C50+$K$3*C50^2+$L$3*C50^3))*$B$3*10000</f>
        <v>-148711.58128846306</v>
      </c>
      <c r="G50" s="146">
        <f>$B$3*($G$3+2*$H$3*C50^(-2)+2*$J$3*C50+ 6*$K$3*C50^2+ 12*$L$3*C50^3)</f>
        <v>83.006</v>
      </c>
      <c r="H50" s="349">
        <f t="shared" si="5"/>
        <v>-112481.71618681125</v>
      </c>
      <c r="I50" s="146">
        <f t="shared" si="6"/>
        <v>116.86674416871182</v>
      </c>
      <c r="J50" s="136">
        <f t="shared" si="7"/>
        <v>-148647.23566604775</v>
      </c>
      <c r="K50" s="146">
        <f t="shared" si="8"/>
        <v>92.188655128015995</v>
      </c>
      <c r="L50" s="146">
        <f t="shared" ref="L50:L52" si="27">N50+M50*B50</f>
        <v>284.18569984629903</v>
      </c>
      <c r="M50" s="146">
        <f t="shared" ref="M50:M52" si="28">-SUM(Q50:X50)</f>
        <v>43.205511436220668</v>
      </c>
      <c r="N50" s="134">
        <f>SUM(Z50:AG50)</f>
        <v>-13086.168514876044</v>
      </c>
      <c r="O50" s="134"/>
      <c r="Q50" s="139">
        <f t="shared" si="9"/>
        <v>0</v>
      </c>
      <c r="R50" s="139">
        <f t="shared" si="10"/>
        <v>92.539694999999995</v>
      </c>
      <c r="S50" s="139">
        <f t="shared" si="11"/>
        <v>-128.90459062391241</v>
      </c>
      <c r="T50" s="139">
        <f t="shared" si="12"/>
        <v>-7.6096081081081088</v>
      </c>
      <c r="U50" s="139">
        <f t="shared" si="13"/>
        <v>0.76899229579985406</v>
      </c>
      <c r="V50" s="139">
        <f t="shared" si="14"/>
        <v>0</v>
      </c>
      <c r="W50" s="139">
        <f t="shared" si="15"/>
        <v>0</v>
      </c>
      <c r="X50" s="139">
        <f t="shared" si="16"/>
        <v>0</v>
      </c>
      <c r="Z50" s="139">
        <f t="shared" si="17"/>
        <v>-6657.6530000000002</v>
      </c>
      <c r="AA50" s="139">
        <f t="shared" si="18"/>
        <v>28637.283993243243</v>
      </c>
      <c r="AB50" s="139">
        <f t="shared" si="19"/>
        <v>-33967.690882264797</v>
      </c>
      <c r="AC50" s="139">
        <f t="shared" si="20"/>
        <v>-1177.4326059167277</v>
      </c>
      <c r="AD50" s="139">
        <f t="shared" si="21"/>
        <v>79.323980062237197</v>
      </c>
      <c r="AE50" s="139">
        <f t="shared" si="22"/>
        <v>0</v>
      </c>
      <c r="AF50" s="139">
        <f t="shared" si="23"/>
        <v>0</v>
      </c>
      <c r="AG50" s="139">
        <f t="shared" si="24"/>
        <v>0</v>
      </c>
      <c r="AP50" s="134">
        <f>(H50-D50)/1000</f>
        <v>6.6952017040981443E-2</v>
      </c>
      <c r="AQ50" s="134">
        <f>I50-E50</f>
        <v>8.4224105808203831E-3</v>
      </c>
      <c r="AR50" s="134">
        <f>(J50-F50)/1000</f>
        <v>6.4345622415305115E-2</v>
      </c>
      <c r="AS50" s="134">
        <f>K50-G50</f>
        <v>9.1826551280159947</v>
      </c>
      <c r="AT50" s="134">
        <f t="shared" ref="AT50:AT52" si="29">H50-L50</f>
        <v>-112765.90188665755</v>
      </c>
      <c r="AU50" s="136">
        <f t="shared" ref="AU50:AU52" si="30">I50-M50</f>
        <v>73.661232732491158</v>
      </c>
      <c r="AV50" s="134">
        <f>J50-N50</f>
        <v>-135561.06715117171</v>
      </c>
      <c r="AX50" s="70"/>
    </row>
    <row r="51" spans="1:50" x14ac:dyDescent="0.35">
      <c r="A51" s="190" t="s">
        <v>145</v>
      </c>
      <c r="B51" s="66">
        <f t="shared" si="25"/>
        <v>318.91891891891896</v>
      </c>
      <c r="C51" s="118">
        <f t="shared" si="26"/>
        <v>3.1891891891891899E-2</v>
      </c>
      <c r="D51" s="349">
        <f>10000*$B$3*(C51*$G$3-$H$3*2/C51+$J$3*C51^2+$K$3*2*C51^3+$L$3*3*C51^4-$I$3+$E$3)</f>
        <v>-111763.47631196033</v>
      </c>
      <c r="E51" s="146">
        <f>$B$3*($F$3+$G$3+$G$3*LN(C51)-$H$3/C51^2+$J$3*2*C51+$K$3*3*C51^2+$L$3*4*C51^3)</f>
        <v>119.35761593906359</v>
      </c>
      <c r="F51" s="136">
        <f>($E$3-C51*($F$3+$G$3*LN(C51)+$H$3*C51^(-2)+$I$3*C51^(-1)+$J$3*C51+$K$3*C51^2+$L$3*C51^3))*$B$3*10000</f>
        <v>-149828.87815198605</v>
      </c>
      <c r="G51" s="146">
        <f>$B$3*($G$3+2*$H$3*C51^(-2)+2*$J$3*C51+ 6*$K$3*C51^2+ 12*$L$3*C51^3)</f>
        <v>83.006</v>
      </c>
      <c r="H51" s="349">
        <f t="shared" si="5"/>
        <v>-111619.53817390304</v>
      </c>
      <c r="I51" s="146">
        <f t="shared" si="6"/>
        <v>119.61124263333113</v>
      </c>
      <c r="J51" s="136">
        <f t="shared" si="7"/>
        <v>-149765.82636507353</v>
      </c>
      <c r="K51" s="146">
        <f t="shared" si="8"/>
        <v>90.141019273753429</v>
      </c>
      <c r="L51" s="146">
        <f t="shared" si="27"/>
        <v>523.32495853670662</v>
      </c>
      <c r="M51" s="146">
        <f t="shared" si="28"/>
        <v>43.96668998141557</v>
      </c>
      <c r="N51" s="134">
        <f>SUM(Z51:AG51)</f>
        <v>-13498.484278779611</v>
      </c>
      <c r="O51" s="134"/>
      <c r="Q51" s="139">
        <f t="shared" si="9"/>
        <v>0</v>
      </c>
      <c r="R51" s="139">
        <f t="shared" si="10"/>
        <v>92.539694999999995</v>
      </c>
      <c r="S51" s="139">
        <f t="shared" si="11"/>
        <v>-129.48089222407444</v>
      </c>
      <c r="T51" s="139">
        <f t="shared" si="12"/>
        <v>-7.8422162162162179</v>
      </c>
      <c r="U51" s="139">
        <f t="shared" si="13"/>
        <v>0.81672345887509157</v>
      </c>
      <c r="V51" s="139">
        <f t="shared" si="14"/>
        <v>0</v>
      </c>
      <c r="W51" s="139">
        <f t="shared" si="15"/>
        <v>0</v>
      </c>
      <c r="X51" s="139">
        <f t="shared" si="16"/>
        <v>0</v>
      </c>
      <c r="Z51" s="139">
        <f t="shared" si="17"/>
        <v>-6657.6530000000002</v>
      </c>
      <c r="AA51" s="139">
        <f t="shared" si="18"/>
        <v>29512.659486486489</v>
      </c>
      <c r="AB51" s="139">
        <f t="shared" si="19"/>
        <v>-35189.798060650777</v>
      </c>
      <c r="AC51" s="139">
        <f t="shared" si="20"/>
        <v>-1250.5155588020457</v>
      </c>
      <c r="AD51" s="139">
        <f t="shared" si="21"/>
        <v>86.822854186721443</v>
      </c>
      <c r="AE51" s="139">
        <f t="shared" si="22"/>
        <v>0</v>
      </c>
      <c r="AF51" s="139">
        <f t="shared" si="23"/>
        <v>0</v>
      </c>
      <c r="AG51" s="139">
        <f t="shared" si="24"/>
        <v>0</v>
      </c>
      <c r="AP51" s="134">
        <f>(H51-D51)/1000</f>
        <v>0.14393813805728858</v>
      </c>
      <c r="AQ51" s="134">
        <f>I51-E51</f>
        <v>0.25362669426753826</v>
      </c>
      <c r="AR51" s="134">
        <f>(J51-F51)/1000</f>
        <v>6.3051786912517852E-2</v>
      </c>
      <c r="AS51" s="134">
        <f>K51-G51</f>
        <v>7.1350192737534286</v>
      </c>
      <c r="AT51" s="134">
        <f t="shared" si="29"/>
        <v>-112142.86313243974</v>
      </c>
      <c r="AU51" s="136">
        <f t="shared" si="30"/>
        <v>75.644552651915561</v>
      </c>
      <c r="AV51" s="134">
        <f>J51-N51</f>
        <v>-136267.34208629391</v>
      </c>
      <c r="AX51" s="70"/>
    </row>
    <row r="52" spans="1:50" x14ac:dyDescent="0.35">
      <c r="A52" s="190" t="s">
        <v>145</v>
      </c>
      <c r="B52" s="66">
        <f t="shared" si="25"/>
        <v>328.37837837837844</v>
      </c>
      <c r="C52" s="118">
        <f t="shared" si="26"/>
        <v>3.2837837837837842E-2</v>
      </c>
      <c r="D52" s="349">
        <f>10000*$B$3*(C52*$G$3-$H$3*2/C52+$J$3*C52^2+$K$3*2*C52^3+$L$3*3*C52^4-$I$3+$E$3)</f>
        <v>-110978.28442006845</v>
      </c>
      <c r="E52" s="146">
        <f>$B$3*($F$3+$G$3+$G$3*LN(C52)-$H$3/C52^2+$J$3*2*C52+$K$3*3*C52^2+$L$3*4*C52^3)</f>
        <v>121.78385129703339</v>
      </c>
      <c r="F52" s="136">
        <f>($E$3-C52*($F$3+$G$3*LN(C52)+$H$3*C52^(-2)+$I$3*C52^(-1)+$J$3*C52+$K$3*C52^2+$L$3*C52^3))*$B$3*10000</f>
        <v>-150969.46802166186</v>
      </c>
      <c r="G52" s="146">
        <f>$B$3*($G$3+2*$H$3*C52^(-2)+2*$J$3*C52+ 6*$K$3*C52^2+ 12*$L$3*C52^3)</f>
        <v>83.006</v>
      </c>
      <c r="H52" s="349">
        <f t="shared" si="5"/>
        <v>-110775.62283909801</v>
      </c>
      <c r="I52" s="146">
        <f t="shared" si="6"/>
        <v>122.21906230286388</v>
      </c>
      <c r="J52" s="136">
        <f t="shared" si="7"/>
        <v>-150909.72032503845</v>
      </c>
      <c r="K52" s="146">
        <f t="shared" si="8"/>
        <v>88.322725371899708</v>
      </c>
      <c r="L52" s="146">
        <f t="shared" si="27"/>
        <v>763.74794831194777</v>
      </c>
      <c r="M52" s="146">
        <f t="shared" si="28"/>
        <v>44.709585136520978</v>
      </c>
      <c r="N52" s="134">
        <f>SUM(Z52:AG52)</f>
        <v>-13917.913116788863</v>
      </c>
      <c r="O52" s="134"/>
      <c r="Q52" s="139">
        <f t="shared" si="9"/>
        <v>0</v>
      </c>
      <c r="R52" s="139">
        <f t="shared" si="10"/>
        <v>92.539694999999995</v>
      </c>
      <c r="S52" s="139">
        <f t="shared" si="11"/>
        <v>-130.04034750142236</v>
      </c>
      <c r="T52" s="139">
        <f t="shared" si="12"/>
        <v>-8.074824324324327</v>
      </c>
      <c r="U52" s="139">
        <f t="shared" si="13"/>
        <v>0.86589168922571258</v>
      </c>
      <c r="V52" s="139">
        <f t="shared" si="14"/>
        <v>0</v>
      </c>
      <c r="W52" s="139">
        <f t="shared" si="15"/>
        <v>0</v>
      </c>
      <c r="X52" s="139">
        <f t="shared" si="16"/>
        <v>0</v>
      </c>
      <c r="Z52" s="139">
        <f t="shared" si="17"/>
        <v>-6657.6530000000002</v>
      </c>
      <c r="AA52" s="139">
        <f t="shared" si="18"/>
        <v>30388.034979729735</v>
      </c>
      <c r="AB52" s="139">
        <f t="shared" si="19"/>
        <v>-36417.276274115728</v>
      </c>
      <c r="AC52" s="139">
        <f t="shared" si="20"/>
        <v>-1325.7988586559538</v>
      </c>
      <c r="AD52" s="139">
        <f t="shared" si="21"/>
        <v>94.780036253084759</v>
      </c>
      <c r="AE52" s="139">
        <f t="shared" si="22"/>
        <v>0</v>
      </c>
      <c r="AF52" s="139">
        <f t="shared" si="23"/>
        <v>0</v>
      </c>
      <c r="AG52" s="139">
        <f t="shared" si="24"/>
        <v>0</v>
      </c>
      <c r="AP52" s="134">
        <f>(H52-D52)/1000</f>
        <v>0.20266158097043807</v>
      </c>
      <c r="AQ52" s="134">
        <f>I52-E52</f>
        <v>0.43521100583048167</v>
      </c>
      <c r="AR52" s="134">
        <f>(J52-F52)/1000</f>
        <v>5.9747696623409868E-2</v>
      </c>
      <c r="AS52" s="134">
        <f>K52-G52</f>
        <v>5.3167253718997074</v>
      </c>
      <c r="AT52" s="134">
        <f t="shared" si="29"/>
        <v>-111539.37078740996</v>
      </c>
      <c r="AU52" s="136">
        <f t="shared" si="30"/>
        <v>77.50947716634289</v>
      </c>
      <c r="AV52" s="134">
        <f>J52-N52</f>
        <v>-136991.80720824958</v>
      </c>
      <c r="AX52" s="70"/>
    </row>
    <row r="53" spans="1:50" x14ac:dyDescent="0.35">
      <c r="A53" s="190" t="s">
        <v>145</v>
      </c>
      <c r="B53" s="66">
        <f t="shared" si="25"/>
        <v>337.83783783783792</v>
      </c>
      <c r="C53" s="118">
        <f t="shared" ref="C53:C116" si="31">B53/10000</f>
        <v>3.3783783783783793E-2</v>
      </c>
      <c r="D53" s="349">
        <f t="shared" ref="D53:D116" si="32">10000*$B$3*(C53*$G$3-$H$3*2/C53+$J$3*C53^2+$K$3*2*C53^3+$L$3*3*C53^4-$I$3+$E$3)</f>
        <v>-110193.09252817654</v>
      </c>
      <c r="E53" s="146">
        <f t="shared" ref="E53:E116" si="33">$B$3*($F$3+$G$3+$G$3*LN(C53)-$H$3/C53^2+$J$3*2*C53+$K$3*3*C53^2+$L$3*4*C53^3)</f>
        <v>124.14117807918143</v>
      </c>
      <c r="F53" s="136">
        <f t="shared" ref="F53:F116" si="34">($E$3-C53*($F$3+$G$3*LN(C53)+$H$3*C53^(-2)+$I$3*C53^(-1)+$J$3*C53+$K$3*C53^2+$L$3*C53^3))*$B$3*10000</f>
        <v>-152132.67971708922</v>
      </c>
      <c r="G53" s="146">
        <f t="shared" ref="G53:G116" si="35">$B$3*($G$3+2*$H$3*C53^(-2)+2*$J$3*C53+ 6*$K$3*C53^2+ 12*$L$3*C53^3)</f>
        <v>83.006</v>
      </c>
      <c r="H53" s="349">
        <f t="shared" si="5"/>
        <v>-109947.92724858632</v>
      </c>
      <c r="I53" s="146">
        <f t="shared" si="6"/>
        <v>124.70410350640894</v>
      </c>
      <c r="J53" s="136">
        <f t="shared" si="7"/>
        <v>-152077.69194669748</v>
      </c>
      <c r="K53" s="146">
        <f t="shared" si="8"/>
        <v>86.707660542761133</v>
      </c>
      <c r="L53" s="146">
        <f t="shared" ref="L53:L116" si="36">N53+M53*B53</f>
        <v>1005.4274814127584</v>
      </c>
      <c r="M53" s="146">
        <f t="shared" ref="M53:M116" si="37">-SUM(Q53:X53)</f>
        <v>45.435153889348392</v>
      </c>
      <c r="N53" s="134">
        <f t="shared" ref="N53:N116" si="38">SUM(Z53:AG53)</f>
        <v>-14344.286670394134</v>
      </c>
      <c r="O53" s="134"/>
      <c r="Q53" s="139">
        <f t="shared" si="9"/>
        <v>0</v>
      </c>
      <c r="R53" s="139">
        <f t="shared" si="10"/>
        <v>92.539694999999995</v>
      </c>
      <c r="S53" s="139">
        <f t="shared" si="11"/>
        <v>-130.58391344376767</v>
      </c>
      <c r="T53" s="139">
        <f t="shared" si="12"/>
        <v>-8.3074324324324351</v>
      </c>
      <c r="U53" s="139">
        <f t="shared" si="13"/>
        <v>0.91649698685171688</v>
      </c>
      <c r="V53" s="139">
        <f t="shared" si="14"/>
        <v>0</v>
      </c>
      <c r="W53" s="139">
        <f t="shared" si="15"/>
        <v>0</v>
      </c>
      <c r="X53" s="139">
        <f t="shared" si="16"/>
        <v>0</v>
      </c>
      <c r="Z53" s="139">
        <f t="shared" si="17"/>
        <v>-6657.6530000000002</v>
      </c>
      <c r="AA53" s="139">
        <f t="shared" si="18"/>
        <v>31263.410472972981</v>
      </c>
      <c r="AB53" s="139">
        <f t="shared" si="19"/>
        <v>-37649.970758029624</v>
      </c>
      <c r="AC53" s="139">
        <f t="shared" si="20"/>
        <v>-1403.2825054784521</v>
      </c>
      <c r="AD53" s="139">
        <f t="shared" si="21"/>
        <v>103.20912014095913</v>
      </c>
      <c r="AE53" s="139">
        <f t="shared" si="22"/>
        <v>0</v>
      </c>
      <c r="AF53" s="139">
        <f t="shared" si="23"/>
        <v>0</v>
      </c>
      <c r="AG53" s="139">
        <f t="shared" si="24"/>
        <v>0</v>
      </c>
      <c r="AP53" s="134">
        <f t="shared" ref="AP53:AP116" si="39">(H53-D53)/1000</f>
        <v>0.24516527959021914</v>
      </c>
      <c r="AQ53" s="134">
        <f t="shared" ref="AQ53:AQ116" si="40">I53-E53</f>
        <v>0.56292542722751193</v>
      </c>
      <c r="AR53" s="134">
        <f t="shared" ref="AR53:AR116" si="41">(J53-F53)/1000</f>
        <v>5.4987770391744559E-2</v>
      </c>
      <c r="AS53" s="134">
        <f t="shared" ref="AS53:AS116" si="42">K53-G53</f>
        <v>3.7016605427611324</v>
      </c>
      <c r="AT53" s="134">
        <f t="shared" ref="AT53:AT116" si="43">H53-L53</f>
        <v>-110953.35472999908</v>
      </c>
      <c r="AU53" s="136">
        <f t="shared" ref="AU53:AU116" si="44">I53-M53</f>
        <v>79.268949617060542</v>
      </c>
      <c r="AV53" s="134">
        <f t="shared" ref="AV53:AV116" si="45">J53-N53</f>
        <v>-137733.40527630335</v>
      </c>
      <c r="AX53" s="70"/>
    </row>
    <row r="54" spans="1:50" x14ac:dyDescent="0.35">
      <c r="A54" s="190" t="s">
        <v>145</v>
      </c>
      <c r="B54" s="66">
        <f t="shared" si="25"/>
        <v>347.2972972972974</v>
      </c>
      <c r="C54" s="118">
        <f t="shared" si="31"/>
        <v>3.4729729729729743E-2</v>
      </c>
      <c r="D54" s="349">
        <f t="shared" si="32"/>
        <v>-109407.90063628466</v>
      </c>
      <c r="E54" s="146">
        <f t="shared" si="33"/>
        <v>126.43340263392042</v>
      </c>
      <c r="F54" s="136">
        <f t="shared" si="34"/>
        <v>-153317.87965914625</v>
      </c>
      <c r="G54" s="146">
        <f t="shared" si="35"/>
        <v>83.006</v>
      </c>
      <c r="H54" s="349">
        <f t="shared" si="5"/>
        <v>-109134.63841631221</v>
      </c>
      <c r="I54" s="146">
        <f t="shared" si="6"/>
        <v>127.07844310183317</v>
      </c>
      <c r="J54" s="136">
        <f t="shared" si="7"/>
        <v>-153268.63825032729</v>
      </c>
      <c r="K54" s="146">
        <f t="shared" si="8"/>
        <v>85.273218996019125</v>
      </c>
      <c r="L54" s="146">
        <f t="shared" si="36"/>
        <v>1248.33637007986</v>
      </c>
      <c r="M54" s="146">
        <f t="shared" si="37"/>
        <v>46.144273929566225</v>
      </c>
      <c r="N54" s="134">
        <f t="shared" si="38"/>
        <v>-14777.445251404632</v>
      </c>
      <c r="O54" s="134"/>
      <c r="Q54" s="139">
        <f t="shared" si="9"/>
        <v>0</v>
      </c>
      <c r="R54" s="139">
        <f t="shared" si="10"/>
        <v>92.539694999999995</v>
      </c>
      <c r="S54" s="139">
        <f t="shared" si="11"/>
        <v>-131.11246774077878</v>
      </c>
      <c r="T54" s="139">
        <f t="shared" si="12"/>
        <v>-8.5400405405405433</v>
      </c>
      <c r="U54" s="139">
        <f t="shared" si="13"/>
        <v>0.96853935175310502</v>
      </c>
      <c r="V54" s="139">
        <f t="shared" si="14"/>
        <v>0</v>
      </c>
      <c r="W54" s="139">
        <f t="shared" si="15"/>
        <v>0</v>
      </c>
      <c r="X54" s="139">
        <f t="shared" si="16"/>
        <v>0</v>
      </c>
      <c r="Z54" s="139">
        <f t="shared" si="17"/>
        <v>-6657.6530000000002</v>
      </c>
      <c r="AA54" s="139">
        <f t="shared" si="18"/>
        <v>32138.785966216223</v>
      </c>
      <c r="AB54" s="139">
        <f t="shared" si="19"/>
        <v>-38887.735418081291</v>
      </c>
      <c r="AC54" s="139">
        <f t="shared" si="20"/>
        <v>-1482.9664992695409</v>
      </c>
      <c r="AD54" s="139">
        <f t="shared" si="21"/>
        <v>112.12369972997661</v>
      </c>
      <c r="AE54" s="139">
        <f t="shared" si="22"/>
        <v>0</v>
      </c>
      <c r="AF54" s="139">
        <f t="shared" si="23"/>
        <v>0</v>
      </c>
      <c r="AG54" s="139">
        <f t="shared" si="24"/>
        <v>0</v>
      </c>
      <c r="AP54" s="134">
        <f t="shared" si="39"/>
        <v>0.27326221997244282</v>
      </c>
      <c r="AQ54" s="134">
        <f t="shared" si="40"/>
        <v>0.64504046791275016</v>
      </c>
      <c r="AR54" s="134">
        <f t="shared" si="41"/>
        <v>4.924140881895437E-2</v>
      </c>
      <c r="AS54" s="134">
        <f t="shared" si="42"/>
        <v>2.2672189960191247</v>
      </c>
      <c r="AT54" s="134">
        <f t="shared" si="43"/>
        <v>-110382.97478639208</v>
      </c>
      <c r="AU54" s="136">
        <f t="shared" si="44"/>
        <v>80.934169172266948</v>
      </c>
      <c r="AV54" s="134">
        <f t="shared" si="45"/>
        <v>-138491.19299892266</v>
      </c>
      <c r="AX54" s="70"/>
    </row>
    <row r="55" spans="1:50" x14ac:dyDescent="0.35">
      <c r="A55" s="190" t="s">
        <v>145</v>
      </c>
      <c r="B55" s="66">
        <f t="shared" si="25"/>
        <v>356.75675675675689</v>
      </c>
      <c r="C55" s="118">
        <f t="shared" si="31"/>
        <v>3.5675675675675686E-2</v>
      </c>
      <c r="D55" s="349">
        <f t="shared" si="32"/>
        <v>-108622.70874439277</v>
      </c>
      <c r="E55" s="146">
        <f t="shared" si="33"/>
        <v>128.66402438687092</v>
      </c>
      <c r="F55" s="136">
        <f t="shared" si="34"/>
        <v>-154524.46879592512</v>
      </c>
      <c r="G55" s="146">
        <f t="shared" si="35"/>
        <v>83.006</v>
      </c>
      <c r="H55" s="349">
        <f t="shared" si="5"/>
        <v>-108334.14281847629</v>
      </c>
      <c r="I55" s="146">
        <f t="shared" si="6"/>
        <v>129.35261719766478</v>
      </c>
      <c r="J55" s="136">
        <f t="shared" si="7"/>
        <v>-154481.56300791347</v>
      </c>
      <c r="K55" s="146">
        <f t="shared" si="8"/>
        <v>83.99975162392569</v>
      </c>
      <c r="L55" s="146">
        <f t="shared" si="36"/>
        <v>1492.4474265540139</v>
      </c>
      <c r="M55" s="146">
        <f t="shared" si="37"/>
        <v>46.837752174823557</v>
      </c>
      <c r="N55" s="134">
        <f t="shared" si="38"/>
        <v>-15217.237133112774</v>
      </c>
      <c r="O55" s="134"/>
      <c r="Q55" s="139">
        <f t="shared" si="9"/>
        <v>0</v>
      </c>
      <c r="R55" s="139">
        <f t="shared" si="10"/>
        <v>92.539694999999995</v>
      </c>
      <c r="S55" s="139">
        <f t="shared" si="11"/>
        <v>-131.62681731010477</v>
      </c>
      <c r="T55" s="139">
        <f t="shared" si="12"/>
        <v>-8.7726486486486515</v>
      </c>
      <c r="U55" s="139">
        <f t="shared" si="13"/>
        <v>1.0220187839298764</v>
      </c>
      <c r="V55" s="139">
        <f t="shared" si="14"/>
        <v>0</v>
      </c>
      <c r="W55" s="139">
        <f t="shared" si="15"/>
        <v>0</v>
      </c>
      <c r="X55" s="139">
        <f t="shared" si="16"/>
        <v>0</v>
      </c>
      <c r="Z55" s="139">
        <f t="shared" si="17"/>
        <v>-6657.6530000000002</v>
      </c>
      <c r="AA55" s="139">
        <f t="shared" si="18"/>
        <v>33014.161459459472</v>
      </c>
      <c r="AB55" s="139">
        <f t="shared" si="19"/>
        <v>-40130.432121442798</v>
      </c>
      <c r="AC55" s="139">
        <f t="shared" si="20"/>
        <v>-1564.8508400292196</v>
      </c>
      <c r="AD55" s="139">
        <f t="shared" si="21"/>
        <v>121.53736889976913</v>
      </c>
      <c r="AE55" s="139">
        <f t="shared" si="22"/>
        <v>0</v>
      </c>
      <c r="AF55" s="139">
        <f t="shared" si="23"/>
        <v>0</v>
      </c>
      <c r="AG55" s="139">
        <f t="shared" si="24"/>
        <v>0</v>
      </c>
      <c r="AP55" s="134">
        <f t="shared" si="39"/>
        <v>0.28856592591648222</v>
      </c>
      <c r="AQ55" s="134">
        <f t="shared" si="40"/>
        <v>0.68859281079386392</v>
      </c>
      <c r="AR55" s="134">
        <f t="shared" si="41"/>
        <v>4.2905788011645199E-2</v>
      </c>
      <c r="AS55" s="134">
        <f t="shared" si="42"/>
        <v>0.99375162392568939</v>
      </c>
      <c r="AT55" s="134">
        <f t="shared" si="43"/>
        <v>-109826.59024503031</v>
      </c>
      <c r="AU55" s="136">
        <f t="shared" si="44"/>
        <v>82.514865022841235</v>
      </c>
      <c r="AV55" s="134">
        <f t="shared" si="45"/>
        <v>-139264.32587480071</v>
      </c>
      <c r="AX55" s="70"/>
    </row>
    <row r="56" spans="1:50" x14ac:dyDescent="0.35">
      <c r="A56" s="190" t="s">
        <v>145</v>
      </c>
      <c r="B56" s="66">
        <f t="shared" si="25"/>
        <v>366.21621621621637</v>
      </c>
      <c r="C56" s="118">
        <f t="shared" si="31"/>
        <v>3.6621621621621636E-2</v>
      </c>
      <c r="D56" s="349">
        <f t="shared" si="32"/>
        <v>-107837.51685250088</v>
      </c>
      <c r="E56" s="146">
        <f t="shared" si="33"/>
        <v>130.83626797704829</v>
      </c>
      <c r="F56" s="136">
        <f t="shared" si="34"/>
        <v>-155751.87985490641</v>
      </c>
      <c r="G56" s="146">
        <f t="shared" si="35"/>
        <v>83.006</v>
      </c>
      <c r="H56" s="349">
        <f t="shared" si="5"/>
        <v>-107545.00063272743</v>
      </c>
      <c r="I56" s="146">
        <f t="shared" si="6"/>
        <v>131.53585378876429</v>
      </c>
      <c r="J56" s="136">
        <f t="shared" si="7"/>
        <v>-155715.56330401814</v>
      </c>
      <c r="K56" s="146">
        <f t="shared" si="8"/>
        <v>82.870113798764919</v>
      </c>
      <c r="L56" s="146">
        <f t="shared" si="36"/>
        <v>1737.7334630759287</v>
      </c>
      <c r="M56" s="146">
        <f t="shared" si="37"/>
        <v>47.516332180896462</v>
      </c>
      <c r="N56" s="134">
        <f t="shared" si="38"/>
        <v>-15663.51791668481</v>
      </c>
      <c r="O56" s="134"/>
      <c r="Q56" s="139">
        <f t="shared" si="9"/>
        <v>0</v>
      </c>
      <c r="R56" s="139">
        <f t="shared" si="10"/>
        <v>92.539694999999995</v>
      </c>
      <c r="S56" s="139">
        <f t="shared" si="11"/>
        <v>-132.12770570752173</v>
      </c>
      <c r="T56" s="139">
        <f t="shared" si="12"/>
        <v>-9.0052567567567614</v>
      </c>
      <c r="U56" s="139">
        <f t="shared" si="13"/>
        <v>1.0769352833820316</v>
      </c>
      <c r="V56" s="139">
        <f t="shared" si="14"/>
        <v>0</v>
      </c>
      <c r="W56" s="139">
        <f t="shared" si="15"/>
        <v>0</v>
      </c>
      <c r="X56" s="139">
        <f t="shared" si="16"/>
        <v>0</v>
      </c>
      <c r="Z56" s="139">
        <f t="shared" si="17"/>
        <v>-6657.6530000000002</v>
      </c>
      <c r="AA56" s="139">
        <f t="shared" si="18"/>
        <v>33889.536952702714</v>
      </c>
      <c r="AB56" s="139">
        <f t="shared" si="19"/>
        <v>-41377.930063160005</v>
      </c>
      <c r="AC56" s="139">
        <f t="shared" si="20"/>
        <v>-1648.9355277574887</v>
      </c>
      <c r="AD56" s="139">
        <f t="shared" si="21"/>
        <v>131.46372152996875</v>
      </c>
      <c r="AE56" s="139">
        <f t="shared" si="22"/>
        <v>0</v>
      </c>
      <c r="AF56" s="139">
        <f t="shared" si="23"/>
        <v>0</v>
      </c>
      <c r="AG56" s="139">
        <f t="shared" si="24"/>
        <v>0</v>
      </c>
      <c r="AP56" s="134">
        <f t="shared" si="39"/>
        <v>0.29251621977344622</v>
      </c>
      <c r="AQ56" s="134">
        <f t="shared" si="40"/>
        <v>0.69958581171599121</v>
      </c>
      <c r="AR56" s="134">
        <f t="shared" si="41"/>
        <v>3.6316550888266644E-2</v>
      </c>
      <c r="AS56" s="134">
        <f t="shared" si="42"/>
        <v>-0.13588620123508122</v>
      </c>
      <c r="AT56" s="134">
        <f t="shared" si="43"/>
        <v>-109282.73409580336</v>
      </c>
      <c r="AU56" s="136">
        <f t="shared" si="44"/>
        <v>84.01952160786783</v>
      </c>
      <c r="AV56" s="134">
        <f t="shared" si="45"/>
        <v>-140052.04538733332</v>
      </c>
      <c r="AX56" s="70"/>
    </row>
    <row r="57" spans="1:50" x14ac:dyDescent="0.35">
      <c r="A57" s="190" t="s">
        <v>145</v>
      </c>
      <c r="B57" s="66">
        <f t="shared" si="25"/>
        <v>375.67567567567585</v>
      </c>
      <c r="C57" s="118">
        <f t="shared" si="31"/>
        <v>3.7567567567567586E-2</v>
      </c>
      <c r="D57" s="349">
        <f t="shared" si="32"/>
        <v>-107052.32496060898</v>
      </c>
      <c r="E57" s="146">
        <f t="shared" si="33"/>
        <v>132.95311129411286</v>
      </c>
      <c r="F57" s="136">
        <f t="shared" si="34"/>
        <v>-156999.57487920817</v>
      </c>
      <c r="G57" s="146">
        <f t="shared" si="35"/>
        <v>83.006</v>
      </c>
      <c r="H57" s="349">
        <f t="shared" si="5"/>
        <v>-106765.92386927552</v>
      </c>
      <c r="I57" s="146">
        <f t="shared" si="6"/>
        <v>133.63626521946065</v>
      </c>
      <c r="J57" s="136">
        <f t="shared" si="7"/>
        <v>-156969.8181003702</v>
      </c>
      <c r="K57" s="146">
        <f t="shared" si="8"/>
        <v>81.869291848472585</v>
      </c>
      <c r="L57" s="146">
        <f t="shared" si="36"/>
        <v>1984.1672918863642</v>
      </c>
      <c r="M57" s="146">
        <f t="shared" si="37"/>
        <v>48.180700606678371</v>
      </c>
      <c r="N57" s="134">
        <f t="shared" si="38"/>
        <v>-16116.149963054979</v>
      </c>
      <c r="O57" s="134"/>
      <c r="Q57" s="139">
        <f t="shared" si="9"/>
        <v>0</v>
      </c>
      <c r="R57" s="139">
        <f t="shared" si="10"/>
        <v>92.539694999999995</v>
      </c>
      <c r="S57" s="139">
        <f t="shared" si="11"/>
        <v>-132.61581959192307</v>
      </c>
      <c r="T57" s="139">
        <f t="shared" si="12"/>
        <v>-9.2378648648648696</v>
      </c>
      <c r="U57" s="139">
        <f t="shared" si="13"/>
        <v>1.1332888501095699</v>
      </c>
      <c r="V57" s="139">
        <f t="shared" si="14"/>
        <v>0</v>
      </c>
      <c r="W57" s="139">
        <f t="shared" si="15"/>
        <v>0</v>
      </c>
      <c r="X57" s="139">
        <f t="shared" si="16"/>
        <v>0</v>
      </c>
      <c r="Z57" s="139">
        <f t="shared" si="17"/>
        <v>-6657.6530000000002</v>
      </c>
      <c r="AA57" s="139">
        <f t="shared" si="18"/>
        <v>34764.912445945956</v>
      </c>
      <c r="AB57" s="139">
        <f t="shared" si="19"/>
        <v>-42630.105198046796</v>
      </c>
      <c r="AC57" s="139">
        <f t="shared" si="20"/>
        <v>-1735.2205624543476</v>
      </c>
      <c r="AD57" s="139">
        <f t="shared" si="21"/>
        <v>141.91635150020747</v>
      </c>
      <c r="AE57" s="139">
        <f t="shared" si="22"/>
        <v>0</v>
      </c>
      <c r="AF57" s="139">
        <f t="shared" si="23"/>
        <v>0</v>
      </c>
      <c r="AG57" s="139">
        <f t="shared" si="24"/>
        <v>0</v>
      </c>
      <c r="AP57" s="134">
        <f t="shared" si="39"/>
        <v>0.28640109133346414</v>
      </c>
      <c r="AQ57" s="134">
        <f t="shared" si="40"/>
        <v>0.68315392534779562</v>
      </c>
      <c r="AR57" s="134">
        <f t="shared" si="41"/>
        <v>2.9756778837967433E-2</v>
      </c>
      <c r="AS57" s="134">
        <f t="shared" si="42"/>
        <v>-1.1367081515274151</v>
      </c>
      <c r="AT57" s="134">
        <f t="shared" si="43"/>
        <v>-108750.09116116188</v>
      </c>
      <c r="AU57" s="136">
        <f t="shared" si="44"/>
        <v>85.455564612782283</v>
      </c>
      <c r="AV57" s="134">
        <f t="shared" si="45"/>
        <v>-140853.66813731522</v>
      </c>
      <c r="AX57" s="70"/>
    </row>
    <row r="58" spans="1:50" x14ac:dyDescent="0.35">
      <c r="A58" s="190" t="s">
        <v>145</v>
      </c>
      <c r="B58" s="66">
        <f t="shared" si="25"/>
        <v>385.13513513513533</v>
      </c>
      <c r="C58" s="118">
        <f t="shared" si="31"/>
        <v>3.851351351351353E-2</v>
      </c>
      <c r="D58" s="349">
        <f t="shared" si="32"/>
        <v>-106267.13306871708</v>
      </c>
      <c r="E58" s="146">
        <f t="shared" si="33"/>
        <v>135.0173100284874</v>
      </c>
      <c r="F58" s="136">
        <f t="shared" si="34"/>
        <v>-158267.04301212105</v>
      </c>
      <c r="G58" s="146">
        <f t="shared" si="35"/>
        <v>83.006</v>
      </c>
      <c r="H58" s="349">
        <f t="shared" si="5"/>
        <v>-105995.7577247874</v>
      </c>
      <c r="I58" s="146">
        <f t="shared" si="6"/>
        <v>135.66100823081879</v>
      </c>
      <c r="J58" s="136">
        <f t="shared" si="7"/>
        <v>-158243.57846233252</v>
      </c>
      <c r="K58" s="146">
        <f t="shared" si="8"/>
        <v>80.984092945882537</v>
      </c>
      <c r="L58" s="146">
        <f t="shared" si="36"/>
        <v>2231.7217252260562</v>
      </c>
      <c r="M58" s="146">
        <f t="shared" si="37"/>
        <v>48.831492875086731</v>
      </c>
      <c r="N58" s="134">
        <f t="shared" si="38"/>
        <v>-16575.001882070868</v>
      </c>
      <c r="O58" s="134"/>
      <c r="Q58" s="139">
        <f t="shared" si="9"/>
        <v>0</v>
      </c>
      <c r="R58" s="139">
        <f t="shared" si="10"/>
        <v>92.539694999999995</v>
      </c>
      <c r="S58" s="139">
        <f t="shared" si="11"/>
        <v>-133.09179438622624</v>
      </c>
      <c r="T58" s="139">
        <f t="shared" si="12"/>
        <v>-9.4704729729729777</v>
      </c>
      <c r="U58" s="139">
        <f t="shared" si="13"/>
        <v>1.1910794841124919</v>
      </c>
      <c r="V58" s="139">
        <f t="shared" si="14"/>
        <v>0</v>
      </c>
      <c r="W58" s="139">
        <f t="shared" si="15"/>
        <v>0</v>
      </c>
      <c r="X58" s="139">
        <f t="shared" si="16"/>
        <v>0</v>
      </c>
      <c r="Z58" s="139">
        <f t="shared" si="17"/>
        <v>-6657.6530000000002</v>
      </c>
      <c r="AA58" s="139">
        <f t="shared" si="18"/>
        <v>35640.287939189206</v>
      </c>
      <c r="AB58" s="139">
        <f t="shared" si="19"/>
        <v>-43886.839729830397</v>
      </c>
      <c r="AC58" s="139">
        <f t="shared" si="20"/>
        <v>-1823.7059441197971</v>
      </c>
      <c r="AD58" s="139">
        <f t="shared" si="21"/>
        <v>152.90885269011727</v>
      </c>
      <c r="AE58" s="139">
        <f t="shared" si="22"/>
        <v>0</v>
      </c>
      <c r="AF58" s="139">
        <f t="shared" si="23"/>
        <v>0</v>
      </c>
      <c r="AG58" s="139">
        <f t="shared" si="24"/>
        <v>0</v>
      </c>
      <c r="AP58" s="134">
        <f t="shared" si="39"/>
        <v>0.27137534392968521</v>
      </c>
      <c r="AQ58" s="134">
        <f t="shared" si="40"/>
        <v>0.64369820233139308</v>
      </c>
      <c r="AR58" s="134">
        <f t="shared" si="41"/>
        <v>2.3464549788535804E-2</v>
      </c>
      <c r="AS58" s="134">
        <f t="shared" si="42"/>
        <v>-2.0219070541174631</v>
      </c>
      <c r="AT58" s="134">
        <f t="shared" si="43"/>
        <v>-108227.47945001346</v>
      </c>
      <c r="AU58" s="136">
        <f t="shared" si="44"/>
        <v>86.82951535573207</v>
      </c>
      <c r="AV58" s="134">
        <f t="shared" si="45"/>
        <v>-141668.57658026164</v>
      </c>
      <c r="AX58" s="70"/>
    </row>
    <row r="59" spans="1:50" x14ac:dyDescent="0.35">
      <c r="A59" s="190" t="s">
        <v>145</v>
      </c>
      <c r="B59" s="66">
        <f t="shared" si="25"/>
        <v>394.59459459459481</v>
      </c>
      <c r="C59" s="118">
        <f t="shared" si="31"/>
        <v>3.945945945945948E-2</v>
      </c>
      <c r="D59" s="349">
        <f t="shared" si="32"/>
        <v>-105481.9411768252</v>
      </c>
      <c r="E59" s="146">
        <f t="shared" si="33"/>
        <v>137.03141924218883</v>
      </c>
      <c r="F59" s="136">
        <f t="shared" si="34"/>
        <v>-159553.79849941866</v>
      </c>
      <c r="G59" s="146">
        <f t="shared" si="35"/>
        <v>83.006</v>
      </c>
      <c r="H59" s="349">
        <f t="shared" si="5"/>
        <v>-105233.46461825677</v>
      </c>
      <c r="I59" s="146">
        <f t="shared" si="6"/>
        <v>137.61641770123754</v>
      </c>
      <c r="J59" s="136">
        <f t="shared" si="7"/>
        <v>-159536.15917063702</v>
      </c>
      <c r="K59" s="146">
        <f t="shared" si="8"/>
        <v>80.202886399727717</v>
      </c>
      <c r="L59" s="146">
        <f t="shared" si="36"/>
        <v>2480.3695753357242</v>
      </c>
      <c r="M59" s="146">
        <f t="shared" si="37"/>
        <v>49.46929814698948</v>
      </c>
      <c r="N59" s="134">
        <f t="shared" si="38"/>
        <v>-17039.948071854731</v>
      </c>
      <c r="O59" s="134"/>
      <c r="Q59" s="139">
        <f t="shared" si="9"/>
        <v>0</v>
      </c>
      <c r="R59" s="139">
        <f t="shared" si="10"/>
        <v>92.539694999999995</v>
      </c>
      <c r="S59" s="139">
        <f t="shared" si="11"/>
        <v>-133.55621925129918</v>
      </c>
      <c r="T59" s="139">
        <f t="shared" si="12"/>
        <v>-9.7030810810810859</v>
      </c>
      <c r="U59" s="139">
        <f t="shared" si="13"/>
        <v>1.2503071853907974</v>
      </c>
      <c r="V59" s="139">
        <f t="shared" si="14"/>
        <v>0</v>
      </c>
      <c r="W59" s="139">
        <f t="shared" si="15"/>
        <v>0</v>
      </c>
      <c r="X59" s="139">
        <f t="shared" si="16"/>
        <v>0</v>
      </c>
      <c r="Z59" s="139">
        <f t="shared" si="17"/>
        <v>-6657.6530000000002</v>
      </c>
      <c r="AA59" s="139">
        <f t="shared" si="18"/>
        <v>36515.663432432448</v>
      </c>
      <c r="AB59" s="139">
        <f t="shared" si="19"/>
        <v>-45148.021650512674</v>
      </c>
      <c r="AC59" s="139">
        <f t="shared" si="20"/>
        <v>-1914.3916727538372</v>
      </c>
      <c r="AD59" s="139">
        <f t="shared" si="21"/>
        <v>164.45481897933021</v>
      </c>
      <c r="AE59" s="139">
        <f t="shared" si="22"/>
        <v>0</v>
      </c>
      <c r="AF59" s="139">
        <f t="shared" si="23"/>
        <v>0</v>
      </c>
      <c r="AG59" s="139">
        <f t="shared" si="24"/>
        <v>0</v>
      </c>
      <c r="AP59" s="134">
        <f t="shared" si="39"/>
        <v>0.24847655856843631</v>
      </c>
      <c r="AQ59" s="134">
        <f t="shared" si="40"/>
        <v>0.5849984590487054</v>
      </c>
      <c r="AR59" s="134">
        <f t="shared" si="41"/>
        <v>1.7639328781631776E-2</v>
      </c>
      <c r="AS59" s="134">
        <f t="shared" si="42"/>
        <v>-2.8031136002722832</v>
      </c>
      <c r="AT59" s="134">
        <f t="shared" si="43"/>
        <v>-107713.83419359248</v>
      </c>
      <c r="AU59" s="136">
        <f t="shared" si="44"/>
        <v>88.147119554248064</v>
      </c>
      <c r="AV59" s="134">
        <f t="shared" si="45"/>
        <v>-142496.21109878228</v>
      </c>
      <c r="AX59" s="70"/>
    </row>
    <row r="60" spans="1:50" x14ac:dyDescent="0.35">
      <c r="A60" s="190" t="s">
        <v>145</v>
      </c>
      <c r="B60" s="66">
        <f t="shared" si="25"/>
        <v>404.05405405405429</v>
      </c>
      <c r="C60" s="118">
        <f t="shared" si="31"/>
        <v>4.040540540540543E-2</v>
      </c>
      <c r="D60" s="349">
        <f t="shared" si="32"/>
        <v>-104696.74928493329</v>
      </c>
      <c r="E60" s="146">
        <f t="shared" si="33"/>
        <v>138.99781238397517</v>
      </c>
      <c r="F60" s="136">
        <f t="shared" si="34"/>
        <v>-160859.37888332331</v>
      </c>
      <c r="G60" s="146">
        <f t="shared" si="35"/>
        <v>83.006</v>
      </c>
      <c r="H60" s="349">
        <f t="shared" si="5"/>
        <v>-104478.11046932716</v>
      </c>
      <c r="I60" s="146">
        <f t="shared" si="6"/>
        <v>139.50811892224934</v>
      </c>
      <c r="J60" s="136">
        <f t="shared" si="7"/>
        <v>-160846.93149331716</v>
      </c>
      <c r="K60" s="146">
        <f t="shared" si="8"/>
        <v>79.515386835919386</v>
      </c>
      <c r="L60" s="146">
        <f t="shared" si="36"/>
        <v>2730.0836544561098</v>
      </c>
      <c r="M60" s="146">
        <f t="shared" si="37"/>
        <v>50.094663705826726</v>
      </c>
      <c r="N60" s="134">
        <f t="shared" si="38"/>
        <v>-17510.868302357674</v>
      </c>
      <c r="O60" s="134"/>
      <c r="Q60" s="139">
        <f t="shared" si="9"/>
        <v>0</v>
      </c>
      <c r="R60" s="139">
        <f t="shared" si="10"/>
        <v>92.539694999999995</v>
      </c>
      <c r="S60" s="139">
        <f t="shared" si="11"/>
        <v>-134.00964147058201</v>
      </c>
      <c r="T60" s="139">
        <f t="shared" si="12"/>
        <v>-9.9356891891891959</v>
      </c>
      <c r="U60" s="139">
        <f t="shared" si="13"/>
        <v>1.3109719539444864</v>
      </c>
      <c r="V60" s="139">
        <f t="shared" si="14"/>
        <v>0</v>
      </c>
      <c r="W60" s="139">
        <f t="shared" si="15"/>
        <v>0</v>
      </c>
      <c r="X60" s="139">
        <f t="shared" si="16"/>
        <v>0</v>
      </c>
      <c r="Z60" s="139">
        <f t="shared" si="17"/>
        <v>-6657.6530000000002</v>
      </c>
      <c r="AA60" s="139">
        <f t="shared" si="18"/>
        <v>37391.038925675697</v>
      </c>
      <c r="AB60" s="139">
        <f t="shared" si="19"/>
        <v>-46413.544323924383</v>
      </c>
      <c r="AC60" s="139">
        <f t="shared" si="20"/>
        <v>-2007.2777483564669</v>
      </c>
      <c r="AD60" s="139">
        <f t="shared" si="21"/>
        <v>176.56784424747823</v>
      </c>
      <c r="AE60" s="139">
        <f t="shared" si="22"/>
        <v>0</v>
      </c>
      <c r="AF60" s="139">
        <f t="shared" si="23"/>
        <v>0</v>
      </c>
      <c r="AG60" s="139">
        <f t="shared" si="24"/>
        <v>0</v>
      </c>
      <c r="AP60" s="134">
        <f t="shared" si="39"/>
        <v>0.21863881560612936</v>
      </c>
      <c r="AQ60" s="134">
        <f t="shared" si="40"/>
        <v>0.51030653827416472</v>
      </c>
      <c r="AR60" s="134">
        <f t="shared" si="41"/>
        <v>1.2447390006156639E-2</v>
      </c>
      <c r="AS60" s="134">
        <f t="shared" si="42"/>
        <v>-3.4906131640806137</v>
      </c>
      <c r="AT60" s="134">
        <f t="shared" si="43"/>
        <v>-107208.19412378327</v>
      </c>
      <c r="AU60" s="136">
        <f t="shared" si="44"/>
        <v>89.413455216422619</v>
      </c>
      <c r="AV60" s="134">
        <f t="shared" si="45"/>
        <v>-143336.06319095948</v>
      </c>
      <c r="AX60" s="70"/>
    </row>
    <row r="61" spans="1:50" x14ac:dyDescent="0.35">
      <c r="A61" s="190" t="s">
        <v>145</v>
      </c>
      <c r="B61" s="66">
        <f t="shared" si="25"/>
        <v>413.51351351351377</v>
      </c>
      <c r="C61" s="118">
        <f t="shared" si="31"/>
        <v>4.135135135135138E-2</v>
      </c>
      <c r="D61" s="349">
        <f t="shared" si="32"/>
        <v>-103911.55739304141</v>
      </c>
      <c r="E61" s="146">
        <f t="shared" si="33"/>
        <v>140.91869810376718</v>
      </c>
      <c r="F61" s="136">
        <f t="shared" si="34"/>
        <v>-162183.34336568031</v>
      </c>
      <c r="G61" s="146">
        <f t="shared" si="35"/>
        <v>83.006</v>
      </c>
      <c r="H61" s="349">
        <f t="shared" si="5"/>
        <v>-103728.85285998227</v>
      </c>
      <c r="I61" s="146">
        <f t="shared" si="6"/>
        <v>141.34112226984547</v>
      </c>
      <c r="J61" s="136">
        <f t="shared" si="7"/>
        <v>-162175.31693372922</v>
      </c>
      <c r="K61" s="146">
        <f t="shared" si="8"/>
        <v>78.912471692807543</v>
      </c>
      <c r="L61" s="146">
        <f t="shared" si="36"/>
        <v>2980.8367748279597</v>
      </c>
      <c r="M61" s="146">
        <f t="shared" si="37"/>
        <v>50.708098834776607</v>
      </c>
      <c r="N61" s="134">
        <f t="shared" si="38"/>
        <v>-17987.64733793103</v>
      </c>
      <c r="O61" s="134"/>
      <c r="Q61" s="139">
        <f t="shared" si="9"/>
        <v>0</v>
      </c>
      <c r="R61" s="139">
        <f t="shared" si="10"/>
        <v>92.539694999999995</v>
      </c>
      <c r="S61" s="139">
        <f t="shared" si="11"/>
        <v>-134.45257032725286</v>
      </c>
      <c r="T61" s="139">
        <f t="shared" si="12"/>
        <v>-10.168297297297304</v>
      </c>
      <c r="U61" s="139">
        <f t="shared" si="13"/>
        <v>1.373073789773559</v>
      </c>
      <c r="V61" s="139">
        <f t="shared" si="14"/>
        <v>0</v>
      </c>
      <c r="W61" s="139">
        <f t="shared" si="15"/>
        <v>0</v>
      </c>
      <c r="X61" s="139">
        <f t="shared" si="16"/>
        <v>0</v>
      </c>
      <c r="Z61" s="139">
        <f t="shared" si="17"/>
        <v>-6657.6530000000002</v>
      </c>
      <c r="AA61" s="139">
        <f t="shared" si="18"/>
        <v>38266.414418918939</v>
      </c>
      <c r="AB61" s="139">
        <f t="shared" si="19"/>
        <v>-47683.306108296478</v>
      </c>
      <c r="AC61" s="139">
        <f t="shared" si="20"/>
        <v>-2102.3641709276872</v>
      </c>
      <c r="AD61" s="139">
        <f t="shared" si="21"/>
        <v>189.26152237419339</v>
      </c>
      <c r="AE61" s="139">
        <f t="shared" si="22"/>
        <v>0</v>
      </c>
      <c r="AF61" s="139">
        <f t="shared" si="23"/>
        <v>0</v>
      </c>
      <c r="AG61" s="139">
        <f t="shared" si="24"/>
        <v>0</v>
      </c>
      <c r="AP61" s="134">
        <f t="shared" si="39"/>
        <v>0.18270453305913542</v>
      </c>
      <c r="AQ61" s="134">
        <f t="shared" si="40"/>
        <v>0.42242416607828659</v>
      </c>
      <c r="AR61" s="134">
        <f t="shared" si="41"/>
        <v>8.0264319510897613E-3</v>
      </c>
      <c r="AS61" s="134">
        <f t="shared" si="42"/>
        <v>-4.0935283071924573</v>
      </c>
      <c r="AT61" s="134">
        <f t="shared" si="43"/>
        <v>-106709.68963481023</v>
      </c>
      <c r="AU61" s="136">
        <f t="shared" si="44"/>
        <v>90.633023435068864</v>
      </c>
      <c r="AV61" s="134">
        <f t="shared" si="45"/>
        <v>-144187.66959579819</v>
      </c>
      <c r="AX61" s="70"/>
    </row>
    <row r="62" spans="1:50" x14ac:dyDescent="0.35">
      <c r="A62" s="190" t="s">
        <v>145</v>
      </c>
      <c r="B62" s="66">
        <f t="shared" si="25"/>
        <v>422.97297297297325</v>
      </c>
      <c r="C62" s="118">
        <f t="shared" si="31"/>
        <v>4.2297297297297323E-2</v>
      </c>
      <c r="D62" s="349">
        <f t="shared" si="32"/>
        <v>-103126.36550114951</v>
      </c>
      <c r="E62" s="146">
        <f t="shared" si="33"/>
        <v>142.7961351650838</v>
      </c>
      <c r="F62" s="136">
        <f t="shared" si="34"/>
        <v>-163525.27132097556</v>
      </c>
      <c r="G62" s="146">
        <f t="shared" si="35"/>
        <v>83.006</v>
      </c>
      <c r="H62" s="349">
        <f t="shared" si="5"/>
        <v>-102984.93078476349</v>
      </c>
      <c r="I62" s="146">
        <f t="shared" si="6"/>
        <v>143.11990336652264</v>
      </c>
      <c r="J62" s="136">
        <f t="shared" si="7"/>
        <v>-163520.78180330625</v>
      </c>
      <c r="K62" s="146">
        <f t="shared" si="8"/>
        <v>78.386026961518198</v>
      </c>
      <c r="L62" s="146">
        <f t="shared" si="36"/>
        <v>3232.6017486919991</v>
      </c>
      <c r="M62" s="146">
        <f t="shared" si="37"/>
        <v>51.31007825535022</v>
      </c>
      <c r="N62" s="134">
        <f t="shared" si="38"/>
        <v>-18470.174594449392</v>
      </c>
      <c r="O62" s="134"/>
      <c r="Q62" s="139">
        <f t="shared" si="9"/>
        <v>0</v>
      </c>
      <c r="R62" s="139">
        <f t="shared" si="10"/>
        <v>92.539694999999995</v>
      </c>
      <c r="S62" s="139">
        <f t="shared" si="11"/>
        <v>-134.88548054282282</v>
      </c>
      <c r="T62" s="139">
        <f t="shared" si="12"/>
        <v>-10.400905405405412</v>
      </c>
      <c r="U62" s="139">
        <f t="shared" si="13"/>
        <v>1.4366126928780152</v>
      </c>
      <c r="V62" s="139">
        <f t="shared" si="14"/>
        <v>0</v>
      </c>
      <c r="W62" s="139">
        <f t="shared" si="15"/>
        <v>0</v>
      </c>
      <c r="X62" s="139">
        <f t="shared" si="16"/>
        <v>0</v>
      </c>
      <c r="Z62" s="139">
        <f t="shared" si="17"/>
        <v>-6657.6530000000002</v>
      </c>
      <c r="AA62" s="139">
        <f t="shared" si="18"/>
        <v>39141.789912162189</v>
      </c>
      <c r="AB62" s="139">
        <f t="shared" si="19"/>
        <v>-48957.210013383192</v>
      </c>
      <c r="AC62" s="139">
        <f t="shared" si="20"/>
        <v>-2199.6509404674975</v>
      </c>
      <c r="AD62" s="139">
        <f t="shared" si="21"/>
        <v>202.54944723910768</v>
      </c>
      <c r="AE62" s="139">
        <f t="shared" si="22"/>
        <v>0</v>
      </c>
      <c r="AF62" s="139">
        <f t="shared" si="23"/>
        <v>0</v>
      </c>
      <c r="AG62" s="139">
        <f t="shared" si="24"/>
        <v>0</v>
      </c>
      <c r="AP62" s="134">
        <f t="shared" si="39"/>
        <v>0.14143471638602204</v>
      </c>
      <c r="AQ62" s="134">
        <f t="shared" si="40"/>
        <v>0.32376820143883833</v>
      </c>
      <c r="AR62" s="134">
        <f t="shared" si="41"/>
        <v>4.489517669309862E-3</v>
      </c>
      <c r="AS62" s="134">
        <f t="shared" si="42"/>
        <v>-4.6199730384818025</v>
      </c>
      <c r="AT62" s="134">
        <f t="shared" si="43"/>
        <v>-106217.53253345549</v>
      </c>
      <c r="AU62" s="136">
        <f t="shared" si="44"/>
        <v>91.809825111172415</v>
      </c>
      <c r="AV62" s="134">
        <f t="shared" si="45"/>
        <v>-145050.60720885685</v>
      </c>
      <c r="AX62" s="70"/>
    </row>
    <row r="63" spans="1:50" x14ac:dyDescent="0.35">
      <c r="A63" s="190" t="s">
        <v>145</v>
      </c>
      <c r="B63" s="66">
        <f t="shared" si="25"/>
        <v>432.43243243243273</v>
      </c>
      <c r="C63" s="118">
        <f t="shared" si="31"/>
        <v>4.3243243243243273E-2</v>
      </c>
      <c r="D63" s="349">
        <f t="shared" si="32"/>
        <v>-102341.17360925762</v>
      </c>
      <c r="E63" s="146">
        <f t="shared" si="33"/>
        <v>144.63204570796569</v>
      </c>
      <c r="F63" s="136">
        <f t="shared" si="34"/>
        <v>-164884.76094243204</v>
      </c>
      <c r="G63" s="146">
        <f t="shared" si="35"/>
        <v>83.006</v>
      </c>
      <c r="H63" s="349">
        <f t="shared" si="5"/>
        <v>-102245.65574627154</v>
      </c>
      <c r="I63" s="146">
        <f t="shared" si="6"/>
        <v>144.84847122915212</v>
      </c>
      <c r="J63" s="136">
        <f t="shared" si="7"/>
        <v>-164882.83249401307</v>
      </c>
      <c r="K63" s="146">
        <f t="shared" si="8"/>
        <v>77.928816283840845</v>
      </c>
      <c r="L63" s="146">
        <f t="shared" si="36"/>
        <v>3485.3513882889674</v>
      </c>
      <c r="M63" s="146">
        <f t="shared" si="37"/>
        <v>51.901045185632761</v>
      </c>
      <c r="N63" s="134">
        <f t="shared" si="38"/>
        <v>-18958.34382711981</v>
      </c>
      <c r="O63" s="134"/>
      <c r="Q63" s="139">
        <f t="shared" si="9"/>
        <v>0</v>
      </c>
      <c r="R63" s="139">
        <f t="shared" si="10"/>
        <v>92.539694999999995</v>
      </c>
      <c r="S63" s="139">
        <f t="shared" si="11"/>
        <v>-135.30881533537709</v>
      </c>
      <c r="T63" s="139">
        <f t="shared" si="12"/>
        <v>-10.63351351351352</v>
      </c>
      <c r="U63" s="139">
        <f t="shared" si="13"/>
        <v>1.5015886632578543</v>
      </c>
      <c r="V63" s="139">
        <f t="shared" si="14"/>
        <v>0</v>
      </c>
      <c r="W63" s="139">
        <f t="shared" si="15"/>
        <v>0</v>
      </c>
      <c r="X63" s="139">
        <f t="shared" si="16"/>
        <v>0</v>
      </c>
      <c r="Z63" s="139">
        <f t="shared" si="17"/>
        <v>-6657.6530000000002</v>
      </c>
      <c r="AA63" s="139">
        <f t="shared" si="18"/>
        <v>40017.165405405431</v>
      </c>
      <c r="AB63" s="139">
        <f t="shared" si="19"/>
        <v>-50235.163388271198</v>
      </c>
      <c r="AC63" s="139">
        <f t="shared" si="20"/>
        <v>-2299.1380569758981</v>
      </c>
      <c r="AD63" s="139">
        <f t="shared" si="21"/>
        <v>216.44521272185304</v>
      </c>
      <c r="AE63" s="139">
        <f t="shared" si="22"/>
        <v>0</v>
      </c>
      <c r="AF63" s="139">
        <f t="shared" si="23"/>
        <v>0</v>
      </c>
      <c r="AG63" s="139">
        <f t="shared" si="24"/>
        <v>0</v>
      </c>
      <c r="AP63" s="134">
        <f t="shared" si="39"/>
        <v>9.5517862986074759E-2</v>
      </c>
      <c r="AQ63" s="134">
        <f t="shared" si="40"/>
        <v>0.21642552118643721</v>
      </c>
      <c r="AR63" s="134">
        <f t="shared" si="41"/>
        <v>1.9284484189702198E-3</v>
      </c>
      <c r="AS63" s="134">
        <f t="shared" si="42"/>
        <v>-5.0771837161591549</v>
      </c>
      <c r="AT63" s="134">
        <f t="shared" si="43"/>
        <v>-105731.00713456051</v>
      </c>
      <c r="AU63" s="136">
        <f t="shared" si="44"/>
        <v>92.947426043519357</v>
      </c>
      <c r="AV63" s="134">
        <f t="shared" si="45"/>
        <v>-145924.48866689327</v>
      </c>
      <c r="AX63" s="70"/>
    </row>
    <row r="64" spans="1:50" x14ac:dyDescent="0.35">
      <c r="A64" s="190" t="s">
        <v>145</v>
      </c>
      <c r="B64" s="66">
        <f t="shared" si="25"/>
        <v>441.89189189189221</v>
      </c>
      <c r="C64" s="118">
        <f t="shared" si="31"/>
        <v>4.4189189189189224E-2</v>
      </c>
      <c r="D64" s="349">
        <f t="shared" si="32"/>
        <v>-101555.98171736572</v>
      </c>
      <c r="E64" s="146">
        <f t="shared" si="33"/>
        <v>146.42822707660528</v>
      </c>
      <c r="F64" s="136">
        <f t="shared" si="34"/>
        <v>-166261.42800662245</v>
      </c>
      <c r="G64" s="146">
        <f t="shared" si="35"/>
        <v>83.006</v>
      </c>
      <c r="H64" s="349">
        <f t="shared" si="5"/>
        <v>-101510.40399436484</v>
      </c>
      <c r="I64" s="146">
        <f t="shared" si="6"/>
        <v>146.53042642435446</v>
      </c>
      <c r="J64" s="136">
        <f t="shared" si="7"/>
        <v>-166261.01134674854</v>
      </c>
      <c r="K64" s="146">
        <f t="shared" si="8"/>
        <v>77.534369451414094</v>
      </c>
      <c r="L64" s="146">
        <f t="shared" si="36"/>
        <v>3739.0585058595789</v>
      </c>
      <c r="M64" s="146">
        <f t="shared" si="37"/>
        <v>52.48141406756627</v>
      </c>
      <c r="N64" s="134">
        <f t="shared" si="38"/>
        <v>-19452.052845619048</v>
      </c>
      <c r="O64" s="134"/>
      <c r="Q64" s="139">
        <f t="shared" si="9"/>
        <v>0</v>
      </c>
      <c r="R64" s="139">
        <f t="shared" si="10"/>
        <v>92.539694999999995</v>
      </c>
      <c r="S64" s="139">
        <f t="shared" si="11"/>
        <v>-135.72298914685771</v>
      </c>
      <c r="T64" s="139">
        <f t="shared" si="12"/>
        <v>-10.86612162162163</v>
      </c>
      <c r="U64" s="139">
        <f t="shared" si="13"/>
        <v>1.5680017009130776</v>
      </c>
      <c r="V64" s="139">
        <f t="shared" si="14"/>
        <v>0</v>
      </c>
      <c r="W64" s="139">
        <f t="shared" si="15"/>
        <v>0</v>
      </c>
      <c r="X64" s="139">
        <f t="shared" si="16"/>
        <v>0</v>
      </c>
      <c r="Z64" s="139">
        <f t="shared" si="17"/>
        <v>-6657.6530000000002</v>
      </c>
      <c r="AA64" s="139">
        <f t="shared" si="18"/>
        <v>40892.540898648673</v>
      </c>
      <c r="AB64" s="139">
        <f t="shared" si="19"/>
        <v>-51517.077636516893</v>
      </c>
      <c r="AC64" s="139">
        <f t="shared" si="20"/>
        <v>-2400.8255204528887</v>
      </c>
      <c r="AD64" s="139">
        <f t="shared" si="21"/>
        <v>230.96241270206156</v>
      </c>
      <c r="AE64" s="139">
        <f t="shared" si="22"/>
        <v>0</v>
      </c>
      <c r="AF64" s="139">
        <f t="shared" si="23"/>
        <v>0</v>
      </c>
      <c r="AG64" s="139">
        <f t="shared" si="24"/>
        <v>0</v>
      </c>
      <c r="AP64" s="134">
        <f t="shared" si="39"/>
        <v>4.5577723000882545E-2</v>
      </c>
      <c r="AQ64" s="134">
        <f t="shared" si="40"/>
        <v>0.1021993477491776</v>
      </c>
      <c r="AR64" s="134">
        <f t="shared" si="41"/>
        <v>4.1665987391024825E-4</v>
      </c>
      <c r="AS64" s="134">
        <f t="shared" si="42"/>
        <v>-5.4716305485859067</v>
      </c>
      <c r="AT64" s="134">
        <f t="shared" si="43"/>
        <v>-105249.46250022441</v>
      </c>
      <c r="AU64" s="136">
        <f t="shared" si="44"/>
        <v>94.049012356788182</v>
      </c>
      <c r="AV64" s="134">
        <f t="shared" si="45"/>
        <v>-146808.9585011295</v>
      </c>
      <c r="AX64" s="70"/>
    </row>
    <row r="65" spans="1:50" x14ac:dyDescent="0.35">
      <c r="A65" s="190" t="s">
        <v>145</v>
      </c>
      <c r="B65" s="66">
        <f t="shared" si="25"/>
        <v>451.3513513513517</v>
      </c>
      <c r="C65" s="118">
        <f t="shared" si="31"/>
        <v>4.5135135135135167E-2</v>
      </c>
      <c r="D65" s="349">
        <f t="shared" si="32"/>
        <v>-100770.78982547384</v>
      </c>
      <c r="E65" s="146">
        <f t="shared" si="33"/>
        <v>148.18636239413186</v>
      </c>
      <c r="F65" s="136">
        <f t="shared" si="34"/>
        <v>-167654.90474390637</v>
      </c>
      <c r="G65" s="146">
        <f t="shared" si="35"/>
        <v>83.006</v>
      </c>
      <c r="H65" s="349">
        <f t="shared" si="5"/>
        <v>-100778.60974126734</v>
      </c>
      <c r="I65" s="146">
        <f t="shared" si="6"/>
        <v>148.16901087750009</v>
      </c>
      <c r="J65" s="136">
        <f t="shared" si="7"/>
        <v>-167654.89302922014</v>
      </c>
      <c r="K65" s="146">
        <f t="shared" si="8"/>
        <v>77.196887088165781</v>
      </c>
      <c r="L65" s="146">
        <f t="shared" si="36"/>
        <v>3993.6959136446058</v>
      </c>
      <c r="M65" s="146">
        <f t="shared" si="37"/>
        <v>53.05157300534438</v>
      </c>
      <c r="N65" s="134">
        <f t="shared" si="38"/>
        <v>-19951.20325363247</v>
      </c>
      <c r="O65" s="134"/>
      <c r="Q65" s="139">
        <f t="shared" si="9"/>
        <v>0</v>
      </c>
      <c r="R65" s="139">
        <f t="shared" si="10"/>
        <v>92.539694999999995</v>
      </c>
      <c r="S65" s="139">
        <f t="shared" si="11"/>
        <v>-136.12839008145832</v>
      </c>
      <c r="T65" s="139">
        <f t="shared" si="12"/>
        <v>-11.098729729729738</v>
      </c>
      <c r="U65" s="139">
        <f t="shared" si="13"/>
        <v>1.6358518058436839</v>
      </c>
      <c r="V65" s="139">
        <f t="shared" si="14"/>
        <v>0</v>
      </c>
      <c r="W65" s="139">
        <f t="shared" si="15"/>
        <v>0</v>
      </c>
      <c r="X65" s="139">
        <f t="shared" si="16"/>
        <v>0</v>
      </c>
      <c r="Z65" s="139">
        <f t="shared" si="17"/>
        <v>-6657.6530000000002</v>
      </c>
      <c r="AA65" s="139">
        <f t="shared" si="18"/>
        <v>41767.916391891922</v>
      </c>
      <c r="AB65" s="139">
        <f t="shared" si="19"/>
        <v>-52802.867955685288</v>
      </c>
      <c r="AC65" s="139">
        <f t="shared" si="20"/>
        <v>-2504.7133308984698</v>
      </c>
      <c r="AD65" s="139">
        <f t="shared" si="21"/>
        <v>246.11464105936525</v>
      </c>
      <c r="AE65" s="139">
        <f t="shared" si="22"/>
        <v>0</v>
      </c>
      <c r="AF65" s="139">
        <f t="shared" si="23"/>
        <v>0</v>
      </c>
      <c r="AG65" s="139">
        <f t="shared" si="24"/>
        <v>0</v>
      </c>
      <c r="AP65" s="134">
        <f t="shared" si="39"/>
        <v>-7.8199157935014228E-3</v>
      </c>
      <c r="AQ65" s="134">
        <f t="shared" si="40"/>
        <v>-1.7351516631777031E-2</v>
      </c>
      <c r="AR65" s="134">
        <f t="shared" si="41"/>
        <v>1.1714686232153326E-5</v>
      </c>
      <c r="AS65" s="134">
        <f t="shared" si="42"/>
        <v>-5.8091129118342195</v>
      </c>
      <c r="AT65" s="134">
        <f t="shared" si="43"/>
        <v>-104772.30565491195</v>
      </c>
      <c r="AU65" s="136">
        <f t="shared" si="44"/>
        <v>95.117437872155705</v>
      </c>
      <c r="AV65" s="134">
        <f t="shared" si="45"/>
        <v>-147703.68977558767</v>
      </c>
      <c r="AX65" s="70"/>
    </row>
    <row r="66" spans="1:50" x14ac:dyDescent="0.35">
      <c r="A66" s="190" t="s">
        <v>145</v>
      </c>
      <c r="B66" s="66">
        <f t="shared" si="25"/>
        <v>460.81081081081118</v>
      </c>
      <c r="C66" s="118">
        <f t="shared" si="31"/>
        <v>4.6081081081081117E-2</v>
      </c>
      <c r="D66" s="349">
        <f t="shared" si="32"/>
        <v>-99985.597933581928</v>
      </c>
      <c r="E66" s="146">
        <f t="shared" si="33"/>
        <v>149.90803004050343</v>
      </c>
      <c r="F66" s="136">
        <f t="shared" si="34"/>
        <v>-169064.83880359778</v>
      </c>
      <c r="G66" s="146">
        <f t="shared" si="35"/>
        <v>83.006</v>
      </c>
      <c r="H66" s="349">
        <f t="shared" si="5"/>
        <v>-100049.75921235212</v>
      </c>
      <c r="I66" s="146">
        <f t="shared" si="6"/>
        <v>149.76715068193224</v>
      </c>
      <c r="J66" s="136">
        <f t="shared" si="7"/>
        <v>-169064.08135091828</v>
      </c>
      <c r="K66" s="146">
        <f t="shared" si="8"/>
        <v>76.911158886235839</v>
      </c>
      <c r="L66" s="146">
        <f t="shared" si="36"/>
        <v>4249.2364238847767</v>
      </c>
      <c r="M66" s="146">
        <f t="shared" si="37"/>
        <v>53.611885950878971</v>
      </c>
      <c r="N66" s="134">
        <f t="shared" si="38"/>
        <v>-20455.700210236497</v>
      </c>
      <c r="O66" s="134"/>
      <c r="Q66" s="139">
        <f t="shared" si="9"/>
        <v>0</v>
      </c>
      <c r="R66" s="139">
        <f t="shared" si="10"/>
        <v>92.539694999999995</v>
      </c>
      <c r="S66" s="139">
        <f t="shared" si="11"/>
        <v>-136.52538209109079</v>
      </c>
      <c r="T66" s="139">
        <f t="shared" si="12"/>
        <v>-11.331337837837847</v>
      </c>
      <c r="U66" s="139">
        <f t="shared" si="13"/>
        <v>1.705138978049674</v>
      </c>
      <c r="V66" s="139">
        <f t="shared" si="14"/>
        <v>0</v>
      </c>
      <c r="W66" s="139">
        <f t="shared" si="15"/>
        <v>0</v>
      </c>
      <c r="X66" s="139">
        <f t="shared" si="16"/>
        <v>0</v>
      </c>
      <c r="Z66" s="139">
        <f t="shared" si="17"/>
        <v>-6657.6530000000002</v>
      </c>
      <c r="AA66" s="139">
        <f t="shared" si="18"/>
        <v>42643.291885135164</v>
      </c>
      <c r="AB66" s="139">
        <f t="shared" si="19"/>
        <v>-54092.453098732418</v>
      </c>
      <c r="AC66" s="139">
        <f t="shared" si="20"/>
        <v>-2610.8014883126411</v>
      </c>
      <c r="AD66" s="139">
        <f t="shared" si="21"/>
        <v>261.91549167339605</v>
      </c>
      <c r="AE66" s="139">
        <f t="shared" si="22"/>
        <v>0</v>
      </c>
      <c r="AF66" s="139">
        <f t="shared" si="23"/>
        <v>0</v>
      </c>
      <c r="AG66" s="139">
        <f t="shared" si="24"/>
        <v>0</v>
      </c>
      <c r="AP66" s="134">
        <f t="shared" si="39"/>
        <v>-6.4161278770188804E-2</v>
      </c>
      <c r="AQ66" s="134">
        <f t="shared" si="40"/>
        <v>-0.1408793585711976</v>
      </c>
      <c r="AR66" s="134">
        <f t="shared" si="41"/>
        <v>7.5745267950696874E-4</v>
      </c>
      <c r="AS66" s="134">
        <f t="shared" si="42"/>
        <v>-6.0948411137641614</v>
      </c>
      <c r="AT66" s="134">
        <f t="shared" si="43"/>
        <v>-104298.9956362369</v>
      </c>
      <c r="AU66" s="136">
        <f t="shared" si="44"/>
        <v>96.155264731053265</v>
      </c>
      <c r="AV66" s="134">
        <f t="shared" si="45"/>
        <v>-148608.38114068177</v>
      </c>
      <c r="AX66" s="70"/>
    </row>
    <row r="67" spans="1:50" x14ac:dyDescent="0.35">
      <c r="A67" s="190" t="s">
        <v>145</v>
      </c>
      <c r="B67" s="66">
        <f t="shared" si="25"/>
        <v>470.27027027027066</v>
      </c>
      <c r="C67" s="118">
        <f t="shared" si="31"/>
        <v>4.7027027027027067E-2</v>
      </c>
      <c r="D67" s="349">
        <f t="shared" si="32"/>
        <v>-99200.406041690047</v>
      </c>
      <c r="E67" s="146">
        <f t="shared" si="33"/>
        <v>151.59471216726791</v>
      </c>
      <c r="F67" s="136">
        <f t="shared" si="34"/>
        <v>-170490.89230413505</v>
      </c>
      <c r="G67" s="146">
        <f t="shared" si="35"/>
        <v>83.006</v>
      </c>
      <c r="H67" s="349">
        <f t="shared" si="5"/>
        <v>-99323.385414933786</v>
      </c>
      <c r="I67" s="146">
        <f t="shared" si="6"/>
        <v>151.32749301491233</v>
      </c>
      <c r="J67" s="136">
        <f t="shared" si="7"/>
        <v>-170488.20645437916</v>
      </c>
      <c r="K67" s="146">
        <f t="shared" si="8"/>
        <v>76.672493236778251</v>
      </c>
      <c r="L67" s="146">
        <f t="shared" si="36"/>
        <v>4505.6528488208096</v>
      </c>
      <c r="M67" s="146">
        <f t="shared" si="37"/>
        <v>54.162694667182627</v>
      </c>
      <c r="N67" s="134">
        <f t="shared" si="38"/>
        <v>-20965.452210881311</v>
      </c>
      <c r="O67" s="134"/>
      <c r="Q67" s="139">
        <f t="shared" si="9"/>
        <v>0</v>
      </c>
      <c r="R67" s="139">
        <f t="shared" si="10"/>
        <v>92.539694999999995</v>
      </c>
      <c r="S67" s="139">
        <f t="shared" si="11"/>
        <v>-136.91430693876771</v>
      </c>
      <c r="T67" s="139">
        <f t="shared" si="12"/>
        <v>-11.563945945945957</v>
      </c>
      <c r="U67" s="139">
        <f t="shared" si="13"/>
        <v>1.7758632175310476</v>
      </c>
      <c r="V67" s="139">
        <f t="shared" si="14"/>
        <v>0</v>
      </c>
      <c r="W67" s="139">
        <f t="shared" si="15"/>
        <v>0</v>
      </c>
      <c r="X67" s="139">
        <f t="shared" si="16"/>
        <v>0</v>
      </c>
      <c r="Z67" s="139">
        <f t="shared" si="17"/>
        <v>-6657.6530000000002</v>
      </c>
      <c r="AA67" s="139">
        <f t="shared" si="18"/>
        <v>43518.667378378414</v>
      </c>
      <c r="AB67" s="139">
        <f t="shared" si="19"/>
        <v>-55385.75515498811</v>
      </c>
      <c r="AC67" s="139">
        <f t="shared" si="20"/>
        <v>-2719.0899926954025</v>
      </c>
      <c r="AD67" s="139">
        <f t="shared" si="21"/>
        <v>278.37855842378605</v>
      </c>
      <c r="AE67" s="139">
        <f t="shared" si="22"/>
        <v>0</v>
      </c>
      <c r="AF67" s="139">
        <f t="shared" si="23"/>
        <v>0</v>
      </c>
      <c r="AG67" s="139">
        <f t="shared" si="24"/>
        <v>0</v>
      </c>
      <c r="AP67" s="134">
        <f t="shared" si="39"/>
        <v>-0.12297937324373924</v>
      </c>
      <c r="AQ67" s="134">
        <f t="shared" si="40"/>
        <v>-0.26721915235557958</v>
      </c>
      <c r="AR67" s="134">
        <f t="shared" si="41"/>
        <v>2.685849755886011E-3</v>
      </c>
      <c r="AS67" s="134">
        <f t="shared" si="42"/>
        <v>-6.3335067632217488</v>
      </c>
      <c r="AT67" s="134">
        <f t="shared" si="43"/>
        <v>-103829.0382637546</v>
      </c>
      <c r="AU67" s="136">
        <f t="shared" si="44"/>
        <v>97.164798347729715</v>
      </c>
      <c r="AV67" s="134">
        <f t="shared" si="45"/>
        <v>-149522.75424349785</v>
      </c>
      <c r="AX67" s="70"/>
    </row>
    <row r="68" spans="1:50" x14ac:dyDescent="0.35">
      <c r="A68" s="190" t="s">
        <v>145</v>
      </c>
      <c r="B68" s="66">
        <f t="shared" si="25"/>
        <v>479.72972972973014</v>
      </c>
      <c r="C68" s="118">
        <f t="shared" si="31"/>
        <v>4.7972972972973017E-2</v>
      </c>
      <c r="D68" s="349">
        <f t="shared" si="32"/>
        <v>-98415.214149798136</v>
      </c>
      <c r="E68" s="146">
        <f t="shared" si="33"/>
        <v>153.24780236430425</v>
      </c>
      <c r="F68" s="136">
        <f t="shared" si="34"/>
        <v>-171932.74095970092</v>
      </c>
      <c r="G68" s="146">
        <f t="shared" si="35"/>
        <v>83.006</v>
      </c>
      <c r="H68" s="349">
        <f t="shared" si="5"/>
        <v>-98599.063525964506</v>
      </c>
      <c r="I68" s="146">
        <f t="shared" si="6"/>
        <v>152.85243807339452</v>
      </c>
      <c r="J68" s="136">
        <f t="shared" si="7"/>
        <v>-171926.92233144437</v>
      </c>
      <c r="K68" s="146">
        <f t="shared" si="8"/>
        <v>76.476656476241061</v>
      </c>
      <c r="L68" s="146">
        <f t="shared" si="36"/>
        <v>4762.9180006934548</v>
      </c>
      <c r="M68" s="146">
        <f t="shared" si="37"/>
        <v>54.704320496210016</v>
      </c>
      <c r="N68" s="134">
        <f t="shared" si="38"/>
        <v>-21480.370886001914</v>
      </c>
      <c r="O68" s="134"/>
      <c r="Q68" s="139">
        <f t="shared" si="9"/>
        <v>0</v>
      </c>
      <c r="R68" s="139">
        <f t="shared" si="10"/>
        <v>92.539694999999995</v>
      </c>
      <c r="S68" s="139">
        <f t="shared" si="11"/>
        <v>-137.29548596644375</v>
      </c>
      <c r="T68" s="139">
        <f t="shared" si="12"/>
        <v>-11.796554054054065</v>
      </c>
      <c r="U68" s="139">
        <f t="shared" si="13"/>
        <v>1.8480245242878044</v>
      </c>
      <c r="V68" s="139">
        <f t="shared" si="14"/>
        <v>0</v>
      </c>
      <c r="W68" s="139">
        <f t="shared" si="15"/>
        <v>0</v>
      </c>
      <c r="X68" s="139">
        <f t="shared" si="16"/>
        <v>0</v>
      </c>
      <c r="Z68" s="139">
        <f t="shared" si="17"/>
        <v>-6657.6530000000002</v>
      </c>
      <c r="AA68" s="139">
        <f t="shared" si="18"/>
        <v>44394.042871621656</v>
      </c>
      <c r="AB68" s="139">
        <f t="shared" si="19"/>
        <v>-56682.699348766982</v>
      </c>
      <c r="AC68" s="139">
        <f t="shared" si="20"/>
        <v>-2829.5788440467545</v>
      </c>
      <c r="AD68" s="139">
        <f t="shared" si="21"/>
        <v>295.51743519016713</v>
      </c>
      <c r="AE68" s="139">
        <f t="shared" si="22"/>
        <v>0</v>
      </c>
      <c r="AF68" s="139">
        <f t="shared" si="23"/>
        <v>0</v>
      </c>
      <c r="AG68" s="139">
        <f t="shared" si="24"/>
        <v>0</v>
      </c>
      <c r="AP68" s="134">
        <f t="shared" si="39"/>
        <v>-0.18384937616637034</v>
      </c>
      <c r="AQ68" s="134">
        <f t="shared" si="40"/>
        <v>-0.39536429090972547</v>
      </c>
      <c r="AR68" s="134">
        <f t="shared" si="41"/>
        <v>5.8186282565584405E-3</v>
      </c>
      <c r="AS68" s="134">
        <f t="shared" si="42"/>
        <v>-6.5293435237589392</v>
      </c>
      <c r="AT68" s="134">
        <f t="shared" si="43"/>
        <v>-103361.98152665797</v>
      </c>
      <c r="AU68" s="136">
        <f t="shared" si="44"/>
        <v>98.148117577184507</v>
      </c>
      <c r="AV68" s="134">
        <f t="shared" si="45"/>
        <v>-150446.55144544246</v>
      </c>
      <c r="AX68" s="70"/>
    </row>
    <row r="69" spans="1:50" x14ac:dyDescent="0.35">
      <c r="A69" s="190" t="s">
        <v>145</v>
      </c>
      <c r="B69" s="66">
        <f t="shared" si="25"/>
        <v>489.18918918918962</v>
      </c>
      <c r="C69" s="118">
        <f t="shared" si="31"/>
        <v>4.891891891891896E-2</v>
      </c>
      <c r="D69" s="349">
        <f t="shared" si="32"/>
        <v>-97630.022257906254</v>
      </c>
      <c r="E69" s="146">
        <f t="shared" si="33"/>
        <v>154.86861257791782</v>
      </c>
      <c r="F69" s="136">
        <f t="shared" si="34"/>
        <v>-173390.07327575263</v>
      </c>
      <c r="G69" s="146">
        <f t="shared" si="35"/>
        <v>83.006</v>
      </c>
      <c r="H69" s="349">
        <f t="shared" si="5"/>
        <v>-97876.406814858958</v>
      </c>
      <c r="I69" s="146">
        <f t="shared" si="6"/>
        <v>154.34416678623191</v>
      </c>
      <c r="J69" s="136">
        <f t="shared" si="7"/>
        <v>-173379.90462109679</v>
      </c>
      <c r="K69" s="146">
        <f t="shared" si="8"/>
        <v>76.319820275331381</v>
      </c>
      <c r="L69" s="146">
        <f t="shared" si="36"/>
        <v>5021.0046917434447</v>
      </c>
      <c r="M69" s="146">
        <f t="shared" si="37"/>
        <v>55.237065954071767</v>
      </c>
      <c r="N69" s="134">
        <f t="shared" si="38"/>
        <v>-22000.370815518712</v>
      </c>
      <c r="O69" s="134"/>
      <c r="Q69" s="139">
        <f t="shared" si="9"/>
        <v>0</v>
      </c>
      <c r="R69" s="139">
        <f t="shared" si="10"/>
        <v>92.539694999999995</v>
      </c>
      <c r="S69" s="139">
        <f t="shared" si="11"/>
        <v>-137.66922169022953</v>
      </c>
      <c r="T69" s="139">
        <f t="shared" si="12"/>
        <v>-12.029162162162173</v>
      </c>
      <c r="U69" s="139">
        <f t="shared" si="13"/>
        <v>1.9216228983199448</v>
      </c>
      <c r="V69" s="139">
        <f t="shared" si="14"/>
        <v>0</v>
      </c>
      <c r="W69" s="139">
        <f t="shared" si="15"/>
        <v>0</v>
      </c>
      <c r="X69" s="139">
        <f t="shared" si="16"/>
        <v>0</v>
      </c>
      <c r="Z69" s="139">
        <f t="shared" si="17"/>
        <v>-6657.6530000000002</v>
      </c>
      <c r="AA69" s="139">
        <f t="shared" si="18"/>
        <v>45269.418364864905</v>
      </c>
      <c r="AB69" s="139">
        <f t="shared" si="19"/>
        <v>-57983.213853869092</v>
      </c>
      <c r="AC69" s="139">
        <f t="shared" si="20"/>
        <v>-2942.2680423666966</v>
      </c>
      <c r="AD69" s="139">
        <f t="shared" si="21"/>
        <v>313.34571585217151</v>
      </c>
      <c r="AE69" s="139">
        <f t="shared" si="22"/>
        <v>0</v>
      </c>
      <c r="AF69" s="139">
        <f t="shared" si="23"/>
        <v>0</v>
      </c>
      <c r="AG69" s="139">
        <f t="shared" si="24"/>
        <v>0</v>
      </c>
      <c r="AP69" s="134">
        <f t="shared" si="39"/>
        <v>-0.24638455695270386</v>
      </c>
      <c r="AQ69" s="134">
        <f t="shared" si="40"/>
        <v>-0.52444579168590622</v>
      </c>
      <c r="AR69" s="134">
        <f t="shared" si="41"/>
        <v>1.0168654655833961E-2</v>
      </c>
      <c r="AS69" s="134">
        <f t="shared" si="42"/>
        <v>-6.6861797246686194</v>
      </c>
      <c r="AT69" s="134">
        <f t="shared" si="43"/>
        <v>-102897.4115066024</v>
      </c>
      <c r="AU69" s="136">
        <f t="shared" si="44"/>
        <v>99.107100832160143</v>
      </c>
      <c r="AV69" s="134">
        <f t="shared" si="45"/>
        <v>-151379.53380557807</v>
      </c>
      <c r="AX69" s="70"/>
    </row>
    <row r="70" spans="1:50" x14ac:dyDescent="0.35">
      <c r="A70" s="190" t="s">
        <v>145</v>
      </c>
      <c r="B70" s="66">
        <f t="shared" si="25"/>
        <v>498.6486486486491</v>
      </c>
      <c r="C70" s="118">
        <f t="shared" si="31"/>
        <v>4.9864864864864911E-2</v>
      </c>
      <c r="D70" s="349">
        <f t="shared" si="32"/>
        <v>-96844.830366014372</v>
      </c>
      <c r="E70" s="146">
        <f t="shared" si="33"/>
        <v>156.45837936633586</v>
      </c>
      <c r="F70" s="136">
        <f t="shared" si="34"/>
        <v>-174862.58980679544</v>
      </c>
      <c r="G70" s="146">
        <f t="shared" si="35"/>
        <v>83.006</v>
      </c>
      <c r="H70" s="349">
        <f t="shared" si="5"/>
        <v>-97155.063030388206</v>
      </c>
      <c r="I70" s="146">
        <f t="shared" si="6"/>
        <v>155.80466493220328</v>
      </c>
      <c r="J70" s="136">
        <f t="shared" si="7"/>
        <v>-174846.84865198695</v>
      </c>
      <c r="K70" s="146">
        <f t="shared" si="8"/>
        <v>76.198515946880775</v>
      </c>
      <c r="L70" s="146">
        <f t="shared" si="36"/>
        <v>5279.8857342115152</v>
      </c>
      <c r="M70" s="146">
        <f t="shared" si="37"/>
        <v>55.761216173462785</v>
      </c>
      <c r="N70" s="134">
        <f t="shared" si="38"/>
        <v>-22525.369357690899</v>
      </c>
      <c r="O70" s="134"/>
      <c r="Q70" s="139">
        <f t="shared" si="9"/>
        <v>0</v>
      </c>
      <c r="R70" s="139">
        <f t="shared" si="10"/>
        <v>92.539694999999995</v>
      </c>
      <c r="S70" s="139">
        <f t="shared" si="11"/>
        <v>-138.03579924281996</v>
      </c>
      <c r="T70" s="139">
        <f t="shared" si="12"/>
        <v>-12.261770270270281</v>
      </c>
      <c r="U70" s="139">
        <f t="shared" si="13"/>
        <v>1.9966583396274689</v>
      </c>
      <c r="V70" s="139">
        <f t="shared" si="14"/>
        <v>0</v>
      </c>
      <c r="W70" s="139">
        <f t="shared" si="15"/>
        <v>0</v>
      </c>
      <c r="X70" s="139">
        <f t="shared" si="16"/>
        <v>0</v>
      </c>
      <c r="Z70" s="139">
        <f t="shared" si="17"/>
        <v>-6657.6530000000002</v>
      </c>
      <c r="AA70" s="139">
        <f t="shared" si="18"/>
        <v>46144.793858108147</v>
      </c>
      <c r="AB70" s="139">
        <f t="shared" si="19"/>
        <v>-59287.229622433253</v>
      </c>
      <c r="AC70" s="139">
        <f t="shared" si="20"/>
        <v>-3057.1575876552283</v>
      </c>
      <c r="AD70" s="139">
        <f t="shared" si="21"/>
        <v>331.87699428943091</v>
      </c>
      <c r="AE70" s="139">
        <f t="shared" si="22"/>
        <v>0</v>
      </c>
      <c r="AF70" s="139">
        <f t="shared" si="23"/>
        <v>0</v>
      </c>
      <c r="AG70" s="139">
        <f t="shared" si="24"/>
        <v>0</v>
      </c>
      <c r="AP70" s="134">
        <f t="shared" si="39"/>
        <v>-0.31023266437383429</v>
      </c>
      <c r="AQ70" s="134">
        <f t="shared" si="40"/>
        <v>-0.65371443413258135</v>
      </c>
      <c r="AR70" s="134">
        <f t="shared" si="41"/>
        <v>1.5741154808492867E-2</v>
      </c>
      <c r="AS70" s="134">
        <f t="shared" si="42"/>
        <v>-6.8074840531192251</v>
      </c>
      <c r="AT70" s="134">
        <f t="shared" si="43"/>
        <v>-102434.94876459971</v>
      </c>
      <c r="AU70" s="136">
        <f t="shared" si="44"/>
        <v>100.0434487587405</v>
      </c>
      <c r="AV70" s="134">
        <f t="shared" si="45"/>
        <v>-152321.47929429606</v>
      </c>
      <c r="AX70" s="70"/>
    </row>
    <row r="71" spans="1:50" x14ac:dyDescent="0.35">
      <c r="A71" s="190" t="s">
        <v>145</v>
      </c>
      <c r="B71" s="66">
        <f t="shared" si="25"/>
        <v>508.10810810810858</v>
      </c>
      <c r="C71" s="118">
        <f t="shared" si="31"/>
        <v>5.0810810810810861E-2</v>
      </c>
      <c r="D71" s="349">
        <f t="shared" si="32"/>
        <v>-96059.638474122461</v>
      </c>
      <c r="E71" s="146">
        <f t="shared" si="33"/>
        <v>158.01826956732947</v>
      </c>
      <c r="F71" s="136">
        <f t="shared" si="34"/>
        <v>-176350.00247049535</v>
      </c>
      <c r="G71" s="146">
        <f t="shared" si="35"/>
        <v>83.006</v>
      </c>
      <c r="H71" s="349">
        <f t="shared" si="5"/>
        <v>-96434.711191165145</v>
      </c>
      <c r="I71" s="146">
        <f t="shared" si="6"/>
        <v>157.2357441893989</v>
      </c>
      <c r="J71" s="136">
        <f t="shared" si="7"/>
        <v>-176327.46769821117</v>
      </c>
      <c r="K71" s="146">
        <f t="shared" si="8"/>
        <v>76.109594651921995</v>
      </c>
      <c r="L71" s="146">
        <f t="shared" si="36"/>
        <v>5539.5339403383914</v>
      </c>
      <c r="M71" s="146">
        <f t="shared" si="37"/>
        <v>56.277040210534892</v>
      </c>
      <c r="N71" s="134">
        <f t="shared" si="38"/>
        <v>-23055.286490960447</v>
      </c>
      <c r="O71" s="134"/>
      <c r="Q71" s="139">
        <f t="shared" si="9"/>
        <v>0</v>
      </c>
      <c r="R71" s="139">
        <f t="shared" si="10"/>
        <v>92.539694999999995</v>
      </c>
      <c r="S71" s="139">
        <f t="shared" si="11"/>
        <v>-138.39548768036687</v>
      </c>
      <c r="T71" s="139">
        <f t="shared" si="12"/>
        <v>-12.494378378378391</v>
      </c>
      <c r="U71" s="139">
        <f t="shared" si="13"/>
        <v>2.0731308482103765</v>
      </c>
      <c r="V71" s="139">
        <f t="shared" si="14"/>
        <v>0</v>
      </c>
      <c r="W71" s="139">
        <f t="shared" si="15"/>
        <v>0</v>
      </c>
      <c r="X71" s="139">
        <f t="shared" si="16"/>
        <v>0</v>
      </c>
      <c r="Z71" s="139">
        <f t="shared" si="17"/>
        <v>-6657.6530000000002</v>
      </c>
      <c r="AA71" s="139">
        <f t="shared" si="18"/>
        <v>47020.169351351389</v>
      </c>
      <c r="AB71" s="139">
        <f t="shared" si="19"/>
        <v>-60594.680226781064</v>
      </c>
      <c r="AC71" s="139">
        <f t="shared" si="20"/>
        <v>-3174.2474799123511</v>
      </c>
      <c r="AD71" s="139">
        <f t="shared" si="21"/>
        <v>351.12486438157759</v>
      </c>
      <c r="AE71" s="139">
        <f t="shared" si="22"/>
        <v>0</v>
      </c>
      <c r="AF71" s="139">
        <f t="shared" si="23"/>
        <v>0</v>
      </c>
      <c r="AG71" s="139">
        <f t="shared" si="24"/>
        <v>0</v>
      </c>
      <c r="AP71" s="134">
        <f t="shared" si="39"/>
        <v>-0.37507271704268352</v>
      </c>
      <c r="AQ71" s="134">
        <f t="shared" si="40"/>
        <v>-0.78252537793056831</v>
      </c>
      <c r="AR71" s="134">
        <f t="shared" si="41"/>
        <v>2.2534772284183418E-2</v>
      </c>
      <c r="AS71" s="134">
        <f t="shared" si="42"/>
        <v>-6.8964053480780052</v>
      </c>
      <c r="AT71" s="134">
        <f t="shared" si="43"/>
        <v>-101974.24513150353</v>
      </c>
      <c r="AU71" s="136">
        <f t="shared" si="44"/>
        <v>100.95870397886401</v>
      </c>
      <c r="AV71" s="134">
        <f t="shared" si="45"/>
        <v>-153272.18120725072</v>
      </c>
      <c r="AX71" s="70"/>
    </row>
    <row r="72" spans="1:50" x14ac:dyDescent="0.35">
      <c r="A72" s="190" t="s">
        <v>145</v>
      </c>
      <c r="B72" s="66">
        <f t="shared" si="25"/>
        <v>517.56756756756806</v>
      </c>
      <c r="C72" s="118">
        <f t="shared" si="31"/>
        <v>5.1756756756756804E-2</v>
      </c>
      <c r="D72" s="349">
        <f t="shared" si="32"/>
        <v>-95274.446582230594</v>
      </c>
      <c r="E72" s="146">
        <f t="shared" si="33"/>
        <v>159.54938544303658</v>
      </c>
      <c r="F72" s="136">
        <f t="shared" si="34"/>
        <v>-177852.03391288337</v>
      </c>
      <c r="G72" s="146">
        <f t="shared" si="35"/>
        <v>83.006</v>
      </c>
      <c r="H72" s="349">
        <f t="shared" si="5"/>
        <v>-95715.058728087184</v>
      </c>
      <c r="I72" s="146">
        <f t="shared" si="6"/>
        <v>158.63906055637989</v>
      </c>
      <c r="J72" s="136">
        <f t="shared" si="7"/>
        <v>-177821.49142145689</v>
      </c>
      <c r="K72" s="146">
        <f t="shared" si="8"/>
        <v>76.050192649612114</v>
      </c>
      <c r="L72" s="146">
        <f t="shared" si="36"/>
        <v>5799.922122364831</v>
      </c>
      <c r="M72" s="146">
        <f t="shared" si="37"/>
        <v>56.784792231219669</v>
      </c>
      <c r="N72" s="134">
        <f t="shared" si="38"/>
        <v>-23590.044667577269</v>
      </c>
      <c r="O72" s="134"/>
      <c r="Q72" s="139">
        <f t="shared" si="9"/>
        <v>0</v>
      </c>
      <c r="R72" s="139">
        <f t="shared" si="10"/>
        <v>92.539694999999995</v>
      </c>
      <c r="S72" s="139">
        <f t="shared" si="11"/>
        <v>-138.74854116880184</v>
      </c>
      <c r="T72" s="139">
        <f t="shared" si="12"/>
        <v>-12.726986486486499</v>
      </c>
      <c r="U72" s="139">
        <f t="shared" si="13"/>
        <v>2.1510404240686674</v>
      </c>
      <c r="V72" s="139">
        <f t="shared" si="14"/>
        <v>0</v>
      </c>
      <c r="W72" s="139">
        <f t="shared" si="15"/>
        <v>0</v>
      </c>
      <c r="X72" s="139">
        <f t="shared" si="16"/>
        <v>0</v>
      </c>
      <c r="Z72" s="139">
        <f t="shared" si="17"/>
        <v>-6657.6530000000002</v>
      </c>
      <c r="AA72" s="139">
        <f t="shared" si="18"/>
        <v>47895.544844594639</v>
      </c>
      <c r="AB72" s="139">
        <f t="shared" si="19"/>
        <v>-61905.501713042089</v>
      </c>
      <c r="AC72" s="139">
        <f t="shared" si="20"/>
        <v>-3293.5377191380635</v>
      </c>
      <c r="AD72" s="139">
        <f t="shared" si="21"/>
        <v>371.10292000824347</v>
      </c>
      <c r="AE72" s="139">
        <f t="shared" si="22"/>
        <v>0</v>
      </c>
      <c r="AF72" s="139">
        <f t="shared" si="23"/>
        <v>0</v>
      </c>
      <c r="AG72" s="139">
        <f t="shared" si="24"/>
        <v>0</v>
      </c>
      <c r="AP72" s="134">
        <f t="shared" si="39"/>
        <v>-0.44061214585659036</v>
      </c>
      <c r="AQ72" s="134">
        <f t="shared" si="40"/>
        <v>-0.91032488665669575</v>
      </c>
      <c r="AR72" s="134">
        <f t="shared" si="41"/>
        <v>3.0542491426487687E-2</v>
      </c>
      <c r="AS72" s="134">
        <f t="shared" si="42"/>
        <v>-6.9558073503878859</v>
      </c>
      <c r="AT72" s="134">
        <f t="shared" si="43"/>
        <v>-101514.98085045202</v>
      </c>
      <c r="AU72" s="136">
        <f t="shared" si="44"/>
        <v>101.85426832516022</v>
      </c>
      <c r="AV72" s="134">
        <f t="shared" si="45"/>
        <v>-154231.4467538796</v>
      </c>
      <c r="AX72" s="70"/>
    </row>
    <row r="73" spans="1:50" x14ac:dyDescent="0.35">
      <c r="A73" s="190" t="s">
        <v>145</v>
      </c>
      <c r="B73" s="66">
        <f t="shared" si="25"/>
        <v>527.02702702702754</v>
      </c>
      <c r="C73" s="118">
        <f t="shared" si="31"/>
        <v>5.2702702702702754E-2</v>
      </c>
      <c r="D73" s="349">
        <f t="shared" si="32"/>
        <v>-94489.254690338683</v>
      </c>
      <c r="E73" s="146">
        <f t="shared" si="33"/>
        <v>161.05276935880906</v>
      </c>
      <c r="F73" s="136">
        <f t="shared" si="34"/>
        <v>-179368.41691998139</v>
      </c>
      <c r="G73" s="146">
        <f t="shared" si="35"/>
        <v>83.006</v>
      </c>
      <c r="H73" s="349">
        <f t="shared" si="5"/>
        <v>-94995.838934515734</v>
      </c>
      <c r="I73" s="146">
        <f t="shared" si="6"/>
        <v>160.01613051547531</v>
      </c>
      <c r="J73" s="136">
        <f t="shared" si="7"/>
        <v>-179328.66447645554</v>
      </c>
      <c r="K73" s="146">
        <f t="shared" si="8"/>
        <v>76.017700873382594</v>
      </c>
      <c r="L73" s="146">
        <f t="shared" si="36"/>
        <v>6061.0230925315482</v>
      </c>
      <c r="M73" s="146">
        <f t="shared" si="37"/>
        <v>57.284712590104007</v>
      </c>
      <c r="N73" s="134">
        <f t="shared" si="38"/>
        <v>-24129.568677928703</v>
      </c>
      <c r="O73" s="134"/>
      <c r="Q73" s="139">
        <f t="shared" si="9"/>
        <v>0</v>
      </c>
      <c r="R73" s="139">
        <f t="shared" si="10"/>
        <v>92.539694999999995</v>
      </c>
      <c r="S73" s="139">
        <f t="shared" si="11"/>
        <v>-139.09520006271174</v>
      </c>
      <c r="T73" s="139">
        <f t="shared" si="12"/>
        <v>-12.959594594594607</v>
      </c>
      <c r="U73" s="139">
        <f t="shared" si="13"/>
        <v>2.2303870672023418</v>
      </c>
      <c r="V73" s="139">
        <f t="shared" si="14"/>
        <v>0</v>
      </c>
      <c r="W73" s="139">
        <f t="shared" si="15"/>
        <v>0</v>
      </c>
      <c r="X73" s="139">
        <f t="shared" si="16"/>
        <v>0</v>
      </c>
      <c r="Z73" s="139">
        <f t="shared" si="17"/>
        <v>-6657.6530000000002</v>
      </c>
      <c r="AA73" s="139">
        <f t="shared" si="18"/>
        <v>48770.920337837881</v>
      </c>
      <c r="AB73" s="139">
        <f t="shared" si="19"/>
        <v>-63219.632465483279</v>
      </c>
      <c r="AC73" s="139">
        <f t="shared" si="20"/>
        <v>-3415.028305332366</v>
      </c>
      <c r="AD73" s="139">
        <f t="shared" si="21"/>
        <v>391.82475504906034</v>
      </c>
      <c r="AE73" s="139">
        <f t="shared" si="22"/>
        <v>0</v>
      </c>
      <c r="AF73" s="139">
        <f t="shared" si="23"/>
        <v>0</v>
      </c>
      <c r="AG73" s="139">
        <f t="shared" si="24"/>
        <v>0</v>
      </c>
      <c r="AP73" s="134">
        <f t="shared" si="39"/>
        <v>-0.50658424417705106</v>
      </c>
      <c r="AQ73" s="134">
        <f t="shared" si="40"/>
        <v>-1.0366388433337477</v>
      </c>
      <c r="AR73" s="134">
        <f t="shared" si="41"/>
        <v>3.9752443525852867E-2</v>
      </c>
      <c r="AS73" s="134">
        <f t="shared" si="42"/>
        <v>-6.9882991266174059</v>
      </c>
      <c r="AT73" s="134">
        <f t="shared" si="43"/>
        <v>-101056.86202704729</v>
      </c>
      <c r="AU73" s="136">
        <f t="shared" si="44"/>
        <v>102.7314179253713</v>
      </c>
      <c r="AV73" s="134">
        <f t="shared" si="45"/>
        <v>-155199.09579852683</v>
      </c>
      <c r="AX73" s="70"/>
    </row>
    <row r="74" spans="1:50" x14ac:dyDescent="0.35">
      <c r="A74" s="190" t="s">
        <v>145</v>
      </c>
      <c r="B74" s="66">
        <f t="shared" si="25"/>
        <v>536.48648648648702</v>
      </c>
      <c r="C74" s="118">
        <f t="shared" si="31"/>
        <v>5.3648648648648704E-2</v>
      </c>
      <c r="D74" s="349">
        <f t="shared" si="32"/>
        <v>-93704.062798446786</v>
      </c>
      <c r="E74" s="146">
        <f t="shared" si="33"/>
        <v>162.5294080458288</v>
      </c>
      <c r="F74" s="136">
        <f t="shared" si="34"/>
        <v>-180898.89387168206</v>
      </c>
      <c r="G74" s="146">
        <f t="shared" si="35"/>
        <v>83.006</v>
      </c>
      <c r="H74" s="349">
        <f t="shared" si="5"/>
        <v>-94276.80868621025</v>
      </c>
      <c r="I74" s="146">
        <f t="shared" si="6"/>
        <v>161.36834525071444</v>
      </c>
      <c r="J74" s="136">
        <f t="shared" si="7"/>
        <v>-180848.74525990442</v>
      </c>
      <c r="K74" s="146">
        <f t="shared" si="8"/>
        <v>76.00973822855002</v>
      </c>
      <c r="L74" s="146">
        <f t="shared" si="36"/>
        <v>6322.8096630792897</v>
      </c>
      <c r="M74" s="146">
        <f t="shared" si="37"/>
        <v>57.777028813328421</v>
      </c>
      <c r="N74" s="134">
        <f t="shared" si="38"/>
        <v>-24673.785524611798</v>
      </c>
      <c r="O74" s="134"/>
      <c r="Q74" s="139">
        <f t="shared" si="9"/>
        <v>0</v>
      </c>
      <c r="R74" s="139">
        <f t="shared" si="10"/>
        <v>92.539694999999995</v>
      </c>
      <c r="S74" s="139">
        <f t="shared" si="11"/>
        <v>-139.4356918882371</v>
      </c>
      <c r="T74" s="139">
        <f t="shared" si="12"/>
        <v>-13.192202702702716</v>
      </c>
      <c r="U74" s="139">
        <f t="shared" si="13"/>
        <v>2.3111707776113999</v>
      </c>
      <c r="V74" s="139">
        <f t="shared" si="14"/>
        <v>0</v>
      </c>
      <c r="W74" s="139">
        <f t="shared" si="15"/>
        <v>0</v>
      </c>
      <c r="X74" s="139">
        <f t="shared" si="16"/>
        <v>0</v>
      </c>
      <c r="Z74" s="139">
        <f t="shared" si="17"/>
        <v>-6657.6530000000002</v>
      </c>
      <c r="AA74" s="139">
        <f t="shared" si="18"/>
        <v>49646.29583108113</v>
      </c>
      <c r="AB74" s="139">
        <f t="shared" si="19"/>
        <v>-64537.013080581331</v>
      </c>
      <c r="AC74" s="139">
        <f t="shared" si="20"/>
        <v>-3538.7192384952596</v>
      </c>
      <c r="AD74" s="139">
        <f t="shared" si="21"/>
        <v>413.30396338366069</v>
      </c>
      <c r="AE74" s="139">
        <f t="shared" si="22"/>
        <v>0</v>
      </c>
      <c r="AF74" s="139">
        <f t="shared" si="23"/>
        <v>0</v>
      </c>
      <c r="AG74" s="139">
        <f t="shared" si="24"/>
        <v>0</v>
      </c>
      <c r="AP74" s="134">
        <f t="shared" si="39"/>
        <v>-0.57274588776346358</v>
      </c>
      <c r="AQ74" s="134">
        <f t="shared" si="40"/>
        <v>-1.1610627951143613</v>
      </c>
      <c r="AR74" s="134">
        <f t="shared" si="41"/>
        <v>5.0148611777636687E-2</v>
      </c>
      <c r="AS74" s="134">
        <f t="shared" si="42"/>
        <v>-6.99626177144998</v>
      </c>
      <c r="AT74" s="134">
        <f t="shared" si="43"/>
        <v>-100599.61834928954</v>
      </c>
      <c r="AU74" s="136">
        <f t="shared" si="44"/>
        <v>103.59131643738601</v>
      </c>
      <c r="AV74" s="134">
        <f t="shared" si="45"/>
        <v>-156174.95973529262</v>
      </c>
      <c r="AX74" s="70"/>
    </row>
    <row r="75" spans="1:50" x14ac:dyDescent="0.35">
      <c r="A75" s="190" t="s">
        <v>145</v>
      </c>
      <c r="B75" s="66">
        <f t="shared" si="25"/>
        <v>545.94594594594651</v>
      </c>
      <c r="C75" s="118">
        <f t="shared" si="31"/>
        <v>5.4594594594594648E-2</v>
      </c>
      <c r="D75" s="349">
        <f t="shared" si="32"/>
        <v>-92918.870906554905</v>
      </c>
      <c r="E75" s="146">
        <f t="shared" si="33"/>
        <v>163.98023649115109</v>
      </c>
      <c r="F75" s="136">
        <f t="shared" si="34"/>
        <v>-182443.2162341564</v>
      </c>
      <c r="G75" s="146">
        <f t="shared" si="35"/>
        <v>83.006</v>
      </c>
      <c r="H75" s="349">
        <f t="shared" si="5"/>
        <v>-93557.746398298565</v>
      </c>
      <c r="I75" s="146">
        <f t="shared" si="6"/>
        <v>162.69698318491865</v>
      </c>
      <c r="J75" s="136">
        <f t="shared" si="7"/>
        <v>-182381.50478574075</v>
      </c>
      <c r="K75" s="146">
        <f t="shared" si="8"/>
        <v>76.024128100093904</v>
      </c>
      <c r="L75" s="146">
        <f t="shared" si="36"/>
        <v>6585.2546462488026</v>
      </c>
      <c r="M75" s="146">
        <f t="shared" si="37"/>
        <v>58.261956495575681</v>
      </c>
      <c r="N75" s="134">
        <f t="shared" si="38"/>
        <v>-25222.624305389847</v>
      </c>
      <c r="O75" s="134"/>
      <c r="Q75" s="139">
        <f t="shared" si="9"/>
        <v>0</v>
      </c>
      <c r="R75" s="139">
        <f t="shared" si="10"/>
        <v>92.539694999999995</v>
      </c>
      <c r="S75" s="139">
        <f t="shared" si="11"/>
        <v>-139.77023224006069</v>
      </c>
      <c r="T75" s="139">
        <f t="shared" si="12"/>
        <v>-13.424810810810826</v>
      </c>
      <c r="U75" s="139">
        <f t="shared" si="13"/>
        <v>2.3933915552958411</v>
      </c>
      <c r="V75" s="139">
        <f t="shared" si="14"/>
        <v>0</v>
      </c>
      <c r="W75" s="139">
        <f t="shared" si="15"/>
        <v>0</v>
      </c>
      <c r="X75" s="139">
        <f t="shared" si="16"/>
        <v>0</v>
      </c>
      <c r="Z75" s="139">
        <f t="shared" si="17"/>
        <v>-6657.6530000000002</v>
      </c>
      <c r="AA75" s="139">
        <f t="shared" si="18"/>
        <v>50521.671324324372</v>
      </c>
      <c r="AB75" s="139">
        <f t="shared" si="19"/>
        <v>-65857.586249979155</v>
      </c>
      <c r="AC75" s="139">
        <f t="shared" si="20"/>
        <v>-3664.6105186267428</v>
      </c>
      <c r="AD75" s="139">
        <f t="shared" si="21"/>
        <v>435.55413889167608</v>
      </c>
      <c r="AE75" s="139">
        <f t="shared" si="22"/>
        <v>0</v>
      </c>
      <c r="AF75" s="139">
        <f t="shared" si="23"/>
        <v>0</v>
      </c>
      <c r="AG75" s="139">
        <f t="shared" si="24"/>
        <v>0</v>
      </c>
      <c r="AP75" s="134">
        <f t="shared" si="39"/>
        <v>-0.63887549174365998</v>
      </c>
      <c r="AQ75" s="134">
        <f t="shared" si="40"/>
        <v>-1.2832533062324387</v>
      </c>
      <c r="AR75" s="134">
        <f t="shared" si="41"/>
        <v>6.1711448415648192E-2</v>
      </c>
      <c r="AS75" s="134">
        <f t="shared" si="42"/>
        <v>-6.9818718999060962</v>
      </c>
      <c r="AT75" s="134">
        <f t="shared" si="43"/>
        <v>-100143.00104454736</v>
      </c>
      <c r="AU75" s="136">
        <f t="shared" si="44"/>
        <v>104.43502668934298</v>
      </c>
      <c r="AV75" s="134">
        <f t="shared" si="45"/>
        <v>-157158.8804803509</v>
      </c>
      <c r="AX75" s="70"/>
    </row>
    <row r="76" spans="1:50" x14ac:dyDescent="0.35">
      <c r="A76" s="190" t="s">
        <v>145</v>
      </c>
      <c r="B76" s="66">
        <f t="shared" si="25"/>
        <v>555.40540540540599</v>
      </c>
      <c r="C76" s="118">
        <f t="shared" si="31"/>
        <v>5.5540540540540598E-2</v>
      </c>
      <c r="D76" s="349">
        <f t="shared" si="32"/>
        <v>-92133.679014663008</v>
      </c>
      <c r="E76" s="146">
        <f t="shared" si="33"/>
        <v>165.40614149358231</v>
      </c>
      <c r="F76" s="136">
        <f t="shared" si="34"/>
        <v>-184001.14408745005</v>
      </c>
      <c r="G76" s="146">
        <f t="shared" si="35"/>
        <v>83.006</v>
      </c>
      <c r="H76" s="349">
        <f t="shared" si="5"/>
        <v>-92838.450191024211</v>
      </c>
      <c r="I76" s="146">
        <f t="shared" si="6"/>
        <v>164.0032210605637</v>
      </c>
      <c r="J76" s="136">
        <f t="shared" si="7"/>
        <v>-183926.72567195902</v>
      </c>
      <c r="K76" s="146">
        <f t="shared" si="8"/>
        <v>76.058877636998915</v>
      </c>
      <c r="L76" s="146">
        <f t="shared" si="36"/>
        <v>6848.3308542808081</v>
      </c>
      <c r="M76" s="146">
        <f t="shared" si="37"/>
        <v>58.739700120005494</v>
      </c>
      <c r="N76" s="134">
        <f t="shared" si="38"/>
        <v>-25776.016104262817</v>
      </c>
      <c r="O76" s="134"/>
      <c r="Q76" s="139">
        <f t="shared" si="9"/>
        <v>0</v>
      </c>
      <c r="R76" s="139">
        <f t="shared" si="10"/>
        <v>92.539694999999995</v>
      </c>
      <c r="S76" s="139">
        <f t="shared" si="11"/>
        <v>-140.09902560134222</v>
      </c>
      <c r="T76" s="139">
        <f t="shared" si="12"/>
        <v>-13.657418918918934</v>
      </c>
      <c r="U76" s="139">
        <f t="shared" si="13"/>
        <v>2.477049400255666</v>
      </c>
      <c r="V76" s="139">
        <f t="shared" si="14"/>
        <v>0</v>
      </c>
      <c r="W76" s="139">
        <f t="shared" si="15"/>
        <v>0</v>
      </c>
      <c r="X76" s="139">
        <f t="shared" si="16"/>
        <v>0</v>
      </c>
      <c r="Z76" s="139">
        <f t="shared" si="17"/>
        <v>-6657.6530000000002</v>
      </c>
      <c r="AA76" s="139">
        <f t="shared" si="18"/>
        <v>51397.046817567621</v>
      </c>
      <c r="AB76" s="139">
        <f t="shared" si="19"/>
        <v>-67181.29665155636</v>
      </c>
      <c r="AC76" s="139">
        <f t="shared" si="20"/>
        <v>-3792.7021457268156</v>
      </c>
      <c r="AD76" s="139">
        <f t="shared" si="21"/>
        <v>458.58887545273865</v>
      </c>
      <c r="AE76" s="139">
        <f t="shared" si="22"/>
        <v>0</v>
      </c>
      <c r="AF76" s="139">
        <f t="shared" si="23"/>
        <v>0</v>
      </c>
      <c r="AG76" s="139">
        <f t="shared" si="24"/>
        <v>0</v>
      </c>
      <c r="AP76" s="134">
        <f t="shared" si="39"/>
        <v>-0.70477117636120235</v>
      </c>
      <c r="AQ76" s="134">
        <f t="shared" si="40"/>
        <v>-1.4029204330186076</v>
      </c>
      <c r="AR76" s="134">
        <f t="shared" si="41"/>
        <v>7.4418415491032647E-2</v>
      </c>
      <c r="AS76" s="134">
        <f t="shared" si="42"/>
        <v>-6.9471223630010854</v>
      </c>
      <c r="AT76" s="134">
        <f t="shared" si="43"/>
        <v>-99686.781045305019</v>
      </c>
      <c r="AU76" s="136">
        <f t="shared" si="44"/>
        <v>105.26352094055821</v>
      </c>
      <c r="AV76" s="134">
        <f t="shared" si="45"/>
        <v>-158150.70956769621</v>
      </c>
      <c r="AX76" s="70"/>
    </row>
    <row r="77" spans="1:50" x14ac:dyDescent="0.35">
      <c r="A77" s="190" t="s">
        <v>145</v>
      </c>
      <c r="B77" s="66">
        <f t="shared" si="25"/>
        <v>564.86486486486547</v>
      </c>
      <c r="C77" s="118">
        <f t="shared" si="31"/>
        <v>5.6486486486486548E-2</v>
      </c>
      <c r="D77" s="349">
        <f t="shared" si="32"/>
        <v>-91348.487122771097</v>
      </c>
      <c r="E77" s="146">
        <f t="shared" si="33"/>
        <v>166.80796491925778</v>
      </c>
      <c r="F77" s="136">
        <f t="shared" si="34"/>
        <v>-185572.44568527088</v>
      </c>
      <c r="G77" s="146">
        <f t="shared" si="35"/>
        <v>83.006</v>
      </c>
      <c r="H77" s="349">
        <f t="shared" si="5"/>
        <v>-92118.73623979649</v>
      </c>
      <c r="I77" s="146">
        <f t="shared" si="6"/>
        <v>165.28814375570272</v>
      </c>
      <c r="J77" s="136">
        <f t="shared" si="7"/>
        <v>-185484.20122612597</v>
      </c>
      <c r="K77" s="146">
        <f t="shared" si="8"/>
        <v>76.11215944435294</v>
      </c>
      <c r="L77" s="146">
        <f t="shared" si="36"/>
        <v>7112.0110994160423</v>
      </c>
      <c r="M77" s="146">
        <f t="shared" si="37"/>
        <v>59.210453808944294</v>
      </c>
      <c r="N77" s="134">
        <f t="shared" si="38"/>
        <v>-26333.893889960636</v>
      </c>
      <c r="O77" s="134"/>
      <c r="Q77" s="139">
        <f t="shared" si="9"/>
        <v>0</v>
      </c>
      <c r="R77" s="139">
        <f t="shared" si="10"/>
        <v>92.539694999999995</v>
      </c>
      <c r="S77" s="139">
        <f t="shared" si="11"/>
        <v>-140.42226609440812</v>
      </c>
      <c r="T77" s="139">
        <f t="shared" si="12"/>
        <v>-13.890027027027042</v>
      </c>
      <c r="U77" s="139">
        <f t="shared" si="13"/>
        <v>2.5621443124908745</v>
      </c>
      <c r="V77" s="139">
        <f t="shared" si="14"/>
        <v>0</v>
      </c>
      <c r="W77" s="139">
        <f t="shared" si="15"/>
        <v>0</v>
      </c>
      <c r="X77" s="139">
        <f t="shared" si="16"/>
        <v>0</v>
      </c>
      <c r="Z77" s="139">
        <f t="shared" si="17"/>
        <v>-6657.6530000000002</v>
      </c>
      <c r="AA77" s="139">
        <f t="shared" si="18"/>
        <v>52272.422310810864</v>
      </c>
      <c r="AB77" s="139">
        <f t="shared" si="19"/>
        <v>-68508.090847922504</v>
      </c>
      <c r="AC77" s="139">
        <f t="shared" si="20"/>
        <v>-3922.9941197954799</v>
      </c>
      <c r="AD77" s="139">
        <f t="shared" si="21"/>
        <v>482.42176694648055</v>
      </c>
      <c r="AE77" s="139">
        <f t="shared" si="22"/>
        <v>0</v>
      </c>
      <c r="AF77" s="139">
        <f t="shared" si="23"/>
        <v>0</v>
      </c>
      <c r="AG77" s="139">
        <f t="shared" si="24"/>
        <v>0</v>
      </c>
      <c r="AP77" s="134">
        <f t="shared" si="39"/>
        <v>-0.77024911702539245</v>
      </c>
      <c r="AQ77" s="134">
        <f t="shared" si="40"/>
        <v>-1.5198211635550649</v>
      </c>
      <c r="AR77" s="134">
        <f t="shared" si="41"/>
        <v>8.8244459144916618E-2</v>
      </c>
      <c r="AS77" s="134">
        <f t="shared" si="42"/>
        <v>-6.8938405556470599</v>
      </c>
      <c r="AT77" s="134">
        <f t="shared" si="43"/>
        <v>-99230.747339212539</v>
      </c>
      <c r="AU77" s="136">
        <f t="shared" si="44"/>
        <v>106.07768994675843</v>
      </c>
      <c r="AV77" s="134">
        <f t="shared" si="45"/>
        <v>-159150.30733616534</v>
      </c>
      <c r="AX77" s="70"/>
    </row>
    <row r="78" spans="1:50" x14ac:dyDescent="0.35">
      <c r="A78" s="190" t="s">
        <v>145</v>
      </c>
      <c r="B78" s="66">
        <f t="shared" si="25"/>
        <v>574.32432432432495</v>
      </c>
      <c r="C78" s="118">
        <f t="shared" si="31"/>
        <v>5.7432432432432498E-2</v>
      </c>
      <c r="D78" s="349">
        <f t="shared" si="32"/>
        <v>-90563.295230879216</v>
      </c>
      <c r="E78" s="146">
        <f t="shared" si="33"/>
        <v>168.18650668684805</v>
      </c>
      <c r="F78" s="136">
        <f t="shared" si="34"/>
        <v>-187156.89704427181</v>
      </c>
      <c r="G78" s="146">
        <f t="shared" si="35"/>
        <v>83.006</v>
      </c>
      <c r="H78" s="349">
        <f t="shared" si="5"/>
        <v>-91398.437288294459</v>
      </c>
      <c r="I78" s="146">
        <f t="shared" si="6"/>
        <v>166.55275299833451</v>
      </c>
      <c r="J78" s="136">
        <f t="shared" si="7"/>
        <v>-187053.73461841911</v>
      </c>
      <c r="K78" s="146">
        <f t="shared" si="8"/>
        <v>76.182295368601856</v>
      </c>
      <c r="L78" s="146">
        <f t="shared" si="36"/>
        <v>7376.2681938952519</v>
      </c>
      <c r="M78" s="146">
        <f t="shared" si="37"/>
        <v>59.674402012231326</v>
      </c>
      <c r="N78" s="134">
        <f t="shared" si="38"/>
        <v>-26896.19242123764</v>
      </c>
      <c r="O78" s="134"/>
      <c r="Q78" s="139">
        <f t="shared" si="9"/>
        <v>0</v>
      </c>
      <c r="R78" s="139">
        <f t="shared" si="10"/>
        <v>92.539694999999995</v>
      </c>
      <c r="S78" s="139">
        <f t="shared" si="11"/>
        <v>-140.74013816909763</v>
      </c>
      <c r="T78" s="139">
        <f t="shared" si="12"/>
        <v>-14.122635135135152</v>
      </c>
      <c r="U78" s="139">
        <f t="shared" si="13"/>
        <v>2.6486762920014666</v>
      </c>
      <c r="V78" s="139">
        <f t="shared" si="14"/>
        <v>0</v>
      </c>
      <c r="W78" s="139">
        <f t="shared" si="15"/>
        <v>0</v>
      </c>
      <c r="X78" s="139">
        <f t="shared" si="16"/>
        <v>0</v>
      </c>
      <c r="Z78" s="139">
        <f t="shared" si="17"/>
        <v>-6657.6530000000002</v>
      </c>
      <c r="AA78" s="139">
        <f t="shared" si="18"/>
        <v>53147.797804054106</v>
      </c>
      <c r="AB78" s="139">
        <f t="shared" si="19"/>
        <v>-69837.917191711545</v>
      </c>
      <c r="AC78" s="139">
        <f t="shared" si="20"/>
        <v>-4055.4864408327335</v>
      </c>
      <c r="AD78" s="139">
        <f t="shared" si="21"/>
        <v>507.06640725253351</v>
      </c>
      <c r="AE78" s="139">
        <f t="shared" si="22"/>
        <v>0</v>
      </c>
      <c r="AF78" s="139">
        <f t="shared" si="23"/>
        <v>0</v>
      </c>
      <c r="AG78" s="139">
        <f t="shared" si="24"/>
        <v>0</v>
      </c>
      <c r="AP78" s="134">
        <f t="shared" si="39"/>
        <v>-0.8351420574152435</v>
      </c>
      <c r="AQ78" s="134">
        <f t="shared" si="40"/>
        <v>-1.6337536885135364</v>
      </c>
      <c r="AR78" s="134">
        <f t="shared" si="41"/>
        <v>0.10316242585270083</v>
      </c>
      <c r="AS78" s="134">
        <f t="shared" si="42"/>
        <v>-6.8237046313981438</v>
      </c>
      <c r="AT78" s="134">
        <f t="shared" si="43"/>
        <v>-98774.705482189718</v>
      </c>
      <c r="AU78" s="136">
        <f t="shared" si="44"/>
        <v>106.87835098610319</v>
      </c>
      <c r="AV78" s="134">
        <f t="shared" si="45"/>
        <v>-160157.54219718146</v>
      </c>
      <c r="AX78" s="70"/>
    </row>
    <row r="79" spans="1:50" x14ac:dyDescent="0.35">
      <c r="A79" s="190" t="s">
        <v>145</v>
      </c>
      <c r="B79" s="66">
        <f t="shared" si="25"/>
        <v>583.78378378378443</v>
      </c>
      <c r="C79" s="118">
        <f t="shared" si="31"/>
        <v>5.8378378378378441E-2</v>
      </c>
      <c r="D79" s="349">
        <f t="shared" si="32"/>
        <v>-89778.103338987319</v>
      </c>
      <c r="E79" s="146">
        <f t="shared" si="33"/>
        <v>169.54252750889847</v>
      </c>
      <c r="F79" s="136">
        <f t="shared" si="34"/>
        <v>-188754.28156039846</v>
      </c>
      <c r="G79" s="146">
        <f t="shared" si="35"/>
        <v>83.006</v>
      </c>
      <c r="H79" s="349">
        <f t="shared" si="5"/>
        <v>-90677.401306130312</v>
      </c>
      <c r="I79" s="146">
        <f t="shared" si="6"/>
        <v>167.79797511915675</v>
      </c>
      <c r="J79" s="136">
        <f t="shared" si="7"/>
        <v>-188635.13813244892</v>
      </c>
      <c r="K79" s="146">
        <f t="shared" si="8"/>
        <v>76.267742106862883</v>
      </c>
      <c r="L79" s="146">
        <f t="shared" si="36"/>
        <v>7641.074949959162</v>
      </c>
      <c r="M79" s="146">
        <f t="shared" si="37"/>
        <v>60.13172013933238</v>
      </c>
      <c r="N79" s="134">
        <f t="shared" si="38"/>
        <v>-27462.848158407891</v>
      </c>
      <c r="O79" s="134"/>
      <c r="Q79" s="139">
        <f t="shared" si="9"/>
        <v>0</v>
      </c>
      <c r="R79" s="139">
        <f t="shared" si="10"/>
        <v>92.539694999999995</v>
      </c>
      <c r="S79" s="139">
        <f t="shared" si="11"/>
        <v>-141.05281723487656</v>
      </c>
      <c r="T79" s="139">
        <f t="shared" si="12"/>
        <v>-14.35524324324326</v>
      </c>
      <c r="U79" s="139">
        <f t="shared" si="13"/>
        <v>2.7366453387874419</v>
      </c>
      <c r="V79" s="139">
        <f t="shared" si="14"/>
        <v>0</v>
      </c>
      <c r="W79" s="139">
        <f t="shared" si="15"/>
        <v>0</v>
      </c>
      <c r="X79" s="139">
        <f t="shared" si="16"/>
        <v>0</v>
      </c>
      <c r="Z79" s="139">
        <f t="shared" si="17"/>
        <v>-6657.6530000000002</v>
      </c>
      <c r="AA79" s="139">
        <f t="shared" si="18"/>
        <v>54023.173297297355</v>
      </c>
      <c r="AB79" s="139">
        <f t="shared" si="19"/>
        <v>-71170.725737117202</v>
      </c>
      <c r="AC79" s="139">
        <f t="shared" si="20"/>
        <v>-4190.1791088385771</v>
      </c>
      <c r="AD79" s="139">
        <f t="shared" si="21"/>
        <v>532.53639025052985</v>
      </c>
      <c r="AE79" s="139">
        <f t="shared" si="22"/>
        <v>0</v>
      </c>
      <c r="AF79" s="139">
        <f t="shared" si="23"/>
        <v>0</v>
      </c>
      <c r="AG79" s="139">
        <f t="shared" si="24"/>
        <v>0</v>
      </c>
      <c r="AP79" s="134">
        <f t="shared" si="39"/>
        <v>-0.89929796714299304</v>
      </c>
      <c r="AQ79" s="134">
        <f t="shared" si="40"/>
        <v>-1.7445523897417274</v>
      </c>
      <c r="AR79" s="134">
        <f t="shared" si="41"/>
        <v>0.11914342794954427</v>
      </c>
      <c r="AS79" s="134">
        <f t="shared" si="42"/>
        <v>-6.7382578931371171</v>
      </c>
      <c r="AT79" s="134">
        <f t="shared" si="43"/>
        <v>-98318.476256089474</v>
      </c>
      <c r="AU79" s="136">
        <f t="shared" si="44"/>
        <v>107.66625497982437</v>
      </c>
      <c r="AV79" s="134">
        <f t="shared" si="45"/>
        <v>-161172.28997404102</v>
      </c>
      <c r="AX79" s="70"/>
    </row>
    <row r="80" spans="1:50" x14ac:dyDescent="0.35">
      <c r="A80" s="190" t="s">
        <v>145</v>
      </c>
      <c r="B80" s="66">
        <f t="shared" si="25"/>
        <v>593.24324324324391</v>
      </c>
      <c r="C80" s="118">
        <f t="shared" si="31"/>
        <v>5.9324324324324391E-2</v>
      </c>
      <c r="D80" s="349">
        <f t="shared" si="32"/>
        <v>-88992.911447095423</v>
      </c>
      <c r="E80" s="146">
        <f t="shared" si="33"/>
        <v>170.87675141282554</v>
      </c>
      <c r="F80" s="136">
        <f t="shared" si="34"/>
        <v>-190364.38965010963</v>
      </c>
      <c r="G80" s="146">
        <f t="shared" si="35"/>
        <v>83.006</v>
      </c>
      <c r="H80" s="349">
        <f t="shared" si="5"/>
        <v>-89955.490274936674</v>
      </c>
      <c r="I80" s="146">
        <f t="shared" si="6"/>
        <v>169.02466796288334</v>
      </c>
      <c r="J80" s="136">
        <f t="shared" si="7"/>
        <v>-190228.23248535002</v>
      </c>
      <c r="K80" s="146">
        <f t="shared" si="8"/>
        <v>76.36707840950119</v>
      </c>
      <c r="L80" s="146">
        <f t="shared" si="36"/>
        <v>7906.4041798484868</v>
      </c>
      <c r="M80" s="146">
        <f t="shared" si="37"/>
        <v>60.582575140645638</v>
      </c>
      <c r="N80" s="134">
        <f t="shared" si="38"/>
        <v>-28033.799180615653</v>
      </c>
      <c r="O80" s="134"/>
      <c r="Q80" s="139">
        <f t="shared" si="9"/>
        <v>0</v>
      </c>
      <c r="R80" s="139">
        <f t="shared" si="10"/>
        <v>92.539694999999995</v>
      </c>
      <c r="S80" s="139">
        <f t="shared" si="11"/>
        <v>-141.36047024214307</v>
      </c>
      <c r="T80" s="139">
        <f t="shared" si="12"/>
        <v>-14.587851351351368</v>
      </c>
      <c r="U80" s="139">
        <f t="shared" si="13"/>
        <v>2.8260514528488003</v>
      </c>
      <c r="V80" s="139">
        <f t="shared" si="14"/>
        <v>0</v>
      </c>
      <c r="W80" s="139">
        <f t="shared" si="15"/>
        <v>0</v>
      </c>
      <c r="X80" s="139">
        <f t="shared" si="16"/>
        <v>0</v>
      </c>
      <c r="Z80" s="139">
        <f t="shared" si="17"/>
        <v>-6657.6530000000002</v>
      </c>
      <c r="AA80" s="139">
        <f t="shared" si="18"/>
        <v>54898.548790540597</v>
      </c>
      <c r="AB80" s="139">
        <f t="shared" si="19"/>
        <v>-72506.468157163341</v>
      </c>
      <c r="AC80" s="139">
        <f t="shared" si="20"/>
        <v>-4327.0721238130118</v>
      </c>
      <c r="AD80" s="139">
        <f t="shared" si="21"/>
        <v>558.84530982010131</v>
      </c>
      <c r="AE80" s="139">
        <f t="shared" si="22"/>
        <v>0</v>
      </c>
      <c r="AF80" s="139">
        <f t="shared" si="23"/>
        <v>0</v>
      </c>
      <c r="AG80" s="139">
        <f t="shared" si="24"/>
        <v>0</v>
      </c>
      <c r="AP80" s="134">
        <f t="shared" si="39"/>
        <v>-0.96257882784125104</v>
      </c>
      <c r="AQ80" s="134">
        <f t="shared" si="40"/>
        <v>-1.8520834499421994</v>
      </c>
      <c r="AR80" s="134">
        <f t="shared" si="41"/>
        <v>0.13615716475961381</v>
      </c>
      <c r="AS80" s="134">
        <f t="shared" si="42"/>
        <v>-6.6389215904988106</v>
      </c>
      <c r="AT80" s="134">
        <f t="shared" si="43"/>
        <v>-97861.894454785157</v>
      </c>
      <c r="AU80" s="136">
        <f t="shared" si="44"/>
        <v>108.4420928222377</v>
      </c>
      <c r="AV80" s="134">
        <f t="shared" si="45"/>
        <v>-162194.43330473435</v>
      </c>
      <c r="AX80" s="70"/>
    </row>
    <row r="81" spans="1:50" x14ac:dyDescent="0.35">
      <c r="A81" s="190" t="s">
        <v>145</v>
      </c>
      <c r="B81" s="66">
        <f t="shared" si="25"/>
        <v>602.70270270270339</v>
      </c>
      <c r="C81" s="118">
        <f t="shared" si="31"/>
        <v>6.0270270270270342E-2</v>
      </c>
      <c r="D81" s="349">
        <f t="shared" si="32"/>
        <v>-88207.719555203526</v>
      </c>
      <c r="E81" s="146">
        <f t="shared" si="33"/>
        <v>172.18986806248532</v>
      </c>
      <c r="F81" s="136">
        <f t="shared" si="34"/>
        <v>-191987.01841448536</v>
      </c>
      <c r="G81" s="146">
        <f t="shared" si="35"/>
        <v>83.006</v>
      </c>
      <c r="H81" s="349">
        <f t="shared" ref="H81:H112" si="46">10000*$B$3*(C81*$G$7-$H$7*2/C81+$J$7*C81^2+$K$7*2*C81^3+$L$7*3*C81^4-$I$7+$E$7)</f>
        <v>-89232.579088768573</v>
      </c>
      <c r="I81" s="146">
        <f t="shared" ref="I81:I112" si="47">$B$3*($F$7+$G$7+$G$7*LN(C81)-$H$7/C81^2+$J$7*2*C81+$K$7*3*C81^2+$L$7*4*C81^3)</f>
        <v>170.23362706160759</v>
      </c>
      <c r="J81" s="136">
        <f t="shared" ref="J81:J112" si="48">($E$7-C81*($F$7+$G$7*LN(C81)+$H$7*C81^(-2)+$I$7*C81^(-1)+$J$7*C81+$K$7*C81^2+$L$7*C81^3))*$B$3*10000</f>
        <v>-191832.84620968357</v>
      </c>
      <c r="K81" s="146">
        <f t="shared" ref="K81:K112" si="49">$B$3*($G$7+2*$H$7*C81^(-2)+2*$J$7*C81+ 6*$K$7*C81^2+ 12*$L$7*C81^3)</f>
        <v>76.478993677515049</v>
      </c>
      <c r="L81" s="146">
        <f t="shared" si="36"/>
        <v>8172.2286958040204</v>
      </c>
      <c r="M81" s="146">
        <f t="shared" si="37"/>
        <v>61.027126042822246</v>
      </c>
      <c r="N81" s="134">
        <f t="shared" si="38"/>
        <v>-28608.98510838348</v>
      </c>
      <c r="O81" s="134"/>
      <c r="Q81" s="139">
        <f t="shared" ref="Q81:Q112" si="50">IF( OR( E$10="д",E$10="l"),E$11/$B81,  IF( OR( E$10="g",E$10="п"),E$11*(LN($B81)+1),  $B81^(E$10-1)*E$10*E$11))</f>
        <v>0</v>
      </c>
      <c r="R81" s="139">
        <f t="shared" ref="R81:R112" si="51">IF( OR( F$10="д",F$10="l"),F$11/$B81,  IF( OR( F$10="g",F$10="п"),F$11*(LN($B81)+1),  $B81^(F$10-1)*F$10*F$11))</f>
        <v>92.539694999999995</v>
      </c>
      <c r="S81" s="139">
        <f t="shared" ref="S81:S112" si="52">IF( OR( G$10="д",G$10="l"),G$11/$B81,  IF( OR( G$10="g",G$10="п"),G$11*(LN($B81)+1),  $B81^(G$10-1)*G$10*G$11))</f>
        <v>-141.66325621754831</v>
      </c>
      <c r="T81" s="139">
        <f t="shared" ref="T81:T112" si="53">IF( OR( H$10="д",H$10="l"),H$11/$B81,  IF( OR( H$10="g",H$10="п"),H$11*(LN($B81)+1),  $B81^(H$10-1)*H$10*H$11))</f>
        <v>-14.820459459459476</v>
      </c>
      <c r="U81" s="139">
        <f t="shared" ref="U81:U112" si="54">IF( OR( I$10="д",I$10="l"),I$11/$B81,  IF( OR( I$10="g",I$10="п"),I$11*(LN($B81)+1),  $B81^(I$10-1)*I$10*I$11))</f>
        <v>2.9168946341855428</v>
      </c>
      <c r="V81" s="139">
        <f t="shared" ref="V81:V112" si="55">IF( OR( J$10="д",J$10="l"),J$11/$B81,  IF( OR( J$10="g",J$10="п"),J$11*(LN($B81)+1),  $B81^(J$10-1)*J$10*J$11))</f>
        <v>0</v>
      </c>
      <c r="W81" s="139">
        <f t="shared" ref="W81:W112" si="56">IF( OR( K$10="д",K$10="l"),K$11/$B81,  IF( OR( K$10="g",K$10="п"),K$11*(LN($B81)+1),  $B81^(K$10-1)*K$10*K$11))</f>
        <v>0</v>
      </c>
      <c r="X81" s="139">
        <f t="shared" ref="X81:X112" si="57">IF( OR( L$10="д",L$10="l"),L$11/$B81,  IF( OR( L$10="g",L$10="п"),L$11*(LN($B81)+1),  $B81^(L$10-1)*L$10*L$11))</f>
        <v>0</v>
      </c>
      <c r="Z81" s="139">
        <f t="shared" ref="Z81:Z112" si="58">IF( OR( E$10="д",E$10="l"),E$11*LN($B81),  IF( OR( E$10="g",E$10="п"),E$11*$B81*LN($B81),  ($B81^E$10)*E$11))</f>
        <v>-6657.6530000000002</v>
      </c>
      <c r="AA81" s="139">
        <f t="shared" ref="AA81:AA112" si="59">IF( OR( F$10="д",F$10="l"),F$11*LN($B81),  IF( OR( F$10="g",F$10="п"),F$11*$B81*LN($B81),  ($B81^F$10)*F$11))</f>
        <v>55773.924283783846</v>
      </c>
      <c r="AB81" s="139">
        <f t="shared" ref="AB81:AB112" si="60">IF( OR( G$10="д",G$10="l"),G$11*LN($B81),  IF( OR( G$10="g",G$10="п"),G$11*$B81*LN($B81),  ($B81^G$10)*G$11))</f>
        <v>-73845.097666252172</v>
      </c>
      <c r="AC81" s="139">
        <f t="shared" ref="AC81:AC112" si="61">IF( OR( H$10="д",H$10="l"),H$11*LN($B81),  IF( OR( H$10="g",H$10="п"),H$11*$B81*LN($B81),  ($B81^H$10)*H$11))</f>
        <v>-4466.1654857560361</v>
      </c>
      <c r="AD81" s="139">
        <f t="shared" ref="AD81:AD112" si="62">IF( OR( I$10="д",I$10="l"),I$11*LN($B81),  IF( OR( I$10="g",I$10="п"),I$11*$B81*LN($B81),  ($B81^I$10)*I$11))</f>
        <v>586.00675984088014</v>
      </c>
      <c r="AE81" s="139">
        <f t="shared" ref="AE81:AE112" si="63">IF( OR( J$10="д",J$10="l"),J$11*LN($B81),  IF( OR( J$10="g",J$10="п"),J$11*$B81*LN($B81),  ($B81^J$10)*J$11))</f>
        <v>0</v>
      </c>
      <c r="AF81" s="139">
        <f t="shared" ref="AF81:AF112" si="64">IF( OR( K$10="д",K$10="l"),K$11*LN($B81),  IF( OR( K$10="g",K$10="п"),K$11*$B81*LN($B81),  ($B81^K$10)*K$11))</f>
        <v>0</v>
      </c>
      <c r="AG81" s="139">
        <f t="shared" ref="AG81:AG112" si="65">IF( OR( L$10="д",L$10="l"),L$11*LN($B81),  IF( OR( L$10="g",L$10="п"),L$11*$B81*LN($B81),  ($B81^L$10)*L$11))</f>
        <v>0</v>
      </c>
      <c r="AP81" s="134">
        <f t="shared" si="39"/>
        <v>-1.0248595335650461</v>
      </c>
      <c r="AQ81" s="134">
        <f t="shared" si="40"/>
        <v>-1.9562410008777249</v>
      </c>
      <c r="AR81" s="134">
        <f t="shared" si="41"/>
        <v>0.15417220480178367</v>
      </c>
      <c r="AS81" s="134">
        <f t="shared" si="42"/>
        <v>-6.5270063224849508</v>
      </c>
      <c r="AT81" s="134">
        <f t="shared" si="43"/>
        <v>-97404.807784572593</v>
      </c>
      <c r="AU81" s="136">
        <f t="shared" si="44"/>
        <v>109.20650101878535</v>
      </c>
      <c r="AV81" s="134">
        <f t="shared" si="45"/>
        <v>-163223.86110130011</v>
      </c>
      <c r="AX81" s="70"/>
    </row>
    <row r="82" spans="1:50" x14ac:dyDescent="0.35">
      <c r="A82" s="190" t="s">
        <v>145</v>
      </c>
      <c r="B82" s="66">
        <f t="shared" ref="B82:B113" si="66">B81+($C$2-$C$1)/$C$48</f>
        <v>612.16216216216287</v>
      </c>
      <c r="C82" s="118">
        <f t="shared" si="31"/>
        <v>6.1216216216216285E-2</v>
      </c>
      <c r="D82" s="349">
        <f t="shared" si="32"/>
        <v>-87422.527663311645</v>
      </c>
      <c r="E82" s="146">
        <f t="shared" si="33"/>
        <v>173.48253489895259</v>
      </c>
      <c r="F82" s="136">
        <f t="shared" si="34"/>
        <v>-193621.97132442734</v>
      </c>
      <c r="G82" s="146">
        <f t="shared" si="35"/>
        <v>83.006</v>
      </c>
      <c r="H82" s="349">
        <f t="shared" si="46"/>
        <v>-88508.554556454954</v>
      </c>
      <c r="I82" s="146">
        <f t="shared" si="47"/>
        <v>171.42559115953603</v>
      </c>
      <c r="J82" s="136">
        <f t="shared" si="48"/>
        <v>-193448.81509060346</v>
      </c>
      <c r="K82" s="146">
        <f t="shared" si="49"/>
        <v>76.602277783657115</v>
      </c>
      <c r="L82" s="146">
        <f t="shared" si="36"/>
        <v>8438.521310066455</v>
      </c>
      <c r="M82" s="146">
        <f t="shared" si="37"/>
        <v>61.465524442399484</v>
      </c>
      <c r="N82" s="134">
        <f t="shared" si="38"/>
        <v>-29188.347031024081</v>
      </c>
      <c r="O82" s="134"/>
      <c r="Q82" s="139">
        <f t="shared" si="50"/>
        <v>0</v>
      </c>
      <c r="R82" s="139">
        <f t="shared" si="51"/>
        <v>92.539694999999995</v>
      </c>
      <c r="S82" s="139">
        <f t="shared" si="52"/>
        <v>-141.96132675762956</v>
      </c>
      <c r="T82" s="139">
        <f t="shared" si="53"/>
        <v>-15.053067567567586</v>
      </c>
      <c r="U82" s="139">
        <f t="shared" si="54"/>
        <v>3.0091748827976694</v>
      </c>
      <c r="V82" s="139">
        <f t="shared" si="55"/>
        <v>0</v>
      </c>
      <c r="W82" s="139">
        <f t="shared" si="56"/>
        <v>0</v>
      </c>
      <c r="X82" s="139">
        <f t="shared" si="57"/>
        <v>0</v>
      </c>
      <c r="Z82" s="139">
        <f t="shared" si="58"/>
        <v>-6657.6530000000002</v>
      </c>
      <c r="AA82" s="139">
        <f t="shared" si="59"/>
        <v>56649.299777027089</v>
      </c>
      <c r="AB82" s="139">
        <f t="shared" si="60"/>
        <v>-75186.568947576015</v>
      </c>
      <c r="AC82" s="139">
        <f t="shared" si="61"/>
        <v>-4607.4591946676519</v>
      </c>
      <c r="AD82" s="139">
        <f t="shared" si="62"/>
        <v>614.03433419249814</v>
      </c>
      <c r="AE82" s="139">
        <f t="shared" si="63"/>
        <v>0</v>
      </c>
      <c r="AF82" s="139">
        <f t="shared" si="64"/>
        <v>0</v>
      </c>
      <c r="AG82" s="139">
        <f t="shared" si="65"/>
        <v>0</v>
      </c>
      <c r="AP82" s="134">
        <f t="shared" si="39"/>
        <v>-1.0860268931433092</v>
      </c>
      <c r="AQ82" s="134">
        <f t="shared" si="40"/>
        <v>-2.0569437394165675</v>
      </c>
      <c r="AR82" s="134">
        <f t="shared" si="41"/>
        <v>0.17315623382388731</v>
      </c>
      <c r="AS82" s="134">
        <f t="shared" si="42"/>
        <v>-6.4037222163428851</v>
      </c>
      <c r="AT82" s="134">
        <f t="shared" si="43"/>
        <v>-96947.075866521409</v>
      </c>
      <c r="AU82" s="136">
        <f t="shared" si="44"/>
        <v>109.96006671713654</v>
      </c>
      <c r="AV82" s="134">
        <f t="shared" si="45"/>
        <v>-164260.46805957938</v>
      </c>
      <c r="AX82" s="70"/>
    </row>
    <row r="83" spans="1:50" x14ac:dyDescent="0.35">
      <c r="A83" s="190" t="s">
        <v>145</v>
      </c>
      <c r="B83" s="66">
        <f t="shared" si="66"/>
        <v>621.62162162162235</v>
      </c>
      <c r="C83" s="118">
        <f t="shared" si="31"/>
        <v>6.2162162162162235E-2</v>
      </c>
      <c r="D83" s="349">
        <f t="shared" si="32"/>
        <v>-86637.335771419734</v>
      </c>
      <c r="E83" s="146">
        <f t="shared" si="33"/>
        <v>174.75537911714545</v>
      </c>
      <c r="F83" s="136">
        <f t="shared" si="34"/>
        <v>-195269.05792532113</v>
      </c>
      <c r="G83" s="146">
        <f t="shared" si="35"/>
        <v>83.006</v>
      </c>
      <c r="H83" s="349">
        <f t="shared" si="46"/>
        <v>-87783.314495039769</v>
      </c>
      <c r="I83" s="146">
        <f t="shared" si="47"/>
        <v>172.60124716638848</v>
      </c>
      <c r="J83" s="136">
        <f t="shared" si="48"/>
        <v>-195075.98165252464</v>
      </c>
      <c r="K83" s="146">
        <f t="shared" si="49"/>
        <v>76.735811969467051</v>
      </c>
      <c r="L83" s="146">
        <f t="shared" si="36"/>
        <v>8705.2548348765304</v>
      </c>
      <c r="M83" s="146">
        <f t="shared" si="37"/>
        <v>61.897914961582124</v>
      </c>
      <c r="N83" s="134">
        <f t="shared" si="38"/>
        <v>-29771.827438539429</v>
      </c>
      <c r="O83" s="134"/>
      <c r="Q83" s="139">
        <f t="shared" si="50"/>
        <v>0</v>
      </c>
      <c r="R83" s="139">
        <f t="shared" si="51"/>
        <v>92.539694999999995</v>
      </c>
      <c r="S83" s="139">
        <f t="shared" si="52"/>
        <v>-142.2548264845916</v>
      </c>
      <c r="T83" s="139">
        <f t="shared" si="53"/>
        <v>-15.285675675675694</v>
      </c>
      <c r="U83" s="139">
        <f t="shared" si="54"/>
        <v>3.1028921986851787</v>
      </c>
      <c r="V83" s="139">
        <f t="shared" si="55"/>
        <v>0</v>
      </c>
      <c r="W83" s="139">
        <f t="shared" si="56"/>
        <v>0</v>
      </c>
      <c r="X83" s="139">
        <f t="shared" si="57"/>
        <v>0</v>
      </c>
      <c r="Z83" s="139">
        <f t="shared" si="58"/>
        <v>-6657.6530000000002</v>
      </c>
      <c r="AA83" s="139">
        <f t="shared" si="59"/>
        <v>57524.675270270338</v>
      </c>
      <c r="AB83" s="139">
        <f t="shared" si="60"/>
        <v>-76530.838085016498</v>
      </c>
      <c r="AC83" s="139">
        <f t="shared" si="61"/>
        <v>-4750.9532505478564</v>
      </c>
      <c r="AD83" s="139">
        <f t="shared" si="62"/>
        <v>642.94162675458733</v>
      </c>
      <c r="AE83" s="139">
        <f t="shared" si="63"/>
        <v>0</v>
      </c>
      <c r="AF83" s="139">
        <f t="shared" si="64"/>
        <v>0</v>
      </c>
      <c r="AG83" s="139">
        <f t="shared" si="65"/>
        <v>0</v>
      </c>
      <c r="AP83" s="134">
        <f t="shared" si="39"/>
        <v>-1.1459787236200354</v>
      </c>
      <c r="AQ83" s="134">
        <f t="shared" si="40"/>
        <v>-2.1541319507569767</v>
      </c>
      <c r="AR83" s="134">
        <f t="shared" si="41"/>
        <v>0.19307627279649023</v>
      </c>
      <c r="AS83" s="134">
        <f t="shared" si="42"/>
        <v>-6.2701880305329496</v>
      </c>
      <c r="AT83" s="134">
        <f t="shared" si="43"/>
        <v>-96488.569329916296</v>
      </c>
      <c r="AU83" s="136">
        <f t="shared" si="44"/>
        <v>110.70333220480634</v>
      </c>
      <c r="AV83" s="134">
        <f t="shared" si="45"/>
        <v>-165304.15421398522</v>
      </c>
      <c r="AX83" s="70"/>
    </row>
    <row r="84" spans="1:50" x14ac:dyDescent="0.35">
      <c r="A84" s="190" t="s">
        <v>145</v>
      </c>
      <c r="B84" s="66">
        <f t="shared" si="66"/>
        <v>631.08108108108183</v>
      </c>
      <c r="C84" s="118">
        <f t="shared" si="31"/>
        <v>6.3108108108108185E-2</v>
      </c>
      <c r="D84" s="349">
        <f t="shared" si="32"/>
        <v>-85852.143879527852</v>
      </c>
      <c r="E84" s="146">
        <f t="shared" si="33"/>
        <v>176.00899949317235</v>
      </c>
      <c r="F84" s="136">
        <f t="shared" si="34"/>
        <v>-196928.0935596787</v>
      </c>
      <c r="G84" s="146">
        <f t="shared" si="35"/>
        <v>83.006</v>
      </c>
      <c r="H84" s="349">
        <f t="shared" si="46"/>
        <v>-87056.766904755161</v>
      </c>
      <c r="I84" s="146">
        <f t="shared" si="47"/>
        <v>173.7612346065066</v>
      </c>
      <c r="J84" s="136">
        <f t="shared" si="48"/>
        <v>-196714.19469021284</v>
      </c>
      <c r="K84" s="146">
        <f t="shared" si="49"/>
        <v>76.878560690180791</v>
      </c>
      <c r="L84" s="146">
        <f t="shared" si="36"/>
        <v>8972.4020824750005</v>
      </c>
      <c r="M84" s="146">
        <f t="shared" si="37"/>
        <v>62.324435669602707</v>
      </c>
      <c r="N84" s="134">
        <f t="shared" si="38"/>
        <v>-30359.370157666217</v>
      </c>
      <c r="O84" s="134"/>
      <c r="Q84" s="139">
        <f t="shared" si="50"/>
        <v>0</v>
      </c>
      <c r="R84" s="139">
        <f t="shared" si="51"/>
        <v>92.539694999999995</v>
      </c>
      <c r="S84" s="139">
        <f t="shared" si="52"/>
        <v>-142.54389346766698</v>
      </c>
      <c r="T84" s="139">
        <f t="shared" si="53"/>
        <v>-15.518283783783803</v>
      </c>
      <c r="U84" s="139">
        <f t="shared" si="54"/>
        <v>3.1980465818480717</v>
      </c>
      <c r="V84" s="139">
        <f t="shared" si="55"/>
        <v>0</v>
      </c>
      <c r="W84" s="139">
        <f t="shared" si="56"/>
        <v>0</v>
      </c>
      <c r="X84" s="139">
        <f t="shared" si="57"/>
        <v>0</v>
      </c>
      <c r="Z84" s="139">
        <f t="shared" si="58"/>
        <v>-6657.6530000000002</v>
      </c>
      <c r="AA84" s="139">
        <f t="shared" si="59"/>
        <v>58400.05076351358</v>
      </c>
      <c r="AB84" s="139">
        <f t="shared" si="60"/>
        <v>-77877.862499189927</v>
      </c>
      <c r="AC84" s="139">
        <f t="shared" si="61"/>
        <v>-4896.6476533966515</v>
      </c>
      <c r="AD84" s="139">
        <f t="shared" si="62"/>
        <v>672.74223140677987</v>
      </c>
      <c r="AE84" s="139">
        <f t="shared" si="63"/>
        <v>0</v>
      </c>
      <c r="AF84" s="139">
        <f t="shared" si="64"/>
        <v>0</v>
      </c>
      <c r="AG84" s="139">
        <f t="shared" si="65"/>
        <v>0</v>
      </c>
      <c r="AP84" s="134">
        <f t="shared" si="39"/>
        <v>-1.2046230252273089</v>
      </c>
      <c r="AQ84" s="134">
        <f t="shared" si="40"/>
        <v>-2.2477648866657489</v>
      </c>
      <c r="AR84" s="134">
        <f t="shared" si="41"/>
        <v>0.21389886946586192</v>
      </c>
      <c r="AS84" s="134">
        <f t="shared" si="42"/>
        <v>-6.1274393098192093</v>
      </c>
      <c r="AT84" s="134">
        <f t="shared" si="43"/>
        <v>-96029.168987230165</v>
      </c>
      <c r="AU84" s="136">
        <f t="shared" si="44"/>
        <v>111.4367989369039</v>
      </c>
      <c r="AV84" s="134">
        <f t="shared" si="45"/>
        <v>-166354.82453254663</v>
      </c>
      <c r="AX84" s="70"/>
    </row>
    <row r="85" spans="1:50" x14ac:dyDescent="0.35">
      <c r="A85" s="190" t="s">
        <v>145</v>
      </c>
      <c r="B85" s="66">
        <f t="shared" si="66"/>
        <v>640.54054054054131</v>
      </c>
      <c r="C85" s="118">
        <f t="shared" si="31"/>
        <v>6.4054054054054135E-2</v>
      </c>
      <c r="D85" s="349">
        <f t="shared" si="32"/>
        <v>-85066.95198763597</v>
      </c>
      <c r="E85" s="146">
        <f t="shared" si="33"/>
        <v>177.24396807572941</v>
      </c>
      <c r="F85" s="136">
        <f t="shared" si="34"/>
        <v>-198598.89910641417</v>
      </c>
      <c r="G85" s="146">
        <f t="shared" si="35"/>
        <v>83.006</v>
      </c>
      <c r="H85" s="349">
        <f t="shared" si="46"/>
        <v>-86328.829217098275</v>
      </c>
      <c r="I85" s="146">
        <f t="shared" si="47"/>
        <v>174.90614962195343</v>
      </c>
      <c r="J85" s="136">
        <f t="shared" si="48"/>
        <v>-198363.30883980915</v>
      </c>
      <c r="K85" s="146">
        <f t="shared" si="49"/>
        <v>77.029564296370779</v>
      </c>
      <c r="L85" s="146">
        <f t="shared" si="36"/>
        <v>9239.9358651025832</v>
      </c>
      <c r="M85" s="146">
        <f t="shared" si="37"/>
        <v>62.745218472733619</v>
      </c>
      <c r="N85" s="134">
        <f t="shared" si="38"/>
        <v>-30950.920291756571</v>
      </c>
      <c r="O85" s="134"/>
      <c r="Q85" s="139">
        <f t="shared" si="50"/>
        <v>0</v>
      </c>
      <c r="R85" s="139">
        <f t="shared" si="51"/>
        <v>92.539694999999995</v>
      </c>
      <c r="S85" s="139">
        <f t="shared" si="52"/>
        <v>-142.82865961312805</v>
      </c>
      <c r="T85" s="139">
        <f t="shared" si="53"/>
        <v>-15.750891891891911</v>
      </c>
      <c r="U85" s="139">
        <f t="shared" si="54"/>
        <v>3.2946380322863487</v>
      </c>
      <c r="V85" s="139">
        <f t="shared" si="55"/>
        <v>0</v>
      </c>
      <c r="W85" s="139">
        <f t="shared" si="56"/>
        <v>0</v>
      </c>
      <c r="X85" s="139">
        <f t="shared" si="57"/>
        <v>0</v>
      </c>
      <c r="Z85" s="139">
        <f t="shared" si="58"/>
        <v>-6657.6530000000002</v>
      </c>
      <c r="AA85" s="139">
        <f t="shared" si="59"/>
        <v>59275.426256756822</v>
      </c>
      <c r="AB85" s="139">
        <f t="shared" si="60"/>
        <v>-79227.600887328066</v>
      </c>
      <c r="AC85" s="139">
        <f t="shared" si="61"/>
        <v>-5044.5424032140372</v>
      </c>
      <c r="AD85" s="139">
        <f t="shared" si="62"/>
        <v>703.44974202870765</v>
      </c>
      <c r="AE85" s="139">
        <f t="shared" si="63"/>
        <v>0</v>
      </c>
      <c r="AF85" s="139">
        <f t="shared" si="64"/>
        <v>0</v>
      </c>
      <c r="AG85" s="139">
        <f t="shared" si="65"/>
        <v>0</v>
      </c>
      <c r="AP85" s="134">
        <f t="shared" si="39"/>
        <v>-1.2618772294623051</v>
      </c>
      <c r="AQ85" s="134">
        <f t="shared" si="40"/>
        <v>-2.3378184537759807</v>
      </c>
      <c r="AR85" s="134">
        <f t="shared" si="41"/>
        <v>0.23559026660502422</v>
      </c>
      <c r="AS85" s="134">
        <f t="shared" si="42"/>
        <v>-5.9764357036292211</v>
      </c>
      <c r="AT85" s="134">
        <f t="shared" si="43"/>
        <v>-95568.765082200858</v>
      </c>
      <c r="AU85" s="136">
        <f t="shared" si="44"/>
        <v>112.16093114921981</v>
      </c>
      <c r="AV85" s="134">
        <f t="shared" si="45"/>
        <v>-167412.38854805258</v>
      </c>
      <c r="AX85" s="70"/>
    </row>
    <row r="86" spans="1:50" x14ac:dyDescent="0.35">
      <c r="A86" s="190" t="s">
        <v>145</v>
      </c>
      <c r="B86" s="66">
        <f t="shared" si="66"/>
        <v>650.0000000000008</v>
      </c>
      <c r="C86" s="118">
        <f t="shared" si="31"/>
        <v>6.5000000000000085E-2</v>
      </c>
      <c r="D86" s="349">
        <f t="shared" si="32"/>
        <v>-84281.760095744059</v>
      </c>
      <c r="E86" s="146">
        <f t="shared" si="33"/>
        <v>178.46083175350671</v>
      </c>
      <c r="F86" s="136">
        <f t="shared" si="34"/>
        <v>-200281.30073552357</v>
      </c>
      <c r="G86" s="146">
        <f t="shared" si="35"/>
        <v>83.006</v>
      </c>
      <c r="H86" s="349">
        <f t="shared" si="46"/>
        <v>-85599.427608564554</v>
      </c>
      <c r="I86" s="146">
        <f t="shared" si="47"/>
        <v>176.03654858038385</v>
      </c>
      <c r="J86" s="136">
        <f t="shared" si="48"/>
        <v>-200023.1841858142</v>
      </c>
      <c r="K86" s="146">
        <f t="shared" si="49"/>
        <v>77.187932455621322</v>
      </c>
      <c r="L86" s="146">
        <f t="shared" si="36"/>
        <v>9507.828995000018</v>
      </c>
      <c r="M86" s="146">
        <f t="shared" si="37"/>
        <v>63.160389475708563</v>
      </c>
      <c r="N86" s="134">
        <f t="shared" si="38"/>
        <v>-31546.424164210599</v>
      </c>
      <c r="O86" s="134"/>
      <c r="Q86" s="139">
        <f t="shared" si="50"/>
        <v>0</v>
      </c>
      <c r="R86" s="139">
        <f t="shared" si="51"/>
        <v>92.539694999999995</v>
      </c>
      <c r="S86" s="139">
        <f t="shared" si="52"/>
        <v>-143.10925102570855</v>
      </c>
      <c r="T86" s="139">
        <f t="shared" si="53"/>
        <v>-15.983500000000021</v>
      </c>
      <c r="U86" s="139">
        <f t="shared" si="54"/>
        <v>3.3926665500000084</v>
      </c>
      <c r="V86" s="139">
        <f t="shared" si="55"/>
        <v>0</v>
      </c>
      <c r="W86" s="139">
        <f t="shared" si="56"/>
        <v>0</v>
      </c>
      <c r="X86" s="139">
        <f t="shared" si="57"/>
        <v>0</v>
      </c>
      <c r="Z86" s="139">
        <f t="shared" si="58"/>
        <v>-6657.6530000000002</v>
      </c>
      <c r="AA86" s="139">
        <f t="shared" si="59"/>
        <v>60150.801750000071</v>
      </c>
      <c r="AB86" s="139">
        <f t="shared" si="60"/>
        <v>-80580.013166710662</v>
      </c>
      <c r="AC86" s="139">
        <f t="shared" si="61"/>
        <v>-5194.6375000000135</v>
      </c>
      <c r="AD86" s="139">
        <f t="shared" si="62"/>
        <v>735.0777525000027</v>
      </c>
      <c r="AE86" s="139">
        <f t="shared" si="63"/>
        <v>0</v>
      </c>
      <c r="AF86" s="139">
        <f t="shared" si="64"/>
        <v>0</v>
      </c>
      <c r="AG86" s="139">
        <f t="shared" si="65"/>
        <v>0</v>
      </c>
      <c r="AP86" s="134">
        <f t="shared" si="39"/>
        <v>-1.3176675128204951</v>
      </c>
      <c r="AQ86" s="134">
        <f t="shared" si="40"/>
        <v>-2.4242831731228591</v>
      </c>
      <c r="AR86" s="134">
        <f t="shared" si="41"/>
        <v>0.25811654970937525</v>
      </c>
      <c r="AS86" s="134">
        <f t="shared" si="42"/>
        <v>-5.8180675443786782</v>
      </c>
      <c r="AT86" s="134">
        <f t="shared" si="43"/>
        <v>-95107.256603564572</v>
      </c>
      <c r="AU86" s="136">
        <f t="shared" si="44"/>
        <v>112.87615910467528</v>
      </c>
      <c r="AV86" s="134">
        <f t="shared" si="45"/>
        <v>-168476.76002160361</v>
      </c>
      <c r="AX86" s="70"/>
    </row>
    <row r="87" spans="1:50" x14ac:dyDescent="0.35">
      <c r="A87" s="190" t="s">
        <v>145</v>
      </c>
      <c r="B87" s="66">
        <f t="shared" si="66"/>
        <v>659.45945945946028</v>
      </c>
      <c r="C87" s="118">
        <f t="shared" si="31"/>
        <v>6.5945945945946022E-2</v>
      </c>
      <c r="D87" s="349">
        <f t="shared" si="32"/>
        <v>-83496.568203852192</v>
      </c>
      <c r="E87" s="146">
        <f t="shared" si="33"/>
        <v>179.66011370935422</v>
      </c>
      <c r="F87" s="136">
        <f t="shared" si="34"/>
        <v>-201975.12967704807</v>
      </c>
      <c r="G87" s="146">
        <f t="shared" si="35"/>
        <v>83.006</v>
      </c>
      <c r="H87" s="349">
        <f t="shared" si="46"/>
        <v>-84868.496373445116</v>
      </c>
      <c r="I87" s="146">
        <f t="shared" si="47"/>
        <v>177.15295133202338</v>
      </c>
      <c r="J87" s="136">
        <f t="shared" si="48"/>
        <v>-201693.68590050933</v>
      </c>
      <c r="K87" s="146">
        <f t="shared" si="49"/>
        <v>77.352838229935585</v>
      </c>
      <c r="L87" s="146">
        <f t="shared" si="36"/>
        <v>9776.0542844080555</v>
      </c>
      <c r="M87" s="146">
        <f t="shared" si="37"/>
        <v>63.570069317032619</v>
      </c>
      <c r="N87" s="134">
        <f t="shared" si="38"/>
        <v>-32145.829265202694</v>
      </c>
      <c r="O87" s="134"/>
      <c r="Q87" s="139">
        <f t="shared" si="50"/>
        <v>0</v>
      </c>
      <c r="R87" s="139">
        <f t="shared" si="51"/>
        <v>92.539694999999995</v>
      </c>
      <c r="S87" s="139">
        <f t="shared" si="52"/>
        <v>-143.38578834391353</v>
      </c>
      <c r="T87" s="139">
        <f t="shared" si="53"/>
        <v>-16.216108108108127</v>
      </c>
      <c r="U87" s="139">
        <f t="shared" si="54"/>
        <v>3.4921321349890513</v>
      </c>
      <c r="V87" s="139">
        <f t="shared" si="55"/>
        <v>0</v>
      </c>
      <c r="W87" s="139">
        <f t="shared" si="56"/>
        <v>0</v>
      </c>
      <c r="X87" s="139">
        <f t="shared" si="57"/>
        <v>0</v>
      </c>
      <c r="Z87" s="139">
        <f t="shared" si="58"/>
        <v>-6657.6530000000002</v>
      </c>
      <c r="AA87" s="139">
        <f t="shared" si="59"/>
        <v>61026.177243243314</v>
      </c>
      <c r="AB87" s="139">
        <f t="shared" si="60"/>
        <v>-81935.060421391725</v>
      </c>
      <c r="AC87" s="139">
        <f t="shared" si="61"/>
        <v>-5346.9329437545784</v>
      </c>
      <c r="AD87" s="139">
        <f t="shared" si="62"/>
        <v>767.63985670029706</v>
      </c>
      <c r="AE87" s="139">
        <f t="shared" si="63"/>
        <v>0</v>
      </c>
      <c r="AF87" s="139">
        <f t="shared" si="64"/>
        <v>0</v>
      </c>
      <c r="AG87" s="139">
        <f t="shared" si="65"/>
        <v>0</v>
      </c>
      <c r="AP87" s="134">
        <f t="shared" si="39"/>
        <v>-1.371928169592924</v>
      </c>
      <c r="AQ87" s="134">
        <f t="shared" si="40"/>
        <v>-2.5071623773308431</v>
      </c>
      <c r="AR87" s="134">
        <f t="shared" si="41"/>
        <v>0.28144377653874109</v>
      </c>
      <c r="AS87" s="134">
        <f t="shared" si="42"/>
        <v>-5.6531617700644148</v>
      </c>
      <c r="AT87" s="134">
        <f t="shared" si="43"/>
        <v>-94644.550657853164</v>
      </c>
      <c r="AU87" s="136">
        <f t="shared" si="44"/>
        <v>113.58288201499076</v>
      </c>
      <c r="AV87" s="134">
        <f t="shared" si="45"/>
        <v>-169547.85663530664</v>
      </c>
      <c r="AX87" s="70"/>
    </row>
    <row r="88" spans="1:50" x14ac:dyDescent="0.35">
      <c r="A88" s="190" t="s">
        <v>145</v>
      </c>
      <c r="B88" s="66">
        <f t="shared" si="66"/>
        <v>668.91891891891976</v>
      </c>
      <c r="C88" s="118">
        <f t="shared" si="31"/>
        <v>6.6891891891891972E-2</v>
      </c>
      <c r="D88" s="349">
        <f t="shared" si="32"/>
        <v>-82711.376311960281</v>
      </c>
      <c r="E88" s="146">
        <f t="shared" si="33"/>
        <v>180.84231477088463</v>
      </c>
      <c r="F88" s="136">
        <f t="shared" si="34"/>
        <v>-203680.22200329544</v>
      </c>
      <c r="G88" s="146">
        <f t="shared" si="35"/>
        <v>83.006</v>
      </c>
      <c r="H88" s="349">
        <f t="shared" si="46"/>
        <v>-84135.977349841007</v>
      </c>
      <c r="I88" s="146">
        <f t="shared" si="47"/>
        <v>178.25584415454938</v>
      </c>
      <c r="J88" s="136">
        <f t="shared" si="48"/>
        <v>-203374.68391268165</v>
      </c>
      <c r="K88" s="146">
        <f t="shared" si="49"/>
        <v>77.523512735222397</v>
      </c>
      <c r="L88" s="146">
        <f t="shared" si="36"/>
        <v>10044.584545567413</v>
      </c>
      <c r="M88" s="146">
        <f t="shared" si="37"/>
        <v>63.974373480411778</v>
      </c>
      <c r="N88" s="134">
        <f t="shared" si="38"/>
        <v>-32749.084201464844</v>
      </c>
      <c r="O88" s="134"/>
      <c r="Q88" s="139">
        <f t="shared" si="50"/>
        <v>0</v>
      </c>
      <c r="R88" s="139">
        <f t="shared" si="51"/>
        <v>92.539694999999995</v>
      </c>
      <c r="S88" s="139">
        <f t="shared" si="52"/>
        <v>-143.65838705144901</v>
      </c>
      <c r="T88" s="139">
        <f t="shared" si="53"/>
        <v>-16.448716216216237</v>
      </c>
      <c r="U88" s="139">
        <f t="shared" si="54"/>
        <v>3.5930347872534782</v>
      </c>
      <c r="V88" s="139">
        <f t="shared" si="55"/>
        <v>0</v>
      </c>
      <c r="W88" s="139">
        <f t="shared" si="56"/>
        <v>0</v>
      </c>
      <c r="X88" s="139">
        <f t="shared" si="57"/>
        <v>0</v>
      </c>
      <c r="Z88" s="139">
        <f t="shared" si="58"/>
        <v>-6657.6530000000002</v>
      </c>
      <c r="AA88" s="139">
        <f t="shared" si="59"/>
        <v>61901.552736486563</v>
      </c>
      <c r="AB88" s="139">
        <f t="shared" si="60"/>
        <v>-83292.704851982897</v>
      </c>
      <c r="AC88" s="139">
        <f t="shared" si="61"/>
        <v>-5501.4287344777349</v>
      </c>
      <c r="AD88" s="139">
        <f t="shared" si="62"/>
        <v>801.14964850922252</v>
      </c>
      <c r="AE88" s="139">
        <f t="shared" si="63"/>
        <v>0</v>
      </c>
      <c r="AF88" s="139">
        <f t="shared" si="64"/>
        <v>0</v>
      </c>
      <c r="AG88" s="139">
        <f t="shared" si="65"/>
        <v>0</v>
      </c>
      <c r="AP88" s="134">
        <f t="shared" si="39"/>
        <v>-1.4246010378807259</v>
      </c>
      <c r="AQ88" s="134">
        <f t="shared" si="40"/>
        <v>-2.586470616335248</v>
      </c>
      <c r="AR88" s="134">
        <f t="shared" si="41"/>
        <v>0.30553809061378706</v>
      </c>
      <c r="AS88" s="134">
        <f t="shared" si="42"/>
        <v>-5.4824872647776033</v>
      </c>
      <c r="AT88" s="134">
        <f t="shared" si="43"/>
        <v>-94180.56189540842</v>
      </c>
      <c r="AU88" s="136">
        <f t="shared" si="44"/>
        <v>114.28147067413761</v>
      </c>
      <c r="AV88" s="134">
        <f t="shared" si="45"/>
        <v>-170625.59971121681</v>
      </c>
      <c r="AX88" s="70"/>
    </row>
    <row r="89" spans="1:50" x14ac:dyDescent="0.35">
      <c r="A89" s="190" t="s">
        <v>145</v>
      </c>
      <c r="B89" s="66">
        <f t="shared" si="66"/>
        <v>678.37837837837924</v>
      </c>
      <c r="C89" s="118">
        <f t="shared" si="31"/>
        <v>6.7837837837837922E-2</v>
      </c>
      <c r="D89" s="349">
        <f t="shared" si="32"/>
        <v>-81926.184420068384</v>
      </c>
      <c r="E89" s="146">
        <f t="shared" si="33"/>
        <v>182.00791466623954</v>
      </c>
      <c r="F89" s="136">
        <f t="shared" si="34"/>
        <v>-205396.41842338242</v>
      </c>
      <c r="G89" s="146">
        <f t="shared" si="35"/>
        <v>83.006</v>
      </c>
      <c r="H89" s="349">
        <f t="shared" si="46"/>
        <v>-83401.819393700483</v>
      </c>
      <c r="I89" s="146">
        <f t="shared" si="47"/>
        <v>179.34568241988507</v>
      </c>
      <c r="J89" s="136">
        <f t="shared" si="48"/>
        <v>-205066.05260286594</v>
      </c>
      <c r="K89" s="146">
        <f t="shared" si="49"/>
        <v>77.69924031838957</v>
      </c>
      <c r="L89" s="146">
        <f t="shared" si="36"/>
        <v>10313.392590718831</v>
      </c>
      <c r="M89" s="146">
        <f t="shared" si="37"/>
        <v>64.373412584315048</v>
      </c>
      <c r="N89" s="134">
        <f t="shared" si="38"/>
        <v>-33356.138648911161</v>
      </c>
      <c r="O89" s="134"/>
      <c r="Q89" s="139">
        <f t="shared" si="50"/>
        <v>0</v>
      </c>
      <c r="R89" s="139">
        <f t="shared" si="51"/>
        <v>92.539694999999995</v>
      </c>
      <c r="S89" s="139">
        <f t="shared" si="52"/>
        <v>-143.92715776678398</v>
      </c>
      <c r="T89" s="139">
        <f t="shared" si="53"/>
        <v>-16.681324324324347</v>
      </c>
      <c r="U89" s="139">
        <f t="shared" si="54"/>
        <v>3.6953745067932888</v>
      </c>
      <c r="V89" s="139">
        <f t="shared" si="55"/>
        <v>0</v>
      </c>
      <c r="W89" s="139">
        <f t="shared" si="56"/>
        <v>0</v>
      </c>
      <c r="X89" s="139">
        <f t="shared" si="57"/>
        <v>0</v>
      </c>
      <c r="Z89" s="139">
        <f t="shared" si="58"/>
        <v>-6657.6530000000002</v>
      </c>
      <c r="AA89" s="139">
        <f t="shared" si="59"/>
        <v>62776.928229729805</v>
      </c>
      <c r="AB89" s="139">
        <f t="shared" si="60"/>
        <v>-84652.909728277897</v>
      </c>
      <c r="AC89" s="139">
        <f t="shared" si="61"/>
        <v>-5658.1248721694819</v>
      </c>
      <c r="AD89" s="139">
        <f t="shared" si="62"/>
        <v>835.62072180641155</v>
      </c>
      <c r="AE89" s="139">
        <f t="shared" si="63"/>
        <v>0</v>
      </c>
      <c r="AF89" s="139">
        <f t="shared" si="64"/>
        <v>0</v>
      </c>
      <c r="AG89" s="139">
        <f t="shared" si="65"/>
        <v>0</v>
      </c>
      <c r="AP89" s="134">
        <f t="shared" si="39"/>
        <v>-1.4756349736320991</v>
      </c>
      <c r="AQ89" s="134">
        <f t="shared" si="40"/>
        <v>-2.6622322463544776</v>
      </c>
      <c r="AR89" s="134">
        <f t="shared" si="41"/>
        <v>0.33036582051648294</v>
      </c>
      <c r="AS89" s="134">
        <f t="shared" si="42"/>
        <v>-5.3067596816104299</v>
      </c>
      <c r="AT89" s="134">
        <f t="shared" si="43"/>
        <v>-93715.211984419322</v>
      </c>
      <c r="AU89" s="136">
        <f t="shared" si="44"/>
        <v>114.97226983557002</v>
      </c>
      <c r="AV89" s="134">
        <f t="shared" si="45"/>
        <v>-171709.91395395476</v>
      </c>
      <c r="AX89" s="70"/>
    </row>
    <row r="90" spans="1:50" x14ac:dyDescent="0.35">
      <c r="A90" s="190" t="s">
        <v>145</v>
      </c>
      <c r="B90" s="66">
        <f t="shared" si="66"/>
        <v>687.83783783783872</v>
      </c>
      <c r="C90" s="118">
        <f t="shared" si="31"/>
        <v>6.8783783783783872E-2</v>
      </c>
      <c r="D90" s="349">
        <f t="shared" si="32"/>
        <v>-81140.992528176488</v>
      </c>
      <c r="E90" s="146">
        <f t="shared" si="33"/>
        <v>183.15737319290056</v>
      </c>
      <c r="F90" s="136">
        <f t="shared" si="34"/>
        <v>-207123.56408923937</v>
      </c>
      <c r="G90" s="146">
        <f t="shared" si="35"/>
        <v>83.006</v>
      </c>
      <c r="H90" s="349">
        <f t="shared" si="46"/>
        <v>-82665.977896255819</v>
      </c>
      <c r="I90" s="146">
        <f t="shared" si="47"/>
        <v>180.42289301278453</v>
      </c>
      <c r="J90" s="136">
        <f t="shared" si="48"/>
        <v>-206767.67052261726</v>
      </c>
      <c r="K90" s="146">
        <f t="shared" si="49"/>
        <v>77.879354195493733</v>
      </c>
      <c r="L90" s="146">
        <f t="shared" si="36"/>
        <v>10582.451232103071</v>
      </c>
      <c r="M90" s="146">
        <f t="shared" si="37"/>
        <v>64.767292651485278</v>
      </c>
      <c r="N90" s="134">
        <f t="shared" si="38"/>
        <v>-33966.943307905101</v>
      </c>
      <c r="O90" s="134"/>
      <c r="Q90" s="139">
        <f t="shared" si="50"/>
        <v>0</v>
      </c>
      <c r="R90" s="139">
        <f t="shared" si="51"/>
        <v>92.539694999999995</v>
      </c>
      <c r="S90" s="139">
        <f t="shared" si="52"/>
        <v>-144.1922065126613</v>
      </c>
      <c r="T90" s="139">
        <f t="shared" si="53"/>
        <v>-16.913932432432453</v>
      </c>
      <c r="U90" s="139">
        <f t="shared" si="54"/>
        <v>3.7991512936084826</v>
      </c>
      <c r="V90" s="139">
        <f t="shared" si="55"/>
        <v>0</v>
      </c>
      <c r="W90" s="139">
        <f t="shared" si="56"/>
        <v>0</v>
      </c>
      <c r="X90" s="139">
        <f t="shared" si="57"/>
        <v>0</v>
      </c>
      <c r="Z90" s="139">
        <f t="shared" si="58"/>
        <v>-6657.6530000000002</v>
      </c>
      <c r="AA90" s="139">
        <f t="shared" si="59"/>
        <v>63652.303722973054</v>
      </c>
      <c r="AB90" s="139">
        <f t="shared" si="60"/>
        <v>-86015.639344519834</v>
      </c>
      <c r="AC90" s="139">
        <f t="shared" si="61"/>
        <v>-5817.0213568298177</v>
      </c>
      <c r="AD90" s="139">
        <f t="shared" si="62"/>
        <v>871.06667047149551</v>
      </c>
      <c r="AE90" s="139">
        <f t="shared" si="63"/>
        <v>0</v>
      </c>
      <c r="AF90" s="139">
        <f t="shared" si="64"/>
        <v>0</v>
      </c>
      <c r="AG90" s="139">
        <f t="shared" si="65"/>
        <v>0</v>
      </c>
      <c r="AP90" s="134">
        <f t="shared" si="39"/>
        <v>-1.5249853680793313</v>
      </c>
      <c r="AQ90" s="134">
        <f t="shared" si="40"/>
        <v>-2.7344801801160372</v>
      </c>
      <c r="AR90" s="134">
        <f t="shared" si="41"/>
        <v>0.35589356662210775</v>
      </c>
      <c r="AS90" s="134">
        <f t="shared" si="42"/>
        <v>-5.1266458045062677</v>
      </c>
      <c r="AT90" s="134">
        <f t="shared" si="43"/>
        <v>-93248.429128358897</v>
      </c>
      <c r="AU90" s="136">
        <f t="shared" si="44"/>
        <v>115.65560036129925</v>
      </c>
      <c r="AV90" s="134">
        <f t="shared" si="45"/>
        <v>-172800.72721471215</v>
      </c>
      <c r="AX90" s="70"/>
    </row>
    <row r="91" spans="1:50" x14ac:dyDescent="0.35">
      <c r="A91" s="190" t="s">
        <v>145</v>
      </c>
      <c r="B91" s="66">
        <f t="shared" si="66"/>
        <v>697.2972972972982</v>
      </c>
      <c r="C91" s="118">
        <f t="shared" si="31"/>
        <v>6.9729729729729822E-2</v>
      </c>
      <c r="D91" s="349">
        <f t="shared" si="32"/>
        <v>-80355.800636284592</v>
      </c>
      <c r="E91" s="146">
        <f t="shared" si="33"/>
        <v>184.29113130667051</v>
      </c>
      <c r="F91" s="136">
        <f t="shared" si="34"/>
        <v>-208861.50841228745</v>
      </c>
      <c r="G91" s="146">
        <f t="shared" si="35"/>
        <v>83.006</v>
      </c>
      <c r="H91" s="349">
        <f t="shared" si="46"/>
        <v>-81928.414340738556</v>
      </c>
      <c r="I91" s="146">
        <f t="shared" si="47"/>
        <v>181.48787652750349</v>
      </c>
      <c r="J91" s="136">
        <f t="shared" si="48"/>
        <v>-208479.42013559252</v>
      </c>
      <c r="K91" s="146">
        <f t="shared" si="49"/>
        <v>78.063232501254006</v>
      </c>
      <c r="L91" s="146">
        <f t="shared" si="36"/>
        <v>10851.733281960842</v>
      </c>
      <c r="M91" s="146">
        <f t="shared" si="37"/>
        <v>65.156115360042918</v>
      </c>
      <c r="N91" s="134">
        <f t="shared" si="38"/>
        <v>-34581.449860988061</v>
      </c>
      <c r="O91" s="134"/>
      <c r="Q91" s="139">
        <f t="shared" si="50"/>
        <v>0</v>
      </c>
      <c r="R91" s="139">
        <f t="shared" si="51"/>
        <v>92.539694999999995</v>
      </c>
      <c r="S91" s="139">
        <f t="shared" si="52"/>
        <v>-144.4536349672014</v>
      </c>
      <c r="T91" s="139">
        <f t="shared" si="53"/>
        <v>-17.146540540540563</v>
      </c>
      <c r="U91" s="139">
        <f t="shared" si="54"/>
        <v>3.9043651476990604</v>
      </c>
      <c r="V91" s="139">
        <f t="shared" si="55"/>
        <v>0</v>
      </c>
      <c r="W91" s="139">
        <f t="shared" si="56"/>
        <v>0</v>
      </c>
      <c r="X91" s="139">
        <f t="shared" si="57"/>
        <v>0</v>
      </c>
      <c r="Z91" s="139">
        <f t="shared" si="58"/>
        <v>-6657.6530000000002</v>
      </c>
      <c r="AA91" s="139">
        <f t="shared" si="59"/>
        <v>64527.679216216296</v>
      </c>
      <c r="AB91" s="139">
        <f t="shared" si="60"/>
        <v>-87380.858977129727</v>
      </c>
      <c r="AC91" s="139">
        <f t="shared" si="61"/>
        <v>-5978.118188458745</v>
      </c>
      <c r="AD91" s="139">
        <f t="shared" si="62"/>
        <v>907.50108838410711</v>
      </c>
      <c r="AE91" s="139">
        <f t="shared" si="63"/>
        <v>0</v>
      </c>
      <c r="AF91" s="139">
        <f t="shared" si="64"/>
        <v>0</v>
      </c>
      <c r="AG91" s="139">
        <f t="shared" si="65"/>
        <v>0</v>
      </c>
      <c r="AP91" s="134">
        <f t="shared" si="39"/>
        <v>-1.5726137044539645</v>
      </c>
      <c r="AQ91" s="134">
        <f t="shared" si="40"/>
        <v>-2.8032547791670197</v>
      </c>
      <c r="AR91" s="134">
        <f t="shared" si="41"/>
        <v>0.38208827669493622</v>
      </c>
      <c r="AS91" s="134">
        <f t="shared" si="42"/>
        <v>-4.9427674987459937</v>
      </c>
      <c r="AT91" s="134">
        <f t="shared" si="43"/>
        <v>-92780.147622699398</v>
      </c>
      <c r="AU91" s="136">
        <f t="shared" si="44"/>
        <v>116.33176116746057</v>
      </c>
      <c r="AV91" s="134">
        <f t="shared" si="45"/>
        <v>-173897.97027460445</v>
      </c>
      <c r="AX91" s="70"/>
    </row>
    <row r="92" spans="1:50" x14ac:dyDescent="0.35">
      <c r="A92" s="190" t="s">
        <v>145</v>
      </c>
      <c r="B92" s="66">
        <f t="shared" si="66"/>
        <v>706.75675675675768</v>
      </c>
      <c r="C92" s="118">
        <f t="shared" si="31"/>
        <v>7.0675675675675773E-2</v>
      </c>
      <c r="D92" s="349">
        <f t="shared" si="32"/>
        <v>-79570.60874439271</v>
      </c>
      <c r="E92" s="146">
        <f t="shared" si="33"/>
        <v>185.4096121372809</v>
      </c>
      <c r="F92" s="136">
        <f t="shared" si="34"/>
        <v>-210610.10489006573</v>
      </c>
      <c r="G92" s="146">
        <f t="shared" si="35"/>
        <v>83.006</v>
      </c>
      <c r="H92" s="349">
        <f t="shared" si="46"/>
        <v>-81189.095894693106</v>
      </c>
      <c r="I92" s="146">
        <f t="shared" si="47"/>
        <v>182.54100926574264</v>
      </c>
      <c r="J92" s="136">
        <f t="shared" si="48"/>
        <v>-210201.18757845464</v>
      </c>
      <c r="K92" s="146">
        <f t="shared" si="49"/>
        <v>78.250294706181847</v>
      </c>
      <c r="L92" s="146">
        <f t="shared" si="36"/>
        <v>11121.211552532841</v>
      </c>
      <c r="M92" s="146">
        <f t="shared" si="37"/>
        <v>65.539978277670571</v>
      </c>
      <c r="N92" s="134">
        <f t="shared" si="38"/>
        <v>-35199.61093290196</v>
      </c>
      <c r="O92" s="134"/>
      <c r="Q92" s="139">
        <f t="shared" si="50"/>
        <v>0</v>
      </c>
      <c r="R92" s="139">
        <f t="shared" si="51"/>
        <v>92.539694999999995</v>
      </c>
      <c r="S92" s="139">
        <f t="shared" si="52"/>
        <v>-144.71154069808691</v>
      </c>
      <c r="T92" s="139">
        <f t="shared" si="53"/>
        <v>-17.379148648648673</v>
      </c>
      <c r="U92" s="139">
        <f t="shared" si="54"/>
        <v>4.011016069065021</v>
      </c>
      <c r="V92" s="139">
        <f t="shared" si="55"/>
        <v>0</v>
      </c>
      <c r="W92" s="139">
        <f t="shared" si="56"/>
        <v>0</v>
      </c>
      <c r="X92" s="139">
        <f t="shared" si="57"/>
        <v>0</v>
      </c>
      <c r="Z92" s="139">
        <f t="shared" si="58"/>
        <v>-6657.6530000000002</v>
      </c>
      <c r="AA92" s="139">
        <f t="shared" si="59"/>
        <v>65403.054709459539</v>
      </c>
      <c r="AB92" s="139">
        <f t="shared" si="60"/>
        <v>-88748.534844729118</v>
      </c>
      <c r="AC92" s="139">
        <f t="shared" si="61"/>
        <v>-6141.4153670562619</v>
      </c>
      <c r="AD92" s="139">
        <f t="shared" si="62"/>
        <v>944.9375694238779</v>
      </c>
      <c r="AE92" s="139">
        <f t="shared" si="63"/>
        <v>0</v>
      </c>
      <c r="AF92" s="139">
        <f t="shared" si="64"/>
        <v>0</v>
      </c>
      <c r="AG92" s="139">
        <f t="shared" si="65"/>
        <v>0</v>
      </c>
      <c r="AP92" s="134">
        <f t="shared" si="39"/>
        <v>-1.6184871503003959</v>
      </c>
      <c r="AQ92" s="134">
        <f t="shared" si="40"/>
        <v>-2.8686028715382577</v>
      </c>
      <c r="AR92" s="134">
        <f t="shared" si="41"/>
        <v>0.40891731161109057</v>
      </c>
      <c r="AS92" s="134">
        <f t="shared" si="42"/>
        <v>-4.7557052938181528</v>
      </c>
      <c r="AT92" s="134">
        <f t="shared" si="43"/>
        <v>-92310.307447225947</v>
      </c>
      <c r="AU92" s="136">
        <f t="shared" si="44"/>
        <v>117.00103098807207</v>
      </c>
      <c r="AV92" s="134">
        <f t="shared" si="45"/>
        <v>-175001.57664555268</v>
      </c>
      <c r="AX92" s="70"/>
    </row>
    <row r="93" spans="1:50" x14ac:dyDescent="0.35">
      <c r="A93" s="190" t="s">
        <v>145</v>
      </c>
      <c r="B93" s="66">
        <f t="shared" si="66"/>
        <v>716.21621621621716</v>
      </c>
      <c r="C93" s="118">
        <f t="shared" si="31"/>
        <v>7.1621621621621723E-2</v>
      </c>
      <c r="D93" s="349">
        <f t="shared" si="32"/>
        <v>-78785.416852500814</v>
      </c>
      <c r="E93" s="146">
        <f t="shared" si="33"/>
        <v>186.51322193647906</v>
      </c>
      <c r="F93" s="136">
        <f t="shared" si="34"/>
        <v>-212369.21094214142</v>
      </c>
      <c r="G93" s="146">
        <f t="shared" si="35"/>
        <v>83.006</v>
      </c>
      <c r="H93" s="349">
        <f t="shared" si="46"/>
        <v>-80447.995034597552</v>
      </c>
      <c r="I93" s="146">
        <f t="shared" si="47"/>
        <v>183.58264505634503</v>
      </c>
      <c r="J93" s="136">
        <f t="shared" si="48"/>
        <v>-211932.86243981781</v>
      </c>
      <c r="K93" s="146">
        <f t="shared" si="49"/>
        <v>78.439998362744632</v>
      </c>
      <c r="L93" s="146">
        <f t="shared" si="36"/>
        <v>11390.858856059887</v>
      </c>
      <c r="M93" s="146">
        <f t="shared" si="37"/>
        <v>65.918975080228364</v>
      </c>
      <c r="N93" s="134">
        <f t="shared" si="38"/>
        <v>-35821.380052752378</v>
      </c>
      <c r="O93" s="134"/>
      <c r="Q93" s="139">
        <f t="shared" si="50"/>
        <v>0</v>
      </c>
      <c r="R93" s="139">
        <f t="shared" si="51"/>
        <v>92.539694999999995</v>
      </c>
      <c r="S93" s="139">
        <f t="shared" si="52"/>
        <v>-144.96601738117795</v>
      </c>
      <c r="T93" s="139">
        <f t="shared" si="53"/>
        <v>-17.61175675675678</v>
      </c>
      <c r="U93" s="139">
        <f t="shared" si="54"/>
        <v>4.119104057706366</v>
      </c>
      <c r="V93" s="139">
        <f t="shared" si="55"/>
        <v>0</v>
      </c>
      <c r="W93" s="139">
        <f t="shared" si="56"/>
        <v>0</v>
      </c>
      <c r="X93" s="139">
        <f t="shared" si="57"/>
        <v>0</v>
      </c>
      <c r="Z93" s="139">
        <f t="shared" si="58"/>
        <v>-6657.6530000000002</v>
      </c>
      <c r="AA93" s="139">
        <f t="shared" si="59"/>
        <v>66278.430202702788</v>
      </c>
      <c r="AB93" s="139">
        <f t="shared" si="60"/>
        <v>-90118.634070303233</v>
      </c>
      <c r="AC93" s="139">
        <f t="shared" si="61"/>
        <v>-6306.9128926223684</v>
      </c>
      <c r="AD93" s="139">
        <f t="shared" si="62"/>
        <v>983.38970747043993</v>
      </c>
      <c r="AE93" s="139">
        <f t="shared" si="63"/>
        <v>0</v>
      </c>
      <c r="AF93" s="139">
        <f t="shared" si="64"/>
        <v>0</v>
      </c>
      <c r="AG93" s="139">
        <f t="shared" si="65"/>
        <v>0</v>
      </c>
      <c r="AP93" s="134">
        <f t="shared" si="39"/>
        <v>-1.6625781820967387</v>
      </c>
      <c r="AQ93" s="134">
        <f t="shared" si="40"/>
        <v>-2.9305768801340264</v>
      </c>
      <c r="AR93" s="134">
        <f t="shared" si="41"/>
        <v>0.4363485023236135</v>
      </c>
      <c r="AS93" s="134">
        <f t="shared" si="42"/>
        <v>-4.5660016372553685</v>
      </c>
      <c r="AT93" s="134">
        <f t="shared" si="43"/>
        <v>-91838.853890657439</v>
      </c>
      <c r="AU93" s="136">
        <f t="shared" si="44"/>
        <v>117.66366997611667</v>
      </c>
      <c r="AV93" s="134">
        <f t="shared" si="45"/>
        <v>-176111.48238706542</v>
      </c>
      <c r="AX93" s="70"/>
    </row>
    <row r="94" spans="1:50" x14ac:dyDescent="0.35">
      <c r="A94" s="190" t="s">
        <v>145</v>
      </c>
      <c r="B94" s="66">
        <f t="shared" si="66"/>
        <v>725.67567567567664</v>
      </c>
      <c r="C94" s="118">
        <f t="shared" si="31"/>
        <v>7.2567567567567659E-2</v>
      </c>
      <c r="D94" s="349">
        <f t="shared" si="32"/>
        <v>-78000.224960608917</v>
      </c>
      <c r="E94" s="146">
        <f t="shared" si="33"/>
        <v>187.60235096391071</v>
      </c>
      <c r="F94" s="136">
        <f t="shared" si="34"/>
        <v>-214138.68775469027</v>
      </c>
      <c r="G94" s="146">
        <f t="shared" si="35"/>
        <v>83.006</v>
      </c>
      <c r="H94" s="349">
        <f t="shared" si="46"/>
        <v>-79705.08919984386</v>
      </c>
      <c r="I94" s="146">
        <f t="shared" si="47"/>
        <v>184.61311691487072</v>
      </c>
      <c r="J94" s="136">
        <f t="shared" si="48"/>
        <v>-213674.33755563534</v>
      </c>
      <c r="K94" s="146">
        <f t="shared" si="49"/>
        <v>78.63183614647707</v>
      </c>
      <c r="L94" s="146">
        <f t="shared" si="36"/>
        <v>11660.648004782677</v>
      </c>
      <c r="M94" s="146">
        <f t="shared" si="37"/>
        <v>66.293195756025753</v>
      </c>
      <c r="N94" s="134">
        <f t="shared" si="38"/>
        <v>-36446.711618171212</v>
      </c>
      <c r="O94" s="134"/>
      <c r="Q94" s="139">
        <f t="shared" si="50"/>
        <v>0</v>
      </c>
      <c r="R94" s="139">
        <f t="shared" si="51"/>
        <v>92.539694999999995</v>
      </c>
      <c r="S94" s="139">
        <f t="shared" si="52"/>
        <v>-145.21715500478396</v>
      </c>
      <c r="T94" s="139">
        <f t="shared" si="53"/>
        <v>-17.84436486486489</v>
      </c>
      <c r="U94" s="139">
        <f t="shared" si="54"/>
        <v>4.2286291136230938</v>
      </c>
      <c r="V94" s="139">
        <f t="shared" si="55"/>
        <v>0</v>
      </c>
      <c r="W94" s="139">
        <f t="shared" si="56"/>
        <v>0</v>
      </c>
      <c r="X94" s="139">
        <f t="shared" si="57"/>
        <v>0</v>
      </c>
      <c r="Z94" s="139">
        <f t="shared" si="58"/>
        <v>-6657.6530000000002</v>
      </c>
      <c r="AA94" s="139">
        <f t="shared" si="59"/>
        <v>67153.805695946037</v>
      </c>
      <c r="AB94" s="139">
        <f t="shared" si="60"/>
        <v>-91491.124645363612</v>
      </c>
      <c r="AC94" s="139">
        <f t="shared" si="61"/>
        <v>-6474.6107651570665</v>
      </c>
      <c r="AD94" s="139">
        <f t="shared" si="62"/>
        <v>1022.8710964034254</v>
      </c>
      <c r="AE94" s="139">
        <f t="shared" si="63"/>
        <v>0</v>
      </c>
      <c r="AF94" s="139">
        <f t="shared" si="64"/>
        <v>0</v>
      </c>
      <c r="AG94" s="139">
        <f t="shared" si="65"/>
        <v>0</v>
      </c>
      <c r="AP94" s="134">
        <f t="shared" si="39"/>
        <v>-1.7048642392349429</v>
      </c>
      <c r="AQ94" s="134">
        <f t="shared" si="40"/>
        <v>-2.9892340490399931</v>
      </c>
      <c r="AR94" s="134">
        <f t="shared" si="41"/>
        <v>0.46435019905492664</v>
      </c>
      <c r="AS94" s="134">
        <f t="shared" si="42"/>
        <v>-4.3741638535229299</v>
      </c>
      <c r="AT94" s="134">
        <f t="shared" si="43"/>
        <v>-91365.737204626537</v>
      </c>
      <c r="AU94" s="136">
        <f t="shared" si="44"/>
        <v>118.31992115884496</v>
      </c>
      <c r="AV94" s="134">
        <f t="shared" si="45"/>
        <v>-177227.62593746412</v>
      </c>
      <c r="AX94" s="70"/>
    </row>
    <row r="95" spans="1:50" x14ac:dyDescent="0.35">
      <c r="A95" s="190" t="s">
        <v>145</v>
      </c>
      <c r="B95" s="66">
        <f t="shared" si="66"/>
        <v>735.13513513513612</v>
      </c>
      <c r="C95" s="118">
        <f t="shared" si="31"/>
        <v>7.3513513513513609E-2</v>
      </c>
      <c r="D95" s="349">
        <f t="shared" si="32"/>
        <v>-77215.033068717021</v>
      </c>
      <c r="E95" s="146">
        <f t="shared" si="33"/>
        <v>188.67737431563228</v>
      </c>
      <c r="F95" s="136">
        <f t="shared" si="34"/>
        <v>-215918.40013318203</v>
      </c>
      <c r="G95" s="146">
        <f t="shared" si="35"/>
        <v>83.006</v>
      </c>
      <c r="H95" s="349">
        <f t="shared" si="46"/>
        <v>-78960.360473432695</v>
      </c>
      <c r="I95" s="146">
        <f t="shared" si="47"/>
        <v>185.63273855911478</v>
      </c>
      <c r="J95" s="136">
        <f t="shared" si="48"/>
        <v>-215425.50881959297</v>
      </c>
      <c r="K95" s="146">
        <f t="shared" si="49"/>
        <v>78.825333161876088</v>
      </c>
      <c r="L95" s="146">
        <f t="shared" si="36"/>
        <v>11930.551810941906</v>
      </c>
      <c r="M95" s="146">
        <f t="shared" si="37"/>
        <v>66.662726796864817</v>
      </c>
      <c r="N95" s="134">
        <f t="shared" si="38"/>
        <v>-37075.560861347971</v>
      </c>
      <c r="O95" s="134"/>
      <c r="Q95" s="139">
        <f t="shared" si="50"/>
        <v>0</v>
      </c>
      <c r="R95" s="139">
        <f t="shared" si="51"/>
        <v>92.539694999999995</v>
      </c>
      <c r="S95" s="139">
        <f t="shared" si="52"/>
        <v>-145.46504006070703</v>
      </c>
      <c r="T95" s="139">
        <f t="shared" si="53"/>
        <v>-18.076972972973</v>
      </c>
      <c r="U95" s="139">
        <f t="shared" si="54"/>
        <v>4.3395912368152052</v>
      </c>
      <c r="V95" s="139">
        <f t="shared" si="55"/>
        <v>0</v>
      </c>
      <c r="W95" s="139">
        <f t="shared" si="56"/>
        <v>0</v>
      </c>
      <c r="X95" s="139">
        <f t="shared" si="57"/>
        <v>0</v>
      </c>
      <c r="Z95" s="139">
        <f t="shared" si="58"/>
        <v>-6657.6530000000002</v>
      </c>
      <c r="AA95" s="139">
        <f t="shared" si="59"/>
        <v>68029.181189189272</v>
      </c>
      <c r="AB95" s="139">
        <f t="shared" si="60"/>
        <v>-92865.97539597936</v>
      </c>
      <c r="AC95" s="139">
        <f t="shared" si="61"/>
        <v>-6644.5089846603541</v>
      </c>
      <c r="AD95" s="139">
        <f t="shared" si="62"/>
        <v>1063.3953301024662</v>
      </c>
      <c r="AE95" s="139">
        <f t="shared" si="63"/>
        <v>0</v>
      </c>
      <c r="AF95" s="139">
        <f t="shared" si="64"/>
        <v>0</v>
      </c>
      <c r="AG95" s="139">
        <f t="shared" si="65"/>
        <v>0</v>
      </c>
      <c r="AP95" s="134">
        <f t="shared" si="39"/>
        <v>-1.7453274047156737</v>
      </c>
      <c r="AQ95" s="134">
        <f t="shared" si="40"/>
        <v>-3.0446357565174935</v>
      </c>
      <c r="AR95" s="134">
        <f t="shared" si="41"/>
        <v>0.49289131358906163</v>
      </c>
      <c r="AS95" s="134">
        <f t="shared" si="42"/>
        <v>-4.180666838123912</v>
      </c>
      <c r="AT95" s="134">
        <f t="shared" si="43"/>
        <v>-90890.912284374601</v>
      </c>
      <c r="AU95" s="136">
        <f t="shared" si="44"/>
        <v>118.97001176224997</v>
      </c>
      <c r="AV95" s="134">
        <f t="shared" si="45"/>
        <v>-178349.947958245</v>
      </c>
      <c r="AX95" s="70"/>
    </row>
    <row r="96" spans="1:50" x14ac:dyDescent="0.35">
      <c r="A96" s="190" t="s">
        <v>145</v>
      </c>
      <c r="B96" s="66">
        <f t="shared" si="66"/>
        <v>744.59459459459561</v>
      </c>
      <c r="C96" s="118">
        <f t="shared" si="31"/>
        <v>7.4459459459459559E-2</v>
      </c>
      <c r="D96" s="349">
        <f t="shared" si="32"/>
        <v>-76429.841176825124</v>
      </c>
      <c r="E96" s="146">
        <f t="shared" si="33"/>
        <v>189.73865269965472</v>
      </c>
      <c r="F96" s="136">
        <f t="shared" si="34"/>
        <v>-217708.21636264931</v>
      </c>
      <c r="G96" s="146">
        <f t="shared" si="35"/>
        <v>83.006</v>
      </c>
      <c r="H96" s="349">
        <f t="shared" si="46"/>
        <v>-78213.795287007364</v>
      </c>
      <c r="I96" s="146">
        <f t="shared" si="47"/>
        <v>186.64180579483204</v>
      </c>
      <c r="J96" s="136">
        <f t="shared" si="48"/>
        <v>-217186.27500721361</v>
      </c>
      <c r="K96" s="146">
        <f t="shared" si="49"/>
        <v>79.020044486341874</v>
      </c>
      <c r="L96" s="146">
        <f t="shared" si="36"/>
        <v>12200.543086778423</v>
      </c>
      <c r="M96" s="146">
        <f t="shared" si="37"/>
        <v>67.0276513768695</v>
      </c>
      <c r="N96" s="134">
        <f t="shared" si="38"/>
        <v>-37707.883816809612</v>
      </c>
      <c r="O96" s="134"/>
      <c r="Q96" s="139">
        <f t="shared" si="50"/>
        <v>0</v>
      </c>
      <c r="R96" s="139">
        <f t="shared" si="51"/>
        <v>92.539694999999995</v>
      </c>
      <c r="S96" s="139">
        <f t="shared" si="52"/>
        <v>-145.70975572307108</v>
      </c>
      <c r="T96" s="139">
        <f t="shared" si="53"/>
        <v>-18.309581081081106</v>
      </c>
      <c r="U96" s="139">
        <f t="shared" si="54"/>
        <v>4.4519904272827002</v>
      </c>
      <c r="V96" s="139">
        <f t="shared" si="55"/>
        <v>0</v>
      </c>
      <c r="W96" s="139">
        <f t="shared" si="56"/>
        <v>0</v>
      </c>
      <c r="X96" s="139">
        <f t="shared" si="57"/>
        <v>0</v>
      </c>
      <c r="Z96" s="139">
        <f t="shared" si="58"/>
        <v>-6657.6530000000002</v>
      </c>
      <c r="AA96" s="139">
        <f t="shared" si="59"/>
        <v>68904.556682432521</v>
      </c>
      <c r="AB96" s="139">
        <f t="shared" si="60"/>
        <v>-94243.155950557091</v>
      </c>
      <c r="AC96" s="139">
        <f t="shared" si="61"/>
        <v>-6816.6075511322315</v>
      </c>
      <c r="AD96" s="139">
        <f t="shared" si="62"/>
        <v>1104.9760024471941</v>
      </c>
      <c r="AE96" s="139">
        <f t="shared" si="63"/>
        <v>0</v>
      </c>
      <c r="AF96" s="139">
        <f t="shared" si="64"/>
        <v>0</v>
      </c>
      <c r="AG96" s="139">
        <f t="shared" si="65"/>
        <v>0</v>
      </c>
      <c r="AP96" s="134">
        <f t="shared" si="39"/>
        <v>-1.7839541101822396</v>
      </c>
      <c r="AQ96" s="134">
        <f t="shared" si="40"/>
        <v>-3.0968469048226837</v>
      </c>
      <c r="AR96" s="134">
        <f t="shared" si="41"/>
        <v>0.52194135543570153</v>
      </c>
      <c r="AS96" s="134">
        <f t="shared" si="42"/>
        <v>-3.9859555136581264</v>
      </c>
      <c r="AT96" s="134">
        <f t="shared" si="43"/>
        <v>-90414.33837378578</v>
      </c>
      <c r="AU96" s="136">
        <f t="shared" si="44"/>
        <v>119.61415441796254</v>
      </c>
      <c r="AV96" s="134">
        <f t="shared" si="45"/>
        <v>-179478.39119040401</v>
      </c>
      <c r="AX96" s="70"/>
    </row>
    <row r="97" spans="1:50" x14ac:dyDescent="0.35">
      <c r="A97" s="190" t="s">
        <v>145</v>
      </c>
      <c r="B97" s="66">
        <f t="shared" si="66"/>
        <v>754.05405405405509</v>
      </c>
      <c r="C97" s="118">
        <f t="shared" si="31"/>
        <v>7.540540540540551E-2</v>
      </c>
      <c r="D97" s="349">
        <f t="shared" si="32"/>
        <v>-75644.649284933243</v>
      </c>
      <c r="E97" s="146">
        <f t="shared" si="33"/>
        <v>190.78653316253099</v>
      </c>
      <c r="F97" s="136">
        <f t="shared" si="34"/>
        <v>-219508.00807505814</v>
      </c>
      <c r="G97" s="146">
        <f t="shared" si="35"/>
        <v>83.006</v>
      </c>
      <c r="H97" s="349">
        <f t="shared" si="46"/>
        <v>-77465.384148089492</v>
      </c>
      <c r="I97" s="146">
        <f t="shared" si="47"/>
        <v>187.64059778435268</v>
      </c>
      <c r="J97" s="136">
        <f t="shared" si="48"/>
        <v>-218956.537612507</v>
      </c>
      <c r="K97" s="146">
        <f t="shared" si="49"/>
        <v>79.215552928426391</v>
      </c>
      <c r="L97" s="146">
        <f t="shared" si="36"/>
        <v>12470.59464453283</v>
      </c>
      <c r="M97" s="146">
        <f t="shared" si="37"/>
        <v>67.388049520026215</v>
      </c>
      <c r="N97" s="134">
        <f t="shared" si="38"/>
        <v>-38343.637290838356</v>
      </c>
      <c r="O97" s="134"/>
      <c r="Q97" s="139">
        <f t="shared" si="50"/>
        <v>0</v>
      </c>
      <c r="R97" s="139">
        <f t="shared" si="51"/>
        <v>92.539694999999995</v>
      </c>
      <c r="S97" s="139">
        <f t="shared" si="52"/>
        <v>-145.95138201586258</v>
      </c>
      <c r="T97" s="139">
        <f t="shared" si="53"/>
        <v>-18.542189189189216</v>
      </c>
      <c r="U97" s="139">
        <f t="shared" si="54"/>
        <v>4.5658266850255789</v>
      </c>
      <c r="V97" s="139">
        <f t="shared" si="55"/>
        <v>0</v>
      </c>
      <c r="W97" s="139">
        <f t="shared" si="56"/>
        <v>0</v>
      </c>
      <c r="X97" s="139">
        <f t="shared" si="57"/>
        <v>0</v>
      </c>
      <c r="Z97" s="139">
        <f t="shared" si="58"/>
        <v>-6657.6530000000002</v>
      </c>
      <c r="AA97" s="139">
        <f t="shared" si="59"/>
        <v>69779.932175675771</v>
      </c>
      <c r="AB97" s="139">
        <f t="shared" si="60"/>
        <v>-95622.636709258673</v>
      </c>
      <c r="AC97" s="139">
        <f t="shared" si="61"/>
        <v>-6990.9064645727003</v>
      </c>
      <c r="AD97" s="139">
        <f t="shared" si="62"/>
        <v>1147.6267073172417</v>
      </c>
      <c r="AE97" s="139">
        <f t="shared" si="63"/>
        <v>0</v>
      </c>
      <c r="AF97" s="139">
        <f t="shared" si="64"/>
        <v>0</v>
      </c>
      <c r="AG97" s="139">
        <f t="shared" si="65"/>
        <v>0</v>
      </c>
      <c r="AP97" s="134">
        <f t="shared" si="39"/>
        <v>-1.820734863156249</v>
      </c>
      <c r="AQ97" s="134">
        <f t="shared" si="40"/>
        <v>-3.1459353781783079</v>
      </c>
      <c r="AR97" s="134">
        <f t="shared" si="41"/>
        <v>0.55147046255113674</v>
      </c>
      <c r="AS97" s="134">
        <f t="shared" si="42"/>
        <v>-3.7904470715736096</v>
      </c>
      <c r="AT97" s="134">
        <f t="shared" si="43"/>
        <v>-89935.978792622322</v>
      </c>
      <c r="AU97" s="136">
        <f t="shared" si="44"/>
        <v>120.25254826432646</v>
      </c>
      <c r="AV97" s="134">
        <f t="shared" si="45"/>
        <v>-180612.90032166865</v>
      </c>
      <c r="AX97" s="70"/>
    </row>
    <row r="98" spans="1:50" x14ac:dyDescent="0.35">
      <c r="A98" s="190" t="s">
        <v>145</v>
      </c>
      <c r="B98" s="66">
        <f t="shared" si="66"/>
        <v>763.51351351351457</v>
      </c>
      <c r="C98" s="118">
        <f t="shared" si="31"/>
        <v>7.635135135135146E-2</v>
      </c>
      <c r="D98" s="349">
        <f t="shared" si="32"/>
        <v>-74859.457393041346</v>
      </c>
      <c r="E98" s="146">
        <f t="shared" si="33"/>
        <v>191.82134977064936</v>
      </c>
      <c r="F98" s="136">
        <f t="shared" si="34"/>
        <v>-221317.65012333466</v>
      </c>
      <c r="G98" s="146">
        <f t="shared" si="35"/>
        <v>83.006</v>
      </c>
      <c r="H98" s="349">
        <f t="shared" si="46"/>
        <v>-76715.121387590974</v>
      </c>
      <c r="I98" s="146">
        <f t="shared" si="47"/>
        <v>188.62937820938882</v>
      </c>
      <c r="J98" s="136">
        <f t="shared" si="48"/>
        <v>-220736.20069611099</v>
      </c>
      <c r="K98" s="146">
        <f t="shared" si="49"/>
        <v>79.411466979282281</v>
      </c>
      <c r="L98" s="146">
        <f t="shared" si="36"/>
        <v>12740.679296445938</v>
      </c>
      <c r="M98" s="146">
        <f t="shared" si="37"/>
        <v>67.743998257280651</v>
      </c>
      <c r="N98" s="134">
        <f t="shared" si="38"/>
        <v>-38982.778832423821</v>
      </c>
      <c r="O98" s="134"/>
      <c r="Q98" s="139">
        <f t="shared" si="50"/>
        <v>0</v>
      </c>
      <c r="R98" s="139">
        <f t="shared" si="51"/>
        <v>92.539694999999995</v>
      </c>
      <c r="S98" s="139">
        <f t="shared" si="52"/>
        <v>-146.18999597002716</v>
      </c>
      <c r="T98" s="139">
        <f t="shared" si="53"/>
        <v>-18.774797297297322</v>
      </c>
      <c r="U98" s="139">
        <f t="shared" si="54"/>
        <v>4.6811000100438402</v>
      </c>
      <c r="V98" s="139">
        <f t="shared" si="55"/>
        <v>0</v>
      </c>
      <c r="W98" s="139">
        <f t="shared" si="56"/>
        <v>0</v>
      </c>
      <c r="X98" s="139">
        <f t="shared" si="57"/>
        <v>0</v>
      </c>
      <c r="Z98" s="139">
        <f t="shared" si="58"/>
        <v>-6657.6530000000002</v>
      </c>
      <c r="AA98" s="139">
        <f t="shared" si="59"/>
        <v>70655.307668919006</v>
      </c>
      <c r="AB98" s="139">
        <f t="shared" si="60"/>
        <v>-97004.388814953316</v>
      </c>
      <c r="AC98" s="139">
        <f t="shared" si="61"/>
        <v>-7167.4057249817588</v>
      </c>
      <c r="AD98" s="139">
        <f t="shared" si="62"/>
        <v>1191.3610385922402</v>
      </c>
      <c r="AE98" s="139">
        <f t="shared" si="63"/>
        <v>0</v>
      </c>
      <c r="AF98" s="139">
        <f t="shared" si="64"/>
        <v>0</v>
      </c>
      <c r="AG98" s="139">
        <f t="shared" si="65"/>
        <v>0</v>
      </c>
      <c r="AP98" s="134">
        <f t="shared" si="39"/>
        <v>-1.855663994549628</v>
      </c>
      <c r="AQ98" s="134">
        <f t="shared" si="40"/>
        <v>-3.1919715612605444</v>
      </c>
      <c r="AR98" s="134">
        <f t="shared" si="41"/>
        <v>0.5814494272236771</v>
      </c>
      <c r="AS98" s="134">
        <f t="shared" si="42"/>
        <v>-3.5945330207177193</v>
      </c>
      <c r="AT98" s="134">
        <f t="shared" si="43"/>
        <v>-89455.80068403692</v>
      </c>
      <c r="AU98" s="136">
        <f t="shared" si="44"/>
        <v>120.88537995210817</v>
      </c>
      <c r="AV98" s="134">
        <f t="shared" si="45"/>
        <v>-181753.42186368717</v>
      </c>
      <c r="AX98" s="70"/>
    </row>
    <row r="99" spans="1:50" x14ac:dyDescent="0.35">
      <c r="A99" s="190" t="s">
        <v>145</v>
      </c>
      <c r="B99" s="66">
        <f t="shared" si="66"/>
        <v>772.97297297297405</v>
      </c>
      <c r="C99" s="118">
        <f t="shared" si="31"/>
        <v>7.729729729729741E-2</v>
      </c>
      <c r="D99" s="349">
        <f t="shared" si="32"/>
        <v>-74074.26550114945</v>
      </c>
      <c r="E99" s="146">
        <f t="shared" si="33"/>
        <v>192.84342424957944</v>
      </c>
      <c r="F99" s="136">
        <f t="shared" si="34"/>
        <v>-223137.02046163546</v>
      </c>
      <c r="G99" s="146">
        <f t="shared" si="35"/>
        <v>83.006</v>
      </c>
      <c r="H99" s="349">
        <f t="shared" si="46"/>
        <v>-75963.004925865302</v>
      </c>
      <c r="I99" s="146">
        <f t="shared" si="47"/>
        <v>189.6083963381098</v>
      </c>
      <c r="J99" s="136">
        <f t="shared" si="48"/>
        <v>-222525.17074397203</v>
      </c>
      <c r="K99" s="146">
        <f t="shared" si="49"/>
        <v>79.607418938514101</v>
      </c>
      <c r="L99" s="146">
        <f t="shared" si="36"/>
        <v>13010.769854758466</v>
      </c>
      <c r="M99" s="146">
        <f t="shared" si="37"/>
        <v>68.095571773961566</v>
      </c>
      <c r="N99" s="134">
        <f t="shared" si="38"/>
        <v>-39625.266705655144</v>
      </c>
      <c r="O99" s="134"/>
      <c r="Q99" s="139">
        <f t="shared" si="50"/>
        <v>0</v>
      </c>
      <c r="R99" s="139">
        <f t="shared" si="51"/>
        <v>92.539694999999995</v>
      </c>
      <c r="S99" s="139">
        <f t="shared" si="52"/>
        <v>-146.42567177089362</v>
      </c>
      <c r="T99" s="139">
        <f t="shared" si="53"/>
        <v>-19.007405405405432</v>
      </c>
      <c r="U99" s="139">
        <f t="shared" si="54"/>
        <v>4.7978104023374861</v>
      </c>
      <c r="V99" s="139">
        <f t="shared" si="55"/>
        <v>0</v>
      </c>
      <c r="W99" s="139">
        <f t="shared" si="56"/>
        <v>0</v>
      </c>
      <c r="X99" s="139">
        <f t="shared" si="57"/>
        <v>0</v>
      </c>
      <c r="Z99" s="139">
        <f t="shared" si="58"/>
        <v>-6657.6530000000002</v>
      </c>
      <c r="AA99" s="139">
        <f t="shared" si="59"/>
        <v>71530.683162162255</v>
      </c>
      <c r="AB99" s="139">
        <f t="shared" si="60"/>
        <v>-98388.384125609809</v>
      </c>
      <c r="AC99" s="139">
        <f t="shared" si="61"/>
        <v>-7346.1053323594078</v>
      </c>
      <c r="AD99" s="139">
        <f t="shared" si="62"/>
        <v>1236.1925901518225</v>
      </c>
      <c r="AE99" s="139">
        <f t="shared" si="63"/>
        <v>0</v>
      </c>
      <c r="AF99" s="139">
        <f t="shared" si="64"/>
        <v>0</v>
      </c>
      <c r="AG99" s="139">
        <f t="shared" si="65"/>
        <v>0</v>
      </c>
      <c r="AP99" s="134">
        <f t="shared" si="39"/>
        <v>-1.8887394247158518</v>
      </c>
      <c r="AQ99" s="134">
        <f t="shared" si="40"/>
        <v>-3.2350279114696434</v>
      </c>
      <c r="AR99" s="134">
        <f t="shared" si="41"/>
        <v>0.61184971766342644</v>
      </c>
      <c r="AS99" s="134">
        <f t="shared" si="42"/>
        <v>-3.3985810614858991</v>
      </c>
      <c r="AT99" s="134">
        <f t="shared" si="43"/>
        <v>-88973.77478062376</v>
      </c>
      <c r="AU99" s="136">
        <f t="shared" si="44"/>
        <v>121.51282456414823</v>
      </c>
      <c r="AV99" s="134">
        <f t="shared" si="45"/>
        <v>-182899.90403831689</v>
      </c>
      <c r="AX99" s="70"/>
    </row>
    <row r="100" spans="1:50" x14ac:dyDescent="0.35">
      <c r="A100" s="190" t="s">
        <v>145</v>
      </c>
      <c r="B100" s="66">
        <f t="shared" si="66"/>
        <v>782.43243243243353</v>
      </c>
      <c r="C100" s="118">
        <f t="shared" si="31"/>
        <v>7.8243243243243346E-2</v>
      </c>
      <c r="D100" s="349">
        <f t="shared" si="32"/>
        <v>-73289.073609257568</v>
      </c>
      <c r="E100" s="146">
        <f t="shared" si="33"/>
        <v>193.85306658453194</v>
      </c>
      <c r="F100" s="136">
        <f t="shared" si="34"/>
        <v>-224966.00003147943</v>
      </c>
      <c r="G100" s="146">
        <f t="shared" si="35"/>
        <v>83.006</v>
      </c>
      <c r="H100" s="349">
        <f t="shared" si="46"/>
        <v>-75209.03605572923</v>
      </c>
      <c r="I100" s="146">
        <f t="shared" si="47"/>
        <v>190.57788800549238</v>
      </c>
      <c r="J100" s="136">
        <f t="shared" si="48"/>
        <v>-224323.35653570257</v>
      </c>
      <c r="K100" s="146">
        <f t="shared" si="49"/>
        <v>79.803063197667441</v>
      </c>
      <c r="L100" s="146">
        <f t="shared" si="36"/>
        <v>13280.839131711167</v>
      </c>
      <c r="M100" s="146">
        <f t="shared" si="37"/>
        <v>68.442841548238434</v>
      </c>
      <c r="N100" s="134">
        <f t="shared" si="38"/>
        <v>-40271.059863464652</v>
      </c>
      <c r="O100" s="134"/>
      <c r="Q100" s="139">
        <f t="shared" si="50"/>
        <v>0</v>
      </c>
      <c r="R100" s="139">
        <f t="shared" si="51"/>
        <v>92.539694999999995</v>
      </c>
      <c r="S100" s="139">
        <f t="shared" si="52"/>
        <v>-146.6584808966314</v>
      </c>
      <c r="T100" s="139">
        <f t="shared" si="53"/>
        <v>-19.240013513513542</v>
      </c>
      <c r="U100" s="139">
        <f t="shared" si="54"/>
        <v>4.9159578619065147</v>
      </c>
      <c r="V100" s="139">
        <f t="shared" si="55"/>
        <v>0</v>
      </c>
      <c r="W100" s="139">
        <f t="shared" si="56"/>
        <v>0</v>
      </c>
      <c r="X100" s="139">
        <f t="shared" si="57"/>
        <v>0</v>
      </c>
      <c r="Z100" s="139">
        <f t="shared" si="58"/>
        <v>-6657.6530000000002</v>
      </c>
      <c r="AA100" s="139">
        <f t="shared" si="59"/>
        <v>72406.058655405504</v>
      </c>
      <c r="AB100" s="139">
        <f t="shared" si="60"/>
        <v>-99774.595188040126</v>
      </c>
      <c r="AC100" s="139">
        <f t="shared" si="61"/>
        <v>-7527.0052867056456</v>
      </c>
      <c r="AD100" s="139">
        <f t="shared" si="62"/>
        <v>1282.1349558756199</v>
      </c>
      <c r="AE100" s="139">
        <f t="shared" si="63"/>
        <v>0</v>
      </c>
      <c r="AF100" s="139">
        <f t="shared" si="64"/>
        <v>0</v>
      </c>
      <c r="AG100" s="139">
        <f t="shared" si="65"/>
        <v>0</v>
      </c>
      <c r="AP100" s="134">
        <f t="shared" si="39"/>
        <v>-1.9199624464716616</v>
      </c>
      <c r="AQ100" s="134">
        <f t="shared" si="40"/>
        <v>-3.2751785790395616</v>
      </c>
      <c r="AR100" s="134">
        <f t="shared" si="41"/>
        <v>0.64264349577686519</v>
      </c>
      <c r="AS100" s="134">
        <f t="shared" si="42"/>
        <v>-3.2029368023325588</v>
      </c>
      <c r="AT100" s="134">
        <f t="shared" si="43"/>
        <v>-88489.875187440397</v>
      </c>
      <c r="AU100" s="136">
        <f t="shared" si="44"/>
        <v>122.13504645725395</v>
      </c>
      <c r="AV100" s="134">
        <f t="shared" si="45"/>
        <v>-184052.29667223792</v>
      </c>
      <c r="AX100" s="70"/>
    </row>
    <row r="101" spans="1:50" x14ac:dyDescent="0.35">
      <c r="A101" s="190" t="s">
        <v>145</v>
      </c>
      <c r="B101" s="66">
        <f t="shared" si="66"/>
        <v>791.89189189189301</v>
      </c>
      <c r="C101" s="118">
        <f t="shared" si="31"/>
        <v>7.9189189189189296E-2</v>
      </c>
      <c r="D101" s="349">
        <f t="shared" si="32"/>
        <v>-72503.881717365657</v>
      </c>
      <c r="E101" s="146">
        <f t="shared" si="33"/>
        <v>194.85057558473741</v>
      </c>
      <c r="F101" s="136">
        <f t="shared" si="34"/>
        <v>-226804.47265338767</v>
      </c>
      <c r="G101" s="146">
        <f t="shared" si="35"/>
        <v>83.006</v>
      </c>
      <c r="H101" s="349">
        <f t="shared" si="46"/>
        <v>-74453.219241035709</v>
      </c>
      <c r="I101" s="146">
        <f t="shared" si="47"/>
        <v>191.53807651500122</v>
      </c>
      <c r="J101" s="136">
        <f t="shared" si="48"/>
        <v>-226130.66902183424</v>
      </c>
      <c r="K101" s="146">
        <f t="shared" si="49"/>
        <v>79.998074666382735</v>
      </c>
      <c r="L101" s="146">
        <f t="shared" si="36"/>
        <v>13550.859939544767</v>
      </c>
      <c r="M101" s="146">
        <f t="shared" si="37"/>
        <v>68.785876481259024</v>
      </c>
      <c r="N101" s="134">
        <f t="shared" si="38"/>
        <v>-40920.117922641512</v>
      </c>
      <c r="O101" s="134"/>
      <c r="Q101" s="139">
        <f t="shared" si="50"/>
        <v>0</v>
      </c>
      <c r="R101" s="139">
        <f t="shared" si="51"/>
        <v>92.539694999999995</v>
      </c>
      <c r="S101" s="139">
        <f t="shared" si="52"/>
        <v>-146.8884922483883</v>
      </c>
      <c r="T101" s="139">
        <f t="shared" si="53"/>
        <v>-19.472621621621649</v>
      </c>
      <c r="U101" s="139">
        <f t="shared" si="54"/>
        <v>5.035542388750927</v>
      </c>
      <c r="V101" s="139">
        <f t="shared" si="55"/>
        <v>0</v>
      </c>
      <c r="W101" s="139">
        <f t="shared" si="56"/>
        <v>0</v>
      </c>
      <c r="X101" s="139">
        <f t="shared" si="57"/>
        <v>0</v>
      </c>
      <c r="Z101" s="139">
        <f t="shared" si="58"/>
        <v>-6657.6530000000002</v>
      </c>
      <c r="AA101" s="139">
        <f t="shared" si="59"/>
        <v>73281.434148648754</v>
      </c>
      <c r="AB101" s="139">
        <f t="shared" si="60"/>
        <v>-101162.99521291305</v>
      </c>
      <c r="AC101" s="139">
        <f t="shared" si="61"/>
        <v>-7710.1055880204749</v>
      </c>
      <c r="AD101" s="139">
        <f t="shared" si="62"/>
        <v>1329.2017296432646</v>
      </c>
      <c r="AE101" s="139">
        <f t="shared" si="63"/>
        <v>0</v>
      </c>
      <c r="AF101" s="139">
        <f t="shared" si="64"/>
        <v>0</v>
      </c>
      <c r="AG101" s="139">
        <f t="shared" si="65"/>
        <v>0</v>
      </c>
      <c r="AP101" s="134">
        <f t="shared" si="39"/>
        <v>-1.9493375236700521</v>
      </c>
      <c r="AQ101" s="134">
        <f t="shared" si="40"/>
        <v>-3.3124990697361909</v>
      </c>
      <c r="AR101" s="134">
        <f t="shared" si="41"/>
        <v>0.67380363155342637</v>
      </c>
      <c r="AS101" s="134">
        <f t="shared" si="42"/>
        <v>-3.0079253336172656</v>
      </c>
      <c r="AT101" s="134">
        <f t="shared" si="43"/>
        <v>-88004.079180580477</v>
      </c>
      <c r="AU101" s="136">
        <f t="shared" si="44"/>
        <v>122.7522000337422</v>
      </c>
      <c r="AV101" s="134">
        <f t="shared" si="45"/>
        <v>-185210.55109919273</v>
      </c>
      <c r="AX101" s="70"/>
    </row>
    <row r="102" spans="1:50" x14ac:dyDescent="0.35">
      <c r="A102" s="190" t="s">
        <v>145</v>
      </c>
      <c r="B102" s="66">
        <f t="shared" si="66"/>
        <v>801.35135135135249</v>
      </c>
      <c r="C102" s="118">
        <f t="shared" si="31"/>
        <v>8.0135135135135246E-2</v>
      </c>
      <c r="D102" s="349">
        <f t="shared" si="32"/>
        <v>-71718.689825473761</v>
      </c>
      <c r="E102" s="146">
        <f t="shared" si="33"/>
        <v>195.83623941431307</v>
      </c>
      <c r="F102" s="136">
        <f t="shared" si="34"/>
        <v>-228652.32492370054</v>
      </c>
      <c r="G102" s="146">
        <f t="shared" si="35"/>
        <v>83.006</v>
      </c>
      <c r="H102" s="349">
        <f t="shared" si="46"/>
        <v>-73695.561929513307</v>
      </c>
      <c r="I102" s="146">
        <f t="shared" si="47"/>
        <v>192.48917346881953</v>
      </c>
      <c r="J102" s="136">
        <f t="shared" si="48"/>
        <v>-227947.02120925678</v>
      </c>
      <c r="K102" s="146">
        <f t="shared" si="49"/>
        <v>80.192147327821431</v>
      </c>
      <c r="L102" s="146">
        <f t="shared" si="36"/>
        <v>13820.805090499976</v>
      </c>
      <c r="M102" s="146">
        <f t="shared" si="37"/>
        <v>69.124743019559787</v>
      </c>
      <c r="N102" s="134">
        <f t="shared" si="38"/>
        <v>-41572.401140039226</v>
      </c>
      <c r="O102" s="134"/>
      <c r="Q102" s="139">
        <f t="shared" si="50"/>
        <v>0</v>
      </c>
      <c r="R102" s="139">
        <f t="shared" si="51"/>
        <v>92.539694999999995</v>
      </c>
      <c r="S102" s="139">
        <f t="shared" si="52"/>
        <v>-147.11577227270075</v>
      </c>
      <c r="T102" s="139">
        <f t="shared" si="53"/>
        <v>-19.705229729729759</v>
      </c>
      <c r="U102" s="139">
        <f t="shared" si="54"/>
        <v>5.1565639828707237</v>
      </c>
      <c r="V102" s="139">
        <f t="shared" si="55"/>
        <v>0</v>
      </c>
      <c r="W102" s="139">
        <f t="shared" si="56"/>
        <v>0</v>
      </c>
      <c r="X102" s="139">
        <f t="shared" si="57"/>
        <v>0</v>
      </c>
      <c r="Z102" s="139">
        <f t="shared" si="58"/>
        <v>-6657.6530000000002</v>
      </c>
      <c r="AA102" s="139">
        <f t="shared" si="59"/>
        <v>74156.809641891989</v>
      </c>
      <c r="AB102" s="139">
        <f t="shared" si="60"/>
        <v>-102553.5580509617</v>
      </c>
      <c r="AC102" s="139">
        <f t="shared" si="61"/>
        <v>-7895.4062363038947</v>
      </c>
      <c r="AD102" s="139">
        <f t="shared" si="62"/>
        <v>1377.4065053343888</v>
      </c>
      <c r="AE102" s="139">
        <f t="shared" si="63"/>
        <v>0</v>
      </c>
      <c r="AF102" s="139">
        <f t="shared" si="64"/>
        <v>0</v>
      </c>
      <c r="AG102" s="139">
        <f t="shared" si="65"/>
        <v>0</v>
      </c>
      <c r="AP102" s="134">
        <f t="shared" si="39"/>
        <v>-1.9768721040395467</v>
      </c>
      <c r="AQ102" s="134">
        <f t="shared" si="40"/>
        <v>-3.3470659454935401</v>
      </c>
      <c r="AR102" s="134">
        <f t="shared" si="41"/>
        <v>0.70530371444375484</v>
      </c>
      <c r="AS102" s="134">
        <f t="shared" si="42"/>
        <v>-2.8138526721785695</v>
      </c>
      <c r="AT102" s="134">
        <f t="shared" si="43"/>
        <v>-87516.367020013276</v>
      </c>
      <c r="AU102" s="136">
        <f t="shared" si="44"/>
        <v>123.36443044925974</v>
      </c>
      <c r="AV102" s="134">
        <f t="shared" si="45"/>
        <v>-186374.62006921755</v>
      </c>
      <c r="AX102" s="70"/>
    </row>
    <row r="103" spans="1:50" x14ac:dyDescent="0.35">
      <c r="A103" s="190" t="s">
        <v>145</v>
      </c>
      <c r="B103" s="66">
        <f t="shared" si="66"/>
        <v>810.81081081081197</v>
      </c>
      <c r="C103" s="118">
        <f t="shared" si="31"/>
        <v>8.1081081081081197E-2</v>
      </c>
      <c r="D103" s="349">
        <f t="shared" si="32"/>
        <v>-70933.497933581879</v>
      </c>
      <c r="E103" s="146">
        <f t="shared" si="33"/>
        <v>196.81033609197937</v>
      </c>
      <c r="F103" s="136">
        <f t="shared" si="34"/>
        <v>-230509.44611626808</v>
      </c>
      <c r="G103" s="146">
        <f t="shared" si="35"/>
        <v>83.006</v>
      </c>
      <c r="H103" s="349">
        <f t="shared" si="46"/>
        <v>-72936.074378706864</v>
      </c>
      <c r="I103" s="146">
        <f t="shared" si="47"/>
        <v>193.43137953310634</v>
      </c>
      <c r="J103" s="136">
        <f t="shared" si="48"/>
        <v>-229772.32805419873</v>
      </c>
      <c r="K103" s="146">
        <f t="shared" si="49"/>
        <v>80.384992911370858</v>
      </c>
      <c r="L103" s="146">
        <f t="shared" si="36"/>
        <v>14090.647396817578</v>
      </c>
      <c r="M103" s="146">
        <f t="shared" si="37"/>
        <v>69.459505270293292</v>
      </c>
      <c r="N103" s="134">
        <f t="shared" si="38"/>
        <v>-42227.870389906791</v>
      </c>
      <c r="O103" s="134"/>
      <c r="Q103" s="139">
        <f t="shared" si="50"/>
        <v>0</v>
      </c>
      <c r="R103" s="139">
        <f t="shared" si="51"/>
        <v>92.539694999999995</v>
      </c>
      <c r="S103" s="139">
        <f t="shared" si="52"/>
        <v>-147.34038507672133</v>
      </c>
      <c r="T103" s="139">
        <f t="shared" si="53"/>
        <v>-19.937837837837868</v>
      </c>
      <c r="U103" s="139">
        <f t="shared" si="54"/>
        <v>5.2790226442659023</v>
      </c>
      <c r="V103" s="139">
        <f t="shared" si="55"/>
        <v>0</v>
      </c>
      <c r="W103" s="139">
        <f t="shared" si="56"/>
        <v>0</v>
      </c>
      <c r="X103" s="139">
        <f t="shared" si="57"/>
        <v>0</v>
      </c>
      <c r="Z103" s="139">
        <f t="shared" si="58"/>
        <v>-6657.6530000000002</v>
      </c>
      <c r="AA103" s="139">
        <f t="shared" si="59"/>
        <v>75032.185135135238</v>
      </c>
      <c r="AB103" s="139">
        <f t="shared" si="60"/>
        <v>-103946.25817031474</v>
      </c>
      <c r="AC103" s="139">
        <f t="shared" si="61"/>
        <v>-8082.9072315559033</v>
      </c>
      <c r="AD103" s="139">
        <f t="shared" si="62"/>
        <v>1426.7628768286243</v>
      </c>
      <c r="AE103" s="139">
        <f t="shared" si="63"/>
        <v>0</v>
      </c>
      <c r="AF103" s="139">
        <f t="shared" si="64"/>
        <v>0</v>
      </c>
      <c r="AG103" s="139">
        <f t="shared" si="65"/>
        <v>0</v>
      </c>
      <c r="AP103" s="134">
        <f t="shared" si="39"/>
        <v>-2.0025764451249852</v>
      </c>
      <c r="AQ103" s="134">
        <f t="shared" si="40"/>
        <v>-3.3789565588730284</v>
      </c>
      <c r="AR103" s="134">
        <f t="shared" si="41"/>
        <v>0.73711806206934849</v>
      </c>
      <c r="AS103" s="134">
        <f t="shared" si="42"/>
        <v>-2.6210070886291419</v>
      </c>
      <c r="AT103" s="134">
        <f t="shared" si="43"/>
        <v>-87026.721775524435</v>
      </c>
      <c r="AU103" s="136">
        <f t="shared" si="44"/>
        <v>123.97187426281305</v>
      </c>
      <c r="AV103" s="134">
        <f t="shared" si="45"/>
        <v>-187544.45766429196</v>
      </c>
      <c r="AX103" s="70"/>
    </row>
    <row r="104" spans="1:50" x14ac:dyDescent="0.35">
      <c r="A104" s="190" t="s">
        <v>145</v>
      </c>
      <c r="B104" s="66">
        <f t="shared" si="66"/>
        <v>820.27027027027145</v>
      </c>
      <c r="C104" s="118">
        <f t="shared" si="31"/>
        <v>8.2027027027027147E-2</v>
      </c>
      <c r="D104" s="349">
        <f t="shared" si="32"/>
        <v>-70148.306041689983</v>
      </c>
      <c r="E104" s="146">
        <f t="shared" si="33"/>
        <v>197.77313396179261</v>
      </c>
      <c r="F104" s="136">
        <f t="shared" si="34"/>
        <v>-232375.72808872818</v>
      </c>
      <c r="G104" s="146">
        <f t="shared" si="35"/>
        <v>83.006</v>
      </c>
      <c r="H104" s="349">
        <f t="shared" si="46"/>
        <v>-72174.769493961532</v>
      </c>
      <c r="I104" s="146">
        <f t="shared" si="47"/>
        <v>194.36488514409982</v>
      </c>
      <c r="J104" s="136">
        <f t="shared" si="48"/>
        <v>-231606.50636216256</v>
      </c>
      <c r="K104" s="146">
        <f t="shared" si="49"/>
        <v>80.576339671870457</v>
      </c>
      <c r="L104" s="146">
        <f t="shared" si="36"/>
        <v>14360.359670738297</v>
      </c>
      <c r="M104" s="146">
        <f t="shared" si="37"/>
        <v>69.790225109772607</v>
      </c>
      <c r="N104" s="134">
        <f t="shared" si="38"/>
        <v>-42886.487142277962</v>
      </c>
      <c r="O104" s="134"/>
      <c r="Q104" s="139">
        <f t="shared" si="50"/>
        <v>0</v>
      </c>
      <c r="R104" s="139">
        <f t="shared" si="51"/>
        <v>92.539694999999995</v>
      </c>
      <c r="S104" s="139">
        <f t="shared" si="52"/>
        <v>-147.5623925367631</v>
      </c>
      <c r="T104" s="139">
        <f t="shared" si="53"/>
        <v>-20.170445945945975</v>
      </c>
      <c r="U104" s="139">
        <f t="shared" si="54"/>
        <v>5.4029183729364645</v>
      </c>
      <c r="V104" s="139">
        <f t="shared" si="55"/>
        <v>0</v>
      </c>
      <c r="W104" s="139">
        <f t="shared" si="56"/>
        <v>0</v>
      </c>
      <c r="X104" s="139">
        <f t="shared" si="57"/>
        <v>0</v>
      </c>
      <c r="Z104" s="139">
        <f t="shared" si="58"/>
        <v>-6657.6530000000002</v>
      </c>
      <c r="AA104" s="139">
        <f t="shared" si="59"/>
        <v>75907.560628378487</v>
      </c>
      <c r="AB104" s="139">
        <f t="shared" si="60"/>
        <v>-105341.07063488555</v>
      </c>
      <c r="AC104" s="139">
        <f t="shared" si="61"/>
        <v>-8272.6085737765025</v>
      </c>
      <c r="AD104" s="139">
        <f t="shared" si="62"/>
        <v>1477.2844380056031</v>
      </c>
      <c r="AE104" s="139">
        <f t="shared" si="63"/>
        <v>0</v>
      </c>
      <c r="AF104" s="139">
        <f t="shared" si="64"/>
        <v>0</v>
      </c>
      <c r="AG104" s="139">
        <f t="shared" si="65"/>
        <v>0</v>
      </c>
      <c r="AP104" s="134">
        <f t="shared" si="39"/>
        <v>-2.0264634522715497</v>
      </c>
      <c r="AQ104" s="134">
        <f t="shared" si="40"/>
        <v>-3.4082488176927939</v>
      </c>
      <c r="AR104" s="134">
        <f t="shared" si="41"/>
        <v>0.76922172656562182</v>
      </c>
      <c r="AS104" s="134">
        <f t="shared" si="42"/>
        <v>-2.4296603281295432</v>
      </c>
      <c r="AT104" s="134">
        <f t="shared" si="43"/>
        <v>-86535.129164699829</v>
      </c>
      <c r="AU104" s="136">
        <f t="shared" si="44"/>
        <v>124.57466003432721</v>
      </c>
      <c r="AV104" s="134">
        <f t="shared" si="45"/>
        <v>-188720.01921988459</v>
      </c>
      <c r="AX104" s="70"/>
    </row>
    <row r="105" spans="1:50" x14ac:dyDescent="0.35">
      <c r="A105" s="190" t="s">
        <v>145</v>
      </c>
      <c r="B105" s="66">
        <f t="shared" si="66"/>
        <v>829.72972972973093</v>
      </c>
      <c r="C105" s="118">
        <f t="shared" si="31"/>
        <v>8.2972972972973097E-2</v>
      </c>
      <c r="D105" s="349">
        <f t="shared" si="32"/>
        <v>-69363.114149798086</v>
      </c>
      <c r="E105" s="146">
        <f t="shared" si="33"/>
        <v>198.72489213688962</v>
      </c>
      <c r="F105" s="136">
        <f t="shared" si="34"/>
        <v>-234251.06519310948</v>
      </c>
      <c r="G105" s="146">
        <f t="shared" si="35"/>
        <v>83.006</v>
      </c>
      <c r="H105" s="349">
        <f t="shared" si="46"/>
        <v>-71411.662677489701</v>
      </c>
      <c r="I105" s="146">
        <f t="shared" si="47"/>
        <v>195.28987116030129</v>
      </c>
      <c r="J105" s="136">
        <f t="shared" si="48"/>
        <v>-233449.47469428051</v>
      </c>
      <c r="K105" s="146">
        <f t="shared" si="49"/>
        <v>80.765931265700715</v>
      </c>
      <c r="L105" s="146">
        <f t="shared" si="36"/>
        <v>14629.914724502822</v>
      </c>
      <c r="M105" s="146">
        <f t="shared" si="37"/>
        <v>70.116962285792283</v>
      </c>
      <c r="N105" s="134">
        <f t="shared" si="38"/>
        <v>-43548.213442357344</v>
      </c>
      <c r="O105" s="134"/>
      <c r="Q105" s="139">
        <f t="shared" si="50"/>
        <v>0</v>
      </c>
      <c r="R105" s="139">
        <f t="shared" si="51"/>
        <v>92.539694999999995</v>
      </c>
      <c r="S105" s="139">
        <f t="shared" si="52"/>
        <v>-147.7818544006206</v>
      </c>
      <c r="T105" s="139">
        <f t="shared" si="53"/>
        <v>-20.403054054054085</v>
      </c>
      <c r="U105" s="139">
        <f t="shared" si="54"/>
        <v>5.5282511688824112</v>
      </c>
      <c r="V105" s="139">
        <f t="shared" si="55"/>
        <v>0</v>
      </c>
      <c r="W105" s="139">
        <f t="shared" si="56"/>
        <v>0</v>
      </c>
      <c r="X105" s="139">
        <f t="shared" si="57"/>
        <v>0</v>
      </c>
      <c r="Z105" s="139">
        <f t="shared" si="58"/>
        <v>-6657.6530000000002</v>
      </c>
      <c r="AA105" s="139">
        <f t="shared" si="59"/>
        <v>76782.936121621722</v>
      </c>
      <c r="AB105" s="139">
        <f t="shared" si="60"/>
        <v>-106737.97108375833</v>
      </c>
      <c r="AC105" s="139">
        <f t="shared" si="61"/>
        <v>-8464.5102629656922</v>
      </c>
      <c r="AD105" s="139">
        <f t="shared" si="62"/>
        <v>1528.9847827449573</v>
      </c>
      <c r="AE105" s="139">
        <f t="shared" si="63"/>
        <v>0</v>
      </c>
      <c r="AF105" s="139">
        <f t="shared" si="64"/>
        <v>0</v>
      </c>
      <c r="AG105" s="139">
        <f t="shared" si="65"/>
        <v>0</v>
      </c>
      <c r="AP105" s="134">
        <f t="shared" si="39"/>
        <v>-2.0485485276916151</v>
      </c>
      <c r="AQ105" s="134">
        <f t="shared" si="40"/>
        <v>-3.4350209765883335</v>
      </c>
      <c r="AR105" s="134">
        <f t="shared" si="41"/>
        <v>0.80159049882896938</v>
      </c>
      <c r="AS105" s="134">
        <f t="shared" si="42"/>
        <v>-2.2400687342992853</v>
      </c>
      <c r="AT105" s="134">
        <f t="shared" si="43"/>
        <v>-86041.577401992516</v>
      </c>
      <c r="AU105" s="136">
        <f t="shared" si="44"/>
        <v>125.17290887450901</v>
      </c>
      <c r="AV105" s="134">
        <f t="shared" si="45"/>
        <v>-189901.26125192316</v>
      </c>
      <c r="AX105" s="70"/>
    </row>
    <row r="106" spans="1:50" x14ac:dyDescent="0.35">
      <c r="A106" s="190" t="s">
        <v>145</v>
      </c>
      <c r="B106" s="66">
        <f t="shared" si="66"/>
        <v>839.18918918919042</v>
      </c>
      <c r="C106" s="118">
        <f t="shared" si="31"/>
        <v>8.3918918918919047E-2</v>
      </c>
      <c r="D106" s="349">
        <f t="shared" si="32"/>
        <v>-68577.92225790619</v>
      </c>
      <c r="E106" s="146">
        <f t="shared" si="33"/>
        <v>199.66586091807824</v>
      </c>
      <c r="F106" s="136">
        <f t="shared" si="34"/>
        <v>-236135.35419050994</v>
      </c>
      <c r="G106" s="146">
        <f t="shared" si="35"/>
        <v>83.006</v>
      </c>
      <c r="H106" s="349">
        <f t="shared" si="46"/>
        <v>-70646.771687645756</v>
      </c>
      <c r="I106" s="146">
        <f t="shared" si="47"/>
        <v>196.20650946545621</v>
      </c>
      <c r="J106" s="136">
        <f t="shared" si="48"/>
        <v>-235301.15327960314</v>
      </c>
      <c r="K106" s="146">
        <f t="shared" si="49"/>
        <v>80.953525715049594</v>
      </c>
      <c r="L106" s="146">
        <f t="shared" si="36"/>
        <v>14899.285370351907</v>
      </c>
      <c r="M106" s="146">
        <f t="shared" si="37"/>
        <v>70.439774514149519</v>
      </c>
      <c r="N106" s="134">
        <f t="shared" si="38"/>
        <v>-44213.011890846625</v>
      </c>
      <c r="O106" s="134"/>
      <c r="Q106" s="139">
        <f t="shared" si="50"/>
        <v>0</v>
      </c>
      <c r="R106" s="139">
        <f t="shared" si="51"/>
        <v>92.539694999999995</v>
      </c>
      <c r="S106" s="139">
        <f t="shared" si="52"/>
        <v>-147.99882838409107</v>
      </c>
      <c r="T106" s="139">
        <f t="shared" si="53"/>
        <v>-20.635662162162191</v>
      </c>
      <c r="U106" s="139">
        <f t="shared" si="54"/>
        <v>5.6550210321037424</v>
      </c>
      <c r="V106" s="139">
        <f t="shared" si="55"/>
        <v>0</v>
      </c>
      <c r="W106" s="139">
        <f t="shared" si="56"/>
        <v>0</v>
      </c>
      <c r="X106" s="139">
        <f t="shared" si="57"/>
        <v>0</v>
      </c>
      <c r="Z106" s="139">
        <f t="shared" si="58"/>
        <v>-6657.6530000000002</v>
      </c>
      <c r="AA106" s="139">
        <f t="shared" si="59"/>
        <v>77658.311614864971</v>
      </c>
      <c r="AB106" s="139">
        <f t="shared" si="60"/>
        <v>-108136.93571151444</v>
      </c>
      <c r="AC106" s="139">
        <f t="shared" si="61"/>
        <v>-8658.6122991234733</v>
      </c>
      <c r="AD106" s="139">
        <f t="shared" si="62"/>
        <v>1581.8775049263195</v>
      </c>
      <c r="AE106" s="139">
        <f t="shared" si="63"/>
        <v>0</v>
      </c>
      <c r="AF106" s="139">
        <f t="shared" si="64"/>
        <v>0</v>
      </c>
      <c r="AG106" s="139">
        <f t="shared" si="65"/>
        <v>0</v>
      </c>
      <c r="AP106" s="134">
        <f t="shared" si="39"/>
        <v>-2.0688494297395663</v>
      </c>
      <c r="AQ106" s="134">
        <f t="shared" si="40"/>
        <v>-3.4593514526220304</v>
      </c>
      <c r="AR106" s="134">
        <f t="shared" si="41"/>
        <v>0.83420091090680215</v>
      </c>
      <c r="AS106" s="134">
        <f t="shared" si="42"/>
        <v>-2.0524742849504065</v>
      </c>
      <c r="AT106" s="134">
        <f t="shared" si="43"/>
        <v>-85546.057057997663</v>
      </c>
      <c r="AU106" s="136">
        <f t="shared" si="44"/>
        <v>125.76673495130669</v>
      </c>
      <c r="AV106" s="134">
        <f t="shared" si="45"/>
        <v>-191088.14138875651</v>
      </c>
      <c r="AX106" s="70"/>
    </row>
    <row r="107" spans="1:50" x14ac:dyDescent="0.35">
      <c r="A107" s="190" t="s">
        <v>145</v>
      </c>
      <c r="B107" s="66">
        <f t="shared" si="66"/>
        <v>848.6486486486499</v>
      </c>
      <c r="C107" s="118">
        <f t="shared" si="31"/>
        <v>8.4864864864864983E-2</v>
      </c>
      <c r="D107" s="349">
        <f t="shared" si="32"/>
        <v>-67792.730366014308</v>
      </c>
      <c r="E107" s="146">
        <f t="shared" si="33"/>
        <v>200.59628218896722</v>
      </c>
      <c r="F107" s="136">
        <f t="shared" si="34"/>
        <v>-238028.49416962458</v>
      </c>
      <c r="G107" s="146">
        <f t="shared" si="35"/>
        <v>83.006</v>
      </c>
      <c r="H107" s="349">
        <f t="shared" si="46"/>
        <v>-69880.116507612387</v>
      </c>
      <c r="I107" s="146">
        <f t="shared" si="47"/>
        <v>197.11496352658483</v>
      </c>
      <c r="J107" s="136">
        <f t="shared" si="48"/>
        <v>-237161.4639328765</v>
      </c>
      <c r="K107" s="146">
        <f t="shared" si="49"/>
        <v>81.138894452537613</v>
      </c>
      <c r="L107" s="146">
        <f t="shared" si="36"/>
        <v>15168.444420526364</v>
      </c>
      <c r="M107" s="146">
        <f t="shared" si="37"/>
        <v>70.758717569755476</v>
      </c>
      <c r="N107" s="134">
        <f t="shared" si="38"/>
        <v>-44880.845625158101</v>
      </c>
      <c r="O107" s="134"/>
      <c r="Q107" s="139">
        <f t="shared" si="50"/>
        <v>0</v>
      </c>
      <c r="R107" s="139">
        <f t="shared" si="51"/>
        <v>92.539694999999995</v>
      </c>
      <c r="S107" s="139">
        <f t="shared" si="52"/>
        <v>-148.21337026208562</v>
      </c>
      <c r="T107" s="139">
        <f t="shared" si="53"/>
        <v>-20.868270270270301</v>
      </c>
      <c r="U107" s="139">
        <f t="shared" si="54"/>
        <v>5.7832279626004546</v>
      </c>
      <c r="V107" s="139">
        <f t="shared" si="55"/>
        <v>0</v>
      </c>
      <c r="W107" s="139">
        <f t="shared" si="56"/>
        <v>0</v>
      </c>
      <c r="X107" s="139">
        <f t="shared" si="57"/>
        <v>0</v>
      </c>
      <c r="Z107" s="139">
        <f t="shared" si="58"/>
        <v>-6657.6530000000002</v>
      </c>
      <c r="AA107" s="139">
        <f t="shared" si="59"/>
        <v>78533.687108108221</v>
      </c>
      <c r="AB107" s="139">
        <f t="shared" si="60"/>
        <v>-109537.94124944579</v>
      </c>
      <c r="AC107" s="139">
        <f t="shared" si="61"/>
        <v>-8854.9146822498442</v>
      </c>
      <c r="AD107" s="139">
        <f t="shared" si="62"/>
        <v>1635.9761984293204</v>
      </c>
      <c r="AE107" s="139">
        <f t="shared" si="63"/>
        <v>0</v>
      </c>
      <c r="AF107" s="139">
        <f t="shared" si="64"/>
        <v>0</v>
      </c>
      <c r="AG107" s="139">
        <f t="shared" si="65"/>
        <v>0</v>
      </c>
      <c r="AP107" s="134">
        <f t="shared" si="39"/>
        <v>-2.087386141598079</v>
      </c>
      <c r="AQ107" s="134">
        <f t="shared" si="40"/>
        <v>-3.4813186623823924</v>
      </c>
      <c r="AR107" s="134">
        <f t="shared" si="41"/>
        <v>0.86703023674807622</v>
      </c>
      <c r="AS107" s="134">
        <f t="shared" si="42"/>
        <v>-1.867105547462387</v>
      </c>
      <c r="AT107" s="134">
        <f t="shared" si="43"/>
        <v>-85048.560928138759</v>
      </c>
      <c r="AU107" s="136">
        <f t="shared" si="44"/>
        <v>126.35624595682935</v>
      </c>
      <c r="AV107" s="134">
        <f t="shared" si="45"/>
        <v>-192280.6183077184</v>
      </c>
      <c r="AX107" s="70"/>
    </row>
    <row r="108" spans="1:50" x14ac:dyDescent="0.35">
      <c r="A108" s="190" t="s">
        <v>145</v>
      </c>
      <c r="B108" s="66">
        <f t="shared" si="66"/>
        <v>858.10810810810938</v>
      </c>
      <c r="C108" s="118">
        <f t="shared" si="31"/>
        <v>8.5810810810810934E-2</v>
      </c>
      <c r="D108" s="349">
        <f t="shared" si="32"/>
        <v>-67007.538474122412</v>
      </c>
      <c r="E108" s="146">
        <f t="shared" si="33"/>
        <v>201.51638978919468</v>
      </c>
      <c r="F108" s="136">
        <f t="shared" si="34"/>
        <v>-239930.38646890456</v>
      </c>
      <c r="G108" s="146">
        <f t="shared" si="35"/>
        <v>83.006</v>
      </c>
      <c r="H108" s="349">
        <f t="shared" si="46"/>
        <v>-69111.719222772299</v>
      </c>
      <c r="I108" s="146">
        <f t="shared" si="47"/>
        <v>198.01538891090462</v>
      </c>
      <c r="J108" s="136">
        <f t="shared" si="48"/>
        <v>-239030.32997740016</v>
      </c>
      <c r="K108" s="146">
        <f t="shared" si="49"/>
        <v>81.321821439154917</v>
      </c>
      <c r="L108" s="146">
        <f t="shared" si="36"/>
        <v>15437.364687266818</v>
      </c>
      <c r="M108" s="146">
        <f t="shared" si="37"/>
        <v>71.073845372696283</v>
      </c>
      <c r="N108" s="134">
        <f t="shared" si="38"/>
        <v>-45551.678301465894</v>
      </c>
      <c r="O108" s="134"/>
      <c r="Q108" s="139">
        <f t="shared" si="50"/>
        <v>0</v>
      </c>
      <c r="R108" s="139">
        <f t="shared" si="51"/>
        <v>92.539694999999995</v>
      </c>
      <c r="S108" s="139">
        <f t="shared" si="52"/>
        <v>-148.42553395469042</v>
      </c>
      <c r="T108" s="139">
        <f t="shared" si="53"/>
        <v>-21.100878378378411</v>
      </c>
      <c r="U108" s="139">
        <f t="shared" si="54"/>
        <v>5.9128719603725521</v>
      </c>
      <c r="V108" s="139">
        <f t="shared" si="55"/>
        <v>0</v>
      </c>
      <c r="W108" s="139">
        <f t="shared" si="56"/>
        <v>0</v>
      </c>
      <c r="X108" s="139">
        <f t="shared" si="57"/>
        <v>0</v>
      </c>
      <c r="Z108" s="139">
        <f t="shared" si="58"/>
        <v>-6657.6530000000002</v>
      </c>
      <c r="AA108" s="139">
        <f t="shared" si="59"/>
        <v>79409.06260135147</v>
      </c>
      <c r="AB108" s="139">
        <f t="shared" si="60"/>
        <v>-110940.96494760615</v>
      </c>
      <c r="AC108" s="139">
        <f t="shared" si="61"/>
        <v>-9053.4174123448047</v>
      </c>
      <c r="AD108" s="139">
        <f t="shared" si="62"/>
        <v>1691.2944571335929</v>
      </c>
      <c r="AE108" s="139">
        <f t="shared" si="63"/>
        <v>0</v>
      </c>
      <c r="AF108" s="139">
        <f t="shared" si="64"/>
        <v>0</v>
      </c>
      <c r="AG108" s="139">
        <f t="shared" si="65"/>
        <v>0</v>
      </c>
      <c r="AP108" s="134">
        <f t="shared" si="39"/>
        <v>-2.1041807486498874</v>
      </c>
      <c r="AQ108" s="134">
        <f t="shared" si="40"/>
        <v>-3.501000878290057</v>
      </c>
      <c r="AR108" s="134">
        <f t="shared" si="41"/>
        <v>0.90005649150439426</v>
      </c>
      <c r="AS108" s="134">
        <f t="shared" si="42"/>
        <v>-1.6841785608450834</v>
      </c>
      <c r="AT108" s="134">
        <f t="shared" si="43"/>
        <v>-84549.083910039117</v>
      </c>
      <c r="AU108" s="136">
        <f t="shared" si="44"/>
        <v>126.94154353820834</v>
      </c>
      <c r="AV108" s="134">
        <f t="shared" si="45"/>
        <v>-193478.65167593426</v>
      </c>
      <c r="AX108" s="70"/>
    </row>
    <row r="109" spans="1:50" x14ac:dyDescent="0.35">
      <c r="A109" s="190" t="s">
        <v>145</v>
      </c>
      <c r="B109" s="66">
        <f t="shared" si="66"/>
        <v>867.56756756756886</v>
      </c>
      <c r="C109" s="118">
        <f t="shared" si="31"/>
        <v>8.6756756756756884E-2</v>
      </c>
      <c r="D109" s="349">
        <f t="shared" si="32"/>
        <v>-66222.346582230515</v>
      </c>
      <c r="E109" s="146">
        <f t="shared" si="33"/>
        <v>202.42640986719681</v>
      </c>
      <c r="F109" s="136">
        <f t="shared" si="34"/>
        <v>-241840.9346021502</v>
      </c>
      <c r="G109" s="146">
        <f t="shared" si="35"/>
        <v>83.006</v>
      </c>
      <c r="H109" s="349">
        <f t="shared" si="46"/>
        <v>-68341.603906102246</v>
      </c>
      <c r="I109" s="146">
        <f t="shared" si="47"/>
        <v>198.90793376511547</v>
      </c>
      <c r="J109" s="136">
        <f t="shared" si="48"/>
        <v>-240907.6761725946</v>
      </c>
      <c r="K109" s="146">
        <f t="shared" si="49"/>
        <v>81.502102349149965</v>
      </c>
      <c r="L109" s="146">
        <f t="shared" si="36"/>
        <v>15706.018982814072</v>
      </c>
      <c r="M109" s="146">
        <f t="shared" si="37"/>
        <v>71.385210069576644</v>
      </c>
      <c r="N109" s="134">
        <f t="shared" si="38"/>
        <v>-46225.474077548461</v>
      </c>
      <c r="O109" s="134"/>
      <c r="Q109" s="139">
        <f t="shared" si="50"/>
        <v>0</v>
      </c>
      <c r="R109" s="139">
        <f t="shared" si="51"/>
        <v>92.539694999999995</v>
      </c>
      <c r="S109" s="139">
        <f t="shared" si="52"/>
        <v>-148.63537160851016</v>
      </c>
      <c r="T109" s="139">
        <f t="shared" si="53"/>
        <v>-21.333486486486517</v>
      </c>
      <c r="U109" s="139">
        <f t="shared" si="54"/>
        <v>6.0439530254200315</v>
      </c>
      <c r="V109" s="139">
        <f t="shared" si="55"/>
        <v>0</v>
      </c>
      <c r="W109" s="139">
        <f t="shared" si="56"/>
        <v>0</v>
      </c>
      <c r="X109" s="139">
        <f t="shared" si="57"/>
        <v>0</v>
      </c>
      <c r="Z109" s="139">
        <f t="shared" si="58"/>
        <v>-6657.6530000000002</v>
      </c>
      <c r="AA109" s="139">
        <f t="shared" si="59"/>
        <v>80284.438094594705</v>
      </c>
      <c r="AB109" s="139">
        <f t="shared" si="60"/>
        <v>-112345.98455765357</v>
      </c>
      <c r="AC109" s="139">
        <f t="shared" si="61"/>
        <v>-9254.1204894083548</v>
      </c>
      <c r="AD109" s="139">
        <f t="shared" si="62"/>
        <v>1747.8458749187687</v>
      </c>
      <c r="AE109" s="139">
        <f t="shared" si="63"/>
        <v>0</v>
      </c>
      <c r="AF109" s="139">
        <f t="shared" si="64"/>
        <v>0</v>
      </c>
      <c r="AG109" s="139">
        <f t="shared" si="65"/>
        <v>0</v>
      </c>
      <c r="AP109" s="134">
        <f t="shared" si="39"/>
        <v>-2.1192573238717305</v>
      </c>
      <c r="AQ109" s="134">
        <f t="shared" si="40"/>
        <v>-3.5184761020813369</v>
      </c>
      <c r="AR109" s="134">
        <f t="shared" si="41"/>
        <v>0.93325842955560079</v>
      </c>
      <c r="AS109" s="134">
        <f t="shared" si="42"/>
        <v>-1.5038976508500355</v>
      </c>
      <c r="AT109" s="134">
        <f t="shared" si="43"/>
        <v>-84047.622888916318</v>
      </c>
      <c r="AU109" s="136">
        <f t="shared" si="44"/>
        <v>127.52272369553883</v>
      </c>
      <c r="AV109" s="134">
        <f t="shared" si="45"/>
        <v>-194682.20209504614</v>
      </c>
      <c r="AX109" s="70"/>
    </row>
    <row r="110" spans="1:50" x14ac:dyDescent="0.35">
      <c r="A110" s="190" t="s">
        <v>145</v>
      </c>
      <c r="B110" s="66">
        <f t="shared" si="66"/>
        <v>877.02702702702834</v>
      </c>
      <c r="C110" s="118">
        <f t="shared" si="31"/>
        <v>8.7702702702702834E-2</v>
      </c>
      <c r="D110" s="349">
        <f t="shared" si="32"/>
        <v>-65437.154690338626</v>
      </c>
      <c r="E110" s="146">
        <f t="shared" si="33"/>
        <v>203.32656121384758</v>
      </c>
      <c r="F110" s="136">
        <f t="shared" si="34"/>
        <v>-243760.04418734848</v>
      </c>
      <c r="G110" s="146">
        <f t="shared" si="35"/>
        <v>83.006</v>
      </c>
      <c r="H110" s="349">
        <f t="shared" si="46"/>
        <v>-67569.796510983884</v>
      </c>
      <c r="I110" s="146">
        <f t="shared" si="47"/>
        <v>199.79273926019258</v>
      </c>
      <c r="J110" s="136">
        <f t="shared" si="48"/>
        <v>-242793.42864593686</v>
      </c>
      <c r="K110" s="146">
        <f t="shared" si="49"/>
        <v>81.679543816125062</v>
      </c>
      <c r="L110" s="146">
        <f t="shared" si="36"/>
        <v>15974.380119408866</v>
      </c>
      <c r="M110" s="146">
        <f t="shared" si="37"/>
        <v>71.692862110452324</v>
      </c>
      <c r="N110" s="134">
        <f t="shared" si="38"/>
        <v>-46902.197596379818</v>
      </c>
      <c r="O110" s="134"/>
      <c r="Q110" s="139">
        <f t="shared" si="50"/>
        <v>0</v>
      </c>
      <c r="R110" s="139">
        <f t="shared" si="51"/>
        <v>92.539694999999995</v>
      </c>
      <c r="S110" s="139">
        <f t="shared" si="52"/>
        <v>-148.84293367360058</v>
      </c>
      <c r="T110" s="139">
        <f t="shared" si="53"/>
        <v>-21.566094594594627</v>
      </c>
      <c r="U110" s="139">
        <f t="shared" si="54"/>
        <v>6.1764711577428972</v>
      </c>
      <c r="V110" s="139">
        <f t="shared" si="55"/>
        <v>0</v>
      </c>
      <c r="W110" s="139">
        <f t="shared" si="56"/>
        <v>0</v>
      </c>
      <c r="X110" s="139">
        <f t="shared" si="57"/>
        <v>0</v>
      </c>
      <c r="Z110" s="139">
        <f t="shared" si="58"/>
        <v>-6657.6530000000002</v>
      </c>
      <c r="AA110" s="139">
        <f t="shared" si="59"/>
        <v>81159.813587837954</v>
      </c>
      <c r="AB110" s="139">
        <f t="shared" si="60"/>
        <v>-113752.97831644175</v>
      </c>
      <c r="AC110" s="139">
        <f t="shared" si="61"/>
        <v>-9457.0239134404965</v>
      </c>
      <c r="AD110" s="139">
        <f t="shared" si="62"/>
        <v>1805.64404566448</v>
      </c>
      <c r="AE110" s="139">
        <f t="shared" si="63"/>
        <v>0</v>
      </c>
      <c r="AF110" s="139">
        <f t="shared" si="64"/>
        <v>0</v>
      </c>
      <c r="AG110" s="139">
        <f t="shared" si="65"/>
        <v>0</v>
      </c>
      <c r="AP110" s="134">
        <f t="shared" si="39"/>
        <v>-2.132641820645258</v>
      </c>
      <c r="AQ110" s="134">
        <f t="shared" si="40"/>
        <v>-3.5338219536550071</v>
      </c>
      <c r="AR110" s="134">
        <f t="shared" si="41"/>
        <v>0.96661554141162198</v>
      </c>
      <c r="AS110" s="134">
        <f t="shared" si="42"/>
        <v>-1.3264561838749387</v>
      </c>
      <c r="AT110" s="134">
        <f t="shared" si="43"/>
        <v>-83544.176630392758</v>
      </c>
      <c r="AU110" s="136">
        <f t="shared" si="44"/>
        <v>128.09987714974025</v>
      </c>
      <c r="AV110" s="134">
        <f t="shared" si="45"/>
        <v>-195891.23104955704</v>
      </c>
      <c r="AX110" s="70"/>
    </row>
    <row r="111" spans="1:50" x14ac:dyDescent="0.35">
      <c r="A111" s="190" t="s">
        <v>145</v>
      </c>
      <c r="B111" s="66">
        <f t="shared" si="66"/>
        <v>886.48648648648782</v>
      </c>
      <c r="C111" s="118">
        <f t="shared" si="31"/>
        <v>8.8648648648648784E-2</v>
      </c>
      <c r="D111" s="349">
        <f t="shared" si="32"/>
        <v>-64651.96279844673</v>
      </c>
      <c r="E111" s="146">
        <f t="shared" si="33"/>
        <v>204.21705557820096</v>
      </c>
      <c r="F111" s="136">
        <f t="shared" si="34"/>
        <v>-245687.62287858195</v>
      </c>
      <c r="G111" s="146">
        <f t="shared" si="35"/>
        <v>83.006</v>
      </c>
      <c r="H111" s="349">
        <f t="shared" si="46"/>
        <v>-66796.324770877283</v>
      </c>
      <c r="I111" s="146">
        <f t="shared" si="47"/>
        <v>200.66994000453539</v>
      </c>
      <c r="J111" s="136">
        <f t="shared" si="48"/>
        <v>-244687.51482895217</v>
      </c>
      <c r="K111" s="146">
        <f t="shared" si="49"/>
        <v>81.853962735141636</v>
      </c>
      <c r="L111" s="146">
        <f t="shared" si="36"/>
        <v>16242.420909291875</v>
      </c>
      <c r="M111" s="146">
        <f t="shared" si="37"/>
        <v>71.996850321635762</v>
      </c>
      <c r="N111" s="134">
        <f t="shared" si="38"/>
        <v>-47581.813970428571</v>
      </c>
      <c r="O111" s="134"/>
      <c r="Q111" s="139">
        <f t="shared" si="50"/>
        <v>0</v>
      </c>
      <c r="R111" s="139">
        <f t="shared" si="51"/>
        <v>92.539694999999995</v>
      </c>
      <c r="S111" s="139">
        <f t="shared" si="52"/>
        <v>-149.04826897627416</v>
      </c>
      <c r="T111" s="139">
        <f t="shared" si="53"/>
        <v>-21.798702702702737</v>
      </c>
      <c r="U111" s="139">
        <f t="shared" si="54"/>
        <v>6.310426357341143</v>
      </c>
      <c r="V111" s="139">
        <f t="shared" si="55"/>
        <v>0</v>
      </c>
      <c r="W111" s="139">
        <f t="shared" si="56"/>
        <v>0</v>
      </c>
      <c r="X111" s="139">
        <f t="shared" si="57"/>
        <v>0</v>
      </c>
      <c r="Z111" s="139">
        <f t="shared" si="58"/>
        <v>-6657.6530000000002</v>
      </c>
      <c r="AA111" s="139">
        <f t="shared" si="59"/>
        <v>82035.189081081204</v>
      </c>
      <c r="AB111" s="139">
        <f t="shared" si="60"/>
        <v>-115161.9249303189</v>
      </c>
      <c r="AC111" s="139">
        <f t="shared" si="61"/>
        <v>-9662.1276844412278</v>
      </c>
      <c r="AD111" s="139">
        <f t="shared" si="62"/>
        <v>1864.7025632503585</v>
      </c>
      <c r="AE111" s="139">
        <f t="shared" si="63"/>
        <v>0</v>
      </c>
      <c r="AF111" s="139">
        <f t="shared" si="64"/>
        <v>0</v>
      </c>
      <c r="AG111" s="139">
        <f t="shared" si="65"/>
        <v>0</v>
      </c>
      <c r="AP111" s="134">
        <f t="shared" si="39"/>
        <v>-2.1443619724305534</v>
      </c>
      <c r="AQ111" s="134">
        <f t="shared" si="40"/>
        <v>-3.5471155736655646</v>
      </c>
      <c r="AR111" s="134">
        <f t="shared" si="41"/>
        <v>1.0001080496297801</v>
      </c>
      <c r="AS111" s="134">
        <f t="shared" si="42"/>
        <v>-1.1520372648583646</v>
      </c>
      <c r="AT111" s="134">
        <f t="shared" si="43"/>
        <v>-83038.745680169159</v>
      </c>
      <c r="AU111" s="136">
        <f t="shared" si="44"/>
        <v>128.67308968289962</v>
      </c>
      <c r="AV111" s="134">
        <f t="shared" si="45"/>
        <v>-197105.7008585236</v>
      </c>
      <c r="AX111" s="70"/>
    </row>
    <row r="112" spans="1:50" x14ac:dyDescent="0.35">
      <c r="A112" s="190" t="s">
        <v>145</v>
      </c>
      <c r="B112" s="66">
        <f t="shared" si="66"/>
        <v>895.9459459459473</v>
      </c>
      <c r="C112" s="118">
        <f t="shared" si="31"/>
        <v>8.9594594594594734E-2</v>
      </c>
      <c r="D112" s="349">
        <f t="shared" si="32"/>
        <v>-63866.770906554826</v>
      </c>
      <c r="E112" s="146">
        <f t="shared" si="33"/>
        <v>205.09809796647562</v>
      </c>
      <c r="F112" s="136">
        <f t="shared" si="34"/>
        <v>-247623.58030084343</v>
      </c>
      <c r="G112" s="146">
        <f t="shared" si="35"/>
        <v>83.006</v>
      </c>
      <c r="H112" s="349">
        <f t="shared" si="46"/>
        <v>-66021.218105349937</v>
      </c>
      <c r="I112" s="146">
        <f t="shared" si="47"/>
        <v>201.53966442805665</v>
      </c>
      <c r="J112" s="136">
        <f t="shared" si="48"/>
        <v>-246589.86339697396</v>
      </c>
      <c r="K112" s="146">
        <f t="shared" si="49"/>
        <v>82.025185616129491</v>
      </c>
      <c r="L112" s="146">
        <f t="shared" si="36"/>
        <v>16510.114164703897</v>
      </c>
      <c r="M112" s="146">
        <f t="shared" si="37"/>
        <v>72.297221974637779</v>
      </c>
      <c r="N112" s="134">
        <f t="shared" si="38"/>
        <v>-48264.288766627076</v>
      </c>
      <c r="O112" s="134"/>
      <c r="Q112" s="139">
        <f t="shared" si="50"/>
        <v>0</v>
      </c>
      <c r="R112" s="139">
        <f t="shared" si="51"/>
        <v>92.539694999999995</v>
      </c>
      <c r="S112" s="139">
        <f t="shared" si="52"/>
        <v>-149.2514247880417</v>
      </c>
      <c r="T112" s="139">
        <f t="shared" si="53"/>
        <v>-22.031310810810844</v>
      </c>
      <c r="U112" s="139">
        <f t="shared" si="54"/>
        <v>6.4458186242147741</v>
      </c>
      <c r="V112" s="139">
        <f t="shared" si="55"/>
        <v>0</v>
      </c>
      <c r="W112" s="139">
        <f t="shared" si="56"/>
        <v>0</v>
      </c>
      <c r="X112" s="139">
        <f t="shared" si="57"/>
        <v>0</v>
      </c>
      <c r="Z112" s="139">
        <f t="shared" si="58"/>
        <v>-6657.6530000000002</v>
      </c>
      <c r="AA112" s="139">
        <f t="shared" si="59"/>
        <v>82910.564574324439</v>
      </c>
      <c r="AB112" s="139">
        <f t="shared" si="60"/>
        <v>-116572.803560097</v>
      </c>
      <c r="AC112" s="139">
        <f t="shared" si="61"/>
        <v>-9869.4318024105487</v>
      </c>
      <c r="AD112" s="139">
        <f t="shared" si="62"/>
        <v>1925.035021556037</v>
      </c>
      <c r="AE112" s="139">
        <f t="shared" si="63"/>
        <v>0</v>
      </c>
      <c r="AF112" s="139">
        <f t="shared" si="64"/>
        <v>0</v>
      </c>
      <c r="AG112" s="139">
        <f t="shared" si="65"/>
        <v>0</v>
      </c>
      <c r="AP112" s="134">
        <f t="shared" si="39"/>
        <v>-2.1544471987951108</v>
      </c>
      <c r="AQ112" s="134">
        <f t="shared" si="40"/>
        <v>-3.5584335384189671</v>
      </c>
      <c r="AR112" s="134">
        <f t="shared" si="41"/>
        <v>1.03371690386947</v>
      </c>
      <c r="AS112" s="134">
        <f t="shared" si="42"/>
        <v>-0.98081438387050923</v>
      </c>
      <c r="AT112" s="134">
        <f t="shared" si="43"/>
        <v>-82531.332270053827</v>
      </c>
      <c r="AU112" s="136">
        <f t="shared" si="44"/>
        <v>129.24244245341887</v>
      </c>
      <c r="AV112" s="134">
        <f t="shared" si="45"/>
        <v>-198325.57463034688</v>
      </c>
      <c r="AX112" s="70"/>
    </row>
    <row r="113" spans="1:50" x14ac:dyDescent="0.35">
      <c r="A113" s="190" t="s">
        <v>145</v>
      </c>
      <c r="B113" s="66">
        <f t="shared" si="66"/>
        <v>905.40540540540678</v>
      </c>
      <c r="C113" s="118">
        <f t="shared" si="31"/>
        <v>9.0540540540540684E-2</v>
      </c>
      <c r="D113" s="349">
        <f t="shared" si="32"/>
        <v>-63081.57901466293</v>
      </c>
      <c r="E113" s="146">
        <f t="shared" si="33"/>
        <v>205.96988692533822</v>
      </c>
      <c r="F113" s="136">
        <f t="shared" si="34"/>
        <v>-249567.8279876046</v>
      </c>
      <c r="G113" s="146">
        <f t="shared" si="35"/>
        <v>83.006</v>
      </c>
      <c r="H113" s="349">
        <f t="shared" ref="H113:H123" si="67">10000*$B$3*(C113*$G$7-$H$7*2/C113+$J$7*C113^2+$K$7*2*C113^3+$L$7*3*C113^4-$I$7+$E$7)</f>
        <v>-65244.507531996496</v>
      </c>
      <c r="I113" s="146">
        <f t="shared" ref="I113:I123" si="68">$B$3*($F$7+$G$7+$G$7*LN(C113)-$H$7/C113^2+$J$7*2*C113+$K$7*3*C113^2+$L$7*4*C113^3)</f>
        <v>202.40203513955979</v>
      </c>
      <c r="J113" s="136">
        <f t="shared" ref="J113:J123" si="69">($E$7-C113*($F$7+$G$7*LN(C113)+$H$7*C113^(-2)+$I$7*C113^(-1)+$J$7*C113+$K$7*C113^2+$L$7*C113^3))*$B$3*10000</f>
        <v>-248500.40421240908</v>
      </c>
      <c r="K113" s="146">
        <f t="shared" ref="K113:K123" si="70">$B$3*($G$7+2*$H$7*C113^(-2)+2*$J$7*C113+ 6*$K$7*C113^2+ 12*$L$7*C113^3)</f>
        <v>82.193047984335095</v>
      </c>
      <c r="L113" s="146">
        <f t="shared" si="36"/>
        <v>16777.432697885662</v>
      </c>
      <c r="M113" s="146">
        <f t="shared" si="37"/>
        <v>72.594022851488603</v>
      </c>
      <c r="N113" s="134">
        <f t="shared" si="38"/>
        <v>-48949.587991975735</v>
      </c>
      <c r="O113" s="134"/>
      <c r="Q113" s="139">
        <f t="shared" ref="Q113:Q123" si="71">IF( OR( E$10="д",E$10="l"),E$11/$B113,  IF( OR( E$10="g",E$10="п"),E$11*(LN($B113)+1),  $B113^(E$10-1)*E$10*E$11))</f>
        <v>0</v>
      </c>
      <c r="R113" s="139">
        <f t="shared" ref="R113:R123" si="72">IF( OR( F$10="д",F$10="l"),F$11/$B113,  IF( OR( F$10="g",F$10="п"),F$11*(LN($B113)+1),  $B113^(F$10-1)*F$10*F$11))</f>
        <v>92.539694999999995</v>
      </c>
      <c r="S113" s="139">
        <f t="shared" ref="S113:S123" si="73">IF( OR( G$10="д",G$10="l"),G$11/$B113,  IF( OR( G$10="g",G$10="п"),G$11*(LN($B113)+1),  $B113^(G$10-1)*G$10*G$11))</f>
        <v>-149.45244689093343</v>
      </c>
      <c r="T113" s="139">
        <f t="shared" ref="T113:T123" si="74">IF( OR( H$10="д",H$10="l"),H$11/$B113,  IF( OR( H$10="g",H$10="п"),H$11*(LN($B113)+1),  $B113^(H$10-1)*H$10*H$11))</f>
        <v>-22.263918918918954</v>
      </c>
      <c r="U113" s="139">
        <f t="shared" ref="U113:U123" si="75">IF( OR( I$10="д",I$10="l"),I$11/$B113,  IF( OR( I$10="g",I$10="п"),I$11*(LN($B113)+1),  $B113^(I$10-1)*I$10*I$11))</f>
        <v>6.5826479583637889</v>
      </c>
      <c r="V113" s="139">
        <f t="shared" ref="V113:V123" si="76">IF( OR( J$10="д",J$10="l"),J$11/$B113,  IF( OR( J$10="g",J$10="п"),J$11*(LN($B113)+1),  $B113^(J$10-1)*J$10*J$11))</f>
        <v>0</v>
      </c>
      <c r="W113" s="139">
        <f t="shared" ref="W113:W123" si="77">IF( OR( K$10="д",K$10="l"),K$11/$B113,  IF( OR( K$10="g",K$10="п"),K$11*(LN($B113)+1),  $B113^(K$10-1)*K$10*K$11))</f>
        <v>0</v>
      </c>
      <c r="X113" s="139">
        <f t="shared" ref="X113:X123" si="78">IF( OR( L$10="д",L$10="l"),L$11/$B113,  IF( OR( L$10="g",L$10="п"),L$11*(LN($B113)+1),  $B113^(L$10-1)*L$10*L$11))</f>
        <v>0</v>
      </c>
      <c r="Z113" s="139">
        <f t="shared" ref="Z113:Z123" si="79">IF( OR( E$10="д",E$10="l"),E$11*LN($B113),  IF( OR( E$10="g",E$10="п"),E$11*$B113*LN($B113),  ($B113^E$10)*E$11))</f>
        <v>-6657.6530000000002</v>
      </c>
      <c r="AA113" s="139">
        <f t="shared" ref="AA113:AA123" si="80">IF( OR( F$10="д",F$10="l"),F$11*LN($B113),  IF( OR( F$10="g",F$10="п"),F$11*$B113*LN($B113),  ($B113^F$10)*F$11))</f>
        <v>83785.940067567688</v>
      </c>
      <c r="AB113" s="139">
        <f t="shared" ref="AB113:AB123" si="81">IF( OR( G$10="д",G$10="l"),G$11*LN($B113),  IF( OR( G$10="g",G$10="п"),G$11*$B113*LN($B113),  ($B113^G$10)*G$11))</f>
        <v>-117985.59380665611</v>
      </c>
      <c r="AC113" s="139">
        <f t="shared" ref="AC113:AC123" si="82">IF( OR( H$10="д",H$10="l"),H$11*LN($B113),  IF( OR( H$10="g",H$10="п"),H$11*$B113*LN($B113),  ($B113^H$10)*H$11))</f>
        <v>-10078.936267348459</v>
      </c>
      <c r="AD113" s="139">
        <f t="shared" ref="AD113:AD123" si="83">IF( OR( I$10="д",I$10="l"),I$11*LN($B113),  IF( OR( I$10="g",I$10="п"),I$11*$B113*LN($B113),  ($B113^I$10)*I$11))</f>
        <v>1986.6550144611465</v>
      </c>
      <c r="AE113" s="139">
        <f t="shared" ref="AE113:AE123" si="84">IF( OR( J$10="д",J$10="l"),J$11*LN($B113),  IF( OR( J$10="g",J$10="п"),J$11*$B113*LN($B113),  ($B113^J$10)*J$11))</f>
        <v>0</v>
      </c>
      <c r="AF113" s="139">
        <f t="shared" ref="AF113:AF123" si="85">IF( OR( K$10="д",K$10="l"),K$11*LN($B113),  IF( OR( K$10="g",K$10="п"),K$11*$B113*LN($B113),  ($B113^K$10)*K$11))</f>
        <v>0</v>
      </c>
      <c r="AG113" s="139">
        <f t="shared" ref="AG113:AG123" si="86">IF( OR( L$10="д",L$10="l"),L$11*LN($B113),  IF( OR( L$10="g",L$10="п"),L$11*$B113*LN($B113),  ($B113^L$10)*L$11))</f>
        <v>0</v>
      </c>
      <c r="AP113" s="134">
        <f t="shared" si="39"/>
        <v>-2.1629285173335666</v>
      </c>
      <c r="AQ113" s="134">
        <f t="shared" si="40"/>
        <v>-3.56785178577843</v>
      </c>
      <c r="AR113" s="134">
        <f t="shared" si="41"/>
        <v>1.0674237751955225</v>
      </c>
      <c r="AS113" s="134">
        <f t="shared" si="42"/>
        <v>-0.81295201566490505</v>
      </c>
      <c r="AT113" s="134">
        <f t="shared" si="43"/>
        <v>-82021.940229882166</v>
      </c>
      <c r="AU113" s="136">
        <f t="shared" si="44"/>
        <v>129.80801228807118</v>
      </c>
      <c r="AV113" s="134">
        <f t="shared" si="45"/>
        <v>-199550.81622043333</v>
      </c>
      <c r="AX113" s="70"/>
    </row>
    <row r="114" spans="1:50" x14ac:dyDescent="0.35">
      <c r="A114" s="190" t="s">
        <v>145</v>
      </c>
      <c r="B114" s="66">
        <f t="shared" ref="B114:B123" si="87">B113+($C$2-$C$1)/$C$48</f>
        <v>914.86486486486626</v>
      </c>
      <c r="C114" s="118">
        <f t="shared" si="31"/>
        <v>9.1486486486486621E-2</v>
      </c>
      <c r="D114" s="349">
        <f t="shared" si="32"/>
        <v>-62296.387122771055</v>
      </c>
      <c r="E114" s="146">
        <f t="shared" si="33"/>
        <v>206.83261481046418</v>
      </c>
      <c r="F114" s="136">
        <f t="shared" si="34"/>
        <v>-251520.27932099329</v>
      </c>
      <c r="G114" s="146">
        <f t="shared" si="35"/>
        <v>83.006</v>
      </c>
      <c r="H114" s="349">
        <f t="shared" si="67"/>
        <v>-64466.225583823049</v>
      </c>
      <c r="I114" s="146">
        <f t="shared" si="68"/>
        <v>203.25716925953853</v>
      </c>
      <c r="J114" s="136">
        <f t="shared" si="69"/>
        <v>-250419.06827126606</v>
      </c>
      <c r="K114" s="146">
        <f t="shared" si="70"/>
        <v>82.357393823937585</v>
      </c>
      <c r="L114" s="146">
        <f t="shared" si="36"/>
        <v>17044.349321077854</v>
      </c>
      <c r="M114" s="146">
        <f t="shared" si="37"/>
        <v>72.887297306664138</v>
      </c>
      <c r="N114" s="134">
        <f t="shared" si="38"/>
        <v>-49637.678079748759</v>
      </c>
      <c r="O114" s="134"/>
      <c r="Q114" s="139">
        <f t="shared" si="71"/>
        <v>0</v>
      </c>
      <c r="R114" s="139">
        <f t="shared" si="72"/>
        <v>92.539694999999995</v>
      </c>
      <c r="S114" s="139">
        <f t="shared" si="73"/>
        <v>-149.65137963942524</v>
      </c>
      <c r="T114" s="139">
        <f t="shared" si="74"/>
        <v>-22.496527027027064</v>
      </c>
      <c r="U114" s="139">
        <f t="shared" si="75"/>
        <v>6.7209143597881864</v>
      </c>
      <c r="V114" s="139">
        <f t="shared" si="76"/>
        <v>0</v>
      </c>
      <c r="W114" s="139">
        <f t="shared" si="77"/>
        <v>0</v>
      </c>
      <c r="X114" s="139">
        <f t="shared" si="78"/>
        <v>0</v>
      </c>
      <c r="Z114" s="139">
        <f t="shared" si="79"/>
        <v>-6657.6530000000002</v>
      </c>
      <c r="AA114" s="139">
        <f t="shared" si="80"/>
        <v>84661.315560810937</v>
      </c>
      <c r="AB114" s="139">
        <f t="shared" si="81"/>
        <v>-119400.27569715005</v>
      </c>
      <c r="AC114" s="139">
        <f t="shared" si="82"/>
        <v>-10290.641079254961</v>
      </c>
      <c r="AD114" s="139">
        <f t="shared" si="83"/>
        <v>2049.5761358453196</v>
      </c>
      <c r="AE114" s="139">
        <f t="shared" si="84"/>
        <v>0</v>
      </c>
      <c r="AF114" s="139">
        <f t="shared" si="85"/>
        <v>0</v>
      </c>
      <c r="AG114" s="139">
        <f t="shared" si="86"/>
        <v>0</v>
      </c>
      <c r="AP114" s="134">
        <f t="shared" si="39"/>
        <v>-2.1698384610519934</v>
      </c>
      <c r="AQ114" s="134">
        <f t="shared" si="40"/>
        <v>-3.5754455509256502</v>
      </c>
      <c r="AR114" s="134">
        <f t="shared" si="41"/>
        <v>1.1012110497272225</v>
      </c>
      <c r="AS114" s="134">
        <f t="shared" si="42"/>
        <v>-0.64860617606241533</v>
      </c>
      <c r="AT114" s="134">
        <f t="shared" si="43"/>
        <v>-81510.574904900903</v>
      </c>
      <c r="AU114" s="136">
        <f t="shared" si="44"/>
        <v>130.3698719528744</v>
      </c>
      <c r="AV114" s="134">
        <f t="shared" si="45"/>
        <v>-200781.3901915173</v>
      </c>
      <c r="AX114" s="70"/>
    </row>
    <row r="115" spans="1:50" x14ac:dyDescent="0.35">
      <c r="A115" s="190" t="s">
        <v>145</v>
      </c>
      <c r="B115" s="66">
        <f t="shared" si="87"/>
        <v>924.32432432432574</v>
      </c>
      <c r="C115" s="118">
        <f t="shared" si="31"/>
        <v>9.2432432432432571E-2</v>
      </c>
      <c r="D115" s="349">
        <f t="shared" si="32"/>
        <v>-61511.195230879159</v>
      </c>
      <c r="E115" s="146">
        <f t="shared" si="33"/>
        <v>207.68646804128534</v>
      </c>
      <c r="F115" s="136">
        <f t="shared" si="34"/>
        <v>-253480.84947444586</v>
      </c>
      <c r="G115" s="146">
        <f t="shared" si="35"/>
        <v>83.006</v>
      </c>
      <c r="H115" s="349">
        <f t="shared" si="67"/>
        <v>-63686.406231703884</v>
      </c>
      <c r="I115" s="146">
        <f t="shared" si="68"/>
        <v>204.10517873034181</v>
      </c>
      <c r="J115" s="136">
        <f t="shared" si="69"/>
        <v>-252345.78765272285</v>
      </c>
      <c r="K115" s="146">
        <f t="shared" si="70"/>
        <v>82.518075061317234</v>
      </c>
      <c r="L115" s="146">
        <f t="shared" si="36"/>
        <v>17310.836846521255</v>
      </c>
      <c r="M115" s="146">
        <f t="shared" si="37"/>
        <v>73.1770883258271</v>
      </c>
      <c r="N115" s="134">
        <f t="shared" si="38"/>
        <v>-50328.525876270389</v>
      </c>
      <c r="O115" s="134"/>
      <c r="Q115" s="139">
        <f t="shared" si="71"/>
        <v>0</v>
      </c>
      <c r="R115" s="139">
        <f t="shared" si="72"/>
        <v>92.539694999999995</v>
      </c>
      <c r="S115" s="139">
        <f t="shared" si="73"/>
        <v>-149.8482660191799</v>
      </c>
      <c r="T115" s="139">
        <f t="shared" si="74"/>
        <v>-22.72913513513517</v>
      </c>
      <c r="U115" s="139">
        <f t="shared" si="75"/>
        <v>6.8606178284879684</v>
      </c>
      <c r="V115" s="139">
        <f t="shared" si="76"/>
        <v>0</v>
      </c>
      <c r="W115" s="139">
        <f t="shared" si="77"/>
        <v>0</v>
      </c>
      <c r="X115" s="139">
        <f t="shared" si="78"/>
        <v>0</v>
      </c>
      <c r="Z115" s="139">
        <f t="shared" si="79"/>
        <v>-6657.6530000000002</v>
      </c>
      <c r="AA115" s="139">
        <f t="shared" si="80"/>
        <v>85536.691054054187</v>
      </c>
      <c r="AB115" s="139">
        <f t="shared" si="81"/>
        <v>-120816.8296717827</v>
      </c>
      <c r="AC115" s="139">
        <f t="shared" si="82"/>
        <v>-10504.546238130055</v>
      </c>
      <c r="AD115" s="139">
        <f t="shared" si="83"/>
        <v>2113.811979588188</v>
      </c>
      <c r="AE115" s="139">
        <f t="shared" si="84"/>
        <v>0</v>
      </c>
      <c r="AF115" s="139">
        <f t="shared" si="85"/>
        <v>0</v>
      </c>
      <c r="AG115" s="139">
        <f t="shared" si="86"/>
        <v>0</v>
      </c>
      <c r="AP115" s="134">
        <f t="shared" si="39"/>
        <v>-2.1752110008247256</v>
      </c>
      <c r="AQ115" s="134">
        <f t="shared" si="40"/>
        <v>-3.5812893109435322</v>
      </c>
      <c r="AR115" s="134">
        <f t="shared" si="41"/>
        <v>1.1350618217230075</v>
      </c>
      <c r="AS115" s="134">
        <f t="shared" si="42"/>
        <v>-0.48792493868276665</v>
      </c>
      <c r="AT115" s="134">
        <f t="shared" si="43"/>
        <v>-80997.243078225147</v>
      </c>
      <c r="AU115" s="136">
        <f t="shared" si="44"/>
        <v>130.92809040451471</v>
      </c>
      <c r="AV115" s="134">
        <f t="shared" si="45"/>
        <v>-202017.26177645248</v>
      </c>
      <c r="AX115" s="70"/>
    </row>
    <row r="116" spans="1:50" x14ac:dyDescent="0.35">
      <c r="A116" s="190" t="s">
        <v>145</v>
      </c>
      <c r="B116" s="66">
        <f t="shared" si="87"/>
        <v>933.78378378378522</v>
      </c>
      <c r="C116" s="118">
        <f t="shared" si="31"/>
        <v>9.3378378378378521E-2</v>
      </c>
      <c r="D116" s="349">
        <f t="shared" si="32"/>
        <v>-60726.003338987262</v>
      </c>
      <c r="E116" s="146">
        <f t="shared" si="33"/>
        <v>208.53162734276711</v>
      </c>
      <c r="F116" s="136">
        <f t="shared" si="34"/>
        <v>-255449.45535770661</v>
      </c>
      <c r="G116" s="146">
        <f t="shared" si="35"/>
        <v>83.006</v>
      </c>
      <c r="H116" s="349">
        <f t="shared" si="67"/>
        <v>-62905.08481155194</v>
      </c>
      <c r="I116" s="146">
        <f t="shared" si="68"/>
        <v>204.9461706054735</v>
      </c>
      <c r="J116" s="136">
        <f t="shared" si="69"/>
        <v>-254280.49547152818</v>
      </c>
      <c r="K116" s="146">
        <f t="shared" si="70"/>
        <v>82.674951084778925</v>
      </c>
      <c r="L116" s="146">
        <f t="shared" si="36"/>
        <v>17576.868086456612</v>
      </c>
      <c r="M116" s="146">
        <f t="shared" si="37"/>
        <v>73.463437581577637</v>
      </c>
      <c r="N116" s="134">
        <f t="shared" si="38"/>
        <v>-51022.098628232881</v>
      </c>
      <c r="O116" s="134"/>
      <c r="Q116" s="139">
        <f t="shared" si="71"/>
        <v>0</v>
      </c>
      <c r="R116" s="139">
        <f t="shared" si="72"/>
        <v>92.539694999999995</v>
      </c>
      <c r="S116" s="139">
        <f t="shared" si="73"/>
        <v>-150.04314770279748</v>
      </c>
      <c r="T116" s="139">
        <f t="shared" si="74"/>
        <v>-22.96174324324328</v>
      </c>
      <c r="U116" s="139">
        <f t="shared" si="75"/>
        <v>7.0017583644631332</v>
      </c>
      <c r="V116" s="139">
        <f t="shared" si="76"/>
        <v>0</v>
      </c>
      <c r="W116" s="139">
        <f t="shared" si="77"/>
        <v>0</v>
      </c>
      <c r="X116" s="139">
        <f t="shared" si="78"/>
        <v>0</v>
      </c>
      <c r="Z116" s="139">
        <f t="shared" si="79"/>
        <v>-6657.6530000000002</v>
      </c>
      <c r="AA116" s="139">
        <f t="shared" si="80"/>
        <v>86412.066547297421</v>
      </c>
      <c r="AB116" s="139">
        <f t="shared" si="81"/>
        <v>-122235.23657112595</v>
      </c>
      <c r="AC116" s="139">
        <f t="shared" si="82"/>
        <v>-10720.651743973736</v>
      </c>
      <c r="AD116" s="139">
        <f t="shared" si="83"/>
        <v>2179.3761395693841</v>
      </c>
      <c r="AE116" s="139">
        <f t="shared" si="84"/>
        <v>0</v>
      </c>
      <c r="AF116" s="139">
        <f t="shared" si="85"/>
        <v>0</v>
      </c>
      <c r="AG116" s="139">
        <f t="shared" si="86"/>
        <v>0</v>
      </c>
      <c r="AP116" s="134">
        <f t="shared" si="39"/>
        <v>-2.1790814725646777</v>
      </c>
      <c r="AQ116" s="134">
        <f t="shared" si="40"/>
        <v>-3.5854567372936117</v>
      </c>
      <c r="AR116" s="134">
        <f t="shared" si="41"/>
        <v>1.1689598861784325</v>
      </c>
      <c r="AS116" s="134">
        <f t="shared" si="42"/>
        <v>-0.33104891522107494</v>
      </c>
      <c r="AT116" s="134">
        <f t="shared" si="43"/>
        <v>-80481.952898008545</v>
      </c>
      <c r="AU116" s="136">
        <f t="shared" si="44"/>
        <v>131.48273302389586</v>
      </c>
      <c r="AV116" s="134">
        <f t="shared" si="45"/>
        <v>-203258.39684329531</v>
      </c>
      <c r="AX116" s="70"/>
    </row>
    <row r="117" spans="1:50" x14ac:dyDescent="0.35">
      <c r="A117" s="190" t="s">
        <v>145</v>
      </c>
      <c r="B117" s="66">
        <f t="shared" si="87"/>
        <v>943.24324324324471</v>
      </c>
      <c r="C117" s="118">
        <f t="shared" ref="C117:C123" si="88">B117/10000</f>
        <v>9.4324324324324471E-2</v>
      </c>
      <c r="D117" s="349">
        <f t="shared" ref="D117:D123" si="89">10000*$B$3*(C117*$G$3-$H$3*2/C117+$J$3*C117^2+$K$3*2*C117^3+$L$3*3*C117^4-$I$3+$E$3)</f>
        <v>-59940.811447095366</v>
      </c>
      <c r="E117" s="146">
        <f t="shared" ref="E117:E123" si="90">$B$3*($F$3+$G$3+$G$3*LN(C117)-$H$3/C117^2+$J$3*2*C117+$K$3*3*C117^2+$L$3*4*C117^3)</f>
        <v>209.3682679750014</v>
      </c>
      <c r="F117" s="136">
        <f t="shared" ref="F117:F123" si="91">($E$3-C117*($F$3+$G$3*LN(C117)+$H$3*C117^(-2)+$I$3*C117^(-1)+$J$3*C117+$K$3*C117^2+$L$3*C117^3))*$B$3*10000</f>
        <v>-257426.01556405646</v>
      </c>
      <c r="G117" s="146">
        <f t="shared" ref="G117:G123" si="92">$B$3*($G$3+2*$H$3*C117^(-2)+2*$J$3*C117+ 6*$K$3*C117^2+ 12*$L$3*C117^3)</f>
        <v>83.006</v>
      </c>
      <c r="H117" s="349">
        <f t="shared" si="67"/>
        <v>-62122.29795587113</v>
      </c>
      <c r="I117" s="146">
        <f t="shared" si="68"/>
        <v>205.7802473196426</v>
      </c>
      <c r="J117" s="136">
        <f t="shared" si="69"/>
        <v>-256223.12583304787</v>
      </c>
      <c r="K117" s="146">
        <f t="shared" si="70"/>
        <v>82.82788829782065</v>
      </c>
      <c r="L117" s="146">
        <f t="shared" ref="L117:L123" si="93">N117+M117*B117</f>
        <v>17842.415853124614</v>
      </c>
      <c r="M117" s="146">
        <f t="shared" ref="M117:M123" si="94">-SUM(Q117:X117)</f>
        <v>73.746385486393805</v>
      </c>
      <c r="N117" s="134">
        <f t="shared" ref="N117:N123" si="95">SUM(Z117:AG117)</f>
        <v>-51718.363970528029</v>
      </c>
      <c r="O117" s="134"/>
      <c r="Q117" s="139">
        <f t="shared" si="71"/>
        <v>0</v>
      </c>
      <c r="R117" s="139">
        <f t="shared" si="72"/>
        <v>92.539694999999995</v>
      </c>
      <c r="S117" s="139">
        <f t="shared" si="73"/>
        <v>-150.2360651027561</v>
      </c>
      <c r="T117" s="139">
        <f t="shared" si="74"/>
        <v>-23.194351351351386</v>
      </c>
      <c r="U117" s="139">
        <f t="shared" si="75"/>
        <v>7.1443359677136815</v>
      </c>
      <c r="V117" s="139">
        <f t="shared" si="76"/>
        <v>0</v>
      </c>
      <c r="W117" s="139">
        <f t="shared" si="77"/>
        <v>0</v>
      </c>
      <c r="X117" s="139">
        <f t="shared" si="78"/>
        <v>0</v>
      </c>
      <c r="Z117" s="139">
        <f t="shared" si="79"/>
        <v>-6657.6530000000002</v>
      </c>
      <c r="AA117" s="139">
        <f t="shared" si="80"/>
        <v>87287.442040540671</v>
      </c>
      <c r="AB117" s="139">
        <f t="shared" si="81"/>
        <v>-123655.47762395123</v>
      </c>
      <c r="AC117" s="139">
        <f t="shared" si="82"/>
        <v>-10938.957596786009</v>
      </c>
      <c r="AD117" s="139">
        <f t="shared" si="83"/>
        <v>2246.2822096685391</v>
      </c>
      <c r="AE117" s="139">
        <f t="shared" si="84"/>
        <v>0</v>
      </c>
      <c r="AF117" s="139">
        <f t="shared" si="85"/>
        <v>0</v>
      </c>
      <c r="AG117" s="139">
        <f t="shared" si="86"/>
        <v>0</v>
      </c>
      <c r="AP117" s="134">
        <f t="shared" ref="AP117:AP123" si="96">(H117-D117)/1000</f>
        <v>-2.1814865087757642</v>
      </c>
      <c r="AQ117" s="134">
        <f t="shared" ref="AQ117:AQ123" si="97">I117-E117</f>
        <v>-3.5880206553588039</v>
      </c>
      <c r="AR117" s="134">
        <f t="shared" ref="AR117:AR123" si="98">(J117-F117)/1000</f>
        <v>1.2028897310085886</v>
      </c>
      <c r="AS117" s="134">
        <f t="shared" ref="AS117:AS123" si="99">K117-G117</f>
        <v>-0.17811170217935057</v>
      </c>
      <c r="AT117" s="134">
        <f t="shared" ref="AT117:AT123" si="100">H117-L117</f>
        <v>-79964.713808995744</v>
      </c>
      <c r="AU117" s="136">
        <f t="shared" ref="AU117:AU123" si="101">I117-M117</f>
        <v>132.03386183324881</v>
      </c>
      <c r="AV117" s="134">
        <f t="shared" ref="AV117:AV123" si="102">J117-N117</f>
        <v>-204504.76186251984</v>
      </c>
      <c r="AX117" s="70"/>
    </row>
    <row r="118" spans="1:50" x14ac:dyDescent="0.35">
      <c r="A118" s="190" t="s">
        <v>145</v>
      </c>
      <c r="B118" s="66">
        <f t="shared" si="87"/>
        <v>952.70270270270419</v>
      </c>
      <c r="C118" s="118">
        <f t="shared" si="88"/>
        <v>9.5270270270270421E-2</v>
      </c>
      <c r="D118" s="349">
        <f t="shared" si="89"/>
        <v>-59155.61955520347</v>
      </c>
      <c r="E118" s="146">
        <f t="shared" si="90"/>
        <v>210.19655995134309</v>
      </c>
      <c r="F118" s="136">
        <f t="shared" si="91"/>
        <v>-259410.45031965902</v>
      </c>
      <c r="G118" s="146">
        <f t="shared" si="92"/>
        <v>83.006</v>
      </c>
      <c r="H118" s="349">
        <f t="shared" si="67"/>
        <v>-61338.083529386713</v>
      </c>
      <c r="I118" s="146">
        <f t="shared" si="68"/>
        <v>206.60750694103655</v>
      </c>
      <c r="J118" s="136">
        <f t="shared" si="69"/>
        <v>-258173.61379078001</v>
      </c>
      <c r="K118" s="146">
        <f t="shared" si="70"/>
        <v>82.976759703296167</v>
      </c>
      <c r="L118" s="146">
        <f t="shared" si="93"/>
        <v>18107.452958766058</v>
      </c>
      <c r="M118" s="146">
        <f t="shared" si="94"/>
        <v>74.025971242931007</v>
      </c>
      <c r="N118" s="134">
        <f t="shared" si="95"/>
        <v>-52417.289914566973</v>
      </c>
      <c r="O118" s="134"/>
      <c r="Q118" s="139">
        <f t="shared" si="71"/>
        <v>0</v>
      </c>
      <c r="R118" s="139">
        <f t="shared" si="72"/>
        <v>92.539694999999995</v>
      </c>
      <c r="S118" s="139">
        <f t="shared" si="73"/>
        <v>-150.42705742171111</v>
      </c>
      <c r="T118" s="139">
        <f t="shared" si="74"/>
        <v>-23.426959459459496</v>
      </c>
      <c r="U118" s="139">
        <f t="shared" si="75"/>
        <v>7.2883506382396135</v>
      </c>
      <c r="V118" s="139">
        <f t="shared" si="76"/>
        <v>0</v>
      </c>
      <c r="W118" s="139">
        <f t="shared" si="77"/>
        <v>0</v>
      </c>
      <c r="X118" s="139">
        <f t="shared" si="78"/>
        <v>0</v>
      </c>
      <c r="Z118" s="139">
        <f t="shared" si="79"/>
        <v>-6657.6530000000002</v>
      </c>
      <c r="AA118" s="139">
        <f t="shared" si="80"/>
        <v>88162.81753378392</v>
      </c>
      <c r="AB118" s="139">
        <f t="shared" si="81"/>
        <v>-125077.5344355493</v>
      </c>
      <c r="AC118" s="139">
        <f t="shared" si="82"/>
        <v>-11159.463796566872</v>
      </c>
      <c r="AD118" s="139">
        <f t="shared" si="83"/>
        <v>2314.5437837652862</v>
      </c>
      <c r="AE118" s="139">
        <f t="shared" si="84"/>
        <v>0</v>
      </c>
      <c r="AF118" s="139">
        <f t="shared" si="85"/>
        <v>0</v>
      </c>
      <c r="AG118" s="139">
        <f t="shared" si="86"/>
        <v>0</v>
      </c>
      <c r="AP118" s="134">
        <f t="shared" si="96"/>
        <v>-2.1824639741832432</v>
      </c>
      <c r="AQ118" s="134">
        <f t="shared" si="97"/>
        <v>-3.589053010306543</v>
      </c>
      <c r="AR118" s="134">
        <f t="shared" si="98"/>
        <v>1.2368365288790082</v>
      </c>
      <c r="AS118" s="134">
        <f t="shared" si="99"/>
        <v>-2.9240296703832769E-2</v>
      </c>
      <c r="AT118" s="134">
        <f t="shared" si="100"/>
        <v>-79445.536488152778</v>
      </c>
      <c r="AU118" s="136">
        <f t="shared" si="101"/>
        <v>132.58153569810554</v>
      </c>
      <c r="AV118" s="134">
        <f t="shared" si="102"/>
        <v>-205756.32387621305</v>
      </c>
      <c r="AX118" s="70"/>
    </row>
    <row r="119" spans="1:50" x14ac:dyDescent="0.35">
      <c r="A119" s="190" t="s">
        <v>145</v>
      </c>
      <c r="B119" s="66">
        <f t="shared" si="87"/>
        <v>962.16216216216367</v>
      </c>
      <c r="C119" s="118">
        <f t="shared" si="88"/>
        <v>9.6216216216216371E-2</v>
      </c>
      <c r="D119" s="349">
        <f t="shared" si="89"/>
        <v>-58370.427663311573</v>
      </c>
      <c r="E119" s="146">
        <f t="shared" si="90"/>
        <v>211.01666824577035</v>
      </c>
      <c r="F119" s="136">
        <f t="shared" si="91"/>
        <v>-261402.68143491799</v>
      </c>
      <c r="G119" s="146">
        <f t="shared" si="92"/>
        <v>83.006</v>
      </c>
      <c r="H119" s="349">
        <f t="shared" si="67"/>
        <v>-60552.480568472536</v>
      </c>
      <c r="I119" s="146">
        <f t="shared" si="68"/>
        <v>207.42804340716535</v>
      </c>
      <c r="J119" s="136">
        <f t="shared" si="69"/>
        <v>-260131.8953061779</v>
      </c>
      <c r="K119" s="146">
        <f t="shared" si="70"/>
        <v>83.121444516053785</v>
      </c>
      <c r="L119" s="146">
        <f t="shared" si="93"/>
        <v>18371.952215621612</v>
      </c>
      <c r="M119" s="146">
        <f t="shared" si="94"/>
        <v>74.302232891836184</v>
      </c>
      <c r="N119" s="134">
        <f t="shared" si="95"/>
        <v>-53118.844837064127</v>
      </c>
      <c r="O119" s="134"/>
      <c r="Q119" s="139">
        <f t="shared" si="71"/>
        <v>0</v>
      </c>
      <c r="R119" s="139">
        <f t="shared" si="72"/>
        <v>92.539694999999995</v>
      </c>
      <c r="S119" s="139">
        <f t="shared" si="73"/>
        <v>-150.6161627003095</v>
      </c>
      <c r="T119" s="139">
        <f t="shared" si="74"/>
        <v>-23.659567567567606</v>
      </c>
      <c r="U119" s="139">
        <f t="shared" si="75"/>
        <v>7.4338023760409282</v>
      </c>
      <c r="V119" s="139">
        <f t="shared" si="76"/>
        <v>0</v>
      </c>
      <c r="W119" s="139">
        <f t="shared" si="77"/>
        <v>0</v>
      </c>
      <c r="X119" s="139">
        <f t="shared" si="78"/>
        <v>0</v>
      </c>
      <c r="Z119" s="139">
        <f t="shared" si="79"/>
        <v>-6657.6530000000002</v>
      </c>
      <c r="AA119" s="139">
        <f t="shared" si="80"/>
        <v>89038.193027027155</v>
      </c>
      <c r="AB119" s="139">
        <f t="shared" si="81"/>
        <v>-126501.38897651421</v>
      </c>
      <c r="AC119" s="139">
        <f t="shared" si="82"/>
        <v>-11382.170343316326</v>
      </c>
      <c r="AD119" s="139">
        <f t="shared" si="83"/>
        <v>2384.1744557392567</v>
      </c>
      <c r="AE119" s="139">
        <f t="shared" si="84"/>
        <v>0</v>
      </c>
      <c r="AF119" s="139">
        <f t="shared" si="85"/>
        <v>0</v>
      </c>
      <c r="AG119" s="139">
        <f t="shared" si="86"/>
        <v>0</v>
      </c>
      <c r="AP119" s="134">
        <f t="shared" si="96"/>
        <v>-2.1820529051609627</v>
      </c>
      <c r="AQ119" s="134">
        <f t="shared" si="97"/>
        <v>-3.5886248386049999</v>
      </c>
      <c r="AR119" s="134">
        <f t="shared" si="98"/>
        <v>1.2707861287400883</v>
      </c>
      <c r="AS119" s="134">
        <f t="shared" si="99"/>
        <v>0.1154445160537847</v>
      </c>
      <c r="AT119" s="134">
        <f t="shared" si="100"/>
        <v>-78924.432784094155</v>
      </c>
      <c r="AU119" s="136">
        <f t="shared" si="101"/>
        <v>133.12581051532916</v>
      </c>
      <c r="AV119" s="134">
        <f t="shared" si="102"/>
        <v>-207013.05046911378</v>
      </c>
      <c r="AX119" s="70"/>
    </row>
    <row r="120" spans="1:50" x14ac:dyDescent="0.35">
      <c r="A120" s="190" t="s">
        <v>145</v>
      </c>
      <c r="B120" s="66">
        <f t="shared" si="87"/>
        <v>971.62162162162315</v>
      </c>
      <c r="C120" s="118">
        <f t="shared" si="88"/>
        <v>9.7162162162162322E-2</v>
      </c>
      <c r="D120" s="349">
        <f t="shared" si="89"/>
        <v>-57585.235771419684</v>
      </c>
      <c r="E120" s="146">
        <f t="shared" si="90"/>
        <v>211.82875299010112</v>
      </c>
      <c r="F120" s="136">
        <f t="shared" si="91"/>
        <v>-263402.63225774799</v>
      </c>
      <c r="G120" s="146">
        <f t="shared" si="92"/>
        <v>83.006</v>
      </c>
      <c r="H120" s="349">
        <f t="shared" si="67"/>
        <v>-59765.529224116661</v>
      </c>
      <c r="I120" s="146">
        <f t="shared" si="68"/>
        <v>208.24194674550861</v>
      </c>
      <c r="J120" s="136">
        <f t="shared" si="69"/>
        <v>-262097.90721063144</v>
      </c>
      <c r="K120" s="146">
        <f t="shared" si="70"/>
        <v>83.261827801844063</v>
      </c>
      <c r="L120" s="146">
        <f t="shared" si="93"/>
        <v>18635.886435932065</v>
      </c>
      <c r="M120" s="146">
        <f t="shared" si="94"/>
        <v>74.575207357223221</v>
      </c>
      <c r="N120" s="134">
        <f t="shared" si="95"/>
        <v>-53822.997469261965</v>
      </c>
      <c r="O120" s="134"/>
      <c r="Q120" s="139">
        <f t="shared" si="71"/>
        <v>0</v>
      </c>
      <c r="R120" s="139">
        <f t="shared" si="72"/>
        <v>92.539694999999995</v>
      </c>
      <c r="S120" s="139">
        <f t="shared" si="73"/>
        <v>-150.80341786266513</v>
      </c>
      <c r="T120" s="139">
        <f t="shared" si="74"/>
        <v>-23.892175675675713</v>
      </c>
      <c r="U120" s="139">
        <f t="shared" si="75"/>
        <v>7.5806911811176274</v>
      </c>
      <c r="V120" s="139">
        <f t="shared" si="76"/>
        <v>0</v>
      </c>
      <c r="W120" s="139">
        <f t="shared" si="77"/>
        <v>0</v>
      </c>
      <c r="X120" s="139">
        <f t="shared" si="78"/>
        <v>0</v>
      </c>
      <c r="Z120" s="139">
        <f t="shared" si="79"/>
        <v>-6657.6530000000002</v>
      </c>
      <c r="AA120" s="139">
        <f t="shared" si="80"/>
        <v>89913.568520270404</v>
      </c>
      <c r="AB120" s="139">
        <f t="shared" si="81"/>
        <v>-127927.02357196808</v>
      </c>
      <c r="AC120" s="139">
        <f t="shared" si="82"/>
        <v>-11607.077237034367</v>
      </c>
      <c r="AD120" s="139">
        <f t="shared" si="83"/>
        <v>2455.1878194700821</v>
      </c>
      <c r="AE120" s="139">
        <f t="shared" si="84"/>
        <v>0</v>
      </c>
      <c r="AF120" s="139">
        <f t="shared" si="85"/>
        <v>0</v>
      </c>
      <c r="AG120" s="139">
        <f t="shared" si="86"/>
        <v>0</v>
      </c>
      <c r="AP120" s="134">
        <f t="shared" si="96"/>
        <v>-2.1802934526969766</v>
      </c>
      <c r="AQ120" s="134">
        <f t="shared" si="97"/>
        <v>-3.5868062445925091</v>
      </c>
      <c r="AR120" s="134">
        <f t="shared" si="98"/>
        <v>1.3047250471165461</v>
      </c>
      <c r="AS120" s="134">
        <f t="shared" si="99"/>
        <v>0.25582780184406317</v>
      </c>
      <c r="AT120" s="134">
        <f t="shared" si="100"/>
        <v>-78401.415660048719</v>
      </c>
      <c r="AU120" s="136">
        <f t="shared" si="101"/>
        <v>133.66673938828541</v>
      </c>
      <c r="AV120" s="134">
        <f t="shared" si="102"/>
        <v>-208274.90974136948</v>
      </c>
      <c r="AX120" s="70"/>
    </row>
    <row r="121" spans="1:50" x14ac:dyDescent="0.35">
      <c r="A121" s="190" t="s">
        <v>145</v>
      </c>
      <c r="B121" s="66">
        <f t="shared" si="87"/>
        <v>981.08108108108263</v>
      </c>
      <c r="C121" s="118">
        <f t="shared" si="88"/>
        <v>9.8108108108108258E-2</v>
      </c>
      <c r="D121" s="349">
        <f t="shared" si="89"/>
        <v>-56800.043879527795</v>
      </c>
      <c r="E121" s="146">
        <f t="shared" si="90"/>
        <v>212.63296966165493</v>
      </c>
      <c r="F121" s="136">
        <f t="shared" si="91"/>
        <v>-265410.22762866528</v>
      </c>
      <c r="G121" s="146">
        <f t="shared" si="92"/>
        <v>83.006</v>
      </c>
      <c r="H121" s="349">
        <f t="shared" si="67"/>
        <v>-58977.270708186632</v>
      </c>
      <c r="I121" s="146">
        <f t="shared" si="68"/>
        <v>209.04930328009345</v>
      </c>
      <c r="J121" s="136">
        <f t="shared" si="69"/>
        <v>-264071.58716946788</v>
      </c>
      <c r="K121" s="146">
        <f t="shared" si="70"/>
        <v>83.397800140480626</v>
      </c>
      <c r="L121" s="146">
        <f t="shared" si="93"/>
        <v>18899.228431938114</v>
      </c>
      <c r="M121" s="146">
        <f t="shared" si="94"/>
        <v>74.844930489945</v>
      </c>
      <c r="N121" s="134">
        <f t="shared" si="95"/>
        <v>-54529.71688657561</v>
      </c>
      <c r="O121" s="134"/>
      <c r="Q121" s="139">
        <f t="shared" si="71"/>
        <v>0</v>
      </c>
      <c r="R121" s="139">
        <f t="shared" si="72"/>
        <v>92.539694999999995</v>
      </c>
      <c r="S121" s="139">
        <f t="shared" si="73"/>
        <v>-150.98885875963089</v>
      </c>
      <c r="T121" s="139">
        <f t="shared" si="74"/>
        <v>-24.124783783783823</v>
      </c>
      <c r="U121" s="139">
        <f t="shared" si="75"/>
        <v>7.7290170534697111</v>
      </c>
      <c r="V121" s="139">
        <f t="shared" si="76"/>
        <v>0</v>
      </c>
      <c r="W121" s="139">
        <f t="shared" si="77"/>
        <v>0</v>
      </c>
      <c r="X121" s="139">
        <f t="shared" si="78"/>
        <v>0</v>
      </c>
      <c r="Z121" s="139">
        <f t="shared" si="79"/>
        <v>-6657.6530000000002</v>
      </c>
      <c r="AA121" s="139">
        <f t="shared" si="80"/>
        <v>90788.944013513654</v>
      </c>
      <c r="AB121" s="139">
        <f t="shared" si="81"/>
        <v>-129354.42089120565</v>
      </c>
      <c r="AC121" s="139">
        <f t="shared" si="82"/>
        <v>-11834.184477721003</v>
      </c>
      <c r="AD121" s="139">
        <f t="shared" si="83"/>
        <v>2527.5974688373958</v>
      </c>
      <c r="AE121" s="139">
        <f t="shared" si="84"/>
        <v>0</v>
      </c>
      <c r="AF121" s="139">
        <f t="shared" si="85"/>
        <v>0</v>
      </c>
      <c r="AG121" s="139">
        <f t="shared" si="86"/>
        <v>0</v>
      </c>
      <c r="AP121" s="134">
        <f t="shared" si="96"/>
        <v>-2.1772268286588368</v>
      </c>
      <c r="AQ121" s="134">
        <f t="shared" si="97"/>
        <v>-3.5836663815614713</v>
      </c>
      <c r="AR121" s="134">
        <f t="shared" si="98"/>
        <v>1.3386404591973988</v>
      </c>
      <c r="AS121" s="134">
        <f t="shared" si="99"/>
        <v>0.39180014048062617</v>
      </c>
      <c r="AT121" s="134">
        <f t="shared" si="100"/>
        <v>-77876.499140124739</v>
      </c>
      <c r="AU121" s="136">
        <f t="shared" si="101"/>
        <v>134.20437279014845</v>
      </c>
      <c r="AV121" s="134">
        <f t="shared" si="102"/>
        <v>-209541.87028289225</v>
      </c>
      <c r="AX121" s="70"/>
    </row>
    <row r="122" spans="1:50" x14ac:dyDescent="0.35">
      <c r="A122" s="190" t="s">
        <v>145</v>
      </c>
      <c r="B122" s="66">
        <f t="shared" si="87"/>
        <v>990.54054054054211</v>
      </c>
      <c r="C122" s="118">
        <f t="shared" si="88"/>
        <v>9.9054054054054208E-2</v>
      </c>
      <c r="D122" s="349">
        <f t="shared" si="89"/>
        <v>-56014.851987635899</v>
      </c>
      <c r="E122" s="146">
        <f t="shared" si="90"/>
        <v>213.42946926191129</v>
      </c>
      <c r="F122" s="136">
        <f t="shared" si="91"/>
        <v>-267425.39383761049</v>
      </c>
      <c r="G122" s="146">
        <f t="shared" si="92"/>
        <v>83.006</v>
      </c>
      <c r="H122" s="349">
        <f t="shared" si="67"/>
        <v>-58187.747242773396</v>
      </c>
      <c r="I122" s="146">
        <f t="shared" si="68"/>
        <v>209.85019582503722</v>
      </c>
      <c r="J122" s="136">
        <f t="shared" si="69"/>
        <v>-266052.87364784442</v>
      </c>
      <c r="K122" s="146">
        <f t="shared" si="70"/>
        <v>83.529257311409538</v>
      </c>
      <c r="L122" s="146">
        <f t="shared" si="93"/>
        <v>19161.951015880557</v>
      </c>
      <c r="M122" s="146">
        <f t="shared" si="94"/>
        <v>75.111437108789573</v>
      </c>
      <c r="N122" s="134">
        <f t="shared" si="95"/>
        <v>-55238.972498636802</v>
      </c>
      <c r="O122" s="134"/>
      <c r="Q122" s="139">
        <f t="shared" si="71"/>
        <v>0</v>
      </c>
      <c r="R122" s="139">
        <f t="shared" si="72"/>
        <v>92.539694999999995</v>
      </c>
      <c r="S122" s="139">
        <f t="shared" si="73"/>
        <v>-151.17252020999481</v>
      </c>
      <c r="T122" s="139">
        <f t="shared" si="74"/>
        <v>-24.357391891891933</v>
      </c>
      <c r="U122" s="139">
        <f t="shared" si="75"/>
        <v>7.8787799930971758</v>
      </c>
      <c r="V122" s="139">
        <f t="shared" si="76"/>
        <v>0</v>
      </c>
      <c r="W122" s="139">
        <f t="shared" si="77"/>
        <v>0</v>
      </c>
      <c r="X122" s="139">
        <f t="shared" si="78"/>
        <v>0</v>
      </c>
      <c r="Z122" s="139">
        <f t="shared" si="79"/>
        <v>-6657.6530000000002</v>
      </c>
      <c r="AA122" s="139">
        <f t="shared" si="80"/>
        <v>91664.319506756903</v>
      </c>
      <c r="AB122" s="139">
        <f t="shared" si="81"/>
        <v>-130783.5639377383</v>
      </c>
      <c r="AC122" s="139">
        <f t="shared" si="82"/>
        <v>-12063.492065376226</v>
      </c>
      <c r="AD122" s="139">
        <f t="shared" si="83"/>
        <v>2601.4169977208285</v>
      </c>
      <c r="AE122" s="139">
        <f t="shared" si="84"/>
        <v>0</v>
      </c>
      <c r="AF122" s="139">
        <f t="shared" si="85"/>
        <v>0</v>
      </c>
      <c r="AG122" s="139">
        <f t="shared" si="86"/>
        <v>0</v>
      </c>
      <c r="AP122" s="134">
        <f t="shared" si="96"/>
        <v>-2.1728952551374969</v>
      </c>
      <c r="AQ122" s="134">
        <f t="shared" si="97"/>
        <v>-3.5792734368740753</v>
      </c>
      <c r="AR122" s="134">
        <f t="shared" si="98"/>
        <v>1.3725201897660737</v>
      </c>
      <c r="AS122" s="134">
        <f t="shared" si="99"/>
        <v>0.52325731140953735</v>
      </c>
      <c r="AT122" s="134">
        <f t="shared" si="100"/>
        <v>-77349.698258653953</v>
      </c>
      <c r="AU122" s="136">
        <f t="shared" si="101"/>
        <v>134.73875871624764</v>
      </c>
      <c r="AV122" s="134">
        <f t="shared" si="102"/>
        <v>-210813.90114920761</v>
      </c>
      <c r="AX122" s="70"/>
    </row>
    <row r="123" spans="1:50" x14ac:dyDescent="0.35">
      <c r="A123" s="190" t="s">
        <v>145</v>
      </c>
      <c r="B123" s="66">
        <f t="shared" si="87"/>
        <v>1000.0000000000016</v>
      </c>
      <c r="C123" s="118">
        <f t="shared" si="88"/>
        <v>0.10000000000000016</v>
      </c>
      <c r="D123" s="349">
        <f t="shared" si="89"/>
        <v>-55229.660095744002</v>
      </c>
      <c r="E123" s="146">
        <f t="shared" si="90"/>
        <v>214.21839848667696</v>
      </c>
      <c r="F123" s="136">
        <f t="shared" si="91"/>
        <v>-269448.05858242133</v>
      </c>
      <c r="G123" s="146">
        <f t="shared" si="92"/>
        <v>83.006</v>
      </c>
      <c r="H123" s="349">
        <f t="shared" si="67"/>
        <v>-57397.002012410652</v>
      </c>
      <c r="I123" s="146">
        <f t="shared" si="68"/>
        <v>210.64470386600297</v>
      </c>
      <c r="J123" s="136">
        <f t="shared" si="69"/>
        <v>-268041.70587841392</v>
      </c>
      <c r="K123" s="146">
        <f t="shared" si="70"/>
        <v>83.656100000000038</v>
      </c>
      <c r="L123" s="146">
        <f t="shared" si="93"/>
        <v>19424.027000000016</v>
      </c>
      <c r="M123" s="146">
        <f t="shared" si="94"/>
        <v>75.374761039718152</v>
      </c>
      <c r="N123" s="134">
        <f t="shared" si="95"/>
        <v>-55950.734039718256</v>
      </c>
      <c r="O123" s="134"/>
      <c r="Q123" s="139">
        <f t="shared" si="71"/>
        <v>0</v>
      </c>
      <c r="R123" s="139">
        <f t="shared" si="72"/>
        <v>92.539694999999995</v>
      </c>
      <c r="S123" s="139">
        <f t="shared" si="73"/>
        <v>-151.35443603971814</v>
      </c>
      <c r="T123" s="139">
        <f t="shared" si="74"/>
        <v>-24.590000000000039</v>
      </c>
      <c r="U123" s="139">
        <f t="shared" si="75"/>
        <v>8.029980000000025</v>
      </c>
      <c r="V123" s="139">
        <f t="shared" si="76"/>
        <v>0</v>
      </c>
      <c r="W123" s="139">
        <f t="shared" si="77"/>
        <v>0</v>
      </c>
      <c r="X123" s="139">
        <f t="shared" si="78"/>
        <v>0</v>
      </c>
      <c r="Z123" s="139">
        <f t="shared" si="79"/>
        <v>-6657.6530000000002</v>
      </c>
      <c r="AA123" s="139">
        <f t="shared" si="80"/>
        <v>92539.695000000138</v>
      </c>
      <c r="AB123" s="139">
        <f t="shared" si="81"/>
        <v>-132214.43603971836</v>
      </c>
      <c r="AC123" s="139">
        <f t="shared" si="82"/>
        <v>-12295.000000000038</v>
      </c>
      <c r="AD123" s="139">
        <f t="shared" si="83"/>
        <v>2676.6600000000126</v>
      </c>
      <c r="AE123" s="139">
        <f t="shared" si="84"/>
        <v>0</v>
      </c>
      <c r="AF123" s="139">
        <f t="shared" si="85"/>
        <v>0</v>
      </c>
      <c r="AG123" s="139">
        <f t="shared" si="86"/>
        <v>0</v>
      </c>
      <c r="AP123" s="134">
        <f t="shared" si="96"/>
        <v>-2.1673419166666501</v>
      </c>
      <c r="AQ123" s="134">
        <f t="shared" si="97"/>
        <v>-3.5736946206739901</v>
      </c>
      <c r="AR123" s="134">
        <f t="shared" si="98"/>
        <v>1.4063527040074113</v>
      </c>
      <c r="AS123" s="134">
        <f t="shared" si="99"/>
        <v>0.65010000000003743</v>
      </c>
      <c r="AT123" s="134">
        <f t="shared" si="100"/>
        <v>-76821.029012410669</v>
      </c>
      <c r="AU123" s="136">
        <f t="shared" si="101"/>
        <v>135.26994282628482</v>
      </c>
      <c r="AV123" s="134">
        <f t="shared" si="102"/>
        <v>-212090.97183869567</v>
      </c>
      <c r="AX123" s="70"/>
    </row>
    <row r="124" spans="1:50" x14ac:dyDescent="0.35">
      <c r="B124" s="66"/>
      <c r="C124" s="118"/>
      <c r="D124" s="349"/>
      <c r="E124" s="146"/>
      <c r="F124" s="136"/>
      <c r="G124" s="146"/>
      <c r="H124" s="349"/>
      <c r="I124" s="146"/>
      <c r="J124" s="136"/>
      <c r="K124" s="146"/>
      <c r="L124" s="134"/>
      <c r="M124" s="134"/>
      <c r="AP124" s="134"/>
      <c r="AQ124" s="134"/>
      <c r="AR124" s="134"/>
      <c r="AS124" s="134"/>
      <c r="AT124" s="134"/>
      <c r="AU124" s="136"/>
      <c r="AV124" s="136"/>
      <c r="AW124" s="136"/>
      <c r="AX124" s="70"/>
    </row>
    <row r="125" spans="1:50" x14ac:dyDescent="0.35">
      <c r="B125" s="66"/>
      <c r="C125" s="118"/>
      <c r="D125" s="349"/>
      <c r="E125" s="146"/>
      <c r="F125" s="136"/>
      <c r="G125" s="146"/>
      <c r="H125" s="349"/>
      <c r="I125" s="146"/>
      <c r="J125" s="136"/>
      <c r="K125" s="146"/>
      <c r="L125" s="134"/>
      <c r="M125" s="134"/>
      <c r="AP125" s="134"/>
      <c r="AQ125" s="134"/>
      <c r="AR125" s="134"/>
      <c r="AS125" s="134"/>
      <c r="AT125" s="134"/>
      <c r="AU125" s="136"/>
      <c r="AV125" s="136"/>
      <c r="AW125" s="136"/>
      <c r="AX125" s="70"/>
    </row>
    <row r="126" spans="1:50" x14ac:dyDescent="0.35">
      <c r="B126" s="66"/>
      <c r="C126" s="118"/>
      <c r="D126" s="349"/>
      <c r="E126" s="146"/>
      <c r="F126" s="136"/>
      <c r="G126" s="146"/>
      <c r="H126" s="349"/>
      <c r="I126" s="146"/>
      <c r="J126" s="136"/>
      <c r="K126" s="146"/>
      <c r="L126" s="134"/>
      <c r="M126" s="134"/>
      <c r="AP126" s="134"/>
      <c r="AQ126" s="134"/>
      <c r="AR126" s="134"/>
      <c r="AS126" s="134"/>
      <c r="AT126" s="134"/>
      <c r="AU126" s="136"/>
      <c r="AV126" s="136"/>
      <c r="AW126" s="136"/>
      <c r="AX126" s="70"/>
    </row>
    <row r="127" spans="1:50" x14ac:dyDescent="0.35">
      <c r="B127" s="66"/>
      <c r="C127" s="118"/>
      <c r="D127" s="349"/>
      <c r="E127" s="146"/>
      <c r="F127" s="136"/>
      <c r="G127" s="146"/>
      <c r="H127" s="349"/>
      <c r="I127" s="146"/>
      <c r="J127" s="136"/>
      <c r="K127" s="146"/>
      <c r="L127" s="134"/>
      <c r="M127" s="134"/>
      <c r="AP127" s="134"/>
      <c r="AQ127" s="134"/>
      <c r="AR127" s="134"/>
      <c r="AS127" s="134"/>
      <c r="AT127" s="134"/>
      <c r="AU127" s="136"/>
      <c r="AV127" s="136"/>
      <c r="AW127" s="136"/>
      <c r="AX127" s="70"/>
    </row>
    <row r="128" spans="1:50" x14ac:dyDescent="0.35">
      <c r="B128" s="66"/>
      <c r="C128" s="118"/>
      <c r="D128" s="349"/>
      <c r="E128" s="146"/>
      <c r="F128" s="136"/>
      <c r="G128" s="146"/>
      <c r="H128" s="349"/>
      <c r="I128" s="146"/>
      <c r="J128" s="136"/>
      <c r="K128" s="146"/>
      <c r="L128" s="134"/>
      <c r="M128" s="134"/>
      <c r="AP128" s="134"/>
      <c r="AQ128" s="134"/>
      <c r="AR128" s="134"/>
      <c r="AS128" s="134"/>
      <c r="AT128" s="134"/>
      <c r="AU128" s="136"/>
      <c r="AV128" s="136"/>
      <c r="AW128" s="136"/>
      <c r="AX128" s="70"/>
    </row>
    <row r="129" spans="2:50" x14ac:dyDescent="0.35">
      <c r="B129" s="66"/>
      <c r="C129" s="118"/>
      <c r="D129" s="349"/>
      <c r="E129" s="146"/>
      <c r="F129" s="136"/>
      <c r="G129" s="146"/>
      <c r="H129" s="349"/>
      <c r="I129" s="146"/>
      <c r="J129" s="136"/>
      <c r="K129" s="146"/>
      <c r="L129" s="134"/>
      <c r="M129" s="134"/>
      <c r="AP129" s="134"/>
      <c r="AQ129" s="134"/>
      <c r="AR129" s="134"/>
      <c r="AS129" s="134"/>
      <c r="AT129" s="134"/>
      <c r="AU129" s="136"/>
      <c r="AV129" s="136"/>
      <c r="AW129" s="136"/>
      <c r="AX129" s="70"/>
    </row>
    <row r="130" spans="2:50" x14ac:dyDescent="0.35">
      <c r="B130" s="66"/>
      <c r="C130" s="118"/>
      <c r="D130" s="349"/>
      <c r="E130" s="146"/>
      <c r="F130" s="136"/>
      <c r="G130" s="146"/>
      <c r="H130" s="349"/>
      <c r="I130" s="146"/>
      <c r="J130" s="136"/>
      <c r="K130" s="146"/>
      <c r="L130" s="134"/>
      <c r="M130" s="134"/>
      <c r="AP130" s="134"/>
      <c r="AQ130" s="134"/>
      <c r="AR130" s="134"/>
      <c r="AS130" s="134"/>
      <c r="AT130" s="134"/>
      <c r="AU130" s="136"/>
      <c r="AV130" s="136"/>
      <c r="AW130" s="136"/>
      <c r="AX130" s="70"/>
    </row>
    <row r="131" spans="2:50" x14ac:dyDescent="0.35">
      <c r="B131" s="66"/>
      <c r="C131" s="118"/>
      <c r="D131" s="349"/>
      <c r="E131" s="146"/>
      <c r="F131" s="136"/>
      <c r="G131" s="146"/>
      <c r="H131" s="349"/>
      <c r="I131" s="146"/>
      <c r="J131" s="136"/>
      <c r="K131" s="146"/>
      <c r="L131" s="134"/>
      <c r="M131" s="134"/>
      <c r="AP131" s="134"/>
      <c r="AQ131" s="134"/>
      <c r="AR131" s="134"/>
      <c r="AS131" s="134"/>
      <c r="AT131" s="134"/>
      <c r="AU131" s="136"/>
      <c r="AV131" s="136"/>
      <c r="AW131" s="136"/>
      <c r="AX131" s="70"/>
    </row>
    <row r="132" spans="2:50" x14ac:dyDescent="0.35">
      <c r="B132" s="66"/>
      <c r="C132" s="118"/>
      <c r="D132" s="349"/>
      <c r="E132" s="146"/>
      <c r="F132" s="136"/>
      <c r="G132" s="146"/>
      <c r="H132" s="349"/>
      <c r="I132" s="146"/>
      <c r="J132" s="136"/>
      <c r="K132" s="146"/>
      <c r="L132" s="134"/>
      <c r="M132" s="134"/>
      <c r="AP132" s="134"/>
      <c r="AQ132" s="134"/>
      <c r="AR132" s="134"/>
      <c r="AS132" s="134"/>
      <c r="AT132" s="134"/>
      <c r="AU132" s="136"/>
      <c r="AV132" s="136"/>
      <c r="AW132" s="136"/>
      <c r="AX132" s="70"/>
    </row>
    <row r="133" spans="2:50" x14ac:dyDescent="0.35">
      <c r="B133" s="66"/>
      <c r="C133" s="118"/>
      <c r="D133" s="349"/>
      <c r="E133" s="146"/>
      <c r="F133" s="136"/>
      <c r="G133" s="146"/>
      <c r="H133" s="349"/>
      <c r="I133" s="146"/>
      <c r="J133" s="136"/>
      <c r="K133" s="146"/>
      <c r="L133" s="134"/>
      <c r="M133" s="134"/>
      <c r="AP133" s="134"/>
      <c r="AQ133" s="134"/>
      <c r="AR133" s="134"/>
      <c r="AS133" s="134"/>
      <c r="AT133" s="134"/>
      <c r="AU133" s="136"/>
      <c r="AV133" s="136"/>
      <c r="AW133" s="136"/>
      <c r="AX133" s="70"/>
    </row>
    <row r="134" spans="2:50" x14ac:dyDescent="0.35">
      <c r="B134" s="66"/>
      <c r="C134" s="118"/>
      <c r="D134" s="349"/>
      <c r="E134" s="146"/>
      <c r="F134" s="136"/>
      <c r="G134" s="146"/>
      <c r="H134" s="349"/>
      <c r="I134" s="146"/>
      <c r="J134" s="136"/>
      <c r="K134" s="146"/>
      <c r="L134" s="134"/>
      <c r="M134" s="134"/>
      <c r="AP134" s="134"/>
      <c r="AQ134" s="134"/>
      <c r="AR134" s="134"/>
      <c r="AS134" s="134"/>
      <c r="AT134" s="134"/>
      <c r="AU134" s="136"/>
      <c r="AV134" s="136"/>
      <c r="AW134" s="136"/>
      <c r="AX134" s="70"/>
    </row>
    <row r="135" spans="2:50" x14ac:dyDescent="0.35">
      <c r="B135" s="66"/>
      <c r="C135" s="118"/>
      <c r="D135" s="349"/>
      <c r="E135" s="146"/>
      <c r="F135" s="136"/>
      <c r="G135" s="146"/>
      <c r="H135" s="349"/>
      <c r="I135" s="146"/>
      <c r="J135" s="136"/>
      <c r="K135" s="146"/>
      <c r="L135" s="134"/>
      <c r="M135" s="134"/>
      <c r="AP135" s="134"/>
      <c r="AQ135" s="134"/>
      <c r="AR135" s="134"/>
      <c r="AS135" s="134"/>
      <c r="AT135" s="134"/>
      <c r="AU135" s="136"/>
      <c r="AV135" s="136"/>
      <c r="AW135" s="136"/>
      <c r="AX135" s="70"/>
    </row>
    <row r="136" spans="2:50" x14ac:dyDescent="0.35">
      <c r="B136" s="66"/>
      <c r="C136" s="118"/>
      <c r="D136" s="349"/>
      <c r="E136" s="146"/>
      <c r="F136" s="136"/>
      <c r="G136" s="146"/>
      <c r="H136" s="349"/>
      <c r="I136" s="146"/>
      <c r="J136" s="136"/>
      <c r="K136" s="146"/>
      <c r="L136" s="134"/>
      <c r="M136" s="134"/>
      <c r="AP136" s="134"/>
      <c r="AQ136" s="134"/>
      <c r="AR136" s="134"/>
      <c r="AS136" s="134"/>
      <c r="AT136" s="134"/>
      <c r="AU136" s="136"/>
      <c r="AV136" s="136"/>
      <c r="AW136" s="136"/>
      <c r="AX136" s="70"/>
    </row>
    <row r="137" spans="2:50" x14ac:dyDescent="0.35">
      <c r="B137" s="66"/>
      <c r="C137" s="118"/>
      <c r="D137" s="349"/>
      <c r="E137" s="146"/>
      <c r="F137" s="136"/>
      <c r="G137" s="146"/>
      <c r="H137" s="349"/>
      <c r="I137" s="146"/>
      <c r="J137" s="136"/>
      <c r="K137" s="146"/>
      <c r="L137" s="134"/>
      <c r="M137" s="134"/>
      <c r="AP137" s="134"/>
      <c r="AQ137" s="134"/>
      <c r="AR137" s="134"/>
      <c r="AS137" s="134"/>
      <c r="AT137" s="134"/>
      <c r="AU137" s="136"/>
      <c r="AV137" s="136"/>
      <c r="AW137" s="136"/>
      <c r="AX137" s="70"/>
    </row>
    <row r="138" spans="2:50" x14ac:dyDescent="0.35">
      <c r="B138" s="66"/>
      <c r="C138" s="118"/>
      <c r="D138" s="349"/>
      <c r="E138" s="146"/>
      <c r="F138" s="136"/>
      <c r="G138" s="146"/>
      <c r="H138" s="349"/>
      <c r="I138" s="146"/>
      <c r="J138" s="136"/>
      <c r="K138" s="146"/>
      <c r="L138" s="134"/>
      <c r="M138" s="134"/>
      <c r="AP138" s="134"/>
      <c r="AQ138" s="134"/>
      <c r="AR138" s="134"/>
      <c r="AS138" s="134"/>
      <c r="AT138" s="134"/>
      <c r="AU138" s="136"/>
      <c r="AV138" s="136"/>
      <c r="AW138" s="136"/>
      <c r="AX138" s="70"/>
    </row>
    <row r="139" spans="2:50" x14ac:dyDescent="0.35">
      <c r="B139" s="66"/>
      <c r="C139" s="118"/>
      <c r="D139" s="349"/>
      <c r="E139" s="146"/>
      <c r="F139" s="136"/>
      <c r="G139" s="146"/>
      <c r="H139" s="349"/>
      <c r="I139" s="146"/>
      <c r="J139" s="136"/>
      <c r="K139" s="146"/>
      <c r="L139" s="134"/>
      <c r="M139" s="134"/>
      <c r="AP139" s="134"/>
      <c r="AQ139" s="134"/>
      <c r="AR139" s="134"/>
      <c r="AS139" s="134"/>
      <c r="AT139" s="134"/>
      <c r="AU139" s="136"/>
      <c r="AV139" s="136"/>
      <c r="AW139" s="136"/>
      <c r="AX139" s="70"/>
    </row>
    <row r="140" spans="2:50" x14ac:dyDescent="0.35">
      <c r="B140" s="66"/>
      <c r="C140" s="118"/>
      <c r="D140" s="349"/>
      <c r="E140" s="146"/>
      <c r="F140" s="136"/>
      <c r="G140" s="146"/>
      <c r="H140" s="349"/>
      <c r="I140" s="146"/>
      <c r="J140" s="136"/>
      <c r="K140" s="146"/>
      <c r="L140" s="134"/>
      <c r="M140" s="134"/>
      <c r="AP140" s="134"/>
      <c r="AQ140" s="134"/>
      <c r="AR140" s="134"/>
      <c r="AS140" s="134"/>
      <c r="AT140" s="134"/>
      <c r="AU140" s="136"/>
      <c r="AV140" s="136"/>
      <c r="AW140" s="136"/>
      <c r="AX140" s="70"/>
    </row>
    <row r="141" spans="2:50" x14ac:dyDescent="0.35">
      <c r="B141" s="66"/>
      <c r="C141" s="118"/>
      <c r="D141" s="349"/>
      <c r="E141" s="146"/>
      <c r="F141" s="136"/>
      <c r="G141" s="146"/>
      <c r="H141" s="349"/>
      <c r="I141" s="146"/>
      <c r="J141" s="136"/>
      <c r="K141" s="146"/>
      <c r="L141" s="134"/>
      <c r="M141" s="134"/>
      <c r="AP141" s="134"/>
      <c r="AQ141" s="134"/>
      <c r="AR141" s="134"/>
      <c r="AS141" s="134"/>
      <c r="AT141" s="134"/>
      <c r="AU141" s="136"/>
      <c r="AV141" s="136"/>
      <c r="AW141" s="136"/>
      <c r="AX141" s="70"/>
    </row>
    <row r="142" spans="2:50" x14ac:dyDescent="0.35">
      <c r="B142" s="66"/>
      <c r="C142" s="118"/>
      <c r="D142" s="349"/>
      <c r="E142" s="146"/>
      <c r="F142" s="136"/>
      <c r="G142" s="146"/>
      <c r="H142" s="349"/>
      <c r="I142" s="146"/>
      <c r="J142" s="136"/>
      <c r="K142" s="146"/>
      <c r="L142" s="134"/>
      <c r="M142" s="134"/>
      <c r="AP142" s="134"/>
      <c r="AQ142" s="134"/>
      <c r="AR142" s="134"/>
      <c r="AS142" s="134"/>
      <c r="AT142" s="134"/>
      <c r="AU142" s="136"/>
      <c r="AV142" s="136"/>
      <c r="AW142" s="136"/>
      <c r="AX142" s="70"/>
    </row>
    <row r="143" spans="2:50" x14ac:dyDescent="0.35">
      <c r="B143" s="66"/>
      <c r="C143" s="118"/>
      <c r="D143" s="349"/>
      <c r="E143" s="146"/>
      <c r="F143" s="136"/>
      <c r="G143" s="146"/>
      <c r="H143" s="349"/>
      <c r="I143" s="146"/>
      <c r="J143" s="136"/>
      <c r="K143" s="146"/>
      <c r="L143" s="134"/>
      <c r="M143" s="134"/>
      <c r="AP143" s="134"/>
      <c r="AQ143" s="134"/>
      <c r="AR143" s="134"/>
      <c r="AS143" s="134"/>
      <c r="AT143" s="134"/>
      <c r="AU143" s="136"/>
      <c r="AV143" s="136"/>
      <c r="AW143" s="136"/>
      <c r="AX143" s="70"/>
    </row>
    <row r="144" spans="2:50" x14ac:dyDescent="0.35">
      <c r="B144" s="66"/>
      <c r="C144" s="118"/>
      <c r="D144" s="349"/>
      <c r="E144" s="146"/>
      <c r="F144" s="136"/>
      <c r="G144" s="146"/>
      <c r="H144" s="349"/>
      <c r="I144" s="146"/>
      <c r="J144" s="136"/>
      <c r="K144" s="146"/>
      <c r="L144" s="134"/>
      <c r="M144" s="134"/>
      <c r="AP144" s="134"/>
      <c r="AQ144" s="134"/>
      <c r="AR144" s="134"/>
      <c r="AS144" s="134"/>
      <c r="AT144" s="134"/>
      <c r="AU144" s="136"/>
      <c r="AV144" s="136"/>
      <c r="AW144" s="136"/>
      <c r="AX144" s="70"/>
    </row>
    <row r="145" spans="2:50" x14ac:dyDescent="0.35">
      <c r="B145" s="66"/>
      <c r="C145" s="118"/>
      <c r="D145" s="349"/>
      <c r="E145" s="146"/>
      <c r="F145" s="136"/>
      <c r="G145" s="146"/>
      <c r="H145" s="349"/>
      <c r="I145" s="146"/>
      <c r="J145" s="136"/>
      <c r="K145" s="146"/>
      <c r="L145" s="134"/>
      <c r="M145" s="134"/>
      <c r="AP145" s="134"/>
      <c r="AQ145" s="134"/>
      <c r="AR145" s="134"/>
      <c r="AS145" s="134"/>
      <c r="AT145" s="134"/>
      <c r="AU145" s="136"/>
      <c r="AV145" s="136"/>
      <c r="AW145" s="136"/>
      <c r="AX145" s="70"/>
    </row>
    <row r="146" spans="2:50" x14ac:dyDescent="0.35">
      <c r="B146" s="66"/>
      <c r="C146" s="118"/>
      <c r="D146" s="349"/>
      <c r="E146" s="146"/>
      <c r="F146" s="136"/>
      <c r="G146" s="146"/>
      <c r="H146" s="349"/>
      <c r="I146" s="146"/>
      <c r="J146" s="136"/>
      <c r="K146" s="146"/>
      <c r="L146" s="134"/>
      <c r="M146" s="134"/>
      <c r="AP146" s="134"/>
      <c r="AQ146" s="134"/>
      <c r="AR146" s="134"/>
      <c r="AS146" s="134"/>
      <c r="AT146" s="134"/>
      <c r="AU146" s="136"/>
      <c r="AV146" s="136"/>
      <c r="AW146" s="136"/>
      <c r="AX146" s="70"/>
    </row>
    <row r="147" spans="2:50" x14ac:dyDescent="0.35">
      <c r="B147" s="66"/>
      <c r="C147" s="118"/>
      <c r="D147" s="349"/>
      <c r="E147" s="146"/>
      <c r="F147" s="136"/>
      <c r="G147" s="146"/>
      <c r="H147" s="349"/>
      <c r="I147" s="146"/>
      <c r="J147" s="136"/>
      <c r="K147" s="146"/>
      <c r="L147" s="134"/>
      <c r="M147" s="134"/>
      <c r="AP147" s="134"/>
      <c r="AQ147" s="134"/>
      <c r="AR147" s="134"/>
      <c r="AS147" s="134"/>
      <c r="AT147" s="134"/>
      <c r="AU147" s="136"/>
      <c r="AV147" s="136"/>
      <c r="AW147" s="136"/>
      <c r="AX147" s="70"/>
    </row>
    <row r="148" spans="2:50" x14ac:dyDescent="0.35">
      <c r="B148" s="66"/>
      <c r="C148" s="118"/>
      <c r="D148" s="349"/>
      <c r="E148" s="146"/>
      <c r="F148" s="136"/>
      <c r="G148" s="146"/>
      <c r="H148" s="349"/>
      <c r="I148" s="146"/>
      <c r="J148" s="136"/>
      <c r="K148" s="146"/>
      <c r="L148" s="134"/>
      <c r="M148" s="134"/>
      <c r="AP148" s="134"/>
      <c r="AQ148" s="134"/>
      <c r="AR148" s="134"/>
      <c r="AS148" s="134"/>
      <c r="AT148" s="134"/>
      <c r="AU148" s="136"/>
      <c r="AV148" s="136"/>
      <c r="AW148" s="136"/>
      <c r="AX148" s="70"/>
    </row>
    <row r="149" spans="2:50" x14ac:dyDescent="0.35">
      <c r="B149" s="66"/>
      <c r="C149" s="118"/>
      <c r="D149" s="349"/>
      <c r="E149" s="146"/>
      <c r="F149" s="136"/>
      <c r="G149" s="146"/>
      <c r="H149" s="349"/>
      <c r="I149" s="146"/>
      <c r="J149" s="136"/>
      <c r="K149" s="146"/>
      <c r="L149" s="134"/>
      <c r="M149" s="134"/>
      <c r="AP149" s="134"/>
      <c r="AQ149" s="134"/>
      <c r="AR149" s="134"/>
      <c r="AS149" s="134"/>
      <c r="AT149" s="134"/>
      <c r="AU149" s="136"/>
      <c r="AV149" s="136"/>
      <c r="AW149" s="136"/>
      <c r="AX149" s="70"/>
    </row>
    <row r="150" spans="2:50" x14ac:dyDescent="0.35">
      <c r="B150" s="66"/>
      <c r="C150" s="118"/>
      <c r="D150" s="349"/>
      <c r="E150" s="146"/>
      <c r="F150" s="136"/>
      <c r="G150" s="146"/>
      <c r="H150" s="349"/>
      <c r="I150" s="146"/>
      <c r="J150" s="136"/>
      <c r="K150" s="146"/>
      <c r="L150" s="134"/>
      <c r="M150" s="134"/>
      <c r="AP150" s="134"/>
      <c r="AQ150" s="134"/>
      <c r="AR150" s="134"/>
      <c r="AS150" s="134"/>
      <c r="AT150" s="134"/>
      <c r="AU150" s="136"/>
      <c r="AV150" s="136"/>
      <c r="AW150" s="136"/>
      <c r="AX150" s="70"/>
    </row>
    <row r="151" spans="2:50" x14ac:dyDescent="0.35">
      <c r="B151" s="66"/>
      <c r="C151" s="118"/>
      <c r="D151" s="349"/>
      <c r="E151" s="146"/>
      <c r="F151" s="136"/>
      <c r="G151" s="146"/>
      <c r="H151" s="349"/>
      <c r="I151" s="146"/>
      <c r="J151" s="136"/>
      <c r="K151" s="146"/>
      <c r="L151" s="134"/>
      <c r="M151" s="134"/>
      <c r="AP151" s="134"/>
      <c r="AQ151" s="134"/>
      <c r="AR151" s="134"/>
      <c r="AS151" s="134"/>
      <c r="AT151" s="134"/>
      <c r="AU151" s="136"/>
      <c r="AV151" s="136"/>
      <c r="AW151" s="136"/>
      <c r="AX151" s="70"/>
    </row>
    <row r="152" spans="2:50" x14ac:dyDescent="0.35">
      <c r="B152" s="66"/>
      <c r="C152" s="118"/>
      <c r="D152" s="349"/>
      <c r="E152" s="146"/>
      <c r="F152" s="136"/>
      <c r="G152" s="146"/>
      <c r="H152" s="349"/>
      <c r="I152" s="146"/>
      <c r="J152" s="136"/>
      <c r="K152" s="146"/>
      <c r="L152" s="134"/>
      <c r="M152" s="134"/>
      <c r="AP152" s="134"/>
      <c r="AQ152" s="134"/>
      <c r="AR152" s="134"/>
      <c r="AS152" s="134"/>
      <c r="AT152" s="134"/>
      <c r="AU152" s="136"/>
      <c r="AV152" s="136"/>
      <c r="AW152" s="136"/>
      <c r="AX152" s="70"/>
    </row>
    <row r="153" spans="2:50" x14ac:dyDescent="0.35">
      <c r="B153" s="66"/>
      <c r="C153" s="118"/>
      <c r="D153" s="349"/>
      <c r="E153" s="146"/>
      <c r="F153" s="136"/>
      <c r="G153" s="146"/>
      <c r="H153" s="349"/>
      <c r="I153" s="146"/>
      <c r="J153" s="136"/>
      <c r="K153" s="146"/>
      <c r="L153" s="134"/>
      <c r="M153" s="134"/>
      <c r="AP153" s="134"/>
      <c r="AQ153" s="134"/>
      <c r="AR153" s="134"/>
      <c r="AS153" s="134"/>
      <c r="AT153" s="134"/>
      <c r="AU153" s="136"/>
      <c r="AV153" s="136"/>
      <c r="AW153" s="136"/>
      <c r="AX153" s="70"/>
    </row>
    <row r="154" spans="2:50" x14ac:dyDescent="0.35">
      <c r="B154" s="66"/>
      <c r="C154" s="118"/>
      <c r="D154" s="349"/>
      <c r="E154" s="146"/>
      <c r="F154" s="136"/>
      <c r="G154" s="146"/>
      <c r="H154" s="349"/>
      <c r="I154" s="146"/>
      <c r="J154" s="136"/>
      <c r="K154" s="146"/>
      <c r="L154" s="134"/>
      <c r="M154" s="134"/>
      <c r="AP154" s="134"/>
      <c r="AQ154" s="134"/>
      <c r="AR154" s="134"/>
      <c r="AS154" s="134"/>
      <c r="AT154" s="134"/>
      <c r="AU154" s="136"/>
      <c r="AV154" s="136"/>
      <c r="AW154" s="136"/>
      <c r="AX154" s="70"/>
    </row>
    <row r="155" spans="2:50" x14ac:dyDescent="0.35">
      <c r="B155" s="66"/>
      <c r="C155" s="118"/>
      <c r="D155" s="349"/>
      <c r="E155" s="146"/>
      <c r="F155" s="136"/>
      <c r="G155" s="146"/>
      <c r="H155" s="349"/>
      <c r="I155" s="146"/>
      <c r="J155" s="136"/>
      <c r="K155" s="146"/>
      <c r="L155" s="134"/>
      <c r="M155" s="134"/>
      <c r="AP155" s="134"/>
      <c r="AQ155" s="134"/>
      <c r="AR155" s="134"/>
      <c r="AS155" s="134"/>
      <c r="AT155" s="134"/>
      <c r="AU155" s="136"/>
      <c r="AV155" s="136"/>
      <c r="AW155" s="136"/>
      <c r="AX155" s="70"/>
    </row>
    <row r="156" spans="2:50" x14ac:dyDescent="0.35">
      <c r="B156" s="66"/>
      <c r="C156" s="118"/>
      <c r="D156" s="349"/>
      <c r="E156" s="146"/>
      <c r="F156" s="136"/>
      <c r="G156" s="146"/>
      <c r="H156" s="349"/>
      <c r="I156" s="146"/>
      <c r="J156" s="136"/>
      <c r="K156" s="146"/>
      <c r="L156" s="134"/>
      <c r="M156" s="134"/>
      <c r="AP156" s="134"/>
      <c r="AQ156" s="134"/>
      <c r="AR156" s="134"/>
      <c r="AS156" s="134"/>
      <c r="AT156" s="134"/>
      <c r="AU156" s="136"/>
      <c r="AV156" s="136"/>
      <c r="AW156" s="136"/>
      <c r="AX156" s="70"/>
    </row>
    <row r="157" spans="2:50" x14ac:dyDescent="0.35">
      <c r="B157" s="66"/>
      <c r="C157" s="118"/>
      <c r="D157" s="349"/>
      <c r="E157" s="146"/>
      <c r="F157" s="136"/>
      <c r="G157" s="146"/>
      <c r="H157" s="349"/>
      <c r="I157" s="146"/>
      <c r="J157" s="136"/>
      <c r="K157" s="146"/>
      <c r="L157" s="134"/>
      <c r="M157" s="134"/>
      <c r="AP157" s="134"/>
      <c r="AQ157" s="134"/>
      <c r="AR157" s="134"/>
      <c r="AS157" s="134"/>
      <c r="AT157" s="134"/>
      <c r="AU157" s="136"/>
      <c r="AV157" s="136"/>
      <c r="AW157" s="136"/>
      <c r="AX157" s="70"/>
    </row>
    <row r="158" spans="2:50" x14ac:dyDescent="0.35">
      <c r="B158" s="66"/>
      <c r="C158" s="118"/>
      <c r="D158" s="349"/>
      <c r="E158" s="146"/>
      <c r="F158" s="136"/>
      <c r="G158" s="146"/>
      <c r="H158" s="349"/>
      <c r="I158" s="146"/>
      <c r="J158" s="136"/>
      <c r="K158" s="146"/>
      <c r="L158" s="134"/>
      <c r="M158" s="134"/>
      <c r="AP158" s="134"/>
      <c r="AQ158" s="134"/>
      <c r="AR158" s="134"/>
      <c r="AS158" s="134"/>
      <c r="AT158" s="134"/>
      <c r="AU158" s="136"/>
      <c r="AV158" s="136"/>
      <c r="AW158" s="136"/>
      <c r="AX158" s="70"/>
    </row>
    <row r="159" spans="2:50" x14ac:dyDescent="0.35">
      <c r="B159" s="66"/>
      <c r="C159" s="118"/>
      <c r="D159" s="349"/>
      <c r="E159" s="146"/>
      <c r="F159" s="136"/>
      <c r="G159" s="146"/>
      <c r="H159" s="349"/>
      <c r="I159" s="146"/>
      <c r="J159" s="136"/>
      <c r="K159" s="146"/>
      <c r="L159" s="134"/>
      <c r="M159" s="134"/>
      <c r="AP159" s="134"/>
      <c r="AQ159" s="134"/>
      <c r="AR159" s="134"/>
      <c r="AS159" s="134"/>
      <c r="AT159" s="134"/>
      <c r="AU159" s="136"/>
      <c r="AV159" s="136"/>
      <c r="AW159" s="136"/>
      <c r="AX159" s="70"/>
    </row>
    <row r="160" spans="2:50" x14ac:dyDescent="0.35">
      <c r="B160" s="66"/>
      <c r="C160" s="118"/>
      <c r="D160" s="349"/>
      <c r="E160" s="146"/>
      <c r="F160" s="136"/>
      <c r="G160" s="146"/>
      <c r="H160" s="349"/>
      <c r="I160" s="146"/>
      <c r="J160" s="136"/>
      <c r="K160" s="146"/>
      <c r="L160" s="134"/>
      <c r="M160" s="134"/>
      <c r="AP160" s="134"/>
      <c r="AQ160" s="134"/>
      <c r="AR160" s="134"/>
      <c r="AS160" s="134"/>
      <c r="AT160" s="134"/>
      <c r="AU160" s="136"/>
      <c r="AV160" s="136"/>
      <c r="AW160" s="136"/>
      <c r="AX160" s="70"/>
    </row>
    <row r="161" spans="2:50" x14ac:dyDescent="0.35">
      <c r="B161" s="66"/>
      <c r="C161" s="118"/>
      <c r="D161" s="349"/>
      <c r="E161" s="146"/>
      <c r="F161" s="136"/>
      <c r="G161" s="146"/>
      <c r="H161" s="349"/>
      <c r="I161" s="146"/>
      <c r="J161" s="136"/>
      <c r="K161" s="146"/>
      <c r="L161" s="134"/>
      <c r="M161" s="134"/>
      <c r="AP161" s="134"/>
      <c r="AQ161" s="134"/>
      <c r="AR161" s="134"/>
      <c r="AS161" s="134"/>
      <c r="AT161" s="134"/>
      <c r="AU161" s="136"/>
      <c r="AV161" s="136"/>
      <c r="AW161" s="136"/>
      <c r="AX161" s="70"/>
    </row>
    <row r="162" spans="2:50" x14ac:dyDescent="0.35">
      <c r="B162" s="66"/>
      <c r="C162" s="118"/>
      <c r="D162" s="349"/>
      <c r="E162" s="146"/>
      <c r="F162" s="136"/>
      <c r="G162" s="146"/>
      <c r="H162" s="349"/>
      <c r="I162" s="146"/>
      <c r="J162" s="136"/>
      <c r="K162" s="146"/>
      <c r="L162" s="134"/>
      <c r="M162" s="134"/>
      <c r="AP162" s="134"/>
      <c r="AQ162" s="134"/>
      <c r="AR162" s="134"/>
      <c r="AS162" s="134"/>
      <c r="AT162" s="134"/>
      <c r="AU162" s="136"/>
      <c r="AV162" s="136"/>
      <c r="AW162" s="136"/>
      <c r="AX162" s="70"/>
    </row>
    <row r="163" spans="2:50" x14ac:dyDescent="0.35">
      <c r="B163" s="66"/>
      <c r="C163" s="118"/>
      <c r="D163" s="349"/>
      <c r="E163" s="146"/>
      <c r="F163" s="136"/>
      <c r="G163" s="146"/>
      <c r="H163" s="349"/>
      <c r="I163" s="146"/>
      <c r="J163" s="136"/>
      <c r="K163" s="146"/>
      <c r="L163" s="134"/>
      <c r="M163" s="134"/>
      <c r="AP163" s="134"/>
      <c r="AQ163" s="134"/>
      <c r="AR163" s="134"/>
      <c r="AS163" s="134"/>
      <c r="AT163" s="134"/>
      <c r="AU163" s="136"/>
      <c r="AV163" s="136"/>
      <c r="AW163" s="136"/>
      <c r="AX163" s="70"/>
    </row>
    <row r="164" spans="2:50" x14ac:dyDescent="0.35">
      <c r="B164" s="66"/>
      <c r="C164" s="118"/>
      <c r="D164" s="349"/>
      <c r="E164" s="146"/>
      <c r="F164" s="136"/>
      <c r="G164" s="146"/>
      <c r="H164" s="349"/>
      <c r="I164" s="146"/>
      <c r="J164" s="136"/>
      <c r="K164" s="146"/>
      <c r="L164" s="134"/>
      <c r="M164" s="134"/>
      <c r="AP164" s="134"/>
      <c r="AQ164" s="134"/>
      <c r="AR164" s="134"/>
      <c r="AS164" s="134"/>
      <c r="AT164" s="134"/>
      <c r="AU164" s="136"/>
      <c r="AV164" s="136"/>
      <c r="AW164" s="136"/>
      <c r="AX164" s="70"/>
    </row>
    <row r="165" spans="2:50" x14ac:dyDescent="0.35">
      <c r="B165" s="66"/>
      <c r="C165" s="118"/>
      <c r="D165" s="349"/>
      <c r="E165" s="146"/>
      <c r="F165" s="136"/>
      <c r="G165" s="146"/>
      <c r="H165" s="349"/>
      <c r="I165" s="146"/>
      <c r="J165" s="136"/>
      <c r="K165" s="146"/>
      <c r="L165" s="134"/>
      <c r="M165" s="134"/>
      <c r="AP165" s="134"/>
      <c r="AQ165" s="134"/>
      <c r="AR165" s="134"/>
      <c r="AS165" s="134"/>
      <c r="AT165" s="134"/>
      <c r="AU165" s="136"/>
      <c r="AV165" s="136"/>
      <c r="AW165" s="136"/>
      <c r="AX165" s="70"/>
    </row>
    <row r="166" spans="2:50" x14ac:dyDescent="0.35">
      <c r="B166" s="66"/>
      <c r="C166" s="118"/>
      <c r="D166" s="349"/>
      <c r="E166" s="146"/>
      <c r="F166" s="136"/>
      <c r="G166" s="146"/>
      <c r="H166" s="349"/>
      <c r="I166" s="146"/>
      <c r="J166" s="136"/>
      <c r="K166" s="146"/>
      <c r="L166" s="134"/>
      <c r="M166" s="134"/>
      <c r="AP166" s="134"/>
      <c r="AQ166" s="134"/>
      <c r="AR166" s="134"/>
      <c r="AS166" s="134"/>
      <c r="AT166" s="134"/>
      <c r="AU166" s="136"/>
      <c r="AV166" s="136"/>
      <c r="AW166" s="136"/>
      <c r="AX166" s="70"/>
    </row>
    <row r="167" spans="2:50" x14ac:dyDescent="0.35">
      <c r="B167" s="66"/>
      <c r="C167" s="118"/>
      <c r="D167" s="349"/>
      <c r="E167" s="146"/>
      <c r="F167" s="136"/>
      <c r="G167" s="146"/>
      <c r="H167" s="349"/>
      <c r="I167" s="146"/>
      <c r="J167" s="136"/>
      <c r="K167" s="146"/>
      <c r="L167" s="134"/>
      <c r="M167" s="134"/>
      <c r="AP167" s="134"/>
      <c r="AQ167" s="134"/>
      <c r="AR167" s="134"/>
      <c r="AS167" s="134"/>
      <c r="AT167" s="134"/>
      <c r="AU167" s="136"/>
      <c r="AV167" s="136"/>
      <c r="AW167" s="136"/>
      <c r="AX167" s="70"/>
    </row>
    <row r="168" spans="2:50" x14ac:dyDescent="0.35">
      <c r="B168" s="66"/>
      <c r="C168" s="118"/>
      <c r="D168" s="349"/>
      <c r="E168" s="146"/>
      <c r="F168" s="136"/>
      <c r="G168" s="146"/>
      <c r="H168" s="349"/>
      <c r="I168" s="146"/>
      <c r="J168" s="136"/>
      <c r="K168" s="146"/>
      <c r="L168" s="134"/>
      <c r="M168" s="134"/>
      <c r="AP168" s="134"/>
      <c r="AQ168" s="134"/>
      <c r="AR168" s="134"/>
      <c r="AS168" s="134"/>
      <c r="AT168" s="134"/>
      <c r="AU168" s="136"/>
      <c r="AV168" s="136"/>
      <c r="AW168" s="136"/>
      <c r="AX168" s="70"/>
    </row>
    <row r="169" spans="2:50" x14ac:dyDescent="0.35">
      <c r="B169" s="66"/>
      <c r="C169" s="118"/>
      <c r="D169" s="349"/>
      <c r="E169" s="146"/>
      <c r="F169" s="136"/>
      <c r="G169" s="146"/>
      <c r="H169" s="349"/>
      <c r="I169" s="146"/>
      <c r="J169" s="136"/>
      <c r="K169" s="146"/>
      <c r="L169" s="134"/>
      <c r="M169" s="134"/>
      <c r="AP169" s="134"/>
      <c r="AQ169" s="134"/>
      <c r="AR169" s="134"/>
      <c r="AS169" s="134"/>
      <c r="AT169" s="134"/>
      <c r="AU169" s="136"/>
      <c r="AV169" s="136"/>
      <c r="AW169" s="136"/>
      <c r="AX169" s="70"/>
    </row>
    <row r="170" spans="2:50" ht="21.75" customHeight="1" x14ac:dyDescent="0.35">
      <c r="B170" s="66"/>
      <c r="C170" s="118"/>
      <c r="D170" s="146"/>
      <c r="E170" s="146"/>
      <c r="F170" s="70"/>
      <c r="G170" s="146"/>
      <c r="H170" s="70"/>
      <c r="I170" s="146"/>
      <c r="J170" s="70"/>
      <c r="K170" s="66"/>
      <c r="L170" s="149"/>
      <c r="M170" s="149"/>
      <c r="U170" s="149"/>
      <c r="V170" s="149"/>
      <c r="W170" s="149"/>
      <c r="X170" s="149"/>
      <c r="Y170" s="149"/>
      <c r="Z170" s="149"/>
      <c r="AA170" s="149"/>
      <c r="AB170" s="149"/>
      <c r="AP170" s="134"/>
      <c r="AQ170" s="134"/>
      <c r="AR170" s="134"/>
      <c r="AS170" s="134"/>
      <c r="AT170" s="134"/>
      <c r="AU170" s="136"/>
      <c r="AV170" s="136"/>
      <c r="AW170" s="136"/>
    </row>
    <row r="171" spans="2:50" ht="21.75" customHeight="1" x14ac:dyDescent="0.35">
      <c r="B171" s="66"/>
      <c r="C171" s="118"/>
      <c r="D171" s="146"/>
      <c r="E171" s="146"/>
      <c r="F171" s="70"/>
      <c r="G171" s="146"/>
      <c r="H171" s="70"/>
      <c r="I171" s="146"/>
      <c r="J171" s="70"/>
      <c r="K171" s="66"/>
      <c r="L171" s="149"/>
      <c r="M171" s="149"/>
      <c r="U171" s="149"/>
      <c r="V171" s="149"/>
      <c r="W171" s="149"/>
      <c r="X171" s="149"/>
      <c r="Y171" s="149"/>
      <c r="Z171" s="149"/>
      <c r="AA171" s="149"/>
      <c r="AB171" s="149"/>
      <c r="AP171" s="134"/>
      <c r="AQ171" s="134"/>
      <c r="AR171" s="134"/>
      <c r="AS171" s="134"/>
      <c r="AT171" s="134"/>
      <c r="AU171" s="136"/>
      <c r="AV171" s="136"/>
      <c r="AW171" s="136"/>
    </row>
    <row r="172" spans="2:50" ht="21.75" customHeight="1" x14ac:dyDescent="0.35">
      <c r="B172" s="66"/>
      <c r="C172" s="118"/>
      <c r="D172" s="146"/>
      <c r="E172" s="146"/>
      <c r="F172" s="70"/>
      <c r="G172" s="146"/>
      <c r="H172" s="70"/>
      <c r="I172" s="146"/>
      <c r="J172" s="70"/>
      <c r="K172" s="66"/>
      <c r="L172" s="149"/>
      <c r="M172" s="149"/>
      <c r="U172" s="149"/>
      <c r="V172" s="149"/>
      <c r="W172" s="149"/>
      <c r="X172" s="149"/>
      <c r="Y172" s="149"/>
      <c r="Z172" s="149"/>
      <c r="AA172" s="149"/>
      <c r="AB172" s="149"/>
      <c r="AP172" s="134"/>
      <c r="AQ172" s="134"/>
      <c r="AR172" s="134"/>
      <c r="AS172" s="134"/>
      <c r="AT172" s="134"/>
      <c r="AU172" s="136"/>
      <c r="AV172" s="136"/>
      <c r="AW172" s="136"/>
    </row>
    <row r="173" spans="2:50" ht="21.75" customHeight="1" x14ac:dyDescent="0.35">
      <c r="B173" s="66"/>
      <c r="C173" s="118"/>
      <c r="D173" s="146"/>
      <c r="E173" s="146"/>
      <c r="F173" s="70"/>
      <c r="G173" s="146"/>
      <c r="H173" s="70"/>
      <c r="I173" s="146"/>
      <c r="J173" s="70"/>
      <c r="K173" s="66"/>
      <c r="L173" s="149"/>
      <c r="M173" s="149"/>
      <c r="U173" s="149"/>
      <c r="V173" s="149"/>
      <c r="W173" s="149"/>
      <c r="X173" s="149"/>
      <c r="Y173" s="149"/>
      <c r="Z173" s="149"/>
      <c r="AA173" s="149"/>
      <c r="AB173" s="149"/>
      <c r="AP173" s="134"/>
      <c r="AQ173" s="134"/>
      <c r="AR173" s="134"/>
      <c r="AS173" s="134"/>
      <c r="AT173" s="134"/>
      <c r="AU173" s="136"/>
      <c r="AV173" s="136"/>
      <c r="AW173" s="136"/>
    </row>
    <row r="174" spans="2:50" ht="21.75" customHeight="1" x14ac:dyDescent="0.35">
      <c r="B174" s="66"/>
      <c r="C174" s="118"/>
      <c r="D174" s="146"/>
      <c r="E174" s="146"/>
      <c r="F174" s="70"/>
      <c r="G174" s="146"/>
      <c r="H174" s="70"/>
      <c r="I174" s="146"/>
      <c r="J174" s="70"/>
      <c r="K174" s="66"/>
      <c r="L174" s="149"/>
      <c r="M174" s="149"/>
      <c r="U174" s="149"/>
      <c r="V174" s="149"/>
      <c r="W174" s="149"/>
      <c r="X174" s="149"/>
      <c r="Y174" s="149"/>
      <c r="Z174" s="149"/>
      <c r="AA174" s="149"/>
      <c r="AB174" s="149"/>
      <c r="AP174" s="134"/>
      <c r="AQ174" s="134"/>
      <c r="AR174" s="134"/>
      <c r="AS174" s="134"/>
      <c r="AT174" s="134"/>
      <c r="AU174" s="136"/>
      <c r="AV174" s="136"/>
      <c r="AW174" s="136"/>
    </row>
    <row r="175" spans="2:50" ht="21.75" customHeight="1" x14ac:dyDescent="0.35">
      <c r="B175" s="66"/>
      <c r="C175" s="118"/>
      <c r="D175" s="146"/>
      <c r="E175" s="146"/>
      <c r="F175" s="70"/>
      <c r="G175" s="146"/>
      <c r="H175" s="70"/>
      <c r="I175" s="146"/>
      <c r="J175" s="70"/>
      <c r="K175" s="66"/>
      <c r="L175" s="149"/>
      <c r="M175" s="149"/>
      <c r="U175" s="149"/>
      <c r="V175" s="149"/>
      <c r="W175" s="149"/>
      <c r="X175" s="149"/>
      <c r="Y175" s="149"/>
      <c r="Z175" s="149"/>
      <c r="AA175" s="149"/>
      <c r="AB175" s="149"/>
      <c r="AP175" s="134"/>
      <c r="AQ175" s="134"/>
      <c r="AR175" s="134"/>
      <c r="AS175" s="134"/>
      <c r="AT175" s="134"/>
      <c r="AU175" s="136"/>
      <c r="AV175" s="136"/>
      <c r="AW175" s="136"/>
    </row>
    <row r="176" spans="2:50" ht="21.75" customHeight="1" x14ac:dyDescent="0.35">
      <c r="B176" s="66"/>
      <c r="C176" s="118"/>
      <c r="D176" s="146"/>
      <c r="E176" s="146"/>
      <c r="F176" s="70"/>
      <c r="G176" s="146"/>
      <c r="H176" s="70"/>
      <c r="I176" s="146"/>
      <c r="J176" s="70"/>
      <c r="K176" s="66"/>
      <c r="L176" s="149"/>
      <c r="M176" s="149"/>
      <c r="U176" s="149"/>
      <c r="V176" s="149"/>
      <c r="W176" s="149"/>
      <c r="X176" s="149"/>
      <c r="Y176" s="149"/>
      <c r="Z176" s="149"/>
      <c r="AA176" s="149"/>
      <c r="AB176" s="149"/>
      <c r="AP176" s="134"/>
      <c r="AQ176" s="134"/>
      <c r="AR176" s="134"/>
      <c r="AS176" s="134"/>
      <c r="AT176" s="134"/>
      <c r="AU176" s="136"/>
      <c r="AV176" s="136"/>
      <c r="AW176" s="136"/>
    </row>
    <row r="177" spans="2:49" ht="21.75" customHeight="1" x14ac:dyDescent="0.35">
      <c r="B177" s="66"/>
      <c r="C177" s="118"/>
      <c r="D177" s="146"/>
      <c r="E177" s="146"/>
      <c r="F177" s="70"/>
      <c r="G177" s="146"/>
      <c r="H177" s="70"/>
      <c r="I177" s="146"/>
      <c r="J177" s="70"/>
      <c r="K177" s="66"/>
      <c r="L177" s="149"/>
      <c r="M177" s="149"/>
      <c r="U177" s="149"/>
      <c r="V177" s="149"/>
      <c r="W177" s="149"/>
      <c r="X177" s="149"/>
      <c r="Y177" s="149"/>
      <c r="Z177" s="149"/>
      <c r="AA177" s="149"/>
      <c r="AB177" s="149"/>
      <c r="AP177" s="134"/>
      <c r="AQ177" s="134"/>
      <c r="AR177" s="134"/>
      <c r="AS177" s="134"/>
      <c r="AT177" s="134"/>
      <c r="AU177" s="136"/>
      <c r="AV177" s="136"/>
      <c r="AW177" s="136"/>
    </row>
    <row r="178" spans="2:49" ht="21.75" customHeight="1" x14ac:dyDescent="0.35">
      <c r="B178" s="66"/>
      <c r="C178" s="118"/>
      <c r="D178" s="146"/>
      <c r="E178" s="146"/>
      <c r="F178" s="70"/>
      <c r="G178" s="146"/>
      <c r="H178" s="70"/>
      <c r="I178" s="146"/>
      <c r="J178" s="70"/>
      <c r="K178" s="66"/>
      <c r="L178" s="149"/>
      <c r="M178" s="149"/>
      <c r="U178" s="149"/>
      <c r="V178" s="149"/>
      <c r="W178" s="149"/>
      <c r="X178" s="149"/>
      <c r="Y178" s="149"/>
      <c r="Z178" s="149"/>
      <c r="AA178" s="149"/>
      <c r="AB178" s="149"/>
      <c r="AP178" s="134"/>
      <c r="AQ178" s="134"/>
      <c r="AR178" s="134"/>
      <c r="AS178" s="134"/>
      <c r="AT178" s="134"/>
      <c r="AU178" s="136"/>
      <c r="AV178" s="136"/>
      <c r="AW178" s="136"/>
    </row>
    <row r="179" spans="2:49" ht="21.75" customHeight="1" x14ac:dyDescent="0.35">
      <c r="B179" s="66"/>
      <c r="C179" s="118"/>
      <c r="D179" s="146"/>
      <c r="E179" s="146"/>
      <c r="F179" s="70"/>
      <c r="G179" s="146"/>
      <c r="H179" s="70"/>
      <c r="I179" s="146"/>
      <c r="J179" s="70"/>
      <c r="K179" s="66"/>
      <c r="L179" s="149"/>
      <c r="M179" s="149"/>
      <c r="U179" s="149"/>
      <c r="V179" s="149"/>
      <c r="W179" s="149"/>
      <c r="X179" s="149"/>
      <c r="Y179" s="149"/>
      <c r="Z179" s="149"/>
      <c r="AA179" s="149"/>
      <c r="AB179" s="149"/>
      <c r="AP179" s="134"/>
      <c r="AQ179" s="134"/>
      <c r="AR179" s="134"/>
      <c r="AS179" s="134"/>
      <c r="AT179" s="134"/>
      <c r="AU179" s="136"/>
      <c r="AV179" s="136"/>
      <c r="AW179" s="136"/>
    </row>
    <row r="180" spans="2:49" ht="21.75" customHeight="1" x14ac:dyDescent="0.35">
      <c r="B180" s="66"/>
      <c r="C180" s="118"/>
      <c r="D180" s="146"/>
      <c r="E180" s="146"/>
      <c r="F180" s="70"/>
      <c r="G180" s="146"/>
      <c r="H180" s="70"/>
      <c r="I180" s="146"/>
      <c r="J180" s="70"/>
      <c r="K180" s="66"/>
      <c r="L180" s="149"/>
      <c r="M180" s="149"/>
      <c r="U180" s="149"/>
      <c r="V180" s="149"/>
      <c r="W180" s="149"/>
      <c r="X180" s="149"/>
      <c r="Y180" s="149"/>
      <c r="Z180" s="149"/>
      <c r="AA180" s="149"/>
      <c r="AB180" s="149"/>
      <c r="AP180" s="134"/>
      <c r="AQ180" s="134"/>
      <c r="AR180" s="134"/>
      <c r="AS180" s="134"/>
      <c r="AT180" s="134"/>
      <c r="AU180" s="136"/>
      <c r="AV180" s="136"/>
      <c r="AW180" s="136"/>
    </row>
    <row r="181" spans="2:49" ht="21.75" customHeight="1" x14ac:dyDescent="0.35">
      <c r="B181" s="66"/>
      <c r="C181" s="118"/>
      <c r="D181" s="146"/>
      <c r="E181" s="146"/>
      <c r="F181" s="70"/>
      <c r="G181" s="146"/>
      <c r="H181" s="70"/>
      <c r="I181" s="146"/>
      <c r="J181" s="70"/>
      <c r="K181" s="66"/>
      <c r="L181" s="149"/>
      <c r="M181" s="149"/>
      <c r="U181" s="149"/>
      <c r="V181" s="149"/>
      <c r="W181" s="149"/>
      <c r="X181" s="149"/>
      <c r="Y181" s="149"/>
      <c r="Z181" s="149"/>
      <c r="AA181" s="149"/>
      <c r="AB181" s="149"/>
      <c r="AP181" s="134"/>
      <c r="AQ181" s="134"/>
      <c r="AR181" s="134"/>
      <c r="AS181" s="134"/>
      <c r="AT181" s="134"/>
      <c r="AU181" s="136"/>
      <c r="AV181" s="136"/>
      <c r="AW181" s="136"/>
    </row>
    <row r="182" spans="2:49" ht="21.75" customHeight="1" x14ac:dyDescent="0.35">
      <c r="B182" s="66"/>
      <c r="C182" s="118"/>
      <c r="D182" s="146"/>
      <c r="E182" s="146"/>
      <c r="F182" s="70"/>
      <c r="G182" s="146"/>
      <c r="H182" s="70"/>
      <c r="I182" s="146"/>
      <c r="J182" s="70"/>
      <c r="K182" s="66"/>
      <c r="L182" s="149"/>
      <c r="M182" s="149"/>
      <c r="U182" s="149"/>
      <c r="V182" s="149"/>
      <c r="W182" s="149"/>
      <c r="X182" s="149"/>
      <c r="Y182" s="149"/>
      <c r="Z182" s="149"/>
      <c r="AA182" s="149"/>
      <c r="AB182" s="149"/>
      <c r="AP182" s="134"/>
      <c r="AQ182" s="134"/>
      <c r="AR182" s="134"/>
      <c r="AS182" s="134"/>
      <c r="AT182" s="134"/>
      <c r="AU182" s="136"/>
      <c r="AV182" s="136"/>
      <c r="AW182" s="136"/>
    </row>
    <row r="183" spans="2:49" ht="21.75" customHeight="1" x14ac:dyDescent="0.35">
      <c r="B183" s="66"/>
      <c r="C183" s="118"/>
      <c r="D183" s="146"/>
      <c r="E183" s="146"/>
      <c r="F183" s="70"/>
      <c r="G183" s="146"/>
      <c r="H183" s="70"/>
      <c r="I183" s="146"/>
      <c r="J183" s="70"/>
      <c r="K183" s="66"/>
      <c r="L183" s="149"/>
      <c r="M183" s="149"/>
      <c r="U183" s="149"/>
      <c r="V183" s="149"/>
      <c r="W183" s="149"/>
      <c r="X183" s="149"/>
      <c r="Y183" s="149"/>
      <c r="Z183" s="149"/>
      <c r="AA183" s="149"/>
      <c r="AB183" s="149"/>
      <c r="AP183" s="134"/>
      <c r="AQ183" s="134"/>
      <c r="AR183" s="134"/>
      <c r="AS183" s="134"/>
      <c r="AT183" s="134"/>
      <c r="AU183" s="136"/>
      <c r="AV183" s="136"/>
      <c r="AW183" s="136"/>
    </row>
    <row r="184" spans="2:49" ht="21.75" customHeight="1" x14ac:dyDescent="0.35">
      <c r="B184" s="66"/>
      <c r="C184" s="118"/>
      <c r="D184" s="146"/>
      <c r="E184" s="146"/>
      <c r="F184" s="70"/>
      <c r="G184" s="146"/>
      <c r="H184" s="70"/>
      <c r="I184" s="146"/>
      <c r="J184" s="70"/>
      <c r="K184" s="66"/>
      <c r="L184" s="149"/>
      <c r="M184" s="149"/>
      <c r="U184" s="149"/>
      <c r="V184" s="149"/>
      <c r="W184" s="149"/>
      <c r="X184" s="149"/>
      <c r="Y184" s="149"/>
      <c r="Z184" s="149"/>
      <c r="AA184" s="149"/>
      <c r="AB184" s="149"/>
      <c r="AP184" s="134"/>
      <c r="AQ184" s="134"/>
      <c r="AR184" s="134"/>
      <c r="AS184" s="134"/>
      <c r="AT184" s="134"/>
      <c r="AU184" s="136"/>
      <c r="AV184" s="136"/>
      <c r="AW184" s="136"/>
    </row>
    <row r="185" spans="2:49" ht="21.75" customHeight="1" x14ac:dyDescent="0.35">
      <c r="B185" s="66"/>
      <c r="C185" s="118"/>
      <c r="D185" s="146"/>
      <c r="E185" s="146"/>
      <c r="F185" s="70"/>
      <c r="G185" s="146"/>
      <c r="H185" s="70"/>
      <c r="I185" s="146"/>
      <c r="J185" s="70"/>
      <c r="K185" s="66"/>
      <c r="L185" s="149"/>
      <c r="M185" s="149"/>
      <c r="U185" s="149"/>
      <c r="V185" s="149"/>
      <c r="W185" s="149"/>
      <c r="X185" s="149"/>
      <c r="Y185" s="149"/>
      <c r="Z185" s="149"/>
      <c r="AA185" s="149"/>
      <c r="AB185" s="149"/>
      <c r="AP185" s="134"/>
      <c r="AQ185" s="134"/>
      <c r="AR185" s="134"/>
      <c r="AS185" s="134"/>
      <c r="AT185" s="134"/>
      <c r="AU185" s="136"/>
      <c r="AV185" s="136"/>
      <c r="AW185" s="136"/>
    </row>
    <row r="186" spans="2:49" ht="21.75" customHeight="1" x14ac:dyDescent="0.35">
      <c r="B186" s="66"/>
      <c r="C186" s="118"/>
      <c r="D186" s="146"/>
      <c r="E186" s="146"/>
      <c r="F186" s="70"/>
      <c r="G186" s="146"/>
      <c r="H186" s="70"/>
      <c r="I186" s="146"/>
      <c r="J186" s="70"/>
      <c r="K186" s="66"/>
      <c r="L186" s="149"/>
      <c r="M186" s="149"/>
      <c r="U186" s="149"/>
      <c r="V186" s="149"/>
      <c r="W186" s="149"/>
      <c r="X186" s="149"/>
      <c r="Y186" s="149"/>
      <c r="Z186" s="149"/>
      <c r="AA186" s="149"/>
      <c r="AB186" s="149"/>
      <c r="AP186" s="134"/>
      <c r="AQ186" s="134"/>
      <c r="AR186" s="134"/>
      <c r="AS186" s="134"/>
      <c r="AT186" s="134"/>
      <c r="AU186" s="136"/>
      <c r="AV186" s="136"/>
      <c r="AW186" s="136"/>
    </row>
    <row r="187" spans="2:49" ht="21.75" customHeight="1" x14ac:dyDescent="0.35">
      <c r="B187" s="66"/>
      <c r="C187" s="118"/>
      <c r="D187" s="146"/>
      <c r="E187" s="146"/>
      <c r="F187" s="70"/>
      <c r="G187" s="146"/>
      <c r="H187" s="70"/>
      <c r="I187" s="146"/>
      <c r="J187" s="70"/>
      <c r="K187" s="66"/>
      <c r="L187" s="149"/>
      <c r="M187" s="149"/>
      <c r="U187" s="149"/>
      <c r="V187" s="149"/>
      <c r="W187" s="149"/>
      <c r="X187" s="149"/>
      <c r="Y187" s="149"/>
      <c r="Z187" s="149"/>
      <c r="AA187" s="149"/>
      <c r="AB187" s="149"/>
      <c r="AP187" s="134"/>
      <c r="AQ187" s="134"/>
      <c r="AR187" s="134"/>
      <c r="AS187" s="134"/>
      <c r="AT187" s="134"/>
      <c r="AU187" s="136"/>
      <c r="AV187" s="136"/>
      <c r="AW187" s="136"/>
    </row>
    <row r="188" spans="2:49" ht="21.75" customHeight="1" x14ac:dyDescent="0.35">
      <c r="B188" s="66"/>
      <c r="C188" s="118"/>
      <c r="D188" s="146"/>
      <c r="E188" s="146"/>
      <c r="F188" s="70"/>
      <c r="G188" s="146"/>
      <c r="H188" s="70"/>
      <c r="I188" s="146"/>
      <c r="J188" s="70"/>
      <c r="K188" s="66"/>
      <c r="L188" s="149"/>
      <c r="M188" s="149"/>
      <c r="U188" s="149"/>
      <c r="V188" s="149"/>
      <c r="W188" s="149"/>
      <c r="X188" s="149"/>
      <c r="Y188" s="149"/>
      <c r="Z188" s="149"/>
      <c r="AA188" s="149"/>
      <c r="AB188" s="149"/>
      <c r="AP188" s="134"/>
      <c r="AQ188" s="134"/>
      <c r="AR188" s="134"/>
      <c r="AS188" s="134"/>
      <c r="AT188" s="134"/>
      <c r="AU188" s="136"/>
      <c r="AV188" s="136"/>
      <c r="AW188" s="136"/>
    </row>
    <row r="189" spans="2:49" ht="21.75" customHeight="1" x14ac:dyDescent="0.35">
      <c r="B189" s="66"/>
      <c r="C189" s="118"/>
      <c r="D189" s="146"/>
      <c r="E189" s="146"/>
      <c r="F189" s="70"/>
      <c r="G189" s="146"/>
      <c r="H189" s="70"/>
      <c r="I189" s="146"/>
      <c r="J189" s="70"/>
      <c r="K189" s="66"/>
      <c r="L189" s="149"/>
      <c r="M189" s="149"/>
      <c r="U189" s="149"/>
      <c r="V189" s="149"/>
      <c r="W189" s="149"/>
      <c r="X189" s="149"/>
      <c r="Y189" s="149"/>
      <c r="Z189" s="149"/>
      <c r="AA189" s="149"/>
      <c r="AB189" s="149"/>
      <c r="AP189" s="134"/>
      <c r="AQ189" s="134"/>
      <c r="AR189" s="134"/>
      <c r="AS189" s="134"/>
      <c r="AT189" s="134"/>
      <c r="AU189" s="136"/>
      <c r="AV189" s="136"/>
      <c r="AW189" s="136"/>
    </row>
    <row r="190" spans="2:49" ht="21.75" customHeight="1" x14ac:dyDescent="0.35">
      <c r="B190" s="66"/>
      <c r="C190" s="118"/>
      <c r="D190" s="146"/>
      <c r="E190" s="146"/>
      <c r="F190" s="70"/>
      <c r="G190" s="146"/>
      <c r="H190" s="70"/>
      <c r="I190" s="146"/>
      <c r="J190" s="70"/>
      <c r="K190" s="66"/>
      <c r="L190" s="149"/>
      <c r="M190" s="149"/>
      <c r="U190" s="149"/>
      <c r="V190" s="149"/>
      <c r="W190" s="149"/>
      <c r="X190" s="149"/>
      <c r="Y190" s="149"/>
      <c r="Z190" s="149"/>
      <c r="AA190" s="149"/>
      <c r="AB190" s="149"/>
      <c r="AP190" s="134"/>
      <c r="AQ190" s="134"/>
      <c r="AR190" s="134"/>
      <c r="AS190" s="134"/>
      <c r="AT190" s="134"/>
      <c r="AU190" s="136"/>
      <c r="AV190" s="136"/>
      <c r="AW190" s="136"/>
    </row>
    <row r="191" spans="2:49" ht="21.75" customHeight="1" x14ac:dyDescent="0.35">
      <c r="B191" s="66"/>
      <c r="C191" s="118"/>
      <c r="D191" s="146"/>
      <c r="E191" s="146"/>
      <c r="F191" s="70"/>
      <c r="G191" s="146"/>
      <c r="H191" s="70"/>
      <c r="I191" s="146"/>
      <c r="J191" s="70"/>
      <c r="K191" s="66"/>
      <c r="L191" s="149"/>
      <c r="M191" s="149"/>
      <c r="U191" s="149"/>
      <c r="V191" s="149"/>
      <c r="W191" s="149"/>
      <c r="X191" s="149"/>
      <c r="Y191" s="149"/>
      <c r="Z191" s="149"/>
      <c r="AA191" s="149"/>
      <c r="AB191" s="149"/>
      <c r="AP191" s="134"/>
      <c r="AQ191" s="134"/>
      <c r="AR191" s="134"/>
      <c r="AS191" s="134"/>
      <c r="AT191" s="134"/>
      <c r="AU191" s="136"/>
      <c r="AV191" s="136"/>
      <c r="AW191" s="136"/>
    </row>
    <row r="192" spans="2:49" ht="21.75" customHeight="1" x14ac:dyDescent="0.35">
      <c r="B192" s="66"/>
      <c r="C192" s="118"/>
      <c r="D192" s="146"/>
      <c r="E192" s="146"/>
      <c r="F192" s="70"/>
      <c r="G192" s="146"/>
      <c r="H192" s="70"/>
      <c r="I192" s="146"/>
      <c r="J192" s="70"/>
      <c r="K192" s="66"/>
      <c r="L192" s="149"/>
      <c r="M192" s="149"/>
      <c r="U192" s="149"/>
      <c r="V192" s="149"/>
      <c r="W192" s="149"/>
      <c r="X192" s="149"/>
      <c r="Y192" s="149"/>
      <c r="Z192" s="149"/>
      <c r="AA192" s="149"/>
      <c r="AB192" s="149"/>
      <c r="AP192" s="134"/>
      <c r="AQ192" s="134"/>
      <c r="AR192" s="134"/>
      <c r="AS192" s="134"/>
      <c r="AT192" s="134"/>
      <c r="AU192" s="136"/>
      <c r="AV192" s="136"/>
      <c r="AW192" s="136"/>
    </row>
    <row r="193" spans="2:49" ht="21.75" customHeight="1" x14ac:dyDescent="0.35">
      <c r="B193" s="66"/>
      <c r="C193" s="118"/>
      <c r="D193" s="146"/>
      <c r="E193" s="146"/>
      <c r="F193" s="70"/>
      <c r="G193" s="146"/>
      <c r="H193" s="70"/>
      <c r="I193" s="146"/>
      <c r="J193" s="70"/>
      <c r="K193" s="66"/>
      <c r="L193" s="149"/>
      <c r="M193" s="149"/>
      <c r="U193" s="149"/>
      <c r="V193" s="149"/>
      <c r="W193" s="149"/>
      <c r="X193" s="149"/>
      <c r="Y193" s="149"/>
      <c r="Z193" s="149"/>
      <c r="AA193" s="149"/>
      <c r="AB193" s="149"/>
      <c r="AP193" s="134"/>
      <c r="AQ193" s="134"/>
      <c r="AR193" s="134"/>
      <c r="AS193" s="134"/>
      <c r="AT193" s="134"/>
      <c r="AU193" s="136"/>
      <c r="AV193" s="136"/>
      <c r="AW193" s="136"/>
    </row>
    <row r="194" spans="2:49" ht="21.75" customHeight="1" x14ac:dyDescent="0.35">
      <c r="B194" s="66"/>
      <c r="C194" s="118"/>
      <c r="D194" s="146"/>
      <c r="E194" s="146"/>
      <c r="F194" s="70"/>
      <c r="G194" s="146"/>
      <c r="H194" s="70"/>
      <c r="I194" s="146"/>
      <c r="J194" s="70"/>
      <c r="K194" s="66"/>
      <c r="L194" s="149"/>
      <c r="M194" s="149"/>
      <c r="U194" s="149"/>
      <c r="V194" s="149"/>
      <c r="W194" s="149"/>
      <c r="X194" s="149"/>
      <c r="Y194" s="149"/>
      <c r="Z194" s="149"/>
      <c r="AA194" s="149"/>
      <c r="AB194" s="149"/>
      <c r="AP194" s="134"/>
      <c r="AQ194" s="134"/>
      <c r="AR194" s="134"/>
      <c r="AS194" s="134"/>
      <c r="AT194" s="134"/>
      <c r="AU194" s="136"/>
      <c r="AV194" s="136"/>
      <c r="AW194" s="136"/>
    </row>
    <row r="195" spans="2:49" ht="21.75" customHeight="1" x14ac:dyDescent="0.35">
      <c r="B195" s="66"/>
      <c r="C195" s="118"/>
      <c r="D195" s="146"/>
      <c r="E195" s="146"/>
      <c r="F195" s="70"/>
      <c r="G195" s="146"/>
      <c r="H195" s="70"/>
      <c r="I195" s="146"/>
      <c r="J195" s="70"/>
      <c r="K195" s="66"/>
      <c r="L195" s="149"/>
      <c r="M195" s="149"/>
      <c r="U195" s="149"/>
      <c r="V195" s="149"/>
      <c r="W195" s="149"/>
      <c r="X195" s="149"/>
      <c r="Y195" s="149"/>
      <c r="Z195" s="149"/>
      <c r="AA195" s="149"/>
      <c r="AB195" s="149"/>
      <c r="AP195" s="134"/>
      <c r="AQ195" s="134"/>
      <c r="AR195" s="134"/>
      <c r="AS195" s="134"/>
      <c r="AT195" s="134"/>
      <c r="AU195" s="136"/>
      <c r="AV195" s="136"/>
      <c r="AW195" s="136"/>
    </row>
    <row r="196" spans="2:49" ht="21.75" customHeight="1" x14ac:dyDescent="0.35">
      <c r="B196" s="66"/>
      <c r="C196" s="118"/>
      <c r="D196" s="146"/>
      <c r="E196" s="146"/>
      <c r="F196" s="70"/>
      <c r="G196" s="146"/>
      <c r="H196" s="70"/>
      <c r="I196" s="146"/>
      <c r="J196" s="70"/>
      <c r="K196" s="66"/>
      <c r="L196" s="149"/>
      <c r="M196" s="149"/>
      <c r="U196" s="149"/>
      <c r="V196" s="149"/>
      <c r="W196" s="149"/>
      <c r="X196" s="149"/>
      <c r="Y196" s="149"/>
      <c r="Z196" s="149"/>
      <c r="AA196" s="149"/>
      <c r="AB196" s="149"/>
      <c r="AP196" s="134"/>
      <c r="AQ196" s="134"/>
      <c r="AR196" s="134"/>
      <c r="AS196" s="134"/>
      <c r="AT196" s="134"/>
      <c r="AU196" s="136"/>
      <c r="AV196" s="136"/>
      <c r="AW196" s="136"/>
    </row>
    <row r="197" spans="2:49" ht="21.75" customHeight="1" x14ac:dyDescent="0.35">
      <c r="B197" s="66"/>
      <c r="C197" s="118"/>
      <c r="D197" s="146"/>
      <c r="E197" s="146"/>
      <c r="F197" s="70"/>
      <c r="G197" s="146"/>
      <c r="H197" s="70"/>
      <c r="I197" s="146"/>
      <c r="J197" s="70"/>
      <c r="K197" s="66"/>
      <c r="L197" s="149"/>
      <c r="M197" s="149"/>
      <c r="U197" s="149"/>
      <c r="V197" s="149"/>
      <c r="W197" s="149"/>
      <c r="X197" s="149"/>
      <c r="Y197" s="149"/>
      <c r="Z197" s="149"/>
      <c r="AA197" s="149"/>
      <c r="AB197" s="149"/>
      <c r="AP197" s="134"/>
      <c r="AQ197" s="134"/>
      <c r="AR197" s="134"/>
      <c r="AS197" s="134"/>
      <c r="AT197" s="134"/>
      <c r="AU197" s="136"/>
      <c r="AV197" s="136"/>
      <c r="AW197" s="136"/>
    </row>
    <row r="198" spans="2:49" ht="21.75" customHeight="1" x14ac:dyDescent="0.35">
      <c r="B198" s="66"/>
      <c r="C198" s="118"/>
      <c r="D198" s="146"/>
      <c r="E198" s="146"/>
      <c r="F198" s="70"/>
      <c r="G198" s="146"/>
      <c r="H198" s="70"/>
      <c r="I198" s="146"/>
      <c r="J198" s="70"/>
      <c r="K198" s="66"/>
      <c r="L198" s="149"/>
      <c r="M198" s="149"/>
      <c r="U198" s="149"/>
      <c r="V198" s="149"/>
      <c r="W198" s="149"/>
      <c r="X198" s="149"/>
      <c r="Y198" s="149"/>
      <c r="Z198" s="149"/>
      <c r="AA198" s="149"/>
      <c r="AB198" s="149"/>
      <c r="AP198" s="134"/>
      <c r="AQ198" s="134"/>
      <c r="AR198" s="134"/>
      <c r="AS198" s="134"/>
      <c r="AT198" s="134"/>
      <c r="AU198" s="136"/>
      <c r="AV198" s="136"/>
      <c r="AW198" s="136"/>
    </row>
    <row r="199" spans="2:49" ht="21.75" customHeight="1" x14ac:dyDescent="0.35">
      <c r="B199" s="66"/>
      <c r="C199" s="118"/>
      <c r="D199" s="146"/>
      <c r="E199" s="146"/>
      <c r="F199" s="70"/>
      <c r="G199" s="146"/>
      <c r="H199" s="70"/>
      <c r="I199" s="146"/>
      <c r="J199" s="70"/>
      <c r="K199" s="66"/>
      <c r="L199" s="149"/>
      <c r="M199" s="149"/>
      <c r="U199" s="149"/>
      <c r="V199" s="149"/>
      <c r="W199" s="149"/>
      <c r="X199" s="149"/>
      <c r="Y199" s="149"/>
      <c r="Z199" s="149"/>
      <c r="AA199" s="149"/>
      <c r="AB199" s="149"/>
      <c r="AP199" s="134"/>
      <c r="AQ199" s="134"/>
      <c r="AR199" s="134"/>
      <c r="AS199" s="134"/>
      <c r="AT199" s="134"/>
      <c r="AU199" s="136"/>
      <c r="AV199" s="136"/>
      <c r="AW199" s="136"/>
    </row>
    <row r="200" spans="2:49" ht="21.75" customHeight="1" x14ac:dyDescent="0.35">
      <c r="B200" s="66"/>
      <c r="C200" s="118"/>
      <c r="D200" s="146"/>
      <c r="E200" s="146"/>
      <c r="F200" s="70"/>
      <c r="G200" s="146"/>
      <c r="H200" s="70"/>
      <c r="I200" s="146"/>
      <c r="J200" s="70"/>
      <c r="K200" s="66"/>
      <c r="L200" s="149"/>
      <c r="M200" s="149"/>
      <c r="U200" s="149"/>
      <c r="V200" s="149"/>
      <c r="W200" s="149"/>
      <c r="X200" s="149"/>
      <c r="Y200" s="149"/>
      <c r="Z200" s="149"/>
      <c r="AA200" s="149"/>
      <c r="AB200" s="149"/>
      <c r="AP200" s="134"/>
      <c r="AQ200" s="134"/>
      <c r="AR200" s="134"/>
      <c r="AS200" s="134"/>
      <c r="AT200" s="134"/>
      <c r="AU200" s="136"/>
      <c r="AV200" s="136"/>
      <c r="AW200" s="136"/>
    </row>
    <row r="201" spans="2:49" ht="21.75" customHeight="1" x14ac:dyDescent="0.35">
      <c r="B201" s="66"/>
      <c r="C201" s="118"/>
      <c r="D201" s="146"/>
      <c r="E201" s="146"/>
      <c r="F201" s="70"/>
      <c r="G201" s="146"/>
      <c r="H201" s="70"/>
      <c r="I201" s="146"/>
      <c r="J201" s="70"/>
      <c r="K201" s="66"/>
      <c r="L201" s="149"/>
      <c r="M201" s="149"/>
      <c r="U201" s="149"/>
      <c r="V201" s="149"/>
      <c r="W201" s="149"/>
      <c r="X201" s="149"/>
      <c r="Y201" s="149"/>
      <c r="Z201" s="149"/>
      <c r="AA201" s="149"/>
      <c r="AB201" s="149"/>
      <c r="AP201" s="134"/>
      <c r="AQ201" s="134"/>
      <c r="AR201" s="134"/>
      <c r="AS201" s="134"/>
      <c r="AT201" s="134"/>
      <c r="AU201" s="136"/>
      <c r="AV201" s="136"/>
      <c r="AW201" s="136"/>
    </row>
    <row r="202" spans="2:49" ht="21.75" customHeight="1" x14ac:dyDescent="0.35">
      <c r="B202" s="66"/>
      <c r="C202" s="118"/>
      <c r="D202" s="146"/>
      <c r="E202" s="146"/>
      <c r="F202" s="70"/>
      <c r="G202" s="146"/>
      <c r="H202" s="70"/>
      <c r="I202" s="146"/>
      <c r="J202" s="70"/>
      <c r="K202" s="66"/>
      <c r="L202" s="149"/>
      <c r="M202" s="149"/>
      <c r="U202" s="149"/>
      <c r="V202" s="149"/>
      <c r="W202" s="149"/>
      <c r="X202" s="149"/>
      <c r="Y202" s="149"/>
      <c r="Z202" s="149"/>
      <c r="AA202" s="149"/>
      <c r="AB202" s="149"/>
      <c r="AP202" s="134"/>
      <c r="AQ202" s="134"/>
      <c r="AR202" s="134"/>
      <c r="AS202" s="134"/>
      <c r="AT202" s="134"/>
      <c r="AU202" s="136"/>
      <c r="AV202" s="136"/>
      <c r="AW202" s="136"/>
    </row>
    <row r="203" spans="2:49" ht="21.75" customHeight="1" x14ac:dyDescent="0.35">
      <c r="B203" s="66"/>
      <c r="C203" s="118"/>
      <c r="D203" s="146"/>
      <c r="E203" s="146"/>
      <c r="F203" s="70"/>
      <c r="G203" s="146"/>
      <c r="H203" s="70"/>
      <c r="I203" s="146"/>
      <c r="J203" s="70"/>
      <c r="K203" s="66"/>
      <c r="L203" s="149"/>
      <c r="M203" s="149"/>
      <c r="U203" s="149"/>
      <c r="V203" s="149"/>
      <c r="W203" s="149"/>
      <c r="X203" s="149"/>
      <c r="Y203" s="149"/>
      <c r="Z203" s="149"/>
      <c r="AA203" s="149"/>
      <c r="AB203" s="149"/>
      <c r="AP203" s="134"/>
      <c r="AQ203" s="134"/>
      <c r="AR203" s="134"/>
      <c r="AS203" s="134"/>
      <c r="AT203" s="134"/>
      <c r="AU203" s="136"/>
      <c r="AV203" s="136"/>
      <c r="AW203" s="136"/>
    </row>
    <row r="204" spans="2:49" ht="21.75" customHeight="1" x14ac:dyDescent="0.35">
      <c r="B204" s="66"/>
      <c r="C204" s="118"/>
      <c r="D204" s="146"/>
      <c r="E204" s="146"/>
      <c r="F204" s="70"/>
      <c r="G204" s="146"/>
      <c r="H204" s="70"/>
      <c r="I204" s="146"/>
      <c r="J204" s="70"/>
      <c r="K204" s="66"/>
      <c r="L204" s="149"/>
      <c r="M204" s="149"/>
      <c r="U204" s="149"/>
      <c r="V204" s="149"/>
      <c r="W204" s="149"/>
      <c r="X204" s="149"/>
      <c r="Y204" s="149"/>
      <c r="Z204" s="149"/>
      <c r="AA204" s="149"/>
      <c r="AB204" s="149"/>
      <c r="AP204" s="134"/>
      <c r="AQ204" s="134"/>
      <c r="AR204" s="134"/>
      <c r="AS204" s="134"/>
      <c r="AT204" s="134"/>
      <c r="AU204" s="136"/>
      <c r="AV204" s="136"/>
      <c r="AW204" s="136"/>
    </row>
    <row r="205" spans="2:49" ht="21.75" customHeight="1" x14ac:dyDescent="0.35">
      <c r="B205" s="66"/>
      <c r="C205" s="118"/>
      <c r="D205" s="146"/>
      <c r="E205" s="146"/>
      <c r="F205" s="70"/>
      <c r="G205" s="146"/>
      <c r="H205" s="70"/>
      <c r="I205" s="146"/>
      <c r="J205" s="70"/>
      <c r="K205" s="66"/>
      <c r="L205" s="149"/>
      <c r="M205" s="149"/>
      <c r="U205" s="149"/>
      <c r="V205" s="149"/>
      <c r="W205" s="149"/>
      <c r="X205" s="149"/>
      <c r="Y205" s="149"/>
      <c r="Z205" s="149"/>
      <c r="AA205" s="149"/>
      <c r="AB205" s="149"/>
      <c r="AP205" s="134"/>
      <c r="AQ205" s="134"/>
      <c r="AR205" s="134"/>
      <c r="AS205" s="134"/>
      <c r="AT205" s="134"/>
      <c r="AU205" s="136"/>
      <c r="AV205" s="136"/>
      <c r="AW205" s="136"/>
    </row>
    <row r="206" spans="2:49" ht="21.75" customHeight="1" x14ac:dyDescent="0.35">
      <c r="B206" s="66"/>
      <c r="C206" s="118"/>
      <c r="D206" s="146"/>
      <c r="E206" s="146"/>
      <c r="F206" s="70"/>
      <c r="G206" s="146"/>
      <c r="H206" s="70"/>
      <c r="I206" s="146"/>
      <c r="J206" s="70"/>
      <c r="K206" s="66"/>
      <c r="L206" s="149"/>
      <c r="M206" s="149"/>
      <c r="U206" s="149"/>
      <c r="V206" s="149"/>
      <c r="W206" s="149"/>
      <c r="X206" s="149"/>
      <c r="Y206" s="149"/>
      <c r="Z206" s="149"/>
      <c r="AA206" s="149"/>
      <c r="AB206" s="149"/>
      <c r="AP206" s="134"/>
      <c r="AQ206" s="134"/>
      <c r="AR206" s="134"/>
      <c r="AS206" s="134"/>
      <c r="AT206" s="134"/>
      <c r="AU206" s="136"/>
      <c r="AV206" s="136"/>
      <c r="AW206" s="136"/>
    </row>
    <row r="207" spans="2:49" ht="21.75" customHeight="1" x14ac:dyDescent="0.35">
      <c r="B207" s="66"/>
      <c r="C207" s="118"/>
      <c r="D207" s="146"/>
      <c r="E207" s="146"/>
      <c r="F207" s="70"/>
      <c r="G207" s="146"/>
      <c r="H207" s="70"/>
      <c r="I207" s="146"/>
      <c r="J207" s="70"/>
      <c r="K207" s="66"/>
      <c r="L207" s="149"/>
      <c r="M207" s="149"/>
      <c r="U207" s="149"/>
      <c r="V207" s="149"/>
      <c r="W207" s="149"/>
      <c r="X207" s="149"/>
      <c r="Y207" s="149"/>
      <c r="Z207" s="149"/>
      <c r="AA207" s="149"/>
      <c r="AB207" s="149"/>
      <c r="AP207" s="134"/>
      <c r="AQ207" s="134"/>
      <c r="AR207" s="134"/>
      <c r="AS207" s="134"/>
      <c r="AT207" s="134"/>
      <c r="AU207" s="136"/>
      <c r="AV207" s="136"/>
      <c r="AW207" s="136"/>
    </row>
    <row r="208" spans="2:49" ht="21.75" customHeight="1" x14ac:dyDescent="0.35">
      <c r="B208" s="66"/>
      <c r="C208" s="118"/>
      <c r="D208" s="146"/>
      <c r="E208" s="146"/>
      <c r="F208" s="70"/>
      <c r="G208" s="146"/>
      <c r="H208" s="70"/>
      <c r="I208" s="146"/>
      <c r="J208" s="70"/>
      <c r="K208" s="66"/>
      <c r="L208" s="149"/>
      <c r="M208" s="149"/>
      <c r="U208" s="149"/>
      <c r="V208" s="149"/>
      <c r="W208" s="149"/>
      <c r="X208" s="149"/>
      <c r="Y208" s="149"/>
      <c r="Z208" s="149"/>
      <c r="AA208" s="149"/>
      <c r="AB208" s="149"/>
      <c r="AP208" s="134"/>
      <c r="AQ208" s="134"/>
      <c r="AR208" s="134"/>
      <c r="AS208" s="134"/>
      <c r="AT208" s="134"/>
      <c r="AU208" s="136"/>
      <c r="AV208" s="136"/>
      <c r="AW208" s="136"/>
    </row>
    <row r="209" spans="2:49" ht="21.75" customHeight="1" x14ac:dyDescent="0.35">
      <c r="B209" s="66"/>
      <c r="C209" s="118"/>
      <c r="D209" s="146"/>
      <c r="E209" s="146"/>
      <c r="F209" s="70"/>
      <c r="G209" s="146"/>
      <c r="H209" s="70"/>
      <c r="I209" s="146"/>
      <c r="J209" s="70"/>
      <c r="K209" s="66"/>
      <c r="L209" s="149"/>
      <c r="M209" s="149"/>
      <c r="U209" s="149"/>
      <c r="V209" s="149"/>
      <c r="W209" s="149"/>
      <c r="X209" s="149"/>
      <c r="Y209" s="149"/>
      <c r="Z209" s="149"/>
      <c r="AA209" s="149"/>
      <c r="AB209" s="149"/>
      <c r="AP209" s="134"/>
      <c r="AQ209" s="134"/>
      <c r="AR209" s="134"/>
      <c r="AS209" s="134"/>
      <c r="AT209" s="134"/>
      <c r="AU209" s="136"/>
      <c r="AV209" s="136"/>
      <c r="AW209" s="136"/>
    </row>
    <row r="210" spans="2:49" ht="21.75" customHeight="1" x14ac:dyDescent="0.35">
      <c r="B210" s="66"/>
      <c r="C210" s="118"/>
      <c r="D210" s="146"/>
      <c r="E210" s="146"/>
      <c r="F210" s="70"/>
      <c r="G210" s="146"/>
      <c r="H210" s="70"/>
      <c r="I210" s="146"/>
      <c r="J210" s="70"/>
      <c r="K210" s="66"/>
      <c r="L210" s="149"/>
      <c r="M210" s="149"/>
      <c r="U210" s="149"/>
      <c r="V210" s="149"/>
      <c r="W210" s="149"/>
      <c r="X210" s="149"/>
      <c r="Y210" s="149"/>
      <c r="Z210" s="149"/>
      <c r="AA210" s="149"/>
      <c r="AB210" s="149"/>
      <c r="AP210" s="134"/>
      <c r="AQ210" s="134"/>
      <c r="AR210" s="134"/>
      <c r="AS210" s="134"/>
      <c r="AT210" s="134"/>
      <c r="AU210" s="136"/>
      <c r="AV210" s="136"/>
      <c r="AW210" s="136"/>
    </row>
    <row r="211" spans="2:49" ht="21.75" customHeight="1" x14ac:dyDescent="0.35">
      <c r="B211" s="66"/>
      <c r="C211" s="118"/>
      <c r="D211" s="146"/>
      <c r="E211" s="146"/>
      <c r="F211" s="70"/>
      <c r="G211" s="146"/>
      <c r="H211" s="70"/>
      <c r="I211" s="146"/>
      <c r="J211" s="70"/>
      <c r="K211" s="66"/>
      <c r="L211" s="149"/>
      <c r="M211" s="149"/>
      <c r="U211" s="149"/>
      <c r="V211" s="149"/>
      <c r="W211" s="149"/>
      <c r="X211" s="149"/>
      <c r="Y211" s="149"/>
      <c r="Z211" s="149"/>
      <c r="AA211" s="149"/>
      <c r="AB211" s="149"/>
      <c r="AP211" s="134"/>
      <c r="AQ211" s="134"/>
      <c r="AR211" s="134"/>
      <c r="AS211" s="134"/>
      <c r="AT211" s="134"/>
      <c r="AU211" s="136"/>
      <c r="AV211" s="136"/>
      <c r="AW211" s="136"/>
    </row>
    <row r="212" spans="2:49" ht="21.75" customHeight="1" x14ac:dyDescent="0.35">
      <c r="B212" s="66"/>
      <c r="C212" s="118"/>
      <c r="D212" s="146"/>
      <c r="E212" s="146"/>
      <c r="F212" s="70"/>
      <c r="G212" s="146"/>
      <c r="H212" s="70"/>
      <c r="I212" s="146"/>
      <c r="J212" s="70"/>
      <c r="K212" s="66"/>
      <c r="L212" s="149"/>
      <c r="M212" s="149"/>
      <c r="U212" s="149"/>
      <c r="V212" s="149"/>
      <c r="W212" s="149"/>
      <c r="X212" s="149"/>
      <c r="Y212" s="149"/>
      <c r="Z212" s="149"/>
      <c r="AA212" s="149"/>
      <c r="AB212" s="149"/>
      <c r="AP212" s="134"/>
      <c r="AQ212" s="134"/>
      <c r="AR212" s="134"/>
      <c r="AS212" s="134"/>
      <c r="AT212" s="134"/>
      <c r="AU212" s="136"/>
      <c r="AV212" s="136"/>
      <c r="AW212" s="136"/>
    </row>
    <row r="213" spans="2:49" ht="21.75" customHeight="1" x14ac:dyDescent="0.35">
      <c r="B213" s="66"/>
      <c r="C213" s="118"/>
      <c r="D213" s="146"/>
      <c r="E213" s="146"/>
      <c r="F213" s="70"/>
      <c r="G213" s="146"/>
      <c r="H213" s="70"/>
      <c r="I213" s="146"/>
      <c r="J213" s="70"/>
      <c r="K213" s="66"/>
      <c r="L213" s="149"/>
      <c r="M213" s="149"/>
      <c r="U213" s="149"/>
      <c r="V213" s="149"/>
      <c r="W213" s="149"/>
      <c r="X213" s="149"/>
      <c r="Y213" s="149"/>
      <c r="Z213" s="149"/>
      <c r="AA213" s="149"/>
      <c r="AB213" s="149"/>
      <c r="AP213" s="134"/>
      <c r="AQ213" s="134"/>
      <c r="AR213" s="134"/>
      <c r="AS213" s="134"/>
      <c r="AT213" s="134"/>
      <c r="AU213" s="136"/>
      <c r="AV213" s="136"/>
      <c r="AW213" s="136"/>
    </row>
    <row r="214" spans="2:49" ht="21.75" customHeight="1" x14ac:dyDescent="0.35">
      <c r="B214" s="66"/>
      <c r="C214" s="118"/>
      <c r="D214" s="146"/>
      <c r="E214" s="146"/>
      <c r="F214" s="70"/>
      <c r="G214" s="146"/>
      <c r="H214" s="70"/>
      <c r="I214" s="146"/>
      <c r="J214" s="70"/>
      <c r="K214" s="66"/>
      <c r="L214" s="149"/>
      <c r="M214" s="149"/>
      <c r="U214" s="149"/>
      <c r="V214" s="149"/>
      <c r="W214" s="149"/>
      <c r="X214" s="149"/>
      <c r="Y214" s="149"/>
      <c r="Z214" s="149"/>
      <c r="AA214" s="149"/>
      <c r="AB214" s="149"/>
      <c r="AP214" s="134"/>
      <c r="AQ214" s="134"/>
      <c r="AR214" s="134"/>
      <c r="AS214" s="134"/>
      <c r="AT214" s="134"/>
      <c r="AU214" s="136"/>
      <c r="AV214" s="136"/>
      <c r="AW214" s="136"/>
    </row>
    <row r="215" spans="2:49" ht="21.75" customHeight="1" x14ac:dyDescent="0.35">
      <c r="B215" s="66"/>
      <c r="C215" s="118"/>
      <c r="D215" s="146"/>
      <c r="E215" s="146"/>
      <c r="F215" s="70"/>
      <c r="G215" s="146"/>
      <c r="H215" s="70"/>
      <c r="I215" s="146"/>
      <c r="J215" s="70"/>
      <c r="K215" s="66"/>
      <c r="L215" s="149"/>
      <c r="M215" s="149"/>
      <c r="U215" s="149"/>
      <c r="V215" s="149"/>
      <c r="W215" s="149"/>
      <c r="X215" s="149"/>
      <c r="Y215" s="149"/>
      <c r="Z215" s="149"/>
      <c r="AA215" s="149"/>
      <c r="AB215" s="149"/>
      <c r="AP215" s="134"/>
      <c r="AQ215" s="134"/>
      <c r="AR215" s="134"/>
      <c r="AS215" s="134"/>
      <c r="AT215" s="134"/>
      <c r="AU215" s="136"/>
      <c r="AV215" s="136"/>
      <c r="AW215" s="136"/>
    </row>
    <row r="216" spans="2:49" ht="21.75" customHeight="1" x14ac:dyDescent="0.35">
      <c r="B216" s="66"/>
      <c r="C216" s="118"/>
      <c r="D216" s="146"/>
      <c r="E216" s="146"/>
      <c r="F216" s="70"/>
      <c r="G216" s="146"/>
      <c r="H216" s="70"/>
      <c r="I216" s="146"/>
      <c r="J216" s="70"/>
      <c r="K216" s="66"/>
      <c r="L216" s="149"/>
      <c r="M216" s="149"/>
      <c r="U216" s="149"/>
      <c r="V216" s="149"/>
      <c r="W216" s="149"/>
      <c r="X216" s="149"/>
      <c r="Y216" s="149"/>
      <c r="Z216" s="149"/>
      <c r="AA216" s="149"/>
      <c r="AB216" s="149"/>
      <c r="AP216" s="134"/>
      <c r="AQ216" s="134"/>
      <c r="AR216" s="134"/>
      <c r="AS216" s="134"/>
      <c r="AT216" s="134"/>
      <c r="AU216" s="136"/>
      <c r="AV216" s="136"/>
      <c r="AW216" s="136"/>
    </row>
    <row r="217" spans="2:49" ht="21.75" customHeight="1" x14ac:dyDescent="0.35">
      <c r="B217" s="66"/>
      <c r="C217" s="118"/>
      <c r="D217" s="146"/>
      <c r="E217" s="146"/>
      <c r="F217" s="70"/>
      <c r="G217" s="146"/>
      <c r="H217" s="70"/>
      <c r="I217" s="146"/>
      <c r="J217" s="70"/>
      <c r="K217" s="66"/>
      <c r="L217" s="149"/>
      <c r="M217" s="149"/>
      <c r="U217" s="149"/>
      <c r="V217" s="149"/>
      <c r="W217" s="149"/>
      <c r="X217" s="149"/>
      <c r="Y217" s="149"/>
      <c r="Z217" s="149"/>
      <c r="AA217" s="149"/>
      <c r="AB217" s="149"/>
      <c r="AP217" s="134"/>
      <c r="AQ217" s="134"/>
      <c r="AR217" s="134"/>
      <c r="AS217" s="134"/>
      <c r="AT217" s="134"/>
      <c r="AU217" s="136"/>
      <c r="AV217" s="136"/>
      <c r="AW217" s="136"/>
    </row>
    <row r="218" spans="2:49" ht="21.75" customHeight="1" x14ac:dyDescent="0.35">
      <c r="B218" s="66"/>
      <c r="C218" s="118"/>
      <c r="D218" s="146"/>
      <c r="E218" s="146"/>
      <c r="F218" s="70"/>
      <c r="G218" s="146"/>
      <c r="H218" s="70"/>
      <c r="I218" s="146"/>
      <c r="J218" s="70"/>
      <c r="K218" s="66"/>
      <c r="L218" s="149"/>
      <c r="M218" s="149"/>
      <c r="U218" s="149"/>
      <c r="V218" s="149"/>
      <c r="W218" s="149"/>
      <c r="X218" s="149"/>
      <c r="Y218" s="149"/>
      <c r="Z218" s="149"/>
      <c r="AA218" s="149"/>
      <c r="AB218" s="149"/>
      <c r="AP218" s="134"/>
      <c r="AQ218" s="134"/>
      <c r="AR218" s="134"/>
      <c r="AS218" s="134"/>
      <c r="AT218" s="134"/>
      <c r="AU218" s="136"/>
      <c r="AV218" s="136"/>
      <c r="AW218" s="136"/>
    </row>
    <row r="219" spans="2:49" ht="21.75" customHeight="1" x14ac:dyDescent="0.35">
      <c r="B219" s="66"/>
      <c r="C219" s="118"/>
      <c r="D219" s="146"/>
      <c r="E219" s="146"/>
      <c r="F219" s="70"/>
      <c r="G219" s="146"/>
      <c r="H219" s="70"/>
      <c r="I219" s="146"/>
      <c r="J219" s="70"/>
      <c r="K219" s="66"/>
      <c r="L219" s="149"/>
      <c r="M219" s="149"/>
      <c r="U219" s="149"/>
      <c r="V219" s="149"/>
      <c r="W219" s="149"/>
      <c r="X219" s="149"/>
      <c r="Y219" s="149"/>
      <c r="Z219" s="149"/>
      <c r="AA219" s="149"/>
      <c r="AB219" s="149"/>
      <c r="AP219" s="134"/>
      <c r="AQ219" s="134"/>
      <c r="AR219" s="134"/>
      <c r="AS219" s="134"/>
      <c r="AT219" s="134"/>
      <c r="AU219" s="136"/>
      <c r="AV219" s="136"/>
      <c r="AW219" s="136"/>
    </row>
    <row r="220" spans="2:49" ht="21.75" customHeight="1" x14ac:dyDescent="0.35">
      <c r="B220" s="66"/>
      <c r="C220" s="118"/>
      <c r="D220" s="146"/>
      <c r="E220" s="146"/>
      <c r="F220" s="70"/>
      <c r="G220" s="146"/>
      <c r="H220" s="70"/>
      <c r="I220" s="146"/>
      <c r="J220" s="70"/>
      <c r="K220" s="66"/>
      <c r="L220" s="149"/>
      <c r="M220" s="149"/>
      <c r="U220" s="149"/>
      <c r="V220" s="149"/>
      <c r="W220" s="149"/>
      <c r="X220" s="149"/>
      <c r="Y220" s="149"/>
      <c r="Z220" s="149"/>
      <c r="AA220" s="149"/>
      <c r="AB220" s="149"/>
      <c r="AP220" s="134"/>
      <c r="AQ220" s="134"/>
      <c r="AR220" s="134"/>
      <c r="AS220" s="134"/>
      <c r="AT220" s="134"/>
      <c r="AU220" s="136"/>
      <c r="AV220" s="136"/>
      <c r="AW220" s="136"/>
    </row>
    <row r="221" spans="2:49" ht="21.75" customHeight="1" x14ac:dyDescent="0.35">
      <c r="B221" s="66"/>
      <c r="C221" s="118"/>
      <c r="D221" s="146"/>
      <c r="E221" s="146"/>
      <c r="F221" s="70"/>
      <c r="G221" s="146"/>
      <c r="H221" s="70"/>
      <c r="I221" s="146"/>
      <c r="J221" s="70"/>
      <c r="K221" s="66"/>
      <c r="L221" s="149"/>
      <c r="M221" s="149"/>
      <c r="U221" s="149"/>
      <c r="V221" s="149"/>
      <c r="W221" s="149"/>
      <c r="X221" s="149"/>
      <c r="Y221" s="149"/>
      <c r="Z221" s="149"/>
      <c r="AA221" s="149"/>
      <c r="AB221" s="149"/>
      <c r="AP221" s="134"/>
      <c r="AQ221" s="134"/>
      <c r="AR221" s="134"/>
      <c r="AS221" s="134"/>
      <c r="AT221" s="134"/>
      <c r="AU221" s="136"/>
      <c r="AV221" s="136"/>
      <c r="AW221" s="136"/>
    </row>
    <row r="222" spans="2:49" ht="21.75" customHeight="1" x14ac:dyDescent="0.35">
      <c r="B222" s="66"/>
      <c r="C222" s="118"/>
      <c r="D222" s="146"/>
      <c r="E222" s="146"/>
      <c r="F222" s="70"/>
      <c r="G222" s="146"/>
      <c r="H222" s="70"/>
      <c r="I222" s="146"/>
      <c r="J222" s="70"/>
      <c r="K222" s="66"/>
      <c r="L222" s="149"/>
      <c r="M222" s="149"/>
      <c r="U222" s="149"/>
      <c r="V222" s="149"/>
      <c r="W222" s="149"/>
      <c r="X222" s="149"/>
      <c r="Y222" s="149"/>
      <c r="Z222" s="149"/>
      <c r="AA222" s="149"/>
      <c r="AB222" s="149"/>
      <c r="AP222" s="134"/>
      <c r="AQ222" s="134"/>
      <c r="AR222" s="134"/>
      <c r="AS222" s="134"/>
      <c r="AT222" s="134"/>
      <c r="AU222" s="136"/>
      <c r="AV222" s="136"/>
      <c r="AW222" s="136"/>
    </row>
    <row r="223" spans="2:49" ht="21.75" customHeight="1" x14ac:dyDescent="0.35">
      <c r="B223" s="66"/>
      <c r="C223" s="118"/>
      <c r="D223" s="146"/>
      <c r="E223" s="146"/>
      <c r="F223" s="70"/>
      <c r="G223" s="146"/>
      <c r="H223" s="70"/>
      <c r="I223" s="146"/>
      <c r="J223" s="70"/>
      <c r="K223" s="66"/>
      <c r="L223" s="149"/>
      <c r="M223" s="149"/>
      <c r="U223" s="149"/>
      <c r="V223" s="149"/>
      <c r="W223" s="149"/>
      <c r="X223" s="149"/>
      <c r="Y223" s="149"/>
      <c r="Z223" s="149"/>
      <c r="AA223" s="149"/>
      <c r="AB223" s="149"/>
      <c r="AP223" s="134"/>
      <c r="AQ223" s="134"/>
      <c r="AR223" s="134"/>
      <c r="AS223" s="134"/>
      <c r="AT223" s="134"/>
      <c r="AU223" s="136"/>
      <c r="AV223" s="136"/>
      <c r="AW223" s="136"/>
    </row>
    <row r="224" spans="2:49" ht="21.75" customHeight="1" x14ac:dyDescent="0.35">
      <c r="B224" s="66"/>
      <c r="C224" s="118"/>
      <c r="D224" s="146"/>
      <c r="E224" s="146"/>
      <c r="F224" s="70"/>
      <c r="G224" s="146"/>
      <c r="H224" s="70"/>
      <c r="I224" s="146"/>
      <c r="J224" s="70"/>
      <c r="K224" s="66"/>
      <c r="L224" s="149"/>
      <c r="M224" s="149"/>
      <c r="U224" s="149"/>
      <c r="V224" s="149"/>
      <c r="W224" s="149"/>
      <c r="X224" s="149"/>
      <c r="Y224" s="149"/>
      <c r="Z224" s="149"/>
      <c r="AA224" s="149"/>
      <c r="AB224" s="149"/>
      <c r="AP224" s="134"/>
      <c r="AQ224" s="134"/>
      <c r="AR224" s="134"/>
      <c r="AS224" s="134"/>
      <c r="AT224" s="134"/>
      <c r="AU224" s="136"/>
      <c r="AV224" s="136"/>
      <c r="AW224" s="136"/>
    </row>
    <row r="225" spans="2:49" ht="21.75" customHeight="1" x14ac:dyDescent="0.35">
      <c r="B225" s="66"/>
      <c r="C225" s="118"/>
      <c r="D225" s="146"/>
      <c r="E225" s="146"/>
      <c r="F225" s="70"/>
      <c r="G225" s="146"/>
      <c r="H225" s="70"/>
      <c r="I225" s="146"/>
      <c r="J225" s="70"/>
      <c r="K225" s="66"/>
      <c r="L225" s="149"/>
      <c r="M225" s="149"/>
      <c r="U225" s="149"/>
      <c r="V225" s="149"/>
      <c r="W225" s="149"/>
      <c r="X225" s="149"/>
      <c r="Y225" s="149"/>
      <c r="Z225" s="149"/>
      <c r="AA225" s="149"/>
      <c r="AB225" s="149"/>
      <c r="AP225" s="134"/>
      <c r="AQ225" s="134"/>
      <c r="AR225" s="134"/>
      <c r="AS225" s="134"/>
      <c r="AT225" s="134"/>
      <c r="AU225" s="136"/>
      <c r="AV225" s="136"/>
      <c r="AW225" s="136"/>
    </row>
    <row r="226" spans="2:49" ht="21.75" customHeight="1" x14ac:dyDescent="0.35">
      <c r="B226" s="66"/>
      <c r="C226" s="118"/>
      <c r="D226" s="146"/>
      <c r="E226" s="146"/>
      <c r="F226" s="70"/>
      <c r="G226" s="146"/>
      <c r="H226" s="70"/>
      <c r="I226" s="146"/>
      <c r="J226" s="70"/>
      <c r="K226" s="66"/>
      <c r="L226" s="149"/>
      <c r="M226" s="149"/>
      <c r="U226" s="149"/>
      <c r="V226" s="149"/>
      <c r="W226" s="149"/>
      <c r="X226" s="149"/>
      <c r="Y226" s="149"/>
      <c r="Z226" s="149"/>
      <c r="AA226" s="149"/>
      <c r="AB226" s="149"/>
      <c r="AP226" s="134"/>
      <c r="AQ226" s="134"/>
      <c r="AR226" s="134"/>
      <c r="AS226" s="134"/>
      <c r="AT226" s="134"/>
      <c r="AU226" s="136"/>
      <c r="AV226" s="136"/>
      <c r="AW226" s="136"/>
    </row>
    <row r="227" spans="2:49" ht="21.75" customHeight="1" x14ac:dyDescent="0.35">
      <c r="B227" s="66"/>
      <c r="C227" s="118"/>
      <c r="D227" s="146"/>
      <c r="E227" s="146"/>
      <c r="F227" s="70"/>
      <c r="G227" s="146"/>
      <c r="H227" s="70"/>
      <c r="I227" s="146"/>
      <c r="J227" s="70"/>
      <c r="K227" s="66"/>
      <c r="L227" s="149"/>
      <c r="M227" s="149"/>
      <c r="U227" s="149"/>
      <c r="V227" s="149"/>
      <c r="W227" s="149"/>
      <c r="X227" s="149"/>
      <c r="Y227" s="149"/>
      <c r="Z227" s="149"/>
      <c r="AA227" s="149"/>
      <c r="AB227" s="149"/>
      <c r="AP227" s="134"/>
      <c r="AQ227" s="134"/>
      <c r="AR227" s="134"/>
      <c r="AS227" s="134"/>
      <c r="AT227" s="134"/>
      <c r="AU227" s="136"/>
      <c r="AV227" s="136"/>
      <c r="AW227" s="136"/>
    </row>
    <row r="228" spans="2:49" ht="21.75" customHeight="1" x14ac:dyDescent="0.35">
      <c r="B228" s="66"/>
      <c r="C228" s="118"/>
      <c r="D228" s="146"/>
      <c r="E228" s="146"/>
      <c r="F228" s="70"/>
      <c r="G228" s="146"/>
      <c r="H228" s="70"/>
      <c r="I228" s="146"/>
      <c r="J228" s="70"/>
      <c r="K228" s="66"/>
      <c r="L228" s="149"/>
      <c r="M228" s="149"/>
      <c r="U228" s="149"/>
      <c r="V228" s="149"/>
      <c r="W228" s="149"/>
      <c r="X228" s="149"/>
      <c r="Y228" s="149"/>
      <c r="Z228" s="149"/>
      <c r="AA228" s="149"/>
      <c r="AB228" s="149"/>
      <c r="AP228" s="134"/>
      <c r="AQ228" s="134"/>
      <c r="AR228" s="134"/>
      <c r="AS228" s="134"/>
      <c r="AT228" s="134"/>
      <c r="AU228" s="136"/>
      <c r="AV228" s="136"/>
      <c r="AW228" s="136"/>
    </row>
    <row r="229" spans="2:49" ht="21.75" customHeight="1" x14ac:dyDescent="0.35">
      <c r="B229" s="66"/>
      <c r="C229" s="118"/>
      <c r="D229" s="146"/>
      <c r="E229" s="146"/>
      <c r="F229" s="70"/>
      <c r="G229" s="146"/>
      <c r="H229" s="70"/>
      <c r="I229" s="146"/>
      <c r="J229" s="70"/>
      <c r="K229" s="66"/>
      <c r="L229" s="149"/>
      <c r="M229" s="149"/>
      <c r="U229" s="149"/>
      <c r="V229" s="149"/>
      <c r="W229" s="149"/>
      <c r="X229" s="149"/>
      <c r="Y229" s="149"/>
      <c r="Z229" s="149"/>
      <c r="AA229" s="149"/>
      <c r="AB229" s="149"/>
      <c r="AP229" s="134"/>
      <c r="AQ229" s="134"/>
      <c r="AR229" s="134"/>
      <c r="AS229" s="134"/>
      <c r="AT229" s="134"/>
      <c r="AU229" s="136"/>
      <c r="AV229" s="136"/>
      <c r="AW229" s="136"/>
    </row>
    <row r="230" spans="2:49" ht="21.75" customHeight="1" x14ac:dyDescent="0.35">
      <c r="B230" s="66"/>
      <c r="C230" s="118"/>
      <c r="D230" s="146"/>
      <c r="E230" s="146"/>
      <c r="F230" s="70"/>
      <c r="G230" s="146"/>
      <c r="H230" s="70"/>
      <c r="I230" s="146"/>
      <c r="J230" s="70"/>
      <c r="K230" s="66"/>
      <c r="L230" s="149"/>
      <c r="M230" s="149"/>
      <c r="U230" s="149"/>
      <c r="V230" s="149"/>
      <c r="W230" s="149"/>
      <c r="X230" s="149"/>
      <c r="Y230" s="149"/>
      <c r="Z230" s="149"/>
      <c r="AA230" s="149"/>
      <c r="AB230" s="149"/>
      <c r="AP230" s="134"/>
      <c r="AQ230" s="134"/>
      <c r="AR230" s="134"/>
      <c r="AS230" s="134"/>
      <c r="AT230" s="134"/>
      <c r="AU230" s="136"/>
      <c r="AV230" s="136"/>
      <c r="AW230" s="136"/>
    </row>
    <row r="231" spans="2:49" ht="21.75" customHeight="1" x14ac:dyDescent="0.35">
      <c r="B231" s="66"/>
      <c r="C231" s="118"/>
      <c r="D231" s="146"/>
      <c r="E231" s="146"/>
      <c r="F231" s="70"/>
      <c r="G231" s="146"/>
      <c r="H231" s="70"/>
      <c r="I231" s="146"/>
      <c r="J231" s="70"/>
      <c r="K231" s="66"/>
      <c r="L231" s="149"/>
      <c r="M231" s="149"/>
      <c r="U231" s="149"/>
      <c r="V231" s="149"/>
      <c r="W231" s="149"/>
      <c r="X231" s="149"/>
      <c r="Y231" s="149"/>
      <c r="Z231" s="149"/>
      <c r="AA231" s="149"/>
      <c r="AB231" s="149"/>
      <c r="AP231" s="134"/>
      <c r="AQ231" s="134"/>
      <c r="AR231" s="134"/>
      <c r="AS231" s="134"/>
      <c r="AT231" s="134"/>
      <c r="AU231" s="136"/>
      <c r="AV231" s="136"/>
      <c r="AW231" s="136"/>
    </row>
    <row r="232" spans="2:49" ht="21.75" customHeight="1" x14ac:dyDescent="0.35">
      <c r="B232" s="66"/>
      <c r="C232" s="118"/>
      <c r="D232" s="146"/>
      <c r="E232" s="146"/>
      <c r="F232" s="70"/>
      <c r="G232" s="146"/>
      <c r="H232" s="70"/>
      <c r="I232" s="146"/>
      <c r="J232" s="70"/>
      <c r="K232" s="66"/>
      <c r="L232" s="149"/>
      <c r="M232" s="149"/>
      <c r="U232" s="149"/>
      <c r="V232" s="149"/>
      <c r="W232" s="149"/>
      <c r="X232" s="149"/>
      <c r="Y232" s="149"/>
      <c r="Z232" s="149"/>
      <c r="AA232" s="149"/>
      <c r="AB232" s="149"/>
      <c r="AP232" s="134"/>
      <c r="AQ232" s="134"/>
      <c r="AR232" s="134"/>
      <c r="AS232" s="134"/>
      <c r="AT232" s="134"/>
      <c r="AU232" s="136"/>
      <c r="AV232" s="136"/>
      <c r="AW232" s="136"/>
    </row>
    <row r="233" spans="2:49" ht="21.75" customHeight="1" x14ac:dyDescent="0.35">
      <c r="B233" s="66"/>
      <c r="C233" s="118"/>
      <c r="D233" s="146"/>
      <c r="E233" s="146"/>
      <c r="F233" s="70"/>
      <c r="G233" s="146"/>
      <c r="H233" s="70"/>
      <c r="I233" s="146"/>
      <c r="J233" s="70"/>
      <c r="K233" s="66"/>
      <c r="L233" s="149"/>
      <c r="M233" s="149"/>
      <c r="U233" s="149"/>
      <c r="V233" s="149"/>
      <c r="W233" s="149"/>
      <c r="X233" s="149"/>
      <c r="Y233" s="149"/>
      <c r="Z233" s="149"/>
      <c r="AA233" s="149"/>
      <c r="AB233" s="149"/>
      <c r="AP233" s="134"/>
      <c r="AQ233" s="134"/>
      <c r="AR233" s="134"/>
      <c r="AS233" s="134"/>
      <c r="AT233" s="134"/>
      <c r="AU233" s="136"/>
      <c r="AV233" s="136"/>
      <c r="AW233" s="136"/>
    </row>
    <row r="234" spans="2:49" ht="21.75" customHeight="1" x14ac:dyDescent="0.35">
      <c r="B234" s="66"/>
      <c r="C234" s="118"/>
      <c r="D234" s="146"/>
      <c r="E234" s="146"/>
      <c r="F234" s="70"/>
      <c r="G234" s="146"/>
      <c r="H234" s="70"/>
      <c r="I234" s="146"/>
      <c r="J234" s="70"/>
      <c r="K234" s="66"/>
      <c r="L234" s="149"/>
      <c r="M234" s="149"/>
      <c r="U234" s="149"/>
      <c r="V234" s="149"/>
      <c r="W234" s="149"/>
      <c r="X234" s="149"/>
      <c r="Y234" s="149"/>
      <c r="Z234" s="149"/>
      <c r="AA234" s="149"/>
      <c r="AB234" s="149"/>
      <c r="AP234" s="134"/>
      <c r="AQ234" s="134"/>
      <c r="AR234" s="134"/>
      <c r="AS234" s="134"/>
      <c r="AT234" s="134"/>
      <c r="AU234" s="136"/>
      <c r="AV234" s="136"/>
      <c r="AW234" s="136"/>
    </row>
    <row r="235" spans="2:49" ht="21.75" customHeight="1" x14ac:dyDescent="0.35">
      <c r="B235" s="66"/>
      <c r="C235" s="118"/>
      <c r="D235" s="146"/>
      <c r="E235" s="146"/>
      <c r="F235" s="70"/>
      <c r="G235" s="146"/>
      <c r="H235" s="70"/>
      <c r="I235" s="146"/>
      <c r="J235" s="70"/>
      <c r="K235" s="66"/>
      <c r="L235" s="149"/>
      <c r="M235" s="149"/>
      <c r="U235" s="149"/>
      <c r="V235" s="149"/>
      <c r="W235" s="149"/>
      <c r="X235" s="149"/>
      <c r="Y235" s="149"/>
      <c r="Z235" s="149"/>
      <c r="AA235" s="149"/>
      <c r="AB235" s="149"/>
      <c r="AP235" s="134"/>
      <c r="AQ235" s="134"/>
      <c r="AR235" s="134"/>
      <c r="AS235" s="134"/>
      <c r="AT235" s="134"/>
      <c r="AU235" s="136"/>
      <c r="AV235" s="136"/>
      <c r="AW235" s="136"/>
    </row>
    <row r="236" spans="2:49" ht="21.75" customHeight="1" x14ac:dyDescent="0.35">
      <c r="B236" s="66"/>
      <c r="C236" s="118"/>
      <c r="D236" s="146"/>
      <c r="E236" s="146"/>
      <c r="F236" s="70"/>
      <c r="G236" s="146"/>
      <c r="H236" s="70"/>
      <c r="I236" s="146"/>
      <c r="J236" s="70"/>
      <c r="K236" s="66"/>
      <c r="L236" s="149"/>
      <c r="M236" s="149"/>
      <c r="U236" s="149"/>
      <c r="V236" s="149"/>
      <c r="W236" s="149"/>
      <c r="X236" s="149"/>
      <c r="Y236" s="149"/>
      <c r="Z236" s="149"/>
      <c r="AA236" s="149"/>
      <c r="AB236" s="149"/>
      <c r="AP236" s="134"/>
      <c r="AQ236" s="134"/>
      <c r="AR236" s="134"/>
      <c r="AS236" s="134"/>
      <c r="AT236" s="134"/>
      <c r="AU236" s="136"/>
      <c r="AV236" s="136"/>
      <c r="AW236" s="136"/>
    </row>
    <row r="237" spans="2:49" ht="21.75" customHeight="1" x14ac:dyDescent="0.35">
      <c r="B237" s="66"/>
      <c r="C237" s="118"/>
      <c r="D237" s="146"/>
      <c r="E237" s="146"/>
      <c r="F237" s="70"/>
      <c r="G237" s="146"/>
      <c r="H237" s="70"/>
      <c r="I237" s="146"/>
      <c r="J237" s="70"/>
      <c r="K237" s="66"/>
      <c r="L237" s="149"/>
      <c r="M237" s="149"/>
      <c r="U237" s="149"/>
      <c r="V237" s="149"/>
      <c r="W237" s="149"/>
      <c r="X237" s="149"/>
      <c r="Y237" s="149"/>
      <c r="Z237" s="149"/>
      <c r="AA237" s="149"/>
      <c r="AB237" s="149"/>
      <c r="AP237" s="134"/>
      <c r="AQ237" s="134"/>
      <c r="AR237" s="134"/>
      <c r="AS237" s="134"/>
      <c r="AT237" s="134"/>
      <c r="AU237" s="136"/>
      <c r="AV237" s="136"/>
      <c r="AW237" s="136"/>
    </row>
    <row r="238" spans="2:49" ht="21.75" customHeight="1" x14ac:dyDescent="0.35">
      <c r="B238" s="66"/>
      <c r="C238" s="118"/>
      <c r="D238" s="146"/>
      <c r="E238" s="146"/>
      <c r="F238" s="70"/>
      <c r="G238" s="146"/>
      <c r="H238" s="70"/>
      <c r="I238" s="146"/>
      <c r="J238" s="70"/>
      <c r="K238" s="66"/>
      <c r="L238" s="149"/>
      <c r="M238" s="149"/>
      <c r="U238" s="149"/>
      <c r="V238" s="149"/>
      <c r="W238" s="149"/>
      <c r="X238" s="149"/>
      <c r="Y238" s="149"/>
      <c r="Z238" s="149"/>
      <c r="AA238" s="149"/>
      <c r="AB238" s="149"/>
      <c r="AP238" s="134"/>
      <c r="AQ238" s="134"/>
      <c r="AR238" s="134"/>
      <c r="AS238" s="134"/>
      <c r="AT238" s="134"/>
      <c r="AU238" s="136"/>
      <c r="AV238" s="136"/>
      <c r="AW238" s="136"/>
    </row>
    <row r="239" spans="2:49" ht="21.75" customHeight="1" x14ac:dyDescent="0.35">
      <c r="B239" s="66"/>
      <c r="C239" s="118"/>
      <c r="D239" s="146"/>
      <c r="E239" s="146"/>
      <c r="F239" s="70"/>
      <c r="G239" s="146"/>
      <c r="H239" s="70"/>
      <c r="I239" s="146"/>
      <c r="J239" s="70"/>
      <c r="K239" s="66"/>
      <c r="L239" s="149"/>
      <c r="M239" s="149"/>
      <c r="U239" s="149"/>
      <c r="V239" s="149"/>
      <c r="W239" s="149"/>
      <c r="X239" s="149"/>
      <c r="Y239" s="149"/>
      <c r="Z239" s="149"/>
      <c r="AA239" s="149"/>
      <c r="AB239" s="149"/>
      <c r="AP239" s="134"/>
      <c r="AQ239" s="134"/>
      <c r="AR239" s="134"/>
      <c r="AS239" s="134"/>
      <c r="AT239" s="134"/>
      <c r="AU239" s="136"/>
      <c r="AV239" s="136"/>
      <c r="AW239" s="136"/>
    </row>
    <row r="240" spans="2:49" ht="21.75" customHeight="1" x14ac:dyDescent="0.35">
      <c r="B240" s="66"/>
      <c r="C240" s="118"/>
      <c r="D240" s="146"/>
      <c r="E240" s="146"/>
      <c r="F240" s="70"/>
      <c r="G240" s="146"/>
      <c r="H240" s="70"/>
      <c r="I240" s="146"/>
      <c r="J240" s="70"/>
      <c r="K240" s="66"/>
      <c r="L240" s="149"/>
      <c r="M240" s="149"/>
      <c r="U240" s="149"/>
      <c r="V240" s="149"/>
      <c r="W240" s="149"/>
      <c r="X240" s="149"/>
      <c r="Y240" s="149"/>
      <c r="Z240" s="149"/>
      <c r="AA240" s="149"/>
      <c r="AB240" s="149"/>
      <c r="AP240" s="134"/>
      <c r="AQ240" s="134"/>
      <c r="AR240" s="134"/>
      <c r="AS240" s="134"/>
      <c r="AT240" s="134"/>
      <c r="AU240" s="136"/>
      <c r="AV240" s="136"/>
      <c r="AW240" s="136"/>
    </row>
    <row r="241" spans="2:49" ht="21.75" customHeight="1" x14ac:dyDescent="0.35">
      <c r="B241" s="66"/>
      <c r="C241" s="118"/>
      <c r="D241" s="146"/>
      <c r="E241" s="146"/>
      <c r="F241" s="70"/>
      <c r="G241" s="146"/>
      <c r="H241" s="70"/>
      <c r="I241" s="146"/>
      <c r="J241" s="70"/>
      <c r="K241" s="66"/>
      <c r="L241" s="149"/>
      <c r="M241" s="149"/>
      <c r="U241" s="149"/>
      <c r="V241" s="149"/>
      <c r="W241" s="149"/>
      <c r="X241" s="149"/>
      <c r="Y241" s="149"/>
      <c r="Z241" s="149"/>
      <c r="AA241" s="149"/>
      <c r="AB241" s="149"/>
      <c r="AP241" s="134"/>
      <c r="AQ241" s="134"/>
      <c r="AR241" s="134"/>
      <c r="AS241" s="134"/>
      <c r="AT241" s="134"/>
      <c r="AU241" s="136"/>
      <c r="AV241" s="136"/>
      <c r="AW241" s="136"/>
    </row>
    <row r="242" spans="2:49" ht="21.75" customHeight="1" x14ac:dyDescent="0.35">
      <c r="B242" s="66"/>
      <c r="C242" s="118"/>
      <c r="D242" s="146"/>
      <c r="E242" s="146"/>
      <c r="F242" s="70"/>
      <c r="G242" s="146"/>
      <c r="H242" s="70"/>
      <c r="I242" s="146"/>
      <c r="J242" s="70"/>
      <c r="K242" s="66"/>
      <c r="L242" s="149"/>
      <c r="M242" s="149"/>
      <c r="U242" s="149"/>
      <c r="V242" s="149"/>
      <c r="W242" s="149"/>
      <c r="X242" s="149"/>
      <c r="Y242" s="149"/>
      <c r="Z242" s="149"/>
      <c r="AA242" s="149"/>
      <c r="AB242" s="149"/>
      <c r="AP242" s="134"/>
      <c r="AQ242" s="134"/>
      <c r="AR242" s="134"/>
      <c r="AS242" s="134"/>
      <c r="AT242" s="134"/>
      <c r="AU242" s="136"/>
      <c r="AV242" s="136"/>
      <c r="AW242" s="136"/>
    </row>
    <row r="243" spans="2:49" ht="21.75" customHeight="1" x14ac:dyDescent="0.35">
      <c r="B243" s="66"/>
      <c r="C243" s="118"/>
      <c r="D243" s="146"/>
      <c r="E243" s="146"/>
      <c r="F243" s="70"/>
      <c r="G243" s="146"/>
      <c r="H243" s="70"/>
      <c r="I243" s="146"/>
      <c r="J243" s="70"/>
      <c r="K243" s="66"/>
      <c r="L243" s="149"/>
      <c r="M243" s="149"/>
      <c r="U243" s="149"/>
      <c r="V243" s="149"/>
      <c r="W243" s="149"/>
      <c r="X243" s="149"/>
      <c r="Y243" s="149"/>
      <c r="Z243" s="149"/>
      <c r="AA243" s="149"/>
      <c r="AB243" s="149"/>
      <c r="AP243" s="134"/>
      <c r="AQ243" s="134"/>
      <c r="AR243" s="134"/>
      <c r="AS243" s="134"/>
      <c r="AT243" s="134"/>
      <c r="AU243" s="136"/>
      <c r="AV243" s="136"/>
      <c r="AW243" s="136"/>
    </row>
    <row r="244" spans="2:49" ht="21.75" customHeight="1" x14ac:dyDescent="0.35">
      <c r="B244" s="66"/>
      <c r="C244" s="118"/>
      <c r="D244" s="146"/>
      <c r="E244" s="146"/>
      <c r="F244" s="70"/>
      <c r="G244" s="146"/>
      <c r="H244" s="70"/>
      <c r="I244" s="146"/>
      <c r="J244" s="70"/>
      <c r="K244" s="66"/>
      <c r="L244" s="149"/>
      <c r="M244" s="149"/>
      <c r="U244" s="149"/>
      <c r="V244" s="149"/>
      <c r="W244" s="149"/>
      <c r="X244" s="149"/>
      <c r="Y244" s="149"/>
      <c r="Z244" s="149"/>
      <c r="AA244" s="149"/>
      <c r="AB244" s="149"/>
      <c r="AP244" s="134"/>
      <c r="AQ244" s="134"/>
      <c r="AR244" s="134"/>
      <c r="AS244" s="134"/>
      <c r="AT244" s="134"/>
      <c r="AU244" s="136"/>
      <c r="AV244" s="136"/>
      <c r="AW244" s="136"/>
    </row>
    <row r="245" spans="2:49" ht="21.75" customHeight="1" x14ac:dyDescent="0.35">
      <c r="B245" s="66"/>
      <c r="C245" s="118"/>
      <c r="D245" s="146"/>
      <c r="E245" s="146"/>
      <c r="F245" s="70"/>
      <c r="G245" s="146"/>
      <c r="H245" s="70"/>
      <c r="I245" s="146"/>
      <c r="J245" s="70"/>
      <c r="K245" s="66"/>
      <c r="L245" s="149"/>
      <c r="M245" s="149"/>
      <c r="U245" s="149"/>
      <c r="V245" s="149"/>
      <c r="W245" s="149"/>
      <c r="X245" s="149"/>
      <c r="Y245" s="149"/>
      <c r="Z245" s="149"/>
      <c r="AA245" s="149"/>
      <c r="AB245" s="149"/>
      <c r="AP245" s="134"/>
      <c r="AQ245" s="134"/>
      <c r="AR245" s="134"/>
      <c r="AS245" s="134"/>
      <c r="AT245" s="134"/>
      <c r="AU245" s="136"/>
      <c r="AV245" s="136"/>
      <c r="AW245" s="136"/>
    </row>
    <row r="246" spans="2:49" ht="21.75" customHeight="1" x14ac:dyDescent="0.35">
      <c r="B246" s="66"/>
      <c r="C246" s="118"/>
      <c r="D246" s="146"/>
      <c r="E246" s="146"/>
      <c r="F246" s="70"/>
      <c r="G246" s="146"/>
      <c r="H246" s="70"/>
      <c r="I246" s="146"/>
      <c r="J246" s="70"/>
      <c r="K246" s="66"/>
      <c r="L246" s="149"/>
      <c r="M246" s="149"/>
      <c r="U246" s="149"/>
      <c r="V246" s="149"/>
      <c r="W246" s="149"/>
      <c r="X246" s="149"/>
      <c r="Y246" s="149"/>
      <c r="Z246" s="149"/>
      <c r="AA246" s="149"/>
      <c r="AB246" s="149"/>
      <c r="AP246" s="134"/>
      <c r="AQ246" s="134"/>
      <c r="AR246" s="134"/>
      <c r="AS246" s="134"/>
      <c r="AT246" s="134"/>
      <c r="AU246" s="136"/>
      <c r="AV246" s="136"/>
      <c r="AW246" s="136"/>
    </row>
    <row r="247" spans="2:49" ht="21.75" customHeight="1" x14ac:dyDescent="0.35">
      <c r="B247" s="66"/>
      <c r="C247" s="118"/>
      <c r="D247" s="146"/>
      <c r="E247" s="146"/>
      <c r="F247" s="70"/>
      <c r="G247" s="146"/>
      <c r="H247" s="70"/>
      <c r="I247" s="146"/>
      <c r="J247" s="70"/>
      <c r="K247" s="66"/>
      <c r="L247" s="149"/>
      <c r="M247" s="149"/>
      <c r="U247" s="149"/>
      <c r="V247" s="149"/>
      <c r="W247" s="149"/>
      <c r="X247" s="149"/>
      <c r="Y247" s="149"/>
      <c r="Z247" s="149"/>
      <c r="AA247" s="149"/>
      <c r="AB247" s="149"/>
      <c r="AP247" s="134"/>
      <c r="AQ247" s="134"/>
      <c r="AR247" s="134"/>
      <c r="AS247" s="134"/>
      <c r="AT247" s="134"/>
      <c r="AU247" s="136"/>
      <c r="AV247" s="136"/>
      <c r="AW247" s="136"/>
    </row>
    <row r="248" spans="2:49" ht="21.75" customHeight="1" x14ac:dyDescent="0.35">
      <c r="B248" s="66"/>
      <c r="C248" s="118"/>
      <c r="D248" s="146"/>
      <c r="E248" s="146"/>
      <c r="F248" s="70"/>
      <c r="G248" s="146"/>
      <c r="H248" s="70"/>
      <c r="I248" s="146"/>
      <c r="J248" s="70"/>
      <c r="K248" s="66"/>
      <c r="L248" s="149"/>
      <c r="M248" s="149"/>
      <c r="U248" s="149"/>
      <c r="V248" s="149"/>
      <c r="W248" s="149"/>
      <c r="X248" s="149"/>
      <c r="Y248" s="149"/>
      <c r="Z248" s="149"/>
      <c r="AA248" s="149"/>
      <c r="AB248" s="149"/>
      <c r="AP248" s="134"/>
      <c r="AQ248" s="134"/>
      <c r="AR248" s="134"/>
      <c r="AS248" s="134"/>
      <c r="AT248" s="134"/>
      <c r="AU248" s="136"/>
      <c r="AV248" s="136"/>
      <c r="AW248" s="136"/>
    </row>
    <row r="249" spans="2:49" ht="21.75" customHeight="1" x14ac:dyDescent="0.35">
      <c r="B249" s="66"/>
      <c r="C249" s="118"/>
      <c r="D249" s="146"/>
      <c r="E249" s="146"/>
      <c r="F249" s="70"/>
      <c r="G249" s="146"/>
      <c r="H249" s="70"/>
      <c r="I249" s="146"/>
      <c r="J249" s="70"/>
      <c r="K249" s="66"/>
      <c r="L249" s="149"/>
      <c r="M249" s="149"/>
      <c r="U249" s="149"/>
      <c r="V249" s="149"/>
      <c r="W249" s="149"/>
      <c r="X249" s="149"/>
      <c r="Y249" s="149"/>
      <c r="Z249" s="149"/>
      <c r="AA249" s="149"/>
      <c r="AB249" s="149"/>
      <c r="AP249" s="134"/>
      <c r="AQ249" s="134"/>
      <c r="AR249" s="134"/>
      <c r="AS249" s="134"/>
      <c r="AT249" s="134"/>
      <c r="AU249" s="136"/>
      <c r="AV249" s="136"/>
      <c r="AW249" s="136"/>
    </row>
    <row r="250" spans="2:49" ht="21.75" customHeight="1" x14ac:dyDescent="0.35">
      <c r="B250" s="66"/>
      <c r="C250" s="118"/>
      <c r="D250" s="146"/>
      <c r="E250" s="146"/>
      <c r="F250" s="70"/>
      <c r="G250" s="146"/>
      <c r="H250" s="70"/>
      <c r="I250" s="146"/>
      <c r="J250" s="70"/>
      <c r="K250" s="66"/>
      <c r="L250" s="149"/>
      <c r="M250" s="149"/>
      <c r="U250" s="149"/>
      <c r="V250" s="149"/>
      <c r="W250" s="149"/>
      <c r="X250" s="149"/>
      <c r="Y250" s="149"/>
      <c r="Z250" s="149"/>
      <c r="AA250" s="149"/>
      <c r="AB250" s="149"/>
      <c r="AP250" s="134"/>
      <c r="AQ250" s="134"/>
      <c r="AR250" s="134"/>
      <c r="AS250" s="134"/>
      <c r="AT250" s="134"/>
      <c r="AU250" s="136"/>
      <c r="AV250" s="136"/>
      <c r="AW250" s="136"/>
    </row>
    <row r="251" spans="2:49" ht="21.75" customHeight="1" x14ac:dyDescent="0.35">
      <c r="B251" s="66"/>
      <c r="C251" s="118"/>
      <c r="D251" s="146"/>
      <c r="E251" s="146"/>
      <c r="F251" s="70"/>
      <c r="G251" s="146"/>
      <c r="H251" s="70"/>
      <c r="I251" s="146"/>
      <c r="J251" s="70"/>
      <c r="K251" s="66"/>
      <c r="L251" s="149"/>
      <c r="M251" s="149"/>
      <c r="U251" s="149"/>
      <c r="V251" s="149"/>
      <c r="W251" s="149"/>
      <c r="X251" s="149"/>
      <c r="Y251" s="149"/>
      <c r="Z251" s="149"/>
      <c r="AA251" s="149"/>
      <c r="AB251" s="149"/>
      <c r="AP251" s="134"/>
      <c r="AQ251" s="134"/>
      <c r="AR251" s="134"/>
      <c r="AS251" s="134"/>
      <c r="AT251" s="134"/>
      <c r="AU251" s="136"/>
      <c r="AV251" s="136"/>
      <c r="AW251" s="136"/>
    </row>
    <row r="252" spans="2:49" ht="21.75" customHeight="1" x14ac:dyDescent="0.35">
      <c r="B252" s="66"/>
      <c r="C252" s="118"/>
      <c r="D252" s="146"/>
      <c r="E252" s="146"/>
      <c r="F252" s="70"/>
      <c r="G252" s="146"/>
      <c r="H252" s="70"/>
      <c r="I252" s="146"/>
      <c r="J252" s="70"/>
      <c r="K252" s="66"/>
      <c r="L252" s="149"/>
      <c r="M252" s="149"/>
      <c r="U252" s="149"/>
      <c r="V252" s="149"/>
      <c r="W252" s="149"/>
      <c r="X252" s="149"/>
      <c r="Y252" s="149"/>
      <c r="Z252" s="149"/>
      <c r="AA252" s="149"/>
      <c r="AB252" s="149"/>
      <c r="AP252" s="134"/>
      <c r="AQ252" s="134"/>
      <c r="AR252" s="134"/>
      <c r="AS252" s="134"/>
      <c r="AT252" s="134"/>
      <c r="AU252" s="136"/>
      <c r="AV252" s="136"/>
      <c r="AW252" s="136"/>
    </row>
    <row r="253" spans="2:49" ht="21.75" customHeight="1" x14ac:dyDescent="0.35">
      <c r="B253" s="66"/>
      <c r="C253" s="118"/>
      <c r="D253" s="146"/>
      <c r="E253" s="146"/>
      <c r="F253" s="70"/>
      <c r="G253" s="146"/>
      <c r="H253" s="70"/>
      <c r="I253" s="146"/>
      <c r="J253" s="70"/>
      <c r="K253" s="66"/>
      <c r="L253" s="149"/>
      <c r="M253" s="149"/>
      <c r="U253" s="149"/>
      <c r="V253" s="149"/>
      <c r="W253" s="149"/>
      <c r="X253" s="149"/>
      <c r="Y253" s="149"/>
      <c r="Z253" s="149"/>
      <c r="AA253" s="149"/>
      <c r="AB253" s="149"/>
      <c r="AP253" s="134"/>
      <c r="AQ253" s="134"/>
      <c r="AR253" s="134"/>
      <c r="AS253" s="134"/>
      <c r="AT253" s="134"/>
      <c r="AU253" s="136"/>
      <c r="AV253" s="136"/>
      <c r="AW253" s="136"/>
    </row>
    <row r="254" spans="2:49" ht="21.75" customHeight="1" x14ac:dyDescent="0.35">
      <c r="B254" s="66"/>
      <c r="C254" s="118"/>
      <c r="D254" s="146"/>
      <c r="E254" s="146"/>
      <c r="F254" s="70"/>
      <c r="G254" s="146"/>
      <c r="H254" s="70"/>
      <c r="I254" s="146"/>
      <c r="J254" s="70"/>
      <c r="K254" s="66"/>
      <c r="L254" s="149"/>
      <c r="M254" s="149"/>
      <c r="U254" s="149"/>
      <c r="V254" s="149"/>
      <c r="W254" s="149"/>
      <c r="X254" s="149"/>
      <c r="Y254" s="149"/>
      <c r="Z254" s="149"/>
      <c r="AA254" s="149"/>
      <c r="AB254" s="149"/>
      <c r="AP254" s="134"/>
      <c r="AQ254" s="134"/>
      <c r="AR254" s="134"/>
      <c r="AS254" s="134"/>
      <c r="AT254" s="134"/>
      <c r="AU254" s="136"/>
      <c r="AV254" s="136"/>
      <c r="AW254" s="136"/>
    </row>
    <row r="255" spans="2:49" ht="21.75" customHeight="1" x14ac:dyDescent="0.35">
      <c r="B255" s="66"/>
      <c r="C255" s="118"/>
      <c r="D255" s="146"/>
      <c r="E255" s="146"/>
      <c r="F255" s="70"/>
      <c r="G255" s="146"/>
      <c r="H255" s="70"/>
      <c r="I255" s="146"/>
      <c r="J255" s="70"/>
      <c r="K255" s="66"/>
      <c r="L255" s="149"/>
      <c r="M255" s="149"/>
      <c r="U255" s="149"/>
      <c r="V255" s="149"/>
      <c r="W255" s="149"/>
      <c r="X255" s="149"/>
      <c r="Y255" s="149"/>
      <c r="Z255" s="149"/>
      <c r="AA255" s="149"/>
      <c r="AB255" s="149"/>
      <c r="AP255" s="134"/>
      <c r="AQ255" s="134"/>
      <c r="AR255" s="134"/>
      <c r="AS255" s="134"/>
      <c r="AT255" s="134"/>
      <c r="AU255" s="136"/>
      <c r="AV255" s="136"/>
      <c r="AW255" s="136"/>
    </row>
    <row r="256" spans="2:49" ht="21.75" customHeight="1" x14ac:dyDescent="0.35">
      <c r="B256" s="66"/>
      <c r="C256" s="118"/>
      <c r="D256" s="146"/>
      <c r="E256" s="146"/>
      <c r="F256" s="70"/>
      <c r="G256" s="146"/>
      <c r="H256" s="70"/>
      <c r="I256" s="146"/>
      <c r="J256" s="70"/>
      <c r="K256" s="66"/>
      <c r="L256" s="149"/>
      <c r="M256" s="149"/>
      <c r="U256" s="149"/>
      <c r="V256" s="149"/>
      <c r="W256" s="149"/>
      <c r="X256" s="149"/>
      <c r="Y256" s="149"/>
      <c r="Z256" s="149"/>
      <c r="AA256" s="149"/>
      <c r="AB256" s="149"/>
      <c r="AP256" s="134"/>
      <c r="AQ256" s="134"/>
      <c r="AR256" s="134"/>
      <c r="AS256" s="134"/>
      <c r="AT256" s="134"/>
      <c r="AU256" s="136"/>
      <c r="AV256" s="136"/>
      <c r="AW256" s="136"/>
    </row>
    <row r="257" spans="2:49" ht="21.75" customHeight="1" x14ac:dyDescent="0.35">
      <c r="B257" s="66"/>
      <c r="C257" s="118"/>
      <c r="D257" s="146"/>
      <c r="E257" s="146"/>
      <c r="F257" s="70"/>
      <c r="G257" s="146"/>
      <c r="H257" s="70"/>
      <c r="I257" s="146"/>
      <c r="J257" s="70"/>
      <c r="K257" s="66"/>
      <c r="L257" s="149"/>
      <c r="M257" s="149"/>
      <c r="U257" s="149"/>
      <c r="V257" s="149"/>
      <c r="W257" s="149"/>
      <c r="X257" s="149"/>
      <c r="Y257" s="149"/>
      <c r="Z257" s="149"/>
      <c r="AA257" s="149"/>
      <c r="AB257" s="149"/>
      <c r="AP257" s="134"/>
      <c r="AQ257" s="134"/>
      <c r="AR257" s="134"/>
      <c r="AS257" s="134"/>
      <c r="AT257" s="134"/>
      <c r="AU257" s="136"/>
      <c r="AV257" s="136"/>
      <c r="AW257" s="136"/>
    </row>
    <row r="258" spans="2:49" ht="21.75" customHeight="1" x14ac:dyDescent="0.35">
      <c r="B258" s="66"/>
      <c r="C258" s="118"/>
      <c r="D258" s="146"/>
      <c r="E258" s="146"/>
      <c r="F258" s="70"/>
      <c r="G258" s="146"/>
      <c r="H258" s="70"/>
      <c r="I258" s="146"/>
      <c r="J258" s="70"/>
      <c r="K258" s="66"/>
      <c r="L258" s="149"/>
      <c r="M258" s="149"/>
      <c r="U258" s="149"/>
      <c r="V258" s="149"/>
      <c r="W258" s="149"/>
      <c r="X258" s="149"/>
      <c r="Y258" s="149"/>
      <c r="Z258" s="149"/>
      <c r="AA258" s="149"/>
      <c r="AB258" s="149"/>
      <c r="AP258" s="134"/>
      <c r="AQ258" s="134"/>
      <c r="AR258" s="134"/>
      <c r="AS258" s="134"/>
      <c r="AT258" s="134"/>
      <c r="AU258" s="136"/>
      <c r="AV258" s="136"/>
      <c r="AW258" s="136"/>
    </row>
    <row r="259" spans="2:49" ht="21.75" customHeight="1" x14ac:dyDescent="0.35">
      <c r="B259" s="66"/>
      <c r="C259" s="118"/>
      <c r="D259" s="146"/>
      <c r="E259" s="146"/>
      <c r="F259" s="70"/>
      <c r="G259" s="146"/>
      <c r="H259" s="70"/>
      <c r="I259" s="146"/>
      <c r="J259" s="70"/>
      <c r="K259" s="66"/>
      <c r="L259" s="149"/>
      <c r="M259" s="149"/>
      <c r="U259" s="149"/>
      <c r="V259" s="149"/>
      <c r="W259" s="149"/>
      <c r="X259" s="149"/>
      <c r="Y259" s="149"/>
      <c r="Z259" s="149"/>
      <c r="AA259" s="149"/>
      <c r="AB259" s="149"/>
      <c r="AP259" s="134"/>
      <c r="AQ259" s="134"/>
      <c r="AR259" s="134"/>
      <c r="AS259" s="134"/>
      <c r="AT259" s="134"/>
      <c r="AU259" s="136"/>
      <c r="AV259" s="136"/>
      <c r="AW259" s="136"/>
    </row>
    <row r="260" spans="2:49" ht="21.75" customHeight="1" x14ac:dyDescent="0.35">
      <c r="B260" s="66"/>
      <c r="C260" s="118"/>
      <c r="D260" s="146"/>
      <c r="E260" s="146"/>
      <c r="F260" s="70"/>
      <c r="G260" s="146"/>
      <c r="H260" s="70"/>
      <c r="I260" s="146"/>
      <c r="J260" s="70"/>
      <c r="K260" s="66"/>
      <c r="L260" s="149"/>
      <c r="M260" s="149"/>
      <c r="U260" s="149"/>
      <c r="V260" s="149"/>
      <c r="W260" s="149"/>
      <c r="X260" s="149"/>
      <c r="Y260" s="149"/>
      <c r="Z260" s="149"/>
      <c r="AA260" s="149"/>
      <c r="AB260" s="149"/>
      <c r="AP260" s="134"/>
      <c r="AQ260" s="134"/>
      <c r="AR260" s="134"/>
      <c r="AS260" s="134"/>
      <c r="AT260" s="134"/>
      <c r="AU260" s="136"/>
      <c r="AV260" s="136"/>
      <c r="AW260" s="136"/>
    </row>
    <row r="261" spans="2:49" ht="21.75" customHeight="1" x14ac:dyDescent="0.35">
      <c r="B261" s="66"/>
      <c r="C261" s="118"/>
      <c r="D261" s="146"/>
      <c r="E261" s="146"/>
      <c r="F261" s="70"/>
      <c r="G261" s="146"/>
      <c r="H261" s="70"/>
      <c r="I261" s="146"/>
      <c r="J261" s="70"/>
      <c r="K261" s="66"/>
      <c r="L261" s="149"/>
      <c r="M261" s="149"/>
      <c r="U261" s="149"/>
      <c r="V261" s="149"/>
      <c r="W261" s="149"/>
      <c r="X261" s="149"/>
      <c r="Y261" s="149"/>
      <c r="Z261" s="149"/>
      <c r="AA261" s="149"/>
      <c r="AB261" s="149"/>
      <c r="AP261" s="134"/>
      <c r="AQ261" s="134"/>
      <c r="AR261" s="134"/>
      <c r="AS261" s="134"/>
      <c r="AT261" s="134"/>
      <c r="AU261" s="136"/>
      <c r="AV261" s="136"/>
      <c r="AW261" s="136"/>
    </row>
    <row r="262" spans="2:49" ht="21.75" customHeight="1" x14ac:dyDescent="0.35">
      <c r="B262" s="66"/>
      <c r="C262" s="118"/>
      <c r="D262" s="146"/>
      <c r="E262" s="146"/>
      <c r="F262" s="70"/>
      <c r="G262" s="146"/>
      <c r="H262" s="70"/>
      <c r="I262" s="146"/>
      <c r="J262" s="70"/>
      <c r="K262" s="66"/>
      <c r="L262" s="149"/>
      <c r="M262" s="149"/>
      <c r="U262" s="149"/>
      <c r="V262" s="149"/>
      <c r="W262" s="149"/>
      <c r="X262" s="149"/>
      <c r="Y262" s="149"/>
      <c r="Z262" s="149"/>
      <c r="AA262" s="149"/>
      <c r="AB262" s="149"/>
      <c r="AP262" s="134"/>
      <c r="AQ262" s="134"/>
      <c r="AR262" s="134"/>
      <c r="AS262" s="134"/>
      <c r="AT262" s="134"/>
      <c r="AU262" s="136"/>
      <c r="AV262" s="136"/>
      <c r="AW262" s="136"/>
    </row>
    <row r="263" spans="2:49" ht="21.75" customHeight="1" x14ac:dyDescent="0.35">
      <c r="B263" s="66"/>
      <c r="C263" s="118"/>
      <c r="D263" s="146"/>
      <c r="E263" s="146"/>
      <c r="F263" s="70"/>
      <c r="G263" s="146"/>
      <c r="H263" s="70"/>
      <c r="I263" s="146"/>
      <c r="J263" s="70"/>
      <c r="K263" s="66"/>
      <c r="L263" s="149"/>
      <c r="M263" s="149"/>
      <c r="U263" s="149"/>
      <c r="V263" s="149"/>
      <c r="W263" s="149"/>
      <c r="X263" s="149"/>
      <c r="Y263" s="149"/>
      <c r="Z263" s="149"/>
      <c r="AA263" s="149"/>
      <c r="AB263" s="149"/>
      <c r="AP263" s="134"/>
      <c r="AQ263" s="134"/>
      <c r="AR263" s="134"/>
      <c r="AS263" s="134"/>
      <c r="AT263" s="134"/>
      <c r="AU263" s="136"/>
      <c r="AV263" s="136"/>
      <c r="AW263" s="136"/>
    </row>
    <row r="264" spans="2:49" ht="21.75" customHeight="1" x14ac:dyDescent="0.35">
      <c r="B264" s="66"/>
      <c r="C264" s="118"/>
      <c r="D264" s="146"/>
      <c r="E264" s="146"/>
      <c r="F264" s="70"/>
      <c r="G264" s="146"/>
      <c r="H264" s="70"/>
      <c r="I264" s="146"/>
      <c r="J264" s="70"/>
      <c r="K264" s="66"/>
      <c r="L264" s="149"/>
      <c r="M264" s="149"/>
      <c r="U264" s="149"/>
      <c r="V264" s="149"/>
      <c r="W264" s="149"/>
      <c r="X264" s="149"/>
      <c r="Y264" s="149"/>
      <c r="Z264" s="149"/>
      <c r="AA264" s="149"/>
      <c r="AB264" s="149"/>
      <c r="AP264" s="134"/>
      <c r="AQ264" s="134"/>
      <c r="AR264" s="134"/>
      <c r="AS264" s="134"/>
      <c r="AT264" s="134"/>
      <c r="AU264" s="136"/>
      <c r="AV264" s="136"/>
      <c r="AW264" s="136"/>
    </row>
    <row r="265" spans="2:49" ht="21.75" customHeight="1" x14ac:dyDescent="0.35">
      <c r="B265" s="66"/>
      <c r="C265" s="118"/>
      <c r="D265" s="146"/>
      <c r="E265" s="146"/>
      <c r="F265" s="70"/>
      <c r="G265" s="146"/>
      <c r="H265" s="70"/>
      <c r="I265" s="146"/>
      <c r="J265" s="70"/>
      <c r="K265" s="66"/>
      <c r="L265" s="149"/>
      <c r="M265" s="149"/>
      <c r="U265" s="149"/>
      <c r="V265" s="149"/>
      <c r="W265" s="149"/>
      <c r="X265" s="149"/>
      <c r="Y265" s="149"/>
      <c r="Z265" s="149"/>
      <c r="AA265" s="149"/>
      <c r="AB265" s="149"/>
      <c r="AP265" s="134"/>
      <c r="AQ265" s="134"/>
      <c r="AR265" s="134"/>
      <c r="AS265" s="134"/>
      <c r="AT265" s="134"/>
      <c r="AU265" s="136"/>
      <c r="AV265" s="136"/>
      <c r="AW265" s="136"/>
    </row>
    <row r="266" spans="2:49" ht="21.75" customHeight="1" x14ac:dyDescent="0.35">
      <c r="B266" s="66"/>
      <c r="C266" s="118"/>
      <c r="D266" s="146"/>
      <c r="E266" s="146"/>
      <c r="F266" s="70"/>
      <c r="G266" s="146"/>
      <c r="H266" s="70"/>
      <c r="I266" s="146"/>
      <c r="J266" s="70"/>
      <c r="K266" s="66"/>
      <c r="L266" s="149"/>
      <c r="M266" s="149"/>
      <c r="U266" s="149"/>
      <c r="V266" s="149"/>
      <c r="W266" s="149"/>
      <c r="X266" s="149"/>
      <c r="Y266" s="149"/>
      <c r="Z266" s="149"/>
      <c r="AA266" s="149"/>
      <c r="AB266" s="149"/>
      <c r="AP266" s="134"/>
      <c r="AQ266" s="134"/>
      <c r="AR266" s="134"/>
      <c r="AS266" s="134"/>
      <c r="AT266" s="134"/>
      <c r="AU266" s="136"/>
      <c r="AV266" s="136"/>
      <c r="AW266" s="136"/>
    </row>
    <row r="267" spans="2:49" ht="21.75" customHeight="1" x14ac:dyDescent="0.35">
      <c r="B267" s="66"/>
      <c r="C267" s="118"/>
      <c r="D267" s="146"/>
      <c r="E267" s="146"/>
      <c r="F267" s="70"/>
      <c r="G267" s="146"/>
      <c r="H267" s="70"/>
      <c r="I267" s="146"/>
      <c r="J267" s="70"/>
      <c r="K267" s="66"/>
      <c r="L267" s="149"/>
      <c r="M267" s="149"/>
      <c r="U267" s="149"/>
      <c r="V267" s="149"/>
      <c r="W267" s="149"/>
      <c r="X267" s="149"/>
      <c r="Y267" s="149"/>
      <c r="Z267" s="149"/>
      <c r="AA267" s="149"/>
      <c r="AB267" s="149"/>
      <c r="AP267" s="134"/>
      <c r="AQ267" s="134"/>
      <c r="AR267" s="134"/>
      <c r="AS267" s="134"/>
      <c r="AT267" s="134"/>
      <c r="AU267" s="136"/>
      <c r="AV267" s="136"/>
      <c r="AW267" s="136"/>
    </row>
    <row r="268" spans="2:49" ht="21.75" customHeight="1" x14ac:dyDescent="0.35">
      <c r="B268" s="66"/>
      <c r="C268" s="118"/>
      <c r="D268" s="146"/>
      <c r="E268" s="146"/>
      <c r="F268" s="70"/>
      <c r="G268" s="146"/>
      <c r="H268" s="70"/>
      <c r="I268" s="146"/>
      <c r="J268" s="70"/>
      <c r="K268" s="66"/>
      <c r="L268" s="149"/>
      <c r="M268" s="149"/>
      <c r="U268" s="149"/>
      <c r="V268" s="149"/>
      <c r="W268" s="149"/>
      <c r="X268" s="149"/>
      <c r="Y268" s="149"/>
      <c r="Z268" s="149"/>
      <c r="AA268" s="149"/>
      <c r="AB268" s="149"/>
      <c r="AP268" s="134"/>
      <c r="AQ268" s="134"/>
      <c r="AR268" s="134"/>
      <c r="AS268" s="134"/>
      <c r="AT268" s="134"/>
      <c r="AU268" s="136"/>
      <c r="AV268" s="136"/>
      <c r="AW268" s="136"/>
    </row>
    <row r="269" spans="2:49" ht="21.75" customHeight="1" x14ac:dyDescent="0.35">
      <c r="B269" s="66"/>
      <c r="C269" s="118"/>
      <c r="D269" s="146"/>
      <c r="E269" s="146"/>
      <c r="F269" s="70"/>
      <c r="G269" s="146"/>
      <c r="H269" s="70"/>
      <c r="I269" s="146"/>
      <c r="J269" s="70"/>
      <c r="K269" s="66"/>
      <c r="L269" s="149"/>
      <c r="M269" s="149"/>
      <c r="U269" s="149"/>
      <c r="V269" s="149"/>
      <c r="W269" s="149"/>
      <c r="X269" s="149"/>
      <c r="Y269" s="149"/>
      <c r="Z269" s="149"/>
      <c r="AA269" s="149"/>
      <c r="AB269" s="149"/>
      <c r="AP269" s="134"/>
      <c r="AQ269" s="134"/>
      <c r="AR269" s="134"/>
      <c r="AS269" s="134"/>
      <c r="AT269" s="134"/>
      <c r="AU269" s="136"/>
      <c r="AV269" s="136"/>
      <c r="AW269" s="136"/>
    </row>
    <row r="270" spans="2:49" ht="21.75" customHeight="1" x14ac:dyDescent="0.35">
      <c r="B270" s="66"/>
      <c r="C270" s="118"/>
      <c r="D270" s="146"/>
      <c r="E270" s="146"/>
      <c r="F270" s="70"/>
      <c r="G270" s="146"/>
      <c r="H270" s="70"/>
      <c r="I270" s="146"/>
      <c r="J270" s="70"/>
      <c r="K270" s="66"/>
      <c r="L270" s="149"/>
      <c r="M270" s="149"/>
      <c r="U270" s="149"/>
      <c r="V270" s="149"/>
      <c r="W270" s="149"/>
      <c r="X270" s="149"/>
      <c r="Y270" s="149"/>
      <c r="Z270" s="149"/>
      <c r="AA270" s="149"/>
      <c r="AB270" s="149"/>
      <c r="AP270" s="134"/>
      <c r="AQ270" s="134"/>
      <c r="AR270" s="134"/>
      <c r="AS270" s="134"/>
      <c r="AT270" s="134"/>
      <c r="AU270" s="136"/>
      <c r="AV270" s="136"/>
      <c r="AW270" s="136"/>
    </row>
    <row r="271" spans="2:49" ht="21.75" customHeight="1" x14ac:dyDescent="0.35">
      <c r="B271" s="66"/>
      <c r="C271" s="118"/>
      <c r="D271" s="146"/>
      <c r="E271" s="146"/>
      <c r="F271" s="70"/>
      <c r="G271" s="146"/>
      <c r="H271" s="70"/>
      <c r="I271" s="146"/>
      <c r="J271" s="70"/>
      <c r="K271" s="66"/>
      <c r="L271" s="149"/>
      <c r="M271" s="149"/>
      <c r="U271" s="149"/>
      <c r="V271" s="149"/>
      <c r="W271" s="149"/>
      <c r="X271" s="149"/>
      <c r="Y271" s="149"/>
      <c r="Z271" s="149"/>
      <c r="AA271" s="149"/>
      <c r="AB271" s="149"/>
      <c r="AP271" s="134"/>
      <c r="AQ271" s="134"/>
      <c r="AR271" s="134"/>
      <c r="AS271" s="134"/>
      <c r="AT271" s="134"/>
      <c r="AU271" s="136"/>
      <c r="AV271" s="136"/>
      <c r="AW271" s="136"/>
    </row>
    <row r="272" spans="2:49" ht="21.75" customHeight="1" x14ac:dyDescent="0.35">
      <c r="B272" s="66"/>
      <c r="C272" s="118"/>
      <c r="D272" s="146"/>
      <c r="E272" s="146"/>
      <c r="F272" s="70"/>
      <c r="G272" s="146"/>
      <c r="H272" s="70"/>
      <c r="I272" s="146"/>
      <c r="J272" s="70"/>
      <c r="K272" s="66"/>
      <c r="L272" s="149"/>
      <c r="M272" s="149"/>
      <c r="U272" s="149"/>
      <c r="V272" s="149"/>
      <c r="W272" s="149"/>
      <c r="X272" s="149"/>
      <c r="Y272" s="149"/>
      <c r="Z272" s="149"/>
      <c r="AA272" s="149"/>
      <c r="AB272" s="149"/>
      <c r="AP272" s="134"/>
      <c r="AQ272" s="134"/>
      <c r="AR272" s="134"/>
      <c r="AS272" s="134"/>
      <c r="AT272" s="134"/>
      <c r="AU272" s="136"/>
      <c r="AV272" s="136"/>
      <c r="AW272" s="136"/>
    </row>
    <row r="273" spans="2:49" ht="21.75" customHeight="1" x14ac:dyDescent="0.35">
      <c r="B273" s="66"/>
      <c r="C273" s="118"/>
      <c r="D273" s="146"/>
      <c r="E273" s="146"/>
      <c r="F273" s="70"/>
      <c r="G273" s="146"/>
      <c r="H273" s="70"/>
      <c r="I273" s="146"/>
      <c r="J273" s="70"/>
      <c r="K273" s="66"/>
      <c r="L273" s="149"/>
      <c r="M273" s="149"/>
      <c r="U273" s="149"/>
      <c r="V273" s="149"/>
      <c r="W273" s="149"/>
      <c r="X273" s="149"/>
      <c r="Y273" s="149"/>
      <c r="Z273" s="149"/>
      <c r="AA273" s="149"/>
      <c r="AB273" s="149"/>
      <c r="AP273" s="134"/>
      <c r="AQ273" s="134"/>
      <c r="AR273" s="134"/>
      <c r="AS273" s="134"/>
      <c r="AT273" s="134"/>
      <c r="AU273" s="136"/>
      <c r="AV273" s="136"/>
      <c r="AW273" s="136"/>
    </row>
    <row r="274" spans="2:49" ht="21.75" customHeight="1" x14ac:dyDescent="0.35">
      <c r="B274" s="66"/>
      <c r="C274" s="118"/>
      <c r="D274" s="146"/>
      <c r="E274" s="146"/>
      <c r="F274" s="70"/>
      <c r="G274" s="146"/>
      <c r="H274" s="70"/>
      <c r="I274" s="146"/>
      <c r="J274" s="70"/>
      <c r="K274" s="66"/>
      <c r="L274" s="149"/>
      <c r="M274" s="149"/>
      <c r="U274" s="149"/>
      <c r="V274" s="149"/>
      <c r="W274" s="149"/>
      <c r="X274" s="149"/>
      <c r="Y274" s="149"/>
      <c r="Z274" s="149"/>
      <c r="AA274" s="149"/>
      <c r="AB274" s="149"/>
      <c r="AP274" s="134"/>
      <c r="AQ274" s="134"/>
      <c r="AR274" s="134"/>
      <c r="AS274" s="134"/>
      <c r="AT274" s="134"/>
      <c r="AU274" s="136"/>
      <c r="AV274" s="136"/>
      <c r="AW274" s="136"/>
    </row>
    <row r="275" spans="2:49" ht="21.75" customHeight="1" x14ac:dyDescent="0.35">
      <c r="B275" s="66"/>
      <c r="C275" s="118"/>
      <c r="D275" s="146"/>
      <c r="E275" s="146"/>
      <c r="F275" s="70"/>
      <c r="G275" s="146"/>
      <c r="H275" s="70"/>
      <c r="I275" s="146"/>
      <c r="J275" s="70"/>
      <c r="K275" s="66"/>
      <c r="L275" s="149"/>
      <c r="M275" s="149"/>
      <c r="U275" s="149"/>
      <c r="V275" s="149"/>
      <c r="W275" s="149"/>
      <c r="X275" s="149"/>
      <c r="Y275" s="149"/>
      <c r="Z275" s="149"/>
      <c r="AA275" s="149"/>
      <c r="AB275" s="149"/>
      <c r="AP275" s="134"/>
      <c r="AQ275" s="134"/>
      <c r="AR275" s="134"/>
      <c r="AS275" s="134"/>
      <c r="AT275" s="134"/>
      <c r="AU275" s="136"/>
      <c r="AV275" s="136"/>
      <c r="AW275" s="136"/>
    </row>
    <row r="276" spans="2:49" ht="21.75" customHeight="1" x14ac:dyDescent="0.35">
      <c r="B276" s="66"/>
      <c r="C276" s="118"/>
      <c r="D276" s="146"/>
      <c r="E276" s="146"/>
      <c r="F276" s="70"/>
      <c r="G276" s="146"/>
      <c r="H276" s="70"/>
      <c r="I276" s="146"/>
      <c r="J276" s="70"/>
      <c r="K276" s="66"/>
      <c r="L276" s="149"/>
      <c r="M276" s="149"/>
      <c r="U276" s="149"/>
      <c r="V276" s="149"/>
      <c r="W276" s="149"/>
      <c r="X276" s="149"/>
      <c r="Y276" s="149"/>
      <c r="Z276" s="149"/>
      <c r="AA276" s="149"/>
      <c r="AB276" s="149"/>
      <c r="AP276" s="134"/>
      <c r="AQ276" s="134"/>
      <c r="AR276" s="134"/>
      <c r="AS276" s="134"/>
      <c r="AT276" s="134"/>
      <c r="AU276" s="136"/>
      <c r="AV276" s="136"/>
      <c r="AW276" s="136"/>
    </row>
    <row r="277" spans="2:49" ht="21.75" customHeight="1" x14ac:dyDescent="0.35">
      <c r="B277" s="66"/>
      <c r="C277" s="118"/>
      <c r="D277" s="146"/>
      <c r="E277" s="146"/>
      <c r="F277" s="70"/>
      <c r="G277" s="146"/>
      <c r="H277" s="70"/>
      <c r="I277" s="146"/>
      <c r="J277" s="70"/>
      <c r="K277" s="66"/>
      <c r="L277" s="149"/>
      <c r="M277" s="149"/>
      <c r="U277" s="149"/>
      <c r="V277" s="149"/>
      <c r="W277" s="149"/>
      <c r="X277" s="149"/>
      <c r="Y277" s="149"/>
      <c r="Z277" s="149"/>
      <c r="AA277" s="149"/>
      <c r="AB277" s="149"/>
      <c r="AP277" s="134"/>
      <c r="AQ277" s="134"/>
      <c r="AR277" s="134"/>
      <c r="AS277" s="134"/>
      <c r="AT277" s="134"/>
      <c r="AU277" s="136"/>
      <c r="AV277" s="136"/>
      <c r="AW277" s="136"/>
    </row>
    <row r="278" spans="2:49" ht="21.75" customHeight="1" x14ac:dyDescent="0.35">
      <c r="B278" s="66"/>
      <c r="C278" s="118"/>
      <c r="D278" s="146"/>
      <c r="E278" s="146"/>
      <c r="F278" s="70"/>
      <c r="G278" s="146"/>
      <c r="H278" s="70"/>
      <c r="I278" s="146"/>
      <c r="J278" s="70"/>
      <c r="K278" s="66"/>
      <c r="L278" s="149"/>
      <c r="M278" s="149"/>
      <c r="U278" s="149"/>
      <c r="V278" s="149"/>
      <c r="W278" s="149"/>
      <c r="X278" s="149"/>
      <c r="Y278" s="149"/>
      <c r="Z278" s="149"/>
      <c r="AA278" s="149"/>
      <c r="AB278" s="149"/>
      <c r="AP278" s="134"/>
      <c r="AQ278" s="134"/>
      <c r="AR278" s="134"/>
      <c r="AS278" s="134"/>
      <c r="AT278" s="134"/>
      <c r="AU278" s="136"/>
      <c r="AV278" s="136"/>
      <c r="AW278" s="136"/>
    </row>
    <row r="279" spans="2:49" ht="21.75" customHeight="1" x14ac:dyDescent="0.35">
      <c r="B279" s="66"/>
      <c r="C279" s="118"/>
      <c r="D279" s="146"/>
      <c r="E279" s="146"/>
      <c r="F279" s="70"/>
      <c r="G279" s="146"/>
      <c r="H279" s="70"/>
      <c r="I279" s="146"/>
      <c r="J279" s="70"/>
      <c r="K279" s="66"/>
      <c r="L279" s="149"/>
      <c r="M279" s="149"/>
      <c r="U279" s="149"/>
      <c r="V279" s="149"/>
      <c r="W279" s="149"/>
      <c r="X279" s="149"/>
      <c r="Y279" s="149"/>
      <c r="Z279" s="149"/>
      <c r="AA279" s="149"/>
      <c r="AB279" s="149"/>
      <c r="AP279" s="134"/>
      <c r="AQ279" s="134"/>
      <c r="AR279" s="134"/>
      <c r="AS279" s="134"/>
      <c r="AT279" s="134"/>
      <c r="AU279" s="136"/>
      <c r="AV279" s="136"/>
      <c r="AW279" s="136"/>
    </row>
    <row r="280" spans="2:49" ht="21.75" customHeight="1" x14ac:dyDescent="0.35">
      <c r="B280" s="66"/>
      <c r="C280" s="118"/>
      <c r="D280" s="146"/>
      <c r="E280" s="146"/>
      <c r="F280" s="70"/>
      <c r="G280" s="146"/>
      <c r="H280" s="70"/>
      <c r="I280" s="146"/>
      <c r="J280" s="70"/>
      <c r="K280" s="66"/>
      <c r="L280" s="149"/>
      <c r="M280" s="149"/>
      <c r="U280" s="149"/>
      <c r="V280" s="149"/>
      <c r="W280" s="149"/>
      <c r="X280" s="149"/>
      <c r="Y280" s="149"/>
      <c r="Z280" s="149"/>
      <c r="AA280" s="149"/>
      <c r="AB280" s="149"/>
      <c r="AP280" s="134"/>
      <c r="AQ280" s="134"/>
      <c r="AR280" s="134"/>
      <c r="AS280" s="134"/>
      <c r="AT280" s="134"/>
      <c r="AU280" s="136"/>
      <c r="AV280" s="136"/>
      <c r="AW280" s="136"/>
    </row>
    <row r="281" spans="2:49" ht="21.75" customHeight="1" x14ac:dyDescent="0.35">
      <c r="B281" s="66"/>
      <c r="C281" s="118"/>
      <c r="D281" s="146"/>
      <c r="E281" s="146"/>
      <c r="F281" s="70"/>
      <c r="G281" s="146"/>
      <c r="H281" s="70"/>
      <c r="I281" s="146"/>
      <c r="J281" s="70"/>
      <c r="K281" s="66"/>
      <c r="L281" s="149"/>
      <c r="M281" s="149"/>
      <c r="U281" s="149"/>
      <c r="V281" s="149"/>
      <c r="W281" s="149"/>
      <c r="X281" s="149"/>
      <c r="Y281" s="149"/>
      <c r="Z281" s="149"/>
      <c r="AA281" s="149"/>
      <c r="AB281" s="149"/>
      <c r="AP281" s="134"/>
      <c r="AQ281" s="134"/>
      <c r="AR281" s="134"/>
      <c r="AS281" s="134"/>
      <c r="AT281" s="134"/>
      <c r="AU281" s="136"/>
      <c r="AV281" s="136"/>
      <c r="AW281" s="136"/>
    </row>
    <row r="282" spans="2:49" ht="21.75" customHeight="1" x14ac:dyDescent="0.35">
      <c r="B282" s="66"/>
      <c r="C282" s="118"/>
      <c r="D282" s="146"/>
      <c r="E282" s="146"/>
      <c r="F282" s="70"/>
      <c r="G282" s="146"/>
      <c r="H282" s="70"/>
      <c r="I282" s="146"/>
      <c r="J282" s="70"/>
      <c r="K282" s="66"/>
      <c r="L282" s="149"/>
      <c r="M282" s="149"/>
      <c r="U282" s="149"/>
      <c r="V282" s="149"/>
      <c r="W282" s="149"/>
      <c r="X282" s="149"/>
      <c r="Y282" s="149"/>
      <c r="Z282" s="149"/>
      <c r="AA282" s="149"/>
      <c r="AB282" s="149"/>
      <c r="AP282" s="134"/>
      <c r="AQ282" s="134"/>
      <c r="AR282" s="134"/>
      <c r="AS282" s="134"/>
      <c r="AT282" s="134"/>
      <c r="AU282" s="136"/>
      <c r="AV282" s="136"/>
      <c r="AW282" s="136"/>
    </row>
    <row r="283" spans="2:49" ht="21.75" customHeight="1" x14ac:dyDescent="0.35">
      <c r="B283" s="66"/>
      <c r="C283" s="118"/>
      <c r="D283" s="146"/>
      <c r="E283" s="146"/>
      <c r="F283" s="70"/>
      <c r="G283" s="146"/>
      <c r="H283" s="70"/>
      <c r="I283" s="146"/>
      <c r="J283" s="70"/>
      <c r="K283" s="66"/>
      <c r="L283" s="149"/>
      <c r="M283" s="149"/>
      <c r="U283" s="149"/>
      <c r="V283" s="149"/>
      <c r="W283" s="149"/>
      <c r="X283" s="149"/>
      <c r="Y283" s="149"/>
      <c r="Z283" s="149"/>
      <c r="AA283" s="149"/>
      <c r="AB283" s="149"/>
      <c r="AP283" s="134"/>
      <c r="AQ283" s="134"/>
      <c r="AR283" s="134"/>
      <c r="AS283" s="134"/>
      <c r="AT283" s="134"/>
      <c r="AU283" s="136"/>
      <c r="AV283" s="136"/>
      <c r="AW283" s="136"/>
    </row>
    <row r="284" spans="2:49" ht="21.75" customHeight="1" x14ac:dyDescent="0.35">
      <c r="B284" s="66"/>
      <c r="C284" s="118"/>
      <c r="D284" s="146"/>
      <c r="E284" s="146"/>
      <c r="F284" s="70"/>
      <c r="G284" s="146"/>
      <c r="H284" s="70"/>
      <c r="I284" s="146"/>
      <c r="J284" s="70"/>
      <c r="K284" s="66"/>
      <c r="L284" s="149"/>
      <c r="M284" s="149"/>
      <c r="U284" s="149"/>
      <c r="V284" s="149"/>
      <c r="W284" s="149"/>
      <c r="X284" s="149"/>
      <c r="Y284" s="149"/>
      <c r="Z284" s="149"/>
      <c r="AA284" s="149"/>
      <c r="AB284" s="149"/>
      <c r="AP284" s="134"/>
      <c r="AQ284" s="134"/>
      <c r="AR284" s="134"/>
      <c r="AS284" s="134"/>
      <c r="AT284" s="134"/>
      <c r="AU284" s="136"/>
      <c r="AV284" s="136"/>
      <c r="AW284" s="136"/>
    </row>
    <row r="285" spans="2:49" ht="21.75" customHeight="1" x14ac:dyDescent="0.35">
      <c r="B285" s="66"/>
      <c r="C285" s="118"/>
      <c r="D285" s="146"/>
      <c r="E285" s="146"/>
      <c r="F285" s="70"/>
      <c r="G285" s="146"/>
      <c r="H285" s="70"/>
      <c r="I285" s="146"/>
      <c r="J285" s="70"/>
      <c r="K285" s="66"/>
      <c r="L285" s="149"/>
      <c r="M285" s="149"/>
      <c r="U285" s="149"/>
      <c r="V285" s="149"/>
      <c r="W285" s="149"/>
      <c r="X285" s="149"/>
      <c r="Y285" s="149"/>
      <c r="Z285" s="149"/>
      <c r="AA285" s="149"/>
      <c r="AB285" s="149"/>
      <c r="AP285" s="134"/>
      <c r="AQ285" s="134"/>
      <c r="AR285" s="134"/>
      <c r="AS285" s="134"/>
      <c r="AT285" s="134"/>
      <c r="AU285" s="136"/>
      <c r="AV285" s="136"/>
      <c r="AW285" s="136"/>
    </row>
    <row r="286" spans="2:49" ht="21.75" customHeight="1" x14ac:dyDescent="0.35">
      <c r="B286" s="66"/>
      <c r="C286" s="118"/>
      <c r="D286" s="146"/>
      <c r="E286" s="146"/>
      <c r="F286" s="70"/>
      <c r="G286" s="146"/>
      <c r="H286" s="70"/>
      <c r="I286" s="146"/>
      <c r="J286" s="70"/>
      <c r="K286" s="66"/>
      <c r="L286" s="149"/>
      <c r="M286" s="149"/>
      <c r="U286" s="149"/>
      <c r="V286" s="149"/>
      <c r="W286" s="149"/>
      <c r="X286" s="149"/>
      <c r="Y286" s="149"/>
      <c r="Z286" s="149"/>
      <c r="AA286" s="149"/>
      <c r="AB286" s="149"/>
      <c r="AP286" s="134"/>
      <c r="AQ286" s="134"/>
      <c r="AR286" s="134"/>
      <c r="AS286" s="134"/>
      <c r="AT286" s="134"/>
      <c r="AU286" s="136"/>
      <c r="AV286" s="136"/>
      <c r="AW286" s="136"/>
    </row>
    <row r="287" spans="2:49" ht="21.75" customHeight="1" x14ac:dyDescent="0.35">
      <c r="B287" s="66"/>
      <c r="C287" s="118"/>
      <c r="D287" s="146"/>
      <c r="E287" s="146"/>
      <c r="F287" s="70"/>
      <c r="G287" s="146"/>
      <c r="H287" s="70"/>
      <c r="I287" s="146"/>
      <c r="J287" s="70"/>
      <c r="K287" s="66"/>
      <c r="L287" s="149"/>
      <c r="M287" s="149"/>
      <c r="U287" s="149"/>
      <c r="V287" s="149"/>
      <c r="W287" s="149"/>
      <c r="X287" s="149"/>
      <c r="Y287" s="149"/>
      <c r="Z287" s="149"/>
      <c r="AA287" s="149"/>
      <c r="AB287" s="149"/>
      <c r="AP287" s="134"/>
      <c r="AQ287" s="134"/>
      <c r="AR287" s="134"/>
      <c r="AS287" s="134"/>
      <c r="AT287" s="134"/>
      <c r="AU287" s="136"/>
      <c r="AV287" s="136"/>
      <c r="AW287" s="136"/>
    </row>
    <row r="288" spans="2:49" ht="21.75" customHeight="1" x14ac:dyDescent="0.35">
      <c r="B288" s="66"/>
      <c r="C288" s="118"/>
      <c r="D288" s="146"/>
      <c r="E288" s="146"/>
      <c r="F288" s="70"/>
      <c r="G288" s="146"/>
      <c r="H288" s="70"/>
      <c r="I288" s="146"/>
      <c r="J288" s="70"/>
      <c r="K288" s="66"/>
      <c r="L288" s="149"/>
      <c r="M288" s="149"/>
      <c r="U288" s="149"/>
      <c r="V288" s="149"/>
      <c r="W288" s="149"/>
      <c r="X288" s="149"/>
      <c r="Y288" s="149"/>
      <c r="Z288" s="149"/>
      <c r="AA288" s="149"/>
      <c r="AB288" s="149"/>
      <c r="AP288" s="134"/>
      <c r="AQ288" s="134"/>
      <c r="AR288" s="134"/>
      <c r="AS288" s="134"/>
      <c r="AT288" s="134"/>
      <c r="AU288" s="136"/>
      <c r="AV288" s="136"/>
      <c r="AW288" s="136"/>
    </row>
    <row r="289" spans="2:49" ht="21.75" customHeight="1" x14ac:dyDescent="0.35">
      <c r="B289" s="66"/>
      <c r="C289" s="118"/>
      <c r="D289" s="146"/>
      <c r="E289" s="146"/>
      <c r="F289" s="70"/>
      <c r="G289" s="146"/>
      <c r="H289" s="70"/>
      <c r="I289" s="146"/>
      <c r="J289" s="70"/>
      <c r="K289" s="66"/>
      <c r="L289" s="149"/>
      <c r="M289" s="149"/>
      <c r="U289" s="149"/>
      <c r="V289" s="149"/>
      <c r="W289" s="149"/>
      <c r="X289" s="149"/>
      <c r="Y289" s="149"/>
      <c r="Z289" s="149"/>
      <c r="AA289" s="149"/>
      <c r="AB289" s="149"/>
      <c r="AP289" s="134"/>
      <c r="AQ289" s="134"/>
      <c r="AR289" s="134"/>
      <c r="AS289" s="134"/>
      <c r="AT289" s="134"/>
      <c r="AU289" s="136"/>
      <c r="AV289" s="136"/>
      <c r="AW289" s="136"/>
    </row>
    <row r="290" spans="2:49" ht="21.75" customHeight="1" x14ac:dyDescent="0.35">
      <c r="B290" s="66"/>
      <c r="C290" s="118"/>
      <c r="D290" s="146"/>
      <c r="E290" s="146"/>
      <c r="F290" s="70"/>
      <c r="G290" s="146"/>
      <c r="H290" s="70"/>
      <c r="I290" s="146"/>
      <c r="J290" s="70"/>
      <c r="K290" s="66"/>
      <c r="L290" s="149"/>
      <c r="M290" s="149"/>
      <c r="U290" s="149"/>
      <c r="V290" s="149"/>
      <c r="W290" s="149"/>
      <c r="X290" s="149"/>
      <c r="Y290" s="149"/>
      <c r="Z290" s="149"/>
      <c r="AA290" s="149"/>
      <c r="AB290" s="149"/>
      <c r="AP290" s="134"/>
      <c r="AQ290" s="134"/>
      <c r="AR290" s="134"/>
      <c r="AS290" s="134"/>
      <c r="AT290" s="134"/>
      <c r="AU290" s="136"/>
      <c r="AV290" s="136"/>
      <c r="AW290" s="136"/>
    </row>
    <row r="291" spans="2:49" ht="21.75" customHeight="1" x14ac:dyDescent="0.35">
      <c r="B291" s="66"/>
      <c r="C291" s="118"/>
      <c r="D291" s="146"/>
      <c r="E291" s="146"/>
      <c r="F291" s="70"/>
      <c r="G291" s="146"/>
      <c r="H291" s="70"/>
      <c r="I291" s="146"/>
      <c r="J291" s="70"/>
      <c r="K291" s="66"/>
      <c r="L291" s="149"/>
      <c r="M291" s="149"/>
      <c r="U291" s="149"/>
      <c r="V291" s="149"/>
      <c r="W291" s="149"/>
      <c r="X291" s="149"/>
      <c r="Y291" s="149"/>
      <c r="Z291" s="149"/>
      <c r="AA291" s="149"/>
      <c r="AB291" s="149"/>
      <c r="AP291" s="134"/>
      <c r="AQ291" s="134"/>
      <c r="AR291" s="134"/>
      <c r="AS291" s="134"/>
      <c r="AT291" s="134"/>
      <c r="AU291" s="136"/>
      <c r="AV291" s="136"/>
      <c r="AW291" s="136"/>
    </row>
    <row r="292" spans="2:49" ht="21.75" customHeight="1" x14ac:dyDescent="0.35">
      <c r="B292" s="66"/>
      <c r="C292" s="118"/>
      <c r="D292" s="146"/>
      <c r="E292" s="146"/>
      <c r="F292" s="70"/>
      <c r="G292" s="146"/>
      <c r="H292" s="70"/>
      <c r="I292" s="146"/>
      <c r="J292" s="70"/>
      <c r="K292" s="66"/>
      <c r="L292" s="149"/>
      <c r="M292" s="149"/>
      <c r="U292" s="149"/>
      <c r="V292" s="149"/>
      <c r="W292" s="149"/>
      <c r="X292" s="149"/>
      <c r="Y292" s="149"/>
      <c r="Z292" s="149"/>
      <c r="AA292" s="149"/>
      <c r="AB292" s="149"/>
      <c r="AP292" s="134"/>
      <c r="AQ292" s="134"/>
      <c r="AR292" s="134"/>
      <c r="AS292" s="134"/>
      <c r="AT292" s="134"/>
      <c r="AU292" s="136"/>
      <c r="AV292" s="136"/>
      <c r="AW292" s="136"/>
    </row>
    <row r="293" spans="2:49" ht="21.75" customHeight="1" x14ac:dyDescent="0.35">
      <c r="B293" s="66"/>
      <c r="C293" s="118"/>
      <c r="D293" s="146"/>
      <c r="E293" s="146"/>
      <c r="F293" s="70"/>
      <c r="G293" s="146"/>
      <c r="H293" s="70"/>
      <c r="I293" s="146"/>
      <c r="J293" s="70"/>
      <c r="K293" s="66"/>
      <c r="L293" s="149"/>
      <c r="M293" s="149"/>
      <c r="U293" s="149"/>
      <c r="V293" s="149"/>
      <c r="W293" s="149"/>
      <c r="X293" s="149"/>
      <c r="Y293" s="149"/>
      <c r="Z293" s="149"/>
      <c r="AA293" s="149"/>
      <c r="AB293" s="149"/>
      <c r="AP293" s="134"/>
      <c r="AQ293" s="134"/>
      <c r="AR293" s="134"/>
      <c r="AS293" s="134"/>
      <c r="AT293" s="134"/>
      <c r="AU293" s="136"/>
      <c r="AV293" s="136"/>
      <c r="AW293" s="136"/>
    </row>
    <row r="294" spans="2:49" ht="21.75" customHeight="1" x14ac:dyDescent="0.35">
      <c r="B294" s="66"/>
      <c r="C294" s="118"/>
      <c r="D294" s="146"/>
      <c r="E294" s="146"/>
      <c r="F294" s="70"/>
      <c r="G294" s="146"/>
      <c r="H294" s="70"/>
      <c r="I294" s="146"/>
      <c r="J294" s="70"/>
      <c r="K294" s="66"/>
      <c r="L294" s="149"/>
      <c r="M294" s="149"/>
      <c r="U294" s="149"/>
      <c r="V294" s="149"/>
      <c r="W294" s="149"/>
      <c r="X294" s="149"/>
      <c r="Y294" s="149"/>
      <c r="Z294" s="149"/>
      <c r="AA294" s="149"/>
      <c r="AB294" s="149"/>
      <c r="AP294" s="134"/>
      <c r="AQ294" s="134"/>
      <c r="AR294" s="134"/>
      <c r="AS294" s="134"/>
      <c r="AT294" s="134"/>
      <c r="AU294" s="136"/>
      <c r="AV294" s="136"/>
      <c r="AW294" s="136"/>
    </row>
    <row r="295" spans="2:49" ht="21.75" customHeight="1" x14ac:dyDescent="0.35">
      <c r="B295" s="66"/>
      <c r="C295" s="118"/>
      <c r="D295" s="146"/>
      <c r="E295" s="146"/>
      <c r="F295" s="70"/>
      <c r="G295" s="146"/>
      <c r="H295" s="70"/>
      <c r="I295" s="146"/>
      <c r="J295" s="70"/>
      <c r="K295" s="66"/>
      <c r="L295" s="149"/>
      <c r="M295" s="149"/>
      <c r="U295" s="149"/>
      <c r="V295" s="149"/>
      <c r="W295" s="149"/>
      <c r="X295" s="149"/>
      <c r="Y295" s="149"/>
      <c r="Z295" s="149"/>
      <c r="AA295" s="149"/>
      <c r="AB295" s="149"/>
      <c r="AP295" s="134"/>
      <c r="AQ295" s="134"/>
      <c r="AR295" s="134"/>
      <c r="AS295" s="134"/>
      <c r="AT295" s="134"/>
      <c r="AU295" s="136"/>
      <c r="AV295" s="136"/>
      <c r="AW295" s="136"/>
    </row>
    <row r="296" spans="2:49" ht="21.75" customHeight="1" x14ac:dyDescent="0.35">
      <c r="B296" s="66"/>
      <c r="C296" s="118"/>
      <c r="D296" s="146"/>
      <c r="E296" s="146"/>
      <c r="F296" s="70"/>
      <c r="G296" s="146"/>
      <c r="H296" s="70"/>
      <c r="I296" s="146"/>
      <c r="J296" s="70"/>
      <c r="K296" s="66"/>
      <c r="L296" s="149"/>
      <c r="M296" s="149"/>
      <c r="U296" s="149"/>
      <c r="V296" s="149"/>
      <c r="W296" s="149"/>
      <c r="X296" s="149"/>
      <c r="Y296" s="149"/>
      <c r="Z296" s="149"/>
      <c r="AA296" s="149"/>
      <c r="AB296" s="149"/>
      <c r="AP296" s="134"/>
      <c r="AQ296" s="134"/>
      <c r="AR296" s="134"/>
      <c r="AS296" s="134"/>
      <c r="AT296" s="134"/>
      <c r="AU296" s="136"/>
      <c r="AV296" s="136"/>
      <c r="AW296" s="136"/>
    </row>
    <row r="297" spans="2:49" ht="21.75" customHeight="1" x14ac:dyDescent="0.35">
      <c r="B297" s="66"/>
      <c r="C297" s="118"/>
      <c r="D297" s="146"/>
      <c r="E297" s="146"/>
      <c r="F297" s="70"/>
      <c r="G297" s="146"/>
      <c r="H297" s="70"/>
      <c r="I297" s="146"/>
      <c r="J297" s="70"/>
      <c r="K297" s="66"/>
      <c r="L297" s="149"/>
      <c r="M297" s="149"/>
      <c r="U297" s="149"/>
      <c r="V297" s="149"/>
      <c r="W297" s="149"/>
      <c r="X297" s="149"/>
      <c r="Y297" s="149"/>
      <c r="Z297" s="149"/>
      <c r="AA297" s="149"/>
      <c r="AB297" s="149"/>
      <c r="AP297" s="134"/>
      <c r="AQ297" s="134"/>
      <c r="AR297" s="134"/>
      <c r="AS297" s="134"/>
      <c r="AT297" s="134"/>
      <c r="AU297" s="136"/>
      <c r="AV297" s="136"/>
      <c r="AW297" s="136"/>
    </row>
    <row r="298" spans="2:49" ht="21.75" customHeight="1" x14ac:dyDescent="0.35">
      <c r="B298" s="66"/>
      <c r="C298" s="118"/>
      <c r="D298" s="146"/>
      <c r="E298" s="146"/>
      <c r="F298" s="70"/>
      <c r="G298" s="146"/>
      <c r="H298" s="70"/>
      <c r="I298" s="146"/>
      <c r="J298" s="70"/>
      <c r="K298" s="66"/>
      <c r="L298" s="149"/>
      <c r="M298" s="149"/>
      <c r="U298" s="149"/>
      <c r="V298" s="149"/>
      <c r="W298" s="149"/>
      <c r="X298" s="149"/>
      <c r="Y298" s="149"/>
      <c r="Z298" s="149"/>
      <c r="AA298" s="149"/>
      <c r="AB298" s="149"/>
      <c r="AP298" s="134"/>
      <c r="AQ298" s="134"/>
      <c r="AR298" s="134"/>
      <c r="AS298" s="134"/>
      <c r="AT298" s="134"/>
      <c r="AU298" s="136"/>
      <c r="AV298" s="136"/>
      <c r="AW298" s="136"/>
    </row>
    <row r="299" spans="2:49" ht="21.75" customHeight="1" x14ac:dyDescent="0.35">
      <c r="B299" s="66"/>
      <c r="C299" s="118"/>
      <c r="D299" s="146"/>
      <c r="E299" s="146"/>
      <c r="F299" s="70"/>
      <c r="G299" s="146"/>
      <c r="H299" s="70"/>
      <c r="I299" s="146"/>
      <c r="J299" s="70"/>
      <c r="K299" s="66"/>
      <c r="L299" s="149"/>
      <c r="M299" s="149"/>
      <c r="U299" s="149"/>
      <c r="V299" s="149"/>
      <c r="W299" s="149"/>
      <c r="X299" s="149"/>
      <c r="Y299" s="149"/>
      <c r="Z299" s="149"/>
      <c r="AA299" s="149"/>
      <c r="AB299" s="149"/>
      <c r="AP299" s="134"/>
      <c r="AQ299" s="134"/>
      <c r="AR299" s="134"/>
      <c r="AS299" s="134"/>
      <c r="AT299" s="134"/>
      <c r="AU299" s="136"/>
      <c r="AV299" s="136"/>
      <c r="AW299" s="136"/>
    </row>
    <row r="300" spans="2:49" ht="21.75" customHeight="1" x14ac:dyDescent="0.35">
      <c r="B300" s="66"/>
      <c r="C300" s="118"/>
      <c r="D300" s="146"/>
      <c r="E300" s="146"/>
      <c r="F300" s="70"/>
      <c r="G300" s="146"/>
      <c r="H300" s="70"/>
      <c r="I300" s="146"/>
      <c r="J300" s="70"/>
      <c r="K300" s="66"/>
      <c r="L300" s="149"/>
      <c r="M300" s="149"/>
      <c r="U300" s="149"/>
      <c r="V300" s="149"/>
      <c r="W300" s="149"/>
      <c r="X300" s="149"/>
      <c r="Y300" s="149"/>
      <c r="Z300" s="149"/>
      <c r="AA300" s="149"/>
      <c r="AB300" s="149"/>
      <c r="AP300" s="134"/>
      <c r="AQ300" s="134"/>
      <c r="AR300" s="134"/>
      <c r="AS300" s="134"/>
      <c r="AT300" s="134"/>
      <c r="AU300" s="136"/>
      <c r="AV300" s="136"/>
      <c r="AW300" s="136"/>
    </row>
    <row r="301" spans="2:49" ht="21.75" customHeight="1" x14ac:dyDescent="0.35">
      <c r="B301" s="66"/>
      <c r="C301" s="118"/>
      <c r="D301" s="146"/>
      <c r="E301" s="146"/>
      <c r="F301" s="70"/>
      <c r="G301" s="146"/>
      <c r="H301" s="70"/>
      <c r="I301" s="146"/>
      <c r="J301" s="70"/>
      <c r="K301" s="66"/>
      <c r="L301" s="149"/>
      <c r="M301" s="149"/>
      <c r="U301" s="149"/>
      <c r="V301" s="149"/>
      <c r="W301" s="149"/>
      <c r="X301" s="149"/>
      <c r="Y301" s="149"/>
      <c r="Z301" s="149"/>
      <c r="AA301" s="149"/>
      <c r="AB301" s="149"/>
      <c r="AP301" s="134"/>
      <c r="AQ301" s="134"/>
      <c r="AR301" s="134"/>
      <c r="AS301" s="134"/>
      <c r="AT301" s="134"/>
      <c r="AU301" s="136"/>
      <c r="AV301" s="136"/>
      <c r="AW301" s="136"/>
    </row>
    <row r="302" spans="2:49" ht="21.75" customHeight="1" x14ac:dyDescent="0.35">
      <c r="B302" s="66"/>
      <c r="C302" s="118"/>
      <c r="D302" s="146"/>
      <c r="E302" s="146"/>
      <c r="F302" s="70"/>
      <c r="G302" s="146"/>
      <c r="H302" s="70"/>
      <c r="I302" s="146"/>
      <c r="J302" s="70"/>
      <c r="K302" s="66"/>
      <c r="L302" s="149"/>
      <c r="M302" s="149"/>
      <c r="U302" s="149"/>
      <c r="V302" s="149"/>
      <c r="W302" s="149"/>
      <c r="X302" s="149"/>
      <c r="Y302" s="149"/>
      <c r="Z302" s="149"/>
      <c r="AA302" s="149"/>
      <c r="AB302" s="149"/>
      <c r="AP302" s="134"/>
      <c r="AQ302" s="134"/>
      <c r="AR302" s="134"/>
      <c r="AS302" s="134"/>
      <c r="AT302" s="134"/>
      <c r="AU302" s="136"/>
      <c r="AV302" s="136"/>
      <c r="AW302" s="136"/>
    </row>
    <row r="303" spans="2:49" ht="21.75" customHeight="1" x14ac:dyDescent="0.35">
      <c r="B303" s="66"/>
      <c r="C303" s="118"/>
      <c r="D303" s="146"/>
      <c r="E303" s="146"/>
      <c r="F303" s="70"/>
      <c r="G303" s="146"/>
      <c r="H303" s="70"/>
      <c r="I303" s="146"/>
      <c r="J303" s="70"/>
      <c r="K303" s="66"/>
      <c r="L303" s="149"/>
      <c r="M303" s="149"/>
      <c r="U303" s="149"/>
      <c r="V303" s="149"/>
      <c r="W303" s="149"/>
      <c r="X303" s="149"/>
      <c r="Y303" s="149"/>
      <c r="Z303" s="149"/>
      <c r="AA303" s="149"/>
      <c r="AB303" s="149"/>
      <c r="AP303" s="134"/>
      <c r="AQ303" s="134"/>
      <c r="AR303" s="134"/>
      <c r="AS303" s="134"/>
      <c r="AT303" s="134"/>
      <c r="AU303" s="136"/>
      <c r="AV303" s="136"/>
      <c r="AW303" s="136"/>
    </row>
    <row r="304" spans="2:49" ht="21.75" customHeight="1" x14ac:dyDescent="0.35">
      <c r="B304" s="66"/>
      <c r="C304" s="118"/>
      <c r="D304" s="146"/>
      <c r="E304" s="146"/>
      <c r="F304" s="70"/>
      <c r="G304" s="146"/>
      <c r="H304" s="70"/>
      <c r="I304" s="146"/>
      <c r="J304" s="70"/>
      <c r="K304" s="66"/>
      <c r="L304" s="149"/>
      <c r="M304" s="149"/>
      <c r="U304" s="149"/>
      <c r="V304" s="149"/>
      <c r="W304" s="149"/>
      <c r="X304" s="149"/>
      <c r="Y304" s="149"/>
      <c r="Z304" s="149"/>
      <c r="AA304" s="149"/>
      <c r="AB304" s="149"/>
      <c r="AP304" s="134"/>
      <c r="AQ304" s="134"/>
      <c r="AR304" s="134"/>
      <c r="AS304" s="134"/>
      <c r="AT304" s="134"/>
      <c r="AU304" s="136"/>
      <c r="AV304" s="136"/>
      <c r="AW304" s="136"/>
    </row>
    <row r="305" spans="2:49" ht="21.75" customHeight="1" x14ac:dyDescent="0.35">
      <c r="B305" s="66"/>
      <c r="C305" s="118"/>
      <c r="D305" s="146"/>
      <c r="E305" s="146"/>
      <c r="F305" s="70"/>
      <c r="G305" s="146"/>
      <c r="H305" s="70"/>
      <c r="I305" s="146"/>
      <c r="J305" s="70"/>
      <c r="K305" s="66"/>
      <c r="L305" s="149"/>
      <c r="M305" s="149"/>
      <c r="U305" s="149"/>
      <c r="V305" s="149"/>
      <c r="W305" s="149"/>
      <c r="X305" s="149"/>
      <c r="Y305" s="149"/>
      <c r="Z305" s="149"/>
      <c r="AA305" s="149"/>
      <c r="AB305" s="149"/>
      <c r="AP305" s="134"/>
      <c r="AQ305" s="134"/>
      <c r="AR305" s="134"/>
      <c r="AS305" s="134"/>
      <c r="AT305" s="134"/>
      <c r="AU305" s="136"/>
      <c r="AV305" s="136"/>
      <c r="AW305" s="136"/>
    </row>
    <row r="306" spans="2:49" ht="21.75" customHeight="1" x14ac:dyDescent="0.35">
      <c r="B306" s="66"/>
      <c r="C306" s="118"/>
      <c r="D306" s="146"/>
      <c r="E306" s="146"/>
      <c r="F306" s="70"/>
      <c r="G306" s="146"/>
      <c r="H306" s="70"/>
      <c r="I306" s="146"/>
      <c r="J306" s="70"/>
      <c r="K306" s="66"/>
      <c r="L306" s="149"/>
      <c r="M306" s="149"/>
      <c r="U306" s="149"/>
      <c r="V306" s="149"/>
      <c r="W306" s="149"/>
      <c r="X306" s="149"/>
      <c r="Y306" s="149"/>
      <c r="Z306" s="149"/>
      <c r="AA306" s="149"/>
      <c r="AB306" s="149"/>
      <c r="AP306" s="134"/>
      <c r="AQ306" s="134"/>
      <c r="AR306" s="134"/>
      <c r="AS306" s="134"/>
      <c r="AT306" s="134"/>
      <c r="AU306" s="136"/>
      <c r="AV306" s="136"/>
      <c r="AW306" s="136"/>
    </row>
    <row r="307" spans="2:49" ht="21.75" customHeight="1" x14ac:dyDescent="0.35">
      <c r="B307" s="66"/>
      <c r="C307" s="118"/>
      <c r="D307" s="146"/>
      <c r="E307" s="146"/>
      <c r="F307" s="70"/>
      <c r="G307" s="146"/>
      <c r="H307" s="70"/>
      <c r="I307" s="146"/>
      <c r="J307" s="70"/>
      <c r="K307" s="66"/>
      <c r="L307" s="149"/>
      <c r="M307" s="149"/>
      <c r="U307" s="149"/>
      <c r="V307" s="149"/>
      <c r="W307" s="149"/>
      <c r="X307" s="149"/>
      <c r="Y307" s="149"/>
      <c r="Z307" s="149"/>
      <c r="AA307" s="149"/>
      <c r="AB307" s="149"/>
      <c r="AP307" s="134"/>
      <c r="AQ307" s="134"/>
      <c r="AR307" s="134"/>
      <c r="AS307" s="134"/>
      <c r="AT307" s="134"/>
      <c r="AU307" s="136"/>
      <c r="AV307" s="136"/>
      <c r="AW307" s="136"/>
    </row>
    <row r="308" spans="2:49" ht="21.75" customHeight="1" x14ac:dyDescent="0.35">
      <c r="B308" s="66"/>
      <c r="C308" s="118"/>
      <c r="D308" s="146"/>
      <c r="E308" s="146"/>
      <c r="F308" s="70"/>
      <c r="G308" s="146"/>
      <c r="H308" s="70"/>
      <c r="I308" s="146"/>
      <c r="J308" s="70"/>
      <c r="K308" s="66"/>
      <c r="L308" s="149"/>
      <c r="M308" s="149"/>
      <c r="U308" s="149"/>
      <c r="V308" s="149"/>
      <c r="W308" s="149"/>
      <c r="X308" s="149"/>
      <c r="Y308" s="149"/>
      <c r="Z308" s="149"/>
      <c r="AA308" s="149"/>
      <c r="AB308" s="149"/>
      <c r="AP308" s="134"/>
      <c r="AQ308" s="134"/>
      <c r="AR308" s="134"/>
      <c r="AS308" s="134"/>
      <c r="AT308" s="134"/>
      <c r="AU308" s="136"/>
      <c r="AV308" s="136"/>
      <c r="AW308" s="136"/>
    </row>
    <row r="309" spans="2:49" ht="21.75" customHeight="1" x14ac:dyDescent="0.35">
      <c r="B309" s="66"/>
      <c r="C309" s="118"/>
      <c r="D309" s="146"/>
      <c r="E309" s="146"/>
      <c r="F309" s="70"/>
      <c r="G309" s="146"/>
      <c r="H309" s="70"/>
      <c r="I309" s="146"/>
      <c r="J309" s="70"/>
      <c r="K309" s="66"/>
      <c r="L309" s="149"/>
      <c r="M309" s="149"/>
      <c r="U309" s="149"/>
      <c r="V309" s="149"/>
      <c r="W309" s="149"/>
      <c r="X309" s="149"/>
      <c r="Y309" s="149"/>
      <c r="Z309" s="149"/>
      <c r="AA309" s="149"/>
      <c r="AB309" s="149"/>
      <c r="AP309" s="134"/>
      <c r="AQ309" s="134"/>
      <c r="AR309" s="134"/>
      <c r="AS309" s="134"/>
      <c r="AT309" s="134"/>
      <c r="AU309" s="136"/>
      <c r="AV309" s="136"/>
      <c r="AW309" s="136"/>
    </row>
    <row r="310" spans="2:49" ht="21.75" customHeight="1" x14ac:dyDescent="0.35">
      <c r="B310" s="66"/>
      <c r="C310" s="118"/>
      <c r="D310" s="146"/>
      <c r="E310" s="146"/>
      <c r="F310" s="70"/>
      <c r="G310" s="146"/>
      <c r="H310" s="70"/>
      <c r="I310" s="146"/>
      <c r="J310" s="70"/>
      <c r="K310" s="66"/>
      <c r="L310" s="149"/>
      <c r="M310" s="149"/>
      <c r="U310" s="149"/>
      <c r="V310" s="149"/>
      <c r="W310" s="149"/>
      <c r="X310" s="149"/>
      <c r="Y310" s="149"/>
      <c r="Z310" s="149"/>
      <c r="AA310" s="149"/>
      <c r="AB310" s="149"/>
      <c r="AP310" s="134"/>
      <c r="AQ310" s="134"/>
      <c r="AR310" s="134"/>
      <c r="AS310" s="134"/>
      <c r="AT310" s="134"/>
      <c r="AU310" s="136"/>
      <c r="AV310" s="136"/>
      <c r="AW310" s="136"/>
    </row>
    <row r="311" spans="2:49" ht="21.75" customHeight="1" x14ac:dyDescent="0.35">
      <c r="B311" s="66"/>
      <c r="C311" s="118"/>
      <c r="D311" s="146"/>
      <c r="E311" s="146"/>
      <c r="F311" s="70"/>
      <c r="G311" s="146"/>
      <c r="H311" s="70"/>
      <c r="I311" s="146"/>
      <c r="J311" s="70"/>
      <c r="K311" s="66"/>
      <c r="L311" s="149"/>
      <c r="M311" s="149"/>
      <c r="U311" s="149"/>
      <c r="V311" s="149"/>
      <c r="W311" s="149"/>
      <c r="X311" s="149"/>
      <c r="Y311" s="149"/>
      <c r="Z311" s="149"/>
      <c r="AA311" s="149"/>
      <c r="AB311" s="149"/>
      <c r="AP311" s="134"/>
      <c r="AQ311" s="134"/>
      <c r="AR311" s="134"/>
      <c r="AS311" s="134"/>
      <c r="AT311" s="134"/>
      <c r="AU311" s="136"/>
      <c r="AV311" s="136"/>
      <c r="AW311" s="136"/>
    </row>
    <row r="312" spans="2:49" ht="21.75" customHeight="1" x14ac:dyDescent="0.35">
      <c r="B312" s="66"/>
      <c r="C312" s="118"/>
      <c r="D312" s="146"/>
      <c r="E312" s="146"/>
      <c r="F312" s="70"/>
      <c r="G312" s="146"/>
      <c r="H312" s="70"/>
      <c r="I312" s="146"/>
      <c r="J312" s="70"/>
      <c r="K312" s="66"/>
      <c r="L312" s="149"/>
      <c r="M312" s="149"/>
      <c r="U312" s="149"/>
      <c r="V312" s="149"/>
      <c r="W312" s="149"/>
      <c r="X312" s="149"/>
      <c r="Y312" s="149"/>
      <c r="Z312" s="149"/>
      <c r="AA312" s="149"/>
      <c r="AB312" s="149"/>
      <c r="AP312" s="134"/>
      <c r="AQ312" s="134"/>
      <c r="AR312" s="134"/>
      <c r="AS312" s="134"/>
      <c r="AT312" s="134"/>
      <c r="AU312" s="136"/>
      <c r="AV312" s="136"/>
      <c r="AW312" s="136"/>
    </row>
    <row r="313" spans="2:49" ht="21.75" customHeight="1" x14ac:dyDescent="0.35">
      <c r="B313" s="66"/>
      <c r="C313" s="118"/>
      <c r="D313" s="146"/>
      <c r="E313" s="146"/>
      <c r="F313" s="70"/>
      <c r="G313" s="146"/>
      <c r="H313" s="70"/>
      <c r="I313" s="146"/>
      <c r="J313" s="70"/>
      <c r="K313" s="66"/>
      <c r="L313" s="149"/>
      <c r="M313" s="149"/>
      <c r="U313" s="149"/>
      <c r="V313" s="149"/>
      <c r="W313" s="149"/>
      <c r="X313" s="149"/>
      <c r="Y313" s="149"/>
      <c r="Z313" s="149"/>
      <c r="AA313" s="149"/>
      <c r="AB313" s="149"/>
      <c r="AP313" s="134"/>
      <c r="AQ313" s="134"/>
      <c r="AR313" s="134"/>
      <c r="AS313" s="134"/>
      <c r="AT313" s="134"/>
      <c r="AU313" s="136"/>
      <c r="AV313" s="136"/>
      <c r="AW313" s="136"/>
    </row>
    <row r="314" spans="2:49" ht="21.75" customHeight="1" x14ac:dyDescent="0.35">
      <c r="B314" s="66"/>
      <c r="C314" s="118"/>
      <c r="D314" s="146"/>
      <c r="E314" s="146"/>
      <c r="F314" s="70"/>
      <c r="G314" s="146"/>
      <c r="H314" s="70"/>
      <c r="I314" s="146"/>
      <c r="J314" s="70"/>
      <c r="K314" s="66"/>
      <c r="L314" s="149"/>
      <c r="M314" s="149"/>
      <c r="U314" s="149"/>
      <c r="V314" s="149"/>
      <c r="W314" s="149"/>
      <c r="X314" s="149"/>
      <c r="Y314" s="149"/>
      <c r="Z314" s="149"/>
      <c r="AA314" s="149"/>
      <c r="AB314" s="149"/>
      <c r="AP314" s="134"/>
      <c r="AQ314" s="134"/>
      <c r="AR314" s="134"/>
      <c r="AS314" s="134"/>
      <c r="AT314" s="134"/>
      <c r="AU314" s="136"/>
      <c r="AV314" s="136"/>
      <c r="AW314" s="136"/>
    </row>
    <row r="315" spans="2:49" ht="21.75" customHeight="1" x14ac:dyDescent="0.35">
      <c r="B315" s="66"/>
      <c r="C315" s="118"/>
      <c r="D315" s="146"/>
      <c r="E315" s="146"/>
      <c r="F315" s="70"/>
      <c r="G315" s="146"/>
      <c r="H315" s="70"/>
      <c r="I315" s="146"/>
      <c r="J315" s="70"/>
      <c r="K315" s="66"/>
      <c r="L315" s="149"/>
      <c r="M315" s="149"/>
      <c r="U315" s="149"/>
      <c r="V315" s="149"/>
      <c r="W315" s="149"/>
      <c r="X315" s="149"/>
      <c r="Y315" s="149"/>
      <c r="Z315" s="149"/>
      <c r="AA315" s="149"/>
      <c r="AB315" s="149"/>
      <c r="AP315" s="134"/>
      <c r="AQ315" s="134"/>
      <c r="AR315" s="134"/>
      <c r="AS315" s="134"/>
      <c r="AT315" s="134"/>
      <c r="AU315" s="136"/>
      <c r="AV315" s="136"/>
      <c r="AW315" s="136"/>
    </row>
    <row r="316" spans="2:49" ht="21.75" customHeight="1" x14ac:dyDescent="0.35">
      <c r="B316" s="66"/>
      <c r="C316" s="118"/>
      <c r="D316" s="146"/>
      <c r="E316" s="146"/>
      <c r="F316" s="70"/>
      <c r="G316" s="146"/>
      <c r="H316" s="70"/>
      <c r="I316" s="146"/>
      <c r="J316" s="70"/>
      <c r="K316" s="66"/>
      <c r="L316" s="149"/>
      <c r="M316" s="149"/>
      <c r="U316" s="149"/>
      <c r="V316" s="149"/>
      <c r="W316" s="149"/>
      <c r="X316" s="149"/>
      <c r="Y316" s="149"/>
      <c r="Z316" s="149"/>
      <c r="AA316" s="149"/>
      <c r="AB316" s="149"/>
      <c r="AP316" s="134"/>
      <c r="AQ316" s="134"/>
      <c r="AR316" s="134"/>
      <c r="AS316" s="134"/>
      <c r="AT316" s="134"/>
      <c r="AU316" s="136"/>
      <c r="AV316" s="136"/>
      <c r="AW316" s="136"/>
    </row>
    <row r="317" spans="2:49" ht="21.75" customHeight="1" x14ac:dyDescent="0.35">
      <c r="B317" s="66"/>
      <c r="C317" s="118"/>
      <c r="D317" s="146"/>
      <c r="E317" s="146"/>
      <c r="F317" s="70"/>
      <c r="G317" s="146"/>
      <c r="H317" s="70"/>
      <c r="I317" s="146"/>
      <c r="J317" s="70"/>
      <c r="K317" s="66"/>
      <c r="L317" s="149"/>
      <c r="M317" s="149"/>
      <c r="U317" s="149"/>
      <c r="V317" s="149"/>
      <c r="W317" s="149"/>
      <c r="X317" s="149"/>
      <c r="Y317" s="149"/>
      <c r="Z317" s="149"/>
      <c r="AA317" s="149"/>
      <c r="AB317" s="149"/>
      <c r="AP317" s="134"/>
      <c r="AQ317" s="134"/>
      <c r="AR317" s="134"/>
      <c r="AS317" s="134"/>
      <c r="AT317" s="134"/>
      <c r="AU317" s="136"/>
      <c r="AV317" s="136"/>
      <c r="AW317" s="136"/>
    </row>
    <row r="318" spans="2:49" ht="21.75" customHeight="1" x14ac:dyDescent="0.35">
      <c r="B318" s="66"/>
      <c r="C318" s="118"/>
      <c r="D318" s="146"/>
      <c r="E318" s="146"/>
      <c r="F318" s="70"/>
      <c r="G318" s="146"/>
      <c r="H318" s="70"/>
      <c r="I318" s="146"/>
      <c r="J318" s="70"/>
      <c r="K318" s="66"/>
      <c r="L318" s="149"/>
      <c r="M318" s="149"/>
      <c r="U318" s="149"/>
      <c r="V318" s="149"/>
      <c r="W318" s="149"/>
      <c r="X318" s="149"/>
      <c r="Y318" s="149"/>
      <c r="Z318" s="149"/>
      <c r="AA318" s="149"/>
      <c r="AB318" s="149"/>
      <c r="AP318" s="134"/>
      <c r="AQ318" s="134"/>
      <c r="AR318" s="134"/>
      <c r="AS318" s="134"/>
      <c r="AT318" s="134"/>
      <c r="AU318" s="136"/>
      <c r="AV318" s="136"/>
      <c r="AW318" s="136"/>
    </row>
    <row r="319" spans="2:49" ht="21.75" customHeight="1" x14ac:dyDescent="0.35">
      <c r="B319" s="66"/>
      <c r="C319" s="118"/>
      <c r="D319" s="146"/>
      <c r="E319" s="146"/>
      <c r="F319" s="70"/>
      <c r="G319" s="146"/>
      <c r="H319" s="70"/>
      <c r="I319" s="146"/>
      <c r="J319" s="70"/>
      <c r="K319" s="66"/>
      <c r="L319" s="149"/>
      <c r="M319" s="149"/>
      <c r="U319" s="149"/>
      <c r="V319" s="149"/>
      <c r="W319" s="149"/>
      <c r="X319" s="149"/>
      <c r="Y319" s="149"/>
      <c r="Z319" s="149"/>
      <c r="AA319" s="149"/>
      <c r="AB319" s="149"/>
      <c r="AP319" s="134"/>
      <c r="AQ319" s="134"/>
      <c r="AR319" s="134"/>
      <c r="AS319" s="134"/>
      <c r="AT319" s="134"/>
      <c r="AU319" s="136"/>
      <c r="AV319" s="136"/>
      <c r="AW319" s="136"/>
    </row>
    <row r="320" spans="2:49" ht="21.75" customHeight="1" x14ac:dyDescent="0.35">
      <c r="B320" s="66"/>
      <c r="C320" s="118"/>
      <c r="D320" s="146"/>
      <c r="E320" s="146"/>
      <c r="F320" s="70"/>
      <c r="G320" s="146"/>
      <c r="H320" s="70"/>
      <c r="I320" s="146"/>
      <c r="J320" s="70"/>
      <c r="K320" s="66"/>
      <c r="L320" s="149"/>
      <c r="M320" s="149"/>
      <c r="U320" s="149"/>
      <c r="V320" s="149"/>
      <c r="W320" s="149"/>
      <c r="X320" s="149"/>
      <c r="Y320" s="149"/>
      <c r="Z320" s="149"/>
      <c r="AA320" s="149"/>
      <c r="AB320" s="149"/>
      <c r="AP320" s="134"/>
      <c r="AQ320" s="134"/>
      <c r="AR320" s="134"/>
      <c r="AS320" s="134"/>
      <c r="AT320" s="134"/>
      <c r="AU320" s="136"/>
      <c r="AV320" s="136"/>
      <c r="AW320" s="136"/>
    </row>
    <row r="321" spans="2:49" ht="21.75" customHeight="1" x14ac:dyDescent="0.35">
      <c r="B321" s="66"/>
      <c r="C321" s="118"/>
      <c r="D321" s="146"/>
      <c r="E321" s="146"/>
      <c r="F321" s="70"/>
      <c r="G321" s="146"/>
      <c r="H321" s="70"/>
      <c r="I321" s="146"/>
      <c r="J321" s="70"/>
      <c r="K321" s="66"/>
      <c r="L321" s="149"/>
      <c r="M321" s="149"/>
      <c r="U321" s="149"/>
      <c r="V321" s="149"/>
      <c r="W321" s="149"/>
      <c r="X321" s="149"/>
      <c r="Y321" s="149"/>
      <c r="Z321" s="149"/>
      <c r="AA321" s="149"/>
      <c r="AB321" s="149"/>
      <c r="AP321" s="149"/>
      <c r="AQ321" s="149"/>
      <c r="AR321" s="149"/>
      <c r="AS321" s="149"/>
      <c r="AT321" s="136"/>
      <c r="AU321" s="136"/>
      <c r="AV321" s="136"/>
      <c r="AW321" s="136"/>
    </row>
    <row r="322" spans="2:49" x14ac:dyDescent="0.35">
      <c r="L322" s="149"/>
      <c r="M322" s="149"/>
      <c r="U322" s="149"/>
      <c r="V322" s="149"/>
      <c r="W322" s="149"/>
      <c r="X322" s="149"/>
      <c r="Y322" s="149"/>
      <c r="Z322" s="149"/>
      <c r="AA322" s="149"/>
      <c r="AB322" s="149"/>
      <c r="AP322" s="149"/>
      <c r="AQ322" s="149"/>
      <c r="AR322" s="149"/>
      <c r="AS322" s="149"/>
    </row>
    <row r="323" spans="2:49" x14ac:dyDescent="0.35">
      <c r="L323" s="149"/>
      <c r="M323" s="149"/>
      <c r="U323" s="149"/>
      <c r="V323" s="149"/>
      <c r="W323" s="149"/>
      <c r="X323" s="149"/>
      <c r="Y323" s="149"/>
      <c r="Z323" s="149"/>
      <c r="AA323" s="149"/>
      <c r="AB323" s="149"/>
      <c r="AP323" s="149"/>
      <c r="AQ323" s="149"/>
      <c r="AR323" s="149"/>
      <c r="AS323" s="149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K3" sqref="K3:R3"/>
    </sheetView>
  </sheetViews>
  <sheetFormatPr defaultRowHeight="21" outlineLevelCol="1" x14ac:dyDescent="0.35"/>
  <cols>
    <col min="1" max="1" width="11.7265625" style="73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131" customWidth="1" collapsed="1"/>
    <col min="12" max="18" width="10.6328125" style="131" customWidth="1"/>
  </cols>
  <sheetData>
    <row r="1" spans="1:18" ht="22.5" thickTop="1" thickBot="1" x14ac:dyDescent="0.4">
      <c r="A1" s="155" t="s">
        <v>39</v>
      </c>
      <c r="B1" s="8" t="s">
        <v>60</v>
      </c>
      <c r="C1" s="5" t="s">
        <v>58</v>
      </c>
      <c r="D1" s="9" t="s">
        <v>57</v>
      </c>
      <c r="E1" s="7" t="s">
        <v>53</v>
      </c>
      <c r="F1" s="7" t="s">
        <v>51</v>
      </c>
      <c r="G1" s="6" t="s">
        <v>51</v>
      </c>
      <c r="H1" s="10" t="s">
        <v>54</v>
      </c>
      <c r="I1" s="5" t="s">
        <v>52</v>
      </c>
      <c r="J1" s="11" t="s">
        <v>56</v>
      </c>
      <c r="K1" s="125" t="s">
        <v>41</v>
      </c>
      <c r="L1" s="126" t="s">
        <v>42</v>
      </c>
      <c r="M1" s="126" t="s">
        <v>43</v>
      </c>
      <c r="N1" s="126" t="s">
        <v>44</v>
      </c>
      <c r="O1" s="126" t="s">
        <v>45</v>
      </c>
      <c r="P1" s="126" t="s">
        <v>46</v>
      </c>
      <c r="Q1" s="126" t="s">
        <v>47</v>
      </c>
      <c r="R1" s="127" t="s">
        <v>48</v>
      </c>
    </row>
    <row r="2" spans="1:18" ht="21.75" thickTop="1" x14ac:dyDescent="0.35">
      <c r="A2" s="71" t="s">
        <v>112</v>
      </c>
      <c r="B2" s="12" t="s">
        <v>61</v>
      </c>
      <c r="C2" s="13">
        <v>298</v>
      </c>
      <c r="D2" s="139"/>
      <c r="E2" s="139"/>
      <c r="F2" s="139"/>
      <c r="G2" s="139"/>
      <c r="H2" s="139"/>
      <c r="I2" s="139"/>
      <c r="J2" s="139"/>
      <c r="K2" s="163">
        <v>0</v>
      </c>
      <c r="L2" s="164">
        <v>16.688339185211987</v>
      </c>
      <c r="M2" s="163">
        <v>4.0663634694008044</v>
      </c>
      <c r="N2" s="164">
        <v>4.642498306573977E-4</v>
      </c>
      <c r="O2" s="163">
        <v>4.2232998956463159E-2</v>
      </c>
      <c r="P2" s="164">
        <v>-1.6915439636555956</v>
      </c>
      <c r="Q2" s="163">
        <v>0.85639996181066103</v>
      </c>
      <c r="R2" s="165">
        <v>0.24006447835859676</v>
      </c>
    </row>
    <row r="3" spans="1:18" x14ac:dyDescent="0.35">
      <c r="A3" s="72" t="s">
        <v>112</v>
      </c>
      <c r="B3" s="14" t="s">
        <v>61</v>
      </c>
      <c r="C3" s="15">
        <v>918</v>
      </c>
      <c r="D3" s="139"/>
      <c r="E3" s="139"/>
      <c r="F3" s="139"/>
      <c r="G3" s="139"/>
      <c r="H3" s="139"/>
      <c r="I3" s="139"/>
      <c r="J3" s="139"/>
      <c r="K3" s="163">
        <v>0</v>
      </c>
      <c r="L3" s="164">
        <v>9.9938218886512296</v>
      </c>
      <c r="M3" s="163">
        <v>0.74501916153508874</v>
      </c>
      <c r="N3" s="164">
        <v>4.668042074609329E-3</v>
      </c>
      <c r="O3" s="163">
        <v>-0.23606481387265052</v>
      </c>
      <c r="P3" s="164">
        <v>12.387179989402989</v>
      </c>
      <c r="Q3" s="163">
        <v>1.2813942865428745</v>
      </c>
      <c r="R3" s="165">
        <v>0.24421805054616613</v>
      </c>
    </row>
    <row r="4" spans="1:18" x14ac:dyDescent="0.35">
      <c r="A4" s="72" t="s">
        <v>112</v>
      </c>
      <c r="B4" s="14" t="s">
        <v>61</v>
      </c>
      <c r="C4" s="15">
        <v>1150</v>
      </c>
      <c r="D4" s="139"/>
      <c r="E4" s="139"/>
      <c r="F4" s="139"/>
      <c r="G4" s="139"/>
      <c r="H4" s="139"/>
      <c r="I4" s="139"/>
      <c r="J4" s="139"/>
      <c r="K4" s="163">
        <v>0</v>
      </c>
      <c r="L4" s="164">
        <v>10.122681102948389</v>
      </c>
      <c r="M4" s="163">
        <v>-4.8178888409121274</v>
      </c>
      <c r="N4" s="164">
        <v>6.8059950240120043E-2</v>
      </c>
      <c r="O4" s="163">
        <v>-2.0756430304980711</v>
      </c>
      <c r="P4" s="164">
        <v>4.1019530036291609</v>
      </c>
      <c r="Q4" s="163">
        <v>1.091340211889114</v>
      </c>
      <c r="R4" s="166">
        <v>0.24152838776726546</v>
      </c>
    </row>
    <row r="5" spans="1:18" s="139" customFormat="1" ht="21.75" thickBot="1" x14ac:dyDescent="0.4">
      <c r="A5" s="150" t="s">
        <v>112</v>
      </c>
      <c r="B5" s="151" t="s">
        <v>62</v>
      </c>
      <c r="C5" s="152">
        <v>1500</v>
      </c>
      <c r="D5" s="16" t="s">
        <v>63</v>
      </c>
      <c r="E5" s="16" t="s">
        <v>63</v>
      </c>
      <c r="F5" s="16" t="s">
        <v>63</v>
      </c>
      <c r="G5" s="16" t="s">
        <v>63</v>
      </c>
      <c r="H5" s="16" t="s">
        <v>63</v>
      </c>
      <c r="I5" s="16" t="s">
        <v>63</v>
      </c>
      <c r="J5" s="16" t="s">
        <v>63</v>
      </c>
      <c r="K5" s="129" t="s">
        <v>63</v>
      </c>
      <c r="L5" s="128" t="s">
        <v>63</v>
      </c>
      <c r="M5" s="129" t="s">
        <v>63</v>
      </c>
      <c r="N5" s="128" t="s">
        <v>63</v>
      </c>
      <c r="O5" s="129" t="s">
        <v>63</v>
      </c>
      <c r="P5" s="128" t="s">
        <v>63</v>
      </c>
      <c r="Q5" s="129" t="s">
        <v>63</v>
      </c>
      <c r="R5" s="130" t="s">
        <v>63</v>
      </c>
    </row>
    <row r="6" spans="1:18" s="139" customFormat="1" ht="21.75" thickTop="1" x14ac:dyDescent="0.35">
      <c r="A6" s="71" t="s">
        <v>113</v>
      </c>
      <c r="B6" s="12" t="s">
        <v>61</v>
      </c>
      <c r="C6" s="13">
        <v>10</v>
      </c>
      <c r="K6" s="163">
        <v>-1.8995850622406638</v>
      </c>
      <c r="L6" s="164">
        <v>15.107005749341235</v>
      </c>
      <c r="M6" s="163">
        <v>3.3622423438912659</v>
      </c>
      <c r="N6" s="164">
        <v>-9.3563022346504094E-6</v>
      </c>
      <c r="O6" s="163">
        <v>0.13727423007721665</v>
      </c>
      <c r="P6" s="164">
        <v>-1.681873653426641</v>
      </c>
      <c r="Q6" s="163">
        <v>0.85649906668444342</v>
      </c>
      <c r="R6" s="165">
        <v>0.24006464929484223</v>
      </c>
    </row>
    <row r="7" spans="1:18" s="139" customFormat="1" x14ac:dyDescent="0.35">
      <c r="A7" s="72" t="s">
        <v>113</v>
      </c>
      <c r="B7" s="14" t="s">
        <v>61</v>
      </c>
      <c r="C7" s="15">
        <v>150</v>
      </c>
      <c r="K7" s="163">
        <v>-1.8995850622406638</v>
      </c>
      <c r="L7" s="164">
        <v>22.242322509853619</v>
      </c>
      <c r="M7" s="163">
        <v>5.6787057694693681</v>
      </c>
      <c r="N7" s="164">
        <v>-1.1458432876224959E-4</v>
      </c>
      <c r="O7" s="163">
        <v>0.1820527344978235</v>
      </c>
      <c r="P7" s="164">
        <v>5.5729206655170804</v>
      </c>
      <c r="Q7" s="163">
        <v>1.6897883404301262</v>
      </c>
      <c r="R7" s="165">
        <v>0.25488896669120797</v>
      </c>
    </row>
    <row r="8" spans="1:18" s="139" customFormat="1" ht="21.75" thickBot="1" x14ac:dyDescent="0.4">
      <c r="A8" s="150" t="s">
        <v>113</v>
      </c>
      <c r="B8" s="151" t="s">
        <v>62</v>
      </c>
      <c r="C8" s="152">
        <v>1210</v>
      </c>
      <c r="D8" s="16" t="s">
        <v>63</v>
      </c>
      <c r="E8" s="16" t="s">
        <v>63</v>
      </c>
      <c r="F8" s="16" t="s">
        <v>63</v>
      </c>
      <c r="G8" s="16" t="s">
        <v>63</v>
      </c>
      <c r="H8" s="16" t="s">
        <v>63</v>
      </c>
      <c r="I8" s="16" t="s">
        <v>63</v>
      </c>
      <c r="J8" s="16" t="s">
        <v>63</v>
      </c>
      <c r="K8" s="129" t="s">
        <v>63</v>
      </c>
      <c r="L8" s="128" t="s">
        <v>63</v>
      </c>
      <c r="M8" s="129" t="s">
        <v>63</v>
      </c>
      <c r="N8" s="128" t="s">
        <v>63</v>
      </c>
      <c r="O8" s="129" t="s">
        <v>63</v>
      </c>
      <c r="P8" s="128" t="s">
        <v>63</v>
      </c>
      <c r="Q8" s="129" t="s">
        <v>63</v>
      </c>
      <c r="R8" s="130" t="s">
        <v>63</v>
      </c>
    </row>
    <row r="9" spans="1:18" s="139" customFormat="1" x14ac:dyDescent="0.35">
      <c r="A9" s="73" t="s">
        <v>114</v>
      </c>
      <c r="B9" s="154" t="s">
        <v>61</v>
      </c>
      <c r="C9" s="153">
        <v>200</v>
      </c>
      <c r="K9" s="163">
        <v>0</v>
      </c>
      <c r="L9" s="164">
        <v>14.827333362245735</v>
      </c>
      <c r="M9" s="163">
        <v>3.2556671517090314</v>
      </c>
      <c r="N9" s="164">
        <v>-1.283549158027796E-4</v>
      </c>
      <c r="O9" s="163">
        <v>4.3437413921368906E-2</v>
      </c>
      <c r="P9" s="164">
        <v>5.294052820655879</v>
      </c>
      <c r="Q9" s="163">
        <v>1.6877776091157222</v>
      </c>
      <c r="R9" s="165">
        <v>0.25488660825082821</v>
      </c>
    </row>
    <row r="10" spans="1:18" s="139" customFormat="1" ht="21.75" thickBot="1" x14ac:dyDescent="0.4">
      <c r="A10" s="150" t="s">
        <v>114</v>
      </c>
      <c r="B10" s="151" t="s">
        <v>62</v>
      </c>
      <c r="C10" s="156">
        <v>303</v>
      </c>
      <c r="D10" s="16" t="s">
        <v>63</v>
      </c>
      <c r="E10" s="16" t="s">
        <v>63</v>
      </c>
      <c r="F10" s="16" t="s">
        <v>63</v>
      </c>
      <c r="G10" s="16" t="s">
        <v>63</v>
      </c>
      <c r="H10" s="16" t="s">
        <v>63</v>
      </c>
      <c r="I10" s="16" t="s">
        <v>63</v>
      </c>
      <c r="J10" s="16" t="s">
        <v>63</v>
      </c>
      <c r="K10" s="129" t="s">
        <v>63</v>
      </c>
      <c r="L10" s="128" t="s">
        <v>63</v>
      </c>
      <c r="M10" s="129" t="s">
        <v>63</v>
      </c>
      <c r="N10" s="128" t="s">
        <v>63</v>
      </c>
      <c r="O10" s="129" t="s">
        <v>63</v>
      </c>
      <c r="P10" s="128" t="s">
        <v>63</v>
      </c>
      <c r="Q10" s="129" t="s">
        <v>63</v>
      </c>
      <c r="R10" s="130" t="s">
        <v>63</v>
      </c>
    </row>
    <row r="11" spans="1:18" s="139" customFormat="1" x14ac:dyDescent="0.35">
      <c r="A11" s="73" t="s">
        <v>115</v>
      </c>
      <c r="B11" s="154" t="s">
        <v>69</v>
      </c>
      <c r="C11" s="153">
        <v>10</v>
      </c>
      <c r="K11" s="163">
        <v>-4.7952131817908468</v>
      </c>
      <c r="L11" s="164">
        <v>-85.928718576888272</v>
      </c>
      <c r="M11" s="163">
        <v>-17.748061244149952</v>
      </c>
      <c r="N11" s="164">
        <v>4.5887255627349451E-5</v>
      </c>
      <c r="O11" s="163">
        <v>0.22005289809440109</v>
      </c>
      <c r="P11" s="164">
        <v>14.92500749614886</v>
      </c>
      <c r="Q11" s="163">
        <v>1.7247006916965459</v>
      </c>
      <c r="R11" s="165">
        <v>0.25490480922524045</v>
      </c>
    </row>
    <row r="12" spans="1:18" s="139" customFormat="1" x14ac:dyDescent="0.35">
      <c r="A12" s="73" t="s">
        <v>115</v>
      </c>
      <c r="B12" s="154" t="s">
        <v>69</v>
      </c>
      <c r="C12" s="153">
        <v>150</v>
      </c>
      <c r="K12" s="163">
        <v>-4.7952131817908468</v>
      </c>
      <c r="L12" s="164">
        <v>52.324146168069298</v>
      </c>
      <c r="M12" s="163">
        <v>12.650756190383355</v>
      </c>
      <c r="N12" s="164">
        <v>4.6824320928384207E-5</v>
      </c>
      <c r="O12" s="163">
        <v>0.39195953082034007</v>
      </c>
      <c r="P12" s="164">
        <v>21.270645885092854</v>
      </c>
      <c r="Q12" s="163">
        <v>1.743241008305551</v>
      </c>
      <c r="R12" s="165">
        <v>0.25496773287686142</v>
      </c>
    </row>
    <row r="13" spans="1:18" s="139" customFormat="1" ht="21.75" thickBot="1" x14ac:dyDescent="0.4">
      <c r="A13" s="160" t="s">
        <v>115</v>
      </c>
      <c r="B13" s="161" t="s">
        <v>62</v>
      </c>
      <c r="C13" s="162">
        <v>1283</v>
      </c>
      <c r="D13" s="16" t="s">
        <v>63</v>
      </c>
      <c r="E13" s="16" t="s">
        <v>63</v>
      </c>
      <c r="F13" s="16" t="s">
        <v>63</v>
      </c>
      <c r="G13" s="16" t="s">
        <v>63</v>
      </c>
      <c r="H13" s="16" t="s">
        <v>63</v>
      </c>
      <c r="I13" s="16" t="s">
        <v>63</v>
      </c>
      <c r="J13" s="16" t="s">
        <v>63</v>
      </c>
      <c r="K13" s="129" t="s">
        <v>63</v>
      </c>
      <c r="L13" s="128" t="s">
        <v>63</v>
      </c>
      <c r="M13" s="129" t="s">
        <v>63</v>
      </c>
      <c r="N13" s="128" t="s">
        <v>63</v>
      </c>
      <c r="O13" s="129" t="s">
        <v>63</v>
      </c>
      <c r="P13" s="128" t="s">
        <v>63</v>
      </c>
      <c r="Q13" s="129" t="s">
        <v>63</v>
      </c>
      <c r="R13" s="130" t="s">
        <v>63</v>
      </c>
    </row>
    <row r="14" spans="1:18" s="139" customFormat="1" x14ac:dyDescent="0.35">
      <c r="A14" s="73"/>
    </row>
    <row r="15" spans="1:18" s="139" customFormat="1" x14ac:dyDescent="0.35">
      <c r="A15" s="73"/>
    </row>
    <row r="16" spans="1:18" s="139" customFormat="1" x14ac:dyDescent="0.35">
      <c r="A16" s="73"/>
    </row>
    <row r="17" spans="1:1" s="139" customFormat="1" x14ac:dyDescent="0.35">
      <c r="A17" s="73"/>
    </row>
    <row r="18" spans="1:1" s="139" customFormat="1" x14ac:dyDescent="0.35">
      <c r="A18" s="73"/>
    </row>
    <row r="19" spans="1:1" s="139" customFormat="1" x14ac:dyDescent="0.35">
      <c r="A19" s="73"/>
    </row>
    <row r="20" spans="1:1" s="139" customFormat="1" x14ac:dyDescent="0.35">
      <c r="A20" s="73"/>
    </row>
    <row r="21" spans="1:1" s="139" customFormat="1" x14ac:dyDescent="0.35">
      <c r="A21" s="73"/>
    </row>
    <row r="22" spans="1:1" s="139" customFormat="1" x14ac:dyDescent="0.35">
      <c r="A22" s="73"/>
    </row>
    <row r="23" spans="1:1" s="139" customFormat="1" x14ac:dyDescent="0.35">
      <c r="A23" s="73"/>
    </row>
    <row r="24" spans="1:1" s="139" customFormat="1" x14ac:dyDescent="0.35">
      <c r="A24" s="73"/>
    </row>
    <row r="25" spans="1:1" s="139" customFormat="1" x14ac:dyDescent="0.35">
      <c r="A25" s="73"/>
    </row>
    <row r="26" spans="1:1" s="139" customFormat="1" x14ac:dyDescent="0.35">
      <c r="A26" s="73"/>
    </row>
    <row r="27" spans="1:1" s="139" customFormat="1" x14ac:dyDescent="0.35">
      <c r="A27" s="73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C1:X80"/>
  <sheetViews>
    <sheetView zoomScale="70" zoomScaleNormal="70" workbookViewId="0">
      <selection activeCell="L39" sqref="L39"/>
    </sheetView>
  </sheetViews>
  <sheetFormatPr defaultRowHeight="21" x14ac:dyDescent="0.35"/>
  <cols>
    <col min="1" max="2" width="8.7265625" style="3"/>
    <col min="3" max="4" width="9.453125" style="3" bestFit="1" customWidth="1"/>
    <col min="5" max="5" width="10.26953125" style="3" bestFit="1" customWidth="1"/>
    <col min="6" max="7" width="10.08984375" style="3" bestFit="1" customWidth="1"/>
    <col min="8" max="8" width="12.453125" style="3" bestFit="1" customWidth="1"/>
    <col min="9" max="9" width="12.1796875" style="3" bestFit="1" customWidth="1"/>
    <col min="10" max="10" width="10.08984375" style="3" bestFit="1" customWidth="1"/>
    <col min="11" max="11" width="10.453125" style="3" bestFit="1" customWidth="1"/>
    <col min="12" max="12" width="11.7265625" style="3" bestFit="1" customWidth="1"/>
    <col min="13" max="13" width="8.7265625" style="3"/>
    <col min="14" max="14" width="10.36328125" style="3" bestFit="1" customWidth="1"/>
    <col min="15" max="16" width="10.54296875" style="3" bestFit="1" customWidth="1"/>
    <col min="17" max="17" width="12.1796875" style="3" customWidth="1"/>
    <col min="18" max="19" width="10.54296875" style="3" bestFit="1" customWidth="1"/>
    <col min="20" max="20" width="10.1796875" style="3" bestFit="1" customWidth="1"/>
    <col min="21" max="21" width="11.26953125" style="3" bestFit="1" customWidth="1"/>
    <col min="22" max="22" width="9.26953125" style="3" bestFit="1" customWidth="1"/>
    <col min="23" max="24" width="8.81640625" style="3" bestFit="1" customWidth="1"/>
    <col min="25" max="16384" width="8.7265625" style="3"/>
  </cols>
  <sheetData>
    <row r="1" spans="3:21" ht="21.75" thickBot="1" x14ac:dyDescent="0.4">
      <c r="C1" s="67" t="s">
        <v>90</v>
      </c>
      <c r="D1" s="119">
        <v>700</v>
      </c>
      <c r="E1" s="528" t="s">
        <v>95</v>
      </c>
      <c r="F1" s="528"/>
      <c r="G1" s="528"/>
      <c r="H1" s="528"/>
      <c r="I1" s="528"/>
      <c r="J1" s="528"/>
      <c r="K1" s="528"/>
      <c r="L1" s="528"/>
      <c r="N1" s="528"/>
      <c r="O1" s="528"/>
      <c r="P1" s="528"/>
      <c r="Q1" s="528"/>
      <c r="R1" s="528"/>
      <c r="S1" s="528"/>
      <c r="T1" s="528"/>
      <c r="U1" s="528"/>
    </row>
    <row r="2" spans="3:21" ht="22.5" thickTop="1" thickBot="1" x14ac:dyDescent="0.4">
      <c r="C2" s="68" t="s">
        <v>91</v>
      </c>
      <c r="D2" s="120">
        <v>701</v>
      </c>
      <c r="E2" s="4" t="s">
        <v>41</v>
      </c>
      <c r="F2" s="5" t="s">
        <v>42</v>
      </c>
      <c r="G2" s="5" t="s">
        <v>43</v>
      </c>
      <c r="H2" s="5" t="s">
        <v>44</v>
      </c>
      <c r="I2" s="5" t="s">
        <v>45</v>
      </c>
      <c r="J2" s="5" t="s">
        <v>46</v>
      </c>
      <c r="K2" s="5" t="s">
        <v>47</v>
      </c>
      <c r="L2" s="6" t="s">
        <v>48</v>
      </c>
      <c r="N2" s="4" t="s">
        <v>41</v>
      </c>
      <c r="O2" s="5" t="s">
        <v>42</v>
      </c>
      <c r="P2" s="5" t="s">
        <v>43</v>
      </c>
      <c r="Q2" s="5" t="s">
        <v>44</v>
      </c>
      <c r="R2" s="5" t="s">
        <v>45</v>
      </c>
      <c r="S2" s="5" t="s">
        <v>46</v>
      </c>
      <c r="T2" s="5" t="s">
        <v>47</v>
      </c>
      <c r="U2" s="6" t="s">
        <v>48</v>
      </c>
    </row>
    <row r="3" spans="3:21" x14ac:dyDescent="0.35">
      <c r="E3" s="3">
        <v>9194</v>
      </c>
      <c r="F3" s="3">
        <v>9194</v>
      </c>
      <c r="G3" s="3">
        <v>9194</v>
      </c>
      <c r="H3" s="3">
        <v>9194</v>
      </c>
      <c r="I3" s="3">
        <v>9194</v>
      </c>
      <c r="J3" s="3">
        <v>9194</v>
      </c>
      <c r="K3" s="3">
        <v>9194</v>
      </c>
      <c r="L3" s="3">
        <v>9194</v>
      </c>
      <c r="M3" s="74"/>
      <c r="N3" s="124">
        <f>ROUND(E3,N4)</f>
        <v>9194</v>
      </c>
      <c r="O3" s="124">
        <f>ROUND(F3,O4)</f>
        <v>9000</v>
      </c>
      <c r="P3" s="124">
        <f t="shared" ref="P3:U3" si="0">ROUND(G3,P4)</f>
        <v>9000</v>
      </c>
      <c r="Q3" s="124">
        <f t="shared" si="0"/>
        <v>9194</v>
      </c>
      <c r="R3" s="124">
        <f t="shared" si="0"/>
        <v>9194</v>
      </c>
      <c r="S3" s="124">
        <f t="shared" si="0"/>
        <v>9000</v>
      </c>
      <c r="T3" s="124">
        <f t="shared" si="0"/>
        <v>9000</v>
      </c>
      <c r="U3" s="124">
        <f t="shared" si="0"/>
        <v>9000</v>
      </c>
    </row>
    <row r="4" spans="3:21" x14ac:dyDescent="0.35">
      <c r="M4" s="121" t="s">
        <v>98</v>
      </c>
      <c r="N4" s="122"/>
      <c r="O4" s="122">
        <v>-3</v>
      </c>
      <c r="P4" s="122">
        <v>-3</v>
      </c>
      <c r="Q4" s="123"/>
      <c r="R4" s="122"/>
      <c r="S4" s="122">
        <v>-3</v>
      </c>
      <c r="T4" s="122">
        <v>-3</v>
      </c>
      <c r="U4" s="122">
        <v>-3</v>
      </c>
    </row>
    <row r="5" spans="3:21" x14ac:dyDescent="0.35">
      <c r="N5" s="3">
        <v>-200</v>
      </c>
      <c r="O5" s="3">
        <v>-200</v>
      </c>
      <c r="P5" s="3">
        <v>-250</v>
      </c>
      <c r="Q5" s="3">
        <v>2000</v>
      </c>
      <c r="R5" s="3">
        <v>2100</v>
      </c>
      <c r="S5" s="3">
        <v>2100</v>
      </c>
      <c r="T5" s="3">
        <v>2100</v>
      </c>
      <c r="U5" s="3">
        <v>2100</v>
      </c>
    </row>
    <row r="39" spans="7:24" x14ac:dyDescent="0.35">
      <c r="G39" s="528" t="s">
        <v>94</v>
      </c>
      <c r="H39" s="528"/>
      <c r="I39" s="528"/>
      <c r="N39" s="528" t="s">
        <v>99</v>
      </c>
      <c r="O39" s="528"/>
      <c r="P39" s="528"/>
      <c r="Q39" s="528"/>
      <c r="T39" s="528" t="s">
        <v>100</v>
      </c>
      <c r="U39" s="528"/>
      <c r="V39" s="528"/>
      <c r="W39" s="528"/>
      <c r="X39" s="528"/>
    </row>
    <row r="40" spans="7:24" x14ac:dyDescent="0.35">
      <c r="G40" s="3" t="s">
        <v>87</v>
      </c>
      <c r="H40" s="3" t="s">
        <v>88</v>
      </c>
      <c r="I40" s="3" t="s">
        <v>89</v>
      </c>
      <c r="K40" s="3">
        <v>-3</v>
      </c>
      <c r="L40" s="3" t="s">
        <v>97</v>
      </c>
      <c r="M40" s="3" t="s">
        <v>96</v>
      </c>
      <c r="N40" s="3">
        <v>5</v>
      </c>
      <c r="O40" s="3" t="s">
        <v>87</v>
      </c>
      <c r="P40" s="3" t="s">
        <v>88</v>
      </c>
      <c r="Q40" s="3" t="s">
        <v>89</v>
      </c>
      <c r="S40" s="3" t="s">
        <v>88</v>
      </c>
      <c r="T40" s="3" t="s">
        <v>101</v>
      </c>
      <c r="U40" s="3" t="s">
        <v>102</v>
      </c>
      <c r="V40" s="3" t="s">
        <v>103</v>
      </c>
      <c r="W40" s="3" t="s">
        <v>104</v>
      </c>
      <c r="X40" s="3" t="s">
        <v>105</v>
      </c>
    </row>
    <row r="41" spans="7:24" x14ac:dyDescent="0.35">
      <c r="G41" s="66">
        <f>$D$1</f>
        <v>700</v>
      </c>
      <c r="H41" s="118">
        <f>G41/10000</f>
        <v>7.0000000000000007E-2</v>
      </c>
      <c r="I41" s="65">
        <f>$E$3/H41-($F$3 + $G$3*LN(H41) + $H$3*H41^(-2) + $I$3*H41^(-1) + $J$3*H41 + $K$3*H41^2 + $L$3*H41^3)</f>
        <v>-1861763.077974685</v>
      </c>
      <c r="L41" s="65">
        <f>(Q41-I41)/10^($K$40)</f>
        <v>-307299.30516495369</v>
      </c>
      <c r="M41" s="65">
        <f>(Q41-I41)/ABS(I41)*10^($N$40)</f>
        <v>-16.505822292879962</v>
      </c>
      <c r="O41" s="66">
        <f>$D$1</f>
        <v>700</v>
      </c>
      <c r="P41" s="118">
        <f>O41/10000</f>
        <v>7.0000000000000007E-2</v>
      </c>
      <c r="Q41" s="65">
        <f>$N$3/P41-($O$3 + $P$3*LN(P41) + $Q$3*P41^(-2) + $R$3*P41^(-1) + $S$3*P41 + $T$3*P41^2 + $U$3*P41^3)</f>
        <v>-1862070.37727985</v>
      </c>
      <c r="S41" s="65">
        <f>H41</f>
        <v>7.0000000000000007E-2</v>
      </c>
      <c r="T41" s="65">
        <f>LN(H41)</f>
        <v>-2.6592600369327779</v>
      </c>
      <c r="U41" s="65">
        <f>1/H41^2</f>
        <v>204.08163265306121</v>
      </c>
      <c r="V41" s="65">
        <f>1/H41</f>
        <v>14.285714285714285</v>
      </c>
      <c r="W41" s="65">
        <f>G41^2</f>
        <v>490000</v>
      </c>
      <c r="X41" s="65">
        <f>H41^3</f>
        <v>3.430000000000001E-4</v>
      </c>
    </row>
    <row r="42" spans="7:24" x14ac:dyDescent="0.35">
      <c r="G42" s="66">
        <f t="shared" ref="G42:G80" si="1">G41+($D$2-$D$1)/39</f>
        <v>700.02564102564099</v>
      </c>
      <c r="H42" s="118">
        <f t="shared" ref="H42:H80" si="2">G42/10000</f>
        <v>7.0002564102564099E-2</v>
      </c>
      <c r="I42" s="65">
        <f t="shared" ref="I42:I80" si="3">$E$3/H42-($F$3 + $G$3*LN(H42) + $H$3*H42^(-2) + $I$3*H42^(-1) + $J$3*H42 + $K$3*H42^2 + $L$3*H42^3)</f>
        <v>-1861625.9896997351</v>
      </c>
      <c r="L42" s="65">
        <f t="shared" ref="L42:L80" si="4">(Q42-I42)/10^($K$40)</f>
        <v>-307291.62467736751</v>
      </c>
      <c r="M42" s="65">
        <f t="shared" ref="M42:M80" si="5">(Q42-I42)/ABS(I42)*10^($N$40)</f>
        <v>-16.506625196338771</v>
      </c>
      <c r="O42" s="66">
        <f t="shared" ref="O42:O80" si="6">O41+($D$2-$D$1)/39</f>
        <v>700.02564102564099</v>
      </c>
      <c r="P42" s="118">
        <f t="shared" ref="P42:P80" si="7">O42/10000</f>
        <v>7.0002564102564099E-2</v>
      </c>
      <c r="Q42" s="65">
        <f t="shared" ref="Q42:Q80" si="8">$N$3/P42-($O$3 + $P$3*LN(P42) + $Q$3*P42^(-2) + $R$3*P42^(-1) + $S$3*P42 + $T$3*P42^2 + $U$3*P42^3)</f>
        <v>-1861933.2813244124</v>
      </c>
      <c r="S42" s="65">
        <f t="shared" ref="S42:S80" si="9">H42</f>
        <v>7.0002564102564099E-2</v>
      </c>
      <c r="T42" s="65">
        <f t="shared" ref="T42:T80" si="10">LN(H42)</f>
        <v>-2.6592234075670116</v>
      </c>
      <c r="U42" s="65">
        <f t="shared" ref="U42:U80" si="11">1/H42^2</f>
        <v>204.06668243914737</v>
      </c>
      <c r="V42" s="65">
        <f t="shared" ref="V42:V80" si="12">1/H42</f>
        <v>14.285191018644007</v>
      </c>
      <c r="W42" s="65">
        <f t="shared" ref="W42:W80" si="13">G42^2</f>
        <v>490035.8980933596</v>
      </c>
      <c r="X42" s="65">
        <f t="shared" ref="X42:X80" si="14">H42^3</f>
        <v>3.4303769368837977E-4</v>
      </c>
    </row>
    <row r="43" spans="7:24" x14ac:dyDescent="0.35">
      <c r="G43" s="66">
        <f t="shared" si="1"/>
        <v>700.05128205128199</v>
      </c>
      <c r="H43" s="118">
        <f t="shared" si="2"/>
        <v>7.0005128205128192E-2</v>
      </c>
      <c r="I43" s="65">
        <f t="shared" si="3"/>
        <v>-1861488.9165158588</v>
      </c>
      <c r="L43" s="65">
        <f t="shared" si="4"/>
        <v>-307283.94444682635</v>
      </c>
      <c r="M43" s="65">
        <f t="shared" si="5"/>
        <v>-16.507428098039309</v>
      </c>
      <c r="O43" s="66">
        <f t="shared" si="6"/>
        <v>700.05128205128199</v>
      </c>
      <c r="P43" s="118">
        <f t="shared" si="7"/>
        <v>7.0005128205128192E-2</v>
      </c>
      <c r="Q43" s="65">
        <f t="shared" si="8"/>
        <v>-1861796.2004603057</v>
      </c>
      <c r="S43" s="65">
        <f t="shared" si="9"/>
        <v>7.0005128205128192E-2</v>
      </c>
      <c r="T43" s="65">
        <f t="shared" si="10"/>
        <v>-2.6591867795429063</v>
      </c>
      <c r="U43" s="65">
        <f t="shared" si="11"/>
        <v>204.0517338679638</v>
      </c>
      <c r="V43" s="65">
        <f t="shared" si="12"/>
        <v>14.284667789905503</v>
      </c>
      <c r="W43" s="65">
        <f t="shared" si="13"/>
        <v>490071.79750164354</v>
      </c>
      <c r="X43" s="65">
        <f t="shared" si="14"/>
        <v>3.4307539013820172E-4</v>
      </c>
    </row>
    <row r="44" spans="7:24" x14ac:dyDescent="0.35">
      <c r="G44" s="66">
        <f t="shared" si="1"/>
        <v>700.07692307692298</v>
      </c>
      <c r="H44" s="118">
        <f t="shared" si="2"/>
        <v>7.0007692307692299E-2</v>
      </c>
      <c r="I44" s="65">
        <f t="shared" si="3"/>
        <v>-1861351.8584208423</v>
      </c>
      <c r="L44" s="65">
        <f t="shared" si="4"/>
        <v>-307276.26447333023</v>
      </c>
      <c r="M44" s="65">
        <f t="shared" si="5"/>
        <v>-16.508230997981286</v>
      </c>
      <c r="O44" s="66">
        <f t="shared" si="6"/>
        <v>700.07692307692298</v>
      </c>
      <c r="P44" s="118">
        <f t="shared" si="7"/>
        <v>7.0007692307692299E-2</v>
      </c>
      <c r="Q44" s="65">
        <f t="shared" si="8"/>
        <v>-1861659.1346853157</v>
      </c>
      <c r="S44" s="65">
        <f t="shared" si="9"/>
        <v>7.0007692307692299E-2</v>
      </c>
      <c r="T44" s="65">
        <f t="shared" si="10"/>
        <v>-2.6591501528603638</v>
      </c>
      <c r="U44" s="65">
        <f t="shared" si="11"/>
        <v>204.03678693926969</v>
      </c>
      <c r="V44" s="65">
        <f t="shared" si="12"/>
        <v>14.284144599494564</v>
      </c>
      <c r="W44" s="65">
        <f t="shared" si="13"/>
        <v>490107.69822485192</v>
      </c>
      <c r="X44" s="65">
        <f t="shared" si="14"/>
        <v>3.4311308934956744E-4</v>
      </c>
    </row>
    <row r="45" spans="7:24" x14ac:dyDescent="0.35">
      <c r="G45" s="66">
        <f t="shared" si="1"/>
        <v>700.10256410256397</v>
      </c>
      <c r="H45" s="118">
        <f t="shared" si="2"/>
        <v>7.0010256410256391E-2</v>
      </c>
      <c r="I45" s="65">
        <f t="shared" si="3"/>
        <v>-1861214.8154124767</v>
      </c>
      <c r="L45" s="65">
        <f t="shared" si="4"/>
        <v>-307268.58475664631</v>
      </c>
      <c r="M45" s="65">
        <f t="shared" si="5"/>
        <v>-16.509033896151873</v>
      </c>
      <c r="O45" s="66">
        <f t="shared" si="6"/>
        <v>700.10256410256397</v>
      </c>
      <c r="P45" s="118">
        <f t="shared" si="7"/>
        <v>7.0010256410256391E-2</v>
      </c>
      <c r="Q45" s="65">
        <f t="shared" si="8"/>
        <v>-1861522.0839972333</v>
      </c>
      <c r="S45" s="65">
        <f t="shared" si="9"/>
        <v>7.0010256410256391E-2</v>
      </c>
      <c r="T45" s="65">
        <f t="shared" si="10"/>
        <v>-2.6591135275192865</v>
      </c>
      <c r="U45" s="65">
        <f t="shared" si="11"/>
        <v>204.02184165282458</v>
      </c>
      <c r="V45" s="65">
        <f t="shared" si="12"/>
        <v>14.283621447406977</v>
      </c>
      <c r="W45" s="65">
        <f t="shared" si="13"/>
        <v>490143.60026298469</v>
      </c>
      <c r="X45" s="65">
        <f t="shared" si="14"/>
        <v>3.4315079132257763E-4</v>
      </c>
    </row>
    <row r="46" spans="7:24" x14ac:dyDescent="0.35">
      <c r="G46" s="66">
        <f t="shared" si="1"/>
        <v>700.12820512820497</v>
      </c>
      <c r="H46" s="118">
        <f t="shared" si="2"/>
        <v>7.0012820512820498E-2</v>
      </c>
      <c r="I46" s="65">
        <f t="shared" si="3"/>
        <v>-1861077.7874885483</v>
      </c>
      <c r="L46" s="65">
        <f t="shared" si="4"/>
        <v>-307260.90529793873</v>
      </c>
      <c r="M46" s="65">
        <f t="shared" si="5"/>
        <v>-16.509836792613342</v>
      </c>
      <c r="O46" s="66">
        <f t="shared" si="6"/>
        <v>700.12820512820497</v>
      </c>
      <c r="P46" s="118">
        <f t="shared" si="7"/>
        <v>7.0012820512820498E-2</v>
      </c>
      <c r="Q46" s="65">
        <f t="shared" si="8"/>
        <v>-1861385.0483938463</v>
      </c>
      <c r="S46" s="65">
        <f t="shared" si="9"/>
        <v>7.0012820512820498E-2</v>
      </c>
      <c r="T46" s="65">
        <f t="shared" si="10"/>
        <v>-2.6590769035195754</v>
      </c>
      <c r="U46" s="65">
        <f t="shared" si="11"/>
        <v>204.00689800838776</v>
      </c>
      <c r="V46" s="65">
        <f t="shared" si="12"/>
        <v>14.283098333638531</v>
      </c>
      <c r="W46" s="65">
        <f t="shared" si="13"/>
        <v>490179.50361604185</v>
      </c>
      <c r="X46" s="65">
        <f t="shared" si="14"/>
        <v>3.4318849605733385E-4</v>
      </c>
    </row>
    <row r="47" spans="7:24" x14ac:dyDescent="0.35">
      <c r="G47" s="66">
        <f t="shared" si="1"/>
        <v>700.15384615384596</v>
      </c>
      <c r="H47" s="118">
        <f t="shared" si="2"/>
        <v>7.001538461538459E-2</v>
      </c>
      <c r="I47" s="65">
        <f t="shared" si="3"/>
        <v>-1860940.7746468491</v>
      </c>
      <c r="L47" s="65">
        <f t="shared" si="4"/>
        <v>-307253.22609604336</v>
      </c>
      <c r="M47" s="65">
        <f t="shared" si="5"/>
        <v>-16.510639687302827</v>
      </c>
      <c r="O47" s="66">
        <f t="shared" si="6"/>
        <v>700.15384615384596</v>
      </c>
      <c r="P47" s="118">
        <f t="shared" si="7"/>
        <v>7.001538461538459E-2</v>
      </c>
      <c r="Q47" s="65">
        <f t="shared" si="8"/>
        <v>-1861248.0278729452</v>
      </c>
      <c r="S47" s="65">
        <f t="shared" si="9"/>
        <v>7.001538461538459E-2</v>
      </c>
      <c r="T47" s="65">
        <f t="shared" si="10"/>
        <v>-2.6590402808611326</v>
      </c>
      <c r="U47" s="65">
        <f t="shared" si="11"/>
        <v>203.99195600571886</v>
      </c>
      <c r="V47" s="65">
        <f t="shared" si="12"/>
        <v>14.28257525818502</v>
      </c>
      <c r="W47" s="65">
        <f t="shared" si="13"/>
        <v>490215.4082840234</v>
      </c>
      <c r="X47" s="65">
        <f t="shared" si="14"/>
        <v>3.4322620355393686E-4</v>
      </c>
    </row>
    <row r="48" spans="7:24" x14ac:dyDescent="0.35">
      <c r="G48" s="66">
        <f t="shared" si="1"/>
        <v>700.17948717948696</v>
      </c>
      <c r="H48" s="118">
        <f t="shared" si="2"/>
        <v>7.0017948717948697E-2</v>
      </c>
      <c r="I48" s="65">
        <f t="shared" si="3"/>
        <v>-1860803.7768851668</v>
      </c>
      <c r="L48" s="65">
        <f t="shared" si="4"/>
        <v>-307245.54715119302</v>
      </c>
      <c r="M48" s="65">
        <f t="shared" si="5"/>
        <v>-16.511442580232558</v>
      </c>
      <c r="O48" s="66">
        <f t="shared" si="6"/>
        <v>700.17948717948696</v>
      </c>
      <c r="P48" s="118">
        <f t="shared" si="7"/>
        <v>7.0017948717948697E-2</v>
      </c>
      <c r="Q48" s="65">
        <f t="shared" si="8"/>
        <v>-1861111.022432318</v>
      </c>
      <c r="S48" s="65">
        <f t="shared" si="9"/>
        <v>7.0017948717948697E-2</v>
      </c>
      <c r="T48" s="65">
        <f t="shared" si="10"/>
        <v>-2.6590036595438598</v>
      </c>
      <c r="U48" s="65">
        <f t="shared" si="11"/>
        <v>203.97701564457722</v>
      </c>
      <c r="V48" s="65">
        <f t="shared" si="12"/>
        <v>14.282052221042228</v>
      </c>
      <c r="W48" s="65">
        <f t="shared" si="13"/>
        <v>490251.31426692934</v>
      </c>
      <c r="X48" s="65">
        <f t="shared" si="14"/>
        <v>3.4326391381248809E-4</v>
      </c>
    </row>
    <row r="49" spans="7:24" x14ac:dyDescent="0.35">
      <c r="G49" s="66">
        <f t="shared" si="1"/>
        <v>700.20512820512795</v>
      </c>
      <c r="H49" s="118">
        <f t="shared" si="2"/>
        <v>7.002051282051279E-2</v>
      </c>
      <c r="I49" s="65">
        <f t="shared" si="3"/>
        <v>-1860666.794201294</v>
      </c>
      <c r="L49" s="65">
        <f t="shared" si="4"/>
        <v>-307237.86846338771</v>
      </c>
      <c r="M49" s="65">
        <f t="shared" si="5"/>
        <v>-16.512245471402203</v>
      </c>
      <c r="O49" s="66">
        <f t="shared" si="6"/>
        <v>700.20512820512795</v>
      </c>
      <c r="P49" s="118">
        <f t="shared" si="7"/>
        <v>7.002051282051279E-2</v>
      </c>
      <c r="Q49" s="65">
        <f t="shared" si="8"/>
        <v>-1860974.0320697573</v>
      </c>
      <c r="S49" s="65">
        <f t="shared" si="9"/>
        <v>7.002051282051279E-2</v>
      </c>
      <c r="T49" s="65">
        <f t="shared" si="10"/>
        <v>-2.6589670395676586</v>
      </c>
      <c r="U49" s="65">
        <f t="shared" si="11"/>
        <v>203.96207692472257</v>
      </c>
      <c r="V49" s="65">
        <f t="shared" si="12"/>
        <v>14.281529222205954</v>
      </c>
      <c r="W49" s="65">
        <f t="shared" si="13"/>
        <v>490287.22156475967</v>
      </c>
      <c r="X49" s="65">
        <f t="shared" si="14"/>
        <v>3.4330162683308843E-4</v>
      </c>
    </row>
    <row r="50" spans="7:24" x14ac:dyDescent="0.35">
      <c r="G50" s="66">
        <f t="shared" si="1"/>
        <v>700.23076923076894</v>
      </c>
      <c r="H50" s="118">
        <f t="shared" si="2"/>
        <v>7.0023076923076896E-2</v>
      </c>
      <c r="I50" s="65">
        <f t="shared" si="3"/>
        <v>-1860529.8265930193</v>
      </c>
      <c r="L50" s="65">
        <f t="shared" si="4"/>
        <v>-307230.19003286026</v>
      </c>
      <c r="M50" s="65">
        <f t="shared" si="5"/>
        <v>-16.513048360824005</v>
      </c>
      <c r="O50" s="66">
        <f t="shared" si="6"/>
        <v>700.23076923076894</v>
      </c>
      <c r="P50" s="118">
        <f t="shared" si="7"/>
        <v>7.0023076923076896E-2</v>
      </c>
      <c r="Q50" s="65">
        <f t="shared" si="8"/>
        <v>-1860837.0567830522</v>
      </c>
      <c r="S50" s="65">
        <f t="shared" si="9"/>
        <v>7.0023076923076896E-2</v>
      </c>
      <c r="T50" s="65">
        <f t="shared" si="10"/>
        <v>-2.6589304209324309</v>
      </c>
      <c r="U50" s="65">
        <f t="shared" si="11"/>
        <v>203.94713984591436</v>
      </c>
      <c r="V50" s="65">
        <f t="shared" si="12"/>
        <v>14.281006261671982</v>
      </c>
      <c r="W50" s="65">
        <f t="shared" si="13"/>
        <v>490323.13017751439</v>
      </c>
      <c r="X50" s="65">
        <f t="shared" si="14"/>
        <v>3.4333934261583936E-4</v>
      </c>
    </row>
    <row r="51" spans="7:24" x14ac:dyDescent="0.35">
      <c r="G51" s="66">
        <f t="shared" si="1"/>
        <v>700.25641025640994</v>
      </c>
      <c r="H51" s="118">
        <f t="shared" si="2"/>
        <v>7.0025641025640989E-2</v>
      </c>
      <c r="I51" s="65">
        <f t="shared" si="3"/>
        <v>-1860392.8740581351</v>
      </c>
      <c r="L51" s="65">
        <f t="shared" si="4"/>
        <v>-307222.51185914502</v>
      </c>
      <c r="M51" s="65">
        <f t="shared" si="5"/>
        <v>-16.513851248472619</v>
      </c>
      <c r="O51" s="66">
        <f t="shared" si="6"/>
        <v>700.25641025640994</v>
      </c>
      <c r="P51" s="118">
        <f t="shared" si="7"/>
        <v>7.0025641025640989E-2</v>
      </c>
      <c r="Q51" s="65">
        <f t="shared" si="8"/>
        <v>-1860700.0965699942</v>
      </c>
      <c r="S51" s="65">
        <f t="shared" si="9"/>
        <v>7.0025641025640989E-2</v>
      </c>
      <c r="T51" s="65">
        <f t="shared" si="10"/>
        <v>-2.6588938036380791</v>
      </c>
      <c r="U51" s="65">
        <f t="shared" si="11"/>
        <v>203.93220440791237</v>
      </c>
      <c r="V51" s="65">
        <f t="shared" si="12"/>
        <v>14.280483339436111</v>
      </c>
      <c r="W51" s="65">
        <f t="shared" si="13"/>
        <v>490359.0401051935</v>
      </c>
      <c r="X51" s="65">
        <f t="shared" si="14"/>
        <v>3.4337706116084165E-4</v>
      </c>
    </row>
    <row r="52" spans="7:24" x14ac:dyDescent="0.35">
      <c r="G52" s="66">
        <f t="shared" si="1"/>
        <v>700.28205128205093</v>
      </c>
      <c r="H52" s="118">
        <f t="shared" si="2"/>
        <v>7.0028205128205095E-2</v>
      </c>
      <c r="I52" s="65">
        <f t="shared" si="3"/>
        <v>-1860255.9365944318</v>
      </c>
      <c r="L52" s="65">
        <f t="shared" si="4"/>
        <v>-307214.83394270763</v>
      </c>
      <c r="M52" s="65">
        <f t="shared" si="5"/>
        <v>-16.514654134372794</v>
      </c>
      <c r="O52" s="66">
        <f t="shared" si="6"/>
        <v>700.28205128205093</v>
      </c>
      <c r="P52" s="118">
        <f t="shared" si="7"/>
        <v>7.0028205128205095E-2</v>
      </c>
      <c r="Q52" s="65">
        <f t="shared" si="8"/>
        <v>-1860563.1514283745</v>
      </c>
      <c r="S52" s="65">
        <f t="shared" si="9"/>
        <v>7.0028205128205095E-2</v>
      </c>
      <c r="T52" s="65">
        <f t="shared" si="10"/>
        <v>-2.6588571876845037</v>
      </c>
      <c r="U52" s="65">
        <f t="shared" si="11"/>
        <v>203.91727061047612</v>
      </c>
      <c r="V52" s="65">
        <f t="shared" si="12"/>
        <v>14.27996045549413</v>
      </c>
      <c r="W52" s="65">
        <f t="shared" si="13"/>
        <v>490394.951347797</v>
      </c>
      <c r="X52" s="65">
        <f t="shared" si="14"/>
        <v>3.434147824681969E-4</v>
      </c>
    </row>
    <row r="53" spans="7:24" x14ac:dyDescent="0.35">
      <c r="G53" s="66">
        <f t="shared" si="1"/>
        <v>700.30769230769192</v>
      </c>
      <c r="H53" s="118">
        <f t="shared" si="2"/>
        <v>7.0030769230769188E-2</v>
      </c>
      <c r="I53" s="65">
        <f t="shared" si="3"/>
        <v>-1860119.0141997032</v>
      </c>
      <c r="L53" s="65">
        <f t="shared" si="4"/>
        <v>-307207.15628261678</v>
      </c>
      <c r="M53" s="65">
        <f t="shared" si="5"/>
        <v>-16.515457018474134</v>
      </c>
      <c r="O53" s="66">
        <f t="shared" si="6"/>
        <v>700.30769230769192</v>
      </c>
      <c r="P53" s="118">
        <f t="shared" si="7"/>
        <v>7.0030769230769188E-2</v>
      </c>
      <c r="Q53" s="65">
        <f t="shared" si="8"/>
        <v>-1860426.2213559859</v>
      </c>
      <c r="S53" s="65">
        <f t="shared" si="9"/>
        <v>7.0030769230769188E-2</v>
      </c>
      <c r="T53" s="65">
        <f t="shared" si="10"/>
        <v>-2.6588205730716079</v>
      </c>
      <c r="U53" s="65">
        <f t="shared" si="11"/>
        <v>203.90233845336556</v>
      </c>
      <c r="V53" s="65">
        <f t="shared" si="12"/>
        <v>14.279437609841837</v>
      </c>
      <c r="W53" s="65">
        <f t="shared" si="13"/>
        <v>490430.86390532489</v>
      </c>
      <c r="X53" s="65">
        <f t="shared" si="14"/>
        <v>3.4345250653800572E-4</v>
      </c>
    </row>
    <row r="54" spans="7:24" x14ac:dyDescent="0.35">
      <c r="G54" s="66">
        <f t="shared" si="1"/>
        <v>700.33333333333292</v>
      </c>
      <c r="H54" s="118">
        <f t="shared" si="2"/>
        <v>7.0033333333333295E-2</v>
      </c>
      <c r="I54" s="65">
        <f t="shared" si="3"/>
        <v>-1859982.1068717383</v>
      </c>
      <c r="L54" s="65">
        <f t="shared" si="4"/>
        <v>-307199.47888050228</v>
      </c>
      <c r="M54" s="65">
        <f t="shared" si="5"/>
        <v>-16.516259900863997</v>
      </c>
      <c r="O54" s="66">
        <f t="shared" si="6"/>
        <v>700.33333333333292</v>
      </c>
      <c r="P54" s="118">
        <f t="shared" si="7"/>
        <v>7.0033333333333295E-2</v>
      </c>
      <c r="Q54" s="65">
        <f t="shared" si="8"/>
        <v>-1860289.3063506188</v>
      </c>
      <c r="S54" s="65">
        <f t="shared" si="9"/>
        <v>7.0033333333333295E-2</v>
      </c>
      <c r="T54" s="65">
        <f t="shared" si="10"/>
        <v>-2.6587839597992926</v>
      </c>
      <c r="U54" s="65">
        <f t="shared" si="11"/>
        <v>203.88740793634022</v>
      </c>
      <c r="V54" s="65">
        <f t="shared" si="12"/>
        <v>14.27891480247502</v>
      </c>
      <c r="W54" s="65">
        <f t="shared" si="13"/>
        <v>490466.77777777717</v>
      </c>
      <c r="X54" s="65">
        <f t="shared" si="14"/>
        <v>3.434902333703698E-4</v>
      </c>
    </row>
    <row r="55" spans="7:24" x14ac:dyDescent="0.35">
      <c r="G55" s="66">
        <f t="shared" si="1"/>
        <v>700.35897435897391</v>
      </c>
      <c r="H55" s="118">
        <f t="shared" si="2"/>
        <v>7.0035897435897387E-2</v>
      </c>
      <c r="I55" s="65">
        <f t="shared" si="3"/>
        <v>-1859845.214608334</v>
      </c>
      <c r="L55" s="65">
        <f t="shared" si="4"/>
        <v>-307191.80173426867</v>
      </c>
      <c r="M55" s="65">
        <f t="shared" si="5"/>
        <v>-16.517062781429388</v>
      </c>
      <c r="O55" s="66">
        <f t="shared" si="6"/>
        <v>700.35897435897391</v>
      </c>
      <c r="P55" s="118">
        <f t="shared" si="7"/>
        <v>7.0035897435897387E-2</v>
      </c>
      <c r="Q55" s="65">
        <f t="shared" si="8"/>
        <v>-1860152.4064100683</v>
      </c>
      <c r="S55" s="65">
        <f t="shared" si="9"/>
        <v>7.0035897435897387E-2</v>
      </c>
      <c r="T55" s="65">
        <f t="shared" si="10"/>
        <v>-2.6587473478674601</v>
      </c>
      <c r="U55" s="65">
        <f t="shared" si="11"/>
        <v>203.87247905916018</v>
      </c>
      <c r="V55" s="65">
        <f t="shared" si="12"/>
        <v>14.27839203338948</v>
      </c>
      <c r="W55" s="65">
        <f t="shared" si="13"/>
        <v>490502.6929651539</v>
      </c>
      <c r="X55" s="65">
        <f t="shared" si="14"/>
        <v>3.4352796296538977E-4</v>
      </c>
    </row>
    <row r="56" spans="7:24" x14ac:dyDescent="0.35">
      <c r="G56" s="66">
        <f t="shared" si="1"/>
        <v>700.3846153846149</v>
      </c>
      <c r="H56" s="118">
        <f t="shared" si="2"/>
        <v>7.0038461538461494E-2</v>
      </c>
      <c r="I56" s="65">
        <f t="shared" si="3"/>
        <v>-1859708.3374072798</v>
      </c>
      <c r="L56" s="65">
        <f t="shared" si="4"/>
        <v>-307184.1248460114</v>
      </c>
      <c r="M56" s="65">
        <f t="shared" si="5"/>
        <v>-16.517865660282698</v>
      </c>
      <c r="O56" s="66">
        <f t="shared" si="6"/>
        <v>700.3846153846149</v>
      </c>
      <c r="P56" s="118">
        <f t="shared" si="7"/>
        <v>7.0038461538461494E-2</v>
      </c>
      <c r="Q56" s="65">
        <f t="shared" si="8"/>
        <v>-1860015.5215321258</v>
      </c>
      <c r="S56" s="65">
        <f t="shared" si="9"/>
        <v>7.0038461538461494E-2</v>
      </c>
      <c r="T56" s="65">
        <f t="shared" si="10"/>
        <v>-2.6587107372760119</v>
      </c>
      <c r="U56" s="65">
        <f t="shared" si="11"/>
        <v>203.8575518215851</v>
      </c>
      <c r="V56" s="65">
        <f t="shared" si="12"/>
        <v>14.277869302581008</v>
      </c>
      <c r="W56" s="65">
        <f t="shared" si="13"/>
        <v>490538.60946745495</v>
      </c>
      <c r="X56" s="65">
        <f t="shared" si="14"/>
        <v>3.4356569532316731E-4</v>
      </c>
    </row>
    <row r="57" spans="7:24" x14ac:dyDescent="0.35">
      <c r="G57" s="66">
        <f t="shared" si="1"/>
        <v>700.4102564102559</v>
      </c>
      <c r="H57" s="118">
        <f t="shared" si="2"/>
        <v>7.0041025641025587E-2</v>
      </c>
      <c r="I57" s="65">
        <f t="shared" si="3"/>
        <v>-1859571.4752663712</v>
      </c>
      <c r="L57" s="65">
        <f t="shared" si="4"/>
        <v>-307176.4482143335</v>
      </c>
      <c r="M57" s="65">
        <f t="shared" si="5"/>
        <v>-16.518668537348507</v>
      </c>
      <c r="O57" s="66">
        <f t="shared" si="6"/>
        <v>700.4102564102559</v>
      </c>
      <c r="P57" s="118">
        <f t="shared" si="7"/>
        <v>7.0041025641025587E-2</v>
      </c>
      <c r="Q57" s="65">
        <f t="shared" si="8"/>
        <v>-1859878.6517145855</v>
      </c>
      <c r="S57" s="65">
        <f t="shared" si="9"/>
        <v>7.0041025641025587E-2</v>
      </c>
      <c r="T57" s="65">
        <f t="shared" si="10"/>
        <v>-2.6586741280248503</v>
      </c>
      <c r="U57" s="65">
        <f t="shared" si="11"/>
        <v>203.84262622337505</v>
      </c>
      <c r="V57" s="65">
        <f t="shared" si="12"/>
        <v>14.277346610045406</v>
      </c>
      <c r="W57" s="65">
        <f t="shared" si="13"/>
        <v>490574.5272846804</v>
      </c>
      <c r="X57" s="65">
        <f t="shared" si="14"/>
        <v>3.4360343044380305E-4</v>
      </c>
    </row>
    <row r="58" spans="7:24" x14ac:dyDescent="0.35">
      <c r="G58" s="66">
        <f t="shared" si="1"/>
        <v>700.43589743589689</v>
      </c>
      <c r="H58" s="118">
        <f t="shared" si="2"/>
        <v>7.0043589743589693E-2</v>
      </c>
      <c r="I58" s="65">
        <f t="shared" si="3"/>
        <v>-1859434.6281834014</v>
      </c>
      <c r="L58" s="65">
        <f t="shared" si="4"/>
        <v>-307168.77183876932</v>
      </c>
      <c r="M58" s="65">
        <f t="shared" si="5"/>
        <v>-16.519471412601462</v>
      </c>
      <c r="O58" s="66">
        <f t="shared" si="6"/>
        <v>700.43589743589689</v>
      </c>
      <c r="P58" s="118">
        <f t="shared" si="7"/>
        <v>7.0043589743589693E-2</v>
      </c>
      <c r="Q58" s="65">
        <f t="shared" si="8"/>
        <v>-1859741.7969552402</v>
      </c>
      <c r="S58" s="65">
        <f t="shared" si="9"/>
        <v>7.0043589743589693E-2</v>
      </c>
      <c r="T58" s="65">
        <f t="shared" si="10"/>
        <v>-2.6586375201138766</v>
      </c>
      <c r="U58" s="65">
        <f t="shared" si="11"/>
        <v>203.8277022642898</v>
      </c>
      <c r="V58" s="65">
        <f t="shared" si="12"/>
        <v>14.276823955778463</v>
      </c>
      <c r="W58" s="65">
        <f t="shared" si="13"/>
        <v>490610.44641683029</v>
      </c>
      <c r="X58" s="65">
        <f t="shared" si="14"/>
        <v>3.4364116832739857E-4</v>
      </c>
    </row>
    <row r="59" spans="7:24" x14ac:dyDescent="0.35">
      <c r="G59" s="66">
        <f t="shared" si="1"/>
        <v>700.46153846153788</v>
      </c>
      <c r="H59" s="118">
        <f t="shared" si="2"/>
        <v>7.0046153846153786E-2</v>
      </c>
      <c r="I59" s="65">
        <f t="shared" si="3"/>
        <v>-1859297.7961561652</v>
      </c>
      <c r="L59" s="65">
        <f t="shared" si="4"/>
        <v>-307161.09572094865</v>
      </c>
      <c r="M59" s="65">
        <f t="shared" si="5"/>
        <v>-16.52027428612892</v>
      </c>
      <c r="O59" s="66">
        <f t="shared" si="6"/>
        <v>700.46153846153788</v>
      </c>
      <c r="P59" s="118">
        <f t="shared" si="7"/>
        <v>7.0046153846153786E-2</v>
      </c>
      <c r="Q59" s="65">
        <f t="shared" si="8"/>
        <v>-1859604.9572518861</v>
      </c>
      <c r="S59" s="65">
        <f t="shared" si="9"/>
        <v>7.0046153846153786E-2</v>
      </c>
      <c r="T59" s="65">
        <f t="shared" si="10"/>
        <v>-2.6586009135429931</v>
      </c>
      <c r="U59" s="65">
        <f t="shared" si="11"/>
        <v>203.81277994408956</v>
      </c>
      <c r="V59" s="65">
        <f t="shared" si="12"/>
        <v>14.276301339775983</v>
      </c>
      <c r="W59" s="65">
        <f t="shared" si="13"/>
        <v>490646.36686390452</v>
      </c>
      <c r="X59" s="65">
        <f t="shared" si="14"/>
        <v>3.4367890897405465E-4</v>
      </c>
    </row>
    <row r="60" spans="7:24" x14ac:dyDescent="0.35">
      <c r="G60" s="66">
        <f t="shared" si="1"/>
        <v>700.48717948717888</v>
      </c>
      <c r="H60" s="118">
        <f t="shared" si="2"/>
        <v>7.0048717948717892E-2</v>
      </c>
      <c r="I60" s="65">
        <f t="shared" si="3"/>
        <v>-1859160.9791824566</v>
      </c>
      <c r="L60" s="65">
        <f t="shared" si="4"/>
        <v>-307153.41986017302</v>
      </c>
      <c r="M60" s="65">
        <f t="shared" si="5"/>
        <v>-16.521077157893018</v>
      </c>
      <c r="O60" s="66">
        <f t="shared" si="6"/>
        <v>700.48717948717888</v>
      </c>
      <c r="P60" s="118">
        <f t="shared" si="7"/>
        <v>7.0048717948717892E-2</v>
      </c>
      <c r="Q60" s="65">
        <f t="shared" si="8"/>
        <v>-1859468.1326023168</v>
      </c>
      <c r="S60" s="65">
        <f t="shared" si="9"/>
        <v>7.0048717948717892E-2</v>
      </c>
      <c r="T60" s="65">
        <f t="shared" si="10"/>
        <v>-2.6585643083121013</v>
      </c>
      <c r="U60" s="65">
        <f t="shared" si="11"/>
        <v>203.79785926253419</v>
      </c>
      <c r="V60" s="65">
        <f t="shared" si="12"/>
        <v>14.275778762033761</v>
      </c>
      <c r="W60" s="65">
        <f t="shared" si="13"/>
        <v>490682.28862590314</v>
      </c>
      <c r="X60" s="65">
        <f t="shared" si="14"/>
        <v>3.4371665238387282E-4</v>
      </c>
    </row>
    <row r="61" spans="7:24" x14ac:dyDescent="0.35">
      <c r="G61" s="66">
        <f t="shared" si="1"/>
        <v>700.51282051281987</v>
      </c>
      <c r="H61" s="118">
        <f t="shared" si="2"/>
        <v>7.0051282051281985E-2</v>
      </c>
      <c r="I61" s="65">
        <f t="shared" si="3"/>
        <v>-1859024.1772600717</v>
      </c>
      <c r="L61" s="65">
        <f t="shared" si="4"/>
        <v>-307145.74425574392</v>
      </c>
      <c r="M61" s="65">
        <f t="shared" si="5"/>
        <v>-16.521880027855882</v>
      </c>
      <c r="O61" s="66">
        <f t="shared" si="6"/>
        <v>700.51282051281987</v>
      </c>
      <c r="P61" s="118">
        <f t="shared" si="7"/>
        <v>7.0051282051281985E-2</v>
      </c>
      <c r="Q61" s="65">
        <f t="shared" si="8"/>
        <v>-1859331.3230043275</v>
      </c>
      <c r="S61" s="65">
        <f t="shared" si="9"/>
        <v>7.0051282051281985E-2</v>
      </c>
      <c r="T61" s="65">
        <f t="shared" si="10"/>
        <v>-2.6585277044211035</v>
      </c>
      <c r="U61" s="65">
        <f t="shared" si="11"/>
        <v>203.7829402193839</v>
      </c>
      <c r="V61" s="65">
        <f t="shared" si="12"/>
        <v>14.275256222547597</v>
      </c>
      <c r="W61" s="65">
        <f t="shared" si="13"/>
        <v>490718.2117028262</v>
      </c>
      <c r="X61" s="65">
        <f t="shared" si="14"/>
        <v>3.4375439855695381E-4</v>
      </c>
    </row>
    <row r="62" spans="7:24" x14ac:dyDescent="0.35">
      <c r="G62" s="66">
        <f t="shared" si="1"/>
        <v>700.53846153846087</v>
      </c>
      <c r="H62" s="118">
        <f t="shared" si="2"/>
        <v>7.0053846153846092E-2</v>
      </c>
      <c r="I62" s="65">
        <f t="shared" si="3"/>
        <v>-1858887.3903868049</v>
      </c>
      <c r="L62" s="65">
        <f t="shared" si="4"/>
        <v>-307138.06890835986</v>
      </c>
      <c r="M62" s="65">
        <f t="shared" si="5"/>
        <v>-16.522682896054789</v>
      </c>
      <c r="O62" s="66">
        <f t="shared" si="6"/>
        <v>700.53846153846087</v>
      </c>
      <c r="P62" s="118">
        <f t="shared" si="7"/>
        <v>7.0053846153846092E-2</v>
      </c>
      <c r="Q62" s="65">
        <f t="shared" si="8"/>
        <v>-1859194.5284557133</v>
      </c>
      <c r="S62" s="65">
        <f t="shared" si="9"/>
        <v>7.0053846153846092E-2</v>
      </c>
      <c r="T62" s="65">
        <f t="shared" si="10"/>
        <v>-2.6584911018699016</v>
      </c>
      <c r="U62" s="65">
        <f t="shared" si="11"/>
        <v>203.76802281439873</v>
      </c>
      <c r="V62" s="65">
        <f t="shared" si="12"/>
        <v>14.274733721313288</v>
      </c>
      <c r="W62" s="65">
        <f t="shared" si="13"/>
        <v>490754.13609467359</v>
      </c>
      <c r="X62" s="65">
        <f t="shared" si="14"/>
        <v>3.4379214749339916E-4</v>
      </c>
    </row>
    <row r="63" spans="7:24" x14ac:dyDescent="0.35">
      <c r="G63" s="66">
        <f t="shared" si="1"/>
        <v>700.56410256410186</v>
      </c>
      <c r="H63" s="118">
        <f t="shared" si="2"/>
        <v>7.0056410256410184E-2</v>
      </c>
      <c r="I63" s="65">
        <f t="shared" si="3"/>
        <v>-1858750.6185604534</v>
      </c>
      <c r="L63" s="65">
        <f t="shared" si="4"/>
        <v>-307130.39381778799</v>
      </c>
      <c r="M63" s="65">
        <f t="shared" si="5"/>
        <v>-16.523485762476909</v>
      </c>
      <c r="O63" s="66">
        <f t="shared" si="6"/>
        <v>700.56410256410186</v>
      </c>
      <c r="P63" s="118">
        <f t="shared" si="7"/>
        <v>7.0056410256410184E-2</v>
      </c>
      <c r="Q63" s="65">
        <f t="shared" si="8"/>
        <v>-1859057.7489542712</v>
      </c>
      <c r="S63" s="65">
        <f t="shared" si="9"/>
        <v>7.0056410256410184E-2</v>
      </c>
      <c r="T63" s="65">
        <f t="shared" si="10"/>
        <v>-2.6584545006583977</v>
      </c>
      <c r="U63" s="65">
        <f t="shared" si="11"/>
        <v>203.75310704733891</v>
      </c>
      <c r="V63" s="65">
        <f t="shared" si="12"/>
        <v>14.274211258326638</v>
      </c>
      <c r="W63" s="65">
        <f t="shared" si="13"/>
        <v>490790.06180144544</v>
      </c>
      <c r="X63" s="65">
        <f t="shared" si="14"/>
        <v>3.4382989919330969E-4</v>
      </c>
    </row>
    <row r="64" spans="7:24" x14ac:dyDescent="0.35">
      <c r="G64" s="66">
        <f t="shared" si="1"/>
        <v>700.58974358974285</v>
      </c>
      <c r="H64" s="118">
        <f t="shared" si="2"/>
        <v>7.0058974358974291E-2</v>
      </c>
      <c r="I64" s="65">
        <f t="shared" si="3"/>
        <v>-1858613.8617788125</v>
      </c>
      <c r="L64" s="65">
        <f t="shared" si="4"/>
        <v>-307122.71898332983</v>
      </c>
      <c r="M64" s="65">
        <f t="shared" si="5"/>
        <v>-16.524288627084363</v>
      </c>
      <c r="O64" s="66">
        <f t="shared" si="6"/>
        <v>700.58974358974285</v>
      </c>
      <c r="P64" s="118">
        <f t="shared" si="7"/>
        <v>7.0058974358974291E-2</v>
      </c>
      <c r="Q64" s="65">
        <f t="shared" si="8"/>
        <v>-1858920.9844977958</v>
      </c>
      <c r="S64" s="65">
        <f t="shared" si="9"/>
        <v>7.0058974358974291E-2</v>
      </c>
      <c r="T64" s="65">
        <f t="shared" si="10"/>
        <v>-2.658417900786493</v>
      </c>
      <c r="U64" s="65">
        <f t="shared" si="11"/>
        <v>203.73819291796462</v>
      </c>
      <c r="V64" s="65">
        <f t="shared" si="12"/>
        <v>14.273688833583442</v>
      </c>
      <c r="W64" s="65">
        <f t="shared" si="13"/>
        <v>490825.98882314161</v>
      </c>
      <c r="X64" s="65">
        <f t="shared" si="14"/>
        <v>3.4386765365678688E-4</v>
      </c>
    </row>
    <row r="65" spans="7:24" x14ac:dyDescent="0.35">
      <c r="G65" s="66">
        <f t="shared" si="1"/>
        <v>700.61538461538385</v>
      </c>
      <c r="H65" s="118">
        <f t="shared" si="2"/>
        <v>7.0061538461538383E-2</v>
      </c>
      <c r="I65" s="65">
        <f t="shared" si="3"/>
        <v>-1858477.1200396798</v>
      </c>
      <c r="L65" s="65">
        <f t="shared" si="4"/>
        <v>-307115.04440684803</v>
      </c>
      <c r="M65" s="65">
        <f t="shared" si="5"/>
        <v>-16.525091489977068</v>
      </c>
      <c r="O65" s="66">
        <f t="shared" si="6"/>
        <v>700.61538461538385</v>
      </c>
      <c r="P65" s="118">
        <f t="shared" si="7"/>
        <v>7.0061538461538383E-2</v>
      </c>
      <c r="Q65" s="65">
        <f t="shared" si="8"/>
        <v>-1858784.2350840867</v>
      </c>
      <c r="S65" s="65">
        <f t="shared" si="9"/>
        <v>7.0061538461538383E-2</v>
      </c>
      <c r="T65" s="65">
        <f t="shared" si="10"/>
        <v>-2.6583813022540905</v>
      </c>
      <c r="U65" s="65">
        <f t="shared" si="11"/>
        <v>203.72328042603624</v>
      </c>
      <c r="V65" s="65">
        <f t="shared" si="12"/>
        <v>14.273166447079506</v>
      </c>
      <c r="W65" s="65">
        <f t="shared" si="13"/>
        <v>490861.91715976223</v>
      </c>
      <c r="X65" s="65">
        <f t="shared" si="14"/>
        <v>3.4390541088393146E-4</v>
      </c>
    </row>
    <row r="66" spans="7:24" x14ac:dyDescent="0.35">
      <c r="G66" s="66">
        <f t="shared" si="1"/>
        <v>700.64102564102484</v>
      </c>
      <c r="H66" s="118">
        <f t="shared" si="2"/>
        <v>7.006410256410249E-2</v>
      </c>
      <c r="I66" s="65">
        <f t="shared" si="3"/>
        <v>-1858340.3933408509</v>
      </c>
      <c r="L66" s="65">
        <f t="shared" si="4"/>
        <v>-307107.37008671276</v>
      </c>
      <c r="M66" s="65">
        <f t="shared" si="5"/>
        <v>-16.525894351067045</v>
      </c>
      <c r="O66" s="66">
        <f t="shared" si="6"/>
        <v>700.64102564102484</v>
      </c>
      <c r="P66" s="118">
        <f t="shared" si="7"/>
        <v>7.006410256410249E-2</v>
      </c>
      <c r="Q66" s="65">
        <f t="shared" si="8"/>
        <v>-1858647.5007109377</v>
      </c>
      <c r="S66" s="65">
        <f t="shared" si="9"/>
        <v>7.006410256410249E-2</v>
      </c>
      <c r="T66" s="65">
        <f t="shared" si="10"/>
        <v>-2.6583447050610909</v>
      </c>
      <c r="U66" s="65">
        <f t="shared" si="11"/>
        <v>203.70836957131385</v>
      </c>
      <c r="V66" s="65">
        <f t="shared" si="12"/>
        <v>14.272644098810629</v>
      </c>
      <c r="W66" s="65">
        <f t="shared" si="13"/>
        <v>490897.84681130724</v>
      </c>
      <c r="X66" s="65">
        <f t="shared" si="14"/>
        <v>3.4394317087484507E-4</v>
      </c>
    </row>
    <row r="67" spans="7:24" x14ac:dyDescent="0.35">
      <c r="G67" s="66">
        <f t="shared" si="1"/>
        <v>700.66666666666583</v>
      </c>
      <c r="H67" s="118">
        <f t="shared" si="2"/>
        <v>7.0066666666666583E-2</v>
      </c>
      <c r="I67" s="65">
        <f t="shared" si="3"/>
        <v>-1858203.6816801254</v>
      </c>
      <c r="L67" s="65">
        <f t="shared" si="4"/>
        <v>-307099.69602292404</v>
      </c>
      <c r="M67" s="65">
        <f t="shared" si="5"/>
        <v>-16.526697210353969</v>
      </c>
      <c r="O67" s="66">
        <f t="shared" si="6"/>
        <v>700.66666666666583</v>
      </c>
      <c r="P67" s="118">
        <f t="shared" si="7"/>
        <v>7.0066666666666583E-2</v>
      </c>
      <c r="Q67" s="65">
        <f t="shared" si="8"/>
        <v>-1858510.7813761483</v>
      </c>
      <c r="S67" s="65">
        <f t="shared" si="9"/>
        <v>7.0066666666666583E-2</v>
      </c>
      <c r="T67" s="65">
        <f t="shared" si="10"/>
        <v>-2.6583081092073972</v>
      </c>
      <c r="U67" s="65">
        <f t="shared" si="11"/>
        <v>203.69346035355801</v>
      </c>
      <c r="V67" s="65">
        <f t="shared" si="12"/>
        <v>14.272121788772616</v>
      </c>
      <c r="W67" s="65">
        <f t="shared" si="13"/>
        <v>490933.77777777659</v>
      </c>
      <c r="X67" s="65">
        <f t="shared" si="14"/>
        <v>3.4398093362962844E-4</v>
      </c>
    </row>
    <row r="68" spans="7:24" x14ac:dyDescent="0.35">
      <c r="G68" s="66">
        <f t="shared" si="1"/>
        <v>700.69230769230683</v>
      </c>
      <c r="H68" s="118">
        <f t="shared" si="2"/>
        <v>7.0069230769230689E-2</v>
      </c>
      <c r="I68" s="65">
        <f t="shared" si="3"/>
        <v>-1858066.9850552999</v>
      </c>
      <c r="L68" s="65">
        <f t="shared" si="4"/>
        <v>-307092.02221594751</v>
      </c>
      <c r="M68" s="65">
        <f t="shared" si="5"/>
        <v>-16.527500067862611</v>
      </c>
      <c r="O68" s="66">
        <f t="shared" si="6"/>
        <v>700.69230769230683</v>
      </c>
      <c r="P68" s="118">
        <f t="shared" si="7"/>
        <v>7.0069230769230689E-2</v>
      </c>
      <c r="Q68" s="65">
        <f t="shared" si="8"/>
        <v>-1858374.0770775159</v>
      </c>
      <c r="S68" s="65">
        <f t="shared" si="9"/>
        <v>7.0069230769230689E-2</v>
      </c>
      <c r="T68" s="65">
        <f t="shared" si="10"/>
        <v>-2.6582715146929106</v>
      </c>
      <c r="U68" s="65">
        <f t="shared" si="11"/>
        <v>203.67855277252897</v>
      </c>
      <c r="V68" s="65">
        <f t="shared" si="12"/>
        <v>14.271599516961263</v>
      </c>
      <c r="W68" s="65">
        <f t="shared" si="13"/>
        <v>490969.71005917038</v>
      </c>
      <c r="X68" s="65">
        <f t="shared" si="14"/>
        <v>3.4401869914838299E-4</v>
      </c>
    </row>
    <row r="69" spans="7:24" x14ac:dyDescent="0.35">
      <c r="G69" s="66">
        <f t="shared" si="1"/>
        <v>700.71794871794782</v>
      </c>
      <c r="H69" s="118">
        <f t="shared" si="2"/>
        <v>7.0071794871794782E-2</v>
      </c>
      <c r="I69" s="65">
        <f t="shared" si="3"/>
        <v>-1857930.3034641736</v>
      </c>
      <c r="L69" s="65">
        <f t="shared" si="4"/>
        <v>-307084.34866578318</v>
      </c>
      <c r="M69" s="65">
        <f t="shared" si="5"/>
        <v>-16.528302923592669</v>
      </c>
      <c r="O69" s="66">
        <f t="shared" si="6"/>
        <v>700.71794871794782</v>
      </c>
      <c r="P69" s="118">
        <f t="shared" si="7"/>
        <v>7.0071794871794782E-2</v>
      </c>
      <c r="Q69" s="65">
        <f t="shared" si="8"/>
        <v>-1858237.3878128394</v>
      </c>
      <c r="S69" s="65">
        <f t="shared" si="9"/>
        <v>7.0071794871794782E-2</v>
      </c>
      <c r="T69" s="65">
        <f t="shared" si="10"/>
        <v>-2.658234921517534</v>
      </c>
      <c r="U69" s="65">
        <f t="shared" si="11"/>
        <v>203.66364682798729</v>
      </c>
      <c r="V69" s="65">
        <f t="shared" si="12"/>
        <v>14.271077283372383</v>
      </c>
      <c r="W69" s="65">
        <f t="shared" si="13"/>
        <v>491005.64365548856</v>
      </c>
      <c r="X69" s="65">
        <f t="shared" si="14"/>
        <v>3.440564674312096E-4</v>
      </c>
    </row>
    <row r="70" spans="7:24" x14ac:dyDescent="0.35">
      <c r="G70" s="66">
        <f t="shared" si="1"/>
        <v>700.74358974358881</v>
      </c>
      <c r="H70" s="118">
        <f t="shared" si="2"/>
        <v>7.0074358974358875E-2</v>
      </c>
      <c r="I70" s="65">
        <f t="shared" si="3"/>
        <v>-1857793.6369045444</v>
      </c>
      <c r="L70" s="65">
        <f t="shared" si="4"/>
        <v>-307076.67537266389</v>
      </c>
      <c r="M70" s="65">
        <f t="shared" si="5"/>
        <v>-16.529105777556381</v>
      </c>
      <c r="O70" s="66">
        <f t="shared" si="6"/>
        <v>700.74358974358881</v>
      </c>
      <c r="P70" s="118">
        <f t="shared" si="7"/>
        <v>7.0074358974358875E-2</v>
      </c>
      <c r="Q70" s="65">
        <f t="shared" si="8"/>
        <v>-1858100.7135799171</v>
      </c>
      <c r="S70" s="65">
        <f t="shared" si="9"/>
        <v>7.0074358974358875E-2</v>
      </c>
      <c r="T70" s="65">
        <f t="shared" si="10"/>
        <v>-2.6581983296811686</v>
      </c>
      <c r="U70" s="65">
        <f t="shared" si="11"/>
        <v>203.6487425196934</v>
      </c>
      <c r="V70" s="65">
        <f t="shared" si="12"/>
        <v>14.270555088001776</v>
      </c>
      <c r="W70" s="65">
        <f t="shared" si="13"/>
        <v>491041.57856673113</v>
      </c>
      <c r="X70" s="65">
        <f t="shared" si="14"/>
        <v>3.4409423847820959E-4</v>
      </c>
    </row>
    <row r="71" spans="7:24" x14ac:dyDescent="0.35">
      <c r="G71" s="66">
        <f t="shared" si="1"/>
        <v>700.76923076922981</v>
      </c>
      <c r="H71" s="118">
        <f t="shared" si="2"/>
        <v>7.0076923076922981E-2</v>
      </c>
      <c r="I71" s="65">
        <f t="shared" si="3"/>
        <v>-1857656.9853742118</v>
      </c>
      <c r="L71" s="65">
        <f t="shared" si="4"/>
        <v>-307069.0023356583</v>
      </c>
      <c r="M71" s="65">
        <f t="shared" si="5"/>
        <v>-16.529908629703314</v>
      </c>
      <c r="O71" s="66">
        <f t="shared" si="6"/>
        <v>700.76923076922981</v>
      </c>
      <c r="P71" s="118">
        <f t="shared" si="7"/>
        <v>7.0076923076922981E-2</v>
      </c>
      <c r="Q71" s="65">
        <f t="shared" si="8"/>
        <v>-1857964.0543765475</v>
      </c>
      <c r="S71" s="65">
        <f t="shared" si="9"/>
        <v>7.0076923076922981E-2</v>
      </c>
      <c r="T71" s="65">
        <f t="shared" si="10"/>
        <v>-2.6581617391837167</v>
      </c>
      <c r="U71" s="65">
        <f t="shared" si="11"/>
        <v>203.63383984740773</v>
      </c>
      <c r="V71" s="65">
        <f t="shared" si="12"/>
        <v>14.270032930845245</v>
      </c>
      <c r="W71" s="65">
        <f t="shared" si="13"/>
        <v>491077.51479289809</v>
      </c>
      <c r="X71" s="65">
        <f t="shared" si="14"/>
        <v>3.4413201228948424E-4</v>
      </c>
    </row>
    <row r="72" spans="7:24" x14ac:dyDescent="0.35">
      <c r="G72" s="66">
        <f t="shared" si="1"/>
        <v>700.7948717948708</v>
      </c>
      <c r="H72" s="118">
        <f t="shared" si="2"/>
        <v>7.0079487179487074E-2</v>
      </c>
      <c r="I72" s="65">
        <f t="shared" si="3"/>
        <v>-1857520.3488709759</v>
      </c>
      <c r="L72" s="65">
        <f t="shared" si="4"/>
        <v>-307061.32955546491</v>
      </c>
      <c r="M72" s="65">
        <f t="shared" si="5"/>
        <v>-16.530711480070764</v>
      </c>
      <c r="O72" s="66">
        <f t="shared" si="6"/>
        <v>700.7948717948708</v>
      </c>
      <c r="P72" s="118">
        <f t="shared" si="7"/>
        <v>7.0079487179487074E-2</v>
      </c>
      <c r="Q72" s="65">
        <f t="shared" si="8"/>
        <v>-1857827.4102005314</v>
      </c>
      <c r="S72" s="65">
        <f t="shared" si="9"/>
        <v>7.0079487179487074E-2</v>
      </c>
      <c r="T72" s="65">
        <f t="shared" si="10"/>
        <v>-2.6581251500250804</v>
      </c>
      <c r="U72" s="65">
        <f t="shared" si="11"/>
        <v>203.618938810891</v>
      </c>
      <c r="V72" s="65">
        <f t="shared" si="12"/>
        <v>14.269510811898598</v>
      </c>
      <c r="W72" s="65">
        <f t="shared" si="13"/>
        <v>491113.45233398938</v>
      </c>
      <c r="X72" s="65">
        <f t="shared" si="14"/>
        <v>3.4416978886513442E-4</v>
      </c>
    </row>
    <row r="73" spans="7:24" x14ac:dyDescent="0.35">
      <c r="G73" s="66">
        <f t="shared" si="1"/>
        <v>700.82051282051179</v>
      </c>
      <c r="H73" s="118">
        <f t="shared" si="2"/>
        <v>7.008205128205118E-2</v>
      </c>
      <c r="I73" s="65">
        <f t="shared" si="3"/>
        <v>-1857383.7273926353</v>
      </c>
      <c r="L73" s="65">
        <f t="shared" si="4"/>
        <v>-307053.65703185089</v>
      </c>
      <c r="M73" s="65">
        <f t="shared" si="5"/>
        <v>-16.531514328645905</v>
      </c>
      <c r="O73" s="66">
        <f t="shared" si="6"/>
        <v>700.82051282051179</v>
      </c>
      <c r="P73" s="118">
        <f t="shared" si="7"/>
        <v>7.008205128205118E-2</v>
      </c>
      <c r="Q73" s="65">
        <f t="shared" si="8"/>
        <v>-1857690.7810496672</v>
      </c>
      <c r="S73" s="65">
        <f t="shared" si="9"/>
        <v>7.008205128205118E-2</v>
      </c>
      <c r="T73" s="65">
        <f t="shared" si="10"/>
        <v>-2.6580885622051618</v>
      </c>
      <c r="U73" s="65">
        <f t="shared" si="11"/>
        <v>203.60403940990366</v>
      </c>
      <c r="V73" s="65">
        <f t="shared" si="12"/>
        <v>14.268988731157638</v>
      </c>
      <c r="W73" s="65">
        <f t="shared" si="13"/>
        <v>491149.39119000512</v>
      </c>
      <c r="X73" s="65">
        <f t="shared" si="14"/>
        <v>3.4420756820526156E-4</v>
      </c>
    </row>
    <row r="74" spans="7:24" x14ac:dyDescent="0.35">
      <c r="G74" s="66">
        <f t="shared" si="1"/>
        <v>700.84615384615279</v>
      </c>
      <c r="H74" s="118">
        <f t="shared" si="2"/>
        <v>7.0084615384615273E-2</v>
      </c>
      <c r="I74" s="65">
        <f t="shared" si="3"/>
        <v>-1857247.1209369923</v>
      </c>
      <c r="L74" s="65">
        <f t="shared" si="4"/>
        <v>-307045.98476458341</v>
      </c>
      <c r="M74" s="65">
        <f t="shared" si="5"/>
        <v>-16.532317175415884</v>
      </c>
      <c r="O74" s="66">
        <f t="shared" si="6"/>
        <v>700.84615384615279</v>
      </c>
      <c r="P74" s="118">
        <f t="shared" si="7"/>
        <v>7.0084615384615273E-2</v>
      </c>
      <c r="Q74" s="65">
        <f t="shared" si="8"/>
        <v>-1857554.1669217569</v>
      </c>
      <c r="S74" s="65">
        <f t="shared" si="9"/>
        <v>7.0084615384615273E-2</v>
      </c>
      <c r="T74" s="65">
        <f t="shared" si="10"/>
        <v>-2.6580519757238625</v>
      </c>
      <c r="U74" s="65">
        <f t="shared" si="11"/>
        <v>203.58914164420656</v>
      </c>
      <c r="V74" s="65">
        <f t="shared" si="12"/>
        <v>14.268466688618176</v>
      </c>
      <c r="W74" s="65">
        <f t="shared" si="13"/>
        <v>491185.33136094525</v>
      </c>
      <c r="X74" s="65">
        <f t="shared" si="14"/>
        <v>3.442453503099665E-4</v>
      </c>
    </row>
    <row r="75" spans="7:24" x14ac:dyDescent="0.35">
      <c r="G75" s="66">
        <f t="shared" si="1"/>
        <v>700.87179487179378</v>
      </c>
      <c r="H75" s="118">
        <f t="shared" si="2"/>
        <v>7.008717948717938E-2</v>
      </c>
      <c r="I75" s="65">
        <f t="shared" si="3"/>
        <v>-1857110.5295018456</v>
      </c>
      <c r="L75" s="65">
        <f t="shared" si="4"/>
        <v>-307038.31275436096</v>
      </c>
      <c r="M75" s="65">
        <f t="shared" si="5"/>
        <v>-16.533120020418032</v>
      </c>
      <c r="O75" s="66">
        <f t="shared" si="6"/>
        <v>700.87179487179378</v>
      </c>
      <c r="P75" s="118">
        <f t="shared" si="7"/>
        <v>7.008717948717938E-2</v>
      </c>
      <c r="Q75" s="65">
        <f t="shared" si="8"/>
        <v>-1857417.5678146</v>
      </c>
      <c r="S75" s="65">
        <f t="shared" si="9"/>
        <v>7.008717948717938E-2</v>
      </c>
      <c r="T75" s="65">
        <f t="shared" si="10"/>
        <v>-2.658015390581085</v>
      </c>
      <c r="U75" s="65">
        <f t="shared" si="11"/>
        <v>203.57424551356019</v>
      </c>
      <c r="V75" s="65">
        <f t="shared" si="12"/>
        <v>14.267944684276015</v>
      </c>
      <c r="W75" s="65">
        <f t="shared" si="13"/>
        <v>491221.27284680976</v>
      </c>
      <c r="X75" s="65">
        <f t="shared" si="14"/>
        <v>3.4428313517935076E-4</v>
      </c>
    </row>
    <row r="76" spans="7:24" x14ac:dyDescent="0.35">
      <c r="G76" s="66">
        <f t="shared" si="1"/>
        <v>700.89743589743478</v>
      </c>
      <c r="H76" s="118">
        <f t="shared" si="2"/>
        <v>7.0089743589743472E-2</v>
      </c>
      <c r="I76" s="65">
        <f t="shared" si="3"/>
        <v>-1856973.9530849978</v>
      </c>
      <c r="L76" s="65">
        <f t="shared" si="4"/>
        <v>-307030.64100141637</v>
      </c>
      <c r="M76" s="65">
        <f t="shared" si="5"/>
        <v>-16.533922863664579</v>
      </c>
      <c r="O76" s="66">
        <f t="shared" si="6"/>
        <v>700.89743589743478</v>
      </c>
      <c r="P76" s="118">
        <f t="shared" si="7"/>
        <v>7.0089743589743472E-2</v>
      </c>
      <c r="Q76" s="65">
        <f t="shared" si="8"/>
        <v>-1857280.9837259992</v>
      </c>
      <c r="S76" s="65">
        <f t="shared" si="9"/>
        <v>7.0089743589743472E-2</v>
      </c>
      <c r="T76" s="65">
        <f t="shared" si="10"/>
        <v>-2.6579788067767312</v>
      </c>
      <c r="U76" s="65">
        <f t="shared" si="11"/>
        <v>203.5593510177255</v>
      </c>
      <c r="V76" s="65">
        <f t="shared" si="12"/>
        <v>14.267422718126967</v>
      </c>
      <c r="W76" s="65">
        <f t="shared" si="13"/>
        <v>491257.21564759867</v>
      </c>
      <c r="X76" s="65">
        <f t="shared" si="14"/>
        <v>3.4432092281351501E-4</v>
      </c>
    </row>
    <row r="77" spans="7:24" x14ac:dyDescent="0.35">
      <c r="G77" s="66">
        <f t="shared" si="1"/>
        <v>700.92307692307577</v>
      </c>
      <c r="H77" s="118">
        <f t="shared" si="2"/>
        <v>7.0092307692307579E-2</v>
      </c>
      <c r="I77" s="65">
        <f t="shared" si="3"/>
        <v>-1856837.3916842504</v>
      </c>
      <c r="L77" s="65">
        <f t="shared" si="4"/>
        <v>-307022.96950342134</v>
      </c>
      <c r="M77" s="65">
        <f t="shared" si="5"/>
        <v>-16.534725705029839</v>
      </c>
      <c r="O77" s="66">
        <f t="shared" si="6"/>
        <v>700.92307692307577</v>
      </c>
      <c r="P77" s="118">
        <f t="shared" si="7"/>
        <v>7.0092307692307579E-2</v>
      </c>
      <c r="Q77" s="65">
        <f t="shared" si="8"/>
        <v>-1857144.4146537539</v>
      </c>
      <c r="S77" s="65">
        <f t="shared" si="9"/>
        <v>7.0092307692307579E-2</v>
      </c>
      <c r="T77" s="65">
        <f t="shared" si="10"/>
        <v>-2.6579422243107031</v>
      </c>
      <c r="U77" s="65">
        <f t="shared" si="11"/>
        <v>203.54445815646312</v>
      </c>
      <c r="V77" s="65">
        <f t="shared" si="12"/>
        <v>14.266900790166837</v>
      </c>
      <c r="W77" s="65">
        <f t="shared" si="13"/>
        <v>491293.15976331197</v>
      </c>
      <c r="X77" s="65">
        <f t="shared" si="14"/>
        <v>3.4435871321256091E-4</v>
      </c>
    </row>
    <row r="78" spans="7:24" x14ac:dyDescent="0.35">
      <c r="G78" s="66">
        <f t="shared" si="1"/>
        <v>700.94871794871676</v>
      </c>
      <c r="H78" s="118">
        <f t="shared" si="2"/>
        <v>7.0094871794871672E-2</v>
      </c>
      <c r="I78" s="65">
        <f t="shared" si="3"/>
        <v>-1856700.8452974048</v>
      </c>
      <c r="L78" s="65">
        <f t="shared" si="4"/>
        <v>-307015.29826293699</v>
      </c>
      <c r="M78" s="65">
        <f t="shared" si="5"/>
        <v>-16.535528544651445</v>
      </c>
      <c r="O78" s="66">
        <f t="shared" si="6"/>
        <v>700.94871794871676</v>
      </c>
      <c r="P78" s="118">
        <f t="shared" si="7"/>
        <v>7.0094871794871672E-2</v>
      </c>
      <c r="Q78" s="65">
        <f t="shared" si="8"/>
        <v>-1857007.8605956677</v>
      </c>
      <c r="S78" s="65">
        <f t="shared" si="9"/>
        <v>7.0094871794871672E-2</v>
      </c>
      <c r="T78" s="65">
        <f t="shared" si="10"/>
        <v>-2.6579056431829029</v>
      </c>
      <c r="U78" s="65">
        <f t="shared" si="11"/>
        <v>203.52956692953396</v>
      </c>
      <c r="V78" s="65">
        <f t="shared" si="12"/>
        <v>14.266378900391436</v>
      </c>
      <c r="W78" s="65">
        <f t="shared" si="13"/>
        <v>491329.10519394971</v>
      </c>
      <c r="X78" s="65">
        <f t="shared" si="14"/>
        <v>3.4439650637658917E-4</v>
      </c>
    </row>
    <row r="79" spans="7:24" x14ac:dyDescent="0.35">
      <c r="G79" s="66">
        <f t="shared" si="1"/>
        <v>700.97435897435776</v>
      </c>
      <c r="H79" s="118">
        <f t="shared" si="2"/>
        <v>7.0097435897435778E-2</v>
      </c>
      <c r="I79" s="65">
        <f t="shared" si="3"/>
        <v>-1856564.3139222632</v>
      </c>
      <c r="L79" s="65">
        <f t="shared" si="4"/>
        <v>-307007.62727856636</v>
      </c>
      <c r="M79" s="65">
        <f t="shared" si="5"/>
        <v>-16.536331382453856</v>
      </c>
      <c r="O79" s="66">
        <f t="shared" si="6"/>
        <v>700.97435897435776</v>
      </c>
      <c r="P79" s="118">
        <f t="shared" si="7"/>
        <v>7.0097435897435778E-2</v>
      </c>
      <c r="Q79" s="65">
        <f t="shared" si="8"/>
        <v>-1856871.3215495418</v>
      </c>
      <c r="S79" s="65">
        <f t="shared" si="9"/>
        <v>7.0097435897435778E-2</v>
      </c>
      <c r="T79" s="65">
        <f t="shared" si="10"/>
        <v>-2.6578690633932327</v>
      </c>
      <c r="U79" s="65">
        <f t="shared" si="11"/>
        <v>203.51467733669881</v>
      </c>
      <c r="V79" s="65">
        <f t="shared" si="12"/>
        <v>14.265857048796571</v>
      </c>
      <c r="W79" s="65">
        <f t="shared" si="13"/>
        <v>491365.05193951179</v>
      </c>
      <c r="X79" s="65">
        <f t="shared" si="14"/>
        <v>3.4443430230570132E-4</v>
      </c>
    </row>
    <row r="80" spans="7:24" x14ac:dyDescent="0.35">
      <c r="G80" s="66">
        <f t="shared" si="1"/>
        <v>700.99999999999875</v>
      </c>
      <c r="H80" s="118">
        <f t="shared" si="2"/>
        <v>7.0099999999999871E-2</v>
      </c>
      <c r="I80" s="65">
        <f t="shared" si="3"/>
        <v>-1856427.7975566299</v>
      </c>
      <c r="L80" s="65">
        <f t="shared" si="4"/>
        <v>-306999.95655100793</v>
      </c>
      <c r="M80" s="65">
        <f t="shared" si="5"/>
        <v>-16.537134218474389</v>
      </c>
      <c r="O80" s="66">
        <f t="shared" si="6"/>
        <v>700.99999999999875</v>
      </c>
      <c r="P80" s="118">
        <f t="shared" si="7"/>
        <v>7.0099999999999871E-2</v>
      </c>
      <c r="Q80" s="65">
        <f t="shared" si="8"/>
        <v>-1856734.7975131809</v>
      </c>
      <c r="S80" s="65">
        <f t="shared" si="9"/>
        <v>7.0099999999999871E-2</v>
      </c>
      <c r="T80" s="65">
        <f t="shared" si="10"/>
        <v>-2.6578324849415944</v>
      </c>
      <c r="U80" s="65">
        <f t="shared" si="11"/>
        <v>203.49978937771874</v>
      </c>
      <c r="V80" s="65">
        <f t="shared" si="12"/>
        <v>14.265335235378057</v>
      </c>
      <c r="W80" s="65">
        <f t="shared" si="13"/>
        <v>491400.99999999825</v>
      </c>
      <c r="X80" s="65">
        <f t="shared" si="14"/>
        <v>3.444721009999981E-4</v>
      </c>
    </row>
  </sheetData>
  <sheetProtection formatCells="0" sort="0" autoFilter="0" pivotTables="0"/>
  <mergeCells count="5">
    <mergeCell ref="G39:I39"/>
    <mergeCell ref="N39:Q39"/>
    <mergeCell ref="T39:X39"/>
    <mergeCell ref="E1:L1"/>
    <mergeCell ref="N1:U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Из TERRA</vt:lpstr>
      <vt:lpstr>Из Milke(Сломано)</vt:lpstr>
      <vt:lpstr>Из Autotech </vt:lpstr>
      <vt:lpstr>Сравние</vt:lpstr>
      <vt:lpstr>CTC</vt:lpstr>
      <vt:lpstr>CTC2</vt:lpstr>
      <vt:lpstr>Сравнение</vt:lpstr>
      <vt:lpstr>Банк Других</vt:lpstr>
      <vt:lpstr>Сравнение погрешности округлени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2021-03-01T18:29:45Z</dcterms:modified>
</cp:coreProperties>
</file>