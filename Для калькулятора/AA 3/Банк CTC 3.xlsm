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Бабах\Для калькулятора\AA 3\"/>
    </mc:Choice>
  </mc:AlternateContent>
  <xr:revisionPtr revIDLastSave="0" documentId="8_{A982831B-5AB5-42F7-A0C0-F04F6E37938F}" xr6:coauthVersionLast="46" xr6:coauthVersionMax="46" xr10:uidLastSave="{00000000-0000-0000-0000-000000000000}"/>
  <bookViews>
    <workbookView xWindow="28680" yWindow="-120" windowWidth="29040" windowHeight="15990" xr2:uid="{90760048-D613-42ED-9668-07D688B18798}"/>
  </bookViews>
  <sheets>
    <sheet name="CTC" sheetId="1" r:id="rId1"/>
  </sheets>
  <externalReferences>
    <externalReference r:id="rId2"/>
  </externalReferences>
  <definedNames>
    <definedName name="_xlnm._FilterDatabase" localSheetId="0" hidden="1">CTC!$C$1:$P$60</definedName>
    <definedName name="Срез_Названиe1">#N/A</definedName>
    <definedName name="Срез_Ф__________if__?_____not__g">#N/A</definedName>
  </definedNames>
  <calcPr calcId="18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3"/>
        <x14:slicerCache r:id="rId4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R1" authorId="0" shapeId="0" xr:uid="{34CA8342-8E8D-4E72-AABD-6811B50635D0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Метка
1 - был в CTC
2 - из Milke
4 - из AutoTech
3 - свое
</t>
        </r>
      </text>
    </comment>
  </commentList>
</comments>
</file>

<file path=xl/sharedStrings.xml><?xml version="1.0" encoding="utf-8"?>
<sst xmlns="http://schemas.openxmlformats.org/spreadsheetml/2006/main" count="132" uniqueCount="46">
  <si>
    <t>Названиe</t>
  </si>
  <si>
    <t>Ф          if "?" =&gt; not "g"</t>
  </si>
  <si>
    <t>To К</t>
  </si>
  <si>
    <t>T К</t>
  </si>
  <si>
    <t>ho</t>
  </si>
  <si>
    <t>ф1</t>
  </si>
  <si>
    <t>ф2 *lnX</t>
  </si>
  <si>
    <t>ф3 *X^(-2)</t>
  </si>
  <si>
    <t>ф4 *X^(-1)</t>
  </si>
  <si>
    <t>ф5 *X</t>
  </si>
  <si>
    <t>ф6 *X^2</t>
  </si>
  <si>
    <t>ф7 *Х^3</t>
  </si>
  <si>
    <t>Т</t>
  </si>
  <si>
    <t>Мeтка            2 - добавить, 1 - удалить</t>
  </si>
  <si>
    <t>Ga</t>
  </si>
  <si>
    <t>s</t>
  </si>
  <si>
    <t>l</t>
  </si>
  <si>
    <t>g</t>
  </si>
  <si>
    <t>Ga10Ge30S</t>
  </si>
  <si>
    <t>Ga2Ge3Se8</t>
  </si>
  <si>
    <t>Ga2Ge4Se8</t>
  </si>
  <si>
    <t>Ga2GeSe4</t>
  </si>
  <si>
    <t>Ga2Se</t>
  </si>
  <si>
    <t>Ga2Se3</t>
  </si>
  <si>
    <t>Ga4Ge2Se8</t>
  </si>
  <si>
    <t>Ga4GeSe8</t>
  </si>
  <si>
    <t>GaGeSe3</t>
  </si>
  <si>
    <t>Ge</t>
  </si>
  <si>
    <t>с</t>
  </si>
  <si>
    <t>Ge2</t>
  </si>
  <si>
    <t>Ge3Se4</t>
  </si>
  <si>
    <t>Ge4Se5</t>
  </si>
  <si>
    <t>Geg</t>
  </si>
  <si>
    <t>GeSe</t>
  </si>
  <si>
    <t>GeSe2</t>
  </si>
  <si>
    <t>Se</t>
  </si>
  <si>
    <t>r</t>
  </si>
  <si>
    <t>m</t>
  </si>
  <si>
    <t>a</t>
  </si>
  <si>
    <t>Se2</t>
  </si>
  <si>
    <t>Se3</t>
  </si>
  <si>
    <t>Se4</t>
  </si>
  <si>
    <t>Se5</t>
  </si>
  <si>
    <t>Se6</t>
  </si>
  <si>
    <t>Se7</t>
  </si>
  <si>
    <t>Se8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</si>
</sst>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E+00"/>
    <numFmt numFmtId="165" formatCode="0.000E+00"/>
  </numFmts>
  <fonts count="11" x14ac:knownFonts="1">
    <font>
      <sz val="16"/>
      <color theme="1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sz val="16"/>
      <color theme="1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b/>
      <sz val="16"/>
      <color theme="0" tint="-4.9989318521683403E-2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8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1"/>
      <color indexed="81"/>
      <name val="Tahoma"/>
      <family val="2"/>
      <charset val="204"/>
    </font>
    <font>
      <sz val="11"/>
      <color indexed="81"/>
      <name val="Tahoma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9" fontId="4" fillId="3" borderId="1" applyNumberFormat="0">
      <alignment horizontal="left" vertical="center"/>
    </xf>
    <xf numFmtId="164" fontId="2" fillId="0" borderId="0">
      <alignment vertical="center"/>
    </xf>
  </cellStyleXfs>
  <cellXfs count="43">
    <xf numFmtId="0" fontId="0" fillId="0" borderId="0" xfId="0"/>
    <xf numFmtId="0" fontId="3" fillId="2" borderId="0" xfId="0" applyFont="1" applyFill="1" applyAlignment="1">
      <alignment vertical="top"/>
    </xf>
    <xf numFmtId="0" fontId="4" fillId="3" borderId="2" xfId="1" applyNumberFormat="1" applyBorder="1">
      <alignment horizontal="left" vertical="center"/>
    </xf>
    <xf numFmtId="0" fontId="4" fillId="3" borderId="3" xfId="1" applyNumberFormat="1" applyBorder="1">
      <alignment horizontal="left" vertical="center"/>
    </xf>
    <xf numFmtId="0" fontId="4" fillId="3" borderId="4" xfId="1" applyNumberFormat="1" applyBorder="1">
      <alignment horizontal="left" vertical="center"/>
    </xf>
    <xf numFmtId="0" fontId="4" fillId="3" borderId="5" xfId="1" applyNumberFormat="1" applyBorder="1">
      <alignment horizontal="left" vertical="center"/>
    </xf>
    <xf numFmtId="49" fontId="4" fillId="3" borderId="5" xfId="1" applyNumberFormat="1" applyBorder="1">
      <alignment horizontal="left" vertical="center"/>
    </xf>
    <xf numFmtId="164" fontId="4" fillId="3" borderId="5" xfId="1" applyNumberFormat="1" applyBorder="1">
      <alignment horizontal="left" vertical="center"/>
    </xf>
    <xf numFmtId="49" fontId="5" fillId="0" borderId="0" xfId="0" applyNumberFormat="1" applyFont="1" applyProtection="1">
      <protection locked="0"/>
    </xf>
    <xf numFmtId="0" fontId="5" fillId="0" borderId="6" xfId="0" applyFont="1" applyBorder="1" applyProtection="1">
      <protection locked="0"/>
    </xf>
    <xf numFmtId="1" fontId="5" fillId="0" borderId="0" xfId="0" applyNumberFormat="1" applyFont="1" applyProtection="1">
      <protection locked="0"/>
    </xf>
    <xf numFmtId="0" fontId="5" fillId="4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49" fontId="5" fillId="0" borderId="0" xfId="0" applyNumberFormat="1" applyFont="1" applyAlignment="1" applyProtection="1">
      <alignment horizontal="left"/>
      <protection locked="0"/>
    </xf>
    <xf numFmtId="0" fontId="5" fillId="0" borderId="0" xfId="0" applyFont="1"/>
    <xf numFmtId="0" fontId="5" fillId="0" borderId="6" xfId="0" applyFont="1" applyBorder="1"/>
    <xf numFmtId="0" fontId="5" fillId="4" borderId="0" xfId="0" applyFont="1" applyFill="1"/>
    <xf numFmtId="49" fontId="5" fillId="5" borderId="0" xfId="0" applyNumberFormat="1" applyFont="1" applyFill="1" applyAlignment="1">
      <alignment horizontal="left"/>
    </xf>
    <xf numFmtId="49" fontId="5" fillId="6" borderId="0" xfId="0" applyNumberFormat="1" applyFont="1" applyFill="1" applyAlignment="1">
      <alignment horizontal="left"/>
    </xf>
    <xf numFmtId="49" fontId="5" fillId="0" borderId="0" xfId="0" applyNumberFormat="1" applyFont="1" applyAlignment="1" applyProtection="1">
      <alignment vertical="center"/>
      <protection locked="0"/>
    </xf>
    <xf numFmtId="0" fontId="5" fillId="7" borderId="0" xfId="0" applyFont="1" applyFill="1" applyAlignment="1" applyProtection="1">
      <alignment horizontal="left"/>
      <protection locked="0"/>
    </xf>
    <xf numFmtId="164" fontId="5" fillId="4" borderId="0" xfId="0" applyNumberFormat="1" applyFont="1" applyFill="1"/>
    <xf numFmtId="164" fontId="5" fillId="0" borderId="0" xfId="0" applyNumberFormat="1" applyFont="1"/>
    <xf numFmtId="49" fontId="5" fillId="8" borderId="0" xfId="0" applyNumberFormat="1" applyFont="1" applyFill="1" applyAlignment="1">
      <alignment horizontal="left"/>
    </xf>
    <xf numFmtId="0" fontId="6" fillId="2" borderId="0" xfId="0" applyFont="1" applyFill="1"/>
    <xf numFmtId="0" fontId="5" fillId="0" borderId="0" xfId="0" applyFont="1" applyProtection="1">
      <protection locked="0"/>
    </xf>
    <xf numFmtId="165" fontId="5" fillId="4" borderId="0" xfId="0" applyNumberFormat="1" applyFont="1" applyFill="1" applyAlignment="1">
      <alignment vertical="center"/>
    </xf>
    <xf numFmtId="165" fontId="5" fillId="0" borderId="0" xfId="0" applyNumberFormat="1" applyFont="1" applyAlignment="1">
      <alignment vertical="center"/>
    </xf>
    <xf numFmtId="0" fontId="7" fillId="0" borderId="0" xfId="0" applyFont="1"/>
    <xf numFmtId="165" fontId="5" fillId="4" borderId="0" xfId="0" applyNumberFormat="1" applyFont="1" applyFill="1"/>
    <xf numFmtId="165" fontId="5" fillId="0" borderId="0" xfId="0" applyNumberFormat="1" applyFont="1"/>
    <xf numFmtId="49" fontId="5" fillId="0" borderId="0" xfId="0" applyNumberFormat="1" applyFont="1" applyAlignment="1">
      <alignment horizontal="left"/>
    </xf>
    <xf numFmtId="164" fontId="0" fillId="0" borderId="0" xfId="0" applyNumberFormat="1"/>
    <xf numFmtId="0" fontId="7" fillId="0" borderId="0" xfId="0" applyFont="1" applyAlignment="1">
      <alignment vertical="top"/>
    </xf>
    <xf numFmtId="0" fontId="6" fillId="0" borderId="0" xfId="0" applyFont="1"/>
    <xf numFmtId="0" fontId="5" fillId="8" borderId="0" xfId="0" applyFont="1" applyFill="1" applyAlignment="1">
      <alignment horizontal="left"/>
    </xf>
    <xf numFmtId="164" fontId="5" fillId="4" borderId="0" xfId="2" applyFont="1" applyFill="1">
      <alignment vertical="center"/>
    </xf>
    <xf numFmtId="164" fontId="5" fillId="0" borderId="0" xfId="2" applyFont="1">
      <alignment vertical="center"/>
    </xf>
    <xf numFmtId="0" fontId="0" fillId="0" borderId="6" xfId="0" applyBorder="1"/>
    <xf numFmtId="0" fontId="5" fillId="0" borderId="0" xfId="0" applyFont="1" applyAlignment="1">
      <alignment horizontal="left"/>
    </xf>
    <xf numFmtId="49" fontId="0" fillId="0" borderId="0" xfId="0" applyNumberFormat="1"/>
    <xf numFmtId="0" fontId="8" fillId="0" borderId="0" xfId="0" applyFont="1"/>
    <xf numFmtId="0" fontId="0" fillId="0" borderId="0" xfId="0" applyAlignment="1">
      <alignment horizontal="center" vertical="center"/>
    </xf>
  </cellXfs>
  <cellStyles count="3">
    <cellStyle name="Данные" xfId="2" xr:uid="{2F0EAEFA-DBFA-4CCE-A694-25A247BE8EAC}"/>
    <cellStyle name="Заголовок" xfId="1" xr:uid="{E708CBDA-BB24-4604-BAEB-D0D29B80B928}"/>
    <cellStyle name="Обычный" xfId="0" builtinId="0"/>
  </cellStyles>
  <dxfs count="11"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64" formatCode="0.0000E+00"/>
    </dxf>
    <dxf>
      <fill>
        <patternFill>
          <bgColor theme="1" tint="4.9989318521683403E-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microsoft.com/office/2007/relationships/slicerCache" Target="slicerCaches/slicerCache1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microsoft.com/office/2007/relationships/slicerCache" Target="slicerCaches/slicerCache2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0</xdr:row>
          <xdr:rowOff>57150</xdr:rowOff>
        </xdr:from>
        <xdr:to>
          <xdr:col>19</xdr:col>
          <xdr:colOff>581025</xdr:colOff>
          <xdr:row>0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92A33CA-B017-4954-8D69-ACA0AC6585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515470</xdr:colOff>
      <xdr:row>61</xdr:row>
      <xdr:rowOff>246528</xdr:rowOff>
    </xdr:from>
    <xdr:to>
      <xdr:col>15</xdr:col>
      <xdr:colOff>112060</xdr:colOff>
      <xdr:row>75</xdr:row>
      <xdr:rowOff>134470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3" name="Названиe 1">
              <a:extLst>
                <a:ext uri="{FF2B5EF4-FFF2-40B4-BE49-F238E27FC236}">
                  <a16:creationId xmlns:a16="http://schemas.microsoft.com/office/drawing/2014/main" id="{533ECF7C-264A-43B4-812B-50D92222B0E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азвани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63245" y="2294403"/>
              <a:ext cx="13245915" cy="402179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162485</xdr:colOff>
      <xdr:row>61</xdr:row>
      <xdr:rowOff>244850</xdr:rowOff>
    </xdr:from>
    <xdr:to>
      <xdr:col>17</xdr:col>
      <xdr:colOff>512108</xdr:colOff>
      <xdr:row>73</xdr:row>
      <xdr:rowOff>129990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Ф          if &quot;?&quot; =&gt; not &quot;g&quot;">
              <a:extLst>
                <a:ext uri="{FF2B5EF4-FFF2-40B4-BE49-F238E27FC236}">
                  <a16:creationId xmlns:a16="http://schemas.microsoft.com/office/drawing/2014/main" id="{D021A62A-A3AC-4012-AC82-AE1C2917113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     if &quot;?&quot; =&gt; not &quot;g&quot;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059585" y="2292725"/>
              <a:ext cx="1825998" cy="34284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1;&#1072;&#1073;&#1072;&#1093;/Work/&#1041;&#1072;&#1085;&#108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RA"/>
      <sheetName val="Из Autotech "/>
      <sheetName val="MILKE"/>
      <sheetName val="CTC"/>
      <sheetName val="CTC2"/>
      <sheetName val="Сравние CTC"/>
      <sheetName val="Банк Других"/>
      <sheetName val="1"/>
    </sheetNames>
    <definedNames>
      <definedName name="Sorting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азваниe1" xr10:uid="{7011B30F-C97C-48BC-8C86-3242B64A9F18}" sourceName="Названиe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_____if__?_____not__g" xr10:uid="{D00142B4-4719-4567-A00D-04B16E774888}" sourceName="Ф          if &quot;?&quot; =&gt; not &quot;g&quot;">
  <extLst>
    <x:ext xmlns:x15="http://schemas.microsoft.com/office/spreadsheetml/2010/11/main" uri="{2F2917AC-EB37-4324-AD4E-5DD8C200BD13}">
      <x15:tableSlicerCache tableId="1" column="2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Названиe 1" xr10:uid="{C196331A-A7C6-4BB6-84B0-5BB6FC41C390}" cache="Срез_Названиe1" caption="Вещество" columnCount="4" rowHeight="432000"/>
  <slicer name="Ф          if &quot;?&quot; =&gt; not &quot;g&quot;" xr10:uid="{AE1C3656-A935-4F28-81A0-B45B52FEA3AC}" cache="Срез_Ф__________if__?_____not__g" caption="Фаза" rowHeight="336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6B4C3F-44A6-4833-AE4D-143EE16CEF83}" name="Таблица716" displayName="Таблица716" ref="C1:P60" totalsRowShown="0" headerRowDxfId="5" headerRowCellStyle="Заголовок">
  <autoFilter ref="C1:P60" xr:uid="{85F36A9E-31F0-4B95-BC01-5F8E9850E1B2}">
    <filterColumn colId="0" hiddenButton="1"/>
    <filterColumn colId="1" hiddenButton="1">
      <filters>
        <filter val="l"/>
      </filters>
    </filterColumn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sortState xmlns:xlrd2="http://schemas.microsoft.com/office/spreadsheetml/2017/richdata2" ref="C2:P60">
    <sortCondition ref="C2:C60"/>
    <sortCondition descending="1" ref="D2:D60"/>
    <sortCondition ref="E2:E60"/>
  </sortState>
  <tableColumns count="14">
    <tableColumn id="1" xr3:uid="{292A032E-89C4-4BBF-B6C9-55C6E65E0FF7}" name="Названиe"/>
    <tableColumn id="2" xr3:uid="{42EEB2DC-C511-4F8A-9565-FF0720064567}" name="Ф          if &quot;?&quot; =&gt; not &quot;g&quot;" dataDxfId="4"/>
    <tableColumn id="3" xr3:uid="{65ED59E6-49F0-4D89-98A2-8C66F79E0410}" name="To К"/>
    <tableColumn id="4" xr3:uid="{4FD10BF3-12DC-4A8B-A34C-D0EA0EEA9DB2}" name="T К"/>
    <tableColumn id="5" xr3:uid="{2031EED4-1633-4A4A-985D-365F3417FC19}" name="ho" dataDxfId="3"/>
    <tableColumn id="6" xr3:uid="{99047946-AF16-4BC2-BBDC-B03F003FDE56}" name="ф1"/>
    <tableColumn id="7" xr3:uid="{10FDA7B9-AFCE-490B-B181-2AD145B236C3}" name="ф2 *lnX" dataDxfId="2"/>
    <tableColumn id="8" xr3:uid="{537BAC36-793B-4702-8601-910A220C0413}" name="ф3 *X^(-2)"/>
    <tableColumn id="9" xr3:uid="{32FA7888-C81A-4356-97C2-20D5B262764E}" name="ф4 *X^(-1)" dataDxfId="1"/>
    <tableColumn id="10" xr3:uid="{D3C3002C-B0F8-4B02-8F63-2BD68AD47045}" name="ф5 *X"/>
    <tableColumn id="11" xr3:uid="{DE6C345E-0C5C-4231-AB73-AA3680FFB684}" name="ф6 *X^2" dataDxfId="0"/>
    <tableColumn id="12" xr3:uid="{9500EA72-EAEA-4056-AC02-C70039562906}" name="ф7 *Х^3"/>
    <tableColumn id="13" xr3:uid="{A022ED4E-6B18-4AC6-8267-C3906E57167E}" name="Т"/>
    <tableColumn id="14" xr3:uid="{291BC6DE-818B-496A-9A3A-520FE7E72B6B}" name="Мeтка            2 - добавить, 1 - удалить" dataCellStyle="Обычный"/>
  </tableColumns>
  <tableStyleInfo name="TableStyleLight13" showFirstColumn="1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D57FD-BE1E-4B93-97D6-A21207526193}">
  <sheetPr codeName="Лист13">
    <tabColor rgb="FFFF0000"/>
  </sheetPr>
  <dimension ref="A1:Z273"/>
  <sheetViews>
    <sheetView tabSelected="1"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F61" sqref="F61"/>
    </sheetView>
  </sheetViews>
  <sheetFormatPr defaultRowHeight="23.25" outlineLevelCol="1" x14ac:dyDescent="0.35"/>
  <cols>
    <col min="1" max="1" width="10.26953125" style="34" bestFit="1" customWidth="1"/>
    <col min="2" max="2" width="1.6328125" style="34" customWidth="1"/>
    <col min="3" max="3" width="11.7265625" customWidth="1"/>
    <col min="4" max="4" width="3.453125" style="38" customWidth="1"/>
    <col min="5" max="6" width="8.81640625" bestFit="1" customWidth="1"/>
    <col min="7" max="9" width="11.81640625" customWidth="1" outlineLevel="1"/>
    <col min="10" max="10" width="11.36328125" customWidth="1" outlineLevel="1"/>
    <col min="11" max="14" width="11.81640625" customWidth="1" outlineLevel="1"/>
    <col min="15" max="15" width="3.36328125" style="31" customWidth="1"/>
    <col min="16" max="16" width="3.90625" customWidth="1"/>
    <col min="17" max="17" width="10.1796875" bestFit="1" customWidth="1"/>
    <col min="18" max="19" width="10.54296875" bestFit="1" customWidth="1"/>
    <col min="20" max="21" width="11.1796875" bestFit="1" customWidth="1"/>
    <col min="22" max="22" width="10.54296875" bestFit="1" customWidth="1"/>
    <col min="23" max="23" width="11.1796875" bestFit="1" customWidth="1"/>
  </cols>
  <sheetData>
    <row r="1" spans="1:18" ht="21.75" thickTop="1" x14ac:dyDescent="0.35">
      <c r="A1"/>
      <c r="B1" s="1"/>
      <c r="C1" s="2" t="s">
        <v>0</v>
      </c>
      <c r="D1" s="3" t="s">
        <v>1</v>
      </c>
      <c r="E1" s="4" t="s">
        <v>2</v>
      </c>
      <c r="F1" s="5" t="s">
        <v>3</v>
      </c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6" t="s">
        <v>12</v>
      </c>
      <c r="P1" s="7" t="s">
        <v>13</v>
      </c>
      <c r="R1" s="6">
        <f>COUNTA(O2:O275)</f>
        <v>59</v>
      </c>
    </row>
    <row r="2" spans="1:18" hidden="1" x14ac:dyDescent="0.35">
      <c r="A2"/>
      <c r="B2" s="1"/>
      <c r="C2" s="8" t="s">
        <v>14</v>
      </c>
      <c r="D2" s="9" t="s">
        <v>15</v>
      </c>
      <c r="E2" s="10">
        <v>298.14999999999998</v>
      </c>
      <c r="F2" s="10">
        <v>303</v>
      </c>
      <c r="G2" s="11">
        <v>0</v>
      </c>
      <c r="H2" s="12">
        <v>-158.4</v>
      </c>
      <c r="I2" s="11">
        <v>-46.31</v>
      </c>
      <c r="J2" s="12">
        <v>3.9409989999999997E-3</v>
      </c>
      <c r="K2" s="11">
        <v>-0.93300000000000005</v>
      </c>
      <c r="L2" s="12">
        <v>1042.105</v>
      </c>
      <c r="M2" s="11">
        <v>-4041.9989999999998</v>
      </c>
      <c r="N2" s="12">
        <v>0</v>
      </c>
      <c r="O2" s="13">
        <v>1</v>
      </c>
    </row>
    <row r="3" spans="1:18" x14ac:dyDescent="0.35">
      <c r="A3"/>
      <c r="B3" s="1"/>
      <c r="C3" s="8" t="s">
        <v>14</v>
      </c>
      <c r="D3" s="9" t="s">
        <v>16</v>
      </c>
      <c r="E3" s="10">
        <v>303</v>
      </c>
      <c r="F3" s="10">
        <v>699.99990000000003</v>
      </c>
      <c r="G3" s="11">
        <v>6.7230010000000007E-2</v>
      </c>
      <c r="H3" s="12">
        <v>15.16</v>
      </c>
      <c r="I3" s="11">
        <v>3.1360000000000001</v>
      </c>
      <c r="J3" s="12">
        <v>1.4229999999999999E-4</v>
      </c>
      <c r="K3" s="11">
        <v>8.3939990000000006E-2</v>
      </c>
      <c r="L3" s="12">
        <v>-0.18459999999999999</v>
      </c>
      <c r="M3" s="11">
        <v>0.49309999999999998</v>
      </c>
      <c r="N3" s="12">
        <v>0</v>
      </c>
      <c r="O3" s="13">
        <v>1</v>
      </c>
    </row>
    <row r="4" spans="1:18" x14ac:dyDescent="0.35">
      <c r="A4"/>
      <c r="B4" s="1"/>
      <c r="C4" s="14" t="s">
        <v>14</v>
      </c>
      <c r="D4" s="15" t="s">
        <v>16</v>
      </c>
      <c r="E4" s="14">
        <v>699.99990000000003</v>
      </c>
      <c r="F4" s="14">
        <v>4000.0010000000002</v>
      </c>
      <c r="G4" s="16">
        <v>6.7230010000000007E-2</v>
      </c>
      <c r="H4" s="14">
        <v>15.16</v>
      </c>
      <c r="I4" s="16">
        <v>2.1349999999999998</v>
      </c>
      <c r="J4" s="14">
        <v>1.4249999999999999E-4</v>
      </c>
      <c r="K4" s="16">
        <v>8.3929989999999996E-2</v>
      </c>
      <c r="L4" s="14">
        <v>-0.18099999999999999</v>
      </c>
      <c r="M4" s="16">
        <v>0.48309999999999997</v>
      </c>
      <c r="N4" s="14">
        <v>0</v>
      </c>
      <c r="O4" s="17">
        <v>1</v>
      </c>
    </row>
    <row r="5" spans="1:18" hidden="1" x14ac:dyDescent="0.35">
      <c r="A5"/>
      <c r="B5" s="1"/>
      <c r="C5" s="14" t="s">
        <v>14</v>
      </c>
      <c r="D5" s="15" t="s">
        <v>17</v>
      </c>
      <c r="E5" s="14">
        <v>298.14999999999998</v>
      </c>
      <c r="F5" s="14">
        <v>1500</v>
      </c>
      <c r="G5" s="16">
        <v>3.192504</v>
      </c>
      <c r="H5" s="14">
        <v>33.995229999999999</v>
      </c>
      <c r="I5" s="16">
        <v>5.1932309999999999</v>
      </c>
      <c r="J5" s="14">
        <v>-4.8091060000000002E-4</v>
      </c>
      <c r="K5" s="16">
        <v>9.1439489999999998E-2</v>
      </c>
      <c r="L5" s="14">
        <v>-21.466670000000001</v>
      </c>
      <c r="M5" s="16">
        <v>42.981879999999997</v>
      </c>
      <c r="N5" s="14">
        <v>-45.813839999999999</v>
      </c>
      <c r="O5" s="18">
        <v>1</v>
      </c>
    </row>
    <row r="6" spans="1:18" hidden="1" x14ac:dyDescent="0.35">
      <c r="A6"/>
      <c r="B6" s="1"/>
      <c r="C6" s="19" t="s">
        <v>14</v>
      </c>
      <c r="D6" s="9" t="s">
        <v>17</v>
      </c>
      <c r="E6" s="10">
        <v>1500</v>
      </c>
      <c r="F6" s="10">
        <v>6000</v>
      </c>
      <c r="G6" s="11">
        <v>3.192504</v>
      </c>
      <c r="H6" s="12">
        <v>27.29757</v>
      </c>
      <c r="I6" s="11">
        <v>2.370241</v>
      </c>
      <c r="J6" s="12">
        <v>2.138671E-3</v>
      </c>
      <c r="K6" s="11">
        <v>-9.5885429999999994E-2</v>
      </c>
      <c r="L6" s="12">
        <v>0.51440149999999996</v>
      </c>
      <c r="M6" s="11">
        <v>-0.49555690000000002</v>
      </c>
      <c r="N6" s="12">
        <v>0.24712329999999999</v>
      </c>
      <c r="O6" s="20">
        <v>1</v>
      </c>
    </row>
    <row r="7" spans="1:18" hidden="1" x14ac:dyDescent="0.35">
      <c r="A7"/>
      <c r="B7" s="1"/>
      <c r="C7" s="14" t="s">
        <v>14</v>
      </c>
      <c r="D7" s="15" t="s">
        <v>17</v>
      </c>
      <c r="E7" s="14">
        <v>6000</v>
      </c>
      <c r="F7" s="14">
        <v>10000</v>
      </c>
      <c r="G7" s="16">
        <v>3.192504</v>
      </c>
      <c r="H7" s="14">
        <v>31.29327</v>
      </c>
      <c r="I7" s="16">
        <v>7.3013729999999999</v>
      </c>
      <c r="J7" s="14">
        <v>-9.3193609999999996E-2</v>
      </c>
      <c r="K7" s="16">
        <v>1.4353830000000001</v>
      </c>
      <c r="L7" s="14">
        <v>-7.4299809999999997</v>
      </c>
      <c r="M7" s="16">
        <v>2.6981959999999998</v>
      </c>
      <c r="N7" s="14">
        <v>-0.43421900000000002</v>
      </c>
      <c r="O7" s="18">
        <v>1</v>
      </c>
    </row>
    <row r="8" spans="1:18" hidden="1" x14ac:dyDescent="0.35">
      <c r="A8"/>
      <c r="B8" s="1"/>
      <c r="C8" s="14" t="s">
        <v>18</v>
      </c>
      <c r="D8" s="15" t="s">
        <v>15</v>
      </c>
      <c r="E8" s="14">
        <v>298.14999999999998</v>
      </c>
      <c r="F8" s="14">
        <v>500.00009999999997</v>
      </c>
      <c r="G8" s="21">
        <v>-39.299999999999997</v>
      </c>
      <c r="H8" s="22">
        <v>1631</v>
      </c>
      <c r="I8" s="21">
        <v>409.1</v>
      </c>
      <c r="J8" s="22">
        <v>-8.7220010000000001E-3</v>
      </c>
      <c r="K8" s="21">
        <v>10.75</v>
      </c>
      <c r="L8" s="22">
        <v>-3528</v>
      </c>
      <c r="M8" s="21">
        <v>20750</v>
      </c>
      <c r="N8" s="22">
        <v>0</v>
      </c>
      <c r="O8" s="23">
        <v>1</v>
      </c>
    </row>
    <row r="9" spans="1:18" hidden="1" x14ac:dyDescent="0.35">
      <c r="A9"/>
      <c r="B9" s="1"/>
      <c r="C9" s="14" t="s">
        <v>19</v>
      </c>
      <c r="D9" s="15" t="s">
        <v>15</v>
      </c>
      <c r="E9" s="14">
        <v>298.14999999999998</v>
      </c>
      <c r="F9" s="14">
        <v>500.00009999999997</v>
      </c>
      <c r="G9" s="21">
        <v>-4.8600000000000003</v>
      </c>
      <c r="H9" s="22">
        <v>212.3999</v>
      </c>
      <c r="I9" s="21">
        <v>53.359990000000003</v>
      </c>
      <c r="J9" s="22">
        <v>-1.163E-3</v>
      </c>
      <c r="K9" s="21">
        <v>1.395</v>
      </c>
      <c r="L9" s="22">
        <v>-473.2</v>
      </c>
      <c r="M9" s="21">
        <v>2766</v>
      </c>
      <c r="N9" s="22">
        <v>0</v>
      </c>
      <c r="O9" s="23">
        <v>1</v>
      </c>
    </row>
    <row r="10" spans="1:18" hidden="1" x14ac:dyDescent="0.35">
      <c r="A10"/>
      <c r="B10" s="1"/>
      <c r="C10" s="14" t="s">
        <v>20</v>
      </c>
      <c r="D10" s="15" t="s">
        <v>15</v>
      </c>
      <c r="E10" s="14">
        <v>298.14999999999998</v>
      </c>
      <c r="F10" s="14">
        <v>500.00009999999997</v>
      </c>
      <c r="G10" s="21">
        <v>-5.34</v>
      </c>
      <c r="H10" s="22">
        <v>188.5</v>
      </c>
      <c r="I10" s="21">
        <v>46.599989999999998</v>
      </c>
      <c r="J10" s="22">
        <v>-5.8149999999999999E-4</v>
      </c>
      <c r="K10" s="21">
        <v>1.323</v>
      </c>
      <c r="L10" s="22">
        <v>-201.3</v>
      </c>
      <c r="M10" s="21">
        <v>1383</v>
      </c>
      <c r="N10" s="22">
        <v>0</v>
      </c>
      <c r="O10" s="23">
        <v>1</v>
      </c>
    </row>
    <row r="11" spans="1:18" hidden="1" x14ac:dyDescent="0.35">
      <c r="A11"/>
      <c r="B11" s="1"/>
      <c r="C11" s="14" t="s">
        <v>21</v>
      </c>
      <c r="D11" s="15" t="s">
        <v>15</v>
      </c>
      <c r="E11" s="14">
        <v>298</v>
      </c>
      <c r="F11" s="14">
        <v>500.00009999999997</v>
      </c>
      <c r="G11" s="21">
        <v>-2.39</v>
      </c>
      <c r="H11" s="22">
        <v>74.769990000000007</v>
      </c>
      <c r="I11" s="21">
        <v>18.14</v>
      </c>
      <c r="J11" s="22">
        <v>0</v>
      </c>
      <c r="K11" s="21">
        <v>0.56850000000000001</v>
      </c>
      <c r="L11" s="22">
        <v>31.1</v>
      </c>
      <c r="M11" s="21">
        <v>0</v>
      </c>
      <c r="N11" s="22">
        <v>0</v>
      </c>
      <c r="O11" s="23">
        <v>1</v>
      </c>
    </row>
    <row r="12" spans="1:18" hidden="1" x14ac:dyDescent="0.35">
      <c r="A12"/>
      <c r="B12" s="24"/>
      <c r="C12" s="14" t="s">
        <v>22</v>
      </c>
      <c r="D12" s="15" t="s">
        <v>17</v>
      </c>
      <c r="E12" s="14">
        <v>298.14999999999998</v>
      </c>
      <c r="F12" s="14">
        <v>2000</v>
      </c>
      <c r="G12" s="21">
        <v>1.157</v>
      </c>
      <c r="H12" s="22">
        <v>55.30301</v>
      </c>
      <c r="I12" s="21">
        <v>6.9866000000000001</v>
      </c>
      <c r="J12" s="22">
        <v>-1.7438999999999999E-4</v>
      </c>
      <c r="K12" s="21">
        <v>0.22003</v>
      </c>
      <c r="L12" s="22">
        <v>3.0068000000000001E-2</v>
      </c>
      <c r="M12" s="21">
        <v>0</v>
      </c>
      <c r="N12" s="22">
        <v>0</v>
      </c>
      <c r="O12" s="23">
        <v>1</v>
      </c>
    </row>
    <row r="13" spans="1:18" hidden="1" x14ac:dyDescent="0.35">
      <c r="A13"/>
      <c r="B13" s="24"/>
      <c r="C13" s="14" t="s">
        <v>22</v>
      </c>
      <c r="D13" s="15" t="s">
        <v>15</v>
      </c>
      <c r="E13" s="14">
        <v>298.14999999999998</v>
      </c>
      <c r="F13" s="14">
        <v>398</v>
      </c>
      <c r="G13" s="21">
        <v>-2.2040000000000002</v>
      </c>
      <c r="H13" s="22">
        <v>13.59</v>
      </c>
      <c r="I13" s="21">
        <v>0</v>
      </c>
      <c r="J13" s="22">
        <v>0</v>
      </c>
      <c r="K13" s="21">
        <v>0</v>
      </c>
      <c r="L13" s="22">
        <v>0</v>
      </c>
      <c r="M13" s="21">
        <v>0</v>
      </c>
      <c r="N13" s="22">
        <v>0</v>
      </c>
      <c r="O13" s="23">
        <v>1</v>
      </c>
    </row>
    <row r="14" spans="1:18" hidden="1" x14ac:dyDescent="0.35">
      <c r="A14"/>
      <c r="B14" s="24"/>
      <c r="C14" s="19" t="s">
        <v>23</v>
      </c>
      <c r="D14" s="9" t="s">
        <v>15</v>
      </c>
      <c r="E14" s="25">
        <v>298.14999999999998</v>
      </c>
      <c r="F14" s="25">
        <v>1278</v>
      </c>
      <c r="G14" s="26">
        <v>-4.9166999999999996</v>
      </c>
      <c r="H14" s="27">
        <v>52.323990000000002</v>
      </c>
      <c r="I14" s="26">
        <v>12.715999999999999</v>
      </c>
      <c r="J14" s="27">
        <v>0</v>
      </c>
      <c r="K14" s="26">
        <v>0.39800999999999997</v>
      </c>
      <c r="L14" s="27">
        <v>21.234000000000002</v>
      </c>
      <c r="M14" s="26">
        <v>0</v>
      </c>
      <c r="N14" s="27">
        <v>0</v>
      </c>
      <c r="O14" s="20">
        <v>1</v>
      </c>
    </row>
    <row r="15" spans="1:18" hidden="1" x14ac:dyDescent="0.35">
      <c r="A15"/>
      <c r="B15" s="24"/>
      <c r="C15" s="28" t="s">
        <v>24</v>
      </c>
      <c r="D15" s="15" t="s">
        <v>15</v>
      </c>
      <c r="E15" s="14">
        <v>298.14999999999998</v>
      </c>
      <c r="F15" s="14">
        <v>500.00009999999997</v>
      </c>
      <c r="G15" s="29">
        <v>-4.78</v>
      </c>
      <c r="H15" s="30">
        <v>149.5</v>
      </c>
      <c r="I15" s="29">
        <v>36.279989999999998</v>
      </c>
      <c r="J15" s="30">
        <v>0</v>
      </c>
      <c r="K15" s="29">
        <v>1.137</v>
      </c>
      <c r="L15" s="30">
        <v>62.190010000000001</v>
      </c>
      <c r="M15" s="29">
        <v>0</v>
      </c>
      <c r="N15" s="30">
        <v>0</v>
      </c>
      <c r="O15" s="17">
        <v>1</v>
      </c>
    </row>
    <row r="16" spans="1:18" hidden="1" x14ac:dyDescent="0.35">
      <c r="A16"/>
      <c r="B16" s="24"/>
      <c r="C16" s="14" t="s">
        <v>25</v>
      </c>
      <c r="D16" s="15" t="s">
        <v>15</v>
      </c>
      <c r="E16" s="14">
        <v>298</v>
      </c>
      <c r="F16" s="14">
        <v>500.00009999999997</v>
      </c>
      <c r="G16" s="21">
        <v>-4.22</v>
      </c>
      <c r="H16" s="22">
        <v>173.5</v>
      </c>
      <c r="I16" s="21">
        <v>43.04</v>
      </c>
      <c r="J16" s="22">
        <v>-5.8149999999999999E-4</v>
      </c>
      <c r="K16" s="21">
        <v>1.2090000000000001</v>
      </c>
      <c r="L16" s="22">
        <v>-209.7</v>
      </c>
      <c r="M16" s="21">
        <v>1383</v>
      </c>
      <c r="N16" s="22">
        <v>0</v>
      </c>
      <c r="O16" s="23">
        <v>1</v>
      </c>
    </row>
    <row r="17" spans="1:26" hidden="1" x14ac:dyDescent="0.35">
      <c r="A17"/>
      <c r="B17" s="24"/>
      <c r="C17" s="14" t="s">
        <v>26</v>
      </c>
      <c r="D17" s="15" t="s">
        <v>15</v>
      </c>
      <c r="E17" s="14">
        <v>298</v>
      </c>
      <c r="F17" s="14">
        <v>500.00009999999997</v>
      </c>
      <c r="G17" s="21">
        <v>-1.81</v>
      </c>
      <c r="H17" s="22">
        <v>71.790000000000006</v>
      </c>
      <c r="I17" s="21">
        <v>17.87</v>
      </c>
      <c r="J17" s="22">
        <v>-2.9069989999999998E-4</v>
      </c>
      <c r="K17" s="21">
        <v>0.49080000000000001</v>
      </c>
      <c r="L17" s="22">
        <v>-110.5</v>
      </c>
      <c r="M17" s="21">
        <v>691.6</v>
      </c>
      <c r="N17" s="22">
        <v>0</v>
      </c>
      <c r="O17" s="23">
        <v>1</v>
      </c>
    </row>
    <row r="18" spans="1:26" hidden="1" x14ac:dyDescent="0.35">
      <c r="A18"/>
      <c r="B18" s="24"/>
      <c r="C18" s="14" t="s">
        <v>27</v>
      </c>
      <c r="D18" s="15" t="s">
        <v>28</v>
      </c>
      <c r="E18" s="14">
        <v>298.14999999999998</v>
      </c>
      <c r="F18" s="14">
        <v>1211.4000000000001</v>
      </c>
      <c r="G18" s="21">
        <v>-5.5760690000000002E-2</v>
      </c>
      <c r="H18" s="22">
        <v>10.808619999999999</v>
      </c>
      <c r="I18" s="21">
        <v>2.898209</v>
      </c>
      <c r="J18" s="22">
        <v>-9.4357770000000004E-5</v>
      </c>
      <c r="K18" s="21">
        <v>3.8575789999999999E-2</v>
      </c>
      <c r="L18" s="22">
        <v>1.796346</v>
      </c>
      <c r="M18" s="21">
        <v>0</v>
      </c>
      <c r="N18" s="22">
        <v>0</v>
      </c>
      <c r="O18" s="23">
        <v>1</v>
      </c>
    </row>
    <row r="19" spans="1:26" hidden="1" x14ac:dyDescent="0.35">
      <c r="A19"/>
      <c r="B19" s="24"/>
      <c r="C19" s="14" t="s">
        <v>27</v>
      </c>
      <c r="D19" s="15" t="s">
        <v>15</v>
      </c>
      <c r="E19" s="14">
        <v>298.14999999999998</v>
      </c>
      <c r="F19" s="14">
        <v>1211.4000000000001</v>
      </c>
      <c r="G19" s="21">
        <v>-5.5760690000000002E-2</v>
      </c>
      <c r="H19" s="22">
        <v>10.808619999999999</v>
      </c>
      <c r="I19" s="21">
        <v>2.898209</v>
      </c>
      <c r="J19" s="22">
        <v>-9.4357770000000004E-5</v>
      </c>
      <c r="K19" s="21">
        <v>3.8575789999999999E-2</v>
      </c>
      <c r="L19" s="22">
        <v>1.796346</v>
      </c>
      <c r="M19" s="21">
        <v>0</v>
      </c>
      <c r="N19" s="22">
        <v>0</v>
      </c>
      <c r="O19" s="23">
        <v>1</v>
      </c>
    </row>
    <row r="20" spans="1:26" x14ac:dyDescent="0.35">
      <c r="A20"/>
      <c r="B20" s="24"/>
      <c r="C20" s="14" t="s">
        <v>27</v>
      </c>
      <c r="D20" s="15" t="s">
        <v>16</v>
      </c>
      <c r="E20" s="14">
        <v>1211.4000000000001</v>
      </c>
      <c r="F20" s="14">
        <v>4900</v>
      </c>
      <c r="G20" s="21">
        <v>-5.5760690000000002E-2</v>
      </c>
      <c r="H20" s="22">
        <v>15.395060000000001</v>
      </c>
      <c r="I20" s="21">
        <v>3.319661</v>
      </c>
      <c r="J20" s="22">
        <v>0</v>
      </c>
      <c r="K20" s="21">
        <v>-0.38367639999999997</v>
      </c>
      <c r="L20" s="22">
        <v>0</v>
      </c>
      <c r="M20" s="21">
        <v>0</v>
      </c>
      <c r="N20" s="22">
        <v>0</v>
      </c>
      <c r="O20" s="23">
        <v>1</v>
      </c>
    </row>
    <row r="21" spans="1:26" hidden="1" x14ac:dyDescent="0.35">
      <c r="A21"/>
      <c r="B21" s="24"/>
      <c r="C21" s="14" t="s">
        <v>27</v>
      </c>
      <c r="D21" s="15" t="s">
        <v>17</v>
      </c>
      <c r="E21" s="14">
        <v>298.14999999999998</v>
      </c>
      <c r="F21" s="14">
        <v>1500</v>
      </c>
      <c r="G21" s="21">
        <v>4.3829390000000004</v>
      </c>
      <c r="H21" s="22">
        <v>34.862279999999998</v>
      </c>
      <c r="I21" s="21">
        <v>5.530119</v>
      </c>
      <c r="J21" s="22">
        <v>-3.3787839999999998E-4</v>
      </c>
      <c r="K21" s="21">
        <v>8.1663529999999998E-2</v>
      </c>
      <c r="L21" s="22">
        <v>-21.130780000000001</v>
      </c>
      <c r="M21" s="21">
        <v>36.52984</v>
      </c>
      <c r="N21" s="22">
        <v>-31.421589999999998</v>
      </c>
      <c r="O21" s="23">
        <v>1</v>
      </c>
    </row>
    <row r="22" spans="1:26" hidden="1" x14ac:dyDescent="0.35">
      <c r="A22"/>
      <c r="B22" s="24"/>
      <c r="C22" s="14" t="s">
        <v>27</v>
      </c>
      <c r="D22" s="15" t="s">
        <v>17</v>
      </c>
      <c r="E22" s="14">
        <v>1500</v>
      </c>
      <c r="F22" s="14">
        <v>6000</v>
      </c>
      <c r="G22" s="29">
        <v>4.3829390000000004</v>
      </c>
      <c r="H22" s="30">
        <v>26.704419999999999</v>
      </c>
      <c r="I22" s="29">
        <v>1.8358589999999999</v>
      </c>
      <c r="J22" s="30">
        <v>3.9919220000000002E-3</v>
      </c>
      <c r="K22" s="29">
        <v>-0.2011674</v>
      </c>
      <c r="L22" s="30">
        <v>2.865237</v>
      </c>
      <c r="M22" s="29">
        <v>-1.920703</v>
      </c>
      <c r="N22" s="30">
        <v>0.6292025</v>
      </c>
      <c r="O22" s="31">
        <v>1</v>
      </c>
    </row>
    <row r="23" spans="1:26" hidden="1" x14ac:dyDescent="0.35">
      <c r="A23"/>
      <c r="B23" s="24"/>
      <c r="C23" s="14" t="s">
        <v>27</v>
      </c>
      <c r="D23" s="15" t="s">
        <v>17</v>
      </c>
      <c r="E23" s="14">
        <v>6000</v>
      </c>
      <c r="F23" s="14">
        <v>10000</v>
      </c>
      <c r="G23" s="29">
        <v>4.3829390000000004</v>
      </c>
      <c r="H23" s="30">
        <v>30.185140000000001</v>
      </c>
      <c r="I23" s="29">
        <v>6.3430540000000004</v>
      </c>
      <c r="J23" s="30">
        <v>-9.5135109999999995E-2</v>
      </c>
      <c r="K23" s="29">
        <v>1.2754369999999999</v>
      </c>
      <c r="L23" s="30">
        <v>-4.2694150000000004</v>
      </c>
      <c r="M23" s="29">
        <v>1.041687</v>
      </c>
      <c r="N23" s="30">
        <v>-6.3588229999999996E-2</v>
      </c>
      <c r="O23" s="23">
        <v>1</v>
      </c>
    </row>
    <row r="24" spans="1:26" hidden="1" x14ac:dyDescent="0.35">
      <c r="A24"/>
      <c r="B24" s="24"/>
      <c r="C24" s="14" t="s">
        <v>29</v>
      </c>
      <c r="D24" s="15" t="s">
        <v>17</v>
      </c>
      <c r="E24" s="14">
        <v>298.14999999999998</v>
      </c>
      <c r="F24" s="14">
        <v>1100</v>
      </c>
      <c r="G24" s="29">
        <v>5.2149859999999997</v>
      </c>
      <c r="H24" s="30">
        <v>41.701000000000001</v>
      </c>
      <c r="I24" s="29">
        <v>4.0561670000000003</v>
      </c>
      <c r="J24" s="30">
        <v>2.357301E-5</v>
      </c>
      <c r="K24" s="29">
        <v>0.12889</v>
      </c>
      <c r="L24" s="30">
        <v>11.272</v>
      </c>
      <c r="M24" s="29">
        <v>-9.1847989999999999</v>
      </c>
      <c r="N24" s="30">
        <v>0</v>
      </c>
      <c r="O24" s="23">
        <v>1</v>
      </c>
    </row>
    <row r="25" spans="1:26" hidden="1" x14ac:dyDescent="0.35">
      <c r="A25"/>
      <c r="B25" s="24"/>
      <c r="C25" s="14" t="s">
        <v>29</v>
      </c>
      <c r="D25" s="15" t="s">
        <v>17</v>
      </c>
      <c r="E25" s="14">
        <v>1100</v>
      </c>
      <c r="F25" s="14">
        <v>2500</v>
      </c>
      <c r="G25" s="29">
        <v>5.2149859999999997</v>
      </c>
      <c r="H25" s="30">
        <v>43.677999999999997</v>
      </c>
      <c r="I25" s="29">
        <v>4.8509000000000002</v>
      </c>
      <c r="J25" s="30">
        <v>-3.7446989999999998E-4</v>
      </c>
      <c r="K25" s="29">
        <v>0.1716596</v>
      </c>
      <c r="L25" s="30">
        <v>5.0346000000000002</v>
      </c>
      <c r="M25" s="29">
        <v>-0.32273000000000002</v>
      </c>
      <c r="N25" s="30">
        <v>0</v>
      </c>
      <c r="O25" s="18">
        <v>1</v>
      </c>
    </row>
    <row r="26" spans="1:26" hidden="1" x14ac:dyDescent="0.35">
      <c r="A26"/>
      <c r="B26" s="24"/>
      <c r="C26" s="19" t="s">
        <v>29</v>
      </c>
      <c r="D26" s="9" t="s">
        <v>17</v>
      </c>
      <c r="E26" s="25">
        <v>1500</v>
      </c>
      <c r="F26" s="25">
        <v>6000</v>
      </c>
      <c r="G26" s="26">
        <v>5.674709</v>
      </c>
      <c r="H26" s="27">
        <v>40.162990000000001</v>
      </c>
      <c r="I26" s="26">
        <v>2.7510140000000001</v>
      </c>
      <c r="J26" s="27">
        <v>7.8054969999999998E-3</v>
      </c>
      <c r="K26" s="26">
        <v>-0.32734089999999999</v>
      </c>
      <c r="L26" s="27">
        <v>6.01546</v>
      </c>
      <c r="M26" s="26">
        <v>-3.5431430000000002</v>
      </c>
      <c r="N26" s="27">
        <v>0.75900279999999998</v>
      </c>
      <c r="O26" s="20">
        <v>1</v>
      </c>
    </row>
    <row r="27" spans="1:26" hidden="1" x14ac:dyDescent="0.35">
      <c r="A27"/>
      <c r="B27" s="24"/>
      <c r="C27" s="8" t="s">
        <v>30</v>
      </c>
      <c r="D27" s="9" t="s">
        <v>15</v>
      </c>
      <c r="E27" s="25">
        <v>298.14999999999998</v>
      </c>
      <c r="F27" s="25">
        <v>500.00009999999997</v>
      </c>
      <c r="G27" s="26">
        <v>-2.95</v>
      </c>
      <c r="H27" s="27">
        <v>113.7</v>
      </c>
      <c r="I27" s="26">
        <v>28.46</v>
      </c>
      <c r="J27" s="27">
        <v>-5.8149999999999999E-4</v>
      </c>
      <c r="K27" s="26">
        <v>0.75419999999999998</v>
      </c>
      <c r="L27" s="27">
        <v>-232.4</v>
      </c>
      <c r="M27" s="26">
        <v>1383</v>
      </c>
      <c r="N27" s="27">
        <v>0</v>
      </c>
      <c r="O27" s="20">
        <v>1</v>
      </c>
    </row>
    <row r="28" spans="1:26" hidden="1" x14ac:dyDescent="0.35">
      <c r="A28"/>
      <c r="B28" s="24"/>
      <c r="C28" s="8" t="s">
        <v>31</v>
      </c>
      <c r="D28" s="9" t="s">
        <v>15</v>
      </c>
      <c r="E28" s="25">
        <v>298.14999999999998</v>
      </c>
      <c r="F28" s="25">
        <v>500.00009999999997</v>
      </c>
      <c r="G28" s="26">
        <v>-3.78</v>
      </c>
      <c r="H28" s="27">
        <v>136.19999999999999</v>
      </c>
      <c r="I28" s="26">
        <v>33.880000000000003</v>
      </c>
      <c r="J28" s="27">
        <v>-5.8149999999999999E-4</v>
      </c>
      <c r="K28" s="26">
        <v>0.92469999999999997</v>
      </c>
      <c r="L28" s="27">
        <v>-222.6</v>
      </c>
      <c r="M28" s="26">
        <v>1383</v>
      </c>
      <c r="N28" s="27">
        <v>0</v>
      </c>
      <c r="O28" s="20">
        <v>1</v>
      </c>
      <c r="Q28" s="32"/>
      <c r="R28" s="32"/>
      <c r="S28" s="32"/>
      <c r="T28" s="32"/>
      <c r="U28" s="32"/>
      <c r="V28" s="32"/>
      <c r="W28" s="32"/>
      <c r="X28" s="32"/>
      <c r="Y28" s="32"/>
      <c r="Z28" s="32"/>
    </row>
    <row r="29" spans="1:26" hidden="1" x14ac:dyDescent="0.35">
      <c r="A29"/>
      <c r="B29" s="24"/>
      <c r="C29" s="8" t="s">
        <v>32</v>
      </c>
      <c r="D29" s="9" t="s">
        <v>17</v>
      </c>
      <c r="E29" s="25">
        <v>298.14999999999998</v>
      </c>
      <c r="F29" s="25">
        <v>1500</v>
      </c>
      <c r="G29" s="26">
        <v>5.674709</v>
      </c>
      <c r="H29" s="27">
        <v>49.524940000000001</v>
      </c>
      <c r="I29" s="26">
        <v>7.0513279999999998</v>
      </c>
      <c r="J29" s="27">
        <v>-1.341195E-5</v>
      </c>
      <c r="K29" s="26">
        <v>5.245814E-2</v>
      </c>
      <c r="L29" s="27">
        <v>-24.580100000000002</v>
      </c>
      <c r="M29" s="26">
        <v>62.099780000000003</v>
      </c>
      <c r="N29" s="27">
        <v>-81.046109999999999</v>
      </c>
      <c r="O29" s="20">
        <v>1</v>
      </c>
    </row>
    <row r="30" spans="1:26" hidden="1" x14ac:dyDescent="0.35">
      <c r="A30"/>
      <c r="B30" s="24"/>
      <c r="C30" s="33" t="s">
        <v>33</v>
      </c>
      <c r="D30" s="15" t="s">
        <v>15</v>
      </c>
      <c r="E30" s="14">
        <v>298.14999999999998</v>
      </c>
      <c r="F30" s="14">
        <v>947.99990000000003</v>
      </c>
      <c r="G30" s="29">
        <v>-0.82987549999999999</v>
      </c>
      <c r="H30" s="30">
        <v>22.446940000000001</v>
      </c>
      <c r="I30" s="29">
        <v>5.4242590000000002</v>
      </c>
      <c r="J30" s="30">
        <v>0</v>
      </c>
      <c r="K30" s="29">
        <v>0.17049120000000001</v>
      </c>
      <c r="L30" s="30">
        <v>9.8622890000000005</v>
      </c>
      <c r="M30" s="29">
        <v>0</v>
      </c>
      <c r="N30" s="30">
        <v>0</v>
      </c>
      <c r="O30" s="23">
        <v>1</v>
      </c>
    </row>
    <row r="31" spans="1:26" hidden="1" x14ac:dyDescent="0.35">
      <c r="C31" s="33" t="s">
        <v>33</v>
      </c>
      <c r="D31" s="15" t="s">
        <v>17</v>
      </c>
      <c r="E31" s="14">
        <v>298.14999999999998</v>
      </c>
      <c r="F31" s="14">
        <v>2000</v>
      </c>
      <c r="G31" s="29">
        <v>1.2677</v>
      </c>
      <c r="H31" s="30">
        <v>11.071</v>
      </c>
      <c r="I31" s="29">
        <v>4.4489000000000001</v>
      </c>
      <c r="J31" s="30">
        <v>-1.0823999999999999E-4</v>
      </c>
      <c r="K31" s="29">
        <v>0.13999</v>
      </c>
      <c r="L31" s="30">
        <v>0.10223</v>
      </c>
      <c r="M31" s="29">
        <v>0</v>
      </c>
      <c r="N31" s="30">
        <v>0</v>
      </c>
      <c r="O31" s="35">
        <v>1</v>
      </c>
    </row>
    <row r="32" spans="1:26" hidden="1" x14ac:dyDescent="0.35">
      <c r="C32" s="33" t="s">
        <v>34</v>
      </c>
      <c r="D32" s="15" t="s">
        <v>15</v>
      </c>
      <c r="E32" s="14">
        <v>298.14999999999998</v>
      </c>
      <c r="F32" s="14">
        <v>1013</v>
      </c>
      <c r="G32" s="29">
        <v>-1.3591</v>
      </c>
      <c r="H32" s="30">
        <v>31.553999999999998</v>
      </c>
      <c r="I32" s="29">
        <v>7.5639000000000003</v>
      </c>
      <c r="J32" s="30">
        <v>0</v>
      </c>
      <c r="K32" s="29">
        <v>0.24035000000000001</v>
      </c>
      <c r="L32" s="30">
        <v>16.681999999999999</v>
      </c>
      <c r="M32" s="29">
        <v>0</v>
      </c>
      <c r="N32" s="30">
        <v>0</v>
      </c>
      <c r="O32" s="23">
        <v>1</v>
      </c>
    </row>
    <row r="33" spans="3:18" hidden="1" x14ac:dyDescent="0.35">
      <c r="C33" s="14" t="s">
        <v>34</v>
      </c>
      <c r="D33" s="15" t="s">
        <v>15</v>
      </c>
      <c r="E33" s="14">
        <v>298.14999999999998</v>
      </c>
      <c r="F33" s="14">
        <v>350</v>
      </c>
      <c r="G33" s="36">
        <v>-1.359</v>
      </c>
      <c r="H33" s="30">
        <v>68.819999999999993</v>
      </c>
      <c r="I33" s="29">
        <v>17.670000000000002</v>
      </c>
      <c r="J33" s="30">
        <v>-5.8149999999999999E-4</v>
      </c>
      <c r="K33" s="29">
        <v>0.41320000000000001</v>
      </c>
      <c r="L33" s="30">
        <v>-252.1001</v>
      </c>
      <c r="M33" s="29">
        <v>1383</v>
      </c>
      <c r="N33" s="37">
        <v>0</v>
      </c>
      <c r="O33" s="31">
        <v>1</v>
      </c>
    </row>
    <row r="34" spans="3:18" hidden="1" x14ac:dyDescent="0.35">
      <c r="C34" t="s">
        <v>34</v>
      </c>
      <c r="D34" s="38" t="s">
        <v>15</v>
      </c>
      <c r="E34">
        <v>350</v>
      </c>
      <c r="F34">
        <v>420</v>
      </c>
      <c r="G34" s="36">
        <v>-1.359</v>
      </c>
      <c r="H34" s="37">
        <v>12.05</v>
      </c>
      <c r="I34" s="36">
        <v>1.762</v>
      </c>
      <c r="J34" s="37">
        <v>0</v>
      </c>
      <c r="K34" s="36">
        <v>0.14510000000000001</v>
      </c>
      <c r="L34" s="37">
        <v>105.7</v>
      </c>
      <c r="M34" s="36">
        <v>0</v>
      </c>
      <c r="N34" s="37">
        <v>0</v>
      </c>
      <c r="O34" s="39">
        <v>1</v>
      </c>
    </row>
    <row r="35" spans="3:18" hidden="1" x14ac:dyDescent="0.35">
      <c r="C35" t="s">
        <v>34</v>
      </c>
      <c r="D35" s="38" t="s">
        <v>15</v>
      </c>
      <c r="E35">
        <v>420</v>
      </c>
      <c r="F35">
        <v>450</v>
      </c>
      <c r="G35" s="36">
        <v>-1.359</v>
      </c>
      <c r="H35" s="37">
        <v>38.770000000000003</v>
      </c>
      <c r="I35" s="36">
        <v>9.9830000000000005</v>
      </c>
      <c r="J35" s="37">
        <v>0</v>
      </c>
      <c r="K35" s="36">
        <v>0.3039</v>
      </c>
      <c r="L35" s="37">
        <v>0</v>
      </c>
      <c r="M35" s="36">
        <v>0</v>
      </c>
      <c r="N35" s="37">
        <v>0</v>
      </c>
      <c r="O35" s="39">
        <v>1</v>
      </c>
    </row>
    <row r="36" spans="3:18" hidden="1" x14ac:dyDescent="0.35">
      <c r="C36" s="19" t="s">
        <v>34</v>
      </c>
      <c r="D36" s="9" t="s">
        <v>15</v>
      </c>
      <c r="E36" s="25">
        <v>450</v>
      </c>
      <c r="F36" s="25">
        <v>899.99990000000003</v>
      </c>
      <c r="G36" s="26">
        <v>-1.359</v>
      </c>
      <c r="H36" s="27">
        <v>18.36</v>
      </c>
      <c r="I36" s="26">
        <v>2.0299999999999998</v>
      </c>
      <c r="J36" s="27">
        <v>2.7360000000000002E-3</v>
      </c>
      <c r="K36" s="26">
        <v>-6.5769999999999995E-2</v>
      </c>
      <c r="L36" s="27">
        <v>61.46</v>
      </c>
      <c r="M36" s="26">
        <v>-80.110010000000003</v>
      </c>
      <c r="N36" s="27">
        <v>0</v>
      </c>
      <c r="O36" s="20">
        <v>1</v>
      </c>
    </row>
    <row r="37" spans="3:18" hidden="1" x14ac:dyDescent="0.35">
      <c r="C37" s="14" t="s">
        <v>35</v>
      </c>
      <c r="D37" s="15" t="s">
        <v>15</v>
      </c>
      <c r="E37" s="14">
        <v>298.14999999999998</v>
      </c>
      <c r="F37" s="14">
        <v>494.3</v>
      </c>
      <c r="G37" s="21">
        <v>-6.6260929999999996E-2</v>
      </c>
      <c r="H37" s="22">
        <v>10.212899999999999</v>
      </c>
      <c r="I37" s="21">
        <v>2.3373539999999999</v>
      </c>
      <c r="J37" s="22">
        <v>0</v>
      </c>
      <c r="K37" s="21">
        <v>1.4182739999999999E-2</v>
      </c>
      <c r="L37" s="22">
        <v>13.63707</v>
      </c>
      <c r="M37" s="21">
        <v>-25.78952</v>
      </c>
      <c r="N37" s="22">
        <v>0</v>
      </c>
      <c r="O37" s="23">
        <v>1</v>
      </c>
    </row>
    <row r="38" spans="3:18" hidden="1" x14ac:dyDescent="0.35">
      <c r="C38" s="14" t="s">
        <v>35</v>
      </c>
      <c r="D38" s="15" t="s">
        <v>15</v>
      </c>
      <c r="E38" s="14">
        <v>494.3</v>
      </c>
      <c r="F38" s="14">
        <v>1000</v>
      </c>
      <c r="G38" s="21">
        <v>-6.6260929999999996E-2</v>
      </c>
      <c r="H38" s="22">
        <v>23.305810000000001</v>
      </c>
      <c r="I38" s="21">
        <v>6.3044700000000002</v>
      </c>
      <c r="J38" s="22">
        <v>0</v>
      </c>
      <c r="K38" s="21">
        <v>5.1929419999999997E-2</v>
      </c>
      <c r="L38" s="22">
        <v>-29.829440000000002</v>
      </c>
      <c r="M38" s="21">
        <v>65.022059999999996</v>
      </c>
      <c r="N38" s="22">
        <v>0</v>
      </c>
      <c r="O38" s="23">
        <v>1</v>
      </c>
    </row>
    <row r="39" spans="3:18" hidden="1" x14ac:dyDescent="0.35">
      <c r="C39" s="14" t="s">
        <v>35</v>
      </c>
      <c r="D39" s="15" t="s">
        <v>15</v>
      </c>
      <c r="E39" s="14">
        <v>1000</v>
      </c>
      <c r="F39" s="14">
        <v>1800</v>
      </c>
      <c r="G39" s="21">
        <v>-6.6260929999999996E-2</v>
      </c>
      <c r="H39" s="22">
        <v>16.601150000000001</v>
      </c>
      <c r="I39" s="21">
        <v>4.2397850000000004</v>
      </c>
      <c r="J39" s="22">
        <v>0</v>
      </c>
      <c r="K39" s="21">
        <v>1.3699609999999999E-2</v>
      </c>
      <c r="L39" s="22">
        <v>0</v>
      </c>
      <c r="M39" s="21">
        <v>0</v>
      </c>
      <c r="N39" s="22">
        <v>0</v>
      </c>
      <c r="O39" s="23">
        <v>1</v>
      </c>
    </row>
    <row r="40" spans="3:18" hidden="1" x14ac:dyDescent="0.35">
      <c r="C40" s="33" t="s">
        <v>35</v>
      </c>
      <c r="D40" s="15" t="s">
        <v>36</v>
      </c>
      <c r="E40" s="14">
        <v>298.14999999999998</v>
      </c>
      <c r="F40" s="14">
        <v>398</v>
      </c>
      <c r="G40" s="21">
        <v>0.1963</v>
      </c>
      <c r="H40" s="22">
        <v>18.559999999999999</v>
      </c>
      <c r="I40" s="21">
        <v>4.8810000000000002</v>
      </c>
      <c r="J40" s="22">
        <v>0</v>
      </c>
      <c r="K40" s="21">
        <v>0.14549999999999999</v>
      </c>
      <c r="L40" s="22">
        <v>0</v>
      </c>
      <c r="M40" s="21">
        <v>0</v>
      </c>
      <c r="N40" s="22">
        <v>0</v>
      </c>
      <c r="O40" s="23">
        <v>1</v>
      </c>
    </row>
    <row r="41" spans="3:18" hidden="1" x14ac:dyDescent="0.35">
      <c r="C41" s="33" t="s">
        <v>35</v>
      </c>
      <c r="D41" s="15" t="s">
        <v>37</v>
      </c>
      <c r="E41" s="14">
        <v>298.14999999999998</v>
      </c>
      <c r="F41" s="14">
        <v>413.00009999999997</v>
      </c>
      <c r="G41" s="21">
        <v>0.1077</v>
      </c>
      <c r="H41" s="22">
        <v>54.85</v>
      </c>
      <c r="I41" s="21">
        <v>12.93</v>
      </c>
      <c r="J41" s="22">
        <v>-2.6350000000000001E-4</v>
      </c>
      <c r="K41" s="21">
        <v>0.40429999999999999</v>
      </c>
      <c r="L41" s="22">
        <v>-5.4480000000000004</v>
      </c>
      <c r="M41" s="21">
        <v>144</v>
      </c>
      <c r="N41" s="22">
        <v>0</v>
      </c>
      <c r="O41" s="23">
        <v>1</v>
      </c>
    </row>
    <row r="42" spans="3:18" x14ac:dyDescent="0.35">
      <c r="C42" s="33" t="s">
        <v>35</v>
      </c>
      <c r="D42" s="15" t="s">
        <v>16</v>
      </c>
      <c r="E42" s="14">
        <v>494.00009999999997</v>
      </c>
      <c r="F42" s="14">
        <v>1000</v>
      </c>
      <c r="G42" s="21">
        <v>7.4080010000000002E-2</v>
      </c>
      <c r="H42" s="22">
        <v>23.32</v>
      </c>
      <c r="I42" s="21">
        <v>6.3019999999999996</v>
      </c>
      <c r="J42" s="22">
        <v>0</v>
      </c>
      <c r="K42" s="21">
        <v>0.19220000000000001</v>
      </c>
      <c r="L42" s="22">
        <v>-29.83</v>
      </c>
      <c r="M42" s="21">
        <v>64.95</v>
      </c>
      <c r="N42" s="22">
        <v>0</v>
      </c>
      <c r="O42" s="23">
        <v>1</v>
      </c>
    </row>
    <row r="43" spans="3:18" x14ac:dyDescent="0.35">
      <c r="C43" s="33" t="s">
        <v>35</v>
      </c>
      <c r="D43" s="15" t="s">
        <v>16</v>
      </c>
      <c r="E43" s="14">
        <v>1000</v>
      </c>
      <c r="F43" s="14">
        <v>1800</v>
      </c>
      <c r="G43" s="21">
        <v>7.4080010000000002E-2</v>
      </c>
      <c r="H43" s="22">
        <v>16.62</v>
      </c>
      <c r="I43" s="21">
        <v>4.2460000000000004</v>
      </c>
      <c r="J43" s="22">
        <v>0</v>
      </c>
      <c r="K43" s="21">
        <v>0.15490000000000001</v>
      </c>
      <c r="L43" s="22">
        <v>0</v>
      </c>
      <c r="M43" s="21">
        <v>0</v>
      </c>
      <c r="N43" s="22">
        <v>0</v>
      </c>
      <c r="O43" s="23">
        <v>1</v>
      </c>
      <c r="R43" s="40"/>
    </row>
    <row r="44" spans="3:18" hidden="1" x14ac:dyDescent="0.35">
      <c r="C44" s="19" t="s">
        <v>35</v>
      </c>
      <c r="D44" s="9" t="s">
        <v>17</v>
      </c>
      <c r="E44" s="25">
        <v>298.14999999999998</v>
      </c>
      <c r="F44" s="25">
        <v>1500</v>
      </c>
      <c r="G44" s="26">
        <v>2.783115</v>
      </c>
      <c r="H44" s="27">
        <v>25.378499999999999</v>
      </c>
      <c r="I44" s="26">
        <v>1.797085</v>
      </c>
      <c r="J44" s="27">
        <v>1.090393E-4</v>
      </c>
      <c r="K44" s="26">
        <v>-2.1003919999999999E-2</v>
      </c>
      <c r="L44" s="27">
        <v>9.1604179999999999</v>
      </c>
      <c r="M44" s="26">
        <v>-16.28604</v>
      </c>
      <c r="N44" s="27">
        <v>12.30222</v>
      </c>
      <c r="O44" s="20">
        <v>1</v>
      </c>
    </row>
    <row r="45" spans="3:18" hidden="1" x14ac:dyDescent="0.35">
      <c r="C45" s="33" t="s">
        <v>35</v>
      </c>
      <c r="D45" s="15" t="s">
        <v>17</v>
      </c>
      <c r="E45" s="14">
        <v>1500</v>
      </c>
      <c r="F45" s="14">
        <v>10000</v>
      </c>
      <c r="G45" s="21">
        <v>2.783115</v>
      </c>
      <c r="H45" s="22">
        <v>27.619869999999999</v>
      </c>
      <c r="I45" s="21">
        <v>2.4307400000000001</v>
      </c>
      <c r="J45" s="22">
        <v>2.4488410000000002E-3</v>
      </c>
      <c r="K45" s="21">
        <v>-5.4265309999999997E-2</v>
      </c>
      <c r="L45" s="22">
        <v>0.91438399999999997</v>
      </c>
      <c r="M45" s="21">
        <v>-0.4321508</v>
      </c>
      <c r="N45" s="22">
        <v>8.956944E-2</v>
      </c>
      <c r="O45" s="23">
        <v>1</v>
      </c>
    </row>
    <row r="46" spans="3:18" hidden="1" x14ac:dyDescent="0.35">
      <c r="C46" s="19" t="s">
        <v>35</v>
      </c>
      <c r="D46" s="9" t="s">
        <v>38</v>
      </c>
      <c r="E46" s="25">
        <v>298.14999999999998</v>
      </c>
      <c r="F46" s="25">
        <v>398</v>
      </c>
      <c r="G46" s="26">
        <v>6.0389989999999998E-2</v>
      </c>
      <c r="H46" s="27">
        <v>14.03</v>
      </c>
      <c r="I46" s="26">
        <v>3.2650000000000001</v>
      </c>
      <c r="J46" s="27">
        <v>0</v>
      </c>
      <c r="K46" s="26">
        <v>9.7360000000000002E-2</v>
      </c>
      <c r="L46" s="27">
        <v>0</v>
      </c>
      <c r="M46" s="26">
        <v>0</v>
      </c>
      <c r="N46" s="27">
        <v>0</v>
      </c>
      <c r="O46" s="20">
        <v>1</v>
      </c>
    </row>
    <row r="47" spans="3:18" hidden="1" x14ac:dyDescent="0.35">
      <c r="C47" s="14" t="s">
        <v>39</v>
      </c>
      <c r="D47" s="15" t="s">
        <v>17</v>
      </c>
      <c r="E47" s="14">
        <v>298.14999999999998</v>
      </c>
      <c r="F47" s="14">
        <v>1500</v>
      </c>
      <c r="G47" s="21">
        <v>1.6083639999999999</v>
      </c>
      <c r="H47" s="22">
        <v>46.654719999999998</v>
      </c>
      <c r="I47" s="21">
        <v>6.370749</v>
      </c>
      <c r="J47" s="22">
        <v>-1.7220000000000001E-4</v>
      </c>
      <c r="K47" s="21">
        <v>6.049562E-2</v>
      </c>
      <c r="L47" s="22">
        <v>-20.810030000000001</v>
      </c>
      <c r="M47" s="21">
        <v>56.994140000000002</v>
      </c>
      <c r="N47" s="22">
        <v>-73.985680000000002</v>
      </c>
      <c r="O47" s="23">
        <v>1</v>
      </c>
    </row>
    <row r="48" spans="3:18" hidden="1" x14ac:dyDescent="0.35">
      <c r="C48" s="14" t="s">
        <v>39</v>
      </c>
      <c r="D48" s="15" t="s">
        <v>17</v>
      </c>
      <c r="E48" s="14">
        <v>1500</v>
      </c>
      <c r="F48" s="14">
        <v>6000</v>
      </c>
      <c r="G48" s="21">
        <v>1.6083639999999999</v>
      </c>
      <c r="H48" s="22">
        <v>41.393599999999999</v>
      </c>
      <c r="I48" s="21">
        <v>4.6638549999999999</v>
      </c>
      <c r="J48" s="22">
        <v>-1.334432E-3</v>
      </c>
      <c r="K48" s="21">
        <v>3.6780319999999998E-2</v>
      </c>
      <c r="L48" s="22">
        <v>0.98545360000000004</v>
      </c>
      <c r="M48" s="21">
        <v>-0.13838919999999999</v>
      </c>
      <c r="N48" s="22">
        <v>-0.2247374</v>
      </c>
      <c r="O48" s="23">
        <v>1</v>
      </c>
    </row>
    <row r="49" spans="3:16" hidden="1" x14ac:dyDescent="0.35">
      <c r="C49" s="14" t="s">
        <v>40</v>
      </c>
      <c r="D49" s="15" t="s">
        <v>17</v>
      </c>
      <c r="E49" s="14">
        <v>298.14999999999998</v>
      </c>
      <c r="F49" s="14">
        <v>1500</v>
      </c>
      <c r="G49" s="21">
        <v>1.9782420000000001</v>
      </c>
      <c r="H49" s="22">
        <v>54.51784</v>
      </c>
      <c r="I49" s="21">
        <v>6.89046</v>
      </c>
      <c r="J49" s="22">
        <v>-1.736525E-4</v>
      </c>
      <c r="K49" s="21">
        <v>5.6347979999999999E-2</v>
      </c>
      <c r="L49" s="22">
        <v>1.1843140000000001</v>
      </c>
      <c r="M49" s="21">
        <v>-3.094471</v>
      </c>
      <c r="N49" s="22">
        <v>4.1616710000000001</v>
      </c>
      <c r="O49" s="23">
        <v>1</v>
      </c>
    </row>
    <row r="50" spans="3:16" hidden="1" x14ac:dyDescent="0.35">
      <c r="C50" s="14" t="s">
        <v>40</v>
      </c>
      <c r="D50" s="15" t="s">
        <v>17</v>
      </c>
      <c r="E50" s="14">
        <v>1500</v>
      </c>
      <c r="F50" s="14">
        <v>6000</v>
      </c>
      <c r="G50" s="21">
        <v>1.9782420000000001</v>
      </c>
      <c r="H50" s="22">
        <v>54.816650000000003</v>
      </c>
      <c r="I50" s="21">
        <v>7.0000840000000002</v>
      </c>
      <c r="J50" s="22">
        <v>-2.193664E-4</v>
      </c>
      <c r="K50" s="21">
        <v>6.1325909999999997E-2</v>
      </c>
      <c r="L50" s="22">
        <v>3.7539989999999998E-4</v>
      </c>
      <c r="M50" s="21">
        <v>-1.8322499999999999E-4</v>
      </c>
      <c r="N50" s="22">
        <v>4.3410669999999999E-5</v>
      </c>
      <c r="O50" s="23">
        <v>1</v>
      </c>
    </row>
    <row r="51" spans="3:16" hidden="1" x14ac:dyDescent="0.35">
      <c r="C51" s="14" t="s">
        <v>41</v>
      </c>
      <c r="D51" s="15" t="s">
        <v>17</v>
      </c>
      <c r="E51" s="14">
        <v>298.14999999999998</v>
      </c>
      <c r="F51" s="14">
        <v>1500</v>
      </c>
      <c r="G51" s="21">
        <v>1.7796749999999999</v>
      </c>
      <c r="H51" s="22">
        <v>65.627989999999997</v>
      </c>
      <c r="I51" s="21">
        <v>9.8077830000000006</v>
      </c>
      <c r="J51" s="22">
        <v>-2.9475889999999998E-4</v>
      </c>
      <c r="K51" s="21">
        <v>0.1005359</v>
      </c>
      <c r="L51" s="22">
        <v>2.0750869999999999</v>
      </c>
      <c r="M51" s="21">
        <v>-5.417872</v>
      </c>
      <c r="N51" s="22">
        <v>7.2822940000000003</v>
      </c>
      <c r="O51" s="23">
        <v>1</v>
      </c>
    </row>
    <row r="52" spans="3:16" hidden="1" x14ac:dyDescent="0.35">
      <c r="C52" s="14" t="s">
        <v>41</v>
      </c>
      <c r="D52" s="15" t="s">
        <v>17</v>
      </c>
      <c r="E52" s="14">
        <v>1500</v>
      </c>
      <c r="F52" s="14">
        <v>6000</v>
      </c>
      <c r="G52" s="21">
        <v>1.7796749999999999</v>
      </c>
      <c r="H52" s="22">
        <v>66.151300000000006</v>
      </c>
      <c r="I52" s="21">
        <v>9.9996779999999994</v>
      </c>
      <c r="J52" s="22">
        <v>-3.7359040000000001E-4</v>
      </c>
      <c r="K52" s="21">
        <v>0.1092219</v>
      </c>
      <c r="L52" s="22">
        <v>1.8328540000000001E-3</v>
      </c>
      <c r="M52" s="21">
        <v>-1.155547E-3</v>
      </c>
      <c r="N52" s="22">
        <v>3.7609010000000002E-4</v>
      </c>
      <c r="O52" s="23">
        <v>1</v>
      </c>
    </row>
    <row r="53" spans="3:16" hidden="1" x14ac:dyDescent="0.35">
      <c r="C53" s="14" t="s">
        <v>42</v>
      </c>
      <c r="D53" s="15" t="s">
        <v>17</v>
      </c>
      <c r="E53" s="14">
        <v>298.14999999999998</v>
      </c>
      <c r="F53" s="14">
        <v>1500</v>
      </c>
      <c r="G53" s="29">
        <v>1.593137</v>
      </c>
      <c r="H53" s="30">
        <v>82.10181</v>
      </c>
      <c r="I53" s="29">
        <v>12.889200000000001</v>
      </c>
      <c r="J53" s="30">
        <v>-2.7534359999999998E-4</v>
      </c>
      <c r="K53" s="29">
        <v>0.11292489999999999</v>
      </c>
      <c r="L53" s="30">
        <v>1.2045049999999999</v>
      </c>
      <c r="M53" s="29">
        <v>-3.1549330000000002</v>
      </c>
      <c r="N53" s="30">
        <v>4.2508710000000001</v>
      </c>
      <c r="O53" s="39">
        <v>1</v>
      </c>
    </row>
    <row r="54" spans="3:16" hidden="1" x14ac:dyDescent="0.35">
      <c r="C54" s="14" t="s">
        <v>42</v>
      </c>
      <c r="D54" s="15" t="s">
        <v>17</v>
      </c>
      <c r="E54" s="14">
        <v>1500</v>
      </c>
      <c r="F54" s="14">
        <v>6000</v>
      </c>
      <c r="G54" s="29">
        <v>1.593137</v>
      </c>
      <c r="H54" s="30">
        <v>82.404619999999994</v>
      </c>
      <c r="I54" s="29">
        <v>12.999980000000001</v>
      </c>
      <c r="J54" s="30">
        <v>-3.1975439999999998E-4</v>
      </c>
      <c r="K54" s="29">
        <v>0.117897</v>
      </c>
      <c r="L54" s="30">
        <v>1.496076E-3</v>
      </c>
      <c r="M54" s="29">
        <v>-1.046272E-3</v>
      </c>
      <c r="N54" s="30">
        <v>3.8618760000000001E-4</v>
      </c>
      <c r="O54" s="39">
        <v>1</v>
      </c>
    </row>
    <row r="55" spans="3:16" hidden="1" x14ac:dyDescent="0.35">
      <c r="C55" s="14" t="s">
        <v>43</v>
      </c>
      <c r="D55" s="15" t="s">
        <v>17</v>
      </c>
      <c r="E55" s="14">
        <v>298.14999999999998</v>
      </c>
      <c r="F55" s="14">
        <v>1500</v>
      </c>
      <c r="G55" s="29">
        <v>1.310376</v>
      </c>
      <c r="H55" s="30">
        <v>92.080410000000001</v>
      </c>
      <c r="I55" s="29">
        <v>15.90657</v>
      </c>
      <c r="J55" s="30">
        <v>-3.1941130000000002E-4</v>
      </c>
      <c r="K55" s="29">
        <v>0.14695030000000001</v>
      </c>
      <c r="L55" s="30">
        <v>1.017784</v>
      </c>
      <c r="M55" s="29">
        <v>-2.6653210000000001</v>
      </c>
      <c r="N55" s="30">
        <v>3.5898659999999998</v>
      </c>
      <c r="O55" s="39">
        <v>1</v>
      </c>
    </row>
    <row r="56" spans="3:16" hidden="1" x14ac:dyDescent="0.35">
      <c r="C56" s="41" t="s">
        <v>43</v>
      </c>
      <c r="D56" s="15" t="s">
        <v>17</v>
      </c>
      <c r="E56" s="14">
        <v>1500</v>
      </c>
      <c r="F56" s="14">
        <v>6000</v>
      </c>
      <c r="G56" s="29">
        <v>1.310376</v>
      </c>
      <c r="H56" s="30">
        <v>92.335269999999994</v>
      </c>
      <c r="I56" s="29">
        <v>15.99952</v>
      </c>
      <c r="J56" s="30">
        <v>-3.5474159999999999E-4</v>
      </c>
      <c r="K56" s="29">
        <v>0.151062</v>
      </c>
      <c r="L56" s="30">
        <v>3.4559289999999999E-3</v>
      </c>
      <c r="M56" s="29">
        <v>-2.5853989999999999E-3</v>
      </c>
      <c r="N56" s="30">
        <v>9.828650999999999E-4</v>
      </c>
      <c r="O56" s="39">
        <v>1</v>
      </c>
    </row>
    <row r="57" spans="3:16" hidden="1" x14ac:dyDescent="0.35">
      <c r="C57" s="14" t="s">
        <v>44</v>
      </c>
      <c r="D57" s="15" t="s">
        <v>17</v>
      </c>
      <c r="E57" s="14">
        <v>298.14999999999998</v>
      </c>
      <c r="F57" s="14">
        <v>1500</v>
      </c>
      <c r="G57" s="29">
        <v>1.3764209999999999</v>
      </c>
      <c r="H57" s="30">
        <v>106.2873</v>
      </c>
      <c r="I57" s="29">
        <v>18.87481</v>
      </c>
      <c r="J57" s="30">
        <v>-3.9471889999999999E-4</v>
      </c>
      <c r="K57" s="29">
        <v>0.18061250000000001</v>
      </c>
      <c r="L57" s="30">
        <v>1.363551</v>
      </c>
      <c r="M57" s="29">
        <v>-3.5720109999999998</v>
      </c>
      <c r="N57" s="30">
        <v>4.8116719999999997</v>
      </c>
      <c r="O57" s="39">
        <v>1</v>
      </c>
    </row>
    <row r="58" spans="3:16" hidden="1" x14ac:dyDescent="0.35">
      <c r="C58" s="14" t="s">
        <v>44</v>
      </c>
      <c r="D58" s="15" t="s">
        <v>17</v>
      </c>
      <c r="E58" s="14">
        <v>1500</v>
      </c>
      <c r="F58" s="14">
        <v>6000</v>
      </c>
      <c r="G58" s="29">
        <v>1.3764209999999999</v>
      </c>
      <c r="H58" s="30">
        <v>106.6301</v>
      </c>
      <c r="I58" s="29">
        <v>19.000219999999999</v>
      </c>
      <c r="J58" s="30">
        <v>-4.455711E-4</v>
      </c>
      <c r="K58" s="29">
        <v>0.18625030000000001</v>
      </c>
      <c r="L58" s="30">
        <v>1.466539E-3</v>
      </c>
      <c r="M58" s="29">
        <v>-9.910276E-4</v>
      </c>
      <c r="N58" s="30">
        <v>3.4599259999999998E-4</v>
      </c>
      <c r="O58" s="39">
        <v>1</v>
      </c>
    </row>
    <row r="59" spans="3:16" hidden="1" x14ac:dyDescent="0.35">
      <c r="C59" s="14" t="s">
        <v>45</v>
      </c>
      <c r="D59" s="15" t="s">
        <v>17</v>
      </c>
      <c r="E59" s="14">
        <v>298.14999999999998</v>
      </c>
      <c r="F59" s="14">
        <v>1500</v>
      </c>
      <c r="G59" s="29">
        <v>1.4184099999999999</v>
      </c>
      <c r="H59" s="30">
        <v>118.3836</v>
      </c>
      <c r="I59" s="29">
        <v>21.846499999999999</v>
      </c>
      <c r="J59" s="30">
        <v>-4.55196E-4</v>
      </c>
      <c r="K59" s="29">
        <v>0.2049985</v>
      </c>
      <c r="L59" s="30">
        <v>1.669807</v>
      </c>
      <c r="M59" s="29">
        <v>-4.3705270000000001</v>
      </c>
      <c r="N59" s="30">
        <v>5.8827660000000002</v>
      </c>
      <c r="O59" s="39">
        <v>1</v>
      </c>
    </row>
    <row r="60" spans="3:16" hidden="1" x14ac:dyDescent="0.35">
      <c r="C60" s="14" t="s">
        <v>45</v>
      </c>
      <c r="D60" s="15" t="s">
        <v>17</v>
      </c>
      <c r="E60" s="14">
        <v>1500</v>
      </c>
      <c r="F60" s="14">
        <v>6000</v>
      </c>
      <c r="G60" s="29">
        <v>1.4184099999999999</v>
      </c>
      <c r="H60" s="30">
        <v>118.80549999999999</v>
      </c>
      <c r="I60" s="29">
        <v>22.001380000000001</v>
      </c>
      <c r="J60" s="30">
        <v>-5.2171050000000005E-4</v>
      </c>
      <c r="K60" s="29">
        <v>0.21207509999999999</v>
      </c>
      <c r="L60" s="30">
        <v>-2.09779E-3</v>
      </c>
      <c r="M60" s="29">
        <v>1.840469E-3</v>
      </c>
      <c r="N60" s="30">
        <v>-7.697003E-4</v>
      </c>
      <c r="O60" s="39">
        <v>1</v>
      </c>
    </row>
    <row r="61" spans="3:16" x14ac:dyDescent="0.35">
      <c r="C61" s="14"/>
      <c r="D61" s="15"/>
      <c r="E61" s="14"/>
      <c r="F61" s="14"/>
      <c r="G61" s="14"/>
      <c r="H61" s="14"/>
      <c r="I61" s="14"/>
      <c r="J61" s="14"/>
      <c r="K61" s="14"/>
      <c r="L61" s="14"/>
      <c r="M61" s="14"/>
      <c r="N61" s="14"/>
      <c r="P61" s="42"/>
    </row>
    <row r="62" spans="3:16" x14ac:dyDescent="0.35">
      <c r="C62" s="14"/>
      <c r="D62" s="15"/>
      <c r="E62" s="14"/>
      <c r="F62" s="14"/>
      <c r="G62" s="14"/>
      <c r="H62" s="14"/>
      <c r="I62" s="14"/>
      <c r="J62" s="14"/>
      <c r="K62" s="14"/>
      <c r="L62" s="14"/>
      <c r="M62" s="14"/>
      <c r="N62" s="14"/>
      <c r="P62" s="42"/>
    </row>
    <row r="63" spans="3:16" x14ac:dyDescent="0.35">
      <c r="C63" s="14"/>
      <c r="D63" s="15"/>
      <c r="E63" s="14"/>
      <c r="F63" s="14"/>
      <c r="G63" s="14"/>
      <c r="H63" s="14"/>
      <c r="I63" s="14"/>
      <c r="J63" s="14"/>
      <c r="K63" s="14"/>
      <c r="L63" s="14"/>
      <c r="M63" s="14"/>
      <c r="N63" s="14"/>
      <c r="P63" s="42"/>
    </row>
    <row r="64" spans="3:16" x14ac:dyDescent="0.35">
      <c r="C64" s="14"/>
      <c r="D64" s="15"/>
      <c r="E64" s="14"/>
      <c r="F64" s="14"/>
      <c r="G64" s="14"/>
      <c r="H64" s="14"/>
      <c r="I64" s="14"/>
      <c r="J64" s="14"/>
      <c r="K64" s="14"/>
      <c r="L64" s="14"/>
      <c r="M64" s="14"/>
      <c r="N64" s="14"/>
      <c r="P64" s="42"/>
    </row>
    <row r="65" spans="3:16" x14ac:dyDescent="0.35">
      <c r="C65" s="14"/>
      <c r="D65" s="15"/>
      <c r="E65" s="14"/>
      <c r="F65" s="14"/>
      <c r="G65" s="14"/>
      <c r="H65" s="14"/>
      <c r="I65" s="14"/>
      <c r="J65" s="14"/>
      <c r="K65" s="14"/>
      <c r="L65" s="14"/>
      <c r="M65" s="14"/>
      <c r="N65" s="14"/>
      <c r="P65" s="42"/>
    </row>
    <row r="66" spans="3:16" x14ac:dyDescent="0.35">
      <c r="C66" s="14"/>
      <c r="D66" s="15"/>
      <c r="E66" s="14"/>
      <c r="F66" s="14"/>
      <c r="G66" s="14"/>
      <c r="H66" s="14"/>
      <c r="I66" s="14"/>
      <c r="J66" s="14"/>
      <c r="K66" s="14"/>
      <c r="L66" s="14"/>
      <c r="M66" s="14"/>
      <c r="N66" s="14"/>
      <c r="P66" s="42"/>
    </row>
    <row r="67" spans="3:16" x14ac:dyDescent="0.35">
      <c r="C67" s="14"/>
      <c r="D67" s="15"/>
      <c r="E67" s="14"/>
      <c r="F67" s="14"/>
      <c r="G67" s="14"/>
      <c r="H67" s="14"/>
      <c r="I67" s="14"/>
      <c r="J67" s="14"/>
      <c r="K67" s="14"/>
      <c r="L67" s="14"/>
      <c r="M67" s="14"/>
      <c r="N67" s="14"/>
      <c r="P67" s="42"/>
    </row>
    <row r="68" spans="3:16" x14ac:dyDescent="0.35">
      <c r="C68" s="14"/>
      <c r="D68" s="15"/>
      <c r="E68" s="14"/>
      <c r="F68" s="14"/>
      <c r="G68" s="14"/>
      <c r="H68" s="14"/>
      <c r="I68" s="14"/>
      <c r="J68" s="14"/>
      <c r="K68" s="14"/>
      <c r="L68" s="14"/>
      <c r="M68" s="14"/>
      <c r="N68" s="14"/>
      <c r="P68" s="42"/>
    </row>
    <row r="69" spans="3:16" x14ac:dyDescent="0.35">
      <c r="C69" s="14"/>
      <c r="D69" s="15"/>
      <c r="E69" s="14"/>
      <c r="F69" s="14"/>
      <c r="G69" s="14"/>
      <c r="H69" s="14"/>
      <c r="I69" s="14"/>
      <c r="J69" s="14"/>
      <c r="K69" s="14"/>
      <c r="L69" s="14"/>
      <c r="M69" s="14"/>
      <c r="N69" s="14"/>
      <c r="P69" s="42"/>
    </row>
    <row r="70" spans="3:16" x14ac:dyDescent="0.35">
      <c r="C70" s="14"/>
      <c r="D70" s="15"/>
      <c r="E70" s="14"/>
      <c r="F70" s="14"/>
      <c r="G70" s="14"/>
      <c r="H70" s="14"/>
      <c r="I70" s="14"/>
      <c r="J70" s="14"/>
      <c r="K70" s="14"/>
      <c r="L70" s="14"/>
      <c r="M70" s="14"/>
      <c r="N70" s="14"/>
      <c r="P70" s="42"/>
    </row>
    <row r="71" spans="3:16" x14ac:dyDescent="0.35">
      <c r="C71" s="14"/>
      <c r="D71" s="15"/>
      <c r="E71" s="14"/>
      <c r="F71" s="14"/>
      <c r="G71" s="14"/>
      <c r="H71" s="14"/>
      <c r="I71" s="14"/>
      <c r="J71" s="14"/>
      <c r="K71" s="14"/>
      <c r="L71" s="14"/>
      <c r="M71" s="14"/>
      <c r="N71" s="14"/>
      <c r="P71" s="42"/>
    </row>
    <row r="72" spans="3:16" x14ac:dyDescent="0.35">
      <c r="C72" s="14"/>
      <c r="D72" s="15"/>
      <c r="E72" s="14"/>
      <c r="F72" s="14"/>
      <c r="G72" s="14"/>
      <c r="H72" s="14"/>
      <c r="I72" s="14"/>
      <c r="J72" s="14"/>
      <c r="K72" s="14"/>
      <c r="L72" s="14"/>
      <c r="M72" s="14"/>
      <c r="N72" s="14"/>
      <c r="P72" s="42"/>
    </row>
    <row r="73" spans="3:16" x14ac:dyDescent="0.35">
      <c r="C73" s="14"/>
      <c r="D73" s="15"/>
      <c r="E73" s="14"/>
      <c r="F73" s="14"/>
      <c r="G73" s="14"/>
      <c r="H73" s="14"/>
      <c r="I73" s="14"/>
      <c r="J73" s="14"/>
      <c r="K73" s="14"/>
      <c r="L73" s="14"/>
      <c r="M73" s="14"/>
      <c r="N73" s="14"/>
      <c r="P73" s="42"/>
    </row>
    <row r="74" spans="3:16" x14ac:dyDescent="0.35">
      <c r="C74" s="14"/>
      <c r="D74" s="15"/>
      <c r="E74" s="14"/>
      <c r="F74" s="14"/>
      <c r="G74" s="14"/>
      <c r="H74" s="14"/>
      <c r="I74" s="14"/>
      <c r="J74" s="14"/>
      <c r="K74" s="14"/>
      <c r="L74" s="14"/>
      <c r="M74" s="14"/>
      <c r="N74" s="14"/>
      <c r="P74" s="42"/>
    </row>
    <row r="75" spans="3:16" x14ac:dyDescent="0.35">
      <c r="C75" s="14"/>
      <c r="D75" s="15"/>
      <c r="E75" s="14"/>
      <c r="F75" s="14"/>
      <c r="G75" s="14"/>
      <c r="H75" s="14"/>
      <c r="I75" s="14"/>
      <c r="J75" s="14"/>
      <c r="K75" s="14"/>
      <c r="L75" s="14"/>
      <c r="M75" s="14"/>
      <c r="N75" s="14"/>
      <c r="P75" s="42"/>
    </row>
    <row r="76" spans="3:16" x14ac:dyDescent="0.35">
      <c r="C76" s="14"/>
      <c r="D76" s="15"/>
      <c r="E76" s="14"/>
      <c r="F76" s="14"/>
      <c r="G76" s="14"/>
      <c r="H76" s="14"/>
      <c r="I76" s="14"/>
      <c r="J76" s="14"/>
      <c r="K76" s="14"/>
      <c r="L76" s="14"/>
      <c r="M76" s="14"/>
      <c r="N76" s="14"/>
      <c r="P76" s="42"/>
    </row>
    <row r="77" spans="3:16" x14ac:dyDescent="0.35">
      <c r="C77" s="14"/>
      <c r="D77" s="15"/>
      <c r="E77" s="14"/>
      <c r="F77" s="14"/>
      <c r="G77" s="14"/>
      <c r="H77" s="14"/>
      <c r="I77" s="14"/>
      <c r="J77" s="14"/>
      <c r="K77" s="14"/>
      <c r="L77" s="14"/>
      <c r="M77" s="14"/>
      <c r="N77" s="14"/>
      <c r="P77" s="42"/>
    </row>
    <row r="78" spans="3:16" x14ac:dyDescent="0.35">
      <c r="C78" s="14"/>
      <c r="D78" s="15"/>
      <c r="E78" s="14"/>
      <c r="F78" s="14"/>
      <c r="G78" s="14"/>
      <c r="H78" s="14"/>
      <c r="I78" s="14"/>
      <c r="J78" s="14"/>
      <c r="K78" s="14"/>
      <c r="L78" s="14"/>
      <c r="M78" s="14"/>
      <c r="N78" s="14"/>
      <c r="P78" s="42"/>
    </row>
    <row r="79" spans="3:16" x14ac:dyDescent="0.35">
      <c r="C79" s="14"/>
      <c r="D79" s="15"/>
      <c r="E79" s="14"/>
      <c r="F79" s="14"/>
      <c r="G79" s="14"/>
      <c r="H79" s="14"/>
      <c r="I79" s="14"/>
      <c r="J79" s="14"/>
      <c r="K79" s="14"/>
      <c r="L79" s="14"/>
      <c r="M79" s="14"/>
      <c r="N79" s="14"/>
      <c r="P79" s="42"/>
    </row>
    <row r="80" spans="3:16" x14ac:dyDescent="0.35">
      <c r="C80" s="14"/>
      <c r="D80" s="15"/>
      <c r="E80" s="14"/>
      <c r="F80" s="14"/>
      <c r="G80" s="14"/>
      <c r="H80" s="14"/>
      <c r="I80" s="14"/>
      <c r="J80" s="14"/>
      <c r="K80" s="14"/>
      <c r="L80" s="14"/>
      <c r="M80" s="14"/>
      <c r="N80" s="14"/>
      <c r="P80" s="42"/>
    </row>
    <row r="81" spans="3:16" x14ac:dyDescent="0.35">
      <c r="C81" s="14"/>
      <c r="D81" s="15"/>
      <c r="E81" s="14"/>
      <c r="F81" s="14"/>
      <c r="G81" s="14"/>
      <c r="H81" s="14"/>
      <c r="I81" s="14"/>
      <c r="J81" s="14"/>
      <c r="K81" s="14"/>
      <c r="L81" s="14"/>
      <c r="M81" s="14"/>
      <c r="N81" s="14"/>
      <c r="P81" s="42"/>
    </row>
    <row r="82" spans="3:16" x14ac:dyDescent="0.35">
      <c r="C82" s="14"/>
      <c r="D82" s="15"/>
      <c r="E82" s="14"/>
      <c r="F82" s="14"/>
      <c r="G82" s="14"/>
      <c r="H82" s="14"/>
      <c r="I82" s="14"/>
      <c r="J82" s="14"/>
      <c r="K82" s="14"/>
      <c r="L82" s="14"/>
      <c r="M82" s="14"/>
      <c r="N82" s="14"/>
      <c r="P82" s="42"/>
    </row>
    <row r="83" spans="3:16" x14ac:dyDescent="0.35">
      <c r="C83" s="14"/>
      <c r="D83" s="15"/>
      <c r="E83" s="14"/>
      <c r="F83" s="14"/>
      <c r="G83" s="14"/>
      <c r="H83" s="14"/>
      <c r="I83" s="14"/>
      <c r="J83" s="14"/>
      <c r="K83" s="14"/>
      <c r="L83" s="14"/>
      <c r="M83" s="14"/>
      <c r="N83" s="14"/>
      <c r="P83" s="42"/>
    </row>
    <row r="84" spans="3:16" x14ac:dyDescent="0.35">
      <c r="C84" s="14"/>
      <c r="D84" s="15"/>
      <c r="E84" s="14"/>
      <c r="F84" s="14"/>
      <c r="G84" s="14"/>
      <c r="H84" s="14"/>
      <c r="I84" s="14"/>
      <c r="J84" s="14"/>
      <c r="K84" s="14"/>
      <c r="L84" s="14"/>
      <c r="M84" s="14"/>
      <c r="N84" s="14"/>
      <c r="P84" s="42"/>
    </row>
    <row r="85" spans="3:16" x14ac:dyDescent="0.35">
      <c r="C85" s="14"/>
      <c r="D85" s="15"/>
      <c r="E85" s="14"/>
      <c r="F85" s="14"/>
      <c r="G85" s="14"/>
      <c r="H85" s="14"/>
      <c r="I85" s="14"/>
      <c r="J85" s="14"/>
      <c r="K85" s="14"/>
      <c r="L85" s="14"/>
      <c r="M85" s="14"/>
      <c r="N85" s="14"/>
      <c r="P85" s="42"/>
    </row>
    <row r="86" spans="3:16" x14ac:dyDescent="0.35">
      <c r="C86" s="14"/>
      <c r="D86" s="15"/>
      <c r="E86" s="14"/>
      <c r="F86" s="14"/>
      <c r="G86" s="14"/>
      <c r="H86" s="14"/>
      <c r="I86" s="14"/>
      <c r="J86" s="14"/>
      <c r="K86" s="14"/>
      <c r="L86" s="14"/>
      <c r="M86" s="14"/>
      <c r="N86" s="14"/>
      <c r="P86" s="42"/>
    </row>
    <row r="87" spans="3:16" x14ac:dyDescent="0.35">
      <c r="C87" s="14"/>
      <c r="D87" s="15"/>
      <c r="E87" s="14"/>
      <c r="F87" s="14"/>
      <c r="G87" s="14"/>
      <c r="H87" s="14"/>
      <c r="I87" s="14"/>
      <c r="J87" s="14"/>
      <c r="K87" s="14"/>
      <c r="L87" s="14"/>
      <c r="M87" s="14"/>
      <c r="N87" s="14"/>
      <c r="P87" s="42"/>
    </row>
    <row r="88" spans="3:16" x14ac:dyDescent="0.35">
      <c r="C88" s="14"/>
      <c r="D88" s="15"/>
      <c r="E88" s="14"/>
      <c r="F88" s="14"/>
      <c r="G88" s="14"/>
      <c r="H88" s="14"/>
      <c r="I88" s="14"/>
      <c r="J88" s="14"/>
      <c r="K88" s="14"/>
      <c r="L88" s="14"/>
      <c r="M88" s="14"/>
      <c r="N88" s="14"/>
      <c r="P88" s="42"/>
    </row>
    <row r="89" spans="3:16" x14ac:dyDescent="0.35">
      <c r="C89" s="14"/>
      <c r="D89" s="15"/>
      <c r="E89" s="14"/>
      <c r="F89" s="14"/>
      <c r="G89" s="14"/>
      <c r="H89" s="14"/>
      <c r="I89" s="14"/>
      <c r="J89" s="14"/>
      <c r="K89" s="14"/>
      <c r="L89" s="14"/>
      <c r="M89" s="14"/>
      <c r="N89" s="14"/>
      <c r="P89" s="42"/>
    </row>
    <row r="90" spans="3:16" x14ac:dyDescent="0.35">
      <c r="C90" s="14"/>
      <c r="D90" s="15"/>
      <c r="E90" s="14"/>
      <c r="F90" s="14"/>
      <c r="G90" s="14"/>
      <c r="H90" s="14"/>
      <c r="I90" s="14"/>
      <c r="J90" s="14"/>
      <c r="K90" s="14"/>
      <c r="L90" s="14"/>
      <c r="M90" s="14"/>
      <c r="N90" s="14"/>
      <c r="P90" s="42"/>
    </row>
    <row r="91" spans="3:16" x14ac:dyDescent="0.35">
      <c r="C91" s="14"/>
      <c r="D91" s="15"/>
      <c r="E91" s="14"/>
      <c r="F91" s="14"/>
      <c r="G91" s="14"/>
      <c r="H91" s="14"/>
      <c r="I91" s="14"/>
      <c r="J91" s="14"/>
      <c r="K91" s="14"/>
      <c r="L91" s="14"/>
      <c r="M91" s="14"/>
      <c r="N91" s="14"/>
      <c r="P91" s="42"/>
    </row>
    <row r="92" spans="3:16" x14ac:dyDescent="0.35">
      <c r="C92" s="14"/>
      <c r="D92" s="15"/>
      <c r="E92" s="14"/>
      <c r="F92" s="14"/>
      <c r="G92" s="14"/>
      <c r="H92" s="14"/>
      <c r="I92" s="14"/>
      <c r="J92" s="14"/>
      <c r="K92" s="14"/>
      <c r="L92" s="14"/>
      <c r="M92" s="14"/>
      <c r="N92" s="14"/>
      <c r="P92" s="42"/>
    </row>
    <row r="93" spans="3:16" x14ac:dyDescent="0.35">
      <c r="C93" s="14"/>
      <c r="D93" s="15"/>
      <c r="E93" s="14"/>
      <c r="F93" s="14"/>
      <c r="G93" s="14"/>
      <c r="H93" s="14"/>
      <c r="I93" s="14"/>
      <c r="J93" s="14"/>
      <c r="K93" s="14"/>
      <c r="L93" s="14"/>
      <c r="M93" s="14"/>
      <c r="N93" s="14"/>
      <c r="P93" s="42"/>
    </row>
    <row r="94" spans="3:16" x14ac:dyDescent="0.35">
      <c r="C94" s="14"/>
      <c r="D94" s="15"/>
      <c r="E94" s="14"/>
      <c r="F94" s="14"/>
      <c r="G94" s="14"/>
      <c r="H94" s="14"/>
      <c r="I94" s="14"/>
      <c r="J94" s="14"/>
      <c r="K94" s="14"/>
      <c r="L94" s="14"/>
      <c r="M94" s="14"/>
      <c r="N94" s="14"/>
      <c r="P94" s="42"/>
    </row>
    <row r="95" spans="3:16" x14ac:dyDescent="0.35">
      <c r="C95" s="14"/>
      <c r="D95" s="15"/>
      <c r="E95" s="14"/>
      <c r="F95" s="14"/>
      <c r="G95" s="14"/>
      <c r="H95" s="14"/>
      <c r="I95" s="14"/>
      <c r="J95" s="14"/>
      <c r="K95" s="14"/>
      <c r="L95" s="14"/>
      <c r="M95" s="14"/>
      <c r="N95" s="14"/>
      <c r="P95" s="42"/>
    </row>
    <row r="96" spans="3:16" x14ac:dyDescent="0.35">
      <c r="C96" s="14"/>
      <c r="D96" s="15"/>
      <c r="E96" s="14"/>
      <c r="F96" s="14"/>
      <c r="G96" s="14"/>
      <c r="H96" s="14"/>
      <c r="I96" s="14"/>
      <c r="J96" s="14"/>
      <c r="K96" s="14"/>
      <c r="L96" s="14"/>
      <c r="M96" s="14"/>
      <c r="N96" s="14"/>
      <c r="P96" s="42"/>
    </row>
    <row r="97" spans="1:26" x14ac:dyDescent="0.35">
      <c r="C97" s="14"/>
      <c r="D97" s="15"/>
      <c r="E97" s="14"/>
      <c r="F97" s="14"/>
      <c r="G97" s="14"/>
      <c r="H97" s="14"/>
      <c r="I97" s="14"/>
      <c r="J97" s="14"/>
      <c r="K97" s="14"/>
      <c r="L97" s="14"/>
      <c r="M97" s="14"/>
      <c r="N97" s="14"/>
    </row>
    <row r="98" spans="1:26" x14ac:dyDescent="0.35">
      <c r="C98" s="14"/>
      <c r="D98" s="15"/>
      <c r="E98" s="14"/>
      <c r="F98" s="14"/>
      <c r="G98" s="14"/>
      <c r="H98" s="14"/>
      <c r="I98" s="14"/>
      <c r="J98" s="14"/>
      <c r="K98" s="14"/>
      <c r="L98" s="14"/>
      <c r="M98" s="14"/>
      <c r="N98" s="14"/>
    </row>
    <row r="99" spans="1:26" x14ac:dyDescent="0.35">
      <c r="C99" s="14"/>
      <c r="D99" s="15"/>
      <c r="E99" s="14"/>
      <c r="F99" s="14"/>
      <c r="G99" s="14"/>
      <c r="H99" s="14"/>
      <c r="I99" s="14"/>
      <c r="J99" s="14"/>
      <c r="K99" s="14"/>
      <c r="L99" s="14"/>
      <c r="M99" s="14"/>
      <c r="N99" s="14"/>
    </row>
    <row r="100" spans="1:26" x14ac:dyDescent="0.35">
      <c r="C100" s="14"/>
      <c r="D100" s="15"/>
      <c r="E100" s="14"/>
      <c r="F100" s="14"/>
      <c r="G100" s="14"/>
      <c r="H100" s="14"/>
      <c r="I100" s="14"/>
      <c r="J100" s="14"/>
      <c r="K100" s="14"/>
      <c r="L100" s="14"/>
      <c r="M100" s="14"/>
      <c r="N100" s="14"/>
    </row>
    <row r="101" spans="1:26" x14ac:dyDescent="0.35">
      <c r="C101" s="14"/>
      <c r="D101" s="15"/>
      <c r="E101" s="14"/>
      <c r="F101" s="14"/>
      <c r="G101" s="14"/>
      <c r="H101" s="14"/>
      <c r="I101" s="14"/>
      <c r="J101" s="14"/>
      <c r="K101" s="14"/>
      <c r="L101" s="14"/>
      <c r="M101" s="14"/>
      <c r="N101" s="14"/>
    </row>
    <row r="102" spans="1:26" x14ac:dyDescent="0.35">
      <c r="C102" s="14"/>
      <c r="D102" s="15"/>
      <c r="E102" s="14"/>
      <c r="F102" s="14"/>
      <c r="G102" s="14"/>
      <c r="H102" s="14"/>
      <c r="I102" s="14"/>
      <c r="J102" s="14"/>
      <c r="K102" s="14"/>
      <c r="L102" s="14"/>
      <c r="M102" s="14"/>
      <c r="N102" s="14"/>
    </row>
    <row r="103" spans="1:26" x14ac:dyDescent="0.35">
      <c r="C103" s="14"/>
      <c r="D103" s="15"/>
      <c r="E103" s="14"/>
      <c r="F103" s="14"/>
      <c r="G103" s="14"/>
      <c r="H103" s="14"/>
      <c r="I103" s="14"/>
      <c r="J103" s="14"/>
      <c r="K103" s="14"/>
      <c r="L103" s="14"/>
      <c r="M103" s="14"/>
      <c r="N103" s="14"/>
    </row>
    <row r="104" spans="1:26" x14ac:dyDescent="0.35">
      <c r="C104" s="14"/>
      <c r="D104" s="15"/>
      <c r="E104" s="14"/>
      <c r="F104" s="14"/>
      <c r="G104" s="14"/>
      <c r="H104" s="14"/>
      <c r="I104" s="14"/>
      <c r="J104" s="14"/>
      <c r="K104" s="14"/>
      <c r="L104" s="14"/>
      <c r="M104" s="14"/>
      <c r="N104" s="14"/>
    </row>
    <row r="105" spans="1:26" x14ac:dyDescent="0.35">
      <c r="C105" s="14"/>
      <c r="D105" s="15"/>
      <c r="E105" s="14"/>
      <c r="F105" s="14"/>
      <c r="G105" s="14"/>
      <c r="H105" s="14"/>
      <c r="I105" s="14"/>
      <c r="J105" s="14"/>
      <c r="K105" s="14"/>
      <c r="L105" s="14"/>
      <c r="M105" s="14"/>
      <c r="N105" s="14"/>
    </row>
    <row r="106" spans="1:26" x14ac:dyDescent="0.35">
      <c r="C106" s="14"/>
      <c r="D106" s="15"/>
      <c r="E106" s="14"/>
      <c r="F106" s="14"/>
      <c r="G106" s="14"/>
      <c r="H106" s="14"/>
      <c r="I106" s="14"/>
      <c r="J106" s="14"/>
      <c r="K106" s="14"/>
      <c r="L106" s="14"/>
      <c r="M106" s="14"/>
      <c r="N106" s="14"/>
    </row>
    <row r="107" spans="1:26" x14ac:dyDescent="0.35">
      <c r="C107" s="14"/>
      <c r="D107" s="15"/>
      <c r="E107" s="14"/>
      <c r="F107" s="14"/>
      <c r="G107" s="14"/>
      <c r="H107" s="14"/>
      <c r="I107" s="14"/>
      <c r="J107" s="14"/>
      <c r="K107" s="14"/>
      <c r="L107" s="14"/>
      <c r="M107" s="14"/>
      <c r="N107" s="14"/>
    </row>
    <row r="108" spans="1:26" x14ac:dyDescent="0.35">
      <c r="C108" s="14"/>
      <c r="D108" s="15"/>
      <c r="E108" s="14"/>
      <c r="F108" s="14"/>
      <c r="G108" s="14"/>
      <c r="H108" s="14"/>
      <c r="I108" s="14"/>
      <c r="J108" s="14"/>
      <c r="K108" s="14"/>
      <c r="L108" s="14"/>
      <c r="M108" s="14"/>
      <c r="N108" s="14"/>
    </row>
    <row r="109" spans="1:26" x14ac:dyDescent="0.35">
      <c r="C109" s="14"/>
      <c r="D109" s="15"/>
      <c r="E109" s="14"/>
      <c r="F109" s="14"/>
      <c r="G109" s="14"/>
      <c r="H109" s="14"/>
      <c r="I109" s="14"/>
      <c r="J109" s="14"/>
      <c r="K109" s="14"/>
      <c r="L109" s="14"/>
      <c r="M109" s="14"/>
      <c r="N109" s="14"/>
    </row>
    <row r="110" spans="1:26" x14ac:dyDescent="0.35">
      <c r="C110" s="14"/>
      <c r="D110" s="15"/>
      <c r="E110" s="14"/>
      <c r="F110" s="14"/>
      <c r="G110" s="14"/>
      <c r="H110" s="14"/>
      <c r="I110" s="14"/>
      <c r="J110" s="14"/>
      <c r="K110" s="14"/>
      <c r="L110" s="14"/>
      <c r="M110" s="14"/>
      <c r="N110" s="14"/>
    </row>
    <row r="111" spans="1:26" s="31" customFormat="1" x14ac:dyDescent="0.35">
      <c r="A111" s="34"/>
      <c r="B111" s="34"/>
      <c r="C111" s="14"/>
      <c r="D111" s="15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P111"/>
      <c r="Q111"/>
      <c r="R111"/>
      <c r="S111"/>
      <c r="T111"/>
      <c r="U111"/>
      <c r="V111"/>
      <c r="W111"/>
      <c r="X111"/>
      <c r="Y111"/>
      <c r="Z111"/>
    </row>
    <row r="112" spans="1:26" s="31" customFormat="1" x14ac:dyDescent="0.35">
      <c r="A112" s="34"/>
      <c r="B112" s="34"/>
      <c r="C112" s="14"/>
      <c r="D112" s="15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P112"/>
      <c r="Q112"/>
      <c r="R112"/>
      <c r="S112"/>
      <c r="T112"/>
      <c r="U112"/>
      <c r="V112"/>
      <c r="W112"/>
      <c r="X112"/>
      <c r="Y112"/>
      <c r="Z112"/>
    </row>
    <row r="113" spans="1:26" s="31" customFormat="1" x14ac:dyDescent="0.35">
      <c r="A113" s="34"/>
      <c r="B113" s="34"/>
      <c r="C113" s="14"/>
      <c r="D113" s="15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P113"/>
      <c r="Q113"/>
      <c r="R113"/>
      <c r="S113"/>
      <c r="T113"/>
      <c r="U113"/>
      <c r="V113"/>
      <c r="W113"/>
      <c r="X113"/>
      <c r="Y113"/>
      <c r="Z113"/>
    </row>
    <row r="114" spans="1:26" s="31" customFormat="1" x14ac:dyDescent="0.35">
      <c r="A114" s="34"/>
      <c r="B114" s="34"/>
      <c r="C114" s="14"/>
      <c r="D114" s="15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P114"/>
      <c r="Q114"/>
      <c r="R114"/>
      <c r="S114"/>
      <c r="T114"/>
      <c r="U114"/>
      <c r="V114"/>
      <c r="W114"/>
      <c r="X114"/>
      <c r="Y114"/>
      <c r="Z114"/>
    </row>
    <row r="115" spans="1:26" s="31" customFormat="1" x14ac:dyDescent="0.35">
      <c r="A115" s="34"/>
      <c r="B115" s="34"/>
      <c r="C115" s="14"/>
      <c r="D115" s="15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P115"/>
      <c r="Q115"/>
      <c r="R115"/>
      <c r="S115"/>
      <c r="T115"/>
      <c r="U115"/>
      <c r="V115"/>
      <c r="W115"/>
      <c r="X115"/>
      <c r="Y115"/>
      <c r="Z115"/>
    </row>
    <row r="116" spans="1:26" s="31" customFormat="1" x14ac:dyDescent="0.35">
      <c r="A116" s="34"/>
      <c r="B116" s="34"/>
      <c r="C116" s="14"/>
      <c r="D116" s="15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P116"/>
      <c r="Q116"/>
      <c r="R116"/>
      <c r="S116"/>
      <c r="T116"/>
      <c r="U116"/>
      <c r="V116"/>
      <c r="W116"/>
      <c r="X116"/>
      <c r="Y116"/>
      <c r="Z116"/>
    </row>
    <row r="117" spans="1:26" s="31" customFormat="1" x14ac:dyDescent="0.35">
      <c r="A117" s="34"/>
      <c r="B117" s="34"/>
      <c r="C117" s="14"/>
      <c r="D117" s="15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P117"/>
      <c r="Q117"/>
      <c r="R117"/>
      <c r="S117"/>
      <c r="T117"/>
      <c r="U117"/>
      <c r="V117"/>
      <c r="W117"/>
      <c r="X117"/>
      <c r="Y117"/>
      <c r="Z117"/>
    </row>
    <row r="118" spans="1:26" s="31" customFormat="1" x14ac:dyDescent="0.35">
      <c r="A118" s="34"/>
      <c r="B118" s="34"/>
      <c r="C118" s="14"/>
      <c r="D118" s="15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P118"/>
      <c r="Q118"/>
      <c r="R118"/>
      <c r="S118"/>
      <c r="T118"/>
      <c r="U118"/>
      <c r="V118"/>
      <c r="W118"/>
      <c r="X118"/>
      <c r="Y118"/>
      <c r="Z118"/>
    </row>
    <row r="119" spans="1:26" s="31" customFormat="1" x14ac:dyDescent="0.35">
      <c r="A119" s="34"/>
      <c r="B119" s="34"/>
      <c r="C119" s="14"/>
      <c r="D119" s="15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P119"/>
      <c r="Q119"/>
      <c r="R119"/>
      <c r="S119"/>
      <c r="T119"/>
      <c r="U119"/>
      <c r="V119"/>
      <c r="W119"/>
      <c r="X119"/>
      <c r="Y119"/>
      <c r="Z119"/>
    </row>
    <row r="120" spans="1:26" s="31" customFormat="1" x14ac:dyDescent="0.35">
      <c r="A120" s="34"/>
      <c r="B120" s="34"/>
      <c r="C120" s="14"/>
      <c r="D120" s="15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P120"/>
      <c r="Q120"/>
      <c r="R120"/>
      <c r="S120"/>
      <c r="T120"/>
      <c r="U120"/>
      <c r="V120"/>
      <c r="W120"/>
      <c r="X120"/>
      <c r="Y120"/>
      <c r="Z120"/>
    </row>
    <row r="121" spans="1:26" s="31" customFormat="1" x14ac:dyDescent="0.35">
      <c r="A121" s="34"/>
      <c r="B121" s="34"/>
      <c r="C121" s="14"/>
      <c r="D121" s="15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P121"/>
      <c r="Q121"/>
      <c r="R121"/>
      <c r="S121"/>
      <c r="T121"/>
      <c r="U121"/>
      <c r="V121"/>
      <c r="W121"/>
      <c r="X121"/>
      <c r="Y121"/>
      <c r="Z121"/>
    </row>
    <row r="122" spans="1:26" s="31" customFormat="1" x14ac:dyDescent="0.35">
      <c r="A122" s="34"/>
      <c r="B122" s="34"/>
      <c r="C122" s="14"/>
      <c r="D122" s="15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P122"/>
      <c r="Q122"/>
      <c r="R122"/>
      <c r="S122"/>
      <c r="T122"/>
      <c r="U122"/>
      <c r="V122"/>
      <c r="W122"/>
      <c r="X122"/>
      <c r="Y122"/>
      <c r="Z122"/>
    </row>
    <row r="123" spans="1:26" s="31" customFormat="1" x14ac:dyDescent="0.35">
      <c r="A123" s="34"/>
      <c r="B123" s="34"/>
      <c r="C123" s="14"/>
      <c r="D123" s="15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P123"/>
      <c r="Q123"/>
      <c r="R123"/>
      <c r="S123"/>
      <c r="T123"/>
      <c r="U123"/>
      <c r="V123"/>
      <c r="W123"/>
      <c r="X123"/>
      <c r="Y123"/>
      <c r="Z123"/>
    </row>
    <row r="124" spans="1:26" s="31" customFormat="1" x14ac:dyDescent="0.35">
      <c r="A124" s="34"/>
      <c r="B124" s="34"/>
      <c r="C124" s="14"/>
      <c r="D124" s="15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P124"/>
      <c r="Q124"/>
      <c r="R124"/>
      <c r="S124"/>
      <c r="T124"/>
      <c r="U124"/>
      <c r="V124"/>
      <c r="W124"/>
      <c r="X124"/>
      <c r="Y124"/>
      <c r="Z124"/>
    </row>
    <row r="125" spans="1:26" s="31" customFormat="1" x14ac:dyDescent="0.35">
      <c r="A125" s="34"/>
      <c r="B125" s="34"/>
      <c r="C125" s="14"/>
      <c r="D125" s="15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P125"/>
      <c r="Q125"/>
      <c r="R125"/>
      <c r="S125"/>
      <c r="T125"/>
      <c r="U125"/>
      <c r="V125"/>
      <c r="W125"/>
      <c r="X125"/>
      <c r="Y125"/>
      <c r="Z125"/>
    </row>
    <row r="126" spans="1:26" s="31" customFormat="1" x14ac:dyDescent="0.35">
      <c r="A126" s="34"/>
      <c r="B126" s="34"/>
      <c r="C126" s="14"/>
      <c r="D126" s="15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P126"/>
      <c r="Q126"/>
      <c r="R126"/>
      <c r="S126"/>
      <c r="T126"/>
      <c r="U126"/>
      <c r="V126"/>
      <c r="W126"/>
      <c r="X126"/>
      <c r="Y126"/>
      <c r="Z126"/>
    </row>
    <row r="127" spans="1:26" s="31" customFormat="1" x14ac:dyDescent="0.35">
      <c r="A127" s="34"/>
      <c r="B127" s="34"/>
      <c r="C127" s="14"/>
      <c r="D127" s="15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P127"/>
      <c r="Q127"/>
      <c r="R127"/>
      <c r="S127"/>
      <c r="T127"/>
      <c r="U127"/>
      <c r="V127"/>
      <c r="W127"/>
      <c r="X127"/>
      <c r="Y127"/>
      <c r="Z127"/>
    </row>
    <row r="128" spans="1:26" s="31" customFormat="1" x14ac:dyDescent="0.35">
      <c r="A128" s="34"/>
      <c r="B128" s="34"/>
      <c r="C128" s="14"/>
      <c r="D128" s="15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P128"/>
      <c r="Q128"/>
      <c r="R128"/>
      <c r="S128"/>
      <c r="T128"/>
      <c r="U128"/>
      <c r="V128"/>
      <c r="W128"/>
      <c r="X128"/>
      <c r="Y128"/>
      <c r="Z128"/>
    </row>
    <row r="129" spans="1:26" s="31" customFormat="1" x14ac:dyDescent="0.35">
      <c r="A129" s="34"/>
      <c r="B129" s="34"/>
      <c r="C129" s="14"/>
      <c r="D129" s="15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P129"/>
      <c r="Q129"/>
      <c r="R129"/>
      <c r="S129"/>
      <c r="T129"/>
      <c r="U129"/>
      <c r="V129"/>
      <c r="W129"/>
      <c r="X129"/>
      <c r="Y129"/>
      <c r="Z129"/>
    </row>
    <row r="130" spans="1:26" s="31" customFormat="1" x14ac:dyDescent="0.35">
      <c r="A130" s="34"/>
      <c r="B130" s="34"/>
      <c r="C130" s="14"/>
      <c r="D130" s="15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P130"/>
      <c r="Q130"/>
      <c r="R130"/>
      <c r="S130"/>
      <c r="T130"/>
      <c r="U130"/>
      <c r="V130"/>
      <c r="W130"/>
      <c r="X130"/>
      <c r="Y130"/>
      <c r="Z130"/>
    </row>
    <row r="131" spans="1:26" s="31" customFormat="1" x14ac:dyDescent="0.35">
      <c r="A131" s="34"/>
      <c r="B131" s="34"/>
      <c r="C131" s="14"/>
      <c r="D131" s="15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P131"/>
      <c r="Q131"/>
      <c r="R131"/>
      <c r="S131"/>
      <c r="T131"/>
      <c r="U131"/>
      <c r="V131"/>
      <c r="W131"/>
      <c r="X131"/>
      <c r="Y131"/>
      <c r="Z131"/>
    </row>
    <row r="132" spans="1:26" s="31" customFormat="1" x14ac:dyDescent="0.35">
      <c r="A132" s="34"/>
      <c r="B132" s="34"/>
      <c r="C132" s="14"/>
      <c r="D132" s="15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P132"/>
      <c r="Q132"/>
      <c r="R132"/>
      <c r="S132"/>
      <c r="T132"/>
      <c r="U132"/>
      <c r="V132"/>
      <c r="W132"/>
      <c r="X132"/>
      <c r="Y132"/>
      <c r="Z132"/>
    </row>
    <row r="133" spans="1:26" s="31" customFormat="1" x14ac:dyDescent="0.35">
      <c r="A133" s="34"/>
      <c r="B133" s="34"/>
      <c r="C133" s="14"/>
      <c r="D133" s="15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P133"/>
      <c r="Q133"/>
      <c r="R133"/>
      <c r="S133"/>
      <c r="T133"/>
      <c r="U133"/>
      <c r="V133"/>
      <c r="W133"/>
      <c r="X133"/>
      <c r="Y133"/>
      <c r="Z133"/>
    </row>
    <row r="134" spans="1:26" s="31" customFormat="1" x14ac:dyDescent="0.35">
      <c r="A134" s="34"/>
      <c r="B134" s="34"/>
      <c r="C134" s="14"/>
      <c r="D134" s="15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P134"/>
      <c r="Q134"/>
      <c r="R134"/>
      <c r="S134"/>
      <c r="T134"/>
      <c r="U134"/>
      <c r="V134"/>
      <c r="W134"/>
      <c r="X134"/>
      <c r="Y134"/>
      <c r="Z134"/>
    </row>
    <row r="135" spans="1:26" s="31" customFormat="1" x14ac:dyDescent="0.35">
      <c r="A135" s="34"/>
      <c r="B135" s="34"/>
      <c r="C135" s="14"/>
      <c r="D135" s="15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P135"/>
      <c r="Q135"/>
      <c r="R135"/>
      <c r="S135"/>
      <c r="T135"/>
      <c r="U135"/>
      <c r="V135"/>
      <c r="W135"/>
      <c r="X135"/>
      <c r="Y135"/>
      <c r="Z135"/>
    </row>
    <row r="136" spans="1:26" s="31" customFormat="1" x14ac:dyDescent="0.35">
      <c r="A136" s="34"/>
      <c r="B136" s="34"/>
      <c r="C136" s="14"/>
      <c r="D136" s="15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P136"/>
      <c r="Q136"/>
      <c r="R136"/>
      <c r="S136"/>
      <c r="T136"/>
      <c r="U136"/>
      <c r="V136"/>
      <c r="W136"/>
      <c r="X136"/>
      <c r="Y136"/>
      <c r="Z136"/>
    </row>
    <row r="137" spans="1:26" s="31" customFormat="1" x14ac:dyDescent="0.35">
      <c r="A137" s="34"/>
      <c r="B137" s="34"/>
      <c r="C137" s="14"/>
      <c r="D137" s="15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P137"/>
      <c r="Q137"/>
      <c r="R137"/>
      <c r="S137"/>
      <c r="T137"/>
      <c r="U137"/>
      <c r="V137"/>
      <c r="W137"/>
      <c r="X137"/>
      <c r="Y137"/>
      <c r="Z137"/>
    </row>
    <row r="138" spans="1:26" s="31" customFormat="1" x14ac:dyDescent="0.35">
      <c r="A138" s="34"/>
      <c r="B138" s="34"/>
      <c r="C138" s="14"/>
      <c r="D138" s="15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P138"/>
      <c r="Q138"/>
      <c r="R138"/>
      <c r="S138"/>
      <c r="T138"/>
      <c r="U138"/>
      <c r="V138"/>
      <c r="W138"/>
      <c r="X138"/>
      <c r="Y138"/>
      <c r="Z138"/>
    </row>
    <row r="139" spans="1:26" s="31" customFormat="1" x14ac:dyDescent="0.35">
      <c r="A139" s="34"/>
      <c r="B139" s="34"/>
      <c r="C139" s="14"/>
      <c r="D139" s="15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P139"/>
      <c r="Q139"/>
      <c r="R139"/>
      <c r="S139"/>
      <c r="T139"/>
      <c r="U139"/>
      <c r="V139"/>
      <c r="W139"/>
      <c r="X139"/>
      <c r="Y139"/>
      <c r="Z139"/>
    </row>
    <row r="140" spans="1:26" s="31" customFormat="1" x14ac:dyDescent="0.35">
      <c r="A140" s="34"/>
      <c r="B140" s="34"/>
      <c r="C140" s="14"/>
      <c r="D140" s="15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P140"/>
      <c r="Q140"/>
      <c r="R140"/>
      <c r="S140"/>
      <c r="T140"/>
      <c r="U140"/>
      <c r="V140"/>
      <c r="W140"/>
      <c r="X140"/>
      <c r="Y140"/>
      <c r="Z140"/>
    </row>
    <row r="141" spans="1:26" s="31" customFormat="1" x14ac:dyDescent="0.35">
      <c r="A141" s="34"/>
      <c r="B141" s="34"/>
      <c r="C141" s="14"/>
      <c r="D141" s="15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P141"/>
      <c r="Q141"/>
      <c r="R141"/>
      <c r="S141"/>
      <c r="T141"/>
      <c r="U141"/>
      <c r="V141"/>
      <c r="W141"/>
      <c r="X141"/>
      <c r="Y141"/>
      <c r="Z141"/>
    </row>
    <row r="142" spans="1:26" s="31" customFormat="1" x14ac:dyDescent="0.35">
      <c r="A142" s="34"/>
      <c r="B142" s="34"/>
      <c r="C142" s="14"/>
      <c r="D142" s="15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P142"/>
      <c r="Q142"/>
      <c r="R142"/>
      <c r="S142"/>
      <c r="T142"/>
      <c r="U142"/>
      <c r="V142"/>
      <c r="W142"/>
      <c r="X142"/>
      <c r="Y142"/>
      <c r="Z142"/>
    </row>
    <row r="143" spans="1:26" s="31" customFormat="1" x14ac:dyDescent="0.35">
      <c r="A143" s="34"/>
      <c r="B143" s="34"/>
      <c r="C143" s="14"/>
      <c r="D143" s="15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P143"/>
      <c r="Q143"/>
      <c r="R143"/>
      <c r="S143"/>
      <c r="T143"/>
      <c r="U143"/>
      <c r="V143"/>
      <c r="W143"/>
      <c r="X143"/>
      <c r="Y143"/>
      <c r="Z143"/>
    </row>
    <row r="144" spans="1:26" s="31" customFormat="1" x14ac:dyDescent="0.35">
      <c r="A144" s="34"/>
      <c r="B144" s="34"/>
      <c r="C144" s="14"/>
      <c r="D144" s="15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P144"/>
      <c r="Q144"/>
      <c r="R144"/>
      <c r="S144"/>
      <c r="T144"/>
      <c r="U144"/>
      <c r="V144"/>
      <c r="W144"/>
      <c r="X144"/>
      <c r="Y144"/>
      <c r="Z144"/>
    </row>
    <row r="145" spans="1:26" s="31" customFormat="1" x14ac:dyDescent="0.35">
      <c r="A145" s="34"/>
      <c r="B145" s="34"/>
      <c r="C145" s="14"/>
      <c r="D145" s="15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P145"/>
      <c r="Q145"/>
      <c r="R145"/>
      <c r="S145"/>
      <c r="T145"/>
      <c r="U145"/>
      <c r="V145"/>
      <c r="W145"/>
      <c r="X145"/>
      <c r="Y145"/>
      <c r="Z145"/>
    </row>
    <row r="146" spans="1:26" s="31" customFormat="1" x14ac:dyDescent="0.35">
      <c r="A146" s="34"/>
      <c r="B146" s="34"/>
      <c r="C146" s="14"/>
      <c r="D146" s="15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P146"/>
      <c r="Q146"/>
      <c r="R146"/>
      <c r="S146"/>
      <c r="T146"/>
      <c r="U146"/>
      <c r="V146"/>
      <c r="W146"/>
      <c r="X146"/>
      <c r="Y146"/>
      <c r="Z146"/>
    </row>
    <row r="147" spans="1:26" s="31" customFormat="1" x14ac:dyDescent="0.35">
      <c r="A147" s="34"/>
      <c r="B147" s="34"/>
      <c r="C147" s="14"/>
      <c r="D147" s="15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P147"/>
      <c r="Q147"/>
      <c r="R147"/>
      <c r="S147"/>
      <c r="T147"/>
      <c r="U147"/>
      <c r="V147"/>
      <c r="W147"/>
      <c r="X147"/>
      <c r="Y147"/>
      <c r="Z147"/>
    </row>
    <row r="148" spans="1:26" s="31" customFormat="1" x14ac:dyDescent="0.35">
      <c r="A148" s="34"/>
      <c r="B148" s="34"/>
      <c r="C148" s="14"/>
      <c r="D148" s="15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P148"/>
      <c r="Q148"/>
      <c r="R148"/>
      <c r="S148"/>
      <c r="T148"/>
      <c r="U148"/>
      <c r="V148"/>
      <c r="W148"/>
      <c r="X148"/>
      <c r="Y148"/>
      <c r="Z148"/>
    </row>
    <row r="149" spans="1:26" s="31" customFormat="1" x14ac:dyDescent="0.35">
      <c r="A149" s="34"/>
      <c r="B149" s="34"/>
      <c r="C149" s="14"/>
      <c r="D149" s="15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P149"/>
      <c r="Q149"/>
      <c r="R149"/>
      <c r="S149"/>
      <c r="T149"/>
      <c r="U149"/>
      <c r="V149"/>
      <c r="W149"/>
      <c r="X149"/>
      <c r="Y149"/>
      <c r="Z149"/>
    </row>
    <row r="150" spans="1:26" s="31" customFormat="1" x14ac:dyDescent="0.35">
      <c r="A150" s="34"/>
      <c r="B150" s="34"/>
      <c r="C150" s="14"/>
      <c r="D150" s="15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P150"/>
      <c r="Q150"/>
      <c r="R150"/>
      <c r="S150"/>
      <c r="T150"/>
      <c r="U150"/>
      <c r="V150"/>
      <c r="W150"/>
      <c r="X150"/>
      <c r="Y150"/>
      <c r="Z150"/>
    </row>
    <row r="151" spans="1:26" s="31" customFormat="1" x14ac:dyDescent="0.35">
      <c r="A151" s="34"/>
      <c r="B151" s="34"/>
      <c r="C151" s="14"/>
      <c r="D151" s="15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P151"/>
      <c r="Q151"/>
      <c r="R151"/>
      <c r="S151"/>
      <c r="T151"/>
      <c r="U151"/>
      <c r="V151"/>
      <c r="W151"/>
      <c r="X151"/>
      <c r="Y151"/>
      <c r="Z151"/>
    </row>
    <row r="152" spans="1:26" s="31" customFormat="1" x14ac:dyDescent="0.35">
      <c r="A152" s="34"/>
      <c r="B152" s="34"/>
      <c r="C152" s="14"/>
      <c r="D152" s="15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P152"/>
      <c r="Q152"/>
      <c r="R152"/>
      <c r="S152"/>
      <c r="T152"/>
      <c r="U152"/>
      <c r="V152"/>
      <c r="W152"/>
      <c r="X152"/>
      <c r="Y152"/>
      <c r="Z152"/>
    </row>
    <row r="153" spans="1:26" s="31" customFormat="1" x14ac:dyDescent="0.35">
      <c r="A153" s="34"/>
      <c r="B153" s="34"/>
      <c r="C153" s="14"/>
      <c r="D153" s="15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P153"/>
      <c r="Q153"/>
      <c r="R153"/>
      <c r="S153"/>
      <c r="T153"/>
      <c r="U153"/>
      <c r="V153"/>
      <c r="W153"/>
      <c r="X153"/>
      <c r="Y153"/>
      <c r="Z153"/>
    </row>
    <row r="154" spans="1:26" s="31" customFormat="1" x14ac:dyDescent="0.35">
      <c r="A154" s="34"/>
      <c r="B154" s="34"/>
      <c r="C154" s="14"/>
      <c r="D154" s="15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P154"/>
      <c r="Q154"/>
      <c r="R154"/>
      <c r="S154"/>
      <c r="T154"/>
      <c r="U154"/>
      <c r="V154"/>
      <c r="W154"/>
      <c r="X154"/>
      <c r="Y154"/>
      <c r="Z154"/>
    </row>
    <row r="155" spans="1:26" s="31" customFormat="1" x14ac:dyDescent="0.35">
      <c r="A155" s="34"/>
      <c r="B155" s="34"/>
      <c r="C155" s="14"/>
      <c r="D155" s="15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P155"/>
      <c r="Q155"/>
      <c r="R155"/>
      <c r="S155"/>
      <c r="T155"/>
      <c r="U155"/>
      <c r="V155"/>
      <c r="W155"/>
      <c r="X155"/>
      <c r="Y155"/>
      <c r="Z155"/>
    </row>
    <row r="156" spans="1:26" s="31" customFormat="1" x14ac:dyDescent="0.35">
      <c r="A156" s="34"/>
      <c r="B156" s="34"/>
      <c r="C156" s="14"/>
      <c r="D156" s="15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P156"/>
      <c r="Q156"/>
      <c r="R156"/>
      <c r="S156"/>
      <c r="T156"/>
      <c r="U156"/>
      <c r="V156"/>
      <c r="W156"/>
      <c r="X156"/>
      <c r="Y156"/>
      <c r="Z156"/>
    </row>
    <row r="157" spans="1:26" s="31" customFormat="1" x14ac:dyDescent="0.35">
      <c r="A157" s="34"/>
      <c r="B157" s="34"/>
      <c r="C157" s="14"/>
      <c r="D157" s="15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P157"/>
      <c r="Q157"/>
      <c r="R157"/>
      <c r="S157"/>
      <c r="T157"/>
      <c r="U157"/>
      <c r="V157"/>
      <c r="W157"/>
      <c r="X157"/>
      <c r="Y157"/>
      <c r="Z157"/>
    </row>
    <row r="158" spans="1:26" s="31" customFormat="1" x14ac:dyDescent="0.35">
      <c r="A158" s="34"/>
      <c r="B158" s="34"/>
      <c r="C158" s="14"/>
      <c r="D158" s="15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P158"/>
      <c r="Q158"/>
      <c r="R158"/>
      <c r="S158"/>
      <c r="T158"/>
      <c r="U158"/>
      <c r="V158"/>
      <c r="W158"/>
      <c r="X158"/>
      <c r="Y158"/>
      <c r="Z158"/>
    </row>
    <row r="159" spans="1:26" s="31" customFormat="1" x14ac:dyDescent="0.35">
      <c r="A159" s="34"/>
      <c r="B159" s="34"/>
      <c r="C159" s="14"/>
      <c r="D159" s="15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P159"/>
      <c r="Q159"/>
      <c r="R159"/>
      <c r="S159"/>
      <c r="T159"/>
      <c r="U159"/>
      <c r="V159"/>
      <c r="W159"/>
      <c r="X159"/>
      <c r="Y159"/>
      <c r="Z159"/>
    </row>
    <row r="160" spans="1:26" s="31" customFormat="1" x14ac:dyDescent="0.35">
      <c r="A160" s="34"/>
      <c r="B160" s="34"/>
      <c r="C160" s="14"/>
      <c r="D160" s="15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P160"/>
      <c r="Q160"/>
      <c r="R160"/>
      <c r="S160"/>
      <c r="T160"/>
      <c r="U160"/>
      <c r="V160"/>
      <c r="W160"/>
      <c r="X160"/>
      <c r="Y160"/>
      <c r="Z160"/>
    </row>
    <row r="161" spans="1:26" s="31" customFormat="1" x14ac:dyDescent="0.35">
      <c r="A161" s="34"/>
      <c r="B161" s="34"/>
      <c r="C161" s="14"/>
      <c r="D161" s="15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P161"/>
      <c r="Q161"/>
      <c r="R161"/>
      <c r="S161"/>
      <c r="T161"/>
      <c r="U161"/>
      <c r="V161"/>
      <c r="W161"/>
      <c r="X161"/>
      <c r="Y161"/>
      <c r="Z161"/>
    </row>
    <row r="162" spans="1:26" s="31" customFormat="1" x14ac:dyDescent="0.35">
      <c r="A162" s="34"/>
      <c r="B162" s="34"/>
      <c r="C162" s="14"/>
      <c r="D162" s="15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P162"/>
      <c r="Q162"/>
      <c r="R162"/>
      <c r="S162"/>
      <c r="T162"/>
      <c r="U162"/>
      <c r="V162"/>
      <c r="W162"/>
      <c r="X162"/>
      <c r="Y162"/>
      <c r="Z162"/>
    </row>
    <row r="163" spans="1:26" s="31" customFormat="1" x14ac:dyDescent="0.35">
      <c r="A163" s="34"/>
      <c r="B163" s="34"/>
      <c r="C163" s="14"/>
      <c r="D163" s="15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P163"/>
      <c r="Q163"/>
      <c r="R163"/>
      <c r="S163"/>
      <c r="T163"/>
      <c r="U163"/>
      <c r="V163"/>
      <c r="W163"/>
      <c r="X163"/>
      <c r="Y163"/>
      <c r="Z163"/>
    </row>
    <row r="164" spans="1:26" s="31" customFormat="1" x14ac:dyDescent="0.35">
      <c r="A164" s="34"/>
      <c r="B164" s="34"/>
      <c r="C164" s="14"/>
      <c r="D164" s="15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P164"/>
      <c r="Q164"/>
      <c r="R164"/>
      <c r="S164"/>
      <c r="T164"/>
      <c r="U164"/>
      <c r="V164"/>
      <c r="W164"/>
      <c r="X164"/>
      <c r="Y164"/>
      <c r="Z164"/>
    </row>
    <row r="165" spans="1:26" s="31" customFormat="1" x14ac:dyDescent="0.35">
      <c r="A165" s="34"/>
      <c r="B165" s="34"/>
      <c r="C165" s="14"/>
      <c r="D165" s="15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P165"/>
      <c r="Q165"/>
      <c r="R165"/>
      <c r="S165"/>
      <c r="T165"/>
      <c r="U165"/>
      <c r="V165"/>
      <c r="W165"/>
      <c r="X165"/>
      <c r="Y165"/>
      <c r="Z165"/>
    </row>
    <row r="166" spans="1:26" s="31" customFormat="1" x14ac:dyDescent="0.35">
      <c r="A166" s="34"/>
      <c r="B166" s="34"/>
      <c r="C166" s="14"/>
      <c r="D166" s="15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P166"/>
      <c r="Q166"/>
      <c r="R166"/>
      <c r="S166"/>
      <c r="T166"/>
      <c r="U166"/>
      <c r="V166"/>
      <c r="W166"/>
      <c r="X166"/>
      <c r="Y166"/>
      <c r="Z166"/>
    </row>
    <row r="167" spans="1:26" s="31" customFormat="1" x14ac:dyDescent="0.35">
      <c r="A167" s="34"/>
      <c r="B167" s="34"/>
      <c r="C167" s="14"/>
      <c r="D167" s="15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P167"/>
      <c r="Q167"/>
      <c r="R167"/>
      <c r="S167"/>
      <c r="T167"/>
      <c r="U167"/>
      <c r="V167"/>
      <c r="W167"/>
      <c r="X167"/>
      <c r="Y167"/>
      <c r="Z167"/>
    </row>
    <row r="168" spans="1:26" s="31" customFormat="1" x14ac:dyDescent="0.35">
      <c r="A168" s="34"/>
      <c r="B168" s="34"/>
      <c r="C168" s="14"/>
      <c r="D168" s="15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P168"/>
      <c r="Q168"/>
      <c r="R168"/>
      <c r="S168"/>
      <c r="T168"/>
      <c r="U168"/>
      <c r="V168"/>
      <c r="W168"/>
      <c r="X168"/>
      <c r="Y168"/>
      <c r="Z168"/>
    </row>
    <row r="169" spans="1:26" s="31" customFormat="1" x14ac:dyDescent="0.35">
      <c r="A169" s="34"/>
      <c r="B169" s="34"/>
      <c r="C169" s="14"/>
      <c r="D169" s="15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P169"/>
      <c r="Q169"/>
      <c r="R169"/>
      <c r="S169"/>
      <c r="T169"/>
      <c r="U169"/>
      <c r="V169"/>
      <c r="W169"/>
      <c r="X169"/>
      <c r="Y169"/>
      <c r="Z169"/>
    </row>
    <row r="170" spans="1:26" s="31" customFormat="1" x14ac:dyDescent="0.35">
      <c r="A170" s="34"/>
      <c r="B170" s="34"/>
      <c r="C170" s="14"/>
      <c r="D170" s="15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P170"/>
      <c r="Q170"/>
      <c r="R170"/>
      <c r="S170"/>
      <c r="T170"/>
      <c r="U170"/>
      <c r="V170"/>
      <c r="W170"/>
      <c r="X170"/>
      <c r="Y170"/>
      <c r="Z170"/>
    </row>
    <row r="171" spans="1:26" s="31" customFormat="1" x14ac:dyDescent="0.35">
      <c r="A171" s="34"/>
      <c r="B171" s="34"/>
      <c r="C171" s="14"/>
      <c r="D171" s="15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P171"/>
      <c r="Q171"/>
      <c r="R171"/>
      <c r="S171"/>
      <c r="T171"/>
      <c r="U171"/>
      <c r="V171"/>
      <c r="W171"/>
      <c r="X171"/>
      <c r="Y171"/>
      <c r="Z171"/>
    </row>
    <row r="172" spans="1:26" s="31" customFormat="1" x14ac:dyDescent="0.35">
      <c r="A172" s="34"/>
      <c r="B172" s="34"/>
      <c r="C172" s="14"/>
      <c r="D172" s="15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P172"/>
      <c r="Q172"/>
      <c r="R172"/>
      <c r="S172"/>
      <c r="T172"/>
      <c r="U172"/>
      <c r="V172"/>
      <c r="W172"/>
      <c r="X172"/>
      <c r="Y172"/>
      <c r="Z172"/>
    </row>
    <row r="173" spans="1:26" s="31" customFormat="1" x14ac:dyDescent="0.35">
      <c r="A173" s="34"/>
      <c r="B173" s="34"/>
      <c r="C173" s="14"/>
      <c r="D173" s="15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P173"/>
      <c r="Q173"/>
      <c r="R173"/>
      <c r="S173"/>
      <c r="T173"/>
      <c r="U173"/>
      <c r="V173"/>
      <c r="W173"/>
      <c r="X173"/>
      <c r="Y173"/>
      <c r="Z173"/>
    </row>
    <row r="174" spans="1:26" s="31" customFormat="1" x14ac:dyDescent="0.35">
      <c r="A174" s="34"/>
      <c r="B174" s="34"/>
      <c r="C174" s="14"/>
      <c r="D174" s="15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P174"/>
      <c r="Q174"/>
      <c r="R174"/>
      <c r="S174"/>
      <c r="T174"/>
      <c r="U174"/>
      <c r="V174"/>
      <c r="W174"/>
      <c r="X174"/>
      <c r="Y174"/>
      <c r="Z174"/>
    </row>
    <row r="175" spans="1:26" s="31" customFormat="1" x14ac:dyDescent="0.35">
      <c r="A175" s="34"/>
      <c r="B175" s="34"/>
      <c r="C175" s="14"/>
      <c r="D175" s="15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P175"/>
      <c r="Q175"/>
      <c r="R175"/>
      <c r="S175"/>
      <c r="T175"/>
      <c r="U175"/>
      <c r="V175"/>
      <c r="W175"/>
      <c r="X175"/>
      <c r="Y175"/>
      <c r="Z175"/>
    </row>
    <row r="176" spans="1:26" s="31" customFormat="1" x14ac:dyDescent="0.35">
      <c r="A176" s="34"/>
      <c r="B176" s="34"/>
      <c r="C176" s="14"/>
      <c r="D176" s="15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P176"/>
      <c r="Q176"/>
      <c r="R176"/>
      <c r="S176"/>
      <c r="T176"/>
      <c r="U176"/>
      <c r="V176"/>
      <c r="W176"/>
      <c r="X176"/>
      <c r="Y176"/>
      <c r="Z176"/>
    </row>
    <row r="177" spans="1:26" s="31" customFormat="1" x14ac:dyDescent="0.35">
      <c r="A177" s="34"/>
      <c r="B177" s="34"/>
      <c r="C177" s="14"/>
      <c r="D177" s="15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P177"/>
      <c r="Q177"/>
      <c r="R177"/>
      <c r="S177"/>
      <c r="T177"/>
      <c r="U177"/>
      <c r="V177"/>
      <c r="W177"/>
      <c r="X177"/>
      <c r="Y177"/>
      <c r="Z177"/>
    </row>
    <row r="178" spans="1:26" s="31" customFormat="1" x14ac:dyDescent="0.35">
      <c r="A178" s="34"/>
      <c r="B178" s="34"/>
      <c r="C178" s="14"/>
      <c r="D178" s="15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P178"/>
      <c r="Q178"/>
      <c r="R178"/>
      <c r="S178"/>
      <c r="T178"/>
      <c r="U178"/>
      <c r="V178"/>
      <c r="W178"/>
      <c r="X178"/>
      <c r="Y178"/>
      <c r="Z178"/>
    </row>
    <row r="179" spans="1:26" s="31" customFormat="1" x14ac:dyDescent="0.35">
      <c r="A179" s="34"/>
      <c r="B179" s="34"/>
      <c r="C179" s="14"/>
      <c r="D179" s="15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P179"/>
      <c r="Q179"/>
      <c r="R179"/>
      <c r="S179"/>
      <c r="T179"/>
      <c r="U179"/>
      <c r="V179"/>
      <c r="W179"/>
      <c r="X179"/>
      <c r="Y179"/>
      <c r="Z179"/>
    </row>
    <row r="180" spans="1:26" s="31" customFormat="1" x14ac:dyDescent="0.35">
      <c r="A180" s="34"/>
      <c r="B180" s="34"/>
      <c r="C180" s="14"/>
      <c r="D180" s="15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P180"/>
      <c r="Q180"/>
      <c r="R180"/>
      <c r="S180"/>
      <c r="T180"/>
      <c r="U180"/>
      <c r="V180"/>
      <c r="W180"/>
      <c r="X180"/>
      <c r="Y180"/>
      <c r="Z180"/>
    </row>
    <row r="181" spans="1:26" s="31" customFormat="1" x14ac:dyDescent="0.35">
      <c r="A181" s="34"/>
      <c r="B181" s="34"/>
      <c r="C181" s="14"/>
      <c r="D181" s="15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P181"/>
      <c r="Q181"/>
      <c r="R181"/>
      <c r="S181"/>
      <c r="T181"/>
      <c r="U181"/>
      <c r="V181"/>
      <c r="W181"/>
      <c r="X181"/>
      <c r="Y181"/>
      <c r="Z181"/>
    </row>
    <row r="182" spans="1:26" s="31" customFormat="1" x14ac:dyDescent="0.35">
      <c r="A182" s="34"/>
      <c r="B182" s="34"/>
      <c r="C182" s="14"/>
      <c r="D182" s="15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P182"/>
      <c r="Q182"/>
      <c r="R182"/>
      <c r="S182"/>
      <c r="T182"/>
      <c r="U182"/>
      <c r="V182"/>
      <c r="W182"/>
      <c r="X182"/>
      <c r="Y182"/>
      <c r="Z182"/>
    </row>
    <row r="183" spans="1:26" s="31" customFormat="1" x14ac:dyDescent="0.35">
      <c r="A183" s="34"/>
      <c r="B183" s="34"/>
      <c r="C183" s="14"/>
      <c r="D183" s="15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P183"/>
      <c r="Q183"/>
      <c r="R183"/>
      <c r="S183"/>
      <c r="T183"/>
      <c r="U183"/>
      <c r="V183"/>
      <c r="W183"/>
      <c r="X183"/>
      <c r="Y183"/>
      <c r="Z183"/>
    </row>
    <row r="184" spans="1:26" s="31" customFormat="1" x14ac:dyDescent="0.35">
      <c r="A184" s="34"/>
      <c r="B184" s="34"/>
      <c r="C184" s="14"/>
      <c r="D184" s="15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P184"/>
      <c r="Q184"/>
      <c r="R184"/>
      <c r="S184"/>
      <c r="T184"/>
      <c r="U184"/>
      <c r="V184"/>
      <c r="W184"/>
      <c r="X184"/>
      <c r="Y184"/>
      <c r="Z184"/>
    </row>
    <row r="185" spans="1:26" s="31" customFormat="1" x14ac:dyDescent="0.35">
      <c r="A185" s="34"/>
      <c r="B185" s="34"/>
      <c r="C185" s="14"/>
      <c r="D185" s="15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P185"/>
      <c r="Q185"/>
      <c r="R185"/>
      <c r="S185"/>
      <c r="T185"/>
      <c r="U185"/>
      <c r="V185"/>
      <c r="W185"/>
      <c r="X185"/>
      <c r="Y185"/>
      <c r="Z185"/>
    </row>
    <row r="186" spans="1:26" s="31" customFormat="1" x14ac:dyDescent="0.35">
      <c r="A186" s="34"/>
      <c r="B186" s="34"/>
      <c r="C186" s="14"/>
      <c r="D186" s="15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P186"/>
      <c r="Q186"/>
      <c r="R186"/>
      <c r="S186"/>
      <c r="T186"/>
      <c r="U186"/>
      <c r="V186"/>
      <c r="W186"/>
      <c r="X186"/>
      <c r="Y186"/>
      <c r="Z186"/>
    </row>
    <row r="187" spans="1:26" s="31" customFormat="1" x14ac:dyDescent="0.35">
      <c r="A187" s="34"/>
      <c r="B187" s="34"/>
      <c r="C187" s="14"/>
      <c r="D187" s="15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P187"/>
      <c r="Q187"/>
      <c r="R187"/>
      <c r="S187"/>
      <c r="T187"/>
      <c r="U187"/>
      <c r="V187"/>
      <c r="W187"/>
      <c r="X187"/>
      <c r="Y187"/>
      <c r="Z187"/>
    </row>
    <row r="188" spans="1:26" s="31" customFormat="1" x14ac:dyDescent="0.35">
      <c r="A188" s="34"/>
      <c r="B188" s="34"/>
      <c r="C188" s="14"/>
      <c r="D188" s="15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P188"/>
      <c r="Q188"/>
      <c r="R188"/>
      <c r="S188"/>
      <c r="T188"/>
      <c r="U188"/>
      <c r="V188"/>
      <c r="W188"/>
      <c r="X188"/>
      <c r="Y188"/>
      <c r="Z188"/>
    </row>
    <row r="189" spans="1:26" s="31" customFormat="1" x14ac:dyDescent="0.35">
      <c r="A189" s="34"/>
      <c r="B189" s="34"/>
      <c r="C189" s="14"/>
      <c r="D189" s="15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P189"/>
      <c r="Q189"/>
      <c r="R189"/>
      <c r="S189"/>
      <c r="T189"/>
      <c r="U189"/>
      <c r="V189"/>
      <c r="W189"/>
      <c r="X189"/>
      <c r="Y189"/>
      <c r="Z189"/>
    </row>
    <row r="190" spans="1:26" s="31" customFormat="1" x14ac:dyDescent="0.35">
      <c r="A190" s="34"/>
      <c r="B190" s="34"/>
      <c r="C190" s="14"/>
      <c r="D190" s="15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P190"/>
      <c r="Q190"/>
      <c r="R190"/>
      <c r="S190"/>
      <c r="T190"/>
      <c r="U190"/>
      <c r="V190"/>
      <c r="W190"/>
      <c r="X190"/>
      <c r="Y190"/>
      <c r="Z190"/>
    </row>
    <row r="191" spans="1:26" s="31" customFormat="1" x14ac:dyDescent="0.35">
      <c r="A191" s="34"/>
      <c r="B191" s="34"/>
      <c r="C191" s="14"/>
      <c r="D191" s="15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P191"/>
      <c r="Q191"/>
      <c r="R191"/>
      <c r="S191"/>
      <c r="T191"/>
      <c r="U191"/>
      <c r="V191"/>
      <c r="W191"/>
      <c r="X191"/>
      <c r="Y191"/>
      <c r="Z191"/>
    </row>
    <row r="192" spans="1:26" s="31" customFormat="1" x14ac:dyDescent="0.35">
      <c r="A192" s="34"/>
      <c r="B192" s="34"/>
      <c r="C192" s="14"/>
      <c r="D192" s="15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P192"/>
      <c r="Q192"/>
      <c r="R192"/>
      <c r="S192"/>
      <c r="T192"/>
      <c r="U192"/>
      <c r="V192"/>
      <c r="W192"/>
      <c r="X192"/>
      <c r="Y192"/>
      <c r="Z192"/>
    </row>
    <row r="193" spans="1:26" s="31" customFormat="1" x14ac:dyDescent="0.35">
      <c r="A193" s="34"/>
      <c r="B193" s="34"/>
      <c r="C193" s="14"/>
      <c r="D193" s="15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P193"/>
      <c r="Q193"/>
      <c r="R193"/>
      <c r="S193"/>
      <c r="T193"/>
      <c r="U193"/>
      <c r="V193"/>
      <c r="W193"/>
      <c r="X193"/>
      <c r="Y193"/>
      <c r="Z193"/>
    </row>
    <row r="194" spans="1:26" s="31" customFormat="1" x14ac:dyDescent="0.35">
      <c r="A194" s="34"/>
      <c r="B194" s="34"/>
      <c r="C194" s="14"/>
      <c r="D194" s="15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P194"/>
      <c r="Q194"/>
      <c r="R194"/>
      <c r="S194"/>
      <c r="T194"/>
      <c r="U194"/>
      <c r="V194"/>
      <c r="W194"/>
      <c r="X194"/>
      <c r="Y194"/>
      <c r="Z194"/>
    </row>
    <row r="195" spans="1:26" s="31" customFormat="1" x14ac:dyDescent="0.35">
      <c r="A195" s="34"/>
      <c r="B195" s="34"/>
      <c r="C195" s="14"/>
      <c r="D195" s="15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P195"/>
      <c r="Q195"/>
      <c r="R195"/>
      <c r="S195"/>
      <c r="T195"/>
      <c r="U195"/>
      <c r="V195"/>
      <c r="W195"/>
      <c r="X195"/>
      <c r="Y195"/>
      <c r="Z195"/>
    </row>
    <row r="196" spans="1:26" s="31" customFormat="1" x14ac:dyDescent="0.35">
      <c r="A196" s="34"/>
      <c r="B196" s="34"/>
      <c r="C196" s="14"/>
      <c r="D196" s="15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P196"/>
      <c r="Q196"/>
      <c r="R196"/>
      <c r="S196"/>
      <c r="T196"/>
      <c r="U196"/>
      <c r="V196"/>
      <c r="W196"/>
      <c r="X196"/>
      <c r="Y196"/>
      <c r="Z196"/>
    </row>
    <row r="197" spans="1:26" s="31" customFormat="1" x14ac:dyDescent="0.35">
      <c r="A197" s="34"/>
      <c r="B197" s="34"/>
      <c r="C197" s="14"/>
      <c r="D197" s="15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P197"/>
      <c r="Q197"/>
      <c r="R197"/>
      <c r="S197"/>
      <c r="T197"/>
      <c r="U197"/>
      <c r="V197"/>
      <c r="W197"/>
      <c r="X197"/>
      <c r="Y197"/>
      <c r="Z197"/>
    </row>
    <row r="198" spans="1:26" s="31" customFormat="1" x14ac:dyDescent="0.35">
      <c r="A198" s="34"/>
      <c r="B198" s="34"/>
      <c r="C198" s="14"/>
      <c r="D198" s="15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P198"/>
      <c r="Q198"/>
      <c r="R198"/>
      <c r="S198"/>
      <c r="T198"/>
      <c r="U198"/>
      <c r="V198"/>
      <c r="W198"/>
      <c r="X198"/>
      <c r="Y198"/>
      <c r="Z198"/>
    </row>
    <row r="199" spans="1:26" s="31" customFormat="1" x14ac:dyDescent="0.35">
      <c r="A199" s="34"/>
      <c r="B199" s="34"/>
      <c r="C199" s="14"/>
      <c r="D199" s="15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P199"/>
      <c r="Q199"/>
      <c r="R199"/>
      <c r="S199"/>
      <c r="T199"/>
      <c r="U199"/>
      <c r="V199"/>
      <c r="W199"/>
      <c r="X199"/>
      <c r="Y199"/>
      <c r="Z199"/>
    </row>
    <row r="200" spans="1:26" s="31" customFormat="1" x14ac:dyDescent="0.35">
      <c r="A200" s="34"/>
      <c r="B200" s="34"/>
      <c r="C200" s="14"/>
      <c r="D200" s="15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P200"/>
      <c r="Q200"/>
      <c r="R200"/>
      <c r="S200"/>
      <c r="T200"/>
      <c r="U200"/>
      <c r="V200"/>
      <c r="W200"/>
      <c r="X200"/>
      <c r="Y200"/>
      <c r="Z200"/>
    </row>
    <row r="201" spans="1:26" s="31" customFormat="1" x14ac:dyDescent="0.35">
      <c r="A201" s="34"/>
      <c r="B201" s="34"/>
      <c r="C201" s="14"/>
      <c r="D201" s="15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P201"/>
      <c r="Q201"/>
      <c r="R201"/>
      <c r="S201"/>
      <c r="T201"/>
      <c r="U201"/>
      <c r="V201"/>
      <c r="W201"/>
      <c r="X201"/>
      <c r="Y201"/>
      <c r="Z201"/>
    </row>
    <row r="202" spans="1:26" s="31" customFormat="1" x14ac:dyDescent="0.35">
      <c r="A202" s="34"/>
      <c r="B202" s="34"/>
      <c r="C202" s="14"/>
      <c r="D202" s="15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P202"/>
      <c r="Q202"/>
      <c r="R202"/>
      <c r="S202"/>
      <c r="T202"/>
      <c r="U202"/>
      <c r="V202"/>
      <c r="W202"/>
      <c r="X202"/>
      <c r="Y202"/>
      <c r="Z202"/>
    </row>
    <row r="203" spans="1:26" s="31" customFormat="1" x14ac:dyDescent="0.35">
      <c r="A203" s="34"/>
      <c r="B203" s="34"/>
      <c r="C203" s="14"/>
      <c r="D203" s="15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P203"/>
      <c r="Q203"/>
      <c r="R203"/>
      <c r="S203"/>
      <c r="T203"/>
      <c r="U203"/>
      <c r="V203"/>
      <c r="W203"/>
      <c r="X203"/>
      <c r="Y203"/>
      <c r="Z203"/>
    </row>
    <row r="204" spans="1:26" s="31" customFormat="1" x14ac:dyDescent="0.35">
      <c r="A204" s="34"/>
      <c r="B204" s="34"/>
      <c r="C204" s="14"/>
      <c r="D204" s="15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P204"/>
      <c r="Q204"/>
      <c r="R204"/>
      <c r="S204"/>
      <c r="T204"/>
      <c r="U204"/>
      <c r="V204"/>
      <c r="W204"/>
      <c r="X204"/>
      <c r="Y204"/>
      <c r="Z204"/>
    </row>
    <row r="205" spans="1:26" s="31" customFormat="1" x14ac:dyDescent="0.35">
      <c r="A205" s="34"/>
      <c r="B205" s="34"/>
      <c r="C205" s="14"/>
      <c r="D205" s="15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P205"/>
      <c r="Q205"/>
      <c r="R205"/>
      <c r="S205"/>
      <c r="T205"/>
      <c r="U205"/>
      <c r="V205"/>
      <c r="W205"/>
      <c r="X205"/>
      <c r="Y205"/>
      <c r="Z205"/>
    </row>
    <row r="206" spans="1:26" s="31" customFormat="1" x14ac:dyDescent="0.35">
      <c r="A206" s="34"/>
      <c r="B206" s="34"/>
      <c r="C206" s="14"/>
      <c r="D206" s="15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P206"/>
      <c r="Q206"/>
      <c r="R206"/>
      <c r="S206"/>
      <c r="T206"/>
      <c r="U206"/>
      <c r="V206"/>
      <c r="W206"/>
      <c r="X206"/>
      <c r="Y206"/>
      <c r="Z206"/>
    </row>
    <row r="207" spans="1:26" s="31" customFormat="1" x14ac:dyDescent="0.35">
      <c r="A207" s="34"/>
      <c r="B207" s="34"/>
      <c r="C207" s="14"/>
      <c r="D207" s="15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P207"/>
      <c r="Q207"/>
      <c r="R207"/>
      <c r="S207"/>
      <c r="T207"/>
      <c r="U207"/>
      <c r="V207"/>
      <c r="W207"/>
      <c r="X207"/>
      <c r="Y207"/>
      <c r="Z207"/>
    </row>
    <row r="208" spans="1:26" s="31" customFormat="1" x14ac:dyDescent="0.35">
      <c r="A208" s="34"/>
      <c r="B208" s="34"/>
      <c r="C208" s="14"/>
      <c r="D208" s="15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P208"/>
      <c r="Q208"/>
      <c r="R208"/>
      <c r="S208"/>
      <c r="T208"/>
      <c r="U208"/>
      <c r="V208"/>
      <c r="W208"/>
      <c r="X208"/>
      <c r="Y208"/>
      <c r="Z208"/>
    </row>
    <row r="209" spans="1:26" s="31" customFormat="1" x14ac:dyDescent="0.35">
      <c r="A209" s="34"/>
      <c r="B209" s="34"/>
      <c r="C209" s="14"/>
      <c r="D209" s="15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P209"/>
      <c r="Q209"/>
      <c r="R209"/>
      <c r="S209"/>
      <c r="T209"/>
      <c r="U209"/>
      <c r="V209"/>
      <c r="W209"/>
      <c r="X209"/>
      <c r="Y209"/>
      <c r="Z209"/>
    </row>
    <row r="210" spans="1:26" s="31" customFormat="1" x14ac:dyDescent="0.35">
      <c r="A210" s="34"/>
      <c r="B210" s="34"/>
      <c r="C210" s="14"/>
      <c r="D210" s="15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P210"/>
      <c r="Q210"/>
      <c r="R210"/>
      <c r="S210"/>
      <c r="T210"/>
      <c r="U210"/>
      <c r="V210"/>
      <c r="W210"/>
      <c r="X210"/>
      <c r="Y210"/>
      <c r="Z210"/>
    </row>
    <row r="211" spans="1:26" s="31" customFormat="1" x14ac:dyDescent="0.35">
      <c r="A211" s="34"/>
      <c r="B211" s="34"/>
      <c r="C211" s="14"/>
      <c r="D211" s="15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P211"/>
      <c r="Q211"/>
      <c r="R211"/>
      <c r="S211"/>
      <c r="T211"/>
      <c r="U211"/>
      <c r="V211"/>
      <c r="W211"/>
      <c r="X211"/>
      <c r="Y211"/>
      <c r="Z211"/>
    </row>
    <row r="212" spans="1:26" s="31" customFormat="1" x14ac:dyDescent="0.35">
      <c r="A212" s="34"/>
      <c r="B212" s="34"/>
      <c r="C212" s="14"/>
      <c r="D212" s="15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P212"/>
      <c r="Q212"/>
      <c r="R212"/>
      <c r="S212"/>
      <c r="T212"/>
      <c r="U212"/>
      <c r="V212"/>
      <c r="W212"/>
      <c r="X212"/>
      <c r="Y212"/>
      <c r="Z212"/>
    </row>
    <row r="213" spans="1:26" s="31" customFormat="1" x14ac:dyDescent="0.35">
      <c r="A213" s="34"/>
      <c r="B213" s="34"/>
      <c r="C213" s="14"/>
      <c r="D213" s="15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P213"/>
      <c r="Q213"/>
      <c r="R213"/>
      <c r="S213"/>
      <c r="T213"/>
      <c r="U213"/>
      <c r="V213"/>
      <c r="W213"/>
      <c r="X213"/>
      <c r="Y213"/>
      <c r="Z213"/>
    </row>
    <row r="214" spans="1:26" s="31" customFormat="1" x14ac:dyDescent="0.35">
      <c r="A214" s="34"/>
      <c r="B214" s="34"/>
      <c r="C214" s="14"/>
      <c r="D214" s="15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P214"/>
      <c r="Q214"/>
      <c r="R214"/>
      <c r="S214"/>
      <c r="T214"/>
      <c r="U214"/>
      <c r="V214"/>
      <c r="W214"/>
      <c r="X214"/>
      <c r="Y214"/>
      <c r="Z214"/>
    </row>
    <row r="215" spans="1:26" s="31" customFormat="1" x14ac:dyDescent="0.35">
      <c r="A215" s="34"/>
      <c r="B215" s="34"/>
      <c r="C215" s="14"/>
      <c r="D215" s="15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P215"/>
      <c r="Q215"/>
      <c r="R215"/>
      <c r="S215"/>
      <c r="T215"/>
      <c r="U215"/>
      <c r="V215"/>
      <c r="W215"/>
      <c r="X215"/>
      <c r="Y215"/>
      <c r="Z215"/>
    </row>
    <row r="216" spans="1:26" s="31" customFormat="1" x14ac:dyDescent="0.35">
      <c r="A216" s="34"/>
      <c r="B216" s="34"/>
      <c r="C216" s="14"/>
      <c r="D216" s="15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P216"/>
      <c r="Q216"/>
      <c r="R216"/>
      <c r="S216"/>
      <c r="T216"/>
      <c r="U216"/>
      <c r="V216"/>
      <c r="W216"/>
      <c r="X216"/>
      <c r="Y216"/>
      <c r="Z216"/>
    </row>
    <row r="217" spans="1:26" s="31" customFormat="1" x14ac:dyDescent="0.35">
      <c r="A217" s="34"/>
      <c r="B217" s="34"/>
      <c r="C217" s="14"/>
      <c r="D217" s="15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P217"/>
      <c r="Q217"/>
      <c r="R217"/>
      <c r="S217"/>
      <c r="T217"/>
      <c r="U217"/>
      <c r="V217"/>
      <c r="W217"/>
      <c r="X217"/>
      <c r="Y217"/>
      <c r="Z217"/>
    </row>
    <row r="218" spans="1:26" s="31" customFormat="1" x14ac:dyDescent="0.35">
      <c r="A218" s="34"/>
      <c r="B218" s="34"/>
      <c r="C218" s="14"/>
      <c r="D218" s="15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P218"/>
      <c r="Q218"/>
      <c r="R218"/>
      <c r="S218"/>
      <c r="T218"/>
      <c r="U218"/>
      <c r="V218"/>
      <c r="W218"/>
      <c r="X218"/>
      <c r="Y218"/>
      <c r="Z218"/>
    </row>
    <row r="219" spans="1:26" s="31" customFormat="1" x14ac:dyDescent="0.35">
      <c r="A219" s="34"/>
      <c r="B219" s="34"/>
      <c r="C219" s="14"/>
      <c r="D219" s="15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P219"/>
      <c r="Q219"/>
      <c r="R219"/>
      <c r="S219"/>
      <c r="T219"/>
      <c r="U219"/>
      <c r="V219"/>
      <c r="W219"/>
      <c r="X219"/>
      <c r="Y219"/>
      <c r="Z219"/>
    </row>
    <row r="220" spans="1:26" s="31" customFormat="1" x14ac:dyDescent="0.35">
      <c r="A220" s="34"/>
      <c r="B220" s="34"/>
      <c r="C220" s="14"/>
      <c r="D220" s="15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P220"/>
      <c r="Q220"/>
      <c r="R220"/>
      <c r="S220"/>
      <c r="T220"/>
      <c r="U220"/>
      <c r="V220"/>
      <c r="W220"/>
      <c r="X220"/>
      <c r="Y220"/>
      <c r="Z220"/>
    </row>
    <row r="221" spans="1:26" s="31" customFormat="1" x14ac:dyDescent="0.35">
      <c r="A221" s="34"/>
      <c r="B221" s="34"/>
      <c r="C221" s="14"/>
      <c r="D221" s="15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P221"/>
      <c r="Q221"/>
      <c r="R221"/>
      <c r="S221"/>
      <c r="T221"/>
      <c r="U221"/>
      <c r="V221"/>
      <c r="W221"/>
      <c r="X221"/>
      <c r="Y221"/>
      <c r="Z221"/>
    </row>
    <row r="222" spans="1:26" s="31" customFormat="1" x14ac:dyDescent="0.35">
      <c r="A222" s="34"/>
      <c r="B222" s="34"/>
      <c r="C222" s="14"/>
      <c r="D222" s="15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P222"/>
      <c r="Q222"/>
      <c r="R222"/>
      <c r="S222"/>
      <c r="T222"/>
      <c r="U222"/>
      <c r="V222"/>
      <c r="W222"/>
      <c r="X222"/>
      <c r="Y222"/>
      <c r="Z222"/>
    </row>
    <row r="223" spans="1:26" s="31" customFormat="1" x14ac:dyDescent="0.35">
      <c r="A223" s="34"/>
      <c r="B223" s="34"/>
      <c r="C223" s="14"/>
      <c r="D223" s="15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P223"/>
      <c r="Q223"/>
      <c r="R223"/>
      <c r="S223"/>
      <c r="T223"/>
      <c r="U223"/>
      <c r="V223"/>
      <c r="W223"/>
      <c r="X223"/>
      <c r="Y223"/>
      <c r="Z223"/>
    </row>
    <row r="224" spans="1:26" s="31" customFormat="1" x14ac:dyDescent="0.35">
      <c r="A224" s="34"/>
      <c r="B224" s="34"/>
      <c r="C224" s="14"/>
      <c r="D224" s="15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P224"/>
      <c r="Q224"/>
      <c r="R224"/>
      <c r="S224"/>
      <c r="T224"/>
      <c r="U224"/>
      <c r="V224"/>
      <c r="W224"/>
      <c r="X224"/>
      <c r="Y224"/>
      <c r="Z224"/>
    </row>
    <row r="225" spans="1:26" s="31" customFormat="1" x14ac:dyDescent="0.35">
      <c r="A225" s="34"/>
      <c r="B225" s="34"/>
      <c r="C225" s="14"/>
      <c r="D225" s="15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P225"/>
      <c r="Q225"/>
      <c r="R225"/>
      <c r="S225"/>
      <c r="T225"/>
      <c r="U225"/>
      <c r="V225"/>
      <c r="W225"/>
      <c r="X225"/>
      <c r="Y225"/>
      <c r="Z225"/>
    </row>
    <row r="226" spans="1:26" s="31" customFormat="1" x14ac:dyDescent="0.35">
      <c r="A226" s="34"/>
      <c r="B226" s="34"/>
      <c r="C226" s="14"/>
      <c r="D226" s="15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P226"/>
      <c r="Q226"/>
      <c r="R226"/>
      <c r="S226"/>
      <c r="T226"/>
      <c r="U226"/>
      <c r="V226"/>
      <c r="W226"/>
      <c r="X226"/>
      <c r="Y226"/>
      <c r="Z226"/>
    </row>
    <row r="227" spans="1:26" s="31" customFormat="1" x14ac:dyDescent="0.35">
      <c r="A227" s="34"/>
      <c r="B227" s="34"/>
      <c r="C227" s="14"/>
      <c r="D227" s="15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P227"/>
      <c r="Q227"/>
      <c r="R227"/>
      <c r="S227"/>
      <c r="T227"/>
      <c r="U227"/>
      <c r="V227"/>
      <c r="W227"/>
      <c r="X227"/>
      <c r="Y227"/>
      <c r="Z227"/>
    </row>
    <row r="228" spans="1:26" s="31" customFormat="1" x14ac:dyDescent="0.35">
      <c r="A228" s="34"/>
      <c r="B228" s="34"/>
      <c r="C228" s="14"/>
      <c r="D228" s="15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P228"/>
      <c r="Q228"/>
      <c r="R228"/>
      <c r="S228"/>
      <c r="T228"/>
      <c r="U228"/>
      <c r="V228"/>
      <c r="W228"/>
      <c r="X228"/>
      <c r="Y228"/>
      <c r="Z228"/>
    </row>
    <row r="229" spans="1:26" s="31" customFormat="1" x14ac:dyDescent="0.35">
      <c r="A229" s="34"/>
      <c r="B229" s="34"/>
      <c r="C229" s="14"/>
      <c r="D229" s="15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P229"/>
      <c r="Q229"/>
      <c r="R229"/>
      <c r="S229"/>
      <c r="T229"/>
      <c r="U229"/>
      <c r="V229"/>
      <c r="W229"/>
      <c r="X229"/>
      <c r="Y229"/>
      <c r="Z229"/>
    </row>
    <row r="230" spans="1:26" s="31" customFormat="1" x14ac:dyDescent="0.35">
      <c r="A230" s="34"/>
      <c r="B230" s="34"/>
      <c r="C230" s="14"/>
      <c r="D230" s="15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P230"/>
      <c r="Q230"/>
      <c r="R230"/>
      <c r="S230"/>
      <c r="T230"/>
      <c r="U230"/>
      <c r="V230"/>
      <c r="W230"/>
      <c r="X230"/>
      <c r="Y230"/>
      <c r="Z230"/>
    </row>
    <row r="231" spans="1:26" s="31" customFormat="1" x14ac:dyDescent="0.35">
      <c r="A231" s="34"/>
      <c r="B231" s="34"/>
      <c r="C231" s="14"/>
      <c r="D231" s="15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P231"/>
      <c r="Q231"/>
      <c r="R231"/>
      <c r="S231"/>
      <c r="T231"/>
      <c r="U231"/>
      <c r="V231"/>
      <c r="W231"/>
      <c r="X231"/>
      <c r="Y231"/>
      <c r="Z231"/>
    </row>
    <row r="232" spans="1:26" s="31" customFormat="1" x14ac:dyDescent="0.35">
      <c r="A232" s="34"/>
      <c r="B232" s="34"/>
      <c r="C232" s="14"/>
      <c r="D232" s="15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P232"/>
      <c r="Q232"/>
      <c r="R232"/>
      <c r="S232"/>
      <c r="T232"/>
      <c r="U232"/>
      <c r="V232"/>
      <c r="W232"/>
      <c r="X232"/>
      <c r="Y232"/>
      <c r="Z232"/>
    </row>
    <row r="233" spans="1:26" s="31" customFormat="1" x14ac:dyDescent="0.35">
      <c r="A233" s="34"/>
      <c r="B233" s="34"/>
      <c r="C233" s="14"/>
      <c r="D233" s="15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P233"/>
      <c r="Q233"/>
      <c r="R233"/>
      <c r="S233"/>
      <c r="T233"/>
      <c r="U233"/>
      <c r="V233"/>
      <c r="W233"/>
      <c r="X233"/>
      <c r="Y233"/>
      <c r="Z233"/>
    </row>
    <row r="234" spans="1:26" s="31" customFormat="1" x14ac:dyDescent="0.35">
      <c r="A234" s="34"/>
      <c r="B234" s="34"/>
      <c r="C234" s="14"/>
      <c r="D234" s="15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P234"/>
      <c r="Q234"/>
      <c r="R234"/>
      <c r="S234"/>
      <c r="T234"/>
      <c r="U234"/>
      <c r="V234"/>
      <c r="W234"/>
      <c r="X234"/>
      <c r="Y234"/>
      <c r="Z234"/>
    </row>
    <row r="235" spans="1:26" s="31" customFormat="1" x14ac:dyDescent="0.35">
      <c r="A235" s="34"/>
      <c r="B235" s="34"/>
      <c r="C235" s="14"/>
      <c r="D235" s="15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P235"/>
      <c r="Q235"/>
      <c r="R235"/>
      <c r="S235"/>
      <c r="T235"/>
      <c r="U235"/>
      <c r="V235"/>
      <c r="W235"/>
      <c r="X235"/>
      <c r="Y235"/>
      <c r="Z235"/>
    </row>
    <row r="236" spans="1:26" s="31" customFormat="1" x14ac:dyDescent="0.35">
      <c r="A236" s="34"/>
      <c r="B236" s="34"/>
      <c r="C236" s="14"/>
      <c r="D236" s="15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P236"/>
      <c r="Q236"/>
      <c r="R236"/>
      <c r="S236"/>
      <c r="T236"/>
      <c r="U236"/>
      <c r="V236"/>
      <c r="W236"/>
      <c r="X236"/>
      <c r="Y236"/>
      <c r="Z236"/>
    </row>
    <row r="237" spans="1:26" s="31" customFormat="1" x14ac:dyDescent="0.35">
      <c r="A237" s="34"/>
      <c r="B237" s="34"/>
      <c r="C237" s="14"/>
      <c r="D237" s="15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P237"/>
      <c r="Q237"/>
      <c r="R237"/>
      <c r="S237"/>
      <c r="T237"/>
      <c r="U237"/>
      <c r="V237"/>
      <c r="W237"/>
      <c r="X237"/>
      <c r="Y237"/>
      <c r="Z237"/>
    </row>
    <row r="238" spans="1:26" s="31" customFormat="1" x14ac:dyDescent="0.35">
      <c r="A238" s="34"/>
      <c r="B238" s="34"/>
      <c r="C238" s="14"/>
      <c r="D238" s="15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P238"/>
      <c r="Q238"/>
      <c r="R238"/>
      <c r="S238"/>
      <c r="T238"/>
      <c r="U238"/>
      <c r="V238"/>
      <c r="W238"/>
      <c r="X238"/>
      <c r="Y238"/>
      <c r="Z238"/>
    </row>
    <row r="239" spans="1:26" s="31" customFormat="1" x14ac:dyDescent="0.35">
      <c r="A239" s="34"/>
      <c r="B239" s="34"/>
      <c r="C239" s="14"/>
      <c r="D239" s="15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P239"/>
      <c r="Q239"/>
      <c r="R239"/>
      <c r="S239"/>
      <c r="T239"/>
      <c r="U239"/>
      <c r="V239"/>
      <c r="W239"/>
      <c r="X239"/>
      <c r="Y239"/>
      <c r="Z239"/>
    </row>
    <row r="240" spans="1:26" s="31" customFormat="1" x14ac:dyDescent="0.35">
      <c r="A240" s="34"/>
      <c r="B240" s="34"/>
      <c r="C240" s="14"/>
      <c r="D240" s="15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P240"/>
      <c r="Q240"/>
      <c r="R240"/>
      <c r="S240"/>
      <c r="T240"/>
      <c r="U240"/>
      <c r="V240"/>
      <c r="W240"/>
      <c r="X240"/>
      <c r="Y240"/>
      <c r="Z240"/>
    </row>
    <row r="241" spans="1:26" s="31" customFormat="1" x14ac:dyDescent="0.35">
      <c r="A241" s="34"/>
      <c r="B241" s="34"/>
      <c r="C241" s="14"/>
      <c r="D241" s="15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P241"/>
      <c r="Q241"/>
      <c r="R241"/>
      <c r="S241"/>
      <c r="T241"/>
      <c r="U241"/>
      <c r="V241"/>
      <c r="W241"/>
      <c r="X241"/>
      <c r="Y241"/>
      <c r="Z241"/>
    </row>
    <row r="242" spans="1:26" s="31" customFormat="1" x14ac:dyDescent="0.35">
      <c r="A242" s="34"/>
      <c r="B242" s="34"/>
      <c r="C242" s="14"/>
      <c r="D242" s="15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P242"/>
      <c r="Q242"/>
      <c r="R242"/>
      <c r="S242"/>
      <c r="T242"/>
      <c r="U242"/>
      <c r="V242"/>
      <c r="W242"/>
      <c r="X242"/>
      <c r="Y242"/>
      <c r="Z242"/>
    </row>
    <row r="243" spans="1:26" s="31" customFormat="1" x14ac:dyDescent="0.35">
      <c r="A243" s="34"/>
      <c r="B243" s="34"/>
      <c r="C243" s="14"/>
      <c r="D243" s="15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P243"/>
      <c r="Q243"/>
      <c r="R243"/>
      <c r="S243"/>
      <c r="T243"/>
      <c r="U243"/>
      <c r="V243"/>
      <c r="W243"/>
      <c r="X243"/>
      <c r="Y243"/>
      <c r="Z243"/>
    </row>
    <row r="244" spans="1:26" s="31" customFormat="1" x14ac:dyDescent="0.35">
      <c r="A244" s="34"/>
      <c r="B244" s="34"/>
      <c r="C244" s="14"/>
      <c r="D244" s="15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P244"/>
      <c r="Q244"/>
      <c r="R244"/>
      <c r="S244"/>
      <c r="T244"/>
      <c r="U244"/>
      <c r="V244"/>
      <c r="W244"/>
      <c r="X244"/>
      <c r="Y244"/>
      <c r="Z244"/>
    </row>
    <row r="245" spans="1:26" s="31" customFormat="1" x14ac:dyDescent="0.35">
      <c r="A245" s="34"/>
      <c r="B245" s="34"/>
      <c r="C245" s="14"/>
      <c r="D245" s="15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P245"/>
      <c r="Q245"/>
      <c r="R245"/>
      <c r="S245"/>
      <c r="T245"/>
      <c r="U245"/>
      <c r="V245"/>
      <c r="W245"/>
      <c r="X245"/>
      <c r="Y245"/>
      <c r="Z245"/>
    </row>
    <row r="246" spans="1:26" s="31" customFormat="1" x14ac:dyDescent="0.35">
      <c r="A246" s="34"/>
      <c r="B246" s="34"/>
      <c r="C246" s="14"/>
      <c r="D246" s="15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P246"/>
      <c r="Q246"/>
      <c r="R246"/>
      <c r="S246"/>
      <c r="T246"/>
      <c r="U246"/>
      <c r="V246"/>
      <c r="W246"/>
      <c r="X246"/>
      <c r="Y246"/>
      <c r="Z246"/>
    </row>
    <row r="247" spans="1:26" s="31" customFormat="1" x14ac:dyDescent="0.35">
      <c r="A247" s="34"/>
      <c r="B247" s="34"/>
      <c r="C247" s="14"/>
      <c r="D247" s="15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P247"/>
      <c r="Q247"/>
      <c r="R247"/>
      <c r="S247"/>
      <c r="T247"/>
      <c r="U247"/>
      <c r="V247"/>
      <c r="W247"/>
      <c r="X247"/>
      <c r="Y247"/>
      <c r="Z247"/>
    </row>
    <row r="248" spans="1:26" s="31" customFormat="1" x14ac:dyDescent="0.35">
      <c r="A248" s="34"/>
      <c r="B248" s="34"/>
      <c r="C248" s="14"/>
      <c r="D248" s="15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P248"/>
      <c r="Q248"/>
      <c r="R248"/>
      <c r="S248"/>
      <c r="T248"/>
      <c r="U248"/>
      <c r="V248"/>
      <c r="W248"/>
      <c r="X248"/>
      <c r="Y248"/>
      <c r="Z248"/>
    </row>
    <row r="249" spans="1:26" s="31" customFormat="1" x14ac:dyDescent="0.35">
      <c r="A249" s="34"/>
      <c r="B249" s="34"/>
      <c r="C249" s="14"/>
      <c r="D249" s="15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P249"/>
      <c r="Q249"/>
      <c r="R249"/>
      <c r="S249"/>
      <c r="T249"/>
      <c r="U249"/>
      <c r="V249"/>
      <c r="W249"/>
      <c r="X249"/>
      <c r="Y249"/>
      <c r="Z249"/>
    </row>
    <row r="250" spans="1:26" s="31" customFormat="1" x14ac:dyDescent="0.35">
      <c r="A250" s="34"/>
      <c r="B250" s="34"/>
      <c r="C250" s="14"/>
      <c r="D250" s="15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P250"/>
      <c r="Q250"/>
      <c r="R250"/>
      <c r="S250"/>
      <c r="T250"/>
      <c r="U250"/>
      <c r="V250"/>
      <c r="W250"/>
      <c r="X250"/>
      <c r="Y250"/>
      <c r="Z250"/>
    </row>
    <row r="251" spans="1:26" s="31" customFormat="1" x14ac:dyDescent="0.35">
      <c r="A251" s="34"/>
      <c r="B251" s="34"/>
      <c r="C251" s="14"/>
      <c r="D251" s="15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P251"/>
      <c r="Q251"/>
      <c r="R251"/>
      <c r="S251"/>
      <c r="T251"/>
      <c r="U251"/>
      <c r="V251"/>
      <c r="W251"/>
      <c r="X251"/>
      <c r="Y251"/>
      <c r="Z251"/>
    </row>
    <row r="252" spans="1:26" s="31" customFormat="1" x14ac:dyDescent="0.35">
      <c r="A252" s="34"/>
      <c r="B252" s="34"/>
      <c r="C252" s="14"/>
      <c r="D252" s="15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P252"/>
      <c r="Q252"/>
      <c r="R252"/>
      <c r="S252"/>
      <c r="T252"/>
      <c r="U252"/>
      <c r="V252"/>
      <c r="W252"/>
      <c r="X252"/>
      <c r="Y252"/>
      <c r="Z252"/>
    </row>
    <row r="253" spans="1:26" s="31" customFormat="1" x14ac:dyDescent="0.35">
      <c r="A253" s="34"/>
      <c r="B253" s="34"/>
      <c r="C253" s="14"/>
      <c r="D253" s="15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P253"/>
      <c r="Q253"/>
      <c r="R253"/>
      <c r="S253"/>
      <c r="T253"/>
      <c r="U253"/>
      <c r="V253"/>
      <c r="W253"/>
      <c r="X253"/>
      <c r="Y253"/>
      <c r="Z253"/>
    </row>
    <row r="254" spans="1:26" s="31" customFormat="1" x14ac:dyDescent="0.35">
      <c r="A254" s="34"/>
      <c r="B254" s="34"/>
      <c r="C254" s="14"/>
      <c r="D254" s="15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P254"/>
      <c r="Q254"/>
      <c r="R254"/>
      <c r="S254"/>
      <c r="T254"/>
      <c r="U254"/>
      <c r="V254"/>
      <c r="W254"/>
      <c r="X254"/>
      <c r="Y254"/>
      <c r="Z254"/>
    </row>
    <row r="255" spans="1:26" s="31" customFormat="1" x14ac:dyDescent="0.35">
      <c r="A255" s="34"/>
      <c r="B255" s="34"/>
      <c r="C255" s="14"/>
      <c r="D255" s="15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P255"/>
      <c r="Q255"/>
      <c r="R255"/>
      <c r="S255"/>
      <c r="T255"/>
      <c r="U255"/>
      <c r="V255"/>
      <c r="W255"/>
      <c r="X255"/>
      <c r="Y255"/>
      <c r="Z255"/>
    </row>
    <row r="256" spans="1:26" s="31" customFormat="1" x14ac:dyDescent="0.35">
      <c r="A256" s="34"/>
      <c r="B256" s="34"/>
      <c r="C256" s="14"/>
      <c r="D256" s="15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P256"/>
      <c r="Q256"/>
      <c r="R256"/>
      <c r="S256"/>
      <c r="T256"/>
      <c r="U256"/>
      <c r="V256"/>
      <c r="W256"/>
      <c r="X256"/>
      <c r="Y256"/>
      <c r="Z256"/>
    </row>
    <row r="257" spans="1:26" s="31" customFormat="1" x14ac:dyDescent="0.35">
      <c r="A257" s="34"/>
      <c r="B257" s="34"/>
      <c r="C257" s="14"/>
      <c r="D257" s="15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P257"/>
      <c r="Q257"/>
      <c r="R257"/>
      <c r="S257"/>
      <c r="T257"/>
      <c r="U257"/>
      <c r="V257"/>
      <c r="W257"/>
      <c r="X257"/>
      <c r="Y257"/>
      <c r="Z257"/>
    </row>
    <row r="258" spans="1:26" s="31" customFormat="1" x14ac:dyDescent="0.35">
      <c r="A258" s="34"/>
      <c r="B258" s="34"/>
      <c r="C258" s="14"/>
      <c r="D258" s="15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P258"/>
      <c r="Q258"/>
      <c r="R258"/>
      <c r="S258"/>
      <c r="T258"/>
      <c r="U258"/>
      <c r="V258"/>
      <c r="W258"/>
      <c r="X258"/>
      <c r="Y258"/>
      <c r="Z258"/>
    </row>
    <row r="259" spans="1:26" s="31" customFormat="1" x14ac:dyDescent="0.35">
      <c r="A259" s="34"/>
      <c r="B259" s="34"/>
      <c r="C259" s="14"/>
      <c r="D259" s="15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P259"/>
      <c r="Q259"/>
      <c r="R259"/>
      <c r="S259"/>
      <c r="T259"/>
      <c r="U259"/>
      <c r="V259"/>
      <c r="W259"/>
      <c r="X259"/>
      <c r="Y259"/>
      <c r="Z259"/>
    </row>
    <row r="260" spans="1:26" s="31" customFormat="1" x14ac:dyDescent="0.35">
      <c r="A260" s="34"/>
      <c r="B260" s="34"/>
      <c r="C260" s="14"/>
      <c r="D260" s="15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P260"/>
      <c r="Q260"/>
      <c r="R260"/>
      <c r="S260"/>
      <c r="T260"/>
      <c r="U260"/>
      <c r="V260"/>
      <c r="W260"/>
      <c r="X260"/>
      <c r="Y260"/>
      <c r="Z260"/>
    </row>
    <row r="261" spans="1:26" s="31" customFormat="1" x14ac:dyDescent="0.35">
      <c r="A261" s="34"/>
      <c r="B261" s="34"/>
      <c r="C261" s="14"/>
      <c r="D261" s="15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P261"/>
      <c r="Q261"/>
      <c r="R261"/>
      <c r="S261"/>
      <c r="T261"/>
      <c r="U261"/>
      <c r="V261"/>
      <c r="W261"/>
      <c r="X261"/>
      <c r="Y261"/>
      <c r="Z261"/>
    </row>
    <row r="262" spans="1:26" s="31" customFormat="1" x14ac:dyDescent="0.35">
      <c r="A262" s="34"/>
      <c r="B262" s="34"/>
      <c r="C262" s="14"/>
      <c r="D262" s="15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P262"/>
      <c r="Q262"/>
      <c r="R262"/>
      <c r="S262"/>
      <c r="T262"/>
      <c r="U262"/>
      <c r="V262"/>
      <c r="W262"/>
      <c r="X262"/>
      <c r="Y262"/>
      <c r="Z262"/>
    </row>
    <row r="263" spans="1:26" s="31" customFormat="1" x14ac:dyDescent="0.35">
      <c r="A263" s="34"/>
      <c r="B263" s="34"/>
      <c r="C263" s="14"/>
      <c r="D263" s="15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P263"/>
      <c r="Q263"/>
      <c r="R263"/>
      <c r="S263"/>
      <c r="T263"/>
      <c r="U263"/>
      <c r="V263"/>
      <c r="W263"/>
      <c r="X263"/>
      <c r="Y263"/>
      <c r="Z263"/>
    </row>
    <row r="264" spans="1:26" s="31" customFormat="1" x14ac:dyDescent="0.35">
      <c r="A264" s="34"/>
      <c r="B264" s="34"/>
      <c r="C264" s="14"/>
      <c r="D264" s="15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P264"/>
      <c r="Q264"/>
      <c r="R264"/>
      <c r="S264"/>
      <c r="T264"/>
      <c r="U264"/>
      <c r="V264"/>
      <c r="W264"/>
      <c r="X264"/>
      <c r="Y264"/>
      <c r="Z264"/>
    </row>
    <row r="265" spans="1:26" s="31" customFormat="1" x14ac:dyDescent="0.35">
      <c r="A265" s="34"/>
      <c r="B265" s="34"/>
      <c r="C265" s="14"/>
      <c r="D265" s="15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P265"/>
      <c r="Q265"/>
      <c r="R265"/>
      <c r="S265"/>
      <c r="T265"/>
      <c r="U265"/>
      <c r="V265"/>
      <c r="W265"/>
      <c r="X265"/>
      <c r="Y265"/>
      <c r="Z265"/>
    </row>
    <row r="266" spans="1:26" s="31" customFormat="1" x14ac:dyDescent="0.35">
      <c r="A266" s="34"/>
      <c r="B266" s="34"/>
      <c r="C266" s="14"/>
      <c r="D266" s="15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P266"/>
      <c r="Q266"/>
      <c r="R266"/>
      <c r="S266"/>
      <c r="T266"/>
      <c r="U266"/>
      <c r="V266"/>
      <c r="W266"/>
      <c r="X266"/>
      <c r="Y266"/>
      <c r="Z266"/>
    </row>
    <row r="267" spans="1:26" s="31" customFormat="1" x14ac:dyDescent="0.35">
      <c r="A267" s="34"/>
      <c r="B267" s="34"/>
      <c r="C267" s="14"/>
      <c r="D267" s="15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P267"/>
      <c r="Q267"/>
      <c r="R267"/>
      <c r="S267"/>
      <c r="T267"/>
      <c r="U267"/>
      <c r="V267"/>
      <c r="W267"/>
      <c r="X267"/>
      <c r="Y267"/>
      <c r="Z267"/>
    </row>
    <row r="268" spans="1:26" s="31" customFormat="1" x14ac:dyDescent="0.35">
      <c r="A268" s="34"/>
      <c r="B268" s="34"/>
      <c r="C268" s="14"/>
      <c r="D268" s="15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P268"/>
      <c r="Q268"/>
      <c r="R268"/>
      <c r="S268"/>
      <c r="T268"/>
      <c r="U268"/>
      <c r="V268"/>
      <c r="W268"/>
      <c r="X268"/>
      <c r="Y268"/>
      <c r="Z268"/>
    </row>
    <row r="269" spans="1:26" s="31" customFormat="1" x14ac:dyDescent="0.35">
      <c r="A269" s="34"/>
      <c r="B269" s="34"/>
      <c r="C269" s="14"/>
      <c r="D269" s="15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P269"/>
      <c r="Q269"/>
      <c r="R269"/>
      <c r="S269"/>
      <c r="T269"/>
      <c r="U269"/>
      <c r="V269"/>
      <c r="W269"/>
      <c r="X269"/>
      <c r="Y269"/>
      <c r="Z269"/>
    </row>
    <row r="270" spans="1:26" s="31" customFormat="1" x14ac:dyDescent="0.35">
      <c r="A270" s="34"/>
      <c r="B270" s="34"/>
      <c r="C270" s="14"/>
      <c r="D270" s="15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P270"/>
      <c r="Q270"/>
      <c r="R270"/>
      <c r="S270"/>
      <c r="T270"/>
      <c r="U270"/>
      <c r="V270"/>
      <c r="W270"/>
      <c r="X270"/>
      <c r="Y270"/>
      <c r="Z270"/>
    </row>
    <row r="271" spans="1:26" s="31" customFormat="1" x14ac:dyDescent="0.35">
      <c r="A271" s="34"/>
      <c r="B271" s="34"/>
      <c r="C271" s="14"/>
      <c r="D271" s="15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P271"/>
      <c r="Q271"/>
      <c r="R271"/>
      <c r="S271"/>
      <c r="T271"/>
      <c r="U271"/>
      <c r="V271"/>
      <c r="W271"/>
      <c r="X271"/>
      <c r="Y271"/>
      <c r="Z271"/>
    </row>
    <row r="272" spans="1:26" s="31" customFormat="1" x14ac:dyDescent="0.35">
      <c r="A272" s="34"/>
      <c r="B272" s="34"/>
      <c r="C272" s="14"/>
      <c r="D272" s="15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P272"/>
      <c r="Q272"/>
      <c r="R272"/>
      <c r="S272"/>
      <c r="T272"/>
      <c r="U272"/>
      <c r="V272"/>
      <c r="W272"/>
      <c r="X272"/>
      <c r="Y272"/>
      <c r="Z272"/>
    </row>
    <row r="273" spans="1:26" s="31" customFormat="1" x14ac:dyDescent="0.35">
      <c r="A273" s="34"/>
      <c r="B273" s="34"/>
      <c r="C273" s="14"/>
      <c r="D273" s="15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P273"/>
      <c r="Q273"/>
      <c r="R273"/>
      <c r="S273"/>
      <c r="T273"/>
      <c r="U273"/>
      <c r="V273"/>
      <c r="W273"/>
      <c r="X273"/>
      <c r="Y273"/>
      <c r="Z273"/>
    </row>
  </sheetData>
  <sheetProtection formatCells="0" formatColumns="0" formatRows="0" insertColumns="0" insertRows="0" deleteRows="0" sort="0" autoFilter="0"/>
  <conditionalFormatting sqref="O1:O1048576">
    <cfRule type="cellIs" dxfId="10" priority="3" operator="equal">
      <formula>2</formula>
    </cfRule>
    <cfRule type="cellIs" dxfId="9" priority="4" operator="equal">
      <formula>4</formula>
    </cfRule>
  </conditionalFormatting>
  <conditionalFormatting sqref="O1">
    <cfRule type="cellIs" dxfId="8" priority="2" operator="equal">
      <formula>3</formula>
    </cfRule>
  </conditionalFormatting>
  <conditionalFormatting sqref="O2:O60">
    <cfRule type="cellIs" dxfId="7" priority="5" operator="equal">
      <formula>1</formula>
    </cfRule>
  </conditionalFormatting>
  <conditionalFormatting sqref="P1:P1048576">
    <cfRule type="cellIs" dxfId="6" priority="1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Sorting">
                <anchor moveWithCells="1" sizeWithCells="1">
                  <from>
                    <xdr:col>16</xdr:col>
                    <xdr:colOff>190500</xdr:colOff>
                    <xdr:row>0</xdr:row>
                    <xdr:rowOff>57150</xdr:rowOff>
                  </from>
                  <to>
                    <xdr:col>19</xdr:col>
                    <xdr:colOff>581025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CTC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2021-04-11T18:20:29Z</dcterms:created>
  <dcterms:modified xsi:type="dcterms:W3CDTF">2021-04-11T18:20:56Z</dcterms:modified>
</cp:coreProperties>
</file>